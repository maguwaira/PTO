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отребность" sheetId="1" state="visible" r:id="rId3"/>
    <sheet name="По осям" sheetId="2" state="visible" r:id="rId4"/>
    <sheet name="Сверка ПТО" sheetId="3" state="visible" r:id="rId5"/>
    <sheet name="Исходные" sheetId="4" state="visible" r:id="rId6"/>
    <sheet name="Ведомость" sheetId="5" state="visible" r:id="rId7"/>
    <sheet name="Раскрой 11,7м" sheetId="6" state="visible" r:id="rId8"/>
    <sheet name="Проверки" sheetId="7" state="visible" r:id="rId9"/>
  </sheets>
  <definedNames>
    <definedName function="false" hidden="false" localSheetId="4" name="_xlnm.Print_Titles" vbProcedure="false">Ведомость!$4:$4</definedName>
    <definedName function="false" hidden="true" localSheetId="4" name="_xlnm._FilterDatabase" vbProcedure="false">Ведомость!$A$4:$W$2053</definedName>
    <definedName function="false" hidden="false" localSheetId="5" name="_xlnm.Print_Titles" vbProcedure="false">'Раскрой 11,7м'!$4:$4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1" authorId="0">
      <text>
        <r>
          <rPr>
            <sz val="10"/>
            <rFont val="Arial"/>
            <family val="2"/>
          </rPr>
          <t xml:space="preserve">Дм: (колонна 600×600 + полки 700×400 + ребро ×400) × (4,0 − 0,12 плита).</t>
        </r>
      </text>
    </comment>
    <comment ref="B77" authorId="0">
      <text>
        <r>
          <rPr>
            <sz val="10"/>
            <rFont val="Arial"/>
            <family val="2"/>
          </rPr>
          <t xml:space="preserve">Дм: (колонна 600×600 + полки 700×400 + ребро ×400) × (3,6 − 0,12 плита).</t>
        </r>
      </text>
    </comment>
    <comment ref="B123" authorId="0">
      <text>
        <r>
          <rPr>
            <sz val="10"/>
            <rFont val="Arial"/>
            <family val="2"/>
          </rPr>
          <t xml:space="preserve">Дм: (колонна 600×600 + полки 700×400 + ребро ×400) × (3,6 − 0,12 плита).</t>
        </r>
      </text>
    </comment>
    <comment ref="B169" authorId="0">
      <text>
        <r>
          <rPr>
            <sz val="10"/>
            <rFont val="Arial"/>
            <family val="2"/>
          </rPr>
          <t xml:space="preserve">Дм: (колонна 600×600 + полки 700×400 + ребро ×400) × (3,6 − 0,12 плита).</t>
        </r>
      </text>
    </comment>
    <comment ref="B215" authorId="0">
      <text>
        <r>
          <rPr>
            <sz val="10"/>
            <rFont val="Arial"/>
            <family val="2"/>
          </rPr>
          <t xml:space="preserve">Дм: (колонна 600×600 + полки 700×400 + ребро ×400) × (3,6 − 0,12 плита).</t>
        </r>
      </text>
    </comment>
    <comment ref="D31" authorId="0">
      <text>
        <r>
          <rPr>
            <sz val="10"/>
            <rFont val="Arial"/>
            <family val="2"/>
          </rPr>
          <t xml:space="preserve">Колонны 600×600 × (4,0 − 0,12), включая узел с ригелем.</t>
        </r>
      </text>
    </comment>
    <comment ref="D77" authorId="0">
      <text>
        <r>
          <rPr>
            <sz val="10"/>
            <rFont val="Arial"/>
            <family val="2"/>
          </rPr>
          <t xml:space="preserve">Колонны 600×600 × (3,6 − 0,12), включая узел с ригелем.</t>
        </r>
      </text>
    </comment>
    <comment ref="D123" authorId="0">
      <text>
        <r>
          <rPr>
            <sz val="10"/>
            <rFont val="Arial"/>
            <family val="2"/>
          </rPr>
          <t xml:space="preserve">Колонны 600×600 × (3,6 − 0,12), включая узел с ригелем.</t>
        </r>
      </text>
    </comment>
    <comment ref="D169" authorId="0">
      <text>
        <r>
          <rPr>
            <sz val="10"/>
            <rFont val="Arial"/>
            <family val="2"/>
          </rPr>
          <t xml:space="preserve">Колонны 600×600 × (3,6 − 0,12), включая узел с ригелем.</t>
        </r>
      </text>
    </comment>
    <comment ref="D215" authorId="0">
      <text>
        <r>
          <rPr>
            <sz val="10"/>
            <rFont val="Arial"/>
            <family val="2"/>
          </rPr>
          <t xml:space="preserve">Колонны 600×600 × (3,6 − 0,12), включая узел с ригелем.</t>
        </r>
      </text>
    </comment>
    <comment ref="E31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41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(АС-31 Б-Б «Аш-... свыше Ø20»).</t>
        </r>
      </text>
    </comment>
    <comment ref="E77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87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(АС-31 Б-Б «Аш-... свыше Ø20»).</t>
        </r>
      </text>
    </comment>
    <comment ref="E123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133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(АС-31 Б-Б «Аш-... свыше Ø20»).</t>
        </r>
      </text>
    </comment>
    <comment ref="E169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179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(АС-31 Б-Б «Аш-... свыше Ø20»).</t>
        </r>
      </text>
    </comment>
    <comment ref="E215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225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(АС-31 Б-Б «Аш-... свыше Ø20»).</t>
        </r>
      </text>
    </comment>
    <comment ref="S40" authorId="0">
      <text>
        <r>
          <rPr>
            <sz val="10"/>
            <rFont val="Arial"/>
            <family val="2"/>
          </rPr>
          <t xml:space="preserve">Аш балок плиты (АС-57 узел «1», АС-56 узел «Б»): на концах 2 верхних + 2 нижних стержней балки, заходящих в ригель. Ø25: VB1–VB4, HB1, HB2, HB3a, HB3b — по 2 конца, B2a, B2b — по 1 = 18 концов × 4 = 72 шт. Ø20 (Аш-4): B4b, B4c, B4d (+B4e со 2 этажа) — по 1 концу. Ø22 (Аш-5, 1–4 этаж): краевые балки эркеров — 9 концов × 4 = 36 (уточнить). Концы балок на других балках — узла нет, не включены.</t>
        </r>
      </text>
    </comment>
    <comment ref="S86" authorId="0">
      <text>
        <r>
          <rPr>
            <sz val="10"/>
            <rFont val="Arial"/>
            <family val="2"/>
          </rPr>
          <t xml:space="preserve">Аш балок плиты (АС-57 узел «1», АС-56 узел «Б»): на концах 2 верхних + 2 нижних стержней балки, заходящих в ригель. Ø25: VB1–VB4, HB1, HB2, HB3a, HB3b — по 2 конца, B2a, B2b — по 1 = 18 концов × 4 = 72 шт. Ø20 (Аш-4): B4b, B4c, B4d (+B4e со 2 этажа) — по 1 концу. Ø22 (Аш-5, 1–4 этаж): краевые балки эркеров — 9 концов × 4 = 36 (уточнить). Концы балок на других балках — узла нет, не включены.</t>
        </r>
      </text>
    </comment>
    <comment ref="S132" authorId="0">
      <text>
        <r>
          <rPr>
            <sz val="10"/>
            <rFont val="Arial"/>
            <family val="2"/>
          </rPr>
          <t xml:space="preserve">Аш балок плиты (АС-57 узел «1», АС-56 узел «Б»): на концах 2 верхних + 2 нижних стержней балки, заходящих в ригель. Ø25: VB1–VB4, HB1, HB2, HB3a, HB3b — по 2 конца, B2a, B2b — по 1 = 18 концов × 4 = 72 шт. Ø20 (Аш-4): B4b, B4c, B4d (+B4e со 2 этажа) — по 1 концу. Ø22 (Аш-5, 1–4 этаж): краевые балки эркеров — 9 концов × 4 = 36 (уточнить). Концы балок на других балках — узла нет, не включены.</t>
        </r>
      </text>
    </comment>
    <comment ref="S178" authorId="0">
      <text>
        <r>
          <rPr>
            <sz val="10"/>
            <rFont val="Arial"/>
            <family val="2"/>
          </rPr>
          <t xml:space="preserve">Аш балок плиты (АС-57 узел «1», АС-56 узел «Б»): на концах 2 верхних + 2 нижних стержней балки, заходящих в ригель. Ø25: VB1–VB4, HB1, HB2, HB3a, HB3b — по 2 конца, B2a, B2b — по 1 = 18 концов × 4 = 72 шт. Ø20 (Аш-4): B4b, B4c, B4d (+B4e со 2 этажа) — по 1 концу. Ø22 (Аш-5, 1–4 этаж): краевые балки эркеров — 9 концов × 4 = 36 (уточнить). Концы балок на других балках — узла нет, не включены.</t>
        </r>
      </text>
    </comment>
    <comment ref="S224" authorId="0">
      <text>
        <r>
          <rPr>
            <sz val="10"/>
            <rFont val="Arial"/>
            <family val="2"/>
          </rPr>
          <t xml:space="preserve">Аш балок плиты (АС-57 узел «1», АС-56 узел «Б»): на концах 2 верхних + 2 нижних стержней балки, заходящих в ригель. Ø25: VB1–VB4, HB1, HB2, HB3a, HB3b — по 2 конца, B2a, B2b — по 1 = 18 концов × 4 = 72 шт. Ø20 (Аш-4): B4b, B4c, B4d (+B4e со 2 этажа) — по 1 концу. Ø22 (Аш-5, 1–4 этаж): краевые балки эркеров — 9 концов × 4 = 36 (уточнить). Концы балок на других балках — узла нет, не включены.</t>
        </r>
      </text>
    </comment>
    <comment ref="V31" authorId="0">
      <text>
        <r>
          <rPr>
            <sz val="10"/>
            <rFont val="Arial"/>
            <family val="2"/>
          </rPr>
          <t xml:space="preserve">Площадь плиты по контуру АС-47 за вычетом проёмов = 542.03 м² × 0,12 м.</t>
        </r>
      </text>
    </comment>
    <comment ref="V77" authorId="0">
      <text>
        <r>
          <rPr>
            <sz val="10"/>
            <rFont val="Arial"/>
            <family val="2"/>
          </rPr>
          <t xml:space="preserve">Площадь плиты по контуру АС-48 за вычетом проёмов = 541.54 м² × 0,12 м.</t>
        </r>
      </text>
    </comment>
    <comment ref="V123" authorId="0">
      <text>
        <r>
          <rPr>
            <sz val="10"/>
            <rFont val="Arial"/>
            <family val="2"/>
          </rPr>
          <t xml:space="preserve">Площадь плиты по контуру АС-48 за вычетом проёмов = 541.54 м² × 0,12 м.</t>
        </r>
      </text>
    </comment>
    <comment ref="V169" authorId="0">
      <text>
        <r>
          <rPr>
            <sz val="10"/>
            <rFont val="Arial"/>
            <family val="2"/>
          </rPr>
          <t xml:space="preserve">Площадь плиты по контуру АС-48 за вычетом проёмов = 541.54 м² × 0,12 м.</t>
        </r>
      </text>
    </comment>
    <comment ref="V215" authorId="0">
      <text>
        <r>
          <rPr>
            <sz val="10"/>
            <rFont val="Arial"/>
            <family val="2"/>
          </rPr>
          <t xml:space="preserve">Площадь плиты по контуру АС-52, без эркеров за вычетом проёмов = 506.76 м² × 0,12 м.</t>
        </r>
      </text>
    </comment>
    <comment ref="AD40" authorId="0">
      <text>
        <r>
          <rPr>
            <sz val="10"/>
            <rFont val="Arial"/>
            <family val="2"/>
          </rPr>
          <t xml:space="preserve">АС-68 узел «2»: «Аш-6» на концах 18Ø18 у балки. По таблице АС-33 для Ø18 — Аш-3. Посчитано как Аш-6 по узлу — уточнить.</t>
        </r>
      </text>
    </comment>
    <comment ref="AG40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  <comment ref="AG86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  <comment ref="AG132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  <comment ref="AG178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  <comment ref="AG224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</commentList>
</comments>
</file>

<file path=xl/sharedStrings.xml><?xml version="1.0" encoding="utf-8"?>
<sst xmlns="http://schemas.openxmlformats.org/spreadsheetml/2006/main" count="27893" uniqueCount="2538">
  <si>
    <t xml:space="preserve">Блок 14, ул. Токомбаева — потребность по этажам</t>
  </si>
  <si>
    <t xml:space="preserve">Арматура (чистая проектная масса, без запаса)</t>
  </si>
  <si>
    <t xml:space="preserve">Диаметр</t>
  </si>
  <si>
    <t xml:space="preserve">Ед. изм.</t>
  </si>
  <si>
    <t xml:space="preserve">1 этаж (-0.050…+3.950)</t>
  </si>
  <si>
    <t xml:space="preserve">2 этаж (+3.950…+7.550)</t>
  </si>
  <si>
    <t xml:space="preserve">3 этаж (+7.550…+11.150)</t>
  </si>
  <si>
    <t xml:space="preserve">4 этаж (+11.150…+14.750)</t>
  </si>
  <si>
    <t xml:space="preserve">5 этаж (+14.750…+18.350)</t>
  </si>
  <si>
    <t xml:space="preserve">Итого 1–5 этаж</t>
  </si>
  <si>
    <t xml:space="preserve">Итого × К зап</t>
  </si>
  <si>
    <t xml:space="preserve">Заказ (раскрой поэтажно под прутки 11,7 м)</t>
  </si>
  <si>
    <t xml:space="preserve">Колонны, диафрагмы</t>
  </si>
  <si>
    <t xml:space="preserve">Плита перекрытия, балки, ригели, С-1</t>
  </si>
  <si>
    <t xml:space="preserve">Лестницы и лест. рамы</t>
  </si>
  <si>
    <t xml:space="preserve">Прутков 11,7 м, шт</t>
  </si>
  <si>
    <t xml:space="preserve">Масса заказа, кг</t>
  </si>
  <si>
    <t xml:space="preserve">Отход, %</t>
  </si>
  <si>
    <t xml:space="preserve">Диаметр 32 А500С</t>
  </si>
  <si>
    <t xml:space="preserve">кг</t>
  </si>
  <si>
    <t xml:space="preserve">Диаметр 28 А500С</t>
  </si>
  <si>
    <t xml:space="preserve">Диаметр 25 А500С</t>
  </si>
  <si>
    <t xml:space="preserve">Диаметр 22 А500С</t>
  </si>
  <si>
    <t xml:space="preserve">Диаметр 20 А500С</t>
  </si>
  <si>
    <t xml:space="preserve">Диаметр 18 А500С</t>
  </si>
  <si>
    <t xml:space="preserve">Диаметр 16 А500С</t>
  </si>
  <si>
    <t xml:space="preserve">Диаметр 14 А500С</t>
  </si>
  <si>
    <t xml:space="preserve">Диаметр 12 А500С</t>
  </si>
  <si>
    <t xml:space="preserve">Диаметр 10 А500С</t>
  </si>
  <si>
    <t xml:space="preserve">Диаметр 8 А500С</t>
  </si>
  <si>
    <t xml:space="preserve">Диаметр 16 А240</t>
  </si>
  <si>
    <t xml:space="preserve">Диаметр 12 А240</t>
  </si>
  <si>
    <t xml:space="preserve">Диаметр 10 А240</t>
  </si>
  <si>
    <t xml:space="preserve">Диаметр 8 А240</t>
  </si>
  <si>
    <t xml:space="preserve">Диаметр 6 А240</t>
  </si>
  <si>
    <t xml:space="preserve">Сетка Ø5 Вр-I 100×100 (лестница)</t>
  </si>
  <si>
    <t xml:space="preserve">Итого:</t>
  </si>
  <si>
    <t xml:space="preserve">т</t>
  </si>
  <si>
    <t xml:space="preserve">Итого по этажу, кг</t>
  </si>
  <si>
    <t xml:space="preserve">Контроль: = «Ведомость» и «По осям»</t>
  </si>
  <si>
    <t xml:space="preserve">← должно быть 0</t>
  </si>
  <si>
    <t xml:space="preserve">Бетон</t>
  </si>
  <si>
    <t xml:space="preserve">Марка</t>
  </si>
  <si>
    <t xml:space="preserve">В25</t>
  </si>
  <si>
    <t xml:space="preserve">м3</t>
  </si>
  <si>
    <t xml:space="preserve">Прочие материалы</t>
  </si>
  <si>
    <t xml:space="preserve">Наименование</t>
  </si>
  <si>
    <t xml:space="preserve">Основание / как посчитано</t>
  </si>
  <si>
    <t xml:space="preserve">Анкерная шайба АШ-1 (14)</t>
  </si>
  <si>
    <t xml:space="preserve">шт.</t>
  </si>
  <si>
    <t xml:space="preserve">верх Дм на 5 этаже (Ø14)</t>
  </si>
  <si>
    <t xml:space="preserve">Анкерная шайба АШ-2 (16)</t>
  </si>
  <si>
    <t xml:space="preserve">верх Дм на 5 этаже (Ø16)</t>
  </si>
  <si>
    <t xml:space="preserve">Анкерная шайба АШ-3 (18)</t>
  </si>
  <si>
    <t xml:space="preserve">верх Дм на 5 этаже (Ø18)</t>
  </si>
  <si>
    <t xml:space="preserve">Анкерная шайба АШ-4 (20)</t>
  </si>
  <si>
    <t xml:space="preserve">верх колонн/Дм 5 этажа (Ø20); концы балок Б-4 у ригелей (АС-57 узел «1»)</t>
  </si>
  <si>
    <t xml:space="preserve">Анкерная шайба АШ-5 (22)</t>
  </si>
  <si>
    <t xml:space="preserve">ОС Ø22 у торцов рам; концы краевых балок эркеров (1–4 этаж, уточнить); верх Дм 5 этажа</t>
  </si>
  <si>
    <t xml:space="preserve">Анкерная шайба АШ-6 (25)</t>
  </si>
  <si>
    <t xml:space="preserve">ОС Ø25 у торцов рам (АС-31 Б-Б «свыше Ø20»); концы балок Ø25 у ригелей (узел «1»: 2 верх + 2 низ); Лрм — 16 (АС-69); марш 1 — 18 (АС-68)</t>
  </si>
  <si>
    <t xml:space="preserve">Анкерная шайба АШ-7 (28)</t>
  </si>
  <si>
    <t xml:space="preserve">4Ø28 ригелей × 2 торца + ОС Ø28 у торцов; верх колонн/Дм 5 этажа</t>
  </si>
  <si>
    <t xml:space="preserve">Анкерная шайба АШ-8 (32)</t>
  </si>
  <si>
    <t xml:space="preserve">верх колонн 5 этажа (Ø32)</t>
  </si>
  <si>
    <t xml:space="preserve">Масса анкерных шайб (справочно)</t>
  </si>
  <si>
    <t xml:space="preserve">шт × масса 1 шт по таблице АС-33 (лист «Исходные»)</t>
  </si>
  <si>
    <t xml:space="preserve">Ванночка d32 (= стыков ванной сварки)</t>
  </si>
  <si>
    <t xml:space="preserve">вертикали Дм и колонн Ø≥20 — 1 стык на стержень на этаж; ригели и балки &gt; 11,7 м — стыки прутков. АС-19 прим.1: «в инвентарной медной форме» — форма многоразовая; стальная ванночка — только если её применяет подрядчик</t>
  </si>
  <si>
    <t xml:space="preserve">Ванночка d28 (= стыков ванной сварки)</t>
  </si>
  <si>
    <t xml:space="preserve">то же</t>
  </si>
  <si>
    <t xml:space="preserve">Ванночка d25 (= стыков ванной сварки)</t>
  </si>
  <si>
    <t xml:space="preserve">Ванночка d22 (= стыков ванной сварки)</t>
  </si>
  <si>
    <t xml:space="preserve">Ванночка d20 (= стыков ванной сварки)</t>
  </si>
  <si>
    <t xml:space="preserve">Электроды</t>
  </si>
  <si>
    <t xml:space="preserve">масса арматуры колонки (лист выше, «Итого кг») × К зап / 1000 × норма 7 кг/т (ваш шаблон)</t>
  </si>
  <si>
    <t xml:space="preserve">Вязальная проволока</t>
  </si>
  <si>
    <t xml:space="preserve">масса × К зап / 1000 × 11 кг/т (ваш шаблон)</t>
  </si>
  <si>
    <t xml:space="preserve">Гвозди 100 мм</t>
  </si>
  <si>
    <t xml:space="preserve">250 кг на этаж 18×18 × площадь этажа / 324</t>
  </si>
  <si>
    <t xml:space="preserve">Гвозди 70 мм</t>
  </si>
  <si>
    <t xml:space="preserve">100 кг на этаж 18×18 × площадь этажа / 324</t>
  </si>
  <si>
    <t xml:space="preserve">Гвозди — справочно: сметная норма ГЭСН (не складывать)</t>
  </si>
  <si>
    <t xml:space="preserve">объём бетона × норма ГЭСН на 100 м³ (колонны 45, диафрагмы 85,6, перекрытие ребристое 116, лестницы 78,4 кг) — нижняя граница при оборачиваемой опалубке</t>
  </si>
  <si>
    <t xml:space="preserve">Анкер А-1 (Ø16 А240)</t>
  </si>
  <si>
    <t xml:space="preserve">АС-69 «Привязка Анкер А-1» — 2 шт на раму Лрм (в шаблоне было 4 в «Колонны»); масса уже в арматуре Ø16 А240</t>
  </si>
  <si>
    <t xml:space="preserve">Закладная Зд-1 (уголок ∟125×10, L=120)</t>
  </si>
  <si>
    <t xml:space="preserve">АС-67 узел «1», «Зд-1» — 2 шт на площадку; анкеры 4Ø10 L=480 уже в арматуре</t>
  </si>
  <si>
    <t xml:space="preserve">Пенопласт t=100 мм</t>
  </si>
  <si>
    <t xml:space="preserve">м²</t>
  </si>
  <si>
    <t xml:space="preserve">в чертежах КЖ (АС-19…АС-69) не предусмотрен; в шаблоне строка пустая</t>
  </si>
  <si>
    <t xml:space="preserve">П/лес обрезной</t>
  </si>
  <si>
    <t xml:space="preserve">м³</t>
  </si>
  <si>
    <t xml:space="preserve">опалубка — в КЖ нет; ТРЕБУЕТСЯ УТОЧНЕНИЕ (по ППР / норме участка; в шаблоне пусто)</t>
  </si>
  <si>
    <t xml:space="preserve">Пена монтажная</t>
  </si>
  <si>
    <t xml:space="preserve">баллон</t>
  </si>
  <si>
    <t xml:space="preserve">норма на этаж 18×18 (324 м²) × площадь этажа Блока 14 / 324 (≈ ×1,67; 5 этаж ×1,56)</t>
  </si>
  <si>
    <t xml:space="preserve">Труба квадратная 25×25×0,8</t>
  </si>
  <si>
    <t xml:space="preserve">м</t>
  </si>
  <si>
    <t xml:space="preserve">Бур по бетону 260×12</t>
  </si>
  <si>
    <t xml:space="preserve">Диск по дереву 180/230</t>
  </si>
  <si>
    <t xml:space="preserve">Вулканит</t>
  </si>
  <si>
    <t xml:space="preserve">масса × К зап / 1000 × 2 шт/т (ваш шаблон), округл. до целого</t>
  </si>
  <si>
    <t xml:space="preserve">Дюбель-гвоздь для бетона 4,5×50</t>
  </si>
  <si>
    <t xml:space="preserve">Битумная мастика</t>
  </si>
  <si>
    <t xml:space="preserve">в шаблоне — только фундамент (600 кг); на этажах 1–5 в КЖ не предусмотрена</t>
  </si>
  <si>
    <t xml:space="preserve">Рулонная гидроизоляция (толь, 2 слоя)</t>
  </si>
  <si>
    <t xml:space="preserve">АС-67 узел «1»: «проложить 2 слоя толи» под площадку на Лрм — 2 × 0,3 × 2,89 м (РАЗМЕР ПРИНЯТ, уточнить)</t>
  </si>
  <si>
    <t xml:space="preserve">Примечания:</t>
  </si>
  <si>
    <t xml:space="preserve">1. Колонки этажей — чистая проектная масса (с нахлёстами, где они нужны), без запаса. «Итого × К зап» — с коэффициентом из листа «Исходные» (1,07, как в вашем шаблоне).</t>
  </si>
  <si>
    <t xml:space="preserve">2. Заказ — по фактическому раскрою под прутки 11,7 м поэтажно (лист «Раскрой 11,7м»); при совместном заказе этажей прутков меньше (там же, колонка «Справочно»).</t>
  </si>
  <si>
    <t xml:space="preserve">3. Сетки-гребёнки С-1 отнесены к «плите, балкам, ригелям». Лестница: 1 этаж — марши 1, 2, площадка 1.920, Лрм-1; 2 этаж — марши 3, 4, площадка 5.800; 3 этаж — марши 5, 6, площадка 9.400; 4 этаж — марши 7, 8, площадка 13.000; 5 этаж — марши 9, 10, площадка 16.600 (выше 1 этажа — рама Лрм-2).</t>
  </si>
  <si>
    <t xml:space="preserve">4. Сомнительные места и принятые допущения — лист «Проверки».</t>
  </si>
  <si>
    <t xml:space="preserve">Блок 14, ул. Токомбаева — подсчёт арматуры по осям: 1–5 этаж (м.п. → кг)</t>
  </si>
  <si>
    <t xml:space="preserve">К зап</t>
  </si>
  <si>
    <t xml:space="preserve">К зап бетон</t>
  </si>
  <si>
    <t xml:space="preserve">м.п. в ячейке — формула из чисел: «кол-во стержней × длина 1 шт» по каждой позиции (расшифровка позиций — лист «Ведомость»); Всего = м.п. × кг/м × К зап; чистая масса без запаса — отдельной строкой</t>
  </si>
  <si>
    <t xml:space="preserve">1 ЭТАЖ</t>
  </si>
  <si>
    <t xml:space="preserve">Рамы</t>
  </si>
  <si>
    <t xml:space="preserve">Балки</t>
  </si>
  <si>
    <t xml:space="preserve">Перекрытие</t>
  </si>
  <si>
    <t xml:space="preserve">Сетки С-1</t>
  </si>
  <si>
    <t xml:space="preserve">Лестничный марш</t>
  </si>
  <si>
    <t xml:space="preserve">Ригели, балки, плита, С-1</t>
  </si>
  <si>
    <t xml:space="preserve">Лестницы</t>
  </si>
  <si>
    <t xml:space="preserve">На отметке -0.050…+3.950</t>
  </si>
  <si>
    <t xml:space="preserve">По оси А</t>
  </si>
  <si>
    <t xml:space="preserve">По оси Б</t>
  </si>
  <si>
    <t xml:space="preserve">По оси В</t>
  </si>
  <si>
    <t xml:space="preserve">По оси Г</t>
  </si>
  <si>
    <t xml:space="preserve">По оси 1/5</t>
  </si>
  <si>
    <t xml:space="preserve">По оси 2</t>
  </si>
  <si>
    <t xml:space="preserve">По оси 3</t>
  </si>
  <si>
    <t xml:space="preserve">По оси 4</t>
  </si>
  <si>
    <t xml:space="preserve">Основная</t>
  </si>
  <si>
    <t xml:space="preserve">Хомуты</t>
  </si>
  <si>
    <t xml:space="preserve">Допник</t>
  </si>
  <si>
    <t xml:space="preserve">Отверстия</t>
  </si>
  <si>
    <t xml:space="preserve">Край</t>
  </si>
  <si>
    <t xml:space="preserve">Парапет</t>
  </si>
  <si>
    <t xml:space="preserve">С-1</t>
  </si>
  <si>
    <t xml:space="preserve">Л1</t>
  </si>
  <si>
    <t xml:space="preserve">Л2</t>
  </si>
  <si>
    <t xml:space="preserve">Площадка</t>
  </si>
  <si>
    <t xml:space="preserve">Рама</t>
  </si>
  <si>
    <t xml:space="preserve">Масса ед. кг</t>
  </si>
  <si>
    <t xml:space="preserve">Всего</t>
  </si>
  <si>
    <t xml:space="preserve">(1 этаж)</t>
  </si>
  <si>
    <t xml:space="preserve">Дм-1</t>
  </si>
  <si>
    <t xml:space="preserve">Дм-2</t>
  </si>
  <si>
    <t xml:space="preserve">К 1-1 (3)</t>
  </si>
  <si>
    <t xml:space="preserve">Ригель 4-4</t>
  </si>
  <si>
    <t xml:space="preserve">К 1-1 (5)</t>
  </si>
  <si>
    <t xml:space="preserve">К 1-1 (2)</t>
  </si>
  <si>
    <t xml:space="preserve">Дм-3</t>
  </si>
  <si>
    <t xml:space="preserve">Дм-4</t>
  </si>
  <si>
    <t xml:space="preserve">Дм-5</t>
  </si>
  <si>
    <t xml:space="preserve">Ригель 5-5 (×2)</t>
  </si>
  <si>
    <t xml:space="preserve">Ригель 5-5</t>
  </si>
  <si>
    <t xml:space="preserve">Ø18 L=1200</t>
  </si>
  <si>
    <t xml:space="preserve">Ф-1, шп.</t>
  </si>
  <si>
    <t xml:space="preserve">Низ</t>
  </si>
  <si>
    <t xml:space="preserve">Верх</t>
  </si>
  <si>
    <t xml:space="preserve">сеч.6-6</t>
  </si>
  <si>
    <t xml:space="preserve">—</t>
  </si>
  <si>
    <t xml:space="preserve">200 шт</t>
  </si>
  <si>
    <t xml:space="preserve">марш 1</t>
  </si>
  <si>
    <t xml:space="preserve">марш 2</t>
  </si>
  <si>
    <t xml:space="preserve">отм. 1.920</t>
  </si>
  <si>
    <t xml:space="preserve">Лрм-1</t>
  </si>
  <si>
    <t xml:space="preserve">(м.п.)</t>
  </si>
  <si>
    <t xml:space="preserve">Арматура, (м.п.)</t>
  </si>
  <si>
    <t xml:space="preserve">Диаметр 32 А500С, L=м.п.</t>
  </si>
  <si>
    <t xml:space="preserve">Диаметр 28 А500С, L=м.п.</t>
  </si>
  <si>
    <t xml:space="preserve">Диаметр 25 А500С, L=м.п.</t>
  </si>
  <si>
    <t xml:space="preserve">Диаметр 22 А500С, L=м.п.</t>
  </si>
  <si>
    <t xml:space="preserve">Диаметр 20 А500С, L=м.п.</t>
  </si>
  <si>
    <t xml:space="preserve">Диаметр 18 А500С, L=м.п.</t>
  </si>
  <si>
    <t xml:space="preserve">Диаметр 16 А500С, L=м.п.</t>
  </si>
  <si>
    <t xml:space="preserve">Диаметр 14 А500С, L=м.п.</t>
  </si>
  <si>
    <t xml:space="preserve">Диаметр 12 А500С, L=м.п.</t>
  </si>
  <si>
    <t xml:space="preserve">Диаметр 10 А500С, L=м.п.</t>
  </si>
  <si>
    <t xml:space="preserve">Диаметр 8 А500С, L=м.п.</t>
  </si>
  <si>
    <t xml:space="preserve">Диаметр 16 А240, L=м.п.</t>
  </si>
  <si>
    <t xml:space="preserve">Диаметр 12 А240, L=м.п.</t>
  </si>
  <si>
    <t xml:space="preserve">Диаметр 10 А240, L=м.п.</t>
  </si>
  <si>
    <t xml:space="preserve">Диаметр 8 А240, L=м.п.</t>
  </si>
  <si>
    <t xml:space="preserve">Диаметр 6 А240, L=м.п.</t>
  </si>
  <si>
    <t xml:space="preserve">Сетка Ø5 Вр-I 100×100, м²</t>
  </si>
  <si>
    <t xml:space="preserve">Масса чистая (без К зап), кг</t>
  </si>
  <si>
    <t xml:space="preserve">Всего с К зап, кг</t>
  </si>
  <si>
    <t xml:space="preserve">Итого (кг):</t>
  </si>
  <si>
    <t xml:space="preserve">Итого (т):</t>
  </si>
  <si>
    <t xml:space="preserve">Контроль: чистая масса = «Ведомость», 1 этаж</t>
  </si>
  <si>
    <t xml:space="preserve">Бетон, (м3)</t>
  </si>
  <si>
    <t xml:space="preserve">Бетон В25, м3</t>
  </si>
  <si>
    <t xml:space="preserve">Удельный расход (чистый), кг/м³</t>
  </si>
  <si>
    <t xml:space="preserve">Прочие материалы, (шт.)</t>
  </si>
  <si>
    <t xml:space="preserve">АШ-1, д14, шт.</t>
  </si>
  <si>
    <t xml:space="preserve">АШ-2, д16, шт.</t>
  </si>
  <si>
    <t xml:space="preserve">АШ-3, д18, шт.</t>
  </si>
  <si>
    <t xml:space="preserve">АШ-4, д20, шт.</t>
  </si>
  <si>
    <t xml:space="preserve">АШ-5, д22, шт.</t>
  </si>
  <si>
    <t xml:space="preserve">АШ-6, д25, шт.</t>
  </si>
  <si>
    <t xml:space="preserve">АШ-7, д28, шт.</t>
  </si>
  <si>
    <t xml:space="preserve">АШ-8, д32, шт.</t>
  </si>
  <si>
    <t xml:space="preserve">ВН32, шт. (стыки ванной сваркой)</t>
  </si>
  <si>
    <t xml:space="preserve">ВН28, шт. (стыки ванной сваркой)</t>
  </si>
  <si>
    <t xml:space="preserve">ВН25, шт. (стыки ванной сваркой)</t>
  </si>
  <si>
    <t xml:space="preserve">ВН22, шт. (стыки ванной сваркой)</t>
  </si>
  <si>
    <t xml:space="preserve">ВН20, шт. (стыки ванной сваркой)</t>
  </si>
  <si>
    <t xml:space="preserve">2 ЭТАЖ</t>
  </si>
  <si>
    <t xml:space="preserve">На отметке +3.950…+7.550</t>
  </si>
  <si>
    <t xml:space="preserve">(2 этаж)</t>
  </si>
  <si>
    <t xml:space="preserve">К 1-1 (2) + 2-2 (1)</t>
  </si>
  <si>
    <t xml:space="preserve">К 1-1 (4) + 2-2 (1)</t>
  </si>
  <si>
    <t xml:space="preserve">К 2-2 (2)</t>
  </si>
  <si>
    <t xml:space="preserve">марш 3</t>
  </si>
  <si>
    <t xml:space="preserve">марш 4</t>
  </si>
  <si>
    <t xml:space="preserve">отм. 5.800</t>
  </si>
  <si>
    <t xml:space="preserve">Лрм-2</t>
  </si>
  <si>
    <t xml:space="preserve">Контроль: чистая масса = «Ведомость», 2 этаж</t>
  </si>
  <si>
    <t xml:space="preserve">3 ЭТАЖ</t>
  </si>
  <si>
    <t xml:space="preserve">На отметке +7.550…+11.150</t>
  </si>
  <si>
    <t xml:space="preserve">(3 этаж)</t>
  </si>
  <si>
    <t xml:space="preserve">марш 5</t>
  </si>
  <si>
    <t xml:space="preserve">марш 6</t>
  </si>
  <si>
    <t xml:space="preserve">отм. 9.400</t>
  </si>
  <si>
    <t xml:space="preserve">Контроль: чистая масса = «Ведомость», 3 этаж</t>
  </si>
  <si>
    <t xml:space="preserve">4 ЭТАЖ</t>
  </si>
  <si>
    <t xml:space="preserve">На отметке +11.150…+14.750</t>
  </si>
  <si>
    <t xml:space="preserve">(4 этаж)</t>
  </si>
  <si>
    <t xml:space="preserve">марш 7</t>
  </si>
  <si>
    <t xml:space="preserve">марш 8</t>
  </si>
  <si>
    <t xml:space="preserve">отм. 13.000</t>
  </si>
  <si>
    <t xml:space="preserve">Контроль: чистая масса = «Ведомость», 4 этаж</t>
  </si>
  <si>
    <t xml:space="preserve">5 ЭТАЖ</t>
  </si>
  <si>
    <t xml:space="preserve">На отметке +14.750…+18.350</t>
  </si>
  <si>
    <t xml:space="preserve">(5 этаж)</t>
  </si>
  <si>
    <t xml:space="preserve">К 1-1 (4) + 3-3 (1)</t>
  </si>
  <si>
    <t xml:space="preserve">+ учащение</t>
  </si>
  <si>
    <t xml:space="preserve">выпуски 2Ø14</t>
  </si>
  <si>
    <t xml:space="preserve">марш 9</t>
  </si>
  <si>
    <t xml:space="preserve">марш 10</t>
  </si>
  <si>
    <t xml:space="preserve">отм. 16.600</t>
  </si>
  <si>
    <t xml:space="preserve">Контроль: чистая масса = «Ведомость», 5 этаж</t>
  </si>
  <si>
    <t xml:space="preserve">1. Порядок колонок — как в вашем шаблоне «Лист1»: ось А (Дм-1, Дм-2, колонны, ригель) → ось Б → ось В → ось Г (колонны, Дм-3, Дм-4, Дм-5, ригель) → ригели по цифровым осям → балки → перекрытие → С-1 → лестница.</t>
  </si>
  <si>
    <t xml:space="preserve">2. Добавлены колонки: «Край» плиты (2Ø14 сеч.6-6 + пешки), «С-1» (сетки-гребёнки) и «Площадка» лестницы — в шаблоне для них места не было.</t>
  </si>
  <si>
    <t xml:space="preserve">3. Ригель «1/5» — две рамы (оси 1 и 5, лист АС-24) — ×2. Колонны: К 1-1 / К 2-2 (кол-во в скобках) — без колонн в составе Дм.</t>
  </si>
  <si>
    <t xml:space="preserve">4. Ванная сварка: вертикали Дм и колонн Ø≥20 — 1 стык на стержень на этаж; продольные Ø28 ригелей и Ø25 балок &gt; 11,7 м — стыки прутков.</t>
  </si>
  <si>
    <t xml:space="preserve">5. Отверстия: отдельного армирования нет — проёмы обрамлены балками 2-2, 4-4, 5-5 (в «Балки»).</t>
  </si>
  <si>
    <t xml:space="preserve">Сверка с расчётом коллеги ПТО — 1 этаж, Блок 14 (по 2 этажу данных коллеги нет)</t>
  </si>
  <si>
    <t xml:space="preserve">К(зап) в таблице коллеги (предположение, как в образце 1,07):</t>
  </si>
  <si>
    <t xml:space="preserve">Данные коллеги — синие (скриншот, колонки «1 этаж: вертикалка / перекрытие»); мои — формулы с листа «потребность» (1 этаж) × К(зап).</t>
  </si>
  <si>
    <t xml:space="preserve">Коллега: вертикалка, кг</t>
  </si>
  <si>
    <t xml:space="preserve">Коллега: перекрытие, кг</t>
  </si>
  <si>
    <t xml:space="preserve">Коллега: всего, кг</t>
  </si>
  <si>
    <t xml:space="preserve">Мой ×К: вертикалка (колонны, Дм), кг</t>
  </si>
  <si>
    <t xml:space="preserve">Мой ×К: перекрытие (плита, балки, ригели, ЛВ-1, С-1), кг</t>
  </si>
  <si>
    <t xml:space="preserve">Мой ×К: всего, кг</t>
  </si>
  <si>
    <t xml:space="preserve">Разница (коллега − мой), кг</t>
  </si>
  <si>
    <t xml:space="preserve">Разница, %</t>
  </si>
  <si>
    <t xml:space="preserve">Вероятная причина / что сверить</t>
  </si>
  <si>
    <t xml:space="preserve">У коллеги в «вертикалке» стержни сечения 2-2 (2 этаж) в «переходе» — см. сверку по элементам ниже.</t>
  </si>
  <si>
    <t xml:space="preserve">Лестница ЛВ-1 (Ø18) у меня в «перекрытии».</t>
  </si>
  <si>
    <t xml:space="preserve">Горизонтали Дм — у меня обе стены, у коллеги одна.</t>
  </si>
  <si>
    <t xml:space="preserve">У меня сетки-гребёнки С-1 (492 кг) и Ø10 лестницы.</t>
  </si>
  <si>
    <t xml:space="preserve">Хомуты Ø10 ригелей в заштрихованных зонах (поз.13, 15) — у коллеги нет.</t>
  </si>
  <si>
    <t xml:space="preserve">Зеркально к Ø10 А240.</t>
  </si>
  <si>
    <t xml:space="preserve">Сетка Ø5 Вр-I (лестн. С-1)</t>
  </si>
  <si>
    <t xml:space="preserve">Сетка С-1 лестницы — у коллеги нет.</t>
  </si>
  <si>
    <t xml:space="preserve">ИТОГО</t>
  </si>
  <si>
    <t xml:space="preserve">По сумме близко, но по диаметрам расхождения взаимно гасятся.</t>
  </si>
  <si>
    <t xml:space="preserve">Без К(зап): мой проектный расход 1 этажа, кг</t>
  </si>
  <si>
    <t xml:space="preserve">Коллега без К(зап) (если в его числах 1,07), кг</t>
  </si>
  <si>
    <t xml:space="preserve">СВЕРКА ПО ЭЛЕМЕНТАМ — файл коллеги «14.xlsx» (листы «верт 1», «перекр 1»), чистая масса без К(зап), кг</t>
  </si>
  <si>
    <t xml:space="preserve">Позиция</t>
  </si>
  <si>
    <t xml:space="preserve">Коллега, кг</t>
  </si>
  <si>
    <t xml:space="preserve">Источник у коллеги</t>
  </si>
  <si>
    <t xml:space="preserve">Мой расчёт, кг</t>
  </si>
  <si>
    <t xml:space="preserve">Причина расхождения (по чертежам)</t>
  </si>
  <si>
    <t xml:space="preserve">Колонны: вертикали 1-1 (4Ø32+8Ø20)</t>
  </si>
  <si>
    <t xml:space="preserve">«верт 1» стр.2–3, 8–9</t>
  </si>
  <si>
    <t xml:space="preserve">У коллеги 4 колонны по 3,6 м, 11 — по 4,0 м. Высота 1 этажа −0.050…+3.950 = 4,0 м.</t>
  </si>
  <si>
    <t xml:space="preserve">Колонны: хомуты поз.10, 11</t>
  </si>
  <si>
    <t xml:space="preserve">«верт 1» стр.4–5, 10–11</t>
  </si>
  <si>
    <t xml:space="preserve">Совпадает.</t>
  </si>
  <si>
    <t xml:space="preserve">Колонны: «переход 2-2» (4Ø28+8Ø20 L=2,0 × 4 шт)</t>
  </si>
  <si>
    <t xml:space="preserve">«верт 1» стр.6–7</t>
  </si>
  <si>
    <t xml:space="preserve">Сечение 2-2 — это 2 этаж: в этой книге посчитано во 2 этаже (колонны К 2-2).</t>
  </si>
  <si>
    <t xml:space="preserve">Дм-1…5: вертикали сеч.1-1</t>
  </si>
  <si>
    <t xml:space="preserve">«верт 1» блоки «дм-1…5»</t>
  </si>
  <si>
    <t xml:space="preserve">У коллеги L=3,6 м; на 1 этаже 4,0 м (+8d у Ø18).</t>
  </si>
  <si>
    <t xml:space="preserve">Дм-1…5: «переход 2-2» (L=4,0)</t>
  </si>
  <si>
    <t xml:space="preserve">«верт 1» блоки «переход 2-2»</t>
  </si>
  <si>
    <t xml:space="preserve">Стержни сечения 2-2 — 2 этаж (в этой книге — во 2 этаже, L=3,6 м).</t>
  </si>
  <si>
    <t xml:space="preserve">Дм: горизонтальные «Осн. стержни»</t>
  </si>
  <si>
    <t xml:space="preserve">«верт 1» стр.25, 47, 64, 98</t>
  </si>
  <si>
    <t xml:space="preserve">У коллеги по одной стене на Дм; по развёрткам — обе стены.</t>
  </si>
  <si>
    <t xml:space="preserve">Дм: доп. стержни у отм. −0.050</t>
  </si>
  <si>
    <t xml:space="preserve">нет</t>
  </si>
  <si>
    <t xml:space="preserve">«Доп. стержень 10Ø20 L=1950», «6Ø20 L=1200», «10Ø22 L=1300» и др. — у коллеги не учтены.</t>
  </si>
  <si>
    <t xml:space="preserve">Дм: хомуты, шпильки, П-образные</t>
  </si>
  <si>
    <t xml:space="preserve">Разное число внутренних хомутов и шпилек; поз.12* Ø8/Ø10.</t>
  </si>
  <si>
    <t xml:space="preserve">Ригели: продольные 4Ø28 + 2Ø18 + 2Ø16</t>
  </si>
  <si>
    <t xml:space="preserve">«перекр 1»</t>
  </si>
  <si>
    <t xml:space="preserve">У коллеги нахлёсты Ø28 (по АС-19 — ванная сварка встык).</t>
  </si>
  <si>
    <t xml:space="preserve">Ригели: ОС, Ос (бок)</t>
  </si>
  <si>
    <t xml:space="preserve">«перекр 1» по рамам</t>
  </si>
  <si>
    <t xml:space="preserve">Практически совпадает.</t>
  </si>
  <si>
    <t xml:space="preserve">Ригели: хомуты и шпильки</t>
  </si>
  <si>
    <t xml:space="preserve">«перекр 1» «поз 12, 16, 17»</t>
  </si>
  <si>
    <t xml:space="preserve">У коллеги все хомуты Ø8; в заштрихованных зонах — Ø10 поз.13/15.</t>
  </si>
  <si>
    <t xml:space="preserve">Балки монолитной плиты</t>
  </si>
  <si>
    <t xml:space="preserve">«перекр 1» стр.129–140</t>
  </si>
  <si>
    <t xml:space="preserve">Совпадает (±0,5 %).</t>
  </si>
  <si>
    <t xml:space="preserve">Плита: основная сетка + фиксаторы + шпильки</t>
  </si>
  <si>
    <t xml:space="preserve">«перекр 1» стр.153–156</t>
  </si>
  <si>
    <t xml:space="preserve">У меня нахлёсты сетки &gt; 11,7 м и эркеры по контуру АС-47.</t>
  </si>
  <si>
    <t xml:space="preserve">Плита: доп. стержни, край, пешки</t>
  </si>
  <si>
    <t xml:space="preserve">«перекр 1» стр.141–152</t>
  </si>
  <si>
    <t xml:space="preserve">У меня край плиты 2Ø14 (сеч.6-6) и 4 доп. Ø20 L=3000.</t>
  </si>
  <si>
    <t xml:space="preserve">Сетки-гребёнки С-1 (200 шт)</t>
  </si>
  <si>
    <t xml:space="preserve">У коллеги не учтены.</t>
  </si>
  <si>
    <t xml:space="preserve">Лестница ЛВ-1 + рама Лрм-1</t>
  </si>
  <si>
    <t xml:space="preserve">У коллеги не учтена.</t>
  </si>
  <si>
    <t xml:space="preserve">ИТОГО (без К(зап))</t>
  </si>
  <si>
    <t xml:space="preserve">Мой итог = «Ведомость», 1 этаж.</t>
  </si>
  <si>
    <t xml:space="preserve">Контроль: мой итог по элементам = «Ведомость» 1 этаж</t>
  </si>
  <si>
    <t xml:space="preserve">Исходные данные, нормативы и принятые допущения</t>
  </si>
  <si>
    <t xml:space="preserve">Объект</t>
  </si>
  <si>
    <t xml:space="preserve">5,7,9-эт. жилые дома с объектами СКБ, подземным автопаркингом и помещениями футбольной академии на 1 этажах, ул. Токомбаева (Блоки 11–15)</t>
  </si>
  <si>
    <t xml:space="preserve">Корпус/блок</t>
  </si>
  <si>
    <t xml:space="preserve">Блок 14 (проект ОсОО «Билд-Форм», стадия РП, раздел АС)</t>
  </si>
  <si>
    <t xml:space="preserve">1 этаж</t>
  </si>
  <si>
    <t xml:space="preserve">Дм-1…Дм-5 и 15 колонн от -0.050 до +3.950 (H=4,0 м, сечения 1-1); ригели и плита перекрытия +3.950 (АС-47); С-1; лестница ЛВ-1: марши 0.000→1.920→4.000, площадка 1.920, рама Лрм-1</t>
  </si>
  <si>
    <t xml:space="preserve">2 этаж</t>
  </si>
  <si>
    <t xml:space="preserve">Дм-1…Дм-5 и 15 колонн от +3.950 до +7.550 (H=3,6 м, сечения 2-2 / 3-3 «2 этаж»); ригели и плита перекрытия +7.550 (АС-48); С-1; лестница ЛВ-1: марши 4.000→5.800→7.600, площадка 5.800, рама Лрм-2</t>
  </si>
  <si>
    <t xml:space="preserve">Цель расчёта</t>
  </si>
  <si>
    <t xml:space="preserve">Чистый проектный расход + раскрой под прутки 11,7 м для заказа, поэтажно</t>
  </si>
  <si>
    <t xml:space="preserve">В25 (прим. АС-19, АС-34, АС-55)</t>
  </si>
  <si>
    <t xml:space="preserve">3 этаж</t>
  </si>
  <si>
    <t xml:space="preserve">Дм-1…Дм-5 и 15 колонн от +7.550 до +11.150 (H=3,6 м; Дм-1, Дм-2, Дм-5 — сечения «3÷5 этаж», Дм-3, Дм-4 — 2-2); ригели и плита перекрытия +11.150 (АС-48 «7.550÷14.750»); С-1; лестница ЛВ-1: марши 7.600→9.400→11.200, площадка 9.400, рама Лрм-2</t>
  </si>
  <si>
    <t xml:space="preserve">4 этаж</t>
  </si>
  <si>
    <t xml:space="preserve">Дм-1…Дм-5 и 15 колонн от +11.150 до +14.750 (H=3,6 м; Дм-1, 2, 5 — «3÷5 этаж», Дм-3 — 3-3 «4, 5 этаж», Дм-4 — 2-2 «2÷5»); ригели и плита +14.750 (АС-48 «7.550÷14.750»); С-1; лестница: марши 11.200→13.000→14.800, площадка 13.000, рама Лрм-2</t>
  </si>
  <si>
    <t xml:space="preserve">5 этаж (верхний)</t>
  </si>
  <si>
    <t xml:space="preserve">Дм-1…Дм-5 и 15 колонн от +14.750 до +18.350 (вертикали — от стыка до верха плиты: ½ L=2,75 м, ½ L=2,25 м, Аш; В/3, В/4 идут в надстройку — 3,6 м; Б/4 — сеч.3-3); ригели +18.350; плита покрытия +18.350 (АС-52, АС-54, без эркеров) с выпусками парапета; С-1; лестница: марши 14.800→16.600→18.400, площадка 16.600, рама Лрм-2. Надстройка выше +18.350 (лестн.-лифт. узел до +21.750) не входит.</t>
  </si>
  <si>
    <t xml:space="preserve">Арматура</t>
  </si>
  <si>
    <t xml:space="preserve">А500С, А240 по ГОСТ 34028-2016; сетка Ø5 Вр-I</t>
  </si>
  <si>
    <t xml:space="preserve">Параметры (синим — вводимые значения)</t>
  </si>
  <si>
    <t xml:space="preserve">Длина стандартного прутка, м</t>
  </si>
  <si>
    <t xml:space="preserve">К(зап) арматура</t>
  </si>
  <si>
    <t xml:space="preserve">как в вашем шаблоне (Лист1!AA2 = 1,07). Умножает только колонки «Всего» на листе «По осям». Чистая проектная масса (без запаса) показана отдельно везде.</t>
  </si>
  <si>
    <t xml:space="preserve">К(зап) бетон</t>
  </si>
  <si>
    <t xml:space="preserve">Теоретическая масса 1 м.п. (ГОСТ 34028-2016)</t>
  </si>
  <si>
    <t xml:space="preserve">Ø, мм</t>
  </si>
  <si>
    <t xml:space="preserve">кг/м</t>
  </si>
  <si>
    <t xml:space="preserve">Сетка Ø5 Вр-I 100×100, кг/м²</t>
  </si>
  <si>
    <t xml:space="preserve">20 м проволоки на 1 м² (10 + 10 стержней)</t>
  </si>
  <si>
    <t xml:space="preserve">Нахлёсты и стыки</t>
  </si>
  <si>
    <t xml:space="preserve">Сетки плиты Ø10 / Ø12 / Ø14</t>
  </si>
  <si>
    <t xml:space="preserve">нахлёст 400 / 500 / 560 мм вразбежку (АС-58 «Деталь стыка арматуры армирования плиты»)</t>
  </si>
  <si>
    <t xml:space="preserve">Стержни Ø20 и более</t>
  </si>
  <si>
    <t xml:space="preserve">ванная сварка в инвентарных медных формах встык, без нахлёста (АС-19 прим.1; АС-34 прим.1)</t>
  </si>
  <si>
    <t xml:space="preserve">Стержни Ø18 и менее (вертикали Дм, ригели)</t>
  </si>
  <si>
    <t xml:space="preserve">нахлёст с электродуговой сваркой Lшва=8d (АС-19, АС-34 прим.1) → +8d к длине</t>
  </si>
  <si>
    <t xml:space="preserve">Выпуски вертикалей Дм и колонн</t>
  </si>
  <si>
    <t xml:space="preserve">перепуск 800/500 мм над перекрытием (АС-34 прим.3, АС-32) → длина стержня на этаж = высота этажа: 1 этаж 4,0 м, 2 этаж 3,6 м</t>
  </si>
  <si>
    <t xml:space="preserve">Защитный слой</t>
  </si>
  <si>
    <t xml:space="preserve">сетки плиты — 20 мм до оси (АС-55); торцы стержней — 25 мм</t>
  </si>
  <si>
    <t xml:space="preserve">Использованные листы (стр. PDF → лист)</t>
  </si>
  <si>
    <t xml:space="preserve">Стр. PDF</t>
  </si>
  <si>
    <t xml:space="preserve">Лист</t>
  </si>
  <si>
    <t xml:space="preserve">Содержание</t>
  </si>
  <si>
    <t xml:space="preserve">Использование</t>
  </si>
  <si>
    <t xml:space="preserve">АС-19</t>
  </si>
  <si>
    <t xml:space="preserve">Монтажная схема рам, примечания</t>
  </si>
  <si>
    <t xml:space="preserve">расположение Дм-1…Дм-5, число колонн, правила стыков</t>
  </si>
  <si>
    <t xml:space="preserve">3–10</t>
  </si>
  <si>
    <t xml:space="preserve">АС-20…АС-27</t>
  </si>
  <si>
    <t xml:space="preserve">Рамы по осям А, Б, В, Г, 1, 5, 2, 3, 4</t>
  </si>
  <si>
    <t xml:space="preserve">ригели +3.950 и +7.550: ОС, Ос (бок), привязки, штриховка хомутов; сечения колонн 1-1 / 2-2 по этажам</t>
  </si>
  <si>
    <t xml:space="preserve">АС-28</t>
  </si>
  <si>
    <t xml:space="preserve">Сечения колонн 1-1…3-3, ригелей 4-4, 5-5; ведомость деталей; Фрагмент №1</t>
  </si>
  <si>
    <t xml:space="preserve">колонны 1-1: 4Ø32+8Ø20, 2-2: 4Ø28+8Ø20 (у А/1, В/1, Г/1, Г/5 со 2 этажа); ригели 4Ø28+2Ø18+2Ø16; хомуты поз.10–17</t>
  </si>
  <si>
    <t xml:space="preserve">12–14</t>
  </si>
  <si>
    <t xml:space="preserve">АС-29…АС-31</t>
  </si>
  <si>
    <t xml:space="preserve">Узлы, расстановка хомутов ригелей, сетка-гребёнка С-1</t>
  </si>
  <si>
    <t xml:space="preserve">С-1 «попарно шаг 90», 7Ø10 × 570</t>
  </si>
  <si>
    <t xml:space="preserve">АС-32</t>
  </si>
  <si>
    <t xml:space="preserve">Схема расстановки хомутов колонн</t>
  </si>
  <si>
    <t xml:space="preserve">1 этаж: 100×12 + 200 + 100×12 (30 шт); 2÷4 этаж 3600: 28 шт</t>
  </si>
  <si>
    <t xml:space="preserve">АС-33</t>
  </si>
  <si>
    <t xml:space="preserve">Таблица анкерующих шайб</t>
  </si>
  <si>
    <t xml:space="preserve">марки Аш-1…Аш-8</t>
  </si>
  <si>
    <t xml:space="preserve">17–25</t>
  </si>
  <si>
    <t xml:space="preserve">АС-34…АС-42</t>
  </si>
  <si>
    <t xml:space="preserve">Дм-1…Дм-5: развертки, сечения 1-1 «Подвал, 1 этаж», 2-2 / 3-3 «2 этаж», ведомость деталей</t>
  </si>
  <si>
    <t xml:space="preserve">вся арматура диафрагм обоих этажей</t>
  </si>
  <si>
    <t xml:space="preserve">АС-47</t>
  </si>
  <si>
    <t xml:space="preserve">План перекрытия на отм. 3.950</t>
  </si>
  <si>
    <t xml:space="preserve">контур плиты 1 эт., проёмы, балки, доп. 1Ø20 L=3000</t>
  </si>
  <si>
    <t xml:space="preserve">АС-48</t>
  </si>
  <si>
    <t xml:space="preserve">План перекрытия на отм. 7.550</t>
  </si>
  <si>
    <t xml:space="preserve">контур плиты 2 эт. (край 420), проём лестницы, балка 4-4, доп. 2Ø20 L=3000, 1Ø18 L=3000 и L=1700</t>
  </si>
  <si>
    <t xml:space="preserve">АС-50</t>
  </si>
  <si>
    <t xml:space="preserve">Нижняя сетка перекрытия 3.950÷14.750</t>
  </si>
  <si>
    <t xml:space="preserve">осн. сетка, доп. нижние зоны (одинаково для +3.950 и +7.550)</t>
  </si>
  <si>
    <t xml:space="preserve">АС-51</t>
  </si>
  <si>
    <t xml:space="preserve">Верхняя сетка перекрытия 3.950÷14.750</t>
  </si>
  <si>
    <t xml:space="preserve">доп. верхние зоны, Ø12 (одинаково для обоих этажей)</t>
  </si>
  <si>
    <t xml:space="preserve">АС-52</t>
  </si>
  <si>
    <t xml:space="preserve">План перекрытия на отм. 18.350</t>
  </si>
  <si>
    <t xml:space="preserve">контур покрытия (без эркеров), доп. стержни и учащённые хомуты балок у лестницы/лифта, выпуски парапета ш.1500</t>
  </si>
  <si>
    <t xml:space="preserve">АС-54</t>
  </si>
  <si>
    <t xml:space="preserve">Сетки перекрытия на отм. 18.350</t>
  </si>
  <si>
    <t xml:space="preserve">осн. сетка Ø10/200 верх и низ; доп. Ø10 в верхней зоне у лестницы</t>
  </si>
  <si>
    <t xml:space="preserve">35–38</t>
  </si>
  <si>
    <t xml:space="preserve">АС-55…АС-58</t>
  </si>
  <si>
    <t xml:space="preserve">Сечения балок 1-1…6-6, узлы, ведомость деталей</t>
  </si>
  <si>
    <t xml:space="preserve">балки, край плиты, фиксаторы, пешки, нахлёсты</t>
  </si>
  <si>
    <t xml:space="preserve">скрин</t>
  </si>
  <si>
    <t xml:space="preserve">АС-67…АС-69</t>
  </si>
  <si>
    <t xml:space="preserve">Лестница ЛВ-1, узлы, сечения; рама Лрм-1 (Лрм-2)</t>
  </si>
  <si>
    <t xml:space="preserve">марши 1–4, площадки 1.920 и 5.800, Лрм-1, Лрм-2, А-1, Зд-1, сетка С-1</t>
  </si>
  <si>
    <t xml:space="preserve">Анкерующие шайбы Аш (АС-33, бетон В20 и выше) — масса 1 шт</t>
  </si>
  <si>
    <t xml:space="preserve">Ø стержня, мм</t>
  </si>
  <si>
    <t xml:space="preserve">Масса 1 шт, кг</t>
  </si>
  <si>
    <t xml:space="preserve">Длина анкеровки, мм</t>
  </si>
  <si>
    <t xml:space="preserve">Аш-1</t>
  </si>
  <si>
    <t xml:space="preserve">Аш-2</t>
  </si>
  <si>
    <t xml:space="preserve">Аш-3</t>
  </si>
  <si>
    <t xml:space="preserve">Аш-4</t>
  </si>
  <si>
    <t xml:space="preserve">Аш-5</t>
  </si>
  <si>
    <t xml:space="preserve">Аш-6</t>
  </si>
  <si>
    <t xml:space="preserve">Аш-7</t>
  </si>
  <si>
    <t xml:space="preserve">Аш-8</t>
  </si>
  <si>
    <t xml:space="preserve">Площади для пересчёта расходников (синим — вводимые)</t>
  </si>
  <si>
    <t xml:space="preserve">Прошлый объект (шаблон): этаж 18 × 18 м, м²</t>
  </si>
  <si>
    <t xml:space="preserve">ваши нормы «на этаж» (гвозди 250 / 100, пена 13, труба 250, бур 15, диск 20, дюбель 15) были на этот объект</t>
  </si>
  <si>
    <t xml:space="preserve">Блок 14: площадь перекрытия, 1 этаж, м²</t>
  </si>
  <si>
    <t xml:space="preserve">по контуру плиты за вычетом проёмов (АС-47)</t>
  </si>
  <si>
    <t xml:space="preserve">Блок 14: площадь перекрытия, 2 этаж, м²</t>
  </si>
  <si>
    <t xml:space="preserve">по контуру плиты за вычетом проёмов (АС-48)</t>
  </si>
  <si>
    <t xml:space="preserve">Блок 14: площадь перекрытия, 3 этаж, м²</t>
  </si>
  <si>
    <t xml:space="preserve">Блок 14: площадь перекрытия, 4 этаж, м²</t>
  </si>
  <si>
    <t xml:space="preserve">Блок 14: площадь перекрытия, 5 этаж, м²</t>
  </si>
  <si>
    <t xml:space="preserve">по контуру плиты за вычетом проёмов (без эркеров, АС-52)</t>
  </si>
  <si>
    <t xml:space="preserve">Нормы прочих материалов (синим — вводимые; по вашему шаблону «Лист1», строки «Электроды»…«Рулонная гидроизоляция»)</t>
  </si>
  <si>
    <t xml:space="preserve">Материал</t>
  </si>
  <si>
    <t xml:space="preserve">Норма</t>
  </si>
  <si>
    <t xml:space="preserve">Ед. нормы</t>
  </si>
  <si>
    <t xml:space="preserve">Основание</t>
  </si>
  <si>
    <t xml:space="preserve">кг на 1 т арматуры</t>
  </si>
  <si>
    <t xml:space="preserve">шаблон: «=масса кг/1000×7»; масса — с К зап (как в шаблоне: «Всего» = м.п. × кг/м × К зап)</t>
  </si>
  <si>
    <t xml:space="preserve">шаблон: «=масса/1000×11»</t>
  </si>
  <si>
    <t xml:space="preserve">Вулканит (круг отрезной по металлу)</t>
  </si>
  <si>
    <t xml:space="preserve">шт на 1 т арматуры</t>
  </si>
  <si>
    <t xml:space="preserve">шаблон: «=масса/1000×2»</t>
  </si>
  <si>
    <t xml:space="preserve">Гвозди строительные — колонны</t>
  </si>
  <si>
    <t xml:space="preserve">кг на 100 м³ бетона</t>
  </si>
  <si>
    <t xml:space="preserve">ГЭСН 06-01-026-04 (колонны в деревянной опалубке до 4 м, периметр до 2 м): 0,045 т/100 м³. Для периметра до 3 м (наши 600×600 = 2,4 м, расценка -05) значение не подтверждено — принято по -04 (верхняя оценка)</t>
  </si>
  <si>
    <t xml:space="preserve">Гвозди строительные — диафрагмы (как стены 300 мм)</t>
  </si>
  <si>
    <t xml:space="preserve">ГЭСН-2020 06-06-002-14 / 06-06-001-09 (стены толщиной 300 мм): 0,0856 т/100 м³</t>
  </si>
  <si>
    <t xml:space="preserve">Гвозди строительные — перекрытие ребристое (плита + балки + ригели)</t>
  </si>
  <si>
    <t xml:space="preserve">ГЭСН 06-01-041-05 (перекрытия ребристые на высоте до 6 м): 0,116 т/100 м³; для сравнения безбалочные (-01) — 0,079 т</t>
  </si>
  <si>
    <t xml:space="preserve">Гвозди строительные — лестницы</t>
  </si>
  <si>
    <t xml:space="preserve">ГЭСН 29-01-216-01 (монолитные ж/б лестницы и площадки): 0,0784 т/100 м³ — уточнить</t>
  </si>
  <si>
    <t xml:space="preserve">кг на этаж 18×18</t>
  </si>
  <si>
    <t xml:space="preserve">шаблон «Гвозди 100/70 — 250 / 100»: 250 кг гвоздей 100 мм на этаж прошлого объекта</t>
  </si>
  <si>
    <t xml:space="preserve">шаблон: 100 кг гвоздей 70 мм на этаж прошлого объекта</t>
  </si>
  <si>
    <t xml:space="preserve">баллон на этаж 18×18</t>
  </si>
  <si>
    <t xml:space="preserve">шаблон (13 на этаж прошлого объекта)</t>
  </si>
  <si>
    <t xml:space="preserve">м на этаж 18×18</t>
  </si>
  <si>
    <t xml:space="preserve">шаблон (250 м на этаж прошлого объекта)</t>
  </si>
  <si>
    <t xml:space="preserve">шт на этаж 18×18</t>
  </si>
  <si>
    <t xml:space="preserve">шаблон (15 на этаж прошлого объекта)</t>
  </si>
  <si>
    <t xml:space="preserve">шаблон (20 на этаж прошлого объекта)</t>
  </si>
  <si>
    <t xml:space="preserve">шаблон (15 кг на этаж прошлого объекта)</t>
  </si>
  <si>
    <t xml:space="preserve">Толь, 2 слоя под площадку на раме Лрм</t>
  </si>
  <si>
    <t xml:space="preserve">м² на этаж</t>
  </si>
  <si>
    <t xml:space="preserve">АС-67 узел «1» «проложить 2 слоя толи»: 2 слоя × ширина Лрм 0,3 м × длина площадки 2,89 м — РАЗМЕР ПРИНЯТ (уточнить)</t>
  </si>
  <si>
    <t xml:space="preserve">Рабочая ведомость подсчёта арматуры — Блок 14, 1–5 этаж (Дм-1…Дм-5, колонны, ригели, плита, балки, С-1, ЛВ-1)</t>
  </si>
  <si>
    <t xml:space="preserve">Общая длина = Кол-во элементов × Стержней в 1 элементе × Длина 1 шт.;  Масса = Общая длина × кг/м. Синим — исходные данные из чертежей. Колонки V, W — ключи для листов «По осям» и «потребность».</t>
  </si>
  <si>
    <t xml:space="preserve">№</t>
  </si>
  <si>
    <t xml:space="preserve">Этаж/отметка</t>
  </si>
  <si>
    <t xml:space="preserve">Конструкция</t>
  </si>
  <si>
    <t xml:space="preserve">Оси/участок</t>
  </si>
  <si>
    <t xml:space="preserve">Марка элемента</t>
  </si>
  <si>
    <t xml:space="preserve">Поз.</t>
  </si>
  <si>
    <t xml:space="preserve">Описание</t>
  </si>
  <si>
    <t xml:space="preserve">Ø</t>
  </si>
  <si>
    <t xml:space="preserve">Класс</t>
  </si>
  <si>
    <t xml:space="preserve">Шаг, мм</t>
  </si>
  <si>
    <t xml:space="preserve">Кол-во элементов</t>
  </si>
  <si>
    <t xml:space="preserve">Стержней в 1 элементе</t>
  </si>
  <si>
    <t xml:space="preserve">Длина 1 шт., м</t>
  </si>
  <si>
    <t xml:space="preserve">Общая длина, м</t>
  </si>
  <si>
    <t xml:space="preserve">Масса, кг</t>
  </si>
  <si>
    <t xml:space="preserve">Статус</t>
  </si>
  <si>
    <t xml:space="preserve">Примечание / расшифровка</t>
  </si>
  <si>
    <t xml:space="preserve">Группа</t>
  </si>
  <si>
    <t xml:space="preserve">Допущение (1/0)</t>
  </si>
  <si>
    <t xml:space="preserve">Колонка листа «По осям»</t>
  </si>
  <si>
    <t xml:space="preserve">Этаж №</t>
  </si>
  <si>
    <t xml:space="preserve">1 ЭТАЖ (-0.050…+3.950)</t>
  </si>
  <si>
    <t xml:space="preserve">1.1. ДИАФРАГМЫ Дм-1…Дм-5 — отм. -0.050…+3.950, сечения 1-1 «Подвал, 1 этаж»</t>
  </si>
  <si>
    <t xml:space="preserve">1 этаж (отм. -0.050…+3.950)</t>
  </si>
  <si>
    <t xml:space="preserve">Диафрагмы</t>
  </si>
  <si>
    <t xml:space="preserve">А/4</t>
  </si>
  <si>
    <t xml:space="preserve">1</t>
  </si>
  <si>
    <t xml:space="preserve">Вертикальные: колонна, угловые</t>
  </si>
  <si>
    <t xml:space="preserve">А500С</t>
  </si>
  <si>
    <t xml:space="preserve">АС-34 сеч.1-1 «Подвал, 1 этаж»; прим.1,3</t>
  </si>
  <si>
    <t xml:space="preserve">по проекту</t>
  </si>
  <si>
    <t xml:space="preserve">стык ванной сваркой (Ø≥20), длина = высота этажа. поз.1 4Ø32</t>
  </si>
  <si>
    <t xml:space="preserve">5</t>
  </si>
  <si>
    <t xml:space="preserve">Вертикальные: колонна, промежуточные</t>
  </si>
  <si>
    <t xml:space="preserve">стык ванной сваркой (Ø≥20), длина = высота этажа. поз.5 8Ø20</t>
  </si>
  <si>
    <t xml:space="preserve">2</t>
  </si>
  <si>
    <t xml:space="preserve">Вертикальные: полка (2 торцевых эл-та × 11)</t>
  </si>
  <si>
    <t xml:space="preserve">стык ванной сваркой (Ø≥20), длина = высота этажа. выноска «6Ø28» на 6 стержней + 5 симметричных без выноски</t>
  </si>
  <si>
    <t xml:space="preserve">3</t>
  </si>
  <si>
    <t xml:space="preserve">Вертикальные: полка, стенка (2 × 4)</t>
  </si>
  <si>
    <t xml:space="preserve">стык ванной сваркой (Ø≥20), длина = высота этажа. выноска «2Ø25» + 2 симметричных</t>
  </si>
  <si>
    <t xml:space="preserve">Вертикальные: ребро, торцевой элемент</t>
  </si>
  <si>
    <t xml:space="preserve">стык ванной сваркой (Ø≥20), длина = высота этажа. выноска «5Ø28» + 5 симметричных</t>
  </si>
  <si>
    <t xml:space="preserve">Вертикальные: ребро, стенка</t>
  </si>
  <si>
    <t xml:space="preserve">стык ванной сваркой (Ø≥20), длина = высота этажа. выноска «4Ø20» + 4 симметричных</t>
  </si>
  <si>
    <t xml:space="preserve">6</t>
  </si>
  <si>
    <t xml:space="preserve">Вертикальные: ребро, стенка (4+4) + 1 на торце</t>
  </si>
  <si>
    <t xml:space="preserve">нахлёст 8d со сваркой (Ø≤18), учтён в длине. выноски «4Ø18» и «1Ø18»</t>
  </si>
  <si>
    <t xml:space="preserve">гор.</t>
  </si>
  <si>
    <t xml:space="preserve">Горизонтальные «Осн. стержни»: полка вдоль оси А, L=2000-2×25</t>
  </si>
  <si>
    <t xml:space="preserve">АС-34 развертка, шаг 200x16+100 (18 рядов × 2 грани)</t>
  </si>
  <si>
    <t xml:space="preserve">по геометрии (уточнить)</t>
  </si>
  <si>
    <t xml:space="preserve">L=1950 как у доп. стержней полки</t>
  </si>
  <si>
    <t xml:space="preserve">Горизонтальные «Осн. стержни»: ребро вдоль оси 4, L=2300-2×25</t>
  </si>
  <si>
    <t xml:space="preserve">ребро 1700 + колонна 600</t>
  </si>
  <si>
    <t xml:space="preserve">доп.</t>
  </si>
  <si>
    <t xml:space="preserve">Доп. стержни: полка у отм. -0.050, 10Ø20 L=1950</t>
  </si>
  <si>
    <t xml:space="preserve">АС-34 развертка, выноска «Доп. стержень»</t>
  </si>
  <si>
    <t xml:space="preserve">Доп. стержни: ребро у отм. -0.050, 6Ø20 L=1200</t>
  </si>
  <si>
    <t xml:space="preserve">Доп. стержни: ребро у отм. -0.050, 4Ø10 L=1200</t>
  </si>
  <si>
    <t xml:space="preserve">14</t>
  </si>
  <si>
    <t xml:space="preserve">П-образный стержень на торцах стенки: 3 шт/ряд × 18 рядов</t>
  </si>
  <si>
    <t xml:space="preserve">А240</t>
  </si>
  <si>
    <t xml:space="preserve">200</t>
  </si>
  <si>
    <t xml:space="preserve">сечение 1-1; АС-42 ведомость деталей поз.14 L=1330</t>
  </si>
  <si>
    <t xml:space="preserve">12*</t>
  </si>
  <si>
    <t xml:space="preserve">Хомут торцевого элемента полки: 2 шт/ряд × 18</t>
  </si>
  <si>
    <t xml:space="preserve">сечение 1-1 «хом.Ø10 ш.200»; АС-42 ведомость деталей поз.12 L=1560</t>
  </si>
  <si>
    <t xml:space="preserve">15*</t>
  </si>
  <si>
    <t xml:space="preserve">Хомут торцевого элемента ребра: 1 шт/ряд × 18</t>
  </si>
  <si>
    <t xml:space="preserve">сечение 1-1; АС-42 ведомость деталей поз.15,(15*) L=1760</t>
  </si>
  <si>
    <t xml:space="preserve">10</t>
  </si>
  <si>
    <t xml:space="preserve">Хомут колонны наружный (шаг 100 у опор ×12, 200 в середине) — 30 шт</t>
  </si>
  <si>
    <t xml:space="preserve">АС-32 схема хомутов колонн; АС-42 ведомость деталей поз.10 L=2440</t>
  </si>
  <si>
    <t xml:space="preserve">11</t>
  </si>
  <si>
    <t xml:space="preserve">Хомут колонны внутренний: 2 шт/ряд × 18</t>
  </si>
  <si>
    <t xml:space="preserve">сечение 1-1 «ш.200»; АС-42 ведомость деталей поз.11 L=1960</t>
  </si>
  <si>
    <t xml:space="preserve">13</t>
  </si>
  <si>
    <t xml:space="preserve">Шпилька ш.400 в шахм. порядке: 10 мест × 9 рядов</t>
  </si>
  <si>
    <t xml:space="preserve">сечение 1-1, прим.6; АС-42 ведомость деталей поз.13 L=530</t>
  </si>
  <si>
    <t xml:space="preserve">А/2</t>
  </si>
  <si>
    <t xml:space="preserve">АС-36 сеч.1-1 «Подвал, 1 этаж»; прим.1,3</t>
  </si>
  <si>
    <t xml:space="preserve">Вертикальные: колонна (1 этаж — поз.3 2Ø25 + 2 симметр.)</t>
  </si>
  <si>
    <t xml:space="preserve">стык ванной сваркой (Ø≥20), длина = высота этажа. «2,(3) 2Ø28 (2Ø25)»; в скобках — 1 этаж</t>
  </si>
  <si>
    <t xml:space="preserve">Вертикальные: колонна (2Ø20 + 2 симметр.)</t>
  </si>
  <si>
    <t xml:space="preserve">стык ванной сваркой (Ø≥20), длина = высота этажа. поз.5 2Ø20</t>
  </si>
  <si>
    <t xml:space="preserve">Вертикальные: полка, торцевой эл-т</t>
  </si>
  <si>
    <t xml:space="preserve">стык ванной сваркой (Ø≥20), длина = высота этажа. выноска «6Ø28» + 5 симметр.</t>
  </si>
  <si>
    <t xml:space="preserve">Вертикальные: полка, стенка</t>
  </si>
  <si>
    <t xml:space="preserve">стык ванной сваркой (Ø≥20), длина = высота этажа. «2Ø25» + 2 симметр.</t>
  </si>
  <si>
    <t xml:space="preserve">Вертикальные: ребро, торцевой эл-т</t>
  </si>
  <si>
    <t xml:space="preserve">4</t>
  </si>
  <si>
    <t xml:space="preserve">стык ванной сваркой (Ø≥20), длина = высота этажа. две выноски «4Ø22» + 8 симметр.</t>
  </si>
  <si>
    <t xml:space="preserve">Горизонтальные «Осн. стержни»: полка вдоль оси А, L=1300-2×25</t>
  </si>
  <si>
    <t xml:space="preserve">АС-36 развертка, шаг 200x16+100 (18 рядов × 2 грани)</t>
  </si>
  <si>
    <t xml:space="preserve">L=1250 как у доп. стержней полки</t>
  </si>
  <si>
    <t xml:space="preserve">Горизонтальные «Осн. стержни»: ребро вдоль оси 2, L=2300-2×25</t>
  </si>
  <si>
    <t xml:space="preserve">Доп. стержни: ребро у отм. -0.050, 10Ø20 L=1200</t>
  </si>
  <si>
    <t xml:space="preserve">АС-36 развертка, выноска «Доп. стержень»</t>
  </si>
  <si>
    <t xml:space="preserve">П-образный стержень на торцах стенки: 2 шт/ряд × 18 рядов</t>
  </si>
  <si>
    <t xml:space="preserve">Хомут торцевого элемента полки: 1 шт/ряд × 18</t>
  </si>
  <si>
    <t xml:space="preserve">Шпилька ш.400 в шахм. порядке: 7 мест × 9 рядов</t>
  </si>
  <si>
    <t xml:space="preserve">Г/2</t>
  </si>
  <si>
    <t xml:space="preserve">АС-38 сеч.1-1 «Подвал, 1 этаж»; прим.1,3</t>
  </si>
  <si>
    <t xml:space="preserve">стык ванной сваркой (Ø≥20), длина = высота этажа. поз.1</t>
  </si>
  <si>
    <t xml:space="preserve">стык ванной сваркой (Ø≥20), длина = высота этажа. «6Ø28» + 5 симметр. в каждом</t>
  </si>
  <si>
    <t xml:space="preserve">стык ванной сваркой (Ø≥20), длина = высота этажа. «2Ø22» + 2 симметр.</t>
  </si>
  <si>
    <t xml:space="preserve">стык ванной сваркой (Ø≥20), длина = высота этажа. «3Ø22» + 3 симметр.</t>
  </si>
  <si>
    <t xml:space="preserve">стык ванной сваркой (Ø≥20), длина = высота этажа. «5Ø25» + 5 симметр.</t>
  </si>
  <si>
    <t xml:space="preserve">Вертикальные: ребро, торец</t>
  </si>
  <si>
    <t xml:space="preserve">нахлёст 8d со сваркой (Ø≤18), учтён в длине. «1Ø18»</t>
  </si>
  <si>
    <t xml:space="preserve">Горизонтальные «Осн. стержни»: полка вдоль оси Г, L=2000-2×25</t>
  </si>
  <si>
    <t xml:space="preserve">АС-38 развертка, шаг 200x16+100 (18 рядов × 2 грани)</t>
  </si>
  <si>
    <t xml:space="preserve">Горизонтальные «Осн. стержни»: ребро вдоль оси 2, L=1500-2×25</t>
  </si>
  <si>
    <t xml:space="preserve">L=1450 как у доп. стержней</t>
  </si>
  <si>
    <t xml:space="preserve">Доп. стержни: полка у отм. -0.050, 10Ø22 L=1300</t>
  </si>
  <si>
    <t xml:space="preserve">АС-38 развертка, выноска «Доп. стержень»</t>
  </si>
  <si>
    <t xml:space="preserve">Доп. стержни: ребро у отм. -0.050, 10Ø18 L=1450</t>
  </si>
  <si>
    <t xml:space="preserve">Доп. стержни: вертикальные у отм. +3.950 «по 4Ø16 L=1600» × 2 места</t>
  </si>
  <si>
    <t xml:space="preserve">15</t>
  </si>
  <si>
    <t xml:space="preserve">Шпилька ш.400 в шахм. порядке: 9 мест × 9 рядов</t>
  </si>
  <si>
    <t xml:space="preserve">Г/3</t>
  </si>
  <si>
    <t xml:space="preserve">АС-40 сеч.1-1 «Подвал, 1 этаж»; прим.1,3</t>
  </si>
  <si>
    <t xml:space="preserve">Вертикальные: колонна (2Ø28 + 2 симметр.)</t>
  </si>
  <si>
    <t xml:space="preserve">стык ванной сваркой (Ø≥20), длина = высота этажа. поз.2 2Ø28</t>
  </si>
  <si>
    <t xml:space="preserve">Вертикальные: стенка</t>
  </si>
  <si>
    <t xml:space="preserve">стык ванной сваркой (Ø≥20), длина = высота этажа. «3Ø20» + 3 симметр.</t>
  </si>
  <si>
    <t xml:space="preserve">Вертикальные: торцевой эл-т</t>
  </si>
  <si>
    <t xml:space="preserve">стык ванной сваркой (Ø≥20), длина = высота этажа. «5Ø28» + 5 симметр.</t>
  </si>
  <si>
    <t xml:space="preserve">Горизонтальные «Осн. стержни»: вдоль оси Г, L=1500-2×25</t>
  </si>
  <si>
    <t xml:space="preserve">АС-40 развертка, шаг 200x16+100 (18 рядов × 2 грани)</t>
  </si>
  <si>
    <t xml:space="preserve">Доп. стержни: у отм. -0.050, 10Ø18 L=1450</t>
  </si>
  <si>
    <t xml:space="preserve">АС-40 развертка, выноска «Доп. стержень»</t>
  </si>
  <si>
    <t xml:space="preserve">П-образный стержень на торцах стенки: 1 шт/ряд × 18 рядов</t>
  </si>
  <si>
    <t xml:space="preserve">Шпилька ш.400 в шахм. порядке: 4 мест × 9 рядов</t>
  </si>
  <si>
    <t xml:space="preserve">Г/4</t>
  </si>
  <si>
    <t xml:space="preserve">АС-41 сеч.1-1 «Подвал, 1 этаж»; прим.1,3</t>
  </si>
  <si>
    <t xml:space="preserve">стык ванной сваркой (Ø≥20), длина = высота этажа. поз.2</t>
  </si>
  <si>
    <t xml:space="preserve">стык ванной сваркой (Ø≥20), длина = высота этажа. поз.5</t>
  </si>
  <si>
    <t xml:space="preserve">стык ванной сваркой (Ø≥20), длина = высота этажа. «2Ø20» + 2 симметр.</t>
  </si>
  <si>
    <t xml:space="preserve">Горизонтальные «Осн. стержни»: полка вдоль оси Г, L=1300-2×25</t>
  </si>
  <si>
    <t xml:space="preserve">АС-41 развертка, шаг 200x16+100 (18 рядов × 2 грани)</t>
  </si>
  <si>
    <t xml:space="preserve">L=1250 как у доп. стержней</t>
  </si>
  <si>
    <t xml:space="preserve">Горизонтальные «Осн. стержни»: ребро вдоль оси 4, L=1500-2×25</t>
  </si>
  <si>
    <t xml:space="preserve">Доп. стержни: полка у отм. -0.050, 6Ø10 L=1250</t>
  </si>
  <si>
    <t xml:space="preserve">АС-41 развертка, выноска «Доп. стержень»</t>
  </si>
  <si>
    <t xml:space="preserve">Доп. стержни: ребро у отм. -0.050, 6Ø14 L=1450</t>
  </si>
  <si>
    <t xml:space="preserve">Шпилька ш.400 в шахм. порядке: 6 мест × 9 рядов</t>
  </si>
  <si>
    <t xml:space="preserve">1.2. КОЛОННЫ 600×600 вне диафрагм (15 шт) — сеч.1-1 (4Ø32+8Ø20), H=4,0 м</t>
  </si>
  <si>
    <t xml:space="preserve">Колонны</t>
  </si>
  <si>
    <t xml:space="preserve">ось А: А/1, А/3, А/5</t>
  </si>
  <si>
    <t xml:space="preserve">К-А</t>
  </si>
  <si>
    <t xml:space="preserve">Вертикальные: угловые 4Ø32 (сеч.1-1)</t>
  </si>
  <si>
    <t xml:space="preserve">АС-28 сеч.1-1 поз.1; сечение по рамам АС-20…23 (1-1 у отм. -3.900…-0.050, принято и для 1 этажа)</t>
  </si>
  <si>
    <t xml:space="preserve">принято (уточнить)</t>
  </si>
  <si>
    <t xml:space="preserve">Длина = высота этажа 4,0 м (стык ванной сваркой, разбежка 800/500 — АС-32, АС-19 прим.1).</t>
  </si>
  <si>
    <t xml:space="preserve">Вертикальные: промежуточные 8Ø20 (сеч.1-1)</t>
  </si>
  <si>
    <t xml:space="preserve">АС-28 сеч.1-1 поз.5</t>
  </si>
  <si>
    <t xml:space="preserve">Длина = высота этажа 4,0 м, стык ванной сваркой.</t>
  </si>
  <si>
    <t xml:space="preserve">Хомут наружный Ø8 L=2440: 13 (100×12 низ) + 4 (ш.200) + 13 (100×12 верх) = 30 шт</t>
  </si>
  <si>
    <t xml:space="preserve">100/200</t>
  </si>
  <si>
    <t xml:space="preserve">АС-32 схема хомутов колонн (1 этаж: 50+100×12+200×n+100×12+50+600); АС-28 поз.10 L=2440</t>
  </si>
  <si>
    <t xml:space="preserve">Хомут внутренний Ø8 L=1960 ш.200: 2 шт × 18 рядов</t>
  </si>
  <si>
    <t xml:space="preserve">АС-28 сеч.1-1 «11 хом.Ø8 ш.200», поз.11 L=1960</t>
  </si>
  <si>
    <t xml:space="preserve">ось Б: Б/1, Б/2, Б/3, Б/4, Б/5</t>
  </si>
  <si>
    <t xml:space="preserve">К-Б</t>
  </si>
  <si>
    <t xml:space="preserve">ось В: В/1, В/2, В/3, В/4, В/5</t>
  </si>
  <si>
    <t xml:space="preserve">К-В</t>
  </si>
  <si>
    <t xml:space="preserve">ось Г: Г/1, Г/5</t>
  </si>
  <si>
    <t xml:space="preserve">К-Г</t>
  </si>
  <si>
    <t xml:space="preserve">1.3. РИГЕЛИ РАМ (450×600, сеч.4-4/5-5), 9 рам — отм. +3.950</t>
  </si>
  <si>
    <t xml:space="preserve">Ригели</t>
  </si>
  <si>
    <t xml:space="preserve">ось А (отм. +3.950)</t>
  </si>
  <si>
    <t xml:space="preserve">Р-А</t>
  </si>
  <si>
    <t xml:space="preserve">Продольные угловые 4Ø28 (сеч.4-4/5-5), сквозные, концы с Аш</t>
  </si>
  <si>
    <t xml:space="preserve">АС-20 рама + АС-28 сеч.4-4/5-5 поз.2; длина = 25000+2×250 (до 50 мм от наружной грани крайней колонны)</t>
  </si>
  <si>
    <t xml:space="preserve">по геометрии чертежа</t>
  </si>
  <si>
    <t xml:space="preserve">Стыки ванной сваркой без нахлёста: 2 на стержень (всего 8).</t>
  </si>
  <si>
    <t xml:space="preserve">Продольные средние верх/низ 2Ø18 (сеч.4-4/5-5)</t>
  </si>
  <si>
    <t xml:space="preserve">АС-28 сеч.4-4/5-5 поз.6</t>
  </si>
  <si>
    <t xml:space="preserve">6-нахл</t>
  </si>
  <si>
    <t xml:space="preserve">Нахлёсты стыков к поз. «Продольные средние верх/низ 2Ø18 (сеч.4-4/5-5)» (L=25.500 м &gt; 11,7 м): 3 куска, 2 стык(а) на стержень × 2 стерж.</t>
  </si>
  <si>
    <t xml:space="preserve">АС-19 прим.1: Ø18 и менее — внахлёстку электродуговой сваркой, Lшва=8d = 144 мм</t>
  </si>
  <si>
    <t xml:space="preserve">по проекту (стыковка прутков 11,7 м)</t>
  </si>
  <si>
    <t xml:space="preserve">Чистая длина 25.500 м; кусков 3; стыков 2; Lнахл=2×0.144=0.288 м на стержень</t>
  </si>
  <si>
    <t xml:space="preserve">7</t>
  </si>
  <si>
    <t xml:space="preserve">Боковые стержни 2Ø16 (сеч.4-4/5-5)</t>
  </si>
  <si>
    <t xml:space="preserve">АС-28 сеч.4-4/5-5 «Боковые стержни 2Ø16»</t>
  </si>
  <si>
    <t xml:space="preserve">7-нахл</t>
  </si>
  <si>
    <t xml:space="preserve">Нахлёсты стыков к поз. «Боковые стержни 2Ø16 (сеч.4-4/5-5)» (L=25.500 м &gt; 11,7 м): 3 куска, 2 стык(а) на стержень × 2 стерж.</t>
  </si>
  <si>
    <t xml:space="preserve">АС-19 прим.1: Ø18 и менее — внахлёстку электродуговой сваркой, Lшва=8d = 128 мм</t>
  </si>
  <si>
    <t xml:space="preserve">Чистая длина 25.500 м; кусков 3; стыков 2; Lнахл=2×0.128=0.256 м на стержень</t>
  </si>
  <si>
    <t xml:space="preserve">ОС</t>
  </si>
  <si>
    <t xml:space="preserve">ОС верх: 2Ø28, участок 0…1800 мм + 250 до торца</t>
  </si>
  <si>
    <t xml:space="preserve">АС-20: выноска «ОС 2Ø28 А500С»; длина по привязкам отдельных стержней</t>
  </si>
  <si>
    <t xml:space="preserve">Координаты от оси 1: 0…1800 мм; конец заведён до торца крайней колонны (+250)</t>
  </si>
  <si>
    <t xml:space="preserve">ОС верх: 2Ø25, участок 4700…9200 мм</t>
  </si>
  <si>
    <t xml:space="preserve">АС-20: выноска «ОС 2Ø25 А500С»; длина по привязкам отдельных стержней</t>
  </si>
  <si>
    <t xml:space="preserve">Координаты от оси 1: 4700…9200 мм</t>
  </si>
  <si>
    <t xml:space="preserve">ОС верх ств.: 2Ø22, участок 4700…9200 мм</t>
  </si>
  <si>
    <t xml:space="preserve">АС-20: выноска «ОС 2Ø22 А500С»; длина по привязкам отдельных стержней</t>
  </si>
  <si>
    <t xml:space="preserve">ОС верх: 2Ø32, участок 11800…15100 мм</t>
  </si>
  <si>
    <t xml:space="preserve">АС-20: выноска «ОС 2Ø32 А500С»; длина по привязкам отдельных стержней</t>
  </si>
  <si>
    <t xml:space="preserve">Координаты от оси 1: 11800…15100 мм</t>
  </si>
  <si>
    <t xml:space="preserve">ОС верх: 2Ø25, участок 17400…25000 мм + 250 до торца</t>
  </si>
  <si>
    <t xml:space="preserve">Координаты от оси 1: 17400…25000 мм; конец заведён до торца крайней колонны (+250)</t>
  </si>
  <si>
    <t xml:space="preserve">ОС верх ств.: 2Ø25, участок 17400…25000 мм + 250 до торца</t>
  </si>
  <si>
    <t xml:space="preserve">ОС низ: 2Ø16, участок 0…9200 мм + 250 до торца</t>
  </si>
  <si>
    <t xml:space="preserve">АС-20: выноска «ОС 2Ø16 А500С»; длина по привязкам отдельных стержней</t>
  </si>
  <si>
    <t xml:space="preserve">Координаты от оси 1: 0…9200 мм; конец заведён до торца крайней колонны (+250)</t>
  </si>
  <si>
    <t xml:space="preserve">ОС низ: 2Ø16, участок 11800…15100 мм</t>
  </si>
  <si>
    <t xml:space="preserve">ОС низ: 2Ø28, участок 17400…25000 мм + 250 до торца</t>
  </si>
  <si>
    <t xml:space="preserve">12</t>
  </si>
  <si>
    <t xml:space="preserve">Хомут Ø8 L=2060 ш.100 у опор (100×12), ш.150 в пролёте, 80×4 у балок плиты — вне заштрихованных участков</t>
  </si>
  <si>
    <t xml:space="preserve">100/150</t>
  </si>
  <si>
    <t xml:space="preserve">АС-28 сеч.4-4/5-5 поз.12; АС-29 «Расстановка хомутов в ригелях»</t>
  </si>
  <si>
    <t xml:space="preserve">Пролёты в свету [(300, 6200), (7500, 13200), (13800, 19000), (21000, 24700)], сумма 20500 мм</t>
  </si>
  <si>
    <t xml:space="preserve">Хомут наружный Ø10 L=2060 ш.100 — заштрихованные участки рамы</t>
  </si>
  <si>
    <t xml:space="preserve">АС-20 штриховка «100×15»; АС-28 Фрагмент №1, поз.13</t>
  </si>
  <si>
    <t xml:space="preserve">Участки (мм): одинарные [(7500, 8700), (17500, 18900)], двойные [(21000, 22200)]</t>
  </si>
  <si>
    <t xml:space="preserve">Хомут внутренний Ø10 L=1600 ш.100 — участки двойных хомутов</t>
  </si>
  <si>
    <t xml:space="preserve">АС-20 двойная штриховка; АС-28 Фрагмент №1, поз.15</t>
  </si>
  <si>
    <t xml:space="preserve">17</t>
  </si>
  <si>
    <t xml:space="preserve">Шпилька вертикальная Ø8 L=750: ш.200 у опор, ш.150 в пролёте (нет в зонах двойных хомутов)</t>
  </si>
  <si>
    <t xml:space="preserve">200/150</t>
  </si>
  <si>
    <t xml:space="preserve">АС-28 сеч.4-4/5-5 поз.17</t>
  </si>
  <si>
    <t xml:space="preserve">16</t>
  </si>
  <si>
    <t xml:space="preserve">Шпилька горизонтальная Ø8 L=580 ш.300 (связь боковых 2Ø16)</t>
  </si>
  <si>
    <t xml:space="preserve">АС-28 сеч.4-4/5-5 «шп.Ø8 А240 ш.300», поз.16 L=580</t>
  </si>
  <si>
    <t xml:space="preserve">Номер позиции на сечении не указан — принята поз.16 (L=580) по ведомости деталей.</t>
  </si>
  <si>
    <t xml:space="preserve">ось Б (отм. +3.950)</t>
  </si>
  <si>
    <t xml:space="preserve">Р-Б</t>
  </si>
  <si>
    <t xml:space="preserve">АС-21 рама + АС-28 сеч.4-4/5-5 поз.2; длина = 25000+2×250 (до 50 мм от наружной грани крайней колонны)</t>
  </si>
  <si>
    <t xml:space="preserve">ОС верх: 2Ø25, участок 0…1800 мм + 250 до торца</t>
  </si>
  <si>
    <t xml:space="preserve">АС-21: выноска «ОС 2Ø25 А500С»; длина по привязкам отдельных стержней</t>
  </si>
  <si>
    <t xml:space="preserve">ОС верх: 2Ø32, участок 4700…8400 мм</t>
  </si>
  <si>
    <t xml:space="preserve">АС-21: выноска «ОС 2Ø32 А500С»; длина по привязкам отдельных стержней</t>
  </si>
  <si>
    <t xml:space="preserve">Координаты от оси 1: 4700…8400 мм</t>
  </si>
  <si>
    <t xml:space="preserve">ОС верх: 2Ø28, участок 11600…15300 мм</t>
  </si>
  <si>
    <t xml:space="preserve">АС-21: выноска «ОС 2Ø28 А500С»; длина по привязкам отдельных стержней</t>
  </si>
  <si>
    <t xml:space="preserve">Координаты от оси 1: 11600…15300 мм</t>
  </si>
  <si>
    <t xml:space="preserve">ОС верх: 2Ø28, участок 18200…21800 мм</t>
  </si>
  <si>
    <t xml:space="preserve">Координаты от оси 1: 18200…21800 мм</t>
  </si>
  <si>
    <t xml:space="preserve">ОС верх: 2Ø25, участок 23200…25000 мм + 250 до торца</t>
  </si>
  <si>
    <t xml:space="preserve">Координаты от оси 1: 23200…25000 мм; конец заведён до торца крайней колонны (+250)</t>
  </si>
  <si>
    <t xml:space="preserve">ОС низ: 2Ø16, участок 1800…4700 мм</t>
  </si>
  <si>
    <t xml:space="preserve">АС-21: выноска «ОС 2Ø16 А500С»; длина по привязкам отдельных стержней</t>
  </si>
  <si>
    <t xml:space="preserve">Координаты от оси 1: 1800…4700 мм</t>
  </si>
  <si>
    <t xml:space="preserve">ОС низ: 2Ø22, участок 8400…11600 мм</t>
  </si>
  <si>
    <t xml:space="preserve">АС-21: выноска «ОС 2Ø22 А500С»; длина по привязкам отдельных стержней</t>
  </si>
  <si>
    <t xml:space="preserve">Координаты от оси 1: 8400…11600 мм</t>
  </si>
  <si>
    <t xml:space="preserve">ОС низ: 2Ø16, участок 15300…18200 мм</t>
  </si>
  <si>
    <t xml:space="preserve">Координаты от оси 1: 15300…18200 мм</t>
  </si>
  <si>
    <t xml:space="preserve">ОС низ 2-й ряд: 2Ø14, участок 4700…8400 мм</t>
  </si>
  <si>
    <t xml:space="preserve">АС-21: выноска «ОС 2Ø14 А500С»; длина по привязкам отдельных стержней</t>
  </si>
  <si>
    <t xml:space="preserve">ОС низ 2-й ряд: 2Ø14, участок 11600…15300 мм</t>
  </si>
  <si>
    <t xml:space="preserve">Ос (бок) бок: 2Ø12, участок 4700…15300 мм</t>
  </si>
  <si>
    <t xml:space="preserve">АС-21: выноска «Ос (бок) 2Ø12 А500С» (бок); длина по привязкам отдельных стержней</t>
  </si>
  <si>
    <t xml:space="preserve">Координаты от оси 1: 4700…15300 мм</t>
  </si>
  <si>
    <t xml:space="preserve">Ос (бок) бок: 2Ø12, участок 18200…21800 мм</t>
  </si>
  <si>
    <t xml:space="preserve">Пролёты в свету [(300, 6200), (6800, 13200), (13800, 19700), (20300, 24700)], сумма 22600 мм</t>
  </si>
  <si>
    <t xml:space="preserve">АС-21 штриховка «100×15»; АС-28 Фрагмент №1, поз.13</t>
  </si>
  <si>
    <t xml:space="preserve">Участки (мм): одинарные [(0, 1500), (7700, 12300), (13500, 14700), (18200, 20000)], двойные [(6500, 7700), (12300, 13500)]</t>
  </si>
  <si>
    <t xml:space="preserve">АС-21 двойная штриховка; АС-28 Фрагмент №1, поз.15</t>
  </si>
  <si>
    <t xml:space="preserve">ось В (отм. +3.950)</t>
  </si>
  <si>
    <t xml:space="preserve">Р-В</t>
  </si>
  <si>
    <t xml:space="preserve">АС-22 рама + АС-28 сеч.4-4/5-5 поз.2; длина = 25000+2×250 (до 50 мм от наружной грани крайней колонны)</t>
  </si>
  <si>
    <t xml:space="preserve">АС-22: выноска «ОС 2Ø28 А500С»; длина по привязкам отдельных стержней</t>
  </si>
  <si>
    <t xml:space="preserve">АС-22: выноска «ОС 2Ø32 А500С»; длина по привязкам отдельных стержней</t>
  </si>
  <si>
    <t xml:space="preserve">ОС верх: 2Ø32, участок 11600…15300 мм</t>
  </si>
  <si>
    <t xml:space="preserve">АС-22: выноска «ОС 2Ø25 А500С»; длина по привязкам отдельных стержней</t>
  </si>
  <si>
    <t xml:space="preserve">ОС верх 2-й ряд: 2Ø14, участок 7900…12100 мм</t>
  </si>
  <si>
    <t xml:space="preserve">АС-22: выноска «ОС 2Ø14 А500С»; длина по привязкам отдельных стержней</t>
  </si>
  <si>
    <t xml:space="preserve">Координаты от оси 1: 7900…12100 мм</t>
  </si>
  <si>
    <t xml:space="preserve">ОС верх 2-й ряд: 2Ø14, участок 14800…18700 мм</t>
  </si>
  <si>
    <t xml:space="preserve">Координаты от оси 1: 14800…18700 мм</t>
  </si>
  <si>
    <t xml:space="preserve">АС-22: выноска «ОС 2Ø16 А500С»; длина по привязкам отдельных стержней</t>
  </si>
  <si>
    <t xml:space="preserve">АС-22: выноска «ОС 2Ø22 А500С»; длина по привязкам отдельных стержней</t>
  </si>
  <si>
    <t xml:space="preserve">ОС низ 2-й ряд: 2Ø14, участок 11600…15800 мм</t>
  </si>
  <si>
    <t xml:space="preserve">Координаты от оси 1: 11600…15800 мм</t>
  </si>
  <si>
    <t xml:space="preserve">Ос (бок) бок: 4Ø12, участок 4700…21800 мм</t>
  </si>
  <si>
    <t xml:space="preserve">АС-22: выноска «Ос (бок) 4Ø12 А500С» (бок); длина по привязкам отдельных стержней</t>
  </si>
  <si>
    <t xml:space="preserve">Координаты от оси 1: 4700…21800 мм</t>
  </si>
  <si>
    <t xml:space="preserve">ОС-нахл</t>
  </si>
  <si>
    <t xml:space="preserve">Нахлёсты стыков к поз. «Ос (бок) бок: 4Ø12, участок 4700…21800 мм» (L=17.100 м &gt; 11,7 м): 2 куска, 1 стык(а) на стержень × 4 стерж.</t>
  </si>
  <si>
    <t xml:space="preserve">АС-19 прим.1: Ø18 и менее — внахлёстку электродуговой сваркой, Lшва=8d = 96 мм</t>
  </si>
  <si>
    <t xml:space="preserve">Чистая длина 17.100 м; кусков 2; стыков 1; Lнахл=1×0.096=0.096 м на стержень</t>
  </si>
  <si>
    <t xml:space="preserve">АС-22 штриховка «100×15»; АС-28 Фрагмент №1, поз.13</t>
  </si>
  <si>
    <t xml:space="preserve">Участки (мм): одинарные [(0, 1200)], двойные [(6500, 20000)]</t>
  </si>
  <si>
    <t xml:space="preserve">АС-22 двойная штриховка; АС-28 Фрагмент №1, поз.15</t>
  </si>
  <si>
    <t xml:space="preserve">ось Г (отм. +3.950)</t>
  </si>
  <si>
    <t xml:space="preserve">Р-Г</t>
  </si>
  <si>
    <t xml:space="preserve">АС-23 рама + АС-28 сеч.4-4/5-5 поз.2; длина = 25000+2×250 (до 50 мм от наружной грани крайней колонны)</t>
  </si>
  <si>
    <t xml:space="preserve">ОС верх: 2Ø28, участок 0…1600 мм + 250 до торца</t>
  </si>
  <si>
    <t xml:space="preserve">АС-23: выноска «ОС 2Ø28 А500С»; длина по привязкам отдельных стержней</t>
  </si>
  <si>
    <t xml:space="preserve">Координаты от оси 1: 0…1600 мм; конец заведён до торца крайней колонны (+250)</t>
  </si>
  <si>
    <t xml:space="preserve">ОС верх: 2Ø28, участок 3900…9400 мм</t>
  </si>
  <si>
    <t xml:space="preserve">Координаты от оси 1: 3900…9400 мм</t>
  </si>
  <si>
    <t xml:space="preserve">ОС верх ств.: 2Ø22, участок 3900…9400 мм</t>
  </si>
  <si>
    <t xml:space="preserve">АС-23: выноска «ОС 2Ø22 А500С»; длина по привязкам отдельных стержней</t>
  </si>
  <si>
    <t xml:space="preserve">ОС верх: 2Ø28, участок 11300…16000 мм</t>
  </si>
  <si>
    <t xml:space="preserve">Координаты от оси 1: 11300…16000 мм</t>
  </si>
  <si>
    <t xml:space="preserve">ОС верх ств.: 2Ø22, участок 11300…16000 мм</t>
  </si>
  <si>
    <t xml:space="preserve">ОС верх: 2Ø32, участок 17500…21800 мм</t>
  </si>
  <si>
    <t xml:space="preserve">АС-23: выноска «ОС 2Ø32 А500С»; длина по привязкам отдельных стержней</t>
  </si>
  <si>
    <t xml:space="preserve">Координаты от оси 1: 17500…21800 мм</t>
  </si>
  <si>
    <t xml:space="preserve">АС-23: выноска «ОС 2Ø25 А500С»; длина по привязкам отдельных стержней</t>
  </si>
  <si>
    <t xml:space="preserve">ОС низ: 2Ø16, участок 0…1600 мм + 250 до торца</t>
  </si>
  <si>
    <t xml:space="preserve">АС-23: выноска «ОС 2Ø16 А500С»; длина по привязкам отдельных стержней</t>
  </si>
  <si>
    <t xml:space="preserve">ОС низ: 2Ø22, участок 3900…9400 мм</t>
  </si>
  <si>
    <t xml:space="preserve">ОС низ: 2Ø28, участок 11300…16000 мм</t>
  </si>
  <si>
    <t xml:space="preserve">ОС низ: 2Ø28, участок 17500…21800 мм</t>
  </si>
  <si>
    <t xml:space="preserve">ОС низ: 2Ø22, участок 23200…25000 мм + 250 до торца</t>
  </si>
  <si>
    <t xml:space="preserve">Пролёты в свету [(300, 5500), (7500, 13200), (14500, 19000), (20300, 24700)], сумма 19800 мм</t>
  </si>
  <si>
    <t xml:space="preserve">АС-23 штриховка «100×15»; АС-28 Фрагмент №1, поз.13</t>
  </si>
  <si>
    <t xml:space="preserve">Участки (мм): одинарные [(4000, 5500), (7500, 9000), (17500, 19000)], двойные []</t>
  </si>
  <si>
    <t xml:space="preserve">оси 1, 5 (отм. +3.950)</t>
  </si>
  <si>
    <t xml:space="preserve">Р-1, 5</t>
  </si>
  <si>
    <t xml:space="preserve">АС-24 рама + АС-28 сеч.4-4/5-5 поз.2; длина = 20000+2×250 (до 50 мм от наружной грани крайней колонны)</t>
  </si>
  <si>
    <t xml:space="preserve">Стыки ванной сваркой без нахлёста: 1 на стержень (всего 8).</t>
  </si>
  <si>
    <t xml:space="preserve">Нахлёсты стыков к поз. «Продольные средние верх/низ 2Ø18 (сеч.4-4/5-5)» (L=20.500 м &gt; 11,7 м): 2 куска, 1 стык(а) на стержень × 4 стерж.</t>
  </si>
  <si>
    <t xml:space="preserve">Чистая длина 20.500 м; кусков 2; стыков 1; Lнахл=1×0.144=0.144 м на стержень</t>
  </si>
  <si>
    <t xml:space="preserve">Нахлёсты стыков к поз. «Боковые стержни 2Ø16 (сеч.4-4/5-5)» (L=20.500 м &gt; 11,7 м): 2 куска, 1 стык(а) на стержень × 4 стерж.</t>
  </si>
  <si>
    <t xml:space="preserve">Чистая длина 20.500 м; кусков 2; стыков 1; Lнахл=1×0.128=0.128 м на стержень</t>
  </si>
  <si>
    <t xml:space="preserve">АС-24: выноска «ОС 2Ø25 А500С»; длина по привязкам отдельных стержней</t>
  </si>
  <si>
    <t xml:space="preserve">Координаты от оси А: 0…1800 мм; конец заведён до торца крайней колонны (+250)</t>
  </si>
  <si>
    <t xml:space="preserve">ОС верх: 2Ø28, участок 4700…8500 мм</t>
  </si>
  <si>
    <t xml:space="preserve">АС-24: выноска «ОС 2Ø28 А500С»; длина по привязкам отдельных стержней</t>
  </si>
  <si>
    <t xml:space="preserve">Координаты от оси А: 4700…8500 мм</t>
  </si>
  <si>
    <t xml:space="preserve">ОС верх: 2Ø32, участок 11500…15300 мм</t>
  </si>
  <si>
    <t xml:space="preserve">АС-24: выноска «ОС 2Ø32 А500С»; длина по привязкам отдельных стержней</t>
  </si>
  <si>
    <t xml:space="preserve">Координаты от оси А: 11500…15300 мм</t>
  </si>
  <si>
    <t xml:space="preserve">ОС верх: 2Ø28, участок 18200…20000 мм + 250 до торца</t>
  </si>
  <si>
    <t xml:space="preserve">Координаты от оси А: 18200…20000 мм; конец заведён до торца крайней колонны (+250)</t>
  </si>
  <si>
    <t xml:space="preserve">ОС низ: 2Ø16, участок 0…4700 мм + 250 до торца</t>
  </si>
  <si>
    <t xml:space="preserve">АС-24: выноска «ОС 2Ø16 А500С»; длина по привязкам отдельных стержней</t>
  </si>
  <si>
    <t xml:space="preserve">Координаты от оси А: 0…4700 мм; конец заведён до торца крайней колонны (+250)</t>
  </si>
  <si>
    <t xml:space="preserve">ОС низ: 2Ø16, участок 8500…11500 мм</t>
  </si>
  <si>
    <t xml:space="preserve">Координаты от оси А: 8500…11500 мм</t>
  </si>
  <si>
    <t xml:space="preserve">Координаты от оси А: 15300…18200 мм</t>
  </si>
  <si>
    <t xml:space="preserve">Ос (бок) бок: 4Ø12, участок 0…1800 мм + 250 до торца</t>
  </si>
  <si>
    <t xml:space="preserve">АС-24: выноска «Ос (бок) 4Ø12 А500С» (бок); длина по привязкам отдельных стержней</t>
  </si>
  <si>
    <t xml:space="preserve">Пролёты в свету [(300, 6200), (6800, 13200), (13800, 19700)], сумма 18200 мм</t>
  </si>
  <si>
    <t xml:space="preserve">АС-24 штриховка «100×15»; АС-28 Фрагмент №1, поз.13</t>
  </si>
  <si>
    <t xml:space="preserve">Участки (мм): одинарные [(300, 1700), (5100, 7900)], двойные []</t>
  </si>
  <si>
    <t xml:space="preserve">ось 2 (отм. +3.950)</t>
  </si>
  <si>
    <t xml:space="preserve">Р-2</t>
  </si>
  <si>
    <t xml:space="preserve">АС-25 рама + АС-28 сеч.4-4/5-5 поз.2; длина = 20000+2×250 (до 50 мм от наружной грани крайней колонны)</t>
  </si>
  <si>
    <t xml:space="preserve">Стыки ванной сваркой без нахлёста: 1 на стержень (всего 4).</t>
  </si>
  <si>
    <t xml:space="preserve">Нахлёсты стыков к поз. «Продольные средние верх/низ 2Ø18 (сеч.4-4/5-5)» (L=20.500 м &gt; 11,7 м): 2 куска, 1 стык(а) на стержень × 2 стерж.</t>
  </si>
  <si>
    <t xml:space="preserve">Нахлёсты стыков к поз. «Боковые стержни 2Ø16 (сеч.4-4/5-5)» (L=20.500 м &gt; 11,7 м): 2 куска, 1 стык(а) на стержень × 2 стерж.</t>
  </si>
  <si>
    <t xml:space="preserve">ОС верх 2-й ряд: 1Ø20, участок 1000…3400 мм</t>
  </si>
  <si>
    <t xml:space="preserve">АС-25: выноска «ОС 1Ø20 А500С»; длина по привязкам отдельных стержней</t>
  </si>
  <si>
    <t xml:space="preserve">Координаты от оси А: 1000…3400 мм</t>
  </si>
  <si>
    <t xml:space="preserve">ОС верх 2-й ряд: 2Ø14, участок 8000…12000 мм</t>
  </si>
  <si>
    <t xml:space="preserve">АС-25: выноска «ОС 2Ø14 А500С»; длина по привязкам отдельных стержней</t>
  </si>
  <si>
    <t xml:space="preserve">Координаты от оси А: 8000…12000 мм</t>
  </si>
  <si>
    <t xml:space="preserve">ОС верх: 2Ø32, участок 1000…8500 мм</t>
  </si>
  <si>
    <t xml:space="preserve">АС-25: выноска «ОС 2Ø32 А500С»; длина по привязкам отдельных стержней</t>
  </si>
  <si>
    <t xml:space="preserve">Координаты от оси А: 1000…8500 мм</t>
  </si>
  <si>
    <t xml:space="preserve">ОС верх: 2Ø32, участок 11500…15100 мм</t>
  </si>
  <si>
    <t xml:space="preserve">Координаты от оси А: 11500…15100 мм</t>
  </si>
  <si>
    <t xml:space="preserve">ОС верх: 2Ø32, участок 17400…20000 мм + 250 до торца</t>
  </si>
  <si>
    <t xml:space="preserve">Координаты от оси А: 17400…20000 мм; конец заведён до торца крайней колонны (+250)</t>
  </si>
  <si>
    <t xml:space="preserve">ОС низ: 2Ø25, участок 1000…11500 мм</t>
  </si>
  <si>
    <t xml:space="preserve">АС-25: выноска «ОС 2Ø25 А500С»; длина по привязкам отдельных стержней</t>
  </si>
  <si>
    <t xml:space="preserve">Координаты от оси А: 1000…11500 мм</t>
  </si>
  <si>
    <t xml:space="preserve">ОС низ: 2Ø20, участок 17400…20000 мм + 250 до торца</t>
  </si>
  <si>
    <t xml:space="preserve">АС-25: выноска «ОС 2Ø20 А500С»; длина по привязкам отдельных стержней</t>
  </si>
  <si>
    <t xml:space="preserve">ОС низ 2-й ряд: 2Ø16, участок 11500…15100 мм</t>
  </si>
  <si>
    <t xml:space="preserve">АС-25: выноска «ОС 2Ø16 А500С»; длина по привязкам отдельных стержней</t>
  </si>
  <si>
    <t xml:space="preserve">Ос (бок) бок: 2Ø14, участок 1000…3400 мм</t>
  </si>
  <si>
    <t xml:space="preserve">АС-25: выноска «Ос (бок) 2Ø14 А500С» (бок); длина по привязкам отдельных стержней</t>
  </si>
  <si>
    <t xml:space="preserve">Ос (бок) бок: 2Ø14, участок 5100…14200 мм</t>
  </si>
  <si>
    <t xml:space="preserve">Координаты от оси А: 5100…14200 мм</t>
  </si>
  <si>
    <t xml:space="preserve">Ос (бок) бок: 2Ø14, участок 17400…20000 мм + 250 до торца</t>
  </si>
  <si>
    <t xml:space="preserve">Пролёты в свету [(2000, 6200), (6800, 13200), (13800, 19000)], сумма 15800 мм</t>
  </si>
  <si>
    <t xml:space="preserve">АС-25 штриховка «100×15»; АС-28 Фрагмент №1, поз.13</t>
  </si>
  <si>
    <t xml:space="preserve">Участки (мм): одинарные [(16400, 17400)], двойные [(2000, 3200), (6500, 13500), (17400, 19000)]</t>
  </si>
  <si>
    <t xml:space="preserve">АС-25 двойная штриховка; АС-28 Фрагмент №1, поз.15</t>
  </si>
  <si>
    <t xml:space="preserve">ось 3 (отм. +3.950)</t>
  </si>
  <si>
    <t xml:space="preserve">Р-3</t>
  </si>
  <si>
    <t xml:space="preserve">АС-26 рама + АС-28 сеч.4-4/5-5 поз.2; длина = 20000+2×250 (до 50 мм от наружной грани крайней колонны)</t>
  </si>
  <si>
    <t xml:space="preserve">АС-26: выноска «ОС 2Ø28 А500С»; длина по привязкам отдельных стержней</t>
  </si>
  <si>
    <t xml:space="preserve">ОС верх ств.: 2Ø25, участок 4700…8500 мм</t>
  </si>
  <si>
    <t xml:space="preserve">АС-26: выноска «ОС 2Ø25 А500С»; длина по привязкам отдельных стержней</t>
  </si>
  <si>
    <t xml:space="preserve">ОС верх: 2Ø25, участок 11500…15300 мм</t>
  </si>
  <si>
    <t xml:space="preserve">ОС верх ств.: 2Ø25, участок 11500…15300 мм</t>
  </si>
  <si>
    <t xml:space="preserve">ОС верх: 2Ø32, участок 18200…20000 мм + 250 до торца</t>
  </si>
  <si>
    <t xml:space="preserve">АС-26: выноска «ОС 2Ø32 А500С»; длина по привязкам отдельных стержней</t>
  </si>
  <si>
    <t xml:space="preserve">АС-26: выноска «ОС 2Ø16 А500С»; длина по привязкам отдельных стержней</t>
  </si>
  <si>
    <t xml:space="preserve">Координаты от оси А: 1800…4700 мм</t>
  </si>
  <si>
    <t xml:space="preserve">ОС низ: 2Ø28, участок 8500…11500 мм</t>
  </si>
  <si>
    <t xml:space="preserve">ОС низ: 2Ø16, участок 15300…20000 мм + 250 до торца</t>
  </si>
  <si>
    <t xml:space="preserve">Координаты от оси А: 15300…20000 мм; конец заведён до торца крайней колонны (+250)</t>
  </si>
  <si>
    <t xml:space="preserve">Ос (бок) бок: 4Ø12, участок 4700…8500 мм</t>
  </si>
  <si>
    <t xml:space="preserve">АС-26: выноска «Ос (бок) 4Ø12 А500С» (бок); длина по привязкам отдельных стержней</t>
  </si>
  <si>
    <t xml:space="preserve">Ос (бок) бок: 4Ø12, участок 11500…15300 мм</t>
  </si>
  <si>
    <t xml:space="preserve">Ос (бок) бок: 4Ø12, участок 18200…20000 мм + 250 до торца</t>
  </si>
  <si>
    <t xml:space="preserve">АС-26 штриховка «100×15»; АС-28 Фрагмент №1, поз.13</t>
  </si>
  <si>
    <t xml:space="preserve">Участки (мм): одинарные [(0, 1500), (5000, 6500), (8500, 9500), (10500, 11500), (13500, 15000)], двойные [(6500, 8500), (11500, 13500), (18200, 20000)]</t>
  </si>
  <si>
    <t xml:space="preserve">АС-26 двойная штриховка; АС-28 Фрагмент №1, поз.15</t>
  </si>
  <si>
    <t xml:space="preserve">ось 4 (отм. +3.950)</t>
  </si>
  <si>
    <t xml:space="preserve">Р-4</t>
  </si>
  <si>
    <t xml:space="preserve">АС-27 рама + АС-28 сеч.4-4/5-5 поз.2; длина = 20000+2×250 (до 50 мм от наружной грани крайней колонны)</t>
  </si>
  <si>
    <t xml:space="preserve">ОС верх: 2Ø32, участок 1000…3400 мм</t>
  </si>
  <si>
    <t xml:space="preserve">АС-27: выноска «ОС 2Ø32 А500С»; длина по привязкам отдельных стержней</t>
  </si>
  <si>
    <t xml:space="preserve">ОС верх: 2Ø32, участок 5100…8500 мм</t>
  </si>
  <si>
    <t xml:space="preserve">Координаты от оси А: 5100…8500 мм</t>
  </si>
  <si>
    <t xml:space="preserve">ОС верх: 2Ø28, участок 11500…15100 мм</t>
  </si>
  <si>
    <t xml:space="preserve">АС-27: выноска «ОС 2Ø28 А500С»; длина по привязкам отдельных стержней</t>
  </si>
  <si>
    <t xml:space="preserve">ОС низ: 2Ø25, участок 1000…7200 мм</t>
  </si>
  <si>
    <t xml:space="preserve">АС-27: выноска «ОС 2Ø25 А500С»; длина по привязкам отдельных стержней</t>
  </si>
  <si>
    <t xml:space="preserve">Координаты от оси А: 1000…7200 мм</t>
  </si>
  <si>
    <t xml:space="preserve">ОС низ: 2Ø20, участок 8500…11500 мм</t>
  </si>
  <si>
    <t xml:space="preserve">АС-27: выноска «ОС 2Ø20 А500С»; длина по привязкам отдельных стержней</t>
  </si>
  <si>
    <t xml:space="preserve">ОС низ: 2Ø16, участок 17400…19700 мм</t>
  </si>
  <si>
    <t xml:space="preserve">АС-27: выноска «ОС 2Ø16 А500С»; длина по привязкам отдельных стержней</t>
  </si>
  <si>
    <t xml:space="preserve">Координаты от оси А: 17400…19700 мм</t>
  </si>
  <si>
    <t xml:space="preserve">Ос (бок) бок: 4Ø12, участок 1000…3400 мм</t>
  </si>
  <si>
    <t xml:space="preserve">АС-27: выноска «Ос (бок) 4Ø12 А500С» (бок); длина по привязкам отдельных стержней</t>
  </si>
  <si>
    <t xml:space="preserve">Ос (бок) бок: 4Ø12, участок 5100…8500 мм</t>
  </si>
  <si>
    <t xml:space="preserve">Ос (бок) бок: 4Ø12, участок 11500…15100 мм</t>
  </si>
  <si>
    <t xml:space="preserve">Ос (бок) бок: 4Ø12, участок 17400…19700 мм</t>
  </si>
  <si>
    <t xml:space="preserve">АС-27 штриховка «100×15»; АС-28 Фрагмент №1, поз.13</t>
  </si>
  <si>
    <t xml:space="preserve">Участки (мм): одинарные [(6500, 9500), (10500, 13500), (16400, 17400)], двойные [(2000, 3200), (17400, 19000)]</t>
  </si>
  <si>
    <t xml:space="preserve">АС-27 двойная штриховка; АС-28 Фрагмент №1, поз.15</t>
  </si>
  <si>
    <t xml:space="preserve">1.4. ПЛИТА ПЕРЕКРЫТИЯ: сетки, доп. зоны, край, фиксаторы — отм. +3.950 (АС-47)</t>
  </si>
  <si>
    <t xml:space="preserve">Плита перекрытия</t>
  </si>
  <si>
    <t xml:space="preserve">1–5 / А–Г</t>
  </si>
  <si>
    <t xml:space="preserve">ПМ-3.950</t>
  </si>
  <si>
    <t xml:space="preserve">НX</t>
  </si>
  <si>
    <t xml:space="preserve">Нижняя осн. сетка, направление X (вдоль осей 1–5)</t>
  </si>
  <si>
    <t xml:space="preserve">АС-50/АС-51 «Осн. сетка Ø10 А500С ш.200×200»; контур — АС-47</t>
  </si>
  <si>
    <t xml:space="preserve">П-сетка</t>
  </si>
  <si>
    <t xml:space="preserve">НX-нахл</t>
  </si>
  <si>
    <t xml:space="preserve">Нахлёсты стыков к поз. «Нижняя осн. сетка, направление X (вдоль осей 1–5)» (L=27.350 м &gt; 11,7 м): 3 куска, 2 стык(а) на стержень × 26 стерж.</t>
  </si>
  <si>
    <t xml:space="preserve">АС-58 «Деталь стыка арматуры армирования плиты»: нахлёст 400 мм для Ø10</t>
  </si>
  <si>
    <t xml:space="preserve">Чистая длина 27.350 м; кусков 3; стыков 2; Lнахл=2×0.400=0.8 м на стержень</t>
  </si>
  <si>
    <t xml:space="preserve">Нахлёсты стыков к поз. «Нижняя осн. сетка, направление X (вдоль осей 1–5)» (L=25.620 м &gt; 11,7 м): 3 куска, 2 стык(а) на стержень × 49 стерж.</t>
  </si>
  <si>
    <t xml:space="preserve">Чистая длина 25.620 м; кусков 3; стыков 2; Lнахл=2×0.400=0.8 м на стержень</t>
  </si>
  <si>
    <t xml:space="preserve">Нахлёсты стыков к поз. «Нижняя осн. сетка, направление X (вдоль осей 1–5)» (L=22.200 м &gt; 11,7 м): 2 куска, 1 стык(а) на стержень × 1 стерж.</t>
  </si>
  <si>
    <t xml:space="preserve">Чистая длина 22.200 м; кусков 2; стыков 1; Lнахл=1×0.400=0.4 м на стержень</t>
  </si>
  <si>
    <t xml:space="preserve">Нахлёсты стыков к поз. «Нижняя осн. сетка, направление X (вдоль осей 1–5)» (L=15.620 м &gt; 11,7 м): 2 куска, 1 стык(а) на стержень × 16 стерж.</t>
  </si>
  <si>
    <t xml:space="preserve">Чистая длина 15.620 м; кусков 2; стыков 1; Lнахл=1×0.400=0.4 м на стержень</t>
  </si>
  <si>
    <t xml:space="preserve">Нахлёсты стыков к поз. «Нижняя осн. сетка, направление X (вдоль осей 1–5)» (L=13.900 м &gt; 11,7 м): 2 куска, 1 стык(а) на стержень × 12 стерж.</t>
  </si>
  <si>
    <t xml:space="preserve">Чистая длина 13.900 м; кусков 2; стыков 1; Lнахл=1×0.400=0.4 м на стержень</t>
  </si>
  <si>
    <t xml:space="preserve">НY</t>
  </si>
  <si>
    <t xml:space="preserve">Нижняя осн. сетка, направление Y (вдоль осей А–Г)</t>
  </si>
  <si>
    <t xml:space="preserve">НY-нахл</t>
  </si>
  <si>
    <t xml:space="preserve">Нахлёсты стыков к поз. «Нижняя осн. сетка, направление Y (вдоль осей А–Г)» (L=22.350 м &gt; 11,7 м): 2 куска, 1 стык(а) на стержень × 40 стерж.</t>
  </si>
  <si>
    <t xml:space="preserve">Чистая длина 22.350 м; кусков 2; стыков 1; Lнахл=1×0.400=0.4 м на стержень</t>
  </si>
  <si>
    <t xml:space="preserve">Нахлёсты стыков к поз. «Нижняя осн. сетка, направление Y (вдоль осей А–Г)» (L=20.620 м &gt; 11,7 м): 2 куска, 1 стык(а) на стержень × 39 стерж.</t>
  </si>
  <si>
    <t xml:space="preserve">Чистая длина 20.620 м; кусков 2; стыков 1; Lнахл=1×0.400=0.4 м на стержень</t>
  </si>
  <si>
    <t xml:space="preserve">Нахлёсты стыков к поз. «Нижняя осн. сетка, направление Y (вдоль осей А–Г)» (L=20.480 м &gt; 11,7 м): 2 куска, 1 стык(а) на стержень × 26 стерж.</t>
  </si>
  <si>
    <t xml:space="preserve">Чистая длина 20.480 м; кусков 2; стыков 1; Lнахл=1×0.400=0.4 м на стержень</t>
  </si>
  <si>
    <t xml:space="preserve">Нахлёсты стыков к поз. «Нижняя осн. сетка, направление Y (вдоль осей А–Г)» (L=19.010 м &gt; 11,7 м): 2 куска, 1 стык(а) на стержень × 2 стерж.</t>
  </si>
  <si>
    <t xml:space="preserve">Чистая длина 19.010 м; кусков 2; стыков 1; Lнахл=1×0.400=0.4 м на стержень</t>
  </si>
  <si>
    <t xml:space="preserve">Нахлёсты стыков к поз. «Нижняя осн. сетка, направление Y (вдоль осей А–Г)» (L=17.280 м &gt; 11,7 м): 2 куска, 1 стык(а) на стержень × 5 стерж.</t>
  </si>
  <si>
    <t xml:space="preserve">Чистая длина 17.280 м; кусков 2; стыков 1; Lнахл=1×0.400=0.4 м на стержень</t>
  </si>
  <si>
    <t xml:space="preserve">Нахлёсты стыков к поз. «Нижняя осн. сетка, направление Y (вдоль осей А–Г)» (L=15.600 м &gt; 11,7 м): 2 куска, 1 стык(а) на стержень × 17 стерж.</t>
  </si>
  <si>
    <t xml:space="preserve">Чистая длина 15.600 м; кусков 2; стыков 1; Lнахл=1×0.400=0.4 м на стержень</t>
  </si>
  <si>
    <t xml:space="preserve">ВX</t>
  </si>
  <si>
    <t xml:space="preserve">Верхняя осн. сетка, направление X (вдоль осей 1–5)</t>
  </si>
  <si>
    <t xml:space="preserve">ВX-нахл</t>
  </si>
  <si>
    <t xml:space="preserve">Нахлёсты стыков к поз. «Верхняя осн. сетка, направление X (вдоль осей 1–5)» (L=27.350 м &gt; 11,7 м): 3 куска, 2 стык(а) на стержень × 26 стерж.</t>
  </si>
  <si>
    <t xml:space="preserve">Нахлёсты стыков к поз. «Верхняя осн. сетка, направление X (вдоль осей 1–5)» (L=25.620 м &gt; 11,7 м): 3 куска, 2 стык(а) на стержень × 49 стерж.</t>
  </si>
  <si>
    <t xml:space="preserve">Нахлёсты стыков к поз. «Верхняя осн. сетка, направление X (вдоль осей 1–5)» (L=22.200 м &gt; 11,7 м): 2 куска, 1 стык(а) на стержень × 1 стерж.</t>
  </si>
  <si>
    <t xml:space="preserve">Нахлёсты стыков к поз. «Верхняя осн. сетка, направление X (вдоль осей 1–5)» (L=15.620 м &gt; 11,7 м): 2 куска, 1 стык(а) на стержень × 16 стерж.</t>
  </si>
  <si>
    <t xml:space="preserve">Нахлёсты стыков к поз. «Верхняя осн. сетка, направление X (вдоль осей 1–5)» (L=13.900 м &gt; 11,7 м): 2 куска, 1 стык(а) на стержень × 12 стерж.</t>
  </si>
  <si>
    <t xml:space="preserve">ВY</t>
  </si>
  <si>
    <t xml:space="preserve">Верхняя осн. сетка, направление Y (вдоль осей А–Г)</t>
  </si>
  <si>
    <t xml:space="preserve">ВY-нахл</t>
  </si>
  <si>
    <t xml:space="preserve">Нахлёсты стыков к поз. «Верхняя осн. сетка, направление Y (вдоль осей А–Г)» (L=22.350 м &gt; 11,7 м): 2 куска, 1 стык(а) на стержень × 40 стерж.</t>
  </si>
  <si>
    <t xml:space="preserve">Нахлёсты стыков к поз. «Верхняя осн. сетка, направление Y (вдоль осей А–Г)» (L=20.620 м &gt; 11,7 м): 2 куска, 1 стык(а) на стержень × 39 стерж.</t>
  </si>
  <si>
    <t xml:space="preserve">Нахлёсты стыков к поз. «Верхняя осн. сетка, направление Y (вдоль осей А–Г)» (L=20.480 м &gt; 11,7 м): 2 куска, 1 стык(а) на стержень × 26 стерж.</t>
  </si>
  <si>
    <t xml:space="preserve">Нахлёсты стыков к поз. «Верхняя осн. сетка, направление Y (вдоль осей А–Г)» (L=19.010 м &gt; 11,7 м): 2 куска, 1 стык(а) на стержень × 2 стерж.</t>
  </si>
  <si>
    <t xml:space="preserve">Нахлёсты стыков к поз. «Верхняя осн. сетка, направление Y (вдоль осей А–Г)» (L=17.280 м &gt; 11,7 м): 2 куска, 1 стык(а) на стержень × 5 стерж.</t>
  </si>
  <si>
    <t xml:space="preserve">Нахлёсты стыков к поз. «Верхняя осн. сетка, направление Y (вдоль осей А–Г)» (L=15.600 м &gt; 11,7 м): 2 куска, 1 стык(а) на стержень × 17 стерж.</t>
  </si>
  <si>
    <t xml:space="preserve">см. описание</t>
  </si>
  <si>
    <t xml:space="preserve">дн</t>
  </si>
  <si>
    <t xml:space="preserve">Доп. нижние, зона оси 2–3 / Б–В, вдоль X (7500…12550)</t>
  </si>
  <si>
    <t xml:space="preserve">АС-50 + прим. «неуказанные доп. стержни Ø10 А500С ш.200»</t>
  </si>
  <si>
    <t xml:space="preserve">П-доп-низ</t>
  </si>
  <si>
    <t xml:space="preserve">Доп. нижние, зона оси 2–3 / Б–В, вдоль Y (8000…12500)</t>
  </si>
  <si>
    <t xml:space="preserve">Доп. нижние, зона оси 3–4 / Б–В, вдоль X (14800…18425)</t>
  </si>
  <si>
    <t xml:space="preserve">Доп. нижние, зона оси 3–4 / Б–В, вдоль Y (8000…12500)</t>
  </si>
  <si>
    <t xml:space="preserve">Доп. нижние, эркер у оси А (оси 1–2), вдоль Y (−1000…+200)</t>
  </si>
  <si>
    <t xml:space="preserve">дв</t>
  </si>
  <si>
    <t xml:space="preserve">Доп. верхние, эркер у оси 1 (Г–В), вдоль X, −1000…+200</t>
  </si>
  <si>
    <t xml:space="preserve">АС-51 (число стержней — по штриховке, шаг 200); прим. «неуказанные Ø10 ш.200»</t>
  </si>
  <si>
    <t xml:space="preserve">П-доп-верх</t>
  </si>
  <si>
    <t xml:space="preserve">Доп. верхние, ригель оси 2 (Г–В), вдоль X, 6300…7500</t>
  </si>
  <si>
    <t xml:space="preserve">Доп. верхние, эркер у оси 1 (В–Б), вдоль X, −1000…+200</t>
  </si>
  <si>
    <t xml:space="preserve">Доп. верхние, ригель оси 2 (В–Б), вдоль X, 6300…7700 — Ø12 (выноска «Ø12 А500С ш.200», Y 10260…12620)</t>
  </si>
  <si>
    <t xml:space="preserve">Доп. верхние, ригель оси 2 (В–Б), вдоль X, 6300…7700 — остальные</t>
  </si>
  <si>
    <t xml:space="preserve">Доп. верхние, ригель оси 3 (В–Б), вдоль X, 12300…14500 — Ø12 (выноска «Ø12»)</t>
  </si>
  <si>
    <t xml:space="preserve">Доп. верхние, ригель оси 3 (В–Б), вдоль X, 12300…14500 — остальные</t>
  </si>
  <si>
    <t xml:space="preserve">Доп. верхние, ригель оси 4 (В–Б), вдоль X, 19000…20200</t>
  </si>
  <si>
    <t xml:space="preserve">Доп. верхние, ригель оси 2 (Б–А), вдоль X, 5500…7500</t>
  </si>
  <si>
    <t xml:space="preserve">Доп. верхние, ригель оси 4 (Б–А), вдоль X, 19000…20200</t>
  </si>
  <si>
    <t xml:space="preserve">Доп. верхние, эркер у оси А (1–2), вдоль Y, −1000…+200</t>
  </si>
  <si>
    <t xml:space="preserve">Доп. верхние, эркер у оси А (2–4), вдоль Y, −1000…+200</t>
  </si>
  <si>
    <t xml:space="preserve">Доп. верхние, ригель оси В, вдоль Y, 12300…13700 (оси 2–3 лев. часть)</t>
  </si>
  <si>
    <t xml:space="preserve">Доп. верхние, ригель оси В, вдоль Y, 12300…14500 (оси 2–3 прав. часть)</t>
  </si>
  <si>
    <t xml:space="preserve">Доп. верхние, ригель оси В, вдоль Y, 12300…13700 (оси 3–4)</t>
  </si>
  <si>
    <t xml:space="preserve">Доп. верхние, ригель оси Б, вдоль Y, 5500…7700 (оси 2–4)</t>
  </si>
  <si>
    <t xml:space="preserve">В,Б × оси 2,3 (4 места)</t>
  </si>
  <si>
    <t xml:space="preserve">Доп. стержень в верхней зоне балки над ригелем 1Ø20 L=3000</t>
  </si>
  <si>
    <t xml:space="preserve">АС-47 выноски (4 шт.)</t>
  </si>
  <si>
    <t xml:space="preserve">край по оси Г и оси 5</t>
  </si>
  <si>
    <t xml:space="preserve">8</t>
  </si>
  <si>
    <t xml:space="preserve">Торцевой стержень края плиты (сеч.6-6) 2Ø14, по оси Г</t>
  </si>
  <si>
    <t xml:space="preserve">АС-55 сеч.6-6 поз.8; длина края по АС-47</t>
  </si>
  <si>
    <t xml:space="preserve">П-край</t>
  </si>
  <si>
    <t xml:space="preserve">8-нахл</t>
  </si>
  <si>
    <t xml:space="preserve">Нахлёсты стыков к поз. «Торцевой стержень края плиты (сеч.6-6) 2Ø14, по оси Г» (L=25.825 м &gt; 11,7 м): 3 куска, 2 стык(а) на стержень × 2 стерж.</t>
  </si>
  <si>
    <t xml:space="preserve">АС-58 «Деталь стыка арматуры армирования плиты»: нахлёст 560 мм для Ø14</t>
  </si>
  <si>
    <t xml:space="preserve">Чистая длина 25.825 м; кусков 3; стыков 2; Lнахл=2×0.560=1.12 м на стержень</t>
  </si>
  <si>
    <t xml:space="preserve">Торцевой стержень края плиты (сеч.6-6) 2Ø14, по оси 5</t>
  </si>
  <si>
    <t xml:space="preserve">АС-55 сеч.6-6 поз.8</t>
  </si>
  <si>
    <t xml:space="preserve">Нахлёсты стыков к поз. «Торцевой стержень края плиты (сеч.6-6) 2Ø14, по оси 5» (L=20.525 м &gt; 11,7 м): 2 куска, 1 стык(а) на стержень × 2 стерж.</t>
  </si>
  <si>
    <t xml:space="preserve">Чистая длина 20.525 м; кусков 2; стыков 1; Lнахл=1×0.560=0.56 м на стержень</t>
  </si>
  <si>
    <t xml:space="preserve">Пешка (П-образная) края плиты ш.400: 25825/400+1=66 + 20525/400+1=53</t>
  </si>
  <si>
    <t xml:space="preserve">АС-55 сеч.6-6 поз.14; АС-58 поз.14 L=700</t>
  </si>
  <si>
    <t xml:space="preserve">вся плита</t>
  </si>
  <si>
    <t xml:space="preserve">Ф-1</t>
  </si>
  <si>
    <t xml:space="preserve">Фиксатор верхней сетки Ø10 ш.800×800 шахм.: 542.0 м² / 0,64 = 847 шт</t>
  </si>
  <si>
    <t xml:space="preserve">800×800</t>
  </si>
  <si>
    <t xml:space="preserve">АС-55 «Фиксатор» (длина в проекте не указана)</t>
  </si>
  <si>
    <t xml:space="preserve">ДЛИНА ПРИНЯТА (уточнить)</t>
  </si>
  <si>
    <t xml:space="preserve">П-фикс</t>
  </si>
  <si>
    <t xml:space="preserve">шп</t>
  </si>
  <si>
    <t xml:space="preserve">Шпилька Ø8 ш.800 шахм. между сетками: 847 шт</t>
  </si>
  <si>
    <t xml:space="preserve">800</t>
  </si>
  <si>
    <t xml:space="preserve">АС-55 «Фрагмент армирования перекрытия» (длина в проекте не указана)</t>
  </si>
  <si>
    <t xml:space="preserve">1.5. БАЛКИ МОНОЛИТНОЙ ПЛИТЫ (сеч. 1-1…5-5) — отм. +3.950</t>
  </si>
  <si>
    <t xml:space="preserve">Плита перекрытия — балки</t>
  </si>
  <si>
    <t xml:space="preserve">ось ~3250, А–Г</t>
  </si>
  <si>
    <t xml:space="preserve">Б-1 (1-1)</t>
  </si>
  <si>
    <t xml:space="preserve">Балка VB1: продольные 2Ø25 верх + 2Ø25 низ</t>
  </si>
  <si>
    <t xml:space="preserve">АС-55 сеч.1-1; АС-57 узлы «1»,«2» (до наружной грани ригеля, Аш)</t>
  </si>
  <si>
    <t xml:space="preserve">Б-основная</t>
  </si>
  <si>
    <t xml:space="preserve">ось ~9800, А–Г</t>
  </si>
  <si>
    <t xml:space="preserve">Балка VB2: продольные 2Ø25 верх + 2Ø25 низ</t>
  </si>
  <si>
    <t xml:space="preserve">ось ~17275, А–В</t>
  </si>
  <si>
    <t xml:space="preserve">Балка VB3: продольные 2Ø25 верх + 2Ø25 низ</t>
  </si>
  <si>
    <t xml:space="preserve">ось ~22000, А–Г</t>
  </si>
  <si>
    <t xml:space="preserve">Балка VB4: продольные 2Ø25 верх + 2Ø25 низ</t>
  </si>
  <si>
    <t xml:space="preserve">Y≈3250, оси 1–5</t>
  </si>
  <si>
    <t xml:space="preserve">Балка HB1: продольные 2Ø25 верх + 2Ø25 низ</t>
  </si>
  <si>
    <t xml:space="preserve">Y≈10000, оси 1–5</t>
  </si>
  <si>
    <t xml:space="preserve">Балка HB2: продольные 2Ø25 верх + 2Ø25 низ</t>
  </si>
  <si>
    <t xml:space="preserve">Y≈16750, оси 1–3</t>
  </si>
  <si>
    <t xml:space="preserve">Балка HB3a: продольные 2Ø25 верх + 2Ø25 низ</t>
  </si>
  <si>
    <t xml:space="preserve">Y≈16960, оси 3–5</t>
  </si>
  <si>
    <t xml:space="preserve">Б-5 (5-5)+Б-1</t>
  </si>
  <si>
    <t xml:space="preserve">Балка HB3b: продольные 2Ø25 верх + 2Ø25 низ</t>
  </si>
  <si>
    <t xml:space="preserve">АС-55 сеч.5-5; АС-57 узлы «1»,«2» (до наружной грани ригеля, Аш)</t>
  </si>
  <si>
    <t xml:space="preserve">X≈17550, В–балка 5-5</t>
  </si>
  <si>
    <t xml:space="preserve">Б-2 (2-2)</t>
  </si>
  <si>
    <t xml:space="preserve">Балка B2a: продольные 2Ø25 верх + 2Ø25 низ</t>
  </si>
  <si>
    <t xml:space="preserve">АС-55 сеч.2-2; АС-57 узлы «1»,«2» (до наружной грани ригеля, Аш)</t>
  </si>
  <si>
    <t xml:space="preserve">X≈18650, балка 5-5–Г</t>
  </si>
  <si>
    <t xml:space="preserve">Балка B2b: продольные 2Ø25 верх + 2Ø25 низ</t>
  </si>
  <si>
    <t xml:space="preserve">Y≈14310, 14800…17400</t>
  </si>
  <si>
    <t xml:space="preserve">Б-4 (4-4)</t>
  </si>
  <si>
    <t xml:space="preserve">Балка B4a: продольные 2Ø20 верх + 2Ø20 низ</t>
  </si>
  <si>
    <t xml:space="preserve">АС-55 сеч.4-4; АС-57 узлы «1»,«2» (до наружной грани ригеля, Аш)</t>
  </si>
  <si>
    <t xml:space="preserve">X≈14700, В–балка 5-5</t>
  </si>
  <si>
    <t xml:space="preserve">Балка B4b: продольные 2Ø20 верх + 2Ø20 низ</t>
  </si>
  <si>
    <t xml:space="preserve">Y≈12965, 13725…17125</t>
  </si>
  <si>
    <t xml:space="preserve">Балка B4c: продольные 2Ø20 верх + 2Ø20 низ</t>
  </si>
  <si>
    <t xml:space="preserve">Y≈8940, 22150…24775</t>
  </si>
  <si>
    <t xml:space="preserve">Балка B4d: продольные 2Ø20 верх + 2Ø20 низ</t>
  </si>
  <si>
    <t xml:space="preserve">Э1 (эркер у оси 1, Г–В)</t>
  </si>
  <si>
    <t xml:space="preserve">Б-3 (3-3)</t>
  </si>
  <si>
    <t xml:space="preserve">Краевая балка эркера, участок 1: 4Ø22 (2 верх + 2 низ)</t>
  </si>
  <si>
    <t xml:space="preserve">АС-55 сеч.3-3 поз.4; контур АС-47</t>
  </si>
  <si>
    <t xml:space="preserve">Краевая балка эркера, участок 2: 4Ø22 (2 верх + 2 низ)</t>
  </si>
  <si>
    <t xml:space="preserve">Краевая балка эркера, участок 3: 4Ø22 (2 верх + 2 низ)</t>
  </si>
  <si>
    <t xml:space="preserve">Э2 (эркер у оси 1, В–Б)</t>
  </si>
  <si>
    <t xml:space="preserve">Э3 (эркер у оси А, 1–2)</t>
  </si>
  <si>
    <t xml:space="preserve">Э4 (эркер у оси А, 2–4)</t>
  </si>
  <si>
    <t xml:space="preserve">Краевая балка эркера, участок 4: 4Ø22 (2 верх + 2 низ)</t>
  </si>
  <si>
    <t xml:space="preserve">углы эркеров, концы балок</t>
  </si>
  <si>
    <t xml:space="preserve">узлы «Б»,«В»,«Г»</t>
  </si>
  <si>
    <t xml:space="preserve">Угловой Г-образный стержень Ø18 L=1200 (узлы «Г» × 8 по 2 шт.; «В» × 1 по 4 шт.; в узле «Б» Ø18 нет)</t>
  </si>
  <si>
    <t xml:space="preserve">АС-56 узел «В»; АС-57 узел «Г» (узел «Б» АС-56 — без Ø18)</t>
  </si>
  <si>
    <t xml:space="preserve">Б-допник</t>
  </si>
  <si>
    <t xml:space="preserve">все балки сечения 1-1</t>
  </si>
  <si>
    <t xml:space="preserve">Б (1-1)</t>
  </si>
  <si>
    <t xml:space="preserve">Хомуты балок сеч.1-1: хом.Ø8 L=1240 (поз.10); шаг 100 у опор (×10 при L&gt;6 м, ×7 при L&lt;6 м) и ×3 у пересечений, 200 в пролёте</t>
  </si>
  <si>
    <t xml:space="preserve">АС-55 сеч.1-1; АС-57 «Шаг хомутов»; АС-56/57 узел «Д»; АС-58 ведомость</t>
  </si>
  <si>
    <t xml:space="preserve">Б-хомуты</t>
  </si>
  <si>
    <t xml:space="preserve">все балки сечения 2-2</t>
  </si>
  <si>
    <t xml:space="preserve">Б (2-2)</t>
  </si>
  <si>
    <t xml:space="preserve">Хомуты балок сеч.2-2: хом.Ø8 L=1240 (поз.10); шаг 100 у опор (×10 при L&gt;6 м, ×7 при L&lt;6 м) и ×3 у пересечений, 200 в пролёте</t>
  </si>
  <si>
    <t xml:space="preserve">АС-55 сеч.2-2; АС-57 «Шаг хомутов»; АС-56/57 узел «Д»; АС-58 ведомость</t>
  </si>
  <si>
    <t xml:space="preserve">все балки сечения 5-5</t>
  </si>
  <si>
    <t xml:space="preserve">Б (5-5)</t>
  </si>
  <si>
    <t xml:space="preserve">Хомуты балок сеч.5-5: хом.Ø8 L=1440 (поз.12); шаг 100 у опор (×10 при L&gt;6 м, ×7 при L&lt;6 м) и ×3 у пересечений, 200 в пролёте</t>
  </si>
  <si>
    <t xml:space="preserve">АС-55 сеч.5-5; АС-57 «Шаг хомутов»; АС-56/57 узел «Д»; АС-58 ведомость</t>
  </si>
  <si>
    <t xml:space="preserve">все балки сечения 4-4</t>
  </si>
  <si>
    <t xml:space="preserve">Б (4-4)</t>
  </si>
  <si>
    <t xml:space="preserve">Хомуты балок сеч.4-4: хом.Ø8 L=1040 (поз.13); шаг 100 у опор (×10 при L&gt;6 м, ×7 при L&lt;6 м) и ×3 у пересечений, 200 в пролёте</t>
  </si>
  <si>
    <t xml:space="preserve">АС-55 сеч.4-4; АС-57 «Шаг хомутов»; АС-56/57 узел «Д»; АС-58 ведомость</t>
  </si>
  <si>
    <t xml:space="preserve">все балки сечения 3-3</t>
  </si>
  <si>
    <t xml:space="preserve">Б (3-3)</t>
  </si>
  <si>
    <t xml:space="preserve">Хомуты балок сеч.3-3: хом.Ø8 L=1140 (поз.11); шаг 100 у опор (×10 при L&gt;6 м, ×7 при L&lt;6 м) и ×3 у пересечений, 200 в пролёте</t>
  </si>
  <si>
    <t xml:space="preserve">АС-55 сеч.3-3; АС-57 «Шаг хомутов»; АС-56/57 узел «Д»; АС-58 ведомость</t>
  </si>
  <si>
    <t xml:space="preserve">1.6. СЕТКИ-ГРЕБЁНКИ С-1 в узлах колонна–ригель — отм. +3.950</t>
  </si>
  <si>
    <t xml:space="preserve">Сетки-гребёнки С-1</t>
  </si>
  <si>
    <t xml:space="preserve">узлы колонна–ригель, отм. +3.950 (20 узлов)</t>
  </si>
  <si>
    <t xml:space="preserve">С-1: 7Ø10 (1 гребень + 6 зубьев по 570 мм); 20 узлов × 5 рядов по высоте узла × 2 (попарно) = 200 сеток на одно перекрытие</t>
  </si>
  <si>
    <t xml:space="preserve">АС-30 «Сетка гребенка С-1»; АС-29 узел «2»: в зоне узла 630 нарисовано 5 рядов С-1 с выноской «установить попарно шаг 90»; АС-30/31 узлы «5»,«6»,«7»</t>
  </si>
  <si>
    <t xml:space="preserve">1.7. ЛЕСТНИЦА ЛВ-1 и рама Лрм — марш 1 0.000→1.920, марш 2 1.920→4.000, площадка 1.920, Лрм-1</t>
  </si>
  <si>
    <t xml:space="preserve">Лестница ЛВ-1</t>
  </si>
  <si>
    <t xml:space="preserve">оси 3–4 / Г (А-А АС-67)</t>
  </si>
  <si>
    <t xml:space="preserve">ЛВ-1 марш 1</t>
  </si>
  <si>
    <t xml:space="preserve">Рабочие продольные 18Ø18 ш.150 (9 верх + 9 низ), марш 1 (0.000→1.920), 12×160 / 12×300; сквозные через площадку 1.920 до Лрм-1</t>
  </si>
  <si>
    <t xml:space="preserve">АС-68 сеч.а-а «18Ø18 А500С ш.150», узлы «2»–«6»; АС-67 разрез</t>
  </si>
  <si>
    <t xml:space="preserve">L = 0.50 (узел «2» АС-68: заход в ж/б балку перекрытия (принято 0,50 м)) + 4.080 (наклон √(3.6²+1.92²)) + 1.35 (площадка до Лрм-1)</t>
  </si>
  <si>
    <t xml:space="preserve">оси 3–4 / Г</t>
  </si>
  <si>
    <t xml:space="preserve">Поперечные Ø10 А500С ш.50/100/200 (2 ряда), L=1250−2×30</t>
  </si>
  <si>
    <t xml:space="preserve">50/100/200</t>
  </si>
  <si>
    <t xml:space="preserve">АС-68 сеч.а-а поз.2; узлы «2»–«6» «50×4, 100×4, 200×n» от каждого конца марша</t>
  </si>
  <si>
    <t xml:space="preserve">31 шт в ряду × 2 ряда; длина марша по наклону 4.080 м</t>
  </si>
  <si>
    <t xml:space="preserve">П-образный Ø10 А240 L=520 по двум продольным краям марша, ш.50/100/200</t>
  </si>
  <si>
    <t xml:space="preserve">АС-68 сеч.а-а поз.4 «Ø10 А240 ш.50,100,200 L=520»; АС-67 «П-образный Ø10 А240 L=520»</t>
  </si>
  <si>
    <t xml:space="preserve">Шпилька Ø6 А240 L=280 ш.300 в шахматном порядке</t>
  </si>
  <si>
    <t xml:space="preserve">300 шахм.</t>
  </si>
  <si>
    <t xml:space="preserve">АС-68 сеч.а-а поз.3 «Ø6 А240 L=280 шаг 300 в шахм. порядке»</t>
  </si>
  <si>
    <t xml:space="preserve">По площади: 4.080 × 0,90 (между краевыми каркасами) / 0,09 м² = 41 шт</t>
  </si>
  <si>
    <t xml:space="preserve">Сетка С-1 5/5/100/100 (Ø5 Вр-I, яч. 100×100) по ступеням: проволока 20 м на 1 м²</t>
  </si>
  <si>
    <t xml:space="preserve">Вр-I</t>
  </si>
  <si>
    <t xml:space="preserve">100×100</t>
  </si>
  <si>
    <t xml:space="preserve">АС-68 узлы «2»–«6» «Сетка С-1 5/5/100/100»</t>
  </si>
  <si>
    <t xml:space="preserve">Площадь = развёртка ступеней (12×0,16 + 12×0,30 = 5.52 м) × 1,25 = 6.9 м²; масса 20 м/м² × 0,154 = 3,08 кг/м²</t>
  </si>
  <si>
    <t xml:space="preserve">ЛВ-1 марш 2</t>
  </si>
  <si>
    <t xml:space="preserve">Рабочие продольные 18Ø18 ш.150 (9 верх + 9 низ), марш 2 (1.920→4.000), 13×160 / 12×300; сквозные через площадку 1.920 до Лрм-1</t>
  </si>
  <si>
    <t xml:space="preserve">L = 1.00 (узлы «3», «4» АС-68: заход в плиту перекрытия 1000 мм) + 4.158 (наклон √(3.6²+2.08²)) + 1.35 (площадка до Лрм-1)</t>
  </si>
  <si>
    <t xml:space="preserve">32 шт в ряду × 2 ряда; длина марша по наклону 4.158 м</t>
  </si>
  <si>
    <t xml:space="preserve">По площади: 4.158 × 0,90 (между краевыми каркасами) / 0,09 м² = 42 шт</t>
  </si>
  <si>
    <t xml:space="preserve">Площадь = развёртка ступеней (13×0,16 + 12×0,30 = 5.68 м) × 1,25 = 7.1 м²; масса 20 м/м² × 0,154 = 3,08 кг/м²</t>
  </si>
  <si>
    <t xml:space="preserve">ось 3 / Г, отм. 1.920</t>
  </si>
  <si>
    <t xml:space="preserve">ЛВ-1 площадка</t>
  </si>
  <si>
    <t xml:space="preserve">Поперечные Ø10 А500С ш.100 в площадке (2 полосы × 2 ряда), L=1190</t>
  </si>
  <si>
    <t xml:space="preserve">АС-68 сеч.б-б поз.2; узлы «5», «6» «100×n»</t>
  </si>
  <si>
    <t xml:space="preserve">14 шт в ряду на длине 1.35 м</t>
  </si>
  <si>
    <t xml:space="preserve">Л-пл</t>
  </si>
  <si>
    <t xml:space="preserve">П-образный Ø10 А240 L=520 по краям полос площадки</t>
  </si>
  <si>
    <t xml:space="preserve">АС-68 сеч.б-б поз.4</t>
  </si>
  <si>
    <t xml:space="preserve">Связь полос Ø10 А500С ш.100 L=600 (верх и низ) через шов 130 мм</t>
  </si>
  <si>
    <t xml:space="preserve">АС-68 сеч.б-б поз.5 «Ø10 А500С ш.100 L=600»</t>
  </si>
  <si>
    <t xml:space="preserve">Шпилька Ø6 А240 L=280 ш.300 в шахм. порядке</t>
  </si>
  <si>
    <t xml:space="preserve">АС-68 сеч.б-б поз.3</t>
  </si>
  <si>
    <t xml:space="preserve">2 × 1.35 × 0,90 / 0,09 = 28 шт</t>
  </si>
  <si>
    <t xml:space="preserve">Зд-1</t>
  </si>
  <si>
    <t xml:space="preserve">Анкеры закладной Зд-1: 2Ø10 + 2Ø10 А500С L=480 на 1 Зд-1, Зд-1 — 2 шт</t>
  </si>
  <si>
    <t xml:space="preserve">АС-67 узел «1», «Зд-1» поз.2</t>
  </si>
  <si>
    <t xml:space="preserve">Кол-во Зд-1 принято по числу анкеров А-1 (привязка «Анкер А-1» на АС-69).</t>
  </si>
  <si>
    <t xml:space="preserve">ось 3, от оси Г 2855</t>
  </si>
  <si>
    <t xml:space="preserve">Ригель рамы 300×300: 4Ø25 (концы с Аш-6)</t>
  </si>
  <si>
    <t xml:space="preserve">АС-69 «Рама Лрм-1», сеч.2-2 поз.1 «4Ø25 А500С»</t>
  </si>
  <si>
    <t xml:space="preserve">L = 2855 − 40 (защ. слой у стойки) + 250 (заход в ригель/колонну по оси Г до Аш-6)</t>
  </si>
  <si>
    <t xml:space="preserve">Л-рама</t>
  </si>
  <si>
    <t xml:space="preserve">Стойка рамы 300×300: 4Ø25 (низ — 550 ниже -0.050 с Аш-6)</t>
  </si>
  <si>
    <t xml:space="preserve">АС-69 сеч.1-1 поз.1 «4Ø25 А500С»; «550» ниже отм. -0.050</t>
  </si>
  <si>
    <t xml:space="preserve">L = 500 (ниже -0.050, до Аш-6) + 1820 (-0.050…1.770) − 40 (защ. слой)</t>
  </si>
  <si>
    <t xml:space="preserve">ось 3</t>
  </si>
  <si>
    <t xml:space="preserve">1 (хом.)</t>
  </si>
  <si>
    <t xml:space="preserve">Хомут стойки Ø8 А240 L=1280 ш.100 (50 + 100×n + 50 на высоту 1520)</t>
  </si>
  <si>
    <t xml:space="preserve">АС-69 сеч.1-1, «Позиция 1 L=1280»</t>
  </si>
  <si>
    <t xml:space="preserve">2 (хом.)</t>
  </si>
  <si>
    <t xml:space="preserve">Хомут ригеля Ø8 А240 L=1160 ш.100 (50 + 100×n + 50 на пролёте 2225)</t>
  </si>
  <si>
    <t xml:space="preserve">АС-69 сеч.2-2, «Позиция 2 L=1160»</t>
  </si>
  <si>
    <t xml:space="preserve">А-1</t>
  </si>
  <si>
    <t xml:space="preserve">Анкер А-1 Ø16 А240 L=420 (опора площадки на Лрм)</t>
  </si>
  <si>
    <t xml:space="preserve">АС-67 узел «1» и «Вид в-в» «Анкер А-1 Ø16 А240 L=420»; привязка на АС-69</t>
  </si>
  <si>
    <t xml:space="preserve">На АС-69 сеч.2-2 этот стержень подписан «Ø16 А240 L=310» — противоречие, принято 420 по узлу «1».</t>
  </si>
  <si>
    <t xml:space="preserve">2 ЭТАЖ (+3.950…+7.550)</t>
  </si>
  <si>
    <t xml:space="preserve">2.1. ДИАФРАГМЫ Дм-1…Дм-5 — отм. +3.950…+7.550, сечения 2-2 / 3-3 «2 этаж»</t>
  </si>
  <si>
    <t xml:space="preserve">2 этаж (отм. +3.950…+7.550)</t>
  </si>
  <si>
    <t xml:space="preserve">Вертикальные: колонна, угловые 4Ø28</t>
  </si>
  <si>
    <t xml:space="preserve">АС-35 сеч.2-2 «2 этаж»; прим.1,3</t>
  </si>
  <si>
    <t xml:space="preserve">стык ванной сваркой (Ø≥20), длина = высота этажа 3,6 м. поз.2 4Ø28</t>
  </si>
  <si>
    <t xml:space="preserve">Вертикальные: колонна 8Ø20</t>
  </si>
  <si>
    <t xml:space="preserve">стык ванной сваркой (Ø≥20), длина = высота этажа 3,6 м. поз.5 8Ø20</t>
  </si>
  <si>
    <t xml:space="preserve">Вертикальные: полка: 2 торцевых эл-та по 6 (выноски «3Ø25» + 3 симметр.)</t>
  </si>
  <si>
    <t xml:space="preserve">стык ванной сваркой (Ø≥20), длина = высота этажа 3,6 м. выноски «3Ø25» на нижний ряд + верхний ряд симметрично</t>
  </si>
  <si>
    <t xml:space="preserve">Вертикальные: полка, стенка (выноски «2Ø16» + 2 симметр., ×2 стороны)</t>
  </si>
  <si>
    <t xml:space="preserve">нахлёст 8d со сваркой (Ø≤18), учтён в длине. «6 2Ø16» ×2</t>
  </si>
  <si>
    <t xml:space="preserve">Вертикальные: ребро, торцевой эл-т (выноска «3Ø25» + 3 симметр.)</t>
  </si>
  <si>
    <t xml:space="preserve">стык ванной сваркой (Ø≥20), длина = высота этажа 3,6 м. «3 3Ø25»</t>
  </si>
  <si>
    <t xml:space="preserve">Вертикальные: ребро, стенка (выноска «2Ø16» + 2 симметр.)</t>
  </si>
  <si>
    <t xml:space="preserve">нахлёст 8d со сваркой (Ø≤18), учтён в длине. «6 2Ø16»</t>
  </si>
  <si>
    <t xml:space="preserve">Вертикальные: ребро, стенка (выноска «4Ø14» + 4 симметр.)</t>
  </si>
  <si>
    <t xml:space="preserve">нахлёст 8d со сваркой (Ø≤18), учтён в длине. «7 4Ø14»</t>
  </si>
  <si>
    <t xml:space="preserve">АС-35 развертка 2 этажа, шаг 200x14+100 (16 рядов × 2 грани)</t>
  </si>
  <si>
    <t xml:space="preserve">развертка «Осн. стержни Ø14» (2 этаж)</t>
  </si>
  <si>
    <t xml:space="preserve">развертка «Осн. стержни Ø16» (2 этаж)</t>
  </si>
  <si>
    <t xml:space="preserve">Доп. стержни: ось А над +3.950, 10Ø14 L=1950</t>
  </si>
  <si>
    <t xml:space="preserve">АС-35 развертка, выноска «Доп. стержень»</t>
  </si>
  <si>
    <t xml:space="preserve">Доп. стержни: ось А под ригелем +7.550, 14Ø12 L=1950</t>
  </si>
  <si>
    <t xml:space="preserve">Доп. стержни: ось 4 над +3.950, 6Ø14 L=1200</t>
  </si>
  <si>
    <t xml:space="preserve">Доп. стержни: ось 4 под ригелем +7.550, 6Ø14 L=1200</t>
  </si>
  <si>
    <t xml:space="preserve">П-образный стержень на торцах: 3 шт/ряд × 16 рядов</t>
  </si>
  <si>
    <t xml:space="preserve">сечение 2-2; АС-42 ведомость деталей поз.14 L=1330</t>
  </si>
  <si>
    <t xml:space="preserve">Хомут торцевого элемента полки Ø8: 2 шт/ряд × 16</t>
  </si>
  <si>
    <t xml:space="preserve">сечение 2-2 «12 хом.Ø8 ш.200»; АС-42 ведомость деталей поз.12 L=1560</t>
  </si>
  <si>
    <t xml:space="preserve">Хомут торцевого элемента Ø8: 1 шт/ряд × 16</t>
  </si>
  <si>
    <t xml:space="preserve">сечение 2-2 «15 хом.Ø8 ш.200»; АС-42 ведомость деталей поз.15 L=1760</t>
  </si>
  <si>
    <t xml:space="preserve">Хомут колонны наружный (100×12 у опор, 200 в середине) — 28 шт</t>
  </si>
  <si>
    <t xml:space="preserve">АС-32 (2÷4 этаж: 50+100×12+200×n+100×12+50+600); АС-42 ведомость деталей поз.10 L=2440</t>
  </si>
  <si>
    <t xml:space="preserve">Хомут колонны внутренний: 2 шт/ряд × 16</t>
  </si>
  <si>
    <t xml:space="preserve">сечение 2-2 «ш.200»; АС-42 ведомость деталей поз.11 L=1960</t>
  </si>
  <si>
    <t xml:space="preserve">Шпилька ш.400 в шахм. порядке: 10 мест × 8 рядов</t>
  </si>
  <si>
    <t xml:space="preserve">сечение 2-2, прим.6; АС-42 ведомость деталей поз.13 L=530</t>
  </si>
  <si>
    <t xml:space="preserve">АС-37 сеч.3-3 «2 этаж»; прим.1,3</t>
  </si>
  <si>
    <t xml:space="preserve">стык ванной сваркой (Ø≥20), длина = высота этажа 3,6 м. поз.2</t>
  </si>
  <si>
    <t xml:space="preserve">Вертикальные: колонна 8Ø20 (выноски «2Ø20» ×2 + симметр.)</t>
  </si>
  <si>
    <t xml:space="preserve">стык ванной сваркой (Ø≥20), длина = высота этажа 3,6 м. поз.5</t>
  </si>
  <si>
    <t xml:space="preserve">Вертикальные: полка, стенка (выноска «2Ø20» + 2 симметр.)</t>
  </si>
  <si>
    <t xml:space="preserve">стык ванной сваркой (Ø≥20), длина = высота этажа 3,6 м. «5 2Ø20»</t>
  </si>
  <si>
    <t xml:space="preserve">Вертикальные: полка, торцевой эл-т (выноска «3Ø25» + 3 симметр.)</t>
  </si>
  <si>
    <t xml:space="preserve">Вертикальные: ребро, стенка (выноски «2Ø18» и «4Ø18» + симметр.)</t>
  </si>
  <si>
    <t xml:space="preserve">нахлёст 8d со сваркой (Ø≤18), учтён в длине. «6 2Ø18» + «6 4Ø18»</t>
  </si>
  <si>
    <t xml:space="preserve">АС-37 развертка 2 этажа, шаг 200x14+100 (16 рядов × 2 грани)</t>
  </si>
  <si>
    <t xml:space="preserve">Доп. стержни: ось А над +3.950, 10Ø12 L=1250</t>
  </si>
  <si>
    <t xml:space="preserve">АС-37 развертка, выноска «Доп. стержень»</t>
  </si>
  <si>
    <t xml:space="preserve">Доп. стержни: ось 2 над +3.950, 6Ø14 L=1200</t>
  </si>
  <si>
    <t xml:space="preserve">Доп. стержни: ось 2 под ригелем +7.550, 6Ø12 L=1200</t>
  </si>
  <si>
    <t xml:space="preserve">П-образный стержень на торцах: 2 шт/ряд × 16 рядов</t>
  </si>
  <si>
    <t xml:space="preserve">сечение 3-3; АС-42 ведомость деталей поз.14 L=1330</t>
  </si>
  <si>
    <t xml:space="preserve">Хомут торцевого элемента полки Ø8: 1 шт/ряд × 16</t>
  </si>
  <si>
    <t xml:space="preserve">сечение 3-3 «12 хом.Ø8 ш.200»; АС-42 ведомость деталей поз.12 L=1560</t>
  </si>
  <si>
    <t xml:space="preserve">сечение 3-3 «15 хом.Ø8 ш.200»; АС-42 ведомость деталей поз.15 L=1760</t>
  </si>
  <si>
    <t xml:space="preserve">сечение 3-3 «ш.200»; АС-42 ведомость деталей поз.11 L=1960</t>
  </si>
  <si>
    <t xml:space="preserve">Шпилька ш.400 в шахм. порядке: 7 мест × 8 рядов</t>
  </si>
  <si>
    <t xml:space="preserve">сечение 3-3, прим.6; АС-42 ведомость деталей поз.13 L=530</t>
  </si>
  <si>
    <t xml:space="preserve">АС-39 сеч.2-2 «2 этаж»; прим.1,3</t>
  </si>
  <si>
    <t xml:space="preserve">Вертикальные: полка: 2 торцевых эл-та по 6 («3Ø25» + 3 симметр.)</t>
  </si>
  <si>
    <t xml:space="preserve">стык ванной сваркой (Ø≥20), длина = высота этажа 3,6 м. «3 3Ø25» ×2</t>
  </si>
  <si>
    <t xml:space="preserve">Вертикальные: полка, стенка («2Ø18» + 2 симметр., ×2 стороны)</t>
  </si>
  <si>
    <t xml:space="preserve">нахлёст 8d со сваркой (Ø≤18), учтён в длине. «6 2Ø18» ×2</t>
  </si>
  <si>
    <t xml:space="preserve">Вертикальные: ребро, стенка («3Ø18» + 3 симметр.)</t>
  </si>
  <si>
    <t xml:space="preserve">нахлёст 8d со сваркой (Ø≤18), учтён в длине. «6 3Ø18»</t>
  </si>
  <si>
    <t xml:space="preserve">Вертикальные: ребро, торцевой эл-т («3Ø25» + 3 симметр.)</t>
  </si>
  <si>
    <t xml:space="preserve">АС-39 развертка 2 этажа, шаг 200x14+100 (16 рядов × 2 грани)</t>
  </si>
  <si>
    <t xml:space="preserve">Доп. стержни: ось Г над +3.950, 8Ø16 L=1950</t>
  </si>
  <si>
    <t xml:space="preserve">АС-39 развертка, выноска «Доп. стержень»</t>
  </si>
  <si>
    <t xml:space="preserve">Доп. стержни: ось Г под ригелем +7.550, 6Ø10 L=1950</t>
  </si>
  <si>
    <t xml:space="preserve">Доп. стержни: ось 2 над +3.950, 10Ø16 L=1450</t>
  </si>
  <si>
    <t xml:space="preserve">Доп. стержни: ось 2 под ригелем +7.550, 6Ø10 L=1450</t>
  </si>
  <si>
    <t xml:space="preserve">Шпилька ш.400 в шахм. порядке: 9 мест × 8 рядов</t>
  </si>
  <si>
    <t xml:space="preserve">АС-40 сеч.2-2 «2 этаж»; прим.1,3</t>
  </si>
  <si>
    <t xml:space="preserve">Вертикальные: колонна 8Ø20 («2Ø20» ×2 + симметр.)</t>
  </si>
  <si>
    <t xml:space="preserve">Вертикальные: стенка («3Ø16» + 3 симметр.)</t>
  </si>
  <si>
    <t xml:space="preserve">нахлёст 8d со сваркой (Ø≤18), учтён в длине. «7 3Ø16»</t>
  </si>
  <si>
    <t xml:space="preserve">Вертикальные: торцевой эл-т («3Ø25» + 3 симметр.)</t>
  </si>
  <si>
    <t xml:space="preserve">АС-40 развертка 2 этажа, шаг 200x14+100 (16 рядов × 2 грани)</t>
  </si>
  <si>
    <t xml:space="preserve">Доп. стержни: над +3.950, 6Ø14 L=1450</t>
  </si>
  <si>
    <t xml:space="preserve">Доп. стержни: под ригелем +7.550, 6Ø14 L=1450</t>
  </si>
  <si>
    <t xml:space="preserve">П-образный стержень на торцах: 1 шт/ряд × 16 рядов</t>
  </si>
  <si>
    <t xml:space="preserve">Шпилька ш.400 в шахм. порядке: 3 мест × 8 рядов</t>
  </si>
  <si>
    <t xml:space="preserve">АС-42 сеч.2-2 «2 этаж»; прим.1,3</t>
  </si>
  <si>
    <t xml:space="preserve">Вертикальные: полка, торцевой эл-т («3Ø25» + 3 симметр.)</t>
  </si>
  <si>
    <t xml:space="preserve">Вертикальные: полка, стенка («2Ø16» + 2 симметр.)</t>
  </si>
  <si>
    <t xml:space="preserve">нахлёст 8d со сваркой (Ø≤18), учтён в длине. «7 2Ø16»</t>
  </si>
  <si>
    <t xml:space="preserve">Вертикальные: ребро, торцевой эл-т («3Ø22» + 3 симметр.)</t>
  </si>
  <si>
    <t xml:space="preserve">стык ванной сваркой (Ø≥20), длина = высота этажа 3,6 м. «4 3Ø22»</t>
  </si>
  <si>
    <t xml:space="preserve">АС-42 развертка 2 этажа, шаг 200x14+100 (16 рядов × 2 грани)</t>
  </si>
  <si>
    <t xml:space="preserve">развертка «Осн. стержни Ø12» (2 этаж)</t>
  </si>
  <si>
    <t xml:space="preserve">Доп. стержни: ось Г над +3.950, 10Ø12 L=1250</t>
  </si>
  <si>
    <t xml:space="preserve">АС-42 развертка, выноска «Доп. стержень»</t>
  </si>
  <si>
    <t xml:space="preserve">Доп. стержни: ось Г под ригелем +7.550, 6Ø12 L=1250 (половина выноски «12Ø12» на два яруса)</t>
  </si>
  <si>
    <t xml:space="preserve">Доп. стержни: ось 4 над +3.950, 6Ø14 L=1450</t>
  </si>
  <si>
    <t xml:space="preserve">Доп. стержни: ось 4 под ригелем +7.550, 6Ø14 L=1450</t>
  </si>
  <si>
    <t xml:space="preserve">Шпилька ш.400 в шахм. порядке: 6 мест × 8 рядов</t>
  </si>
  <si>
    <t xml:space="preserve">2.2. КОЛОННЫ 600×600 вне диафрагм (15 шт) — 2-2 (4Ø28+8Ø20) у А/1, В/1, Г/1, Г/5; 1-1 (4Ø32+8Ø20) у остальных 11, H=3,6 м</t>
  </si>
  <si>
    <t xml:space="preserve">ось А: А/1</t>
  </si>
  <si>
    <t xml:space="preserve">Вертикальные: угловые 4Ø28 (сеч.2-2) — колонны А/1</t>
  </si>
  <si>
    <t xml:space="preserve">АС-28 сеч.«1-1 (2-2)» поз.(2) 4Ø28; на раме по оси А (АС-20…23) у этих колонн выноска «2-2 4Ø28 / 8Ø20» во 2 этаже</t>
  </si>
  <si>
    <t xml:space="preserve">Длина = высота этажа 3,6 м (стык ванной сваркой, разбежка 800/500). Выноска 2-2 действует со 2 этажа вверх.</t>
  </si>
  <si>
    <t xml:space="preserve">ось А: А/3, А/5</t>
  </si>
  <si>
    <t xml:space="preserve">Вертикальные: угловые 4Ø32 (сеч.1-1) — колонны А/3, А/5</t>
  </si>
  <si>
    <t xml:space="preserve">АС-28 сеч.1-1 поз.1 4Ø32; на раме по оси А у этих колонн выноска только «1-1 4Ø32 / 8Ø20» (в подвале), выноски 2-2 нет</t>
  </si>
  <si>
    <t xml:space="preserve">по проекту (уточнить)</t>
  </si>
  <si>
    <t xml:space="preserve">Длина = 3,6 м, стык ванной сваркой. Сечение не меняется до следующей выноски (у Б/4 — «3-3» на 5 этаже).</t>
  </si>
  <si>
    <t xml:space="preserve">Вертикальные: промежуточные 8Ø20 (сеч.1-1 и 2-2 одинаково)</t>
  </si>
  <si>
    <t xml:space="preserve">АС-28 сеч.1-1 (2-2) поз.5</t>
  </si>
  <si>
    <t xml:space="preserve">Длина = 3,6 м, стык ванной сваркой.</t>
  </si>
  <si>
    <t xml:space="preserve">Хомут наружный Ø8 L=2440: 13 + 2 + 13 = 28 шт</t>
  </si>
  <si>
    <t xml:space="preserve">АС-32 схема хомутов колонн (2÷4 этаж 3600: 50+100×12+200×n+100×12+50+600); АС-28 поз.10 L=2440</t>
  </si>
  <si>
    <t xml:space="preserve">Хомут внутренний Ø8 L=1960 ш.200: 2 шт × 16 рядов</t>
  </si>
  <si>
    <t xml:space="preserve">АС-28 «11 хом.Ø8 ш.200», поз.11 L=1960</t>
  </si>
  <si>
    <t xml:space="preserve">Вертикальные: угловые 4Ø32 (сеч.1-1) — колонны Б/1, Б/2, Б/3, Б/4, Б/5</t>
  </si>
  <si>
    <t xml:space="preserve">АС-28 сеч.1-1 поз.1 4Ø32; на раме по оси Б у этих колонн выноска только «1-1 4Ø32 / 8Ø20» (в подвале), выноски 2-2 нет</t>
  </si>
  <si>
    <t xml:space="preserve">ось В: В/1</t>
  </si>
  <si>
    <t xml:space="preserve">Вертикальные: угловые 4Ø28 (сеч.2-2) — колонны В/1</t>
  </si>
  <si>
    <t xml:space="preserve">АС-28 сеч.«1-1 (2-2)» поз.(2) 4Ø28; на раме по оси В (АС-20…23) у этих колонн выноска «2-2 4Ø28 / 8Ø20» во 2 этаже</t>
  </si>
  <si>
    <t xml:space="preserve">ось В: В/2, В/3, В/4, В/5</t>
  </si>
  <si>
    <t xml:space="preserve">Вертикальные: угловые 4Ø32 (сеч.1-1) — колонны В/2, В/3, В/4, В/5</t>
  </si>
  <si>
    <t xml:space="preserve">АС-28 сеч.1-1 поз.1 4Ø32; на раме по оси В у этих колонн выноска только «1-1 4Ø32 / 8Ø20» (в подвале), выноски 2-2 нет</t>
  </si>
  <si>
    <t xml:space="preserve">Вертикальные: угловые 4Ø28 (сеч.2-2) — колонны Г/1, Г/5</t>
  </si>
  <si>
    <t xml:space="preserve">АС-28 сеч.«1-1 (2-2)» поз.(2) 4Ø28; на раме по оси Г (АС-20…23) у этих колонн выноска «2-2 4Ø28 / 8Ø20» во 2 этаже</t>
  </si>
  <si>
    <t xml:space="preserve">2.3. РИГЕЛИ РАМ (450×600, сеч.4-4/5-5), 9 рам — отм. +7.550</t>
  </si>
  <si>
    <t xml:space="preserve">ось А (отм. +7.550)</t>
  </si>
  <si>
    <t xml:space="preserve">АС-20 рама + АС-28 сеч.4-4/5-5 поз.2; длина = 25000+2×250</t>
  </si>
  <si>
    <t xml:space="preserve">АС-20 (отм. 7.550): выноска «ОС 2Ø28 А500С»; длина по привязкам отдельных стержней</t>
  </si>
  <si>
    <t xml:space="preserve">Координаты от оси 1: 0…1800 мм; конец до торца крайней колонны (+250)</t>
  </si>
  <si>
    <t xml:space="preserve">АС-20 (отм. 7.550): выноска «ОС 2Ø25 А500С»; длина по привязкам отдельных стержней</t>
  </si>
  <si>
    <t xml:space="preserve">АС-20 (отм. 7.550): выноска «ОС 2Ø22 А500С»; длина по привязкам отдельных стержней</t>
  </si>
  <si>
    <t xml:space="preserve">АС-20 (отм. 7.550): выноска «ОС 2Ø32 А500С»; длина по привязкам отдельных стержней</t>
  </si>
  <si>
    <t xml:space="preserve">Координаты от оси 1: 17400…25000 мм; конец до торца крайней колонны (+250)</t>
  </si>
  <si>
    <t xml:space="preserve">АС-20 (отм. 7.550): выноска «ОС 2Ø16 А500С»; длина по привязкам отдельных стержней</t>
  </si>
  <si>
    <t xml:space="preserve">Координаты от оси 1: 0…9200 мм; конец до торца крайней колонны (+250)</t>
  </si>
  <si>
    <t xml:space="preserve">ОС низ: 2Ø20, участок 11800…15100 мм</t>
  </si>
  <si>
    <t xml:space="preserve">АС-20 (отм. 7.550): выноска «ОС 2Ø20 А500С»; длина по привязкам отдельных стержней</t>
  </si>
  <si>
    <t xml:space="preserve">ОС низ: 2Ø32, участок 17400…25000 мм + 250 до торца</t>
  </si>
  <si>
    <t xml:space="preserve">ОС низ 2-й ряд: 1Ø18, участок 17400…22200 мм</t>
  </si>
  <si>
    <t xml:space="preserve">АС-20 (отм. 7.550): выноска «ОС 1Ø18 А500С»; длина по привязкам отдельных стержней</t>
  </si>
  <si>
    <t xml:space="preserve">Координаты от оси 1: 17400…22200 мм</t>
  </si>
  <si>
    <t xml:space="preserve">Хомут Ø8 L=2060 ш.100 у опор, ш.150 в пролёте, 80×4 у балок — вне заштрихованных участков</t>
  </si>
  <si>
    <t xml:space="preserve">АС-28 поз.12; АС-29 «Расстановка хомутов в ригелях»</t>
  </si>
  <si>
    <t xml:space="preserve">Пролёты в свету [(300, 6200), (7500, 13200), (13800, 19000), (21000, 24700)]</t>
  </si>
  <si>
    <t xml:space="preserve">Хомут наружный Ø10 L=2060 ш.100 — заштрихованные участки</t>
  </si>
  <si>
    <t xml:space="preserve">АС-20 штриховка у отм. 7.550; АС-28 Фрагмент №1, поз.13</t>
  </si>
  <si>
    <t xml:space="preserve">Участки (мм): одинарные [(7500, 8700), (12100, 14900), (17600, 19000)], двойные [(21000, 22200)]</t>
  </si>
  <si>
    <t xml:space="preserve">Шпилька вертикальная Ø8 L=750: ш.200 у опор, ш.150 в пролёте</t>
  </si>
  <si>
    <t xml:space="preserve">Шпилька горизонтальная Ø8 L=580 ш.300</t>
  </si>
  <si>
    <t xml:space="preserve">АС-28 «шп.Ø8 А240 ш.300», поз.16 L=580</t>
  </si>
  <si>
    <t xml:space="preserve">ось Б (отм. +7.550)</t>
  </si>
  <si>
    <t xml:space="preserve">АС-21 рама + АС-28 сеч.4-4/5-5 поз.2; длина = 25000+2×250</t>
  </si>
  <si>
    <t xml:space="preserve">АС-21 (отм. 7.550): выноска «ОС 2Ø28 А500С»; длина по привязкам отдельных стержней</t>
  </si>
  <si>
    <t xml:space="preserve">ОС верх: 2Ø28, участок 4700…8400 мм</t>
  </si>
  <si>
    <t xml:space="preserve">ОС верх ств.: 2Ø22, участок 4700…8400 мм</t>
  </si>
  <si>
    <t xml:space="preserve">АС-21 (отм. 7.550): выноска «ОС 2Ø22 А500С»; длина по привязкам отдельных стержней</t>
  </si>
  <si>
    <t xml:space="preserve">ОС верх: 2Ø28, участок 23200…25000 мм + 250 до торца</t>
  </si>
  <si>
    <t xml:space="preserve">Координаты от оси 1: 23200…25000 мм; конец до торца крайней колонны (+250)</t>
  </si>
  <si>
    <t xml:space="preserve">АС-21 (отм. 7.550): выноска «ОС 2Ø16 А500С»; длина по привязкам отдельных стержней</t>
  </si>
  <si>
    <t xml:space="preserve">ОС низ: 2Ø16, участок 15300…21800 мм</t>
  </si>
  <si>
    <t xml:space="preserve">Координаты от оси 1: 15300…21800 мм</t>
  </si>
  <si>
    <t xml:space="preserve">ОС низ: 2Ø16, участок 23200…25000 мм + 250 до торца</t>
  </si>
  <si>
    <t xml:space="preserve">АС-21 (отм. 7.550): выноска «ОС 2Ø14 А500С»; длина по привязкам отдельных стержней</t>
  </si>
  <si>
    <t xml:space="preserve">АС-21 (отм. 7.550): выноска «Ос (бок) 4Ø12 А500С»; длина по привязкам отдельных стержней</t>
  </si>
  <si>
    <t xml:space="preserve">Пролёты в свету [(300, 6200), (6800, 13200), (13800, 19700), (20300, 24700)]</t>
  </si>
  <si>
    <t xml:space="preserve">АС-21 штриховка у отм. 7.550; АС-28 Фрагмент №1, поз.13</t>
  </si>
  <si>
    <t xml:space="preserve">Участки (мм): одинарные [(0, 1500), (7700, 12300), (13500, 14700), (16800, 18800)], двойные [(6500, 7700), (12300, 13500), (18800, 20000)]</t>
  </si>
  <si>
    <t xml:space="preserve">ось В (отм. +7.550)</t>
  </si>
  <si>
    <t xml:space="preserve">АС-22 рама + АС-28 сеч.4-4/5-5 поз.2; длина = 25000+2×250</t>
  </si>
  <si>
    <t xml:space="preserve">АС-22 (отм. 7.550): выноска «ОС 2Ø28 А500С»; длина по привязкам отдельных стержней</t>
  </si>
  <si>
    <t xml:space="preserve">ОС верх 2-й ряд: 2Ø22, участок 7900…12100 мм</t>
  </si>
  <si>
    <t xml:space="preserve">АС-22 (отм. 7.550): выноска «ОС 2Ø22 А500С»; длина по привязкам отдельных стержней</t>
  </si>
  <si>
    <t xml:space="preserve">АС-22 (отм. 7.550): выноска «ОС 2Ø32 А500С»; длина по привязкам отдельных стержней</t>
  </si>
  <si>
    <t xml:space="preserve">ОС верх: 2Ø32, участок 18200…21800 мм</t>
  </si>
  <si>
    <t xml:space="preserve">АС-22 (отм. 7.550): выноска «ОС 2Ø25 А500С»; длина по привязкам отдельных стержней</t>
  </si>
  <si>
    <t xml:space="preserve">АС-22 (отм. 7.550): выноска «ОС 2Ø14 А500С»; длина по привязкам отдельных стержней</t>
  </si>
  <si>
    <t xml:space="preserve">АС-22 (отм. 7.550): выноска «ОС 2Ø16 А500С»; длина по привязкам отдельных стержней</t>
  </si>
  <si>
    <t xml:space="preserve">АС-22 (отм. 7.550): выноска «Ос (бок) 4Ø12 А500С»; длина по привязкам отдельных стержней</t>
  </si>
  <si>
    <t xml:space="preserve">АС-22 штриховка у отм. 7.550; АС-28 Фрагмент №1, поз.13</t>
  </si>
  <si>
    <t xml:space="preserve">ось Г (отм. +7.550)</t>
  </si>
  <si>
    <t xml:space="preserve">АС-23 рама + АС-28 сеч.4-4/5-5 поз.2; длина = 25000+2×250</t>
  </si>
  <si>
    <t xml:space="preserve">ОС верх: 2Ø25, участок 0…1600 мм + 250 до торца</t>
  </si>
  <si>
    <t xml:space="preserve">АС-23 (отм. 7.550): выноска «ОС 2Ø25 А500С»; длина по привязкам отдельных стержней</t>
  </si>
  <si>
    <t xml:space="preserve">Координаты от оси 1: 0…1600 мм; конец до торца крайней колонны (+250)</t>
  </si>
  <si>
    <t xml:space="preserve">АС-23 (отм. 7.550): выноска «ОС 2Ø28 А500С»; длина по привязкам отдельных стержней</t>
  </si>
  <si>
    <t xml:space="preserve">ОС верх ств.: 2Ø25, участок 3900…9400 мм</t>
  </si>
  <si>
    <t xml:space="preserve">ОС верх ств.: 2Ø25, участок 11300…16000 мм</t>
  </si>
  <si>
    <t xml:space="preserve">ОС верх: 2Ø25, участок 17500…21800 мм</t>
  </si>
  <si>
    <t xml:space="preserve">ОС верх ств.: 2Ø22, участок 17500…21800 мм</t>
  </si>
  <si>
    <t xml:space="preserve">АС-23 (отм. 7.550): выноска «ОС 2Ø22 А500С»; длина по привязкам отдельных стержней</t>
  </si>
  <si>
    <t xml:space="preserve">АС-23 (отм. 7.550): выноска «ОС 2Ø16 А500С»; длина по привязкам отдельных стержней</t>
  </si>
  <si>
    <t xml:space="preserve">ОС низ: 2Ø25, участок 3900…9400 мм</t>
  </si>
  <si>
    <t xml:space="preserve">ОС низ ств.: 1Ø20, участок 11300…16000 мм</t>
  </si>
  <si>
    <t xml:space="preserve">АС-23 (отм. 7.550): выноска «ОС 1Ø20 А500С»; длина по привязкам отдельных стержней</t>
  </si>
  <si>
    <t xml:space="preserve">Ос (бок) бок: 2Ø12, участок 3900…9400 мм</t>
  </si>
  <si>
    <t xml:space="preserve">АС-23 (отм. 7.550): выноска «Ос (бок) 2Ø12 А500С»; длина по привязкам отдельных стержней</t>
  </si>
  <si>
    <t xml:space="preserve">Пролёты в свету [(300, 5500), (7500, 13200), (14500, 19000), (20300, 24700)]</t>
  </si>
  <si>
    <t xml:space="preserve">АС-23 штриховка у отм. 7.550; АС-28 Фрагмент №1, поз.13</t>
  </si>
  <si>
    <t xml:space="preserve">Участки (мм): одинарные [(4000, 5500), (7500, 9000), (12000, 13500), (17500, 19000)], двойные []</t>
  </si>
  <si>
    <t xml:space="preserve">оси 1, 5 (отм. +7.550)</t>
  </si>
  <si>
    <t xml:space="preserve">АС-24 рама + АС-28 сеч.4-4/5-5 поз.2; длина = 20000+2×250</t>
  </si>
  <si>
    <t xml:space="preserve">АС-24 (отм. 7.550): выноска «ОС 2Ø25 А500С»; длина по привязкам отдельных стержней</t>
  </si>
  <si>
    <t xml:space="preserve">Координаты от оси А: 0…1800 мм; конец до торца крайней колонны (+250)</t>
  </si>
  <si>
    <t xml:space="preserve">АС-24 (отм. 7.550): выноска «ОС 2Ø28 А500С»; длина по привязкам отдельных стержней</t>
  </si>
  <si>
    <t xml:space="preserve">АС-24 (отм. 7.550): выноска «ОС 2Ø32 А500С»; длина по привязкам отдельных стержней</t>
  </si>
  <si>
    <t xml:space="preserve">Координаты от оси А: 18200…20000 мм; конец до торца крайней колонны (+250)</t>
  </si>
  <si>
    <t xml:space="preserve">АС-24 (отм. 7.550): выноска «ОС 2Ø16 А500С»; длина по привязкам отдельных стержней</t>
  </si>
  <si>
    <t xml:space="preserve">АС-24 (отм. 7.550): выноска «Ос (бок) 4Ø12 А500С»; длина по привязкам отдельных стержней</t>
  </si>
  <si>
    <t xml:space="preserve">Пролёты в свету [(300, 6200), (6800, 13200), (13800, 19700)]</t>
  </si>
  <si>
    <t xml:space="preserve">АС-24 штриховка у отм. 7.550; АС-28 Фрагмент №1, поз.13</t>
  </si>
  <si>
    <t xml:space="preserve">Участки (мм): одинарные [(300, 1700), (5100, 7900), (12100, 13500)], двойные []</t>
  </si>
  <si>
    <t xml:space="preserve">ось 2 (отм. +7.550)</t>
  </si>
  <si>
    <t xml:space="preserve">АС-25 рама + АС-28 сеч.4-4/5-5 поз.2; длина = 20000+2×250</t>
  </si>
  <si>
    <t xml:space="preserve">АС-25 (отм. 7.550): выноска «ОС 2Ø32 А500С»; длина по привязкам отдельных стержней</t>
  </si>
  <si>
    <t xml:space="preserve">Координаты от оси А: 17400…20000 мм; конец до торца крайней колонны (+250)</t>
  </si>
  <si>
    <t xml:space="preserve">ОС верх 2-й ряд: 1Ø22, участок 1000…3400 мм</t>
  </si>
  <si>
    <t xml:space="preserve">АС-25 (отм. 7.550): выноска «ОС 1Ø22 А500С»; длина по привязкам отдельных стержней</t>
  </si>
  <si>
    <t xml:space="preserve">АС-25 (отм. 7.550): выноска «ОС 2Ø14 А500С»; длина по привязкам отдельных стержней</t>
  </si>
  <si>
    <t xml:space="preserve">ОС низ: 2Ø28, участок 1000…11500 мм</t>
  </si>
  <si>
    <t xml:space="preserve">АС-25 (отм. 7.550): выноска «ОС 2Ø28 А500С»; длина по привязкам отдельных стержней</t>
  </si>
  <si>
    <t xml:space="preserve">ОС низ: 2Ø20, участок 12800…15100 мм</t>
  </si>
  <si>
    <t xml:space="preserve">АС-25 (отм. 7.550): выноска «ОС 2Ø20 А500С»; длина по привязкам отдельных стержней</t>
  </si>
  <si>
    <t xml:space="preserve">Координаты от оси А: 12800…15100 мм</t>
  </si>
  <si>
    <t xml:space="preserve">ОС низ 2-й ряд: 2Ø14, участок 11500…14200 мм</t>
  </si>
  <si>
    <t xml:space="preserve">Координаты от оси А: 11500…14200 мм</t>
  </si>
  <si>
    <t xml:space="preserve">АС-25 (отм. 7.550): выноска «Ос (бок) 2Ø14 А500С»; длина по привязкам отдельных стержней</t>
  </si>
  <si>
    <t xml:space="preserve">Ос (бок) бок: 4Ø14, участок 5100…14200 мм</t>
  </si>
  <si>
    <t xml:space="preserve">АС-25 (отм. 7.550): выноска «Ос (бок) 4Ø14 А500С»; длина по привязкам отдельных стержней</t>
  </si>
  <si>
    <t xml:space="preserve">Пролёты в свету [(2000, 6200), (6800, 13200), (13800, 19000)]</t>
  </si>
  <si>
    <t xml:space="preserve">АС-25 штриховка у отм. 7.550; АС-28 Фрагмент №1, поз.13</t>
  </si>
  <si>
    <t xml:space="preserve">ось 3 (отм. +7.550)</t>
  </si>
  <si>
    <t xml:space="preserve">АС-26 рама + АС-28 сеч.4-4/5-5 поз.2; длина = 20000+2×250</t>
  </si>
  <si>
    <t xml:space="preserve">АС-26 (отм. 7.550): выноска «ОС 2Ø28 А500С»; длина по привязкам отдельных стержней</t>
  </si>
  <si>
    <t xml:space="preserve">АС-26 (отм. 7.550): выноска «ОС 2Ø25 А500С»; длина по привязкам отдельных стержней</t>
  </si>
  <si>
    <t xml:space="preserve">ОС верх: 2Ø28, участок 11500…15300 мм</t>
  </si>
  <si>
    <t xml:space="preserve">АС-26 (отм. 7.550): выноска «ОС 2Ø32 А500С»; длина по привязкам отдельных стержней</t>
  </si>
  <si>
    <t xml:space="preserve">АС-26 (отм. 7.550): выноска «ОС 2Ø16 А500С»; длина по привязкам отдельных стержней</t>
  </si>
  <si>
    <t xml:space="preserve">ОС низ: 2Ø18, участок 15300…20000 мм + 250 до торца</t>
  </si>
  <si>
    <t xml:space="preserve">АС-26 (отм. 7.550): выноска «ОС 2Ø18 А500С»; длина по привязкам отдельных стержней</t>
  </si>
  <si>
    <t xml:space="preserve">Координаты от оси А: 15300…20000 мм; конец до торца крайней колонны (+250)</t>
  </si>
  <si>
    <t xml:space="preserve">АС-26 (отм. 7.550): выноска «Ос (бок) 4Ø12 А500С»; длина по привязкам отдельных стержней</t>
  </si>
  <si>
    <t xml:space="preserve">АС-26 штриховка у отм. 7.550; АС-28 Фрагмент №1, поз.13</t>
  </si>
  <si>
    <t xml:space="preserve">Участки (мм): одинарные [(0, 1500), (5000, 6500), (8500, 9400), (10400, 11400), (13500, 15000)], двойные [(6500, 8500), (11400, 13500), (18200, 20000)]</t>
  </si>
  <si>
    <t xml:space="preserve">ось 4 (отм. +7.550)</t>
  </si>
  <si>
    <t xml:space="preserve">АС-27 рама + АС-28 сеч.4-4/5-5 поз.2; длина = 20000+2×250</t>
  </si>
  <si>
    <t xml:space="preserve">ОС верх: 2Ø25, участок 1000…3400 мм</t>
  </si>
  <si>
    <t xml:space="preserve">АС-27 (отм. 7.550): выноска «ОС 2Ø25 А500С»; длина по привязкам отдельных стержней</t>
  </si>
  <si>
    <t xml:space="preserve">ОС верх ств.: 2Ø25, участок 1000…3400 мм</t>
  </si>
  <si>
    <t xml:space="preserve">АС-27 (отм. 7.550): выноска «ОС 2Ø32 А500С»; длина по привязкам отдельных стержней</t>
  </si>
  <si>
    <t xml:space="preserve">ОС низ: 2Ø28, участок 1000…7200 мм</t>
  </si>
  <si>
    <t xml:space="preserve">АС-27 (отм. 7.550): выноска «ОС 2Ø28 А500С»; длина по привязкам отдельных стержней</t>
  </si>
  <si>
    <t xml:space="preserve">АС-27 (отм. 7.550): выноска «ОС 2Ø20 А500С»; длина по привязкам отдельных стержней</t>
  </si>
  <si>
    <t xml:space="preserve">ОС низ: 2Ø16, участок 11500…15100 мм</t>
  </si>
  <si>
    <t xml:space="preserve">АС-27 (отм. 7.550): выноска «ОС 2Ø16 А500С»; длина по привязкам отдельных стержней</t>
  </si>
  <si>
    <t xml:space="preserve">ОС низ 2-й ряд: 2Ø14, участок 5100…8500 мм</t>
  </si>
  <si>
    <t xml:space="preserve">АС-27 (отм. 7.550): выноска «ОС 2Ø14 А500С»; длина по привязкам отдельных стержней</t>
  </si>
  <si>
    <t xml:space="preserve">АС-27 (отм. 7.550): выноска «Ос (бок) 4Ø12 А500С»; длина по привязкам отдельных стержней</t>
  </si>
  <si>
    <t xml:space="preserve">АС-27 штриховка у отм. 7.550; АС-28 Фрагмент №1, поз.13</t>
  </si>
  <si>
    <t xml:space="preserve">Участки (мм): одинарные [(8400, 9400), (10400, 11400), (16400, 17400)], двойные [(2000, 3200), (6500, 8400), (11400, 13500), (17400, 19000)]</t>
  </si>
  <si>
    <t xml:space="preserve">2.4. ПЛИТА ПЕРЕКРЫТИЯ: сетки, доп. зоны, край, фиксаторы — отм. +7.550 (АС-48)</t>
  </si>
  <si>
    <t xml:space="preserve">ПМ-7.550</t>
  </si>
  <si>
    <t xml:space="preserve">АС-50/АС-51 «Осн. сетка Ø10 А500С ш.200×200»; контур — АС-48 (край 420, проём лестницы 13725…18200)</t>
  </si>
  <si>
    <t xml:space="preserve">Нахлёсты стыков к поз. «Нижняя осн. сетка, направление X (вдоль осей 1–5)» (L=27.320 м &gt; 11,7 м): 3 куска, 2 стык(а) на стержень × 26 стерж.</t>
  </si>
  <si>
    <t xml:space="preserve">Чистая длина 27.320 м; кусков 3; стыков 2; Lнахл=2×0.400=0.8 м на стержень</t>
  </si>
  <si>
    <t xml:space="preserve">Нахлёсты стыков к поз. «Нижняя осн. сетка, направление X (вдоль осей 1–5)» (L=25.600 м &gt; 11,7 м): 3 куска, 2 стык(а) на стержень × 49 стерж.</t>
  </si>
  <si>
    <t xml:space="preserve">Чистая длина 25.600 м; кусков 3; стыков 2; Lнахл=2×0.400=0.8 м на стержень</t>
  </si>
  <si>
    <t xml:space="preserve">Нахлёсты стыков к поз. «Нижняя осн. сетка, направление Y (вдоль осей А–Г)» (L=22.320 м &gt; 11,7 м): 2 куска, 1 стык(а) на стержень × 40 стерж.</t>
  </si>
  <si>
    <t xml:space="preserve">Чистая длина 22.320 м; кусков 2; стыков 1; Lнахл=1×0.400=0.4 м на стержень</t>
  </si>
  <si>
    <t xml:space="preserve">Нахлёсты стыков к поз. «Нижняя осн. сетка, направление Y (вдоль осей А–Г)» (L=20.600 м &gt; 11,7 м): 2 куска, 1 стык(а) на стержень × 41 стерж.</t>
  </si>
  <si>
    <t xml:space="preserve">Чистая длина 20.600 м; кусков 2; стыков 1; Lнахл=1×0.400=0.4 м на стержень</t>
  </si>
  <si>
    <t xml:space="preserve">Нахлёсты стыков к поз. «Нижняя осн. сетка, направление Y (вдоль осей А–Г)» (L=17.280 м &gt; 11,7 м): 2 куска, 1 стык(а) на стержень × 3 стерж.</t>
  </si>
  <si>
    <t xml:space="preserve">Нахлёсты стыков к поз. «Верхняя осн. сетка, направление X (вдоль осей 1–5)» (L=27.320 м &gt; 11,7 м): 3 куска, 2 стык(а) на стержень × 26 стерж.</t>
  </si>
  <si>
    <t xml:space="preserve">Нахлёсты стыков к поз. «Верхняя осн. сетка, направление X (вдоль осей 1–5)» (L=25.600 м &gt; 11,7 м): 3 куска, 2 стык(а) на стержень × 49 стерж.</t>
  </si>
  <si>
    <t xml:space="preserve">Нахлёсты стыков к поз. «Верхняя осн. сетка, направление Y (вдоль осей А–Г)» (L=22.320 м &gt; 11,7 м): 2 куска, 1 стык(а) на стержень × 40 стерж.</t>
  </si>
  <si>
    <t xml:space="preserve">Нахлёсты стыков к поз. «Верхняя осн. сетка, направление Y (вдоль осей А–Г)» (L=20.600 м &gt; 11,7 м): 2 куска, 1 стык(а) на стержень × 41 стерж.</t>
  </si>
  <si>
    <t xml:space="preserve">Нахлёсты стыков к поз. «Верхняя осн. сетка, направление Y (вдоль осей А–Г)» (L=17.280 м &gt; 11,7 м): 2 куска, 1 стык(а) на стержень × 3 стерж.</t>
  </si>
  <si>
    <t xml:space="preserve">АС-50 «Нижняя сетка 3.950÷14.750» (одна для всех этажей)</t>
  </si>
  <si>
    <t xml:space="preserve">АС-51 «Верхняя сетка 3.950÷14.750» (одна для всех этажей)</t>
  </si>
  <si>
    <t xml:space="preserve">Доп. стержни в верхней зоне над ригелем 2Ø20 L=3000 (4 места)</t>
  </si>
  <si>
    <t xml:space="preserve">АС-48 выноски «Доп. стер. в верх. зоне 2Ø20 L=3000» (на 3.950 было 1Ø20)</t>
  </si>
  <si>
    <t xml:space="preserve">Б–В / оси 3–4</t>
  </si>
  <si>
    <t xml:space="preserve">Доп. стержень в верхней зоне 1Ø18 L=3000</t>
  </si>
  <si>
    <t xml:space="preserve">АС-48 выноска «1Ø18 L=3000»</t>
  </si>
  <si>
    <t xml:space="preserve">у лифтовой шахты</t>
  </si>
  <si>
    <t xml:space="preserve">Доп. стержень в верхней зоне 1Ø18 L=1700</t>
  </si>
  <si>
    <t xml:space="preserve">АС-48 выноска «1Ø18 L=1700»</t>
  </si>
  <si>
    <t xml:space="preserve">АС-55 сеч.6-6 поз.8; край 420 по АС-48</t>
  </si>
  <si>
    <t xml:space="preserve">Нахлёсты стыков к поз. «Торцевой стержень края плиты (сеч.6-6) 2Ø14, по оси Г» (L=25.795 м &gt; 11,7 м): 3 куска, 2 стык(а) на стержень × 2 стерж.</t>
  </si>
  <si>
    <t xml:space="preserve">Чистая длина 25.795 м; кусков 3; стыков 2; Lнахл=2×0.560=1.12 м на стержень</t>
  </si>
  <si>
    <t xml:space="preserve">Нахлёсты стыков к поз. «Торцевой стержень края плиты (сеч.6-6) 2Ø14, по оси 5» (L=20.495 м &gt; 11,7 м): 2 куска, 1 стык(а) на стержень × 2 стерж.</t>
  </si>
  <si>
    <t xml:space="preserve">Чистая длина 20.495 м; кусков 2; стыков 1; Lнахл=1×0.560=0.56 м на стержень</t>
  </si>
  <si>
    <t xml:space="preserve">Пешка (П-образная) края плиты ш.400: 119 шт</t>
  </si>
  <si>
    <t xml:space="preserve">Фиксатор верхней сетки Ø10 ш.800×800 шахм.: 541.5 м² / 0,64 = 847 шт</t>
  </si>
  <si>
    <t xml:space="preserve">АС-55 «Фиксатор»</t>
  </si>
  <si>
    <t xml:space="preserve">АС-55 «Фрагмент армирования перекрытия»</t>
  </si>
  <si>
    <t xml:space="preserve">2.5. БАЛКИ МОНОЛИТНОЙ ПЛИТЫ (сеч. 1-1…5-5) — отм. +7.550</t>
  </si>
  <si>
    <t xml:space="preserve">АС-55 сеч.1-1; АС-48 план 7.550; АС-57 узлы «1»,«2»</t>
  </si>
  <si>
    <t xml:space="preserve">АС-55 сеч.5-5; АС-48 план 7.550; АС-57 узлы «1»,«2»</t>
  </si>
  <si>
    <t xml:space="preserve">АС-55 сеч.2-2; АС-48 план 7.550; АС-57 узлы «1»,«2»</t>
  </si>
  <si>
    <t xml:space="preserve">АС-55 сеч.4-4; АС-48 план 7.550; АС-57 узлы «1»,«2»</t>
  </si>
  <si>
    <t xml:space="preserve">X≈5900, В–балка Y≈10000 (новая на 7.550)</t>
  </si>
  <si>
    <t xml:space="preserve">Балка B4e: продольные 2Ø20 верх + 2Ø20 низ</t>
  </si>
  <si>
    <t xml:space="preserve">вдоль оси Г, 425…625 от оси, X≈3400…6285 (VB1 — Дм-3)</t>
  </si>
  <si>
    <t xml:space="preserve">Балка B4f: продольные 2Ø20 верх + 2Ø20 низ</t>
  </si>
  <si>
    <t xml:space="preserve">АС-55 сеч.3-3 поз.4; контур АС-48</t>
  </si>
  <si>
    <t xml:space="preserve">Угловой Г-образный стержень Ø18 L=1200 (узлы «Г» × 8 по 2, «В» × 1 по 4; в узле «Б» Ø18 нет)</t>
  </si>
  <si>
    <t xml:space="preserve">АС-56 узел «В»; АС-57 узел «Г»; АС-48</t>
  </si>
  <si>
    <t xml:space="preserve">Хомуты балок сеч.1-1: хом.Ø8 L=1240 (поз.10); шаг 100 у опор и у пересечений, 200 в пролёте</t>
  </si>
  <si>
    <t xml:space="preserve">АС-55 сеч.1-1; АС-57 «Шаг хомутов»; АС-58 ведомость</t>
  </si>
  <si>
    <t xml:space="preserve">Хомуты балок сеч.2-2: хом.Ø8 L=1240 (поз.10); шаг 100 у опор и у пересечений, 200 в пролёте</t>
  </si>
  <si>
    <t xml:space="preserve">АС-55 сеч.2-2; АС-57 «Шаг хомутов»; АС-58 ведомость</t>
  </si>
  <si>
    <t xml:space="preserve">Хомуты балок сеч.5-5: хом.Ø8 L=1440 (поз.12); шаг 100 у опор и у пересечений, 200 в пролёте</t>
  </si>
  <si>
    <t xml:space="preserve">АС-55 сеч.5-5; АС-57 «Шаг хомутов»; АС-58 ведомость</t>
  </si>
  <si>
    <t xml:space="preserve">Хомуты балок сеч.4-4: хом.Ø8 L=1040 (поз.13); шаг 100 у опор и у пересечений, 200 в пролёте</t>
  </si>
  <si>
    <t xml:space="preserve">АС-55 сеч.4-4; АС-57 «Шаг хомутов»; АС-58 ведомость</t>
  </si>
  <si>
    <t xml:space="preserve">Хомуты балок сеч.3-3: хом.Ø8 L=1140 (поз.11); шаг 100 у опор и у пересечений, 200 в пролёте</t>
  </si>
  <si>
    <t xml:space="preserve">АС-55 сеч.3-3; АС-57 «Шаг хомутов»; АС-58 ведомость</t>
  </si>
  <si>
    <t xml:space="preserve">2.6. СЕТКИ-ГРЕБЁНКИ С-1 в узлах колонна–ригель — отм. +7.550</t>
  </si>
  <si>
    <t xml:space="preserve">узлы колонна–ригель, отм. +7.550 (20 узлов)</t>
  </si>
  <si>
    <t xml:space="preserve">АС-30 «Сетка гребенка С-1»; АС-29 узел «2» — 5 рядов × 2 на узел (узлы одинаковы на всех этажах)</t>
  </si>
  <si>
    <t xml:space="preserve">2.7. ЛЕСТНИЦА ЛВ-1 и рама Лрм — марш 3 4.000→5.800, марш 4 5.800→7.600, площадка 5.800, Лрм-2</t>
  </si>
  <si>
    <t xml:space="preserve">ЛВ-1 марш 3</t>
  </si>
  <si>
    <t xml:space="preserve">Рабочие продольные 18Ø18 ш.150 (9 верх + 9 низ), марш 3 (4.000→5.800), 12×150 / 11×300; через площадку 5.800 до Лрм-2</t>
  </si>
  <si>
    <t xml:space="preserve">АС-68 сеч.а-а «18Ø18 А500С ш.150»; АС-67 разрез (2 этаж: 150×12, 300×11)</t>
  </si>
  <si>
    <t xml:space="preserve">L = 1.00 (заход в плиту, узлы «3»,«4») + 3.759 (наклон √(3.3²+1.8²)) + 1.35 (площадка до Лрм-2)</t>
  </si>
  <si>
    <t xml:space="preserve">Поперечные Ø10 А500С ш.50/100/200 (2 ряда), L=1190</t>
  </si>
  <si>
    <t xml:space="preserve">АС-68 сеч.а-а поз.2</t>
  </si>
  <si>
    <t xml:space="preserve">30 шт в ряду × 2 ряда; марш по наклону 3.759 м</t>
  </si>
  <si>
    <t xml:space="preserve">П-образный Ø10 А240 L=520 по краям марша</t>
  </si>
  <si>
    <t xml:space="preserve">АС-68 сеч.а-а поз.4</t>
  </si>
  <si>
    <t xml:space="preserve">АС-68 сеч.а-а поз.3</t>
  </si>
  <si>
    <t xml:space="preserve">3.759 × 0,90 / 0,09 = 38 шт</t>
  </si>
  <si>
    <t xml:space="preserve">Сетка С-1 5/5/100/100 (Ø5 Вр-I) по ступеням: проволока 20 м на 1 м²</t>
  </si>
  <si>
    <t xml:space="preserve">АС-68 «Сетка С-1 5/5/100/100»</t>
  </si>
  <si>
    <t xml:space="preserve">(12×0,15 + 11×0,30 = 5.10 м) × 1,25 = 6.38 м²</t>
  </si>
  <si>
    <t xml:space="preserve">ЛВ-1 марш 4</t>
  </si>
  <si>
    <t xml:space="preserve">Рабочие продольные 18Ø18 ш.150 (9 верх + 9 низ), марш 4 (5.800→7.600), 12×150 / 11×300; через площадку 5.800 до Лрм-2</t>
  </si>
  <si>
    <t xml:space="preserve">ось 3 / Г, отм. 5.800</t>
  </si>
  <si>
    <t xml:space="preserve">ЛВ-1 площадка 5.800</t>
  </si>
  <si>
    <t xml:space="preserve">Поперечные Ø10 А500С ш.100 (2 полосы × 2 ряда), L=1190</t>
  </si>
  <si>
    <t xml:space="preserve">АС-68 сеч.б-б поз.2</t>
  </si>
  <si>
    <t xml:space="preserve">П-образный Ø10 А240 L=520 по краям полос</t>
  </si>
  <si>
    <t xml:space="preserve">Связь полос Ø10 А500С ш.100 L=600</t>
  </si>
  <si>
    <t xml:space="preserve">АС-68 сеч.б-б поз.5</t>
  </si>
  <si>
    <t xml:space="preserve">Шпилька Ø6 А240 L=280 ш.300 шахм.</t>
  </si>
  <si>
    <t xml:space="preserve">Анкеры закладной Зд-1: 4Ø10 L=480 на 1 Зд-1, 2 шт</t>
  </si>
  <si>
    <t xml:space="preserve">АС-67 узел «1», «Зд-1»</t>
  </si>
  <si>
    <t xml:space="preserve">АС-69 «Рама Лрм-1 (Лрм-2)» сеч.2-2</t>
  </si>
  <si>
    <t xml:space="preserve">Стойка рамы 300×300: 4Ø25 (550 ниже +3.950 с Аш-6; высота 1700)</t>
  </si>
  <si>
    <t xml:space="preserve">АС-69 «Рама Лрм-1 (Лрм-2)» сеч.1-1 «550» ниже опоры (Лрм-2: 3.950÷5.650, высота 1700)</t>
  </si>
  <si>
    <t xml:space="preserve">L = 550 + 1700 − 40</t>
  </si>
  <si>
    <t xml:space="preserve">Хомут стойки Ø8 L=1280 ш.100 (на высоту 1400)</t>
  </si>
  <si>
    <t xml:space="preserve">АС-69 «Позиция 1 L=1280»</t>
  </si>
  <si>
    <t xml:space="preserve">Хомут ригеля Ø8 L=1160 ш.100</t>
  </si>
  <si>
    <t xml:space="preserve">АС-69 «Позиция 2 L=1160»</t>
  </si>
  <si>
    <t xml:space="preserve">Анкер А-1 Ø16 А240 L=420</t>
  </si>
  <si>
    <t xml:space="preserve">АС-67 узел «1»</t>
  </si>
  <si>
    <t xml:space="preserve">3 ЭТАЖ (+7.550…+11.150)</t>
  </si>
  <si>
    <t xml:space="preserve">3.1. ДИАФРАГМЫ Дм-1…Дм-5 — отм. +7.550…+11.150, сечения 3-3 / 4-4 «3÷5 этаж» (Дм-1, 2, 5), 2-2 (Дм-3, 4)</t>
  </si>
  <si>
    <t xml:space="preserve">3 этаж (отм. +7.550…+11.150)</t>
  </si>
  <si>
    <t xml:space="preserve">АС-35 сеч.3-3 «3÷5 этаж»; прим.1,3</t>
  </si>
  <si>
    <t xml:space="preserve">Вертикальные: полка: 2 торцевых эл-та по 6 (выноски «3Ø22» + 3 симметр.)</t>
  </si>
  <si>
    <t xml:space="preserve">стык ванной сваркой (Ø≥20), длина = высота этажа 3,6 м. «4 3Ø22» ×2 на нижний ряд + верхний ряд симметрично</t>
  </si>
  <si>
    <t xml:space="preserve">Вертикальные: полка, стенка (выноски «2Ø14» + 2 симметр., ×2 стороны)</t>
  </si>
  <si>
    <t xml:space="preserve">нахлёст 8d со сваркой (Ø≤18), учтён в длине. «7 2Ø14» ×2</t>
  </si>
  <si>
    <t xml:space="preserve">Вертикальные: ребро, стенка (выноска «2Ø18» + 2 симметр.)</t>
  </si>
  <si>
    <t xml:space="preserve">нахлёст 8d со сваркой (Ø≤18), учтён в длине. «7 2Ø18»</t>
  </si>
  <si>
    <t xml:space="preserve">АС-35 развертка 3 этажа, шаг 200x14+100 (16 рядов × 2 грани)</t>
  </si>
  <si>
    <t xml:space="preserve">развертка «Осн. стержни Ø14» (3 этаж)</t>
  </si>
  <si>
    <t xml:space="preserve">Доп. стержни: ось А под ригелем +11.150, 6Ø12 L=1950</t>
  </si>
  <si>
    <t xml:space="preserve">Доп. стержни: ось 4 под ригелем +11.150, 6Ø12 L=1200 (выноска «3Ø12» на 2 группы по 3 ряда — ОБНАРУЖЕНО ПРОТИВОРЕЧИЕ, принято 3 ряда × 2 грани)</t>
  </si>
  <si>
    <t xml:space="preserve">доп. верт.</t>
  </si>
  <si>
    <t xml:space="preserve">Доп. вертикальные стержни: ось А, торцевые эл-ты полки у +11.150: «по 4Ø16 L=1600» × 2 места</t>
  </si>
  <si>
    <t xml:space="preserve">АС-34 развертка по оси А (3 этаж) «Доп. стержень по 4Ø16 А500С L-1600»; АС-35 сеч.3-3 «Доп. стержни»</t>
  </si>
  <si>
    <t xml:space="preserve">На сечении — мелкие точки с выноской «Доп. стержни»; длина по выноске на развёртке, без нахлёста.</t>
  </si>
  <si>
    <t xml:space="preserve">АС-37 сеч.4-4 «3÷5 этаж»; прим.1,3</t>
  </si>
  <si>
    <t xml:space="preserve">Вертикальные: ребро, торцевой эл-т (выноска «3Ø22» + 3 симметр.)</t>
  </si>
  <si>
    <t xml:space="preserve">Вертикальные: полка, торцевой эл-т (выноска «3Ø22» + 3 симметр.)</t>
  </si>
  <si>
    <t xml:space="preserve">нахлёст 8d со сваркой (Ø≤18), учтён в длине. «6 2Ø18»</t>
  </si>
  <si>
    <t xml:space="preserve">Вертикальные: полка, стенка (выноска «2Ø16» + 2 симметр.)</t>
  </si>
  <si>
    <t xml:space="preserve">АС-37 развертка 3 этажа, шаг 200x14+100 (16 рядов × 2 грани)</t>
  </si>
  <si>
    <t xml:space="preserve">Доп. стержни: ось А под ригелем +11.150, 6Ø10 L=1250 (выноска «12Ø10» на 2 группы — над и под +11.150)</t>
  </si>
  <si>
    <t xml:space="preserve">Доп. стержни: ось 2 под ригелем +11.150, 6Ø12 L=1200 (выноска «12Ø12» на 2 группы — над и под +11.150)</t>
  </si>
  <si>
    <t xml:space="preserve">Доп. вертикальные стержни: ось 2, торцевой эл-т ребра у +11.150: «по 4Ø16 L=1600»</t>
  </si>
  <si>
    <t xml:space="preserve">АС-36 развертка по оси 2 «Доп. стержень по 4Ø16 А500С L-1600»; АС-37 сеч.4-4 «Доп. стержни»</t>
  </si>
  <si>
    <t xml:space="preserve">сечение 4-4; АС-42 ведомость деталей поз.14 L=1330</t>
  </si>
  <si>
    <t xml:space="preserve">сечение 4-4 «12 хом.Ø8 ш.200»; АС-42 ведомость деталей поз.12 L=1560</t>
  </si>
  <si>
    <t xml:space="preserve">сечение 4-4 «15 хом.Ø8 ш.200»; АС-42 ведомость деталей поз.15 L=1760</t>
  </si>
  <si>
    <t xml:space="preserve">сечение 4-4 «ш.200»; АС-42 ведомость деталей поз.11 L=1960</t>
  </si>
  <si>
    <t xml:space="preserve">сечение 4-4, прим.6; АС-42 ведомость деталей поз.13 L=530</t>
  </si>
  <si>
    <t xml:space="preserve">АС-39 сеч.2-2 «2, 3 этаж»; прим.1,3</t>
  </si>
  <si>
    <t xml:space="preserve">АС-39 развертка 3 этажа, шаг 200x14+100 (16 рядов × 2 грани)</t>
  </si>
  <si>
    <t xml:space="preserve">Доп. стержни: ось Г над +7.550, 6Ø10 L=1950</t>
  </si>
  <si>
    <t xml:space="preserve">Доп. стержни: ось Г под ригелем +11.150, 6Ø10 L=1950 (выноска «12Ø10» на 2 группы)</t>
  </si>
  <si>
    <t xml:space="preserve">Доп. стержни: ось 2 над +7.550, 6Ø10 L=1450</t>
  </si>
  <si>
    <t xml:space="preserve">Доп. стержни: ось 2 под ригелем +11.150, 6Ø10 L=1450</t>
  </si>
  <si>
    <t xml:space="preserve">Доп. вертикальные стержни: ось Г, торцевые эл-ты полки у +11.150: «по 4Ø16 L=1600» × 2 места</t>
  </si>
  <si>
    <t xml:space="preserve">АС-38 развертка по оси Г «Доп. стержень по 4Ø16 А500С L-1600»; АС-39 сеч.2-2 «Доп. стержни»</t>
  </si>
  <si>
    <t xml:space="preserve">АС-40 сеч.2-2 «2÷5 этаж»; прим.1,3</t>
  </si>
  <si>
    <t xml:space="preserve">АС-40 развертка 3 этажа, шаг 200x14+100 (16 рядов × 2 грани)</t>
  </si>
  <si>
    <t xml:space="preserve">Доп. стержни: над +7.550, 6Ø14 L=1450</t>
  </si>
  <si>
    <t xml:space="preserve">Доп. стержни: под ригелем +11.150, 6Ø12 L=1450</t>
  </si>
  <si>
    <t xml:space="preserve">АС-42 сеч.3-3 «3÷5 этаж»; прим.1,3</t>
  </si>
  <si>
    <t xml:space="preserve">Вертикальные: полка, торцевой эл-т («3Ø22» + 3 симметр.)</t>
  </si>
  <si>
    <t xml:space="preserve">Вертикальные: полка, стенка («2Ø14» + 2 симметр.)</t>
  </si>
  <si>
    <t xml:space="preserve">нахлёст 8d со сваркой (Ø≤18), учтён в длине. «8 2Ø14»</t>
  </si>
  <si>
    <t xml:space="preserve">Вертикальные: ребро, стенка («3Ø14» + 3 симметр.)</t>
  </si>
  <si>
    <t xml:space="preserve">нахлёст 8d со сваркой (Ø≤18), учтён в длине. «8 3Ø14»</t>
  </si>
  <si>
    <t xml:space="preserve">АС-42 развертка 3 этажа, шаг 200x14+100 (16 рядов × 2 грани)</t>
  </si>
  <si>
    <t xml:space="preserve">развертка «Осн. стержни Ø12» (3 этаж)</t>
  </si>
  <si>
    <t xml:space="preserve">Доп. стержни: ось Г над +7.550, 6Ø12 L=1250 (вторая половина выноски «12Ø12»)</t>
  </si>
  <si>
    <t xml:space="preserve">Доп. стержни: ось Г под ригелем +11.150, 6Ø10 L=1250 (выноска «12Ø10» на 2 группы)</t>
  </si>
  <si>
    <t xml:space="preserve">Доп. стержни: ось 4 над +7.550, 6Ø14 L=1450</t>
  </si>
  <si>
    <t xml:space="preserve">Доп. стержни: ось 4 под ригелем +11.150, 6Ø14 L=1450</t>
  </si>
  <si>
    <t xml:space="preserve">3.2. КОЛОННЫ 600×600 вне диафрагм (15 шт) — как 2 этаж: 2-2 у А/1, В/1, Г/1, Г/5; 1-1 у остальных 11, H=3,6 м</t>
  </si>
  <si>
    <t xml:space="preserve">3.3. РИГЕЛИ РАМ (450×600, сеч.4-4/5-5), 9 рам — отм. +11.150</t>
  </si>
  <si>
    <t xml:space="preserve">ось А (отм. +11.150)</t>
  </si>
  <si>
    <t xml:space="preserve">АС-20 (отм. 11.150): выноска «ОС 2Ø28 А500С»; длина по привязкам отдельных стержней</t>
  </si>
  <si>
    <t xml:space="preserve">ОС верх: 2Ø32, участок 4700…9200 мм</t>
  </si>
  <si>
    <t xml:space="preserve">АС-20 (отм. 11.150): выноска «ОС 2Ø32 А500С»; длина по привязкам отдельных стержней</t>
  </si>
  <si>
    <t xml:space="preserve">ОС верх: 2Ø28, участок 11800…15100 мм</t>
  </si>
  <si>
    <t xml:space="preserve">ОС верх: 2Ø32, участок 17400…25000 мм + 250 до торца</t>
  </si>
  <si>
    <t xml:space="preserve">АС-20 (отм. 11.150): выноска «ОС 2Ø16 А500С»; длина по привязкам отдельных стержней</t>
  </si>
  <si>
    <t xml:space="preserve">ОС низ: 2Ø14, участок 6500…9200 мм</t>
  </si>
  <si>
    <t xml:space="preserve">АС-20 (отм. 11.150): выноска «ОС 2Ø14 А500С»; длина по привязкам отдельных стержней</t>
  </si>
  <si>
    <t xml:space="preserve">Координаты от оси 1: 6500…9200 мм</t>
  </si>
  <si>
    <t xml:space="preserve">АС-20 штриховка у отм. 11.150; АС-28 Фрагмент №1, поз.13</t>
  </si>
  <si>
    <t xml:space="preserve">Участки (мм): одинарные [(7500, 8700), (17600, 19000)], двойные [(21000, 22200)]</t>
  </si>
  <si>
    <t xml:space="preserve">ось Б (отм. +11.150)</t>
  </si>
  <si>
    <t xml:space="preserve">АС-21 (отм. 11.150): выноска «ОС 2Ø25 А500С»; длина по привязкам отдельных стержней</t>
  </si>
  <si>
    <t xml:space="preserve">АС-21 (отм. 11.150): выноска «ОС 2Ø28 А500С»; длина по привязкам отдельных стержней</t>
  </si>
  <si>
    <t xml:space="preserve">ОС верх ств.: 2Ø20, участок 4700…8400 мм</t>
  </si>
  <si>
    <t xml:space="preserve">АС-21 (отм. 11.150): выноска «ОС 2Ø20 А500С»; длина по привязкам отдельных стержней</t>
  </si>
  <si>
    <t xml:space="preserve">АС-21 (отм. 11.150): выноска «ОС 2Ø32 А500С»; длина по привязкам отдельных стержней</t>
  </si>
  <si>
    <t xml:space="preserve">АС-21 (отм. 11.150): выноска «ОС 2Ø16 А500С»; длина по привязкам отдельных стержней</t>
  </si>
  <si>
    <t xml:space="preserve">АС-21 (отм. 11.150): выноска «ОС 2Ø22 А500С»; длина по привязкам отдельных стержней</t>
  </si>
  <si>
    <t xml:space="preserve">АС-21 (отм. 11.150): выноска «ОС 2Ø14 А500С»; длина по привязкам отдельных стержней</t>
  </si>
  <si>
    <t xml:space="preserve">АС-21 (отм. 11.150): выноска «Ос (бок) 4Ø12 А500С»; длина по привязкам отдельных стержней</t>
  </si>
  <si>
    <t xml:space="preserve">АС-21 штриховка у отм. 11.150; АС-28 Фрагмент №1, поз.13</t>
  </si>
  <si>
    <t xml:space="preserve">ось В (отм. +11.150)</t>
  </si>
  <si>
    <t xml:space="preserve">АС-22 (отм. 11.150): выноска «ОС 2Ø28 А500С»; длина по привязкам отдельных стержней</t>
  </si>
  <si>
    <t xml:space="preserve">ОС верх ств.: 2Ø25, участок 4700…8400 мм</t>
  </si>
  <si>
    <t xml:space="preserve">АС-22 (отм. 11.150): выноска «ОС 2Ø25 А500С»; длина по привязкам отдельных стержней</t>
  </si>
  <si>
    <t xml:space="preserve">АС-22 (отм. 11.150): выноска «ОС 2Ø32 А500С»; длина по привязкам отдельных стержней</t>
  </si>
  <si>
    <t xml:space="preserve">АС-22 (отм. 11.150): выноска «ОС 2Ø14 А500С»; длина по привязкам отдельных стержней</t>
  </si>
  <si>
    <t xml:space="preserve">АС-22 (отм. 11.150): выноска «ОС 2Ø16 А500С»; длина по привязкам отдельных стержней</t>
  </si>
  <si>
    <t xml:space="preserve">АС-22 (отм. 11.150): выноска «ОС 2Ø22 А500С»; длина по привязкам отдельных стержней</t>
  </si>
  <si>
    <t xml:space="preserve">АС-22 (отм. 11.150): выноска «Ос (бок) 4Ø12 А500С»; длина по привязкам отдельных стержней</t>
  </si>
  <si>
    <t xml:space="preserve">АС-22 штриховка у отм. 11.150; АС-28 Фрагмент №1, поз.13</t>
  </si>
  <si>
    <t xml:space="preserve">ось Г (отм. +11.150)</t>
  </si>
  <si>
    <t xml:space="preserve">АС-23 (отм. 11.150): выноска «ОС 2Ø25 А500С»; длина по привязкам отдельных стержней</t>
  </si>
  <si>
    <t xml:space="preserve">АС-23 (отм. 11.150): выноска «ОС 2Ø28 А500С»; длина по привязкам отдельных стержней</t>
  </si>
  <si>
    <t xml:space="preserve">ОС верх: 2Ø32, участок 11300…16000 мм</t>
  </si>
  <si>
    <t xml:space="preserve">АС-23 (отм. 11.150): выноска «ОС 2Ø32 А500С»; длина по привязкам отдельных стержней</t>
  </si>
  <si>
    <t xml:space="preserve">АС-23 (отм. 11.150): выноска «ОС 2Ø16 А500С»; длина по привязкам отдельных стержней</t>
  </si>
  <si>
    <t xml:space="preserve">АС-23 (отм. 11.150): выноска «ОС 2Ø22 А500С»; длина по привязкам отдельных стержней</t>
  </si>
  <si>
    <t xml:space="preserve">ОС низ: 2Ø25, участок 17500…21800 мм</t>
  </si>
  <si>
    <t xml:space="preserve">АС-23 (отм. 11.150): выноска «Ос (бок) 2Ø12 А500С»; длина по привязкам отдельных стержней</t>
  </si>
  <si>
    <t xml:space="preserve">АС-23 штриховка у отм. 11.150; АС-28 Фрагмент №1, поз.13</t>
  </si>
  <si>
    <t xml:space="preserve">оси 1, 5 (отм. +11.150)</t>
  </si>
  <si>
    <t xml:space="preserve">АС-24 (отм. 11.150): выноска «ОС 2Ø25 А500С»; длина по привязкам отдельных стержней</t>
  </si>
  <si>
    <t xml:space="preserve">ОС верх: 2Ø25, участок 4700…8500 мм</t>
  </si>
  <si>
    <t xml:space="preserve">АС-24 (отм. 11.150): выноска «ОС 2Ø28 А500С»; длина по привязкам отдельных стержней</t>
  </si>
  <si>
    <t xml:space="preserve">АС-24 (отм. 11.150): выноска «ОС 2Ø16 А500С»; длина по привязкам отдельных стержней</t>
  </si>
  <si>
    <t xml:space="preserve">АС-24 (отм. 11.150): выноска «Ос (бок) 4Ø12 А500С»; длина по привязкам отдельных стержней</t>
  </si>
  <si>
    <t xml:space="preserve">АС-24 штриховка у отм. 11.150; АС-28 Фрагмент №1, поз.13</t>
  </si>
  <si>
    <t xml:space="preserve">ось 2 (отм. +11.150)</t>
  </si>
  <si>
    <t xml:space="preserve">АС-25 (отм. 11.150): выноска «ОС 2Ø32 А500С»; длина по привязкам отдельных стержней</t>
  </si>
  <si>
    <t xml:space="preserve">АС-25 (отм. 11.150): выноска «ОС 1Ø22 А500С»; длина по привязкам отдельных стержней</t>
  </si>
  <si>
    <t xml:space="preserve">АС-25 (отм. 11.150): выноска «ОС 2Ø14 А500С»; длина по привязкам отдельных стержней</t>
  </si>
  <si>
    <t xml:space="preserve">АС-25 (отм. 11.150): выноска «ОС 2Ø25 А500С»; длина по привязкам отдельных стержней</t>
  </si>
  <si>
    <t xml:space="preserve">АС-25 (отм. 11.150): выноска «ОС 2Ø20 А500С»; длина по привязкам отдельных стержней</t>
  </si>
  <si>
    <t xml:space="preserve">АС-25 (отм. 11.150): выноска «Ос (бок) 2Ø14 А500С»; длина по привязкам отдельных стержней</t>
  </si>
  <si>
    <t xml:space="preserve">АС-25 (отм. 11.150): выноска «Ос (бок) 4Ø14 А500С»; длина по привязкам отдельных стержней</t>
  </si>
  <si>
    <t xml:space="preserve">АС-25 штриховка у отм. 11.150; АС-28 Фрагмент №1, поз.13</t>
  </si>
  <si>
    <t xml:space="preserve">ось 3 (отм. +11.150)</t>
  </si>
  <si>
    <t xml:space="preserve">АС-26 (отм. 11.150): выноска «ОС 2Ø28 А500С»; длина по привязкам отдельных стержней</t>
  </si>
  <si>
    <t xml:space="preserve">ОС верх ств.: 2Ø28, участок 4700…8500 мм</t>
  </si>
  <si>
    <t xml:space="preserve">АС-26 (отм. 11.150): выноска «ОС 2Ø25 А500С»; длина по привязкам отдельных стержней</t>
  </si>
  <si>
    <t xml:space="preserve">АС-26 (отм. 11.150): выноска «ОС 2Ø32 А500С»; длина по привязкам отдельных стержней</t>
  </si>
  <si>
    <t xml:space="preserve">АС-26 (отм. 11.150): выноска «ОС 2Ø16 А500С»; длина по привязкам отдельных стержней</t>
  </si>
  <si>
    <t xml:space="preserve">АС-26 (отм. 11.150): выноска «ОС 2Ø18 А500С»; длина по привязкам отдельных стержней</t>
  </si>
  <si>
    <t xml:space="preserve">ОС низ 2-й ряд (Ос): 4Ø12, участок 4700…8500 мм</t>
  </si>
  <si>
    <t xml:space="preserve">АС-26 (отм. 11.150): выноска «ОС 4Ø12 А500С»; длина по привязкам отдельных стержней</t>
  </si>
  <si>
    <t xml:space="preserve">ОС низ 2-й ряд (Ос): 4Ø12, участок 11500…15300 мм</t>
  </si>
  <si>
    <t xml:space="preserve">Ос (бок) бок: 4Ø12, участок 4700…15300 мм</t>
  </si>
  <si>
    <t xml:space="preserve">АС-26 (отм. 11.150): выноска «Ос (бок) 4Ø12 А500С»; длина по привязкам отдельных стержней</t>
  </si>
  <si>
    <t xml:space="preserve">Координаты от оси А: 4700…15300 мм</t>
  </si>
  <si>
    <t xml:space="preserve">АС-26 штриховка у отм. 11.150; АС-28 Фрагмент №1, поз.13</t>
  </si>
  <si>
    <t xml:space="preserve">Участки (мм): одинарные [(0, 1500), (5000, 6500), (8500, 9500), (10500, 11500)], двойные [(6500, 8500), (11500, 13500), (18200, 20000)]</t>
  </si>
  <si>
    <t xml:space="preserve">ось 4 (отм. +11.150)</t>
  </si>
  <si>
    <t xml:space="preserve">АС-27 (отм. 11.150): выноска «ОС 2Ø25 А500С»; длина по привязкам отдельных стержней</t>
  </si>
  <si>
    <t xml:space="preserve">ОС верх: 2Ø28, участок 5100…8500 мм</t>
  </si>
  <si>
    <t xml:space="preserve">АС-27 (отм. 11.150): выноска «ОС 2Ø28 А500С»; длина по привязкам отдельных стержней</t>
  </si>
  <si>
    <t xml:space="preserve">АС-27 (отм. 11.150): выноска «ОС 2Ø32 А500С»; длина по привязкам отдельных стержней</t>
  </si>
  <si>
    <t xml:space="preserve">АС-27 (отм. 11.150): выноска «ОС 2Ø20 А500С»; длина по привязкам отдельных стержней</t>
  </si>
  <si>
    <t xml:space="preserve">АС-27 (отм. 11.150): выноска «ОС 2Ø16 А500С»; длина по привязкам отдельных стержней</t>
  </si>
  <si>
    <t xml:space="preserve">АС-27 (отм. 11.150): выноска «ОС 2Ø14 А500С»; длина по привязкам отдельных стержней</t>
  </si>
  <si>
    <t xml:space="preserve">АС-27 (отм. 11.150): выноска «Ос (бок) 4Ø12 А500С»; длина по привязкам отдельных стержней</t>
  </si>
  <si>
    <t xml:space="preserve">АС-27 штриховка у отм. 11.150; АС-28 Фрагмент №1, поз.13</t>
  </si>
  <si>
    <t xml:space="preserve">Участки (мм): одинарные [(8500, 9500), (10500, 11500), (16400, 17400)], двойные [(2000, 3200), (6500, 8500), (11500, 13500), (17400, 19000)]</t>
  </si>
  <si>
    <t xml:space="preserve">3.4. ПЛИТА ПЕРЕКРЫТИЯ: сетки, доп. зоны, край, фиксаторы — отм. +11.150 (АС-48 «7.550÷14.750»)</t>
  </si>
  <si>
    <t xml:space="preserve">ПМ-11.150</t>
  </si>
  <si>
    <t xml:space="preserve">АС-48 выноски «Доп. стер. в верх. зоне 2Ø20 L=3000» (как на +7.550)</t>
  </si>
  <si>
    <t xml:space="preserve">3.5. БАЛКИ МОНОЛИТНОЙ ПЛИТЫ (сеч. 1-1…5-5) — отм. +11.150</t>
  </si>
  <si>
    <t xml:space="preserve">АС-55 сеч.1-1; АС-48 план 7.550÷14.750; АС-57 узлы «1»,«2»</t>
  </si>
  <si>
    <t xml:space="preserve">АС-55 сеч.5-5; АС-48 план 7.550÷14.750; АС-57 узлы «1»,«2»</t>
  </si>
  <si>
    <t xml:space="preserve">АС-55 сеч.2-2; АС-48 план 7.550÷14.750; АС-57 узлы «1»,«2»</t>
  </si>
  <si>
    <t xml:space="preserve">АС-55 сеч.4-4; АС-48 план 7.550÷14.750; АС-57 узлы «1»,«2»</t>
  </si>
  <si>
    <t xml:space="preserve">X≈5900, В–балка Y≈10000 (АС-48, план 7.550÷14.750)</t>
  </si>
  <si>
    <t xml:space="preserve">3.6. СЕТКИ-ГРЕБЁНКИ С-1 в узлах колонна–ригель — отм. +11.150</t>
  </si>
  <si>
    <t xml:space="preserve">узлы колонна–ригель, отм. +11.150 (20 узлов)</t>
  </si>
  <si>
    <t xml:space="preserve">3.7. ЛЕСТНИЦА ЛВ-1 и рама Лрм — марш 5 7.600→9.400, марш 6 9.400→11.200, площадка 9.400, Лрм-2</t>
  </si>
  <si>
    <t xml:space="preserve">ЛВ-1 марш 5</t>
  </si>
  <si>
    <t xml:space="preserve">Рабочие продольные 18Ø18 ш.150 (9 верх + 9 низ), марш 5 (7.600→9.400), 12×150 / 11×300; через площадку 9.400 до Лрм-2</t>
  </si>
  <si>
    <t xml:space="preserve">АС-68 сеч.а-а «18Ø18 А500С ш.150»; АС-67 разрез (3 этаж: 150×12, 300×11)</t>
  </si>
  <si>
    <t xml:space="preserve">ЛВ-1 марш 6</t>
  </si>
  <si>
    <t xml:space="preserve">Рабочие продольные 18Ø18 ш.150 (9 верх + 9 низ), марш 6 (9.400→11.200), 12×150 / 11×300; через площадку 9.400 до Лрм-2</t>
  </si>
  <si>
    <t xml:space="preserve">ось 3 / Г, отм. 9.400</t>
  </si>
  <si>
    <t xml:space="preserve">ЛВ-1 площадка 9.400</t>
  </si>
  <si>
    <t xml:space="preserve">Стойка рамы 300×300: 4Ø25 (550 ниже +7.550 с Аш-6; высота 1700)</t>
  </si>
  <si>
    <t xml:space="preserve">АС-69 «Рама Лрм-1 (Лрм-2)» сеч.1-1 «550» ниже опоры (Лрм-2 3 этажа: 7.550÷9.250, высота 1700)</t>
  </si>
  <si>
    <t xml:space="preserve">4 ЭТАЖ (+11.150…+14.750)</t>
  </si>
  <si>
    <t xml:space="preserve">4.1. ДИАФРАГМЫ Дм-1…Дм-5 — отм. +11.150…+14.750, сечения «3÷5 этаж» (Дм-1, 2, 5), 3-3 «4, 5 этаж» (Дм-3), 2-2 «2÷5» (Дм-4)</t>
  </si>
  <si>
    <t xml:space="preserve">4 этаж (отм. +11.150…+14.750)</t>
  </si>
  <si>
    <t xml:space="preserve">АС-35 развертка 4 этажа, шаг 200x14+100 (16 рядов × 2 грани)</t>
  </si>
  <si>
    <t xml:space="preserve">развертка «Осн. стержни Ø10» (4 этаж)</t>
  </si>
  <si>
    <t xml:space="preserve">развертка «Осн. стержни Ø12» (4 этаж)</t>
  </si>
  <si>
    <t xml:space="preserve">Доп. стержни: ось А под ригелем +14.750, 6Ø10 L=1950 (выноска «3Ø10» на группу из 3 рядов — ОБНАРУЖЕНО ПРОТИВОРЕЧИЕ, принято 3 ряда × 2 грани)</t>
  </si>
  <si>
    <t xml:space="preserve">Доп. стержни: ось 4 над +11.150, 6Ø12 L=1200 (вторая группа выноски «3Ø12», см. 3 этаж)</t>
  </si>
  <si>
    <t xml:space="preserve">Доп. стержни: ось 4 под ригелем +14.750, 6Ø10 L=1200 (выноска «3Ø10» на группу из 3 рядов — ОБНАРУЖЕНО ПРОТИВОРЕЧИЕ, принято 3 ряда × 2 грани)</t>
  </si>
  <si>
    <t xml:space="preserve">Доп. вертикальные стержни: ось А, торцевые эл-ты полки у +14.750: «по 4Ø16 L-1600» × 2 места</t>
  </si>
  <si>
    <t xml:space="preserve">АС-34 развертка по оси А (4 этаж) «Доп. стержень по 4Ø16 А500С L-1600»; АС-35 сеч.3-3 «Доп. стержни»</t>
  </si>
  <si>
    <t xml:space="preserve">АС-37 развертка 4 этажа, шаг 200x14+100 (16 рядов × 2 грани)</t>
  </si>
  <si>
    <t xml:space="preserve">Доп. стержни: ось А над +11.150, 6Ø10 L=1250 (вторая половина выноски «12Ø10»)</t>
  </si>
  <si>
    <t xml:space="preserve">Доп. стержни: ось 2 над +11.150, 6Ø12 L=1200 (вторая половина выноски «12Ø12»)</t>
  </si>
  <si>
    <t xml:space="preserve">Доп. стержни: ось 2 под ригелем +14.750, 6Ø14 L=1200 (выноска «12Ø14» на 2 группы — под и над +14.750)</t>
  </si>
  <si>
    <t xml:space="preserve">Доп. вертикальные стержни: ось 2, торцевой эл-т ребра у +14.750: «по 4Ø16 L-1600»</t>
  </si>
  <si>
    <t xml:space="preserve">АС-36 развертка по оси 2 (4 этаж) «Доп. стержень по 4Ø16 А500С L-1600»; АС-37 сеч.4-4 «Доп. стержни»</t>
  </si>
  <si>
    <t xml:space="preserve">АС-39 сеч.3-3 «4, 5 этаж»; прим.1,3</t>
  </si>
  <si>
    <t xml:space="preserve">3, 2</t>
  </si>
  <si>
    <t xml:space="preserve">Вертикальные: полка: 2 торцевых эл-та по 6 (выноски «3 3Ø22» и «2 3Ø22» + 3 симметр.)</t>
  </si>
  <si>
    <t xml:space="preserve">стык ванной сваркой (Ø≥20), длина = высота этажа 3,6 м. «3 3Ø22» и «2 3Ø22» (поз.2 повторена — дефект маркировки)</t>
  </si>
  <si>
    <t xml:space="preserve">Вертикальные: полка, стенка («2Ø14» + 2 симметр., ×2 стороны)</t>
  </si>
  <si>
    <t xml:space="preserve">нахлёст 8d со сваркой (Ø≤18), учтён в длине. «8 2Ø14» ×2</t>
  </si>
  <si>
    <t xml:space="preserve">Вертикальные: ребро, стенка («3Ø16» + 3 симметр.)</t>
  </si>
  <si>
    <t xml:space="preserve">АС-39 развертка 4 этажа, шаг 200x14+100 (16 рядов × 2 грани)</t>
  </si>
  <si>
    <t xml:space="preserve">развертка «Осн. стержни Ø14» (4 этаж)</t>
  </si>
  <si>
    <t xml:space="preserve">Доп. стержни: ось Г над +11.150, 6Ø10 L=1950 (вторая половина выноски «12Ø10»)</t>
  </si>
  <si>
    <t xml:space="preserve">Доп. стержни: ось Г под ригелем +14.750, 6Ø10 L=1950 (выноска «12Ø10» на 2 группы)</t>
  </si>
  <si>
    <t xml:space="preserve">Доп. стержни: ось 2 над +11.150, 10Ø10 L=1450 (выноска «10Ø10»)</t>
  </si>
  <si>
    <t xml:space="preserve">Доп. стержни: ось 2 под ригелем +14.750, 6Ø10 L=1450</t>
  </si>
  <si>
    <t xml:space="preserve">Доп. вертикальные стержни: ось Г, торцевые эл-ты полки у +14.750: «по 4Ø16 L-1600» × 2 места</t>
  </si>
  <si>
    <t xml:space="preserve">АС-38 развертка по оси Г (4 этаж) «Доп. стержень по 4Ø16 А500С L-1600»; АС-39 сеч.3-3 «Доп. стер.»</t>
  </si>
  <si>
    <t xml:space="preserve">АС-40 развертка 4 этажа, шаг 200x14+100 (16 рядов × 2 грани)</t>
  </si>
  <si>
    <t xml:space="preserve">Доп. стержни: над +11.150, 6Ø10 L=1450</t>
  </si>
  <si>
    <t xml:space="preserve">Доп. стержни: под ригелем +14.750, 6Ø10 L=1450</t>
  </si>
  <si>
    <t xml:space="preserve">АС-42 развертка 4 этажа, шаг 200x14+100 (16 рядов × 2 грани)</t>
  </si>
  <si>
    <t xml:space="preserve">Доп. стержни: ось Г над +11.150, 6Ø10 L=1250 (вторая половина выноски «12Ø10»)</t>
  </si>
  <si>
    <t xml:space="preserve">Доп. стержни: ось Г под ригелем +14.750, 6Ø10 L=1250</t>
  </si>
  <si>
    <t xml:space="preserve">Доп. стержни: ось 4 над +11.150, 6Ø12 L=1450 (ОБНАРУЖЕНО ПРОТИВОРЕЧИЕ: нарисовано 5 рядов, как у «10Ø10» Дм-3; принято по подписи 6 шт)</t>
  </si>
  <si>
    <t xml:space="preserve">Доп. стержни: ось 4 под ригелем +14.750, 6Ø14 L=1450</t>
  </si>
  <si>
    <t xml:space="preserve">4.2. КОЛОННЫ 600×600 вне диафрагм (15 шт) — как 2–3 этаж: 2-2 у А/1, В/1, Г/1, Г/5; 1-1 у остальных 11, H=3,6 м</t>
  </si>
  <si>
    <t xml:space="preserve">4.3. РИГЕЛИ РАМ (450×600, сеч.4-4/5-5), 9 рам — отм. +14.750</t>
  </si>
  <si>
    <t xml:space="preserve">ось А (отм. +14.750)</t>
  </si>
  <si>
    <t xml:space="preserve">ОС верх: 2Ø20, участок 0…1800 мм + 250 до торца</t>
  </si>
  <si>
    <t xml:space="preserve">АС-20 (отм. 14.750): выноска «ОС 2Ø20 А500С»; длина по привязкам отдельных стержней</t>
  </si>
  <si>
    <t xml:space="preserve">ОС верх: 2Ø28, участок 4700…9200 мм</t>
  </si>
  <si>
    <t xml:space="preserve">АС-20 (отм. 14.750): выноска «ОС 2Ø28 А500С»; длина по привязкам отдельных стержней</t>
  </si>
  <si>
    <t xml:space="preserve">ОС верх: 2Ø25, участок 11800…15100 мм</t>
  </si>
  <si>
    <t xml:space="preserve">АС-20 (отм. 14.750): выноска «ОС 2Ø25 А500С»; длина по привязкам отдельных стержней</t>
  </si>
  <si>
    <t xml:space="preserve">ОС верх: 2Ø28, участок 17400…25000 мм + 250 до торца</t>
  </si>
  <si>
    <t xml:space="preserve">АС-20 (отм. 14.750): выноска «ОС 2Ø14 А500С»; длина по привязкам отдельных стержней</t>
  </si>
  <si>
    <t xml:space="preserve">ОС низ: 2Ø18, участок 17400…25000 мм + 250 до торца</t>
  </si>
  <si>
    <t xml:space="preserve">АС-20 (отм. 14.750): выноска «ОС 2Ø18 А500С»; длина по привязкам отдельных стержней</t>
  </si>
  <si>
    <t xml:space="preserve">Ос (бок) бок: 4Ø14, участок 4700…9200 мм</t>
  </si>
  <si>
    <t xml:space="preserve">АС-20 (отм. 14.750): выноска «Ос (бок) 4Ø14 А500С»; длина по привязкам отдельных стержней</t>
  </si>
  <si>
    <t xml:space="preserve">АС-20 штриховка у отм. 14.750; АС-28 Фрагмент №1, поз.13</t>
  </si>
  <si>
    <t xml:space="preserve">ось Б (отм. +14.750)</t>
  </si>
  <si>
    <t xml:space="preserve">АС-21 (отм. 14.750): выноска «ОС 2Ø28 А500С»; длина по привязкам отдельных стержней</t>
  </si>
  <si>
    <t xml:space="preserve">АС-21 (отм. 14.750): выноска «ОС 2Ø20 А500С»; длина по привязкам отдельных стержней</t>
  </si>
  <si>
    <t xml:space="preserve">ОС верх: 2Ø16, участок 23200…25000 мм + 250 до торца</t>
  </si>
  <si>
    <t xml:space="preserve">АС-21 (отм. 14.750): выноска «ОС 2Ø16 А500С»; длина по привязкам отдельных стержней</t>
  </si>
  <si>
    <t xml:space="preserve">АС-21 (отм. 14.750): выноска «ОС 2Ø22 А500С»; длина по привязкам отдельных стержней</t>
  </si>
  <si>
    <t xml:space="preserve">АС-21 (отм. 14.750): выноска «ОС 2Ø14 А500С»; длина по привязкам отдельных стержней</t>
  </si>
  <si>
    <t xml:space="preserve">АС-21 (отм. 14.750): выноска «Ос (бок) 4Ø12 А500С»; длина по привязкам отдельных стержней</t>
  </si>
  <si>
    <t xml:space="preserve">АС-21 штриховка у отм. 14.750; АС-28 Фрагмент №1, поз.13</t>
  </si>
  <si>
    <t xml:space="preserve">ось В (отм. +14.750)</t>
  </si>
  <si>
    <t xml:space="preserve">АС-22 (отм. 14.750): выноска «ОС 2Ø28 А500С»; длина по привязкам отдельных стержней</t>
  </si>
  <si>
    <t xml:space="preserve">АС-22 (отм. 14.750): выноска «ОС 2Ø25 А500С»; длина по привязкам отдельных стержней</t>
  </si>
  <si>
    <t xml:space="preserve">АС-22 (отм. 14.750): выноска «ОС 2Ø32 А500С»; длина по привязкам отдельных стержней</t>
  </si>
  <si>
    <t xml:space="preserve">ОС верх: 2Ø25, участок 18200…21800 мм</t>
  </si>
  <si>
    <t xml:space="preserve">АС-22 (отм. 14.750): выноска «ОС 2Ø16 А500С»; длина по привязкам отдельных стержней</t>
  </si>
  <si>
    <t xml:space="preserve">АС-22 (отм. 14.750): выноска «ОС 2Ø14 А500С»; длина по привязкам отдельных стержней</t>
  </si>
  <si>
    <t xml:space="preserve">АС-22 (отм. 14.750): выноска «ОС 2Ø22 А500С»; длина по привязкам отдельных стержней</t>
  </si>
  <si>
    <t xml:space="preserve">АС-22 (отм. 14.750): выноска «Ос (бок) 4Ø12 А500С»; длина по привязкам отдельных стержней</t>
  </si>
  <si>
    <t xml:space="preserve">АС-22 штриховка у отм. 14.750; АС-28 Фрагмент №1, поз.13</t>
  </si>
  <si>
    <t xml:space="preserve">Участки (мм): одинарные [], двойные [(6500, 20000)]</t>
  </si>
  <si>
    <t xml:space="preserve">ось Г (отм. +14.750)</t>
  </si>
  <si>
    <t xml:space="preserve">ОС верх: 2Ø20, участок 0…1600 мм + 250 до торца</t>
  </si>
  <si>
    <t xml:space="preserve">АС-23 (отм. 14.750): выноска «ОС 2Ø20 А500С»; длина по привязкам отдельных стержней</t>
  </si>
  <si>
    <t xml:space="preserve">ОС верх: 2Ø32, участок 3900…9400 мм</t>
  </si>
  <si>
    <t xml:space="preserve">АС-23 (отм. 14.750): выноска «ОС 2Ø32 А500С»; длина по привязкам отдельных стержней</t>
  </si>
  <si>
    <t xml:space="preserve">АС-23 (отм. 14.750): выноска «ОС 2Ø28 А500С»; длина по привязкам отдельных стержней</t>
  </si>
  <si>
    <t xml:space="preserve">АС-23 (отм. 14.750): выноска «ОС 2Ø25 А500С»; длина по привязкам отдельных стержней</t>
  </si>
  <si>
    <t xml:space="preserve">АС-23 (отм. 14.750): выноска «ОС 2Ø16 А500С»; длина по привязкам отдельных стержней</t>
  </si>
  <si>
    <t xml:space="preserve">ОС низ: 2Ø16, участок 3900…9400 мм</t>
  </si>
  <si>
    <t xml:space="preserve">ОС низ: 2Ø20, участок 11300…16000 мм</t>
  </si>
  <si>
    <t xml:space="preserve">ОС низ: 2Ø18, участок 17500…20000 мм</t>
  </si>
  <si>
    <t xml:space="preserve">АС-23 (отм. 14.750): выноска «ОС 2Ø18 А500С»; длина по привязкам отдельных стержней</t>
  </si>
  <si>
    <t xml:space="preserve">Координаты от оси 1: 17500…20000 мм</t>
  </si>
  <si>
    <t xml:space="preserve">АС-23 штриховка у отм. 14.750; АС-28 Фрагмент №1, поз.13</t>
  </si>
  <si>
    <t xml:space="preserve">оси 1, 5 (отм. +14.750)</t>
  </si>
  <si>
    <t xml:space="preserve">ОС верх: 2Ø18, участок 0…1800 мм + 250 до торца</t>
  </si>
  <si>
    <t xml:space="preserve">АС-24 (отм. 14.750): выноска «ОС 2Ø18 А500С»; длина по привязкам отдельных стержней</t>
  </si>
  <si>
    <t xml:space="preserve">АС-24 (отм. 14.750): выноска «ОС 2Ø28 А500С»; длина по привязкам отдельных стержней</t>
  </si>
  <si>
    <t xml:space="preserve">АС-24 (отм. 14.750): выноска «ОС 2Ø16 А500С»; длина по привязкам отдельных стержней</t>
  </si>
  <si>
    <t xml:space="preserve">АС-24 (отм. 14.750): выноска «Ос (бок) 4Ø12 А500С»; длина по привязкам отдельных стержней</t>
  </si>
  <si>
    <t xml:space="preserve">АС-24 штриховка у отм. 14.750; АС-28 Фрагмент №1, поз.13</t>
  </si>
  <si>
    <t xml:space="preserve">ось 2 (отм. +14.750)</t>
  </si>
  <si>
    <t xml:space="preserve">АС-25 (отм. 14.750): выноска «ОС 2Ø32 А500С»; длина по привязкам отдельных стержней</t>
  </si>
  <si>
    <t xml:space="preserve">АС-25 (отм. 14.750): выноска «ОС 2Ø14 А500С»; длина по привязкам отдельных стержней</t>
  </si>
  <si>
    <t xml:space="preserve">ОС низ: 2Ø25, участок 1000…14200 мм</t>
  </si>
  <si>
    <t xml:space="preserve">АС-25 (отм. 14.750): выноска «ОС 2Ø25 А500С»; длина по привязкам отдельных стержней</t>
  </si>
  <si>
    <t xml:space="preserve">Координаты от оси А: 1000…14200 мм Стыки ванной сваркой без нахлёста: 1 на стержень (всего 2).</t>
  </si>
  <si>
    <t xml:space="preserve">ОС низ: 2Ø14, участок 17400…20000 мм + 250 до торца</t>
  </si>
  <si>
    <t xml:space="preserve">АС-25 (отм. 14.750): выноска «Ос (бок) 2Ø14 А500С»; длина по привязкам отдельных стержней</t>
  </si>
  <si>
    <t xml:space="preserve">АС-25 (отм. 14.750): выноска «Ос (бок) 4Ø14 А500С»; длина по привязкам отдельных стержней</t>
  </si>
  <si>
    <t xml:space="preserve">АС-25 штриховка у отм. 14.750; АС-28 Фрагмент №1, поз.13</t>
  </si>
  <si>
    <t xml:space="preserve">ось 3 (отм. +14.750)</t>
  </si>
  <si>
    <t xml:space="preserve">АС-26 (отм. 14.750): выноска «ОС 2Ø28 А500С»; длина по привязкам отдельных стержней</t>
  </si>
  <si>
    <t xml:space="preserve">АС-26 (отм. 14.750): выноска «ОС 2Ø25 А500С»; длина по привязкам отдельных стержней</t>
  </si>
  <si>
    <t xml:space="preserve">АС-26 (отм. 14.750): выноска «ОС 2Ø32 А500С»; длина по привязкам отдельных стержней</t>
  </si>
  <si>
    <t xml:space="preserve">АС-26 (отм. 14.750): выноска «ОС 2Ø16 А500С»; длина по привязкам отдельных стержней</t>
  </si>
  <si>
    <t xml:space="preserve">АС-26 (отм. 14.750): выноска «ОС 2Ø18 А500С»; длина по привязкам отдельных стержней</t>
  </si>
  <si>
    <t xml:space="preserve">АС-26 (отм. 14.750): выноска «ОС 4Ø12 А500С»; длина по привязкам отдельных стержней</t>
  </si>
  <si>
    <t xml:space="preserve">Ос (бок) бок: 2Ø14, участок 4700…15300 мм</t>
  </si>
  <si>
    <t xml:space="preserve">АС-26 (отм. 14.750): выноска «Ос (бок) 2Ø14 А500С»; длина по привязкам отдельных стержней</t>
  </si>
  <si>
    <t xml:space="preserve">АС-26 (отм. 14.750): выноска «Ос (бок) 4Ø12 А500С»; длина по привязкам отдельных стержней</t>
  </si>
  <si>
    <t xml:space="preserve">АС-26 штриховка у отм. 14.750; АС-28 Фрагмент №1, поз.13</t>
  </si>
  <si>
    <t xml:space="preserve">Участки (мм): одинарные [(8500, 9500), (10500, 11500)], двойные [(6500, 8500), (11500, 13500), (18200, 20000)]</t>
  </si>
  <si>
    <t xml:space="preserve">ось 4 (отм. +14.750)</t>
  </si>
  <si>
    <t xml:space="preserve">АС-27 (отм. 14.750): выноска «ОС 2Ø32 А500С»; длина по привязкам отдельных стержней</t>
  </si>
  <si>
    <t xml:space="preserve">АС-27 (отм. 14.750): выноска «ОС 2Ø28 А500С»; длина по привязкам отдельных стержней</t>
  </si>
  <si>
    <t xml:space="preserve">ОС верх: 2Ø28, участок 17400…20000 мм + 250 до торца</t>
  </si>
  <si>
    <t xml:space="preserve">АС-27 (отм. 14.750): выноска «ОС 2Ø25 А500С»; длина по привязкам отдельных стержней</t>
  </si>
  <si>
    <t xml:space="preserve">АС-27 (отм. 14.750): выноска «ОС 2Ø20 А500С»; длина по привязкам отдельных стержней</t>
  </si>
  <si>
    <t xml:space="preserve">АС-27 (отм. 14.750): выноска «ОС 2Ø16 А500С»; длина по привязкам отдельных стержней</t>
  </si>
  <si>
    <t xml:space="preserve">АС-27 (отм. 14.750): выноска «ОС 2Ø14 А500С»; длина по привязкам отдельных стержней</t>
  </si>
  <si>
    <t xml:space="preserve">АС-27 (отм. 14.750): выноска «Ос (бок) 4Ø12 А500С»; длина по привязкам отдельных стержней</t>
  </si>
  <si>
    <t xml:space="preserve">ОС низ 2-й ряд (Ос): 4Ø12, участок 11500…15100 мм</t>
  </si>
  <si>
    <t xml:space="preserve">АС-27 (отм. 14.750): выноска «ОС 4Ø12 А500С»; длина по привязкам отдельных стержней</t>
  </si>
  <si>
    <t xml:space="preserve">АС-27 штриховка у отм. 14.750; АС-28 Фрагмент №1, поз.13</t>
  </si>
  <si>
    <t xml:space="preserve">Участки (мм): одинарные [(8500, 9500), (10500, 11500), (16400, 19000)], двойные [(2000, 3200), (6500, 8500), (11500, 13500)]</t>
  </si>
  <si>
    <t xml:space="preserve">4.4. ПЛИТА ПЕРЕКРЫТИЯ: сетки, доп. зоны, край, фиксаторы — отм. +14.750 (АС-48 «7.550÷14.750»)</t>
  </si>
  <si>
    <t xml:space="preserve">ПМ-14.750</t>
  </si>
  <si>
    <t xml:space="preserve">4.5. БАЛКИ МОНОЛИТНОЙ ПЛИТЫ (сеч. 1-1…5-5) — отм. +14.750</t>
  </si>
  <si>
    <t xml:space="preserve">4.6. СЕТКИ-ГРЕБЁНКИ С-1 в узлах колонна–ригель — отм. +14.750</t>
  </si>
  <si>
    <t xml:space="preserve">узлы колонна–ригель, отм. +14.750 (20 узлов)</t>
  </si>
  <si>
    <t xml:space="preserve">4.7. ЛЕСТНИЦА ЛВ-1 и рама Лрм — марш 7 11.200→13.000, марш 8 13.000→14.800, площадка 13.000, Лрм-2</t>
  </si>
  <si>
    <t xml:space="preserve">ЛВ-1 марш 7</t>
  </si>
  <si>
    <t xml:space="preserve">Рабочие продольные 18Ø18 ш.150 (9 верх + 9 низ), марш 7 (11.200→13.000), 12×150 / 11×300; через площадку 13.000 до Лрм-2</t>
  </si>
  <si>
    <t xml:space="preserve">АС-68 сеч.а-а «18Ø18 А500С ш.150»; АС-67 разрез (4 этаж: 150×12, 300×11)</t>
  </si>
  <si>
    <t xml:space="preserve">ЛВ-1 марш 8</t>
  </si>
  <si>
    <t xml:space="preserve">Рабочие продольные 18Ø18 ш.150 (9 верх + 9 низ), марш 8 (13.000→14.800), 12×150 / 11×300; через площадку 13.000 до Лрм-2</t>
  </si>
  <si>
    <t xml:space="preserve">ось 3 / Г, отм. 13.000</t>
  </si>
  <si>
    <t xml:space="preserve">ЛВ-1 площадка 13.000</t>
  </si>
  <si>
    <t xml:space="preserve">Стойка рамы 300×300: 4Ø25 (550 ниже +11.150 с Аш-6; высота 1700)</t>
  </si>
  <si>
    <t xml:space="preserve">АС-69 «Рама Лрм-1 (Лрм-2)» сеч.1-1 «550» ниже опоры (Лрм-2 4 этажа: 11.150÷12.850, высота 1700)</t>
  </si>
  <si>
    <t xml:space="preserve">5 ЭТАЖ (+14.750…+18.350)</t>
  </si>
  <si>
    <t xml:space="preserve">5.1. ДИАФРАГМЫ Дм-1…Дм-5 — отм. +14.750…+18.350 (верхний этаж), сечения «3÷5 этаж» (Дм-1, 2, 5), 3-3 «4, 5 этаж» (Дм-3), 2-2 «2÷5» (Дм-4); вертикали ½ 2,75 + ½ 2,25 м с Аш</t>
  </si>
  <si>
    <t xml:space="preserve">5 этаж (отм. +14.750…+18.350)</t>
  </si>
  <si>
    <t xml:space="preserve">Вертикальные: колонна, угловые 4Ø28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</si>
  <si>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поз.2 4Ø28</t>
  </si>
  <si>
    <t xml:space="preserve">Вертикальные: колонна, угловые 4Ø28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</si>
  <si>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поз.2 4Ø28</t>
  </si>
  <si>
    <t xml:space="preserve">Вертикальные: колонна 8Ø20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</si>
  <si>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поз.5 8Ø20</t>
  </si>
  <si>
    <t xml:space="preserve">Вертикальные: колонна 8Ø20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</si>
  <si>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поз.5 8Ø20</t>
  </si>
  <si>
    <t xml:space="preserve">Вертикальные: полка: 2 торцевых эл-та по 6 (выноски «3Ø22»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</si>
  <si>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«4 3Ø22» ×2</t>
  </si>
  <si>
    <t xml:space="preserve">Вертикальные: полка: 2 торцевых эл-та по 6 (выноски «3Ø22»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</si>
  <si>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«4 3Ø22» ×2</t>
  </si>
  <si>
    <t xml:space="preserve">Вертикальные: полка, стенка (выноски «2Ø14» + 2 симметр., ×2 стороны)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</si>
  <si>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«7 2Ø14» ×2</t>
  </si>
  <si>
    <t xml:space="preserve">Вертикальные: полка, стенка (выноски «2Ø14» + 2 симметр., ×2 стороны)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</si>
  <si>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«7 2Ø14» ×2</t>
  </si>
  <si>
    <t xml:space="preserve">Вертикальные: ребро, торцевой эл-т (выноска «3Ø25»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</si>
  <si>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«3 3Ø25»</t>
  </si>
  <si>
    <t xml:space="preserve">Вертикальные: ребро, торцевой эл-т (выноска «3Ø25»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</si>
  <si>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«3 3Ø25»</t>
  </si>
  <si>
    <t xml:space="preserve">Вертикальные: ребро, стенка (выноска «2Ø18» + 2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</si>
  <si>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«7 2Ø18»</t>
  </si>
  <si>
    <t xml:space="preserve">Вертикальные: ребро, стенка (выноска «2Ø18» + 2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</si>
  <si>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«7 2Ø18»</t>
  </si>
  <si>
    <t xml:space="preserve">Вертикальные: ребро, стенка (выноска «4Ø14» + 4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</si>
  <si>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«7 4Ø14»</t>
  </si>
  <si>
    <t xml:space="preserve">Вертикальные: ребро, стенка (выноска «4Ø14» + 4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</si>
  <si>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«7 4Ø14»</t>
  </si>
  <si>
    <t xml:space="preserve">АС-35 развертка 5 этажа, шаг 200x14+100 (16 рядов × 2 грани)</t>
  </si>
  <si>
    <t xml:space="preserve">развертка «Осн. стержни Ø10» (5 этаж)</t>
  </si>
  <si>
    <t xml:space="preserve">развертка «Осн. стержни Ø12» (5 этаж)</t>
  </si>
  <si>
    <t xml:space="preserve">верхний этаж: от стыка на +800 над +14.750 (АС-32, АС-34: стыки вразбежку — 800 и 800+500) до верха плиты 18.350 − 50, на верхнем конце Аш; L = 2.75 м. поз.2</t>
  </si>
  <si>
    <t xml:space="preserve">верхний этаж: от стыка на +1300 над +14.750 (АС-32, АС-34: стыки вразбежку — 800 и 800+500) до верха плиты 18.350 − 50, на верхнем конце Аш; L = 2.25 м. поз.2</t>
  </si>
  <si>
    <t xml:space="preserve">Вертикальные: колонна 8Ø20 (выноски «2Ø20» ×2 +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</si>
  <si>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поз.5</t>
  </si>
  <si>
    <t xml:space="preserve">Вертикальные: колонна 8Ø20 (выноски «2Ø20» ×2 +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</si>
  <si>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поз.5</t>
  </si>
  <si>
    <t xml:space="preserve">Вертикальные: ребро, торцевой эл-т (выноска «3Ø22»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</si>
  <si>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«4 3Ø22»</t>
  </si>
  <si>
    <t xml:space="preserve">Вертикальные: ребро, торцевой эл-т (выноска «3Ø22»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</si>
  <si>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«4 3Ø22»</t>
  </si>
  <si>
    <t xml:space="preserve">Вертикальные: полка, торцевой эл-т (выноска «3Ø22» + 3 симметр.) — ½ стержней, стык +800</t>
  </si>
  <si>
    <t xml:space="preserve">Вертикальные: полка, торцевой эл-т (выноска «3Ø22» + 3 симметр.) — ½ стержней, стык +1300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</si>
  <si>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«6 2Ø18»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</si>
  <si>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«6 2Ø18»</t>
  </si>
  <si>
    <t xml:space="preserve">Вертикальные: полка, стенка (выноска «2Ø16» + 2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</si>
  <si>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«6 2Ø16»</t>
  </si>
  <si>
    <t xml:space="preserve">Вертикальные: полка, стенка (выноска «2Ø16» + 2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</si>
  <si>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«6 2Ø16»</t>
  </si>
  <si>
    <t xml:space="preserve">АС-37 развертка 5 этажа, шаг 200x14+100 (16 рядов × 2 грани)</t>
  </si>
  <si>
    <t xml:space="preserve">Доп. стержни: ось А над +14.750, 6Ø10 L=1250 (АС-36, группа над отметкой 14.750)</t>
  </si>
  <si>
    <t xml:space="preserve">Доп. стержни: ось 2 над +14.750, 6Ø14 L=1200 (вторая половина выноски «12Ø14»)</t>
  </si>
  <si>
    <t xml:space="preserve">Вертикальные: полка: 2 торцевых эл-та по 6 («3 3Ø22» и «2 3Ø22»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</si>
  <si>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«3 3Ø22» и «2 3Ø22»</t>
  </si>
  <si>
    <t xml:space="preserve">Вертикальные: полка: 2 торцевых эл-та по 6 («3 3Ø22» и «2 3Ø22»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</si>
  <si>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«3 3Ø22» и «2 3Ø22»</t>
  </si>
  <si>
    <t xml:space="preserve">Вертикальные: полка, стенка («2Ø14» + 2 симметр., ×2 стороны)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</si>
  <si>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«8 2Ø14» ×2</t>
  </si>
  <si>
    <t xml:space="preserve">Вертикальные: полка, стенка («2Ø14» + 2 симметр., ×2 стороны)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</si>
  <si>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«8 2Ø14» ×2</t>
  </si>
  <si>
    <t xml:space="preserve">Вертикальные: ребро, стенка («3Ø16»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</si>
  <si>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«7 3Ø16»</t>
  </si>
  <si>
    <t xml:space="preserve">Вертикальные: ребро, стенка («3Ø16»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</si>
  <si>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«7 3Ø16»</t>
  </si>
  <si>
    <t xml:space="preserve">Вертикальные: ребро, торцевой эл-т («3Ø22» + 3 симметр.) — ½ стержней, стык +800</t>
  </si>
  <si>
    <t xml:space="preserve">Вертикальные: ребро, торцевой эл-т («3Ø22» + 3 симметр.) — ½ стержней, стык +1300</t>
  </si>
  <si>
    <t xml:space="preserve">АС-39 развертка 5 этажа, шаг 200x14+100 (16 рядов × 2 грани)</t>
  </si>
  <si>
    <t xml:space="preserve">Доп. стержни: ось Г над +14.750, 6Ø10 L=1950 (вторая половина выноски «12Ø10»)</t>
  </si>
  <si>
    <t xml:space="preserve">Доп. стержни: ось Г под ригелем +18.350, 6Ø10 L=1950</t>
  </si>
  <si>
    <t xml:space="preserve">Доп. стержни: ось 2 над +14.750, 6Ø10 L=1450</t>
  </si>
  <si>
    <t xml:space="preserve">Вертикальные: колонна 8Ø20 («2Ø20» ×2 + симметр.) — ½ стержней, стык +800</t>
  </si>
  <si>
    <t xml:space="preserve">Вертикальные: колонна 8Ø20 («2Ø20» ×2 + симметр.) — ½ стержней, стык +1300</t>
  </si>
  <si>
    <t xml:space="preserve">Вертикальные: стенка («3Ø16» + 3 симметр.) — ½ стержней, стык +800</t>
  </si>
  <si>
    <t xml:space="preserve">Вертикальные: стенка («3Ø16» + 3 симметр.) — ½ стержней, стык +1300</t>
  </si>
  <si>
    <t xml:space="preserve">Вертикальные: торцевой эл-т («3Ø25» + 3 симметр.) — ½ стержней, стык +800</t>
  </si>
  <si>
    <t xml:space="preserve">Вертикальные: торцевой эл-т («3Ø25» + 3 симметр.) — ½ стержней, стык +1300</t>
  </si>
  <si>
    <t xml:space="preserve">АС-40 развертка 5 этажа, шаг 200x14+100 (16 рядов × 2 грани)</t>
  </si>
  <si>
    <t xml:space="preserve">Доп. стержни: под ригелем +18.350, 6Ø10 L=1450</t>
  </si>
  <si>
    <t xml:space="preserve">Вертикальные: полка, торцевой эл-т («3Ø22» + 3 симметр.) — ½ стержней, стык +800</t>
  </si>
  <si>
    <t xml:space="preserve">Вертикальные: полка, торцевой эл-т («3Ø22» + 3 симметр.) — ½ стержней, стык +1300</t>
  </si>
  <si>
    <t xml:space="preserve">Вертикальные: полка, стенка («2Ø14» + 2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</si>
  <si>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«8 2Ø14»</t>
  </si>
  <si>
    <t xml:space="preserve">Вертикальные: полка, стенка («2Ø14» + 2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</si>
  <si>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«8 2Ø14»</t>
  </si>
  <si>
    <t xml:space="preserve">Вертикальные: ребро, стенка («3Ø14»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</si>
  <si>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«8 3Ø14»</t>
  </si>
  <si>
    <t xml:space="preserve">Вертикальные: ребро, стенка («3Ø14»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</si>
  <si>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«8 3Ø14»</t>
  </si>
  <si>
    <t xml:space="preserve">АС-42 развертка 5 этажа, шаг 200x14+100 (16 рядов × 2 грани)</t>
  </si>
  <si>
    <t xml:space="preserve">Доп. стержни: ось Г под ригелем +18.350, 6Ø10 L=1250</t>
  </si>
  <si>
    <t xml:space="preserve">Доп. стержни: ось 4 над +14.750, 6Ø18 L=1450</t>
  </si>
  <si>
    <t xml:space="preserve">5.2. КОЛОННЫ 600×600 вне диафрагм (15 шт) — 2-2 у А/1, В/1, Г/1, Г/5; 3-3 (4Ø32+10Ø20) у Б/4; 1-1 у остальных 10; вертикали ½ 2,75 + ½ 2,25 м с Аш; В/3, В/4 — 3,6 м (в надстройку)</t>
  </si>
  <si>
    <t xml:space="preserve">Вертикальные: угловые 4Ø28 (сеч.2-2) — колонны А/1 — ½ стержней, стык +800</t>
  </si>
  <si>
    <t xml:space="preserve">АС-28 сеч.«1-1 (2-2)» поз.(2); выноска «2-2» на раме по оси А</t>
  </si>
  <si>
    <t xml:space="preserve">Верхний этаж: L = 2.75 м — от стыка на +800 над +14.750 (АС-32: стыки вразбежку 800 и 800+500) до верха плиты 18.350 − 50, на конце Аш (АС-32, узлы «3», «4» АС-30).</t>
  </si>
  <si>
    <t xml:space="preserve">Вертикальные: угловые 4Ø28 (сеч.2-2) — колонны А/1 — ½ стержней, стык +1300</t>
  </si>
  <si>
    <t xml:space="preserve">Верхний этаж: L = 2.25 м — от стыка на +1300 над +14.750 (АС-32: стыки вразбежку 800 и 800+500) до верха плиты 18.350 − 50, на конце Аш (АС-32, узлы «3», «4» АС-30).</t>
  </si>
  <si>
    <t xml:space="preserve">Вертикальные: угловые 4Ø32 (сеч.1-1) — колонны А/3, А/5 — ½ стержней, стык +800</t>
  </si>
  <si>
    <t xml:space="preserve">АС-28 сеч.1-1 поз.1; у этих колонн выноска только «1-1» (в подвале)</t>
  </si>
  <si>
    <t xml:space="preserve">Вертикальные: угловые 4Ø32 (сеч.1-1) — колонны А/3, А/5 — ½ стержней, стык +1300</t>
  </si>
  <si>
    <t xml:space="preserve">Вертикальные: промежуточные 8Ø20 (сеч.1-1 / 2-2) — ½ стержней, стык +800</t>
  </si>
  <si>
    <t xml:space="preserve">Вертикальные: промежуточные 8Ø20 (сеч.1-1 / 2-2) — ½ стержней, стык +1300</t>
  </si>
  <si>
    <t xml:space="preserve">АС-32 схема хомутов колонн «3600 (5 этаж)»: 50+100×12+200×n+100×12+50+600; АС-28 поз.10 L=2440</t>
  </si>
  <si>
    <t xml:space="preserve">ось Б: Б/1, Б/2, Б/3, Б/5</t>
  </si>
  <si>
    <t xml:space="preserve">Вертикальные: угловые 4Ø32 (сеч.1-1) — колонны Б/1, Б/2, Б/3, Б/5 — ½ стержней, стык +800</t>
  </si>
  <si>
    <t xml:space="preserve">Вертикальные: угловые 4Ø32 (сеч.1-1) — колонны Б/1, Б/2, Б/3, Б/5 — ½ стержней, стык +1300</t>
  </si>
  <si>
    <t xml:space="preserve">ось Б: Б/4</t>
  </si>
  <si>
    <t xml:space="preserve">Вертикальные: угловые 4Ø32 (сеч.3-3) — колонна Б/4 — ½ стержней, стык +800</t>
  </si>
  <si>
    <t xml:space="preserve">АС-28 сеч.3-3 поз.1 «4Ø32»; АС-21 рама Б — выноска «3-3 / 4Ø32 / 10Ø20» в 5 этаже у колонны по оси 4</t>
  </si>
  <si>
    <t xml:space="preserve">Вертикальные: угловые 4Ø32 (сеч.3-3) — колонна Б/4 — ½ стержней, стык +1300</t>
  </si>
  <si>
    <t xml:space="preserve">Вертикальные: промежуточные 10Ø20 (сеч.3-3) — колонна Б/4 — ½ стержней, стык +800</t>
  </si>
  <si>
    <t xml:space="preserve">АС-28 сеч.3-3 поз.5 «10Ø20»</t>
  </si>
  <si>
    <t xml:space="preserve">Вертикальные: промежуточные 10Ø20 (сеч.3-3) — колонна Б/4 — ½ стержней, стык +1300</t>
  </si>
  <si>
    <t xml:space="preserve">Вертикальные: угловые 4Ø28 (сеч.2-2) — колонны В/1 — ½ стержней, стык +800</t>
  </si>
  <si>
    <t xml:space="preserve">АС-28 сеч.«1-1 (2-2)» поз.(2); выноска «2-2» на раме по оси В</t>
  </si>
  <si>
    <t xml:space="preserve">Вертикальные: угловые 4Ø28 (сеч.2-2) — колонны В/1 — ½ стержней, стык +1300</t>
  </si>
  <si>
    <t xml:space="preserve">ось В: В/2, В/5</t>
  </si>
  <si>
    <t xml:space="preserve">Вертикальные: угловые 4Ø32 (сеч.1-1) — колонны В/2, В/5 — ½ стержней, стык +800</t>
  </si>
  <si>
    <t xml:space="preserve">Вертикальные: угловые 4Ø32 (сеч.1-1) — колонны В/2, В/5 — ½ стержней, стык +1300</t>
  </si>
  <si>
    <t xml:space="preserve">ось В: В/1, В/2, В/5</t>
  </si>
  <si>
    <t xml:space="preserve">ось В: В/3, В/4</t>
  </si>
  <si>
    <t xml:space="preserve">Вертикальные: угловые 4Ø32 (сеч.1-1) — колонны В/3, В/4 (идут в надстройку)</t>
  </si>
  <si>
    <t xml:space="preserve">АС-28 сеч.1-1 поз.1; АС-22 рама В — стыки выше +18.350</t>
  </si>
  <si>
    <t xml:space="preserve">Колонна продолжается в надстройку (+21.750): на раме В (АС-22) над +18.350 — точки ванной сварки (стыки 800 / 800+500) → стержень стык-стык 3,6 м, анкерных шайб нет.</t>
  </si>
  <si>
    <t xml:space="preserve">Вертикальные: промежуточные 8Ø20 (сеч.1-1) — колонны В/3, В/4 (идут в надстройку)</t>
  </si>
  <si>
    <t xml:space="preserve">АС-28 сеч.1-1 поз.5; АС-22 рама В — стыки выше +18.350</t>
  </si>
  <si>
    <t xml:space="preserve">Вертикальные: угловые 4Ø28 (сеч.2-2) — колонны Г/1, Г/5 — ½ стержней, стык +800</t>
  </si>
  <si>
    <t xml:space="preserve">АС-28 сеч.«1-1 (2-2)» поз.(2); выноска «2-2» на раме по оси Г</t>
  </si>
  <si>
    <t xml:space="preserve">Вертикальные: угловые 4Ø28 (сеч.2-2) — колонны Г/1, Г/5 — ½ стержней, стык +1300</t>
  </si>
  <si>
    <t xml:space="preserve">5.3. РИГЕЛИ РАМ (450×600, сеч.4-4/5-5), 9 рам — отм. +18.350 (покрытие)</t>
  </si>
  <si>
    <t xml:space="preserve">ось А (отм. +18.350)</t>
  </si>
  <si>
    <t xml:space="preserve">ОС верх: 2Ø20, участок 4700…9200 мм</t>
  </si>
  <si>
    <t xml:space="preserve">АС-20 (отм. 18.350): выноска «ОС 2Ø20 А500С»; длина по привязкам отдельных стержней</t>
  </si>
  <si>
    <t xml:space="preserve">ОС верх: 2Ø20, участок 17400…22200 мм</t>
  </si>
  <si>
    <t xml:space="preserve">АС-20 (отм. 18.350): выноска «ОС 2Ø14 А500С»; длина по привязкам отдельных стержней</t>
  </si>
  <si>
    <t xml:space="preserve">АС-20 штриховка у отм. 18.350; АС-28 Фрагмент №1, поз.13</t>
  </si>
  <si>
    <t xml:space="preserve">Участки (мм): одинарные [(7500, 8700), (17600, 19000), (21000, 22200)], двойные []</t>
  </si>
  <si>
    <t xml:space="preserve">ось Б (отм. +18.350)</t>
  </si>
  <si>
    <t xml:space="preserve">ОС верх: 2Ø20, участок 4700…8400 мм</t>
  </si>
  <si>
    <t xml:space="preserve">АС-21 (отм. 18.350): выноска «ОС 2Ø20 А500С»; длина по привязкам отдельных стержней</t>
  </si>
  <si>
    <t xml:space="preserve">ОС верх: 2Ø16, участок 11600…15300 мм</t>
  </si>
  <si>
    <t xml:space="preserve">АС-21 (отм. 18.350): выноска «ОС 2Ø16 А500С»; длина по привязкам отдельных стержней</t>
  </si>
  <si>
    <t xml:space="preserve">ОС верх: 2Ø16, участок 18200…21800 мм</t>
  </si>
  <si>
    <t xml:space="preserve">АС-21 штриховка у отм. 18.350; АС-28 Фрагмент №1, поз.13</t>
  </si>
  <si>
    <t xml:space="preserve">Участки (мм): одинарные [(6500, 7700)], двойные []</t>
  </si>
  <si>
    <t xml:space="preserve">ось В (отм. +18.350)</t>
  </si>
  <si>
    <t xml:space="preserve">АС-22 (отм. 18.350): выноска «ОС 2Ø20 А500С»; длина по привязкам отдельных стержней</t>
  </si>
  <si>
    <t xml:space="preserve">ОС верх: 2Ø25, участок 11600…15300 мм</t>
  </si>
  <si>
    <t xml:space="preserve">АС-22 (отм. 18.350): выноска «ОС 2Ø25 А500С»; длина по привязкам отдельных стержней</t>
  </si>
  <si>
    <t xml:space="preserve">ОС низ: 2Ø16, участок 11600…21800 мм</t>
  </si>
  <si>
    <t xml:space="preserve">АС-22 (отм. 18.350): выноска «ОС 2Ø16 А500С»; длина по привязкам отдельных стержней</t>
  </si>
  <si>
    <t xml:space="preserve">Координаты от оси 1: 11600…21800 мм</t>
  </si>
  <si>
    <t xml:space="preserve">Ос (бок) бок: 4Ø12, участок 11600…21800 мм</t>
  </si>
  <si>
    <t xml:space="preserve">АС-22 (отм. 18.350): выноска «Ос (бок) 4Ø12 А500С»; длина по привязкам отдельных стержней</t>
  </si>
  <si>
    <t xml:space="preserve">АС-22 штриховка у отм. 18.350; АС-28 Фрагмент №1, поз.13</t>
  </si>
  <si>
    <t xml:space="preserve">Участки (мм): одинарные [(14700, 17800)], двойные [(13500, 14700), (17800, 20000)]</t>
  </si>
  <si>
    <t xml:space="preserve">ось Г (отм. +18.350)</t>
  </si>
  <si>
    <t xml:space="preserve">АС-23 (отм. 18.350): выноска «ОС 2Ø28 А500С»; длина по привязкам отдельных стержней</t>
  </si>
  <si>
    <t xml:space="preserve">ОС низ: 2Ø14, участок 6500…9400 мм</t>
  </si>
  <si>
    <t xml:space="preserve">АС-23 (отм. 18.350): выноска «ОС 2Ø14 А500С»; длина по привязкам отдельных стержней</t>
  </si>
  <si>
    <t xml:space="preserve">Координаты от оси 1: 6500…9400 мм</t>
  </si>
  <si>
    <t xml:space="preserve">ОС верх: 2Ø22, участок 11300…16000 мм</t>
  </si>
  <si>
    <t xml:space="preserve">АС-23 (отм. 18.350): выноска «ОС 2Ø22 А500С»; длина по привязкам отдельных стержней</t>
  </si>
  <si>
    <t xml:space="preserve">ОС низ: 2Ø16, участок 11300…16000 мм</t>
  </si>
  <si>
    <t xml:space="preserve">АС-23 (отм. 18.350): выноска «ОС 2Ø16 А500С»; длина по привязкам отдельных стержней</t>
  </si>
  <si>
    <t xml:space="preserve">Ос (бок) бок: 2Ø12, участок 13500…16000 мм</t>
  </si>
  <si>
    <t xml:space="preserve">АС-23 (отм. 18.350): выноска «Ос (бок) 2Ø12 А500С»; длина по привязкам отдельных стержней</t>
  </si>
  <si>
    <t xml:space="preserve">Координаты от оси 1: 13500…16000 мм</t>
  </si>
  <si>
    <t xml:space="preserve">ОС верх: 2Ø18, участок 17500…21800 мм</t>
  </si>
  <si>
    <t xml:space="preserve">АС-23 (отм. 18.350): выноска «ОС 2Ø18 А500С»; длина по привязкам отдельных стержней</t>
  </si>
  <si>
    <t xml:space="preserve">Ос (бок) бок: 2Ø12, участок 17500…20000 мм</t>
  </si>
  <si>
    <t xml:space="preserve">АС-23 штриховка у отм. 18.350; АС-28 Фрагмент №1, поз.13</t>
  </si>
  <si>
    <t xml:space="preserve">оси 1, 5 (отм. +18.350)</t>
  </si>
  <si>
    <t xml:space="preserve">ОС верх: 2Ø20, участок 4700…8500 мм</t>
  </si>
  <si>
    <t xml:space="preserve">АС-24 (отм. 18.350): выноска «ОС 2Ø20 А500С»; длина по привязкам отдельных стержней</t>
  </si>
  <si>
    <t xml:space="preserve">ОС верх: 2Ø20, участок 11500…15300 мм</t>
  </si>
  <si>
    <t xml:space="preserve">АС-24 штриховка у отм. 18.350; АС-28 Фрагмент №1, поз.13</t>
  </si>
  <si>
    <t xml:space="preserve">Участки (мм): одинарные [(6500, 7900), (12100, 13500)], двойные []</t>
  </si>
  <si>
    <t xml:space="preserve">ось 2 (отм. +18.350)</t>
  </si>
  <si>
    <t xml:space="preserve">ОС верх 2-й ряд: 1Ø28, участок 1000…3400 мм</t>
  </si>
  <si>
    <t xml:space="preserve">АС-25 (отм. 18.350): выноска «ОС 1Ø28 А500С»; длина по привязкам отдельных стержней</t>
  </si>
  <si>
    <t xml:space="preserve">ОС верх: 2Ø16, участок 1000…8500 мм</t>
  </si>
  <si>
    <t xml:space="preserve">АС-25 (отм. 18.350): выноска «ОС 2Ø16 А500С»; длина по привязкам отдельных стержней</t>
  </si>
  <si>
    <t xml:space="preserve">ОС верх: 2Ø16, участок 11500…15100 мм</t>
  </si>
  <si>
    <t xml:space="preserve">ОС верх: 2Ø22, участок 17400…20000 мм + 250 до торца</t>
  </si>
  <si>
    <t xml:space="preserve">АС-25 (отм. 18.350): выноска «ОС 2Ø22 А500С»; длина по привязкам отдельных стержней</t>
  </si>
  <si>
    <t xml:space="preserve">ось 3 (отм. +18.350)</t>
  </si>
  <si>
    <t xml:space="preserve">АС-26 (отм. 18.350): выноска «ОС 2Ø25 А500С»; длина по привязкам отдельных стержней</t>
  </si>
  <si>
    <t xml:space="preserve">АС-26 (отм. 18.350): выноска «ОС 2Ø16 А500С»; длина по привязкам отдельных стержней</t>
  </si>
  <si>
    <t xml:space="preserve">АС-26 (отм. 18.350): выноска «ОС 2Ø20 А500С»; длина по привязкам отдельных стержней</t>
  </si>
  <si>
    <t xml:space="preserve">АС-26 (отм. 18.350): выноска «ОС 2Ø28 А500С»; длина по привязкам отдельных стержней</t>
  </si>
  <si>
    <t xml:space="preserve">Ос (бок) бок: 4Ø12, участок 11500…20000 мм + 250 до торца</t>
  </si>
  <si>
    <t xml:space="preserve">АС-26 (отм. 18.350): выноска «Ос (бок) 4Ø12 А500С»; длина по привязкам отдельных стержней</t>
  </si>
  <si>
    <t xml:space="preserve">Координаты от оси А: 11500…20000 мм; конец до торца крайней колонны (+250)</t>
  </si>
  <si>
    <t xml:space="preserve">АС-26 штриховка у отм. 18.350; АС-28 Фрагмент №1, поз.13</t>
  </si>
  <si>
    <t xml:space="preserve">Участки (мм): одинарные [(13500, 16800)], двойные [(16800, 20000)]</t>
  </si>
  <si>
    <t xml:space="preserve">ось 4 (отм. +18.350)</t>
  </si>
  <si>
    <t xml:space="preserve">ОС верх: 2Ø28, участок 1000…3400 мм</t>
  </si>
  <si>
    <t xml:space="preserve">АС-27 (отм. 18.350): выноска «ОС 2Ø28 А500С»; длина по привязкам отдельных стержней</t>
  </si>
  <si>
    <t xml:space="preserve">ОС верх: 2Ø16, участок 5100…8500 мм</t>
  </si>
  <si>
    <t xml:space="preserve">АС-27 (отм. 18.350): выноска «ОС 2Ø16 А500С»; длина по привязкам отдельных стержней</t>
  </si>
  <si>
    <t xml:space="preserve">ОС верх: 2Ø25, участок 17400…20000 мм + 250 до торца</t>
  </si>
  <si>
    <t xml:space="preserve">АС-27 (отм. 18.350): выноска «ОС 2Ø25 А500С»; длина по привязкам отдельных стержней</t>
  </si>
  <si>
    <t xml:space="preserve">Ос (бок) бок: 4Ø14, участок 12800…19700 мм</t>
  </si>
  <si>
    <t xml:space="preserve">АС-27 (отм. 18.350): выноска «Ос (бок) 4Ø14 А500С»; длина по привязкам отдельных стержней</t>
  </si>
  <si>
    <t xml:space="preserve">Координаты от оси А: 12800…19700 мм</t>
  </si>
  <si>
    <t xml:space="preserve">ОС низ: 2Ø16, участок 12800…15100 мм</t>
  </si>
  <si>
    <t xml:space="preserve">АС-27 штриховка у отм. 18.350; АС-28 Фрагмент №1, поз.13</t>
  </si>
  <si>
    <t xml:space="preserve">Участки (мм): одинарные [(2000, 3200), (15100, 17400)], двойные [(13500, 15100), (17400, 19000)]</t>
  </si>
  <si>
    <t xml:space="preserve">5.4. ПЛИТА ПЕРЕКРЫТИЯ: сетки, доп. зоны, край, фиксаторы — отм. +18.350 (АС-52, АС-54), выпуски парапета</t>
  </si>
  <si>
    <t xml:space="preserve">ПМ-18.350</t>
  </si>
  <si>
    <t xml:space="preserve">АС-54 «Осн. сетка Ø10 А500С ш.200×200» (верх и низ); контур — АС-52 (без эркеров, край 420), проёмы — как на АС-48</t>
  </si>
  <si>
    <t xml:space="preserve">Нахлёсты стыков к поз. «Нижняя осн. сетка, направление X (вдоль осей 1–5)» (L=25.600 м &gt; 11,7 м): 3 куска, 2 стык(а) на стержень × 75 стерж.</t>
  </si>
  <si>
    <t xml:space="preserve">Нахлёсты стыков к поз. «Нижняя осн. сетка, направление X (вдоль осей 1–5)» (L=20.480 м &gt; 11,7 м): 2 куска, 1 стык(а) на стержень × 1 стерж.</t>
  </si>
  <si>
    <t xml:space="preserve">Нахлёсты стыков к поз. «Нижняя осн. сетка, направление X (вдоль осей 1–5)» (L=13.900 м &gt; 11,7 м): 2 куска, 1 стык(а) на стержень × 28 стерж.</t>
  </si>
  <si>
    <t xml:space="preserve">Нахлёсты стыков к поз. «Нижняя осн. сетка, направление Y (вдоль осей А–Г)» (L=20.600 м &gt; 11,7 м): 2 куска, 1 стык(а) на стержень × 81 стерж.</t>
  </si>
  <si>
    <t xml:space="preserve">Нахлёсты стыков к поз. «Нижняя осн. сетка, направление Y (вдоль осей А–Г)» (L=13.880 м &gt; 11,7 м): 2 куска, 1 стык(а) на стержень × 17 стерж.</t>
  </si>
  <si>
    <t xml:space="preserve">Чистая длина 13.880 м; кусков 2; стыков 1; Lнахл=1×0.400=0.4 м на стержень</t>
  </si>
  <si>
    <t xml:space="preserve">Нахлёсты стыков к поз. «Верхняя осн. сетка, направление X (вдоль осей 1–5)» (L=25.600 м &gt; 11,7 м): 3 куска, 2 стык(а) на стержень × 75 стерж.</t>
  </si>
  <si>
    <t xml:space="preserve">Нахлёсты стыков к поз. «Верхняя осн. сетка, направление X (вдоль осей 1–5)» (L=20.480 м &gt; 11,7 м): 2 куска, 1 стык(а) на стержень × 1 стерж.</t>
  </si>
  <si>
    <t xml:space="preserve">Нахлёсты стыков к поз. «Верхняя осн. сетка, направление X (вдоль осей 1–5)» (L=13.900 м &gt; 11,7 м): 2 куска, 1 стык(а) на стержень × 28 стерж.</t>
  </si>
  <si>
    <t xml:space="preserve">Нахлёсты стыков к поз. «Верхняя осн. сетка, направление Y (вдоль осей А–Г)» (L=20.600 м &gt; 11,7 м): 2 куска, 1 стык(а) на стержень × 81 стерж.</t>
  </si>
  <si>
    <t xml:space="preserve">Нахлёсты стыков к поз. «Верхняя осн. сетка, направление Y (вдоль осей А–Г)» (L=13.880 м &gt; 11,7 м): 2 куска, 1 стык(а) на стержень × 17 стерж.</t>
  </si>
  <si>
    <t xml:space="preserve">у лестницы, оси 3–4 / В–Г</t>
  </si>
  <si>
    <t xml:space="preserve">Доп. верхние Ø10 ш.200 у лестницы: 10 шт L≈1,2 (размер 1000 до оси + заход за ось)</t>
  </si>
  <si>
    <t xml:space="preserve">АС-54, прим. «Все неуказанные доп. стержни принять Ø10 А500С ш.200 в верхней зоне»</t>
  </si>
  <si>
    <t xml:space="preserve">Доп. верхние Ø10 ш.200 у лестницы: 5 шт L≈2,73 (полоса 1200 от оси В)</t>
  </si>
  <si>
    <t xml:space="preserve">АС-54 (длина снята с чертежа по масштабу)</t>
  </si>
  <si>
    <t xml:space="preserve">Доп. верхние Ø10 у лестницы: 3 шт L≈3,83 (вдоль балки у лифта)</t>
  </si>
  <si>
    <t xml:space="preserve">зона лестницы и лифта, оси 3–4 / В–Г</t>
  </si>
  <si>
    <t xml:space="preserve">Доп. стер. в верхней зоне 2Ø22 L=1700 (2 выноски)</t>
  </si>
  <si>
    <t xml:space="preserve">АС-52 «План перекрытия на отм. 18.350» (под стены надстройки)</t>
  </si>
  <si>
    <t xml:space="preserve">Доп. стер. в нижней зоне 1Ø18 L=3900</t>
  </si>
  <si>
    <t xml:space="preserve">Доп. стер. 2Ø16 L=1700 (боковая зона) (2 выноски)</t>
  </si>
  <si>
    <t xml:space="preserve">Доп. стер. по 2Ø16 L=1900 (боковая зона) — «по», принято 2 места</t>
  </si>
  <si>
    <t xml:space="preserve">Доп. стер. в верхней зоне 2Ø18 L=1700</t>
  </si>
  <si>
    <t xml:space="preserve">Доп. стер. в верхней зоне 1Ø22 L=1700</t>
  </si>
  <si>
    <t xml:space="preserve">АС-55 сеч.6-6 поз.8; АС-52</t>
  </si>
  <si>
    <t xml:space="preserve">по периметру покрытия</t>
  </si>
  <si>
    <t xml:space="preserve">Выпуски парапета</t>
  </si>
  <si>
    <t xml:space="preserve">Выпуски парапета П-образные 2Ø14 (Фрагмент №1): 59 мест ш.1500 (по отметкам на АС-52: Г 10, А 16, ось 1 — 12, ось 5 — 13, углы 4×2); 2 ветви × (600 над плитой + 570 в ригель) + 140 / 2</t>
  </si>
  <si>
    <t xml:space="preserve">АС-52 «Выпуски парапета см. фрагмент №1»; АС-57 «Фрагмент №1. Устройство выпусков из перекрытия» поз.1 2Ø14</t>
  </si>
  <si>
    <t xml:space="preserve">Места — по отметкам (пары точек) вдоль края на АС-52; по оси Г между Дм-4 и Дм-5 (под надстройкой) выпусков нет; глубина заведения в ригель на фрагменте не указана — принято до низа ригеля 600 − 30.</t>
  </si>
  <si>
    <t xml:space="preserve">П-парапет</t>
  </si>
  <si>
    <t xml:space="preserve">Фиксатор верхней сетки Ø10 ш.800×800 шахм.: 506.8 м² / 0,64 = 792 шт</t>
  </si>
  <si>
    <t xml:space="preserve">Шпилька Ø8 ш.800 шахм. между сетками: 792 шт</t>
  </si>
  <si>
    <t xml:space="preserve">5.5. БАЛКИ МОНОЛИТНОЙ ПЛИТЫ (сеч. 1-1…5-5) — отм. +18.350, учащённые хомуты у лестницы/лифта</t>
  </si>
  <si>
    <t xml:space="preserve">АС-55 сеч.1-1; АС-52 план 18.350; АС-57 узлы «1»,«2»</t>
  </si>
  <si>
    <t xml:space="preserve">АС-55 сеч.5-5; АС-52 план 18.350; АС-57 узлы «1»,«2»</t>
  </si>
  <si>
    <t xml:space="preserve">АС-55 сеч.2-2; АС-52 план 18.350; АС-57 узлы «1»,«2»</t>
  </si>
  <si>
    <t xml:space="preserve">АС-55 сеч.4-4; АС-52 план 18.350; АС-57 узлы «1»,«2»</t>
  </si>
  <si>
    <t xml:space="preserve">X≈5900, В–балка Y≈10000 (АС-52)</t>
  </si>
  <si>
    <t xml:space="preserve">Хомуты балок сеч.2-2: хом.Ø8 L=1240 (поз.10); шаг 100 у опор и у пересечений, 200 в пролёте (без участков учащения, см. ниже)</t>
  </si>
  <si>
    <t xml:space="preserve">Хомуты балок сеч.5-5: хом.Ø8 L=1440 (поз.12); шаг 100 у опор и у пересечений, 200 в пролёте (без участков учащения, см. ниже)</t>
  </si>
  <si>
    <t xml:space="preserve">Хомуты балок сеч.4-4: хом.Ø8 L=1040 (поз.13); шаг 100 у опор и у пересечений, 200 в пролёте (без участков учащения, см. ниже)</t>
  </si>
  <si>
    <t xml:space="preserve">балка 2-2 X≈18650 (оси 3–4, у лестницы)</t>
  </si>
  <si>
    <t xml:space="preserve">Б (2-2) учащ.</t>
  </si>
  <si>
    <t xml:space="preserve">10*</t>
  </si>
  <si>
    <t xml:space="preserve">Хомуты Ø10 А240 ш.100 под стену надстройки, участок ≈2610 мм: 27 шт (вместо 21 шт Ø8)</t>
  </si>
  <si>
    <t xml:space="preserve">АС-52 «Хомуты Ø10 А240 ш.100» (штриховка); АС-58 поз.10* Ø10 L=1140</t>
  </si>
  <si>
    <t xml:space="preserve">балка 5-5 Y≈16960 (между лестницей и лифтом)</t>
  </si>
  <si>
    <t xml:space="preserve">Б (5-5) учащ.</t>
  </si>
  <si>
    <t xml:space="preserve">Хомуты Ø8 А240 ш.50, участки ≈870 и ≈2050 мм: 60 шт (вместо ≈21 шт ш.100/200)</t>
  </si>
  <si>
    <t xml:space="preserve">АС-52 «Хомуты Ø8 А240 ш.50» (двойная штриховка); АС-58 поз.12 L=1440</t>
  </si>
  <si>
    <t xml:space="preserve">балки 4-4 X≈14700 и 2-2 X≈17550 (у лифта)</t>
  </si>
  <si>
    <t xml:space="preserve">Б (4-4, 2-2) учащ.</t>
  </si>
  <si>
    <t xml:space="preserve">13, 10*</t>
  </si>
  <si>
    <t xml:space="preserve">Хомуты Ø10 А240 ш.50 «L-1500» — 2 участка по 1500 мм: 31+31 шт (вместо ≈11+11)</t>
  </si>
  <si>
    <t xml:space="preserve">АС-52 «Хомуты Ø10 А240 ш.50 L-1500»; для 4-4 — по форме поз.13 L=1040</t>
  </si>
  <si>
    <t xml:space="preserve">балка 2-2 X≈17550</t>
  </si>
  <si>
    <t xml:space="preserve">Хомуты Ø10 А240 ш.50 «L-1500» на балке 2-2 (второй участок)</t>
  </si>
  <si>
    <t xml:space="preserve">АС-52; АС-58 поз.10* L=1140</t>
  </si>
  <si>
    <t xml:space="preserve">5.6. СЕТКИ-ГРЕБЁНКИ С-1 в узлах колонна–ригель — отм. +18.350</t>
  </si>
  <si>
    <t xml:space="preserve">узлы колонна–ригель, отм. +18.350 (20 узлов «3», «4»)</t>
  </si>
  <si>
    <t xml:space="preserve">С-1: 7Ø10 (1 гребень + 6 зубьев по 570 мм); 20 узлов × 5 рядов × 2 (попарно) = 200 сеток</t>
  </si>
  <si>
    <t xml:space="preserve">АС-30 узлы «3», «4» «С-1 установить попарно шаг 90»; АС-30 «Сетка гребенка С-1»</t>
  </si>
  <si>
    <t xml:space="preserve">5.7. ЛЕСТНИЦА ЛВ-1 и рама Лрм — марш 9 14.800→16.600, марш 10 16.600→18.400, площадка 16.600, Лрм-2</t>
  </si>
  <si>
    <t xml:space="preserve">ЛВ-1 марш 9</t>
  </si>
  <si>
    <t xml:space="preserve">Рабочие продольные 18Ø18 ш.150 (9 верх + 9 низ), марш 9 (14.800→16.600), 12×150 / 11×300; через площадку 16.600 до Лрм-2</t>
  </si>
  <si>
    <t xml:space="preserve">АС-68 сеч.а-а «18Ø18 А500С ш.150»; АС-67 разрез (5 этаж: 150×12, 300×11)</t>
  </si>
  <si>
    <t xml:space="preserve">ЛВ-1 марш 10</t>
  </si>
  <si>
    <t xml:space="preserve">Рабочие продольные 18Ø18 ш.150 (9 верх + 9 низ), марш 10 (16.600→18.400), 12×150 / 11×300; через площадку 16.600 до Лрм-2</t>
  </si>
  <si>
    <t xml:space="preserve">ось 3 / Г, отм. 16.600</t>
  </si>
  <si>
    <t xml:space="preserve">ЛВ-1 площадка 16.600</t>
  </si>
  <si>
    <t xml:space="preserve">Стойка рамы 300×300: 4Ø25 (550 ниже +14.750 с Аш-6; высота 1700)</t>
  </si>
  <si>
    <t xml:space="preserve">АС-69 «Рама Лрм-1 (Лрм-2)» сеч.1-1 «550» ниже опоры (Лрм-2 5 этажа: 14.750÷16.450, высота 1700)</t>
  </si>
  <si>
    <t xml:space="preserve">ИТОГО 1 этаж</t>
  </si>
  <si>
    <t xml:space="preserve">ИТОГО 2 этаж</t>
  </si>
  <si>
    <t xml:space="preserve">ИТОГО 3 этаж</t>
  </si>
  <si>
    <t xml:space="preserve">ИТОГО 4 этаж</t>
  </si>
  <si>
    <t xml:space="preserve">ИТОГО 5 этаж</t>
  </si>
  <si>
    <t xml:space="preserve">ИТОГО 1–5 этаж</t>
  </si>
  <si>
    <t xml:space="preserve">Раскрой арматуры под стандартные прутки 11,7 м — поэтажно (алгоритм «лучший подходящий по убыванию», отдельно по этажу, Ø и классу)</t>
  </si>
  <si>
    <t xml:space="preserve">Детали: стержни ≤11,7 м — целиком; длиннее 11,7 м — прутки 11,7 + «хвост» (Ø10–14, Ø16–18 ригелей — с нахлёстами; Ø≥20 — встык ванной сваркой). Раскрой не смешивается с проектной массой.</t>
  </si>
  <si>
    <t xml:space="preserve">Этаж</t>
  </si>
  <si>
    <t xml:space="preserve">Схема №</t>
  </si>
  <si>
    <t xml:space="preserve">Деталь 1, м</t>
  </si>
  <si>
    <t xml:space="preserve">шт</t>
  </si>
  <si>
    <t xml:space="preserve">Деталь 2, м</t>
  </si>
  <si>
    <t xml:space="preserve">Деталь 3, м</t>
  </si>
  <si>
    <t xml:space="preserve">Деталь 4, м</t>
  </si>
  <si>
    <t xml:space="preserve">Использовано из прутка, м</t>
  </si>
  <si>
    <t xml:space="preserve">Остаток, м</t>
  </si>
  <si>
    <t xml:space="preserve">Кол-во прутков, шт</t>
  </si>
  <si>
    <t xml:space="preserve">Деталей всего, шт</t>
  </si>
  <si>
    <t xml:space="preserve">Длина деталей всего, м</t>
  </si>
  <si>
    <t xml:space="preserve">Отход всего, м</t>
  </si>
  <si>
    <t xml:space="preserve">Сводка раскроя — 1 этаж</t>
  </si>
  <si>
    <t xml:space="preserve">Длина по ведомости (с нахлёстами), м</t>
  </si>
  <si>
    <t xml:space="preserve">Длина деталей в раскрое, м</t>
  </si>
  <si>
    <t xml:space="preserve">Проверка (разница), м</t>
  </si>
  <si>
    <t xml:space="preserve">Длина заказа, м</t>
  </si>
  <si>
    <t xml:space="preserve">Проектная масса, кг</t>
  </si>
  <si>
    <t xml:space="preserve">Отход, кг</t>
  </si>
  <si>
    <t xml:space="preserve">сетка С-1 лестницы — заказ в м² сетки, не раскраивается</t>
  </si>
  <si>
    <t xml:space="preserve">Сводка раскроя — 2 этаж</t>
  </si>
  <si>
    <t xml:space="preserve">Сводка раскроя — 3 этаж</t>
  </si>
  <si>
    <t xml:space="preserve">Сводка раскроя — 4 этаж</t>
  </si>
  <si>
    <t xml:space="preserve">Сводка раскроя — 5 этаж</t>
  </si>
  <si>
    <t xml:space="preserve">Сводка раскроя — 1–5 этаж (сумма поэтажных заказов)</t>
  </si>
  <si>
    <t xml:space="preserve">Прутков 11,7 м (поэтажно), шт</t>
  </si>
  <si>
    <t xml:space="preserve">Справочно: прутков при совместном раскрое 1–5 этаж, шт</t>
  </si>
  <si>
    <t xml:space="preserve">Экономия, прутков</t>
  </si>
  <si>
    <t xml:space="preserve">Примечания к раскрою:</t>
  </si>
  <si>
    <t xml:space="preserve">1. Вертикали Дм и колонн 1 этажа L=4,0 м: из прутка 11,7 м — 2 детали + остаток 3,7 м (отход Ø32/Ø20 18–23 %). Остаток 3,7 м подходит под вертикали 2–3 этажей L=3,6 м — поэтому при совместном заказе нескольких этажей прутков меньше (колонка «Справочно»).</t>
  </si>
  <si>
    <t xml:space="preserve">2. Стыки балок Ø25 (ванная сварка) по проекту — на 1/3 пролёта (АС-57): при нарезке проверить, чтобы стык не попал в зону у опоры.</t>
  </si>
  <si>
    <t xml:space="preserve">3. Стыки сеток вразбежку (АС-58): не более 50 % стержней в одном сечении.</t>
  </si>
  <si>
    <t xml:space="preserve">Проверки, чек-листы и сомнительные места (1–5 этаж)</t>
  </si>
  <si>
    <t xml:space="preserve">ПРОВЕРКА НА ДВОЙНОЙ УЧЁТ (1 этаж; для 2 этажа — то же)</t>
  </si>
  <si>
    <t xml:space="preserve">Выпуски вертикалей Дм</t>
  </si>
  <si>
    <t xml:space="preserve">Каждый вертикальный стержень считан один раз длиной 4,0 м «стык–стык» (выпуск +800/+500 над +3.950 входит в стержень 1 этажа, нижний выпуск — в стержень подвала). ✔</t>
  </si>
  <si>
    <t xml:space="preserve">Колонны внутри Дм</t>
  </si>
  <si>
    <t xml:space="preserve">Колонны в составе Дм (А/2, А/4, Г/2, Г/3, Г/4) учтены ТОЛЬКО в Дм; отдельно посчитаны остальные 15 колонн. ✔</t>
  </si>
  <si>
    <t xml:space="preserve">Ригели и диафрагмы</t>
  </si>
  <si>
    <t xml:space="preserve">Продольные стержни ригелей проходят через Дм и считаны в ригелях; хомуты ригелей — только в пролётах в свету между гранями колонн и Дм; горизонтали Дм в зоне ригеля (600 мм) не ставились. ✔</t>
  </si>
  <si>
    <t xml:space="preserve">Ригели и С-1</t>
  </si>
  <si>
    <t xml:space="preserve">В узле колонна–ригель хомутов ригеля и колонны нет — там С-1 (посчитаны отдельно). ✔</t>
  </si>
  <si>
    <t xml:space="preserve">Доп. зоны сеток vs основная сетка</t>
  </si>
  <si>
    <t xml:space="preserve">Доп. стержни АС-50/51 считаны отдельно от основной сетки Ø10/200 (это стержни сверх основной сетки). ✔</t>
  </si>
  <si>
    <t xml:space="preserve">Доп. нижние/верхние Ø12 и Ø10 в одной зоне</t>
  </si>
  <si>
    <t xml:space="preserve">12 стержней Ø12 (по выноске) вычтены из числа Ø10 той же зоны (30 = 12 + 18). ✔</t>
  </si>
  <si>
    <t xml:space="preserve">Балки и сетка</t>
  </si>
  <si>
    <t xml:space="preserve">Сетка плиты проходит над ригелями и балками непрерывно (по проекту); продольные стержни и хомуты балок и ригелей — отдельные строки. ✔</t>
  </si>
  <si>
    <t xml:space="preserve">С-1 и хомуты колонн</t>
  </si>
  <si>
    <t xml:space="preserve">В зоне узла (630 мм) хомутов колонн нет — там С-1; хомуты колонн Дм считаны только в пределах этажа (зоны 100×12 + 200). ✔</t>
  </si>
  <si>
    <t xml:space="preserve">Нахлёсты</t>
  </si>
  <si>
    <t xml:space="preserve">Нахлёсты стыковки прутков 11,7 м добавлены отдельными строками только для Ø10/Ø14 длиной &gt;11,7 м; в длинах основных позиций их нет. Для Ø≥20 — ванная сварка, нахлёст не добавлялся. ✔</t>
  </si>
  <si>
    <t xml:space="preserve">Вертикальные Ø18 Дм</t>
  </si>
  <si>
    <t xml:space="preserve">+8d (144 мм) к длине — один раз на стержень (один стык на этаж). ✔</t>
  </si>
  <si>
    <t xml:space="preserve">Доп. стержни «по 4Ø16 L=1600» Дм-3 у +3.950</t>
  </si>
  <si>
    <t xml:space="preserve">Отнесены к 1 этажу (устанавливаются до бетонирования перекрытия +3.950); на 2 этаже их не считать. ⚠</t>
  </si>
  <si>
    <t xml:space="preserve">Короткие стержни сетки &lt; 300 мм</t>
  </si>
  <si>
    <t xml:space="preserve">Отрезки сетки в полосах 200–300 мм между проёмами (зона балок 4-4) не включены — там работает арматура балок.</t>
  </si>
  <si>
    <t xml:space="preserve">УЧТЕНО (чек-лист)</t>
  </si>
  <si>
    <t xml:space="preserve">☑ нижняя арматура</t>
  </si>
  <si>
    <t xml:space="preserve">сетка плиты низ X и Y, доп. нижние зоны АС-50, нижние стержни балок</t>
  </si>
  <si>
    <t xml:space="preserve">☑ верхняя</t>
  </si>
  <si>
    <t xml:space="preserve">сетка верх X и Y, доп. верхние зоны АС-51 (в т.ч. Ø12), верхние стержни балок, 1Ø20 L=3000</t>
  </si>
  <si>
    <t xml:space="preserve">☑ направление X / Y</t>
  </si>
  <si>
    <t xml:space="preserve">каждая сетка — отдельными строками по X и по Y</t>
  </si>
  <si>
    <t xml:space="preserve">☑ дополнительные зоны</t>
  </si>
  <si>
    <t xml:space="preserve">16 зон верх, 5 зон низ — число стержней по штриховке (шаг 200)</t>
  </si>
  <si>
    <t xml:space="preserve">☑ проёмы</t>
  </si>
  <si>
    <t xml:space="preserve">проёмы лестницы/лифта О1…О4 вычтены из сетки; обрамление — балки 2-2, 4-4, 5-5</t>
  </si>
  <si>
    <t xml:space="preserve">☑ выпуски</t>
  </si>
  <si>
    <t xml:space="preserve">выпуски вертикалей Дм (в длине 4,0 м); выпуски для лестниц/ЛРМ (АС-55 прим.10) — не детализированы в проекте</t>
  </si>
  <si>
    <t xml:space="preserve">☑ нахлёсты</t>
  </si>
  <si>
    <t xml:space="preserve">только при длине &gt;11,7 м (Ø10: 400, Ø14: 560 мм); Ø18 Дм — 8d</t>
  </si>
  <si>
    <t xml:space="preserve">☑ анкеровка</t>
  </si>
  <si>
    <t xml:space="preserve">балки — до наружной грани ригеля (узел «1», 425 мм); горизонтали Дм — до торцов (П-стержни поз.14)</t>
  </si>
  <si>
    <t xml:space="preserve">☑ хомуты</t>
  </si>
  <si>
    <t xml:space="preserve">колонны Дм (поз.10, 11), торцевые элементы Дм (12*, 15/15*), балки (поз.10–13 АС-58) по зонам шага</t>
  </si>
  <si>
    <t xml:space="preserve">☑ шпильки</t>
  </si>
  <si>
    <t xml:space="preserve">Дм поз.13 ш.400 шахм.; плита Ø8 ш.800 шахм. (длина принята)</t>
  </si>
  <si>
    <t xml:space="preserve">☑ углы</t>
  </si>
  <si>
    <t xml:space="preserve">угловые Г-стержни Ø18 L=1200 (узлы В, Г; в узле Б их нет)</t>
  </si>
  <si>
    <t xml:space="preserve">☑ пересечения</t>
  </si>
  <si>
    <t xml:space="preserve">сгущение хомутов 100×3 у пересечений балок (узел «Д»)</t>
  </si>
  <si>
    <t xml:space="preserve">☑ защитный слой</t>
  </si>
  <si>
    <t xml:space="preserve">20 мм (сетки), 25 мм торцы; хомуты — по ведомости деталей</t>
  </si>
  <si>
    <t xml:space="preserve">☑ повторяющиеся элементы</t>
  </si>
  <si>
    <t xml:space="preserve">Дм-1…Дм-5 — все разные, считались индивидуально по 1 шт.; С-1 — 20 узлов</t>
  </si>
  <si>
    <t xml:space="preserve">☑ двойной учёт проверен</t>
  </si>
  <si>
    <t xml:space="preserve">см. блок выше</t>
  </si>
  <si>
    <t xml:space="preserve">☑ лестница ЛВ-1</t>
  </si>
  <si>
    <t xml:space="preserve">марши 1 и 2, площадка 1.920, Лрм-1, анкеры А-1, Зд-1, сетка С-1 (АС-67…69)</t>
  </si>
  <si>
    <t xml:space="preserve">☒ спецификация/ведомость расхода стали</t>
  </si>
  <si>
    <t xml:space="preserve">Не обнаружено в предоставленных чертежах — сравнение невозможно</t>
  </si>
  <si>
    <t xml:space="preserve">СОМНИТЕЛЬНЫЕ МЕСТА — 1 ЭТАЖ</t>
  </si>
  <si>
    <t xml:space="preserve">1. Симметричные стержни Дм (АС-34…41, сечения 1-1)</t>
  </si>
  <si>
    <t xml:space="preserve">Выносками подписана только одна грань (напр. «6Ø28» на 6 из 11 стержней торцевого элемента). Симметричные стержни без выноски УЧТЕНЫ по тому же диаметру. Если проектировщик имел в виду иное — масса меньше на ≈1 621 кг (Ø28 −49 шт, Ø25 −18, Ø22 −18, Ø20 −15, Ø18 −4).</t>
  </si>
  <si>
    <t xml:space="preserve">2. ОБНАРУЖЕНО ПРОТИВОРЕЧИЕ: поз.12* Дм</t>
  </si>
  <si>
    <t xml:space="preserve">лист АС-34…41 (сечения) показывает «12* хом.Ø10 А240»; лист АС-42 (ведомость деталей) — «12,(12*) Хомут Ø8 А240 L=1560». Принято Ø10 по сечению. Требуется уточнение.</t>
  </si>
  <si>
    <t xml:space="preserve">3. ОБНАРУЖЕНО ПРОТИВОРЕЧИЕ: масса С-1</t>
  </si>
  <si>
    <t xml:space="preserve">лист АС-30 указывает «вес 4,22 кг»; по геометрии 7Ø10 × 0,57 м = 3,99 м × 0,617 = 2,46 кг. Принято по геометрии. При массе 4,22 кг итог С-1 был бы 844 кг вместо 492 кг на перекрытие.</t>
  </si>
  <si>
    <t xml:space="preserve">4. Количество С-1</t>
  </si>
  <si>
    <t xml:space="preserve">АС-29 узел «2»: в зоне узла 630 нарисовано 5 рядов С-1, каждый отмечен выноской «установить попарно шаг 90» → 5 × 2 = 10 шт/узел (ранее было принято 6 рядов по шагу 90 = 12 шт; исправлено по замечанию проверки — по чертежу). Узлов на +3.950 — 20 (все колонны сетки 5×4, вкл. 5 колонн в Дм; на узлах «5» и «7» выноски С-1 нет, но изображение то же).</t>
  </si>
  <si>
    <t xml:space="preserve">5. Горизонтальные стержни Дм</t>
  </si>
  <si>
    <t xml:space="preserve">Длина в проекте не указана — принята = длина стены по наружным граням − 2×25 мм (совпадает с L доп. стержней тех же стен 1950/1250/1450). Ряды — по цепочке «200x16+100» (18 рядов), в зоне ригеля 600 мм не ставятся.</t>
  </si>
  <si>
    <t xml:space="preserve">6. Шпильки Дм поз.13 «ш.400 в шахм. порядке»</t>
  </si>
  <si>
    <t xml:space="preserve">Принято: показанные на сечении места × 9 рядов (каждый 2-й горизонтальный ряд). Шпильки внутри торцевых элементов отнесены к поз.13.</t>
  </si>
  <si>
    <t xml:space="preserve">7. Фиксаторы Ф-1 и шпильки плиты</t>
  </si>
  <si>
    <t xml:space="preserve">Длины в проекте не указаны: приняты 0,42 м (Ф-1 Ø10) и 0,22 м (шп. Ø8); количество — площадь / 0,64 м² (сетка 800×800). Уточнить у проектировщика/по ППР.</t>
  </si>
  <si>
    <t xml:space="preserve">8. Угловые Ø18 L=1200 (узлы В, Г)</t>
  </si>
  <si>
    <t xml:space="preserve">Ø18 L=1200 есть только в узлах «В» (АС-56) и «Г» (АС-57) — углы эркеров: Г — 8 мест по 2 стержня, В — 1 место (4 стержня) = 20 шт. В узле «Б» (АС-56: примыкание балки к ригелю) Ø18 нет — исправлено после проверки 5 этажа (было 42 шт). Уточнить число узлов «Г».</t>
  </si>
  <si>
    <t xml:space="preserve">9. Полоса 200 мм между проёмами О2/О3 (АС-47)</t>
  </si>
  <si>
    <t xml:space="preserve">Сечение не указано — принята балка 4-4 (200×300, 2Ø20+2Ø20).</t>
  </si>
  <si>
    <t xml:space="preserve">10. Балка 4-4 под ригелем В (оси 3–4, Y≈12 965)</t>
  </si>
  <si>
    <t xml:space="preserve">Принята по плану АС-47 (сечение 4-4), длина 3400 + анкеровка.</t>
  </si>
  <si>
    <t xml:space="preserve">11. Привязка контура плиты</t>
  </si>
  <si>
    <t xml:space="preserve">Края: по оси Г — +450 (до X=20 300), далее +300; по оси 5 — +450; по осям 1 и А — по грани ригеля (225 мм). Низ проёмов О2/О4 и верх эркера Э2 — В+200 (по размеру 425 на АС-47).</t>
  </si>
  <si>
    <t xml:space="preserve">12. Лестница ЛВ-1 — длины поз.1</t>
  </si>
  <si>
    <t xml:space="preserve">Листы АС-67…69 получены скриншотами низкого разрешения. Поз.1 18Ø18 приняты непрерывными от опоры до опоры через площадку: марш 1 — 0,50 (заход в балку, узел «2», принят) + 4,080 + 1,35 (площадка) = 5,93 м; марш 2 — 1,35 + 4,158 + 1,00 (заход в плиту, узлы «3», «4») = 6,51 м. В узлах «5», «6» показан заход 500 мм за перелом — если стержни в переломе не гнутые, а перекрещиваются, добавится ≈0,5 м на стержень.</t>
  </si>
  <si>
    <t xml:space="preserve">12а. ЛВ-1 — шпильки поз.3 и сетка С-1</t>
  </si>
  <si>
    <t xml:space="preserve">Поз.3 Ø6 «ш.300 в шахм. порядке» — по площади (0,9 м ширины между краевыми каркасами / 0,09 м²). Сетка С-1 5/5/100/100 — по развёртке ступеней × 1,25 м = 14,0 м² (3,08 кг/м²).</t>
  </si>
  <si>
    <t xml:space="preserve">12б. ОБНАРУЖЕНО ПРОТИВОРЕЧИЕ: анкер А-1</t>
  </si>
  <si>
    <t xml:space="preserve">АС-67 узел «1» и «Вид в-в» — «Анкер А-1 Ø16 А240 L=420»; АС-69 сеч.2-2 — «Ø16 А240 L=310». Принято 420. Кол-во А-1 и Зд-1 — по 2 шт (по привязке «Анкер А-1» на АС-69) — уточнить.</t>
  </si>
  <si>
    <t xml:space="preserve">12в. ОБНАРУЖЕНО ПРОТИВОРЕЧИЕ: Аш в узле «2»</t>
  </si>
  <si>
    <t xml:space="preserve">Узел «2» АС-68: на концах стержней Ø18 указано «Аш-6», а по таблице АС-33 Аш-6 — для Ø25 (для Ø18 — Аш-3). Посчитано 18 шт как Аш-6 по узлу — уточнить марку.</t>
  </si>
  <si>
    <t xml:space="preserve">13. Стр. 1 PDF (лист АС-18)</t>
  </si>
  <si>
    <t xml:space="preserve">Относится к другому объекту (адм. здание, ул. Турусбекова–Пушкина) — не использовался.</t>
  </si>
  <si>
    <t xml:space="preserve">14. Отметка «1 этаж» для плиты</t>
  </si>
  <si>
    <t xml:space="preserve">Принята плита +3.950 (перекрытие над 1 этажом), как в вашем примере «1 этаж — на отм. +2,950». Плита -0.050 (над подвалом) имеет своё армирование (АС-43…46) и сюда НЕ включена.</t>
  </si>
  <si>
    <t xml:space="preserve">15. Отсутствующие листы</t>
  </si>
  <si>
    <t xml:space="preserve">В PDF нет АС-44, АС-49, АС-53 (вероятно сечения/спецификации перекрытий) — при наличии сверить.</t>
  </si>
  <si>
    <t xml:space="preserve">16. Сечение колонн на 1 этаже</t>
  </si>
  <si>
    <t xml:space="preserve">На рамах АС-20…23 выноска «1-1 (4Ø32+8Ø20)» стоит в подвале у каждой из 15 колонн, «2-2 (4Ø28+8Ø20)» — во 2 этаже только у А/1, В/1, Г/1, Г/5; на 1 этаже выносок нет. Принято 1-1 у всех (сечение действует до следующей выноски).</t>
  </si>
  <si>
    <t xml:space="preserve">17. Длины ОС ригелей</t>
  </si>
  <si>
    <t xml:space="preserve">Сняты с чертежа по выноскам и цепочке «Привязка отдельных стержней» с округлением до 100 мм; у торцов рам стержень доведён до наружной грани колонны (+250 мм от оси, защитный слой 50).</t>
  </si>
  <si>
    <t xml:space="preserve">18. «ств.» в выносках ОС</t>
  </si>
  <si>
    <t xml:space="preserve">Например «2Ø25 + 2Ø22 ств.» — принято как 2 дополнительных стержня второго ряда той же длины.</t>
  </si>
  <si>
    <t xml:space="preserve">19. Зоны хомутов Ø10 (штриховка «100×15»)</t>
  </si>
  <si>
    <t xml:space="preserve">Границы одинарной/двойной штриховки сняты с чертежа рам по масштабу (±100 мм). На раме В двойные хомуты по всей длине между осями 2 и 4, на раме 2 — между Б и В.</t>
  </si>
  <si>
    <t xml:space="preserve">20. Шпильки ригелей</t>
  </si>
  <si>
    <t xml:space="preserve">Поз.17 «ш.200 у опор и ш.150 в пролёте» — принято буквально; горизонтальная шпилька «шп.Ø8 ш.300» без номера — принята поз.16 (L=580).</t>
  </si>
  <si>
    <t xml:space="preserve">21. Анкерные шайбы Аш</t>
  </si>
  <si>
    <t xml:space="preserve">Посчитаны по правилу Б-Б АС-31 «Аш-… свыше Ø20»: концы 4Ø28 и ОС Ø&gt;20 у торцов рам. Аш балок плиты (узел «1» АС-57) не считались.</t>
  </si>
  <si>
    <t xml:space="preserve">22. Рама «1, 5»</t>
  </si>
  <si>
    <t xml:space="preserve">Лист АС-24 — одна рама на две оси; посчитана ×2.</t>
  </si>
  <si>
    <t xml:space="preserve">2 ЭТАЖ — ПРИНЯТЫЕ РЕШЕНИЯ И СОМНИТЕЛЬНЫЕ МЕСТА</t>
  </si>
  <si>
    <t xml:space="preserve">2.1. Сечения Дм 2 этажа</t>
  </si>
  <si>
    <t xml:space="preserve">Дм-1, Дм-3, Дм-4, Дм-5 — сечение 2-2 «2-этаж», Дм-2 — сечение 3-3 (АС-34…41). Колонна в Дм 4Ø28+8Ø20. Симметричные стержни без выноски учтены по тому же диаметру (как на 1 этаже).</t>
  </si>
  <si>
    <t xml:space="preserve">2.2. Высота этажа и длины вертикалей</t>
  </si>
  <si>
    <t xml:space="preserve">+3.950…+7.550 = 3,6 м. Ø≥20 — L=3,6 м (ванная сварка встык); Ø≤18 — 3,6 м + 8d (нахлёст со сваркой). Выпуски 800/500 входят в длину этажа.</t>
  </si>
  <si>
    <t xml:space="preserve">2.3. Горизонтали Дм 2 этажа</t>
  </si>
  <si>
    <t xml:space="preserve">Ряды по цепочке «200×14+100» → 16 рядов × 2 грани; длины — как на 1 этаже (по наружным граням − 2×25). Диаметры — по «Осн. стержни» развёрток 2 этажа: Дм-1 А Ø14 / 4 Ø16; Дм-2 Ø14 / Ø16; Дм-3 Ø14 / Ø14; Дм-4 Ø14; Дм-5 Ø12 / Ø14.</t>
  </si>
  <si>
    <t xml:space="preserve">2.4. Доп. стержни Дм</t>
  </si>
  <si>
    <t xml:space="preserve">Группы над +3.950 и под ригелем +7.550 отнесены ко 2 этажу (группы под +3.950 — в 1 этаже, над +7.550 — 3 этаж). Двойного учёта нет.</t>
  </si>
  <si>
    <t xml:space="preserve">2.5. ТРЕБУЕТСЯ УТОЧНЕНИЕ: Дм-5 «12Ø12»</t>
  </si>
  <si>
    <t xml:space="preserve">Выноска «Доп. стержень 12Ø12 L=1250» на развёртке Дм-5 (ось Г) указывает на два яруса (под ригелем +7.550 и над ним) — во 2 этаж взято 6 шт (половина).</t>
  </si>
  <si>
    <t xml:space="preserve">2.6. ТРЕБУЕТСЯ УТОЧНЕНИЕ: Дм-5 сечение 2-2</t>
  </si>
  <si>
    <t xml:space="preserve">В торцевом элементе ребра показаны мелкие точки с выноской «Доп. стержни» — отдельными вертикалями не считались (приняты как доп. стержни развёртки).</t>
  </si>
  <si>
    <t xml:space="preserve">2.7. Колонны 2 этажа</t>
  </si>
  <si>
    <t xml:space="preserve">15 колонн вне Дм. Выноска «2-2 (4Ø28 + 8Ø20)» во 2 этаже есть только у 4 колонн: А/1 (рама А), В/1 (рама В), Г/1 и Г/5 (рама Г) — у них 4Ø28. У остальных 11 (А/3, А/5, Б/1…Б/5, В/2…В/5) выноска только «1-1» в подвале — принято 1-1: 4Ø32 + 8Ø20 (ИСПРАВЛЕНО: ранее у всех 15 было принято 2-2, +234 кг на этаж). L=3,6 м; хомуты поз.10 — 28 шт (АС-32 «2÷4 этаж»: 100×12 у опор + 200 в середине), поз.11 — 2 × 16 рядов.</t>
  </si>
  <si>
    <t xml:space="preserve">2.8. Ригели +7.550</t>
  </si>
  <si>
    <t xml:space="preserve">ОС и Ос (бок) — по рамам АС-20…27 (верхний ярус, отм. 7.550), привязки сняты с чертежа ±100 мм; зоны одинарной/двойной штриховки хомутов Ø10 — по чертежу (±100 мм).</t>
  </si>
  <si>
    <t xml:space="preserve">2.9. Плита +7.550 (АС-48)</t>
  </si>
  <si>
    <t xml:space="preserve">Отличия от +3.950: край плиты 420 (вместо 450), проём лестницы до Y=18 200 (на 300 короче); доп. в верхней зоне 2Ø20 L=3000 × 4 места (на +3.950 — 1Ø20), 1Ø18 L=3000 и 1Ø18 L=1700; балка 4-4 L≈3,78 м (4Ø20) — новая. Сетки и доп. зоны — АС-50/51 (одни для 3.950÷14.750).</t>
  </si>
  <si>
    <t xml:space="preserve">2.10. Угловые Ø18 L=1200 на +7.550</t>
  </si>
  <si>
    <t xml:space="preserve">Как на +3.950: 20 шт (узлы «Г» × 8 по 2, «В» × 1 по 4; в узле «Б» Ø18 нет). Уточнить.</t>
  </si>
  <si>
    <t xml:space="preserve">2.11. Лестница 2 этажа</t>
  </si>
  <si>
    <t xml:space="preserve">Марши 3 (4.000→5.800) и 4 (5.800→7.600): 12 подступенков × 150, 11 проступей × 300 (АС-67). Поз.1 18Ø18: 1,00 (заход в плиту) + 3,766 (наклон √(3,3²+1,8²)) + 1,35 (площадка) = 6,11 м на марш. Остальное армирование маршей и площадки 5.800 — как на 1 этаже. Лрм-2 — по АС-69 «Рама Лрм-1 (Лрм-2)»: стойка 1700 + заход 550.</t>
  </si>
  <si>
    <t xml:space="preserve">2.12. Аш на 2 этаже</t>
  </si>
  <si>
    <t xml:space="preserve">Ригели +7.550 — по тому же правилу (Ø&gt;20 у торцов рам); марш 3 опирается на плиту (Аш не считались); Лрм-2 — 16 шт Аш-6.</t>
  </si>
  <si>
    <t xml:space="preserve">2.13. С-1 на +7.550</t>
  </si>
  <si>
    <t xml:space="preserve">200 шт (20 узлов × 5 рядов × 2) — как на +3.950.</t>
  </si>
  <si>
    <t xml:space="preserve">3 ЭТАЖ — ПРИНЯТЫЕ РЕШЕНИЯ И СОМНИТЕЛЬНЫЕ МЕСТА</t>
  </si>
  <si>
    <t xml:space="preserve">3.1. Сечения Дм 3 этажа</t>
  </si>
  <si>
    <t xml:space="preserve">Дм-1 — сеч.3-3 «3÷5 этаж» (АС-35), Дм-2 — сеч.4-4 «3÷5 этаж» (АС-37), Дм-3 — сеч.2-2 «2, 3 этаж» (АС-39), Дм-4 — сеч.2-2 «2÷5 этаж» (АС-40), Дм-5 — сеч.3-3 «3÷5 этаж» (АС-42). Колонна в Дм 4Ø28+8Ø20. Симметричные стержни без выноски учтены.</t>
  </si>
  <si>
    <t xml:space="preserve">3.2. Вертикальные доп. «по 4Ø16 L-1600»</t>
  </si>
  <si>
    <t xml:space="preserve">На развёртках Дм-1 (ось А), Дм-2 (ось 2), Дм-3 (ось Г) у отм. +11.150 — вертикальные стержни L=1600 ниже перекрытия; на сечениях 3 этажа это мелкие точки «Доп. стержни». Отнесены к 3 этажу: Дм-1 — 2 места × 4 = 8, Дм-2 — 4, Дм-3 — 8 шт Ø16.</t>
  </si>
  <si>
    <t xml:space="preserve">3.3. Выноски доп. стержней на две группы</t>
  </si>
  <si>
    <t xml:space="preserve">Выноски «12Ø10» (Дм-2 ось А, Дм-3 ось Г, Дм-5 ось Г), «12Ø12» (Дм-2 ось 2, Дм-5 ось Г у +7.550) указывают на группы над и под перекрытием — по 6 шт на группу (3 ряда × 2 грани); в 3 этаж — группы над +7.550 и под +11.150.</t>
  </si>
  <si>
    <t xml:space="preserve">3.4. ОБНАРУЖЕНО ПРОТИВОРЕЧИЕ: Дм-1, ось 4, «3Ø12 L=1200»</t>
  </si>
  <si>
    <t xml:space="preserve">Выноска указывает на две группы по 3 ряда (под +11.150 и над ним). При подписи «3» на две группы не делится; по аналогии со всеми остальными группами (3 ряда × 2 грани = 6) принято 6 шт на 3 этаж. Уточнить у проектировщика (разница 3,2 кг).</t>
  </si>
  <si>
    <t xml:space="preserve">3.5. Колонны 3 этажа</t>
  </si>
  <si>
    <t xml:space="preserve">На рамах между +7.550 и +11.150 выносок сечения колонн нет — как на 2 этаже: 2-2 (4Ø28) у А/1, В/1, Г/1, Г/5, 1-1 (4Ø32) у остальных 11. Сечение 3-3 (4Ø32 + 10Ø20) подписано только у колонны Б/4 на 5 этаже. ТРЕБУЕТСЯ УТОЧНЕНИЕ: выноски 2-2 стоят не у всех крайних колонн (у А/5, Б/1, Б/5, В/5 их нет) — если проектировщик имел в виду 2-2 для всех колонн выше 1 этажа, масса меньше на 234 кг на этаж.</t>
  </si>
  <si>
    <t xml:space="preserve">3.6. Ригели +11.150</t>
  </si>
  <si>
    <t xml:space="preserve">Сняты с рам АС-20…27 по ярусу 11.150 (8 рам, рама «1, 5» ×2). На раме по оси 3 на +11.150 есть второй пунктирный ряд «Ос 4Ø12» (на +3.950 и +7.550 его нет) — учтён отдельно от «4Ø12 (бок)». На раме В выноска «Ос 2Ø14» одной полкой указывает и на верхний 2-й ряд +11.150, и на нижний 2-й ряд +14.750 — в 3 этаж взят только ряд +11.150.</t>
  </si>
  <si>
    <t xml:space="preserve">3.7. Плита +11.150</t>
  </si>
  <si>
    <t xml:space="preserve">АС-48 — «План перекрытия на отм. 7.550÷14.750»: армирование плиты, балок, края, доп. стержней — как на +7.550; сетки АС-50/51 «3.950÷14.750».</t>
  </si>
  <si>
    <t xml:space="preserve">3.8. Лестница 3 этажа</t>
  </si>
  <si>
    <t xml:space="preserve">По разрезу АС-67: марши 5 (7.600→9.400) и 6 (9.400→11.200) по 12×150 и 11×300, площадка 9.400, рама Лрм-2 — армирование как на 2 этаже (те же допущения по длинам поз.1 и площадке).</t>
  </si>
  <si>
    <t xml:space="preserve">4 ЭТАЖ — ПРИНЯТЫЕ РЕШЕНИЯ И СОМНИТЕЛЬНЫЕ МЕСТА</t>
  </si>
  <si>
    <t xml:space="preserve">4.1. Сечения Дм 4 этажа</t>
  </si>
  <si>
    <t xml:space="preserve">Дм-1 — 3-3 «3÷5 этаж», Дм-2 — 4-4 «3÷5 этаж», Дм-5 — 3-3 «3÷5 этаж» (как на 3 этаже); Дм-3 — новое сечение 3-3 «4, 5 этаж» (АС-39): колонна 4Ø28+8Ø20, торцы полки 2×6Ø22, стенки полки 8Ø14, стенка ребра 6Ø16, торец ребра 6Ø22; Дм-4 — 2-2 «2÷5 этаж».</t>
  </si>
  <si>
    <t xml:space="preserve">4.2. Горизонтали Дм 4 этажа</t>
  </si>
  <si>
    <t xml:space="preserve">По развёрткам между +11.150 и +14.750: Дм-1 — Ø10 (ось А) / Ø12 (ось 4); Дм-2 — Ø10 / Ø10; Дм-3 — Ø14 (ось Г) / Ø12 (ось 2); Дм-4 — Ø10; Дм-5 — Ø10 (ось Г) / Ø12 (ось 4).</t>
  </si>
  <si>
    <t xml:space="preserve">4.3. ОБНАРУЖЕНО ПРОТИВОРЕЧИЕ: Дм-1 «3Ø10»</t>
  </si>
  <si>
    <t xml:space="preserve">Выноски «Доп. стержень 3Ø10 L=1950» (ось А) и «3Ø10 L=1200» (ось 4) под ригелем +14.750 указывают на группы из 3 рядов; по аналогии с остальными группами принято 3 ряда × 2 грани = 6 шт. Если по подписи 3 шт — меньше на 2,4 кг.</t>
  </si>
  <si>
    <t xml:space="preserve">4.4. Вертикальные «по 4Ø16 L-1600» у +14.750</t>
  </si>
  <si>
    <t xml:space="preserve">Дм-1 (ось А) — 2 места = 8 шт, Дм-2 (ось 2) — 4 шт, Дм-3 (ось Г) — 2 места = 8 шт; у Дм-4 и Дм-5 нет. Отнесены к 4 этажу (идут вниз от перекрытия).</t>
  </si>
  <si>
    <t xml:space="preserve">4.5. Ригели +14.750</t>
  </si>
  <si>
    <t xml:space="preserve">Сняты по 8 рамам. Отличия от +11.150: напр. рама А верх 2Ø20/2Ø28/2Ø25/2Ø28, низ только 2Ø14 и 2Ø18, бок 4Ø14; рама 2 — низ 2Ø25 сплошной 998…14211 (13,2 м, стык ванной сваркой); рама 3 — бок 2Ø14 вместо 4Ø12; рама 4 — на 16400…19000 одинарная штриховка (на +11.150 там была двойная).</t>
  </si>
  <si>
    <t xml:space="preserve">4.6. СПОРНО: рама В, две выноски «ОС 2Ø25»</t>
  </si>
  <si>
    <t xml:space="preserve">На верхний стержень 18197…21813 указывают две выноски «ОС 2Ø25 А500С»; второго стержня на чертеже нет — посчитан один раз (2 шт). Если это два комплекта — +28 кг.</t>
  </si>
  <si>
    <t xml:space="preserve">4.7. Колонны, плита, С-1, лестница</t>
  </si>
  <si>
    <t xml:space="preserve">Колонны — как 2–3 этаж (новых выносок нет). Плита +14.750 — АС-48 «7.550÷14.750», как +7.550/+11.150. С-1 — 200 шт. Лестница: марши 7 (11.200→13.000) и 8 (13.000→14.800), площадка 13.000, рама Лрм-2 (узел «1») — армирование как на 2–3 этаже.</t>
  </si>
  <si>
    <t xml:space="preserve">5 ЭТАЖ (ВЕРХНИЙ) — ПРИНЯТЫЕ РЕШЕНИЯ И СОМНИТЕЛЬНЫЕ МЕСТА</t>
  </si>
  <si>
    <t xml:space="preserve">5.1. Длина вертикалей верхнего этажа</t>
  </si>
  <si>
    <t xml:space="preserve">Стыки вертикалей — вразбежку на +800 и +800+500 = +1300 над перекрытием (АС-32 «3600 (5 этаж)»: размерная цепочка 800 → 500; так же на развёртках Дм АС-34). Поэтому ½ стержней от +15.550 до верха плиты 18.350 − 50 = 2,75 м, ½ — от +16.050 = 2,25 м (в среднем 2,50 м); Ø≤18 + 8d внизу; на верхних концах — Аш (АС-32, узлы «3», «4» АС-30), посчитаны на листе «По осям» в строках АШ. На 2–4 этажах вразбежка не меняет длину стык-стык (3,6 м).</t>
  </si>
  <si>
    <t xml:space="preserve">5.2. Сечения Дм 5 этажа</t>
  </si>
  <si>
    <t xml:space="preserve">Дм-1 — 3-3 «3÷5», Дм-2 — 4-4 «3÷5», Дм-3 — 3-3 «4, 5 этаж», Дм-4 — 2-2 «2÷5», Дм-5 — 3-3 «3÷5» (вертикали — как на 4 этаже). Горизонтали — по подписям развёрток между +14.750 и +18.350: Дм-1 Ø10/Ø12, Дм-2 Ø10/Ø12, Дм-3 Ø12/Ø12, Дм-4 Ø10, Дм-5 Ø10/Ø10.</t>
  </si>
  <si>
    <t xml:space="preserve">5.3. Доп. стержни Дм 5 этажа</t>
  </si>
  <si>
    <t xml:space="preserve">Группы над +14.750 и под ригелем +18.350: Дм-2 — ось А 6Ø10 L1250, ось 2 6Ø14 L1200; Дм-3 — ось Г 6Ø10 L1950 (над 14.750) и 6Ø10 L1950 (под 18.350), ось 2 6Ø10 L1450; Дм-4 — 6Ø10 L1450; Дм-5 — ось Г 6Ø10 L1250, ось 4 6Ø18 L1450. У Дм-1 доп. стержней на 5 этаже нет.</t>
  </si>
  <si>
    <t xml:space="preserve">5.4. Колонны 5 этажа</t>
  </si>
  <si>
    <t xml:space="preserve">Б/4 — выноска «3-3 / 4Ø32 / 10Ø20» на раме Б (АС-21) → 4Ø32 + 10Ø20. В/3, В/4 продолжаются в надстройку: на раме В (АС-22) над +18.350 стоят точки ванной сварки → их вертикали стык-стык 3,6 м, без Аш (стык выше +18.350 — часть надстройки). Остальные — как на 2–4 этаже (2-2 у А/1, В/1, Г/1, Г/5; 1-1 у остальных), верх с Аш.</t>
  </si>
  <si>
    <t xml:space="preserve">5.4а. ОБНАРУЖЕНО ПРОТИВОРЕЧИЕ: Г/3, Г/4 (колонны в составе Дм-4, Дм-5)</t>
  </si>
  <si>
    <t xml:space="preserve">На раме Г (АС-23) над +18.350 показаны колонны надстройки у осей 3 и 4 с выноской «2-2 / 4Ø28 / 8Ø20», а на развёртках Дм-4 (АС-40) и Дм-5 (АС-41) у всех стержней на +18.350 — Аш, сварки выше +18.350 на раме Г нет. Принято по развёрткам Дм (обрыв с Аш). Если колонные стержни Дм-4/Дм-5 идут в надстройку (как В/3, В/4) — +1,1 м × (4Ø28 + 8Ø20) × 2 = +85,9 кг. Уточнить у проектировщика.</t>
  </si>
  <si>
    <t xml:space="preserve">5.5. Ригели +18.350</t>
  </si>
  <si>
    <t xml:space="preserve">Сняты по 8 рамам (верхний ярус). Сечение то же (4Ø28 + 2Ø18 + 2Ø16, хомуты поз.12/13/15/16/17); ОС/Ос и штриховки — свои для покрытия (напр. рама В — ОС 2Ø25 верх, низ 2Ø16, бок 4Ø12, двойные хомуты 13500…14700 и 17800…20000; рама 2 — штриховок нет).</t>
  </si>
  <si>
    <t xml:space="preserve">5.6. Плита покрытия +18.350</t>
  </si>
  <si>
    <t xml:space="preserve">АС-52/АС-54: эркеров нет (контур по осям, край 420), доп. сеток АС-50/51 нет; основная сетка Ø10/200 верх и низ. Доп. стержни у лестницы и лифта (под стены надстройки): Ø10 в верхней зоне (длины сняты по масштабу — уточнить), 2Ø22, 1Ø18 L3900 низ, 2Ø16, «по 2Ø16 L1900» (принято 2 места — уточнить), 2Ø18, 1Ø22.</t>
  </si>
  <si>
    <t xml:space="preserve">5.7. Учащённые хомуты балок</t>
  </si>
  <si>
    <t xml:space="preserve">Узлов «Б» с угловыми Ø18 нет (в узле «Б» АС-56 Ø18 нет; узлов «В», «Г» — углы эркеров — на 18.350 нет). По АС-52: балка 2-2 у лестницы — Ø10 ш.100 на ≈2,61 м (27 шт); балка 5-5 между лестницей и лифтом — Ø8 ш.50 (60 шт); балки 4-4 и 2-2 у лифта — Ø10 ш.50 «L-1500» (по 31 шт). Обычные хомуты на этих участках из общего числа вычтены (см. текст строк в «Ведомости»).</t>
  </si>
  <si>
    <t xml:space="preserve">5.8. Выпуски парапета</t>
  </si>
  <si>
    <t xml:space="preserve">АС-52 «Выпуски парапета см. фрагмент №1», АС-57 Фрагмент №1: П-образные 2Ø14 с шагом 1500 — по отметкам на плане 59 мест (край Г — 10, под надстройкой между Дм-4 и Дм-5 выпусков нет; край А — 16; ось 1 — 12; ось 5 — 13; 4 угла по 2). Длина ветви принята 600 над плитой + 570 в ригель (до низа ригеля − 30) — ДЛИНА ПРИНЯТА (уточнить). Армирование самого парапета (выше выпусков) в предоставленных листах не найдено — не считалось.</t>
  </si>
  <si>
    <t xml:space="preserve">5.9. Надстройка (+21.750)</t>
  </si>
  <si>
    <t xml:space="preserve">Лестнично-лифтовой узел выше +18.350 (колонны, стены, плита +21.750) в 5 этаж НЕ включён — это отдельный этап; в книге его нет.</t>
  </si>
  <si>
    <t xml:space="preserve">5.9а. Свес плиты покрытия</t>
  </si>
  <si>
    <t xml:space="preserve">Край плиты по осям Г и 5 принят 420 (как на АС-48); на АС-52/54 размера нет, по масштабу ≈370, на плане +21.750 подписано «370». Если 370 — меньше ≈6,7 кг.</t>
  </si>
  <si>
    <t xml:space="preserve">5.10. С-1, лестница</t>
  </si>
  <si>
    <t xml:space="preserve">С-1 — 200 шт на +18.350 (узлы «3», «4»). Лестница: марши 9 (14.800→16.600) и 10 (16.600→18.400), площадка 16.600, рама Лрм-2 — армирование как на 2–4 этаже.</t>
  </si>
  <si>
    <t xml:space="preserve">НЕЗАВИСИМАЯ ПРОВЕРКА (агент-критик) — ЧТО НАЙДЕНО И ЧТО СДЕЛАНО</t>
  </si>
  <si>
    <t xml:space="preserve">Объём проверки</t>
  </si>
  <si>
    <t xml:space="preserve">3 этаж целиком: все 5 Дм (сечения, развёртки, доп. стержни), 15 колонн, 8 рам на +11.150 (каждая выноска и зона штриховки), плита +11.150, лестница; логика 2 → 3 этаж; арифметика всех строк пересчитана отдельно — расхождений нет.</t>
  </si>
  <si>
    <t xml:space="preserve">ИСПРАВЛЕНО: С-1</t>
  </si>
  <si>
    <t xml:space="preserve">По узлу «2» АС-29 нарисовано 5 рядов С-1 (а не 6) → 200 шт на перекрытие вместо 240. Изменение на всех трёх этажах: −98,5 кг на этаж.</t>
  </si>
  <si>
    <t xml:space="preserve">ИСПРАВЛЕНО: Дм-2 шпильки поз.13</t>
  </si>
  <si>
    <t xml:space="preserve">В сечениях 3-3 «2 этаж» и 4-4 «3÷5 этаж» — 6 мест (внутренняя шпилька торцевого элемента полки, как в Дм-1, Дм-3, Дм-5), было 5. +1,7 кг на этаж (2 и 3 этаж).</t>
  </si>
  <si>
    <t xml:space="preserve">Не ошибка: «двойной учёт С-1»</t>
  </si>
  <si>
    <t xml:space="preserve">Критик прочитал «6 ярусов» как 6 этажей; на самом деле это ряды по высоте одного узла. С-1 считаются один раз на каждое перекрытие (+3.950, +7.550, +11.150).</t>
  </si>
  <si>
    <t xml:space="preserve">Подтверждено критиком</t>
  </si>
  <si>
    <t xml:space="preserve">Сечения Дм 3 этажа, симметричные стержни, хомуты/П-образные; горизонтали Ø14/Ø12; все группы доп. стержней 3 этажа (группы 2 и 4 этажа не взяты); «по 4Ø16 L-1600»: Дм-1 — 8, Дм-2 — 4, Дм-3 — 8; ригели +11.150 по всем 8 рамам; плита = +7.550; лестница по АС-67. Сечения колонн после проверки исправлены (см. п.2.7).</t>
  </si>
  <si>
    <t xml:space="preserve">Спорно (оставлено как есть)</t>
  </si>
  <si>
    <t xml:space="preserve">• «3Ø12» Дм-1 — принято 6 шт (критик согласен). • Шпилька внутри торцевого элемента ребра — после второй проверки посчитана (см. ниже). • Хомуты колонн: АС-32 — 28 шт, узел «2» — «100×10» (27 шт); принят АС-32. • Масса С-1 «4,22 кг» по штампу против 2,46 кг по геометрии. • Анкер А-1: L=420 (АС-67) против 310 (АС-69). • Штамп АС-48 «3.950÷14.750» при заголовке «7.550÷14.750» — на расчёт не влияет. • Закладные МН в колоннах (АС-32) — не арматура, в этот расчёт не входят.</t>
  </si>
  <si>
    <t xml:space="preserve">НЕЗАВИСИМАЯ ПРОВЕРКА 4 ЭТАЖА (агент-критик) — ЧТО НАЙДЕНО И ЧТО СДЕЛАНО</t>
  </si>
  <si>
    <t xml:space="preserve">Все 5 Дм 4 этажа (в т.ч. новое сечение Дм-3 3-3 «4, 5 этаж» — каждый стержень), «Осн. стержни», все доп. группы с подсчётом рядов, «по 4Ø16 L-1600», колонны на всех 8 рамах, ригели +14.750 по каждой выноске и штриховке, плита, лестница, стык 3/4 и 4/5 этажей; хомуты ригелей пересчитаны заново — совпало.</t>
  </si>
  <si>
    <t xml:space="preserve">ИСПРАВЛЕНО: Дм-2, ось А</t>
  </si>
  <si>
    <t xml:space="preserve">Группа «6Ø10 L=1250» лежит над отметкой +14.750 (АС-36) — это 5 этаж; из 4 этажа убрана (−4,6 кг).</t>
  </si>
  <si>
    <t xml:space="preserve">ИСПРАВЛЕНО: шпильки Дм поз.13 (2, 3, 4 этаж)</t>
  </si>
  <si>
    <t xml:space="preserve">Шпилька внутри торцевого элемента ребра нарисована на всех сечениях Дм, у Дм-4 она была посчитана, у Дм-1, 2, 3, 5 — нет (на 1 этаже — посчитана). Добавлено по 1 месту × 8 рядов: Дм-1 — 10, Дм-2 — 7, Дм-3 — 9, Дм-5 — 6 мест. +6,7 кг на каждый из 2, 3, 4 этажей.</t>
  </si>
  <si>
    <t xml:space="preserve">ОБНАРУЖЕНО ПРОТИВОРЕЧИЕ: Дм-5, ось 4, «6Ø12 L=1450» над +11.150</t>
  </si>
  <si>
    <t xml:space="preserve">Нарисовано 5 рядов доп. стержней (как у «10Ø10» Дм-3), подпись — 6Ø12. Принято по подписи 6 шт; если 10 шт — +5,2 кг.</t>
  </si>
  <si>
    <t xml:space="preserve">Сечения Дм 4 этажа, все диаметры «Осн. стержней», доп. группы (деление выносок пополам подтверждено подсчётом рядов), «по 4Ø16» (Дм-1 — 8, Дм-2 — 4, Дм-3 — 8), колонны (новых выносок нет, 3-3 у Б/4 — 5 этаж), все ригели +14.750, плита = +11.150, лестница по АС-67. Рама «1, 5»: пунктир 4696…8512 — «Ос 4Ø12 (бок)» (переименовано, масса та же).</t>
  </si>
  <si>
    <t xml:space="preserve">НЕЗАВИСИМАЯ ПРОВЕРКА 5 ЭТАЖА (агент-критик) — ЧТО НАЙДЕНО И ЧТО СДЕЛАНО</t>
  </si>
  <si>
    <t xml:space="preserve">Все 5 Дм 5 этажа (сечения, «Осн. стержни», доп. группы), колонны на 8 рамах (выноски 3-3, продолжение в надстройку), ригели +18.350 по каждой выноске и штриховке, план и сетки покрытия АС-52/АС-54, узлы АС-56/57, выпуски парапета, С-1, лестница, стык 4/5 этажей.</t>
  </si>
  <si>
    <t xml:space="preserve">ИСПРАВЛЕНО: длина вертикалей верхнего этажа</t>
  </si>
  <si>
    <t xml:space="preserve">Стыки на +800 и +1300 (цепочка 800 → 500 на АС-32), а не «800/500, в среднем 650»: ½ стержней 2,75 м, ½ — 2,25 м вместо 2,90 м. −0,4 м на стержень (иначе двойной учёт с вертикалями 4 этажа): Дм −197,9 кг, колонны −262,5 кг.</t>
  </si>
  <si>
    <t xml:space="preserve">ИСПРАВЛЕНО: колонны В/3, В/4</t>
  </si>
  <si>
    <t xml:space="preserve">Продолжаются в надстройку (сварка выше +18.350 на раме В) → 3,6 м без Аш: +99,0 кг к исправленной длине.</t>
  </si>
  <si>
    <t xml:space="preserve">ИСПРАВЛЕНО: узлы «Б» (1–5 этаж)</t>
  </si>
  <si>
    <t xml:space="preserve">В узле «Б» (АС-56) углового Ø18 L=1200 нет — он есть в узлах «В» и «Г» (углы эркеров). 1–4 этаж: 42 → 20 шт (−52,7 кг на этаж); 5 этаж: строка снята (−52,7 кг).</t>
  </si>
  <si>
    <t xml:space="preserve">ИСПРАВЛЕНО: балка 4-4 у оси Г (2–5 этаж)</t>
  </si>
  <si>
    <t xml:space="preserve">На АС-48 и АС-52 — балка 200 мм на 425…625 от оси Г между VB1 и Дм-3, выноска «4-4» (на АС-47 её нет). Добавлено: 4Ø20 L=3,59 м + 22 хомута Ø8 L=1040 = +44,4 кг на каждый из 2–5 этажей. На АС-54 (сетки покрытия) балка не показана — уточнить.</t>
  </si>
  <si>
    <t xml:space="preserve">ИСПРАВЛЕНО: выпуски парапета</t>
  </si>
  <si>
    <t xml:space="preserve">По отметкам на АС-52 — 59 мест, а не 62 (периметр / 1,5): −9,0 кг.</t>
  </si>
  <si>
    <t xml:space="preserve">• Г/3, Г/4 — противоречие рама Г / развёртки Дм-4, Дм-5 (п.5.4а, +85,9 кг, если стержни идут вверх). • Свес покрытия 420 / 370 (п.5.9а). • Длина выпуска парапета 1,24 м — допущение; по краям 5 и Г наружная ветвь попадает в свес плиты. • Масса С-1 «4,22 кг» по штампу АС-30 против 2,46 кг по геометрии (все этажи). • Армирования самого парапета в КЖ нет. • Закладные МН 101-6 колонн (АС-32) — сталь, не арматура, не учтены.</t>
  </si>
  <si>
    <t xml:space="preserve">Сечения Дм 5 этажа и все «Осн. стержни»; доп. группы (у Дм-1 нет, Дм-2 — 2, Дм-3 — 3, Дм-4 — 1, Дм-5 — 2); «по 4Ø16» у +18.350 нет; 3-3 только у Б/4; верх колонн прямой с Аш; хомуты колонн 28 + 32; все ригели FR5 и штриховки; сечения ригелей «-0.050÷18.350»; сетка Ø10/200, проёмы, доп. стержни АС-52/54 и зоны учащения хомутов; С-1 на 18.350 (5 рядов); лестница по АС-67; надстройка правильно не включена.</t>
  </si>
  <si>
    <t xml:space="preserve">ЗАМЕЧАНИЯ К ВАШЕЙ ТАБЛИЦЕ (раскладка 1 этажа в «Лист1»)</t>
  </si>
  <si>
    <t xml:space="preserve">1. E8 (ригель А, Ø32)</t>
  </si>
  <si>
    <t xml:space="preserve">Записано 16 м.п., по расчёту 6,6 м.п. → лишние 9,4 м = +59 кг.</t>
  </si>
  <si>
    <t xml:space="preserve">2. C17 = 957 (Ø10 А500С в колонке Дм-2)</t>
  </si>
  <si>
    <t xml:space="preserve">Это сетки-гребёнки С-1 (957,6 м). В общей сумме не теряются, но в «потребности» попадают в «Колонны, стены». Здесь — отдельная колонка «С-1».</t>
  </si>
  <si>
    <t xml:space="preserve">3. Формула AJ8:AJ23 (сумма «Ригели, балки, плита»)</t>
  </si>
  <si>
    <t xml:space="preserve">В формуле SUM(E,G,S:Z,N:R) пропущена колонка I (ригель по оси В), и в AG её тоже нет. В «потребность» не попадает 1 346,6 кг (с К 1,07 — 1 440,9 кг). Здесь суммы по группам собраны так, что каждая колонка входит ровно в одну группу.</t>
  </si>
  <si>
    <t xml:space="preserve">4. Не перенесено из моего расчёта</t>
  </si>
  <si>
    <t xml:space="preserve">площадка лестницы 1.920 (Ø10 А500С 87,3 м, Ø10 А240 29,1 м; Ø6 7,8 м попал в «Рама»), П-образные марша 2 (Ø10 А240 33,3 м), анкер А-1 Ø16 А240 (0,8 м), сетка С-1 лестницы (14,0 м²), край плиты 2Ø14 (96,1 м) и пешки Ø10 А240 (83,3 м). Итого в таблице на 249 кг меньше расчёта (без К).</t>
  </si>
  <si>
    <t xml:space="preserve">ПРОЧИЕ МАТЕРИАЛЫ — ЧТО ВЗЯТО С ЧЕРТЕЖЕЙ, ЧТО ПО НОРМАМ ШАБЛОНА</t>
  </si>
  <si>
    <t xml:space="preserve">Анкерные шайбы — ригели</t>
  </si>
  <si>
    <t xml:space="preserve">АС-31 разрез Б-Б: «Аш-... свыше Ø20 А500С» — на концах продольных стержней Ø&gt;20 у торцов рам: 4Ø28 поз.2 × 2 торца × рама + ОС Ø22…Ø28, доходящие до торца. Ø≤20 у торцов — без Аш.</t>
  </si>
  <si>
    <t xml:space="preserve">Анкерные шайбы — балки плиты (ДОБАВЛЕНО)</t>
  </si>
  <si>
    <t xml:space="preserve">АС-57 узел «1» (конец балки на ригеле) и АС-56 узел «Б»: «Аш-...» на 2 верхних и 2 нижних рабочих стержнях. Концы у ригелей: VB1, VB2, VB3, VB4, HB1, HB2, HB3a, HB3b — по 2; B2a, B2b, B4b, B4c, B4d, B4e — по 1. Ø25 → 18 концов × 4 = 72 шт Аш-6 на перекрытие; Ø20 → 12 (1 этаж) / 16 (2–5 этаж) шт Аш-4. Ранее в книге не считались.</t>
  </si>
  <si>
    <t xml:space="preserve">Анкерные шайбы — эркеры (1–4 этаж)</t>
  </si>
  <si>
    <t xml:space="preserve">Краевые балки Б-3 (4Ø22) заходят в ригель/колонну: Э1, Э2, Э3 — по 2 конца, Э4 — 3 (с балкой по оси 3, узел «В») = 9 × 4 = 36 шт Аш-5. Узел для эркера отдельно не дан — принято по узлу «1» (уточнить).</t>
  </si>
  <si>
    <t xml:space="preserve">ТРЕБУЕТСЯ УТОЧНЕНИЕ: концы балок на балках</t>
  </si>
  <si>
    <t xml:space="preserve">Балки, опирающиеся на другую балку (B2a, B2b — на 5-5; B4a — обоими концами; B4b, B4c, B4d, B4e — одним; B4f — на VB1 и на Дм-3): узла с Аш нет, в расчёт НЕ включены. Если ставить Аш и там: +8 шт Аш-6 на перекрытие; Аш-4 +20 (1 этаж) / +32 (2–5 этаж).</t>
  </si>
  <si>
    <t xml:space="preserve">Анкерные шайбы — верх колонн и Дм (5 этаж)</t>
  </si>
  <si>
    <t xml:space="preserve">АС-30 узлы «3», «4», развёртки Дм: Аш на верхних концах всех вертикалей (кроме В/3, В/4 — идут в надстройку).</t>
  </si>
  <si>
    <t xml:space="preserve">Анкерные шайбы — лестница</t>
  </si>
  <si>
    <t xml:space="preserve">Лрм: Аш-6 на концах 4Ø25 ригеля и 4Ø25 стойки = 16 шт на раму (АС-69). Марш 1: «Аш-6» на 18Ø18 у балки (АС-68 узел «2»; по АС-33 для Ø18 — Аш-3) — 18 шт, ОБНАРУЖЕНО ПРОТИВОРЕЧИЕ марки.</t>
  </si>
  <si>
    <t xml:space="preserve">Масса шайб</t>
  </si>
  <si>
    <t xml:space="preserve">По таблице АС-33 (лист «Исходные»): Аш-1 0,19 … Аш-8 1,59 кг; итог — строка «Масса анкерных шайб».</t>
  </si>
  <si>
    <t xml:space="preserve">Ванночки / ванная сварка</t>
  </si>
  <si>
    <t xml:space="preserve">Число = число стыков ванной сварки (вертикали Ø≥20 — 1 стык на стержень на этаж; ригели и балки &gt; 11,7 м — стыки прутков). АС-19 прим.1: «в инвентарной медной форме» — форма многоразовая, стальные ванночки по проекту не расходуются; если подрядчик варит на стальных скобах-ванночках — по 1 шт на стык.</t>
  </si>
  <si>
    <t xml:space="preserve">Электроды, вязальная проволока, вулканит</t>
  </si>
  <si>
    <t xml:space="preserve">Нормы вашего шаблона: 7 кг/т, 11 кг/т, 2 шт/т от массы арматуры с К зап (в шаблоне база — «Всего» с К зап). Нормы — синие ячейки на листе «Исходные», можно поменять.</t>
  </si>
  <si>
    <t xml:space="preserve">Гвозди, пена, труба 25×25, бур, диск, дюбель-гвоздь</t>
  </si>
  <si>
    <t xml:space="preserve">Нормы шаблона были на этаж объекта 18 × 18 м (324 м²): гвозди 100 мм 250 кг + 70 мм 100 кг, пена 13 баллонов, труба 250 м, бур 15, диск 20, дюбель-гвоздь 15 кг. Пересчитаны пропорционально площади перекрытия: 1–4 этаж 541,5…542,0 м² (×1,67), 5 этаж 506,8 м² (×1,56). Пена, бур, диск — округление вверх до целого. Площадь прошлого объекта и площади этажей — синие ячейки на листе «Исходные».</t>
  </si>
  <si>
    <t xml:space="preserve">Гвозди — сверка со сметной нормой</t>
  </si>
  <si>
    <t xml:space="preserve">По ГЭСН (колонны 45, стены 300 мм 85,6, перекрытие ребристое 116, лестницы 78,4 кг на 100 м³ бетона) — ≈ 160 кг на этаж; по опыту 18×18 — ≈ 585 кг на этаж. ГЭСН учитывает многократную оборачиваемость опалубки — это нижняя граница; строка ГЭСН дана справочно и в заказ не складывается.</t>
  </si>
  <si>
    <t xml:space="preserve">Заземление (в шаблоне — фундамент)</t>
  </si>
  <si>
    <t xml:space="preserve">Полоса стальная 40×4 — 140 м, арматура Ø16 — 30 м были в фундаменте прошлого объекта; в КЖ 1–5 этажей Блока 14 заземления нет — не включено.</t>
  </si>
  <si>
    <t xml:space="preserve">Анкер А-1, Зд-1</t>
  </si>
  <si>
    <t xml:space="preserve">По чертежам: А-1 — 2 шт на раму Лрм (АС-69 «Привязка Анкер А-1»), Зд-1 — 2 шт на площадку (АС-67). В шаблоне А-1 было 4 шт в колонке «Колонны» — это деталь лестницы.</t>
  </si>
  <si>
    <t xml:space="preserve">Рулонная гидроизоляция</t>
  </si>
  <si>
    <t xml:space="preserve">АС-67 узел «1»: «проложить 2 слоя толи» под площадкой на Лрм: 2 × 0,3 × 2,89 = 1,73 м² на этаж (размер принят). Там же «Бетон кл. В7.5» (замоноличивание узла) и «гибкий материал» — в объёмы не включены.</t>
  </si>
  <si>
    <t xml:space="preserve">Пенопласт, п/лес, битумная мастика</t>
  </si>
  <si>
    <t xml:space="preserve">В КЖ 1–5 этажей не предусмотрены (в шаблоне — пусто / только фундамент). П/лес на опалубку — по ППР, ТРЕБУЕТСЯ УТОЧНЕНИЕ.</t>
  </si>
  <si>
    <t xml:space="preserve">ЗАМЕЧАНИЯ К ВАШЕЙ ТАБЛИЦЕ «Прочие материалы» (скриншот)</t>
  </si>
  <si>
    <t xml:space="preserve">1. Итого не берёт 4 этаж</t>
  </si>
  <si>
    <t xml:space="preserve">Во всех строках «Итого» сумма заканчивается на 3 этаже: напр. АШ-7 = 86 + 82 + 84 = 252, а с 4 этажом (86) — 338; Ванночка d20 = 166 + 164 + 160 = 490, с 4 этажом — 650.</t>
  </si>
  <si>
    <t xml:space="preserve">2. Итого АШ-2…АШ-6 не берёт и 1 этаж</t>
  </si>
  <si>
    <t xml:space="preserve">В шаблоне формула «=SUM(H:M)» (со 2 этажа): АШ-5 «Итого 4» = 2 + 2 (1 этаж пропущен), АШ-6 «247,9» = 14 + 219,9 + 14 (пропущены 16 + 34 первого этажа и 16 четвёртого).</t>
  </si>
  <si>
    <t xml:space="preserve">3. 2 этаж «Лестницы» — дробные числа</t>
  </si>
  <si>
    <t xml:space="preserve">21,1 (АШ-3), 219,9 (АШ-6), 142,8 (ванночка d28), 0,8 (d22) — ссылки на строки массы, а не штук. По расчёту на 2 этаже у лестницы только АШ-6 = 16 (рама Лрм-2), остальное 0.</t>
  </si>
  <si>
    <t xml:space="preserve">4. 2 этаж «Колонны» — старые данные</t>
  </si>
  <si>
    <t xml:space="preserve">Ванночка d32 = 0 и d28 = 80 — из первой версии моей книги (тогда все колонны 2 этажа были 2-2). После исправления по выноскам рам: d32 = 44, d28 = 36.</t>
  </si>
  <si>
    <t xml:space="preserve">5. #ССЫЛКА! в «Электроды», «Вязальная проволока», «Вулканит»</t>
  </si>
  <si>
    <t xml:space="preserve">Формулы «=Лист1!AT21/1000*7» ссылались на строку «Итого, кг» удалённого блока. Нормы 7 / 11 / 2 перенесены сюда, база — масса арматуры этажа.</t>
  </si>
  <si>
    <t xml:space="preserve">6. Гвозди</t>
  </si>
  <si>
    <t xml:space="preserve">«250 / 100» записано текстом — в сумму не попадает, «1000 / 400» в Итого вбито руками; к тому же это расход малого объекта, а не норма — заменено расчётом по ГЭСН от объёма бетона.</t>
  </si>
  <si>
    <t xml:space="preserve">7. 4 этаж</t>
  </si>
  <si>
    <t xml:space="preserve">Гвозди, А-1, пена, труба, бур, диск, дюбель — пусто.</t>
  </si>
  <si>
    <t xml:space="preserve">8. Анкер А-1</t>
  </si>
  <si>
    <t xml:space="preserve">4 шт в «Колонны» — по АС-69 это анкер рамы лестницы, 2 шт на этаж.</t>
  </si>
  <si>
    <t xml:space="preserve">9. Не было в моей книге (исправлено сейчас)</t>
  </si>
  <si>
    <t xml:space="preserve">Анкерные шайбы на концах балок плиты (узел «1» АС-57): +72 Аш-6 и +12…16 Аш-4 на каждое перекрытие, +36 Аш-5 на эркерах 1–4 этажей.</t>
  </si>
  <si>
    <t xml:space="preserve">ПОПРАВКА БЕТОНА (после вопроса «почему у 2–5 этажа похожий бетон»)</t>
  </si>
  <si>
    <t xml:space="preserve">Почему 2–4 этажи одинаковые</t>
  </si>
  <si>
    <t xml:space="preserve">Перекрытия 7.550, 11.150, 14.750 — один план (АС-48); колонны 600×600, Дм и ригели тех же размеров, высота этажа 3,6 м, лестницы одинаковые → объём бетона одинаковый. Арматура разная — меняется армирование, а не размеры. 1 этаж больше по вертикалям (высота 4,0 м), 5 этаж меньше по плите (без эркеров).</t>
  </si>
  <si>
    <t xml:space="preserve">1. Ригели 4-4 — h = 630</t>
  </si>
  <si>
    <t xml:space="preserve">АС-28: сеч.4-4 (рамы А, Б, В, Г) высота 630, сеч.5-5 (рамы 1–5) — 600. Было 600 для всех → +0,45 × 0,03 × (20,5 + 22,6 + 22,6 + 19,8) = +1,15 м³ на каждый этаж.</t>
  </si>
  <si>
    <t xml:space="preserve">2. 5 этаж — без рёбер эркеров</t>
  </si>
  <si>
    <t xml:space="preserve">В формуле балок 5 этажа оставались рёбра эркеров 3-3 (35,75 × 0,25 × 0,18 = 1,61 м³), а на 18.350 эркеров нет → убрано.</t>
  </si>
  <si>
    <t xml:space="preserve">Итог</t>
  </si>
  <si>
    <t xml:space="preserve">1–4 этаж +1,15 м³ каждый, 5 этаж −0,46 м³; всего 774,1 → 778,2 м³. Масса арматуры не изменилась.</t>
  </si>
  <si>
    <t xml:space="preserve">ПОПРАВКА СТЫКОВ РИГЕЛЕЙ (после вопроса «без нахлёста, потому что ванночки?»)</t>
  </si>
  <si>
    <t xml:space="preserve">Как стыкуются ригели</t>
  </si>
  <si>
    <t xml:space="preserve">АС-19 прим.1: Ø ≥ 20 (угловые Ø28 поз.2, ОС Ø20–Ø28) — ванная сварка встык в инвентарной медной форме, без нахлёста (52 стыка Ø28 на этаж); Ø ≤ 18 (поз.6 Ø18, поз.7 Ø16, Ос бок Ø12) — нахлёст 8d со сваркой, строки «-нахл». Стержни ≤ 11,7 м — без стыков.</t>
  </si>
  <si>
    <t xml:space="preserve">Исправлено</t>
  </si>
  <si>
    <t xml:space="preserve">4 этаж, рама 2, ОС низ 2Ø25 L = 13,2 м: был нахлёст 8d (0,4 м, 1,5 кг) — заменён на ванную сварку: −1,5 кг Ø25, +2 ванночки ВН25. Других стержней Ø ≥ 20 с нахлёстом нет.</t>
  </si>
  <si>
    <t xml:space="preserve">ФИНАЛЬНЫЙ АУДИТ</t>
  </si>
  <si>
    <t xml:space="preserve">Все листы по конструкциям просмотрены?</t>
  </si>
  <si>
    <t xml:space="preserve">Да: Дм — АС-19, 28, 32, 34–42 (сечения 1-1, 2-2, 3-3, 4-4, развёртки до +18.350); колонны и ригели — АС-19…33; плиты — АС-47, АС-48, 50, 51, 52, 54, 55–58; С-1 — АС-29–31; ЛВ-1 — АС-67…69.</t>
  </si>
  <si>
    <t xml:space="preserve">Стержни «подписано 4, а их 8»?</t>
  </si>
  <si>
    <t xml:space="preserve">Да — по каждому сечению Дм всех этажей симметричные стержни добавлены.</t>
  </si>
  <si>
    <t xml:space="preserve">Оба направления, верх и низ сетки?</t>
  </si>
  <si>
    <t xml:space="preserve">Да — по каждому этажу 4 группы строк (низ X, низ Y, верх X, верх Y).</t>
  </si>
  <si>
    <t xml:space="preserve">Нахлёсты только где нужны?</t>
  </si>
  <si>
    <t xml:space="preserve">Да — Ø10/Ø12/Ø14 и Ø16/Ø18 ригелей при L&gt;11,7 м; Ø≥20 — встык; вертикали Ø≤18 Дм — 8d.</t>
  </si>
  <si>
    <t xml:space="preserve">Этажи не перепутаны?</t>
  </si>
  <si>
    <t xml:space="preserve">Сечения 1-1 → 1 этаж, 2-2 / 3-3 «2 этаж» → 2 этаж, «3÷5 этаж» → 3, 4, 5 этаж; «2, 3 этаж» → 2–3; «4, 5 этаж» → 4–5; «2÷5 этаж» → 2–5; доп. стержни распределены по уровню групп; «переход 2-2» коллеги = 2 этаж этой книги.</t>
  </si>
  <si>
    <t xml:space="preserve">Перевод м → кг?</t>
  </si>
  <si>
    <t xml:space="preserve">Формулой «Общая длина × кг/м» (ГОСТ 34028, лист «Исходные»); контроль на листах «По осям» и «потребность» (разница с ведомостью = 0).</t>
  </si>
  <si>
    <t xml:space="preserve">КОНТРОЛЬНЫЕ ЦИФРЫ</t>
  </si>
  <si>
    <t xml:space="preserve">Чистая масса, 1 этаж, кг</t>
  </si>
  <si>
    <t xml:space="preserve">Чистая масса, 2 этаж, кг</t>
  </si>
  <si>
    <t xml:space="preserve">Чистая масса, 3 этаж, кг</t>
  </si>
  <si>
    <t xml:space="preserve">Чистая масса, 4 этаж, кг</t>
  </si>
  <si>
    <t xml:space="preserve">Чистая масса, 5 этаж, кг</t>
  </si>
  <si>
    <t xml:space="preserve">Чистая масса, 1–5 этаж, кг</t>
  </si>
  <si>
    <t xml:space="preserve">Сумма всех контрольных разниц (должна быть 0)</t>
  </si>
  <si>
    <t xml:space="preserve">Проект (ведомость расхода стали), кг</t>
  </si>
  <si>
    <t xml:space="preserve">в предоставленных листах отсутствует — сравнение не выполнено</t>
  </si>
  <si>
    <t xml:space="preserve">РАСШИФРОВКА ХОМУТОВ БАЛОК — 1 этаж</t>
  </si>
  <si>
    <t xml:space="preserve">Балка / сечение</t>
  </si>
  <si>
    <t xml:space="preserve">Чистый пролёт, мм | зона 100 у опор | пересечений | хомутов, шт</t>
  </si>
  <si>
    <t xml:space="preserve">VB1 (1-1)</t>
  </si>
  <si>
    <t xml:space="preserve">6050 | 1000 (10×100) | 1 | 42</t>
  </si>
  <si>
    <t xml:space="preserve">6550 | 1000 (10×100) | 1 | 46</t>
  </si>
  <si>
    <t xml:space="preserve">VB2 (1-1)</t>
  </si>
  <si>
    <t xml:space="preserve">VB4 (1-1)</t>
  </si>
  <si>
    <t xml:space="preserve">VB3 (1-1)</t>
  </si>
  <si>
    <t xml:space="preserve">HB1 (1-1)</t>
  </si>
  <si>
    <t xml:space="preserve">6050 | 1000 (10×100) | 1 | 43</t>
  </si>
  <si>
    <t xml:space="preserve">4550 | 700 (7×100) | 1 | 32</t>
  </si>
  <si>
    <t xml:space="preserve">HB2 (1-1)</t>
  </si>
  <si>
    <t xml:space="preserve">HB3a (1-1)</t>
  </si>
  <si>
    <t xml:space="preserve">HB3b (5-5)</t>
  </si>
  <si>
    <t xml:space="preserve">6050 | 1000 (10×100) | 3 | 44</t>
  </si>
  <si>
    <t xml:space="preserve">HB3b (1-1)</t>
  </si>
  <si>
    <t xml:space="preserve">B2a (2-2)</t>
  </si>
  <si>
    <t xml:space="preserve">3085 | 700 (7×100) | 0 | 23</t>
  </si>
  <si>
    <t xml:space="preserve">B2b (2-2)</t>
  </si>
  <si>
    <t xml:space="preserve">2665 | 700 (7×100) | 0 | 21</t>
  </si>
  <si>
    <t xml:space="preserve">B4a (4-4)</t>
  </si>
  <si>
    <t xml:space="preserve">2600 | 700 (7×100) | 0 | 20</t>
  </si>
  <si>
    <t xml:space="preserve">B4b (4-4)</t>
  </si>
  <si>
    <t xml:space="preserve">B4c (4-4)</t>
  </si>
  <si>
    <t xml:space="preserve">3400 | 700 (7×100) | 0 | 24</t>
  </si>
  <si>
    <t xml:space="preserve">B4d (4-4)</t>
  </si>
  <si>
    <t xml:space="preserve">2625 | 700 (7×100) | 0 | 21</t>
  </si>
  <si>
    <t xml:space="preserve">Э1 (3-3)</t>
  </si>
  <si>
    <t xml:space="preserve">1475 | 700 (7×100) | 0 | 16</t>
  </si>
  <si>
    <t xml:space="preserve">3700 | 700 (7×100) | 0 | 26</t>
  </si>
  <si>
    <t xml:space="preserve">Э2 (3-3)</t>
  </si>
  <si>
    <t xml:space="preserve">Э3 (3-3)</t>
  </si>
  <si>
    <t xml:space="preserve">3325 | 700 (7×100) | 0 | 24</t>
  </si>
  <si>
    <t xml:space="preserve">Э4 (3-3)</t>
  </si>
  <si>
    <t xml:space="preserve">3625 | 700 (7×100) | 0 | 26</t>
  </si>
  <si>
    <t xml:space="preserve">РАСШИФРОВКА ХОМУТОВ БАЛОК — 2 этаж</t>
  </si>
  <si>
    <t xml:space="preserve">B4e (4-4)</t>
  </si>
  <si>
    <t xml:space="preserve">3080 | 700 (7×100) | 0 | 23</t>
  </si>
  <si>
    <t xml:space="preserve">B4f (4-4)</t>
  </si>
  <si>
    <t xml:space="preserve">2885 | 700 (7×100) | 0 | 22</t>
  </si>
  <si>
    <t xml:space="preserve">РАСШИФРОВКА ХОМУТОВ БАЛОК — 3 этаж</t>
  </si>
  <si>
    <t xml:space="preserve">РАСШИФРОВКА ХОМУТОВ БАЛОК — 4 этаж</t>
  </si>
  <si>
    <t xml:space="preserve">РАСШИФРОВКА ХОМУТОВ БАЛОК — 5 этаж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</si>
</sst>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0.0;\-0.0;\–"/>
    <numFmt numFmtId="166" formatCode="0;\-0;\–"/>
    <numFmt numFmtId="167" formatCode="0.0%"/>
    <numFmt numFmtId="168" formatCode="0.000"/>
    <numFmt numFmtId="169" formatCode="#,##0.0"/>
    <numFmt numFmtId="170" formatCode="0.0"/>
    <numFmt numFmtId="171" formatCode="0.00"/>
    <numFmt numFmtId="172" formatCode="0;\-0;&quot;&quot;"/>
    <numFmt numFmtId="173" formatCode="0.0;\-0.0;&quot;&quot;"/>
    <numFmt numFmtId="174" formatCode="0.00;\-0.00;&quot;&quot;"/>
    <numFmt numFmtId="175" formatCode="0"/>
    <numFmt numFmtId="176" formatCode="#,##0.00;\-#,##0.00;\–"/>
    <numFmt numFmtId="177" formatCode="#,##0.0;\-#,##0.0;\–"/>
    <numFmt numFmtId="178" formatCode="\+#,##0.0;\-#,##0.0;\–"/>
    <numFmt numFmtId="179" formatCode="\+0.0%;\-0.0%;\–"/>
    <numFmt numFmtId="180" formatCode="\+#,##0.0;\-#,##0.0"/>
    <numFmt numFmtId="181" formatCode="\+0.0%;\-0.0%"/>
    <numFmt numFmtId="182" formatCode="#,##0"/>
    <numFmt numFmtId="183" formatCode="0.##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4"/>
      <name val="Arial"/>
      <family val="0"/>
      <charset val="1"/>
    </font>
    <font>
      <sz val="10"/>
      <name val="Arial"/>
      <family val="2"/>
    </font>
    <font>
      <b val="true"/>
      <sz val="12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66CCFF"/>
        <bgColor rgb="FF93DBFF"/>
      </patternFill>
    </fill>
    <fill>
      <patternFill patternType="solid">
        <fgColor rgb="FF93DBFF"/>
        <bgColor rgb="FFBDE9FF"/>
      </patternFill>
    </fill>
    <fill>
      <patternFill patternType="solid">
        <fgColor rgb="FFBDE9FF"/>
        <bgColor rgb="FFCCFFFF"/>
      </patternFill>
    </fill>
    <fill>
      <patternFill patternType="solid">
        <fgColor rgb="FFE2EFDA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1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2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1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3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3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66CCFF"/>
          <bgColor rgb="FF000000"/>
        </patternFill>
      </fill>
    </dxf>
    <dxf>
      <fill>
        <patternFill patternType="solid">
          <fgColor rgb="FF93DBFF"/>
          <bgColor rgb="FF000000"/>
        </patternFill>
      </fill>
    </dxf>
    <dxf>
      <fill>
        <patternFill patternType="solid">
          <fgColor rgb="FFBDE9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BDE9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3DBFF"/>
      <rgbColor rgb="FFFF99CC"/>
      <rgbColor rgb="FFCC99FF"/>
      <rgbColor rgb="FFFFCC99"/>
      <rgbColor rgb="FF3366FF"/>
      <rgbColor rgb="FF66CCFF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7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"/>
    <col collapsed="false" customWidth="true" hidden="false" outlineLevel="0" max="17" min="3" style="0" width="12.5"/>
    <col collapsed="false" customWidth="true" hidden="false" outlineLevel="0" max="22" min="18" style="0" width="12"/>
  </cols>
  <sheetData>
    <row r="1" customFormat="false" ht="19.7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5" hidden="false" customHeight="false" outlineLevel="0" collapsed="false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customFormat="false" ht="23.85" hidden="false" customHeight="true" outlineLevel="0" collapsed="false">
      <c r="A3" s="5" t="s">
        <v>2</v>
      </c>
      <c r="B3" s="5" t="s">
        <v>3</v>
      </c>
      <c r="C3" s="5" t="s">
        <v>4</v>
      </c>
      <c r="D3" s="5"/>
      <c r="E3" s="5"/>
      <c r="F3" s="5" t="s">
        <v>5</v>
      </c>
      <c r="G3" s="5"/>
      <c r="H3" s="5"/>
      <c r="I3" s="5" t="s">
        <v>6</v>
      </c>
      <c r="J3" s="5"/>
      <c r="K3" s="5"/>
      <c r="L3" s="5" t="s">
        <v>7</v>
      </c>
      <c r="M3" s="5"/>
      <c r="N3" s="5"/>
      <c r="O3" s="5" t="s">
        <v>8</v>
      </c>
      <c r="P3" s="5"/>
      <c r="Q3" s="5"/>
      <c r="R3" s="5" t="s">
        <v>9</v>
      </c>
      <c r="S3" s="5" t="s">
        <v>10</v>
      </c>
      <c r="T3" s="5" t="s">
        <v>11</v>
      </c>
      <c r="U3" s="5"/>
      <c r="V3" s="5"/>
    </row>
    <row r="4" customFormat="false" ht="48" hidden="false" customHeight="true" outlineLevel="0" collapsed="false">
      <c r="A4" s="5"/>
      <c r="B4" s="5"/>
      <c r="C4" s="5" t="s">
        <v>12</v>
      </c>
      <c r="D4" s="5" t="s">
        <v>13</v>
      </c>
      <c r="E4" s="5" t="s">
        <v>14</v>
      </c>
      <c r="F4" s="5" t="s">
        <v>12</v>
      </c>
      <c r="G4" s="5" t="s">
        <v>13</v>
      </c>
      <c r="H4" s="5" t="s">
        <v>14</v>
      </c>
      <c r="I4" s="5" t="s">
        <v>12</v>
      </c>
      <c r="J4" s="5" t="s">
        <v>13</v>
      </c>
      <c r="K4" s="5" t="s">
        <v>14</v>
      </c>
      <c r="L4" s="5" t="s">
        <v>12</v>
      </c>
      <c r="M4" s="5" t="s">
        <v>13</v>
      </c>
      <c r="N4" s="5" t="s">
        <v>14</v>
      </c>
      <c r="O4" s="5" t="s">
        <v>12</v>
      </c>
      <c r="P4" s="5" t="s">
        <v>13</v>
      </c>
      <c r="Q4" s="5" t="s">
        <v>14</v>
      </c>
      <c r="R4" s="5"/>
      <c r="S4" s="5"/>
      <c r="T4" s="5" t="s">
        <v>15</v>
      </c>
      <c r="U4" s="5" t="s">
        <v>16</v>
      </c>
      <c r="V4" s="5" t="s">
        <v>17</v>
      </c>
    </row>
    <row r="5" customFormat="false" ht="15" hidden="false" customHeight="false" outlineLevel="0" collapsed="false">
      <c r="A5" s="6" t="s">
        <v>18</v>
      </c>
      <c r="B5" s="7" t="s">
        <v>19</v>
      </c>
      <c r="C5" s="8" t="n">
        <f aca="false">'По осям'!AK8*'По осям'!AL8</f>
        <v>2020.16</v>
      </c>
      <c r="D5" s="8" t="n">
        <f aca="false">'По осям'!AN8*'По осям'!AO8</f>
        <v>643.2947</v>
      </c>
      <c r="E5" s="8" t="n">
        <f aca="false">'По осям'!AQ8*'По осям'!AR8</f>
        <v>0</v>
      </c>
      <c r="F5" s="8" t="n">
        <f aca="false">'По осям'!AK54*'По осям'!AL54</f>
        <v>999.9792</v>
      </c>
      <c r="G5" s="8" t="n">
        <f aca="false">'По осям'!AN54*'По осям'!AO54</f>
        <v>707.056</v>
      </c>
      <c r="H5" s="8" t="n">
        <f aca="false">'По осям'!AQ54*'По осям'!AR54</f>
        <v>0</v>
      </c>
      <c r="I5" s="8" t="n">
        <f aca="false">'По осям'!AK100*'По осям'!AL100</f>
        <v>999.9792</v>
      </c>
      <c r="J5" s="8" t="n">
        <f aca="false">'По осям'!AN100*'По осям'!AO100</f>
        <v>645.1886</v>
      </c>
      <c r="K5" s="8" t="n">
        <f aca="false">'По осям'!AQ100*'По осям'!AR100</f>
        <v>0</v>
      </c>
      <c r="L5" s="8" t="n">
        <f aca="false">'По осям'!AK146*'По осям'!AL146</f>
        <v>999.9792</v>
      </c>
      <c r="M5" s="8" t="n">
        <f aca="false">'По осям'!AN146*'По осям'!AO146</f>
        <v>348.4776</v>
      </c>
      <c r="N5" s="8" t="n">
        <f aca="false">'По осям'!AQ146*'По осям'!AR146</f>
        <v>0</v>
      </c>
      <c r="O5" s="8" t="n">
        <f aca="false">'По осям'!AK192*'По осям'!AL192</f>
        <v>749.9844</v>
      </c>
      <c r="P5" s="8" t="n">
        <f aca="false">'По осям'!AN192*'По осям'!AO192</f>
        <v>0</v>
      </c>
      <c r="Q5" s="8" t="n">
        <f aca="false">'По осям'!AQ192*'По осям'!AR192</f>
        <v>0</v>
      </c>
      <c r="R5" s="9" t="n">
        <f aca="false">SUM(C5:Q5)</f>
        <v>8114.0989</v>
      </c>
      <c r="S5" s="10" t="n">
        <f aca="false">R5*Исходные!$B$16</f>
        <v>8682.085823</v>
      </c>
      <c r="T5" s="11" t="n">
        <f aca="false">'Раскрой 11,7м'!D1067</f>
        <v>124</v>
      </c>
      <c r="U5" s="8" t="n">
        <f aca="false">'Раскрой 11,7м'!E1067</f>
        <v>9158.9004</v>
      </c>
      <c r="V5" s="12" t="n">
        <f aca="false">'Раскрой 11,7м'!H1067</f>
        <v>0.114074993107251</v>
      </c>
    </row>
    <row r="6" customFormat="false" ht="15" hidden="false" customHeight="false" outlineLevel="0" collapsed="false">
      <c r="A6" s="6" t="s">
        <v>20</v>
      </c>
      <c r="B6" s="7" t="s">
        <v>19</v>
      </c>
      <c r="C6" s="8" t="n">
        <f aca="false">'По осям'!AK9*'По осям'!AL9</f>
        <v>2010.944</v>
      </c>
      <c r="D6" s="8" t="n">
        <f aca="false">'По осям'!AN9*'По осям'!AO9</f>
        <v>4612.1194</v>
      </c>
      <c r="E6" s="8" t="n">
        <f aca="false">'По осям'!AQ9*'По осям'!AR9</f>
        <v>0</v>
      </c>
      <c r="F6" s="8" t="n">
        <f aca="false">'По осям'!AK55*'По осям'!AL55</f>
        <v>626.4864</v>
      </c>
      <c r="G6" s="8" t="n">
        <f aca="false">'По осям'!AN55*'По осям'!AO55</f>
        <v>4718.4674</v>
      </c>
      <c r="H6" s="8" t="n">
        <f aca="false">'По осям'!AQ55*'По осям'!AR55</f>
        <v>0</v>
      </c>
      <c r="I6" s="8" t="n">
        <f aca="false">'По осям'!AK101*'По осям'!AL101</f>
        <v>626.4864</v>
      </c>
      <c r="J6" s="8" t="n">
        <f aca="false">'По осям'!AN101*'По осям'!AO101</f>
        <v>4647.4076</v>
      </c>
      <c r="K6" s="8" t="n">
        <f aca="false">'По осям'!AQ101*'По осям'!AR101</f>
        <v>0</v>
      </c>
      <c r="L6" s="8" t="n">
        <f aca="false">'По осям'!AK147*'По осям'!AL147</f>
        <v>626.4864</v>
      </c>
      <c r="M6" s="8" t="n">
        <f aca="false">'По осям'!AN147*'По осям'!AO147</f>
        <v>4741.6706</v>
      </c>
      <c r="N6" s="8" t="n">
        <f aca="false">'По осям'!AQ147*'По осям'!AR147</f>
        <v>0</v>
      </c>
      <c r="O6" s="8" t="n">
        <f aca="false">'По осям'!AK193*'По осям'!AL193</f>
        <v>435.06</v>
      </c>
      <c r="P6" s="8" t="n">
        <f aca="false">'По осям'!AN193*'По осям'!AO193</f>
        <v>4062.0102</v>
      </c>
      <c r="Q6" s="8" t="n">
        <f aca="false">'По осям'!AQ193*'По осям'!AR193</f>
        <v>0</v>
      </c>
      <c r="R6" s="9" t="n">
        <f aca="false">SUM(C6:Q6)</f>
        <v>27107.1384</v>
      </c>
      <c r="S6" s="10" t="n">
        <f aca="false">R6*Исходные!$B$16</f>
        <v>29004.638088</v>
      </c>
      <c r="T6" s="11" t="n">
        <f aca="false">'Раскрой 11,7м'!D1068</f>
        <v>505</v>
      </c>
      <c r="U6" s="8" t="n">
        <f aca="false">'Раскрой 11,7м'!E1068</f>
        <v>28561.689</v>
      </c>
      <c r="V6" s="12" t="n">
        <f aca="false">'Раскрой 11,7м'!H1068</f>
        <v>0.0509266311246509</v>
      </c>
    </row>
    <row r="7" customFormat="false" ht="15" hidden="false" customHeight="false" outlineLevel="0" collapsed="false">
      <c r="A7" s="6" t="s">
        <v>21</v>
      </c>
      <c r="B7" s="7" t="s">
        <v>19</v>
      </c>
      <c r="C7" s="8" t="n">
        <f aca="false">'По осям'!AK10*'По осям'!AL10</f>
        <v>554.832</v>
      </c>
      <c r="D7" s="8" t="n">
        <f aca="false">'По осям'!AN10*'По осям'!AO10</f>
        <v>2915.1798</v>
      </c>
      <c r="E7" s="8" t="n">
        <f aca="false">'По осям'!AQ10*'По осям'!AR10</f>
        <v>82.37714</v>
      </c>
      <c r="F7" s="8" t="n">
        <f aca="false">'По осям'!AK56*'По осям'!AL56</f>
        <v>832.248</v>
      </c>
      <c r="G7" s="8" t="n">
        <f aca="false">'По осям'!AN56*'По осям'!AO56</f>
        <v>2930.9771</v>
      </c>
      <c r="H7" s="8" t="n">
        <f aca="false">'По осям'!AQ56*'По осям'!AR56</f>
        <v>81.2983</v>
      </c>
      <c r="I7" s="8" t="n">
        <f aca="false">'По осям'!AK102*'По осям'!AL102</f>
        <v>416.124</v>
      </c>
      <c r="J7" s="8" t="n">
        <f aca="false">'По осям'!AN102*'По осям'!AO102</f>
        <v>2914.7945</v>
      </c>
      <c r="K7" s="8" t="n">
        <f aca="false">'По осям'!AQ102*'По осям'!AR102</f>
        <v>81.2983</v>
      </c>
      <c r="L7" s="8" t="n">
        <f aca="false">'По осям'!AK148*'По осям'!AL148</f>
        <v>166.4496</v>
      </c>
      <c r="M7" s="8" t="n">
        <f aca="false">'По осям'!AN148*'По осям'!AO148</f>
        <v>2741.7948</v>
      </c>
      <c r="N7" s="8" t="n">
        <f aca="false">'По осям'!AQ148*'По осям'!AR148</f>
        <v>81.2983</v>
      </c>
      <c r="O7" s="8" t="n">
        <f aca="false">'По осям'!AK194*'По осям'!AL194</f>
        <v>115.59</v>
      </c>
      <c r="P7" s="8" t="n">
        <f aca="false">'По осям'!AN194*'По осям'!AO194</f>
        <v>2555.6949</v>
      </c>
      <c r="Q7" s="8" t="n">
        <f aca="false">'По осям'!AQ194*'По осям'!AR194</f>
        <v>81.2983</v>
      </c>
      <c r="R7" s="9" t="n">
        <f aca="false">SUM(C7:Q7)</f>
        <v>16551.25504</v>
      </c>
      <c r="S7" s="10" t="n">
        <f aca="false">R7*Исходные!$B$16</f>
        <v>17709.8428928</v>
      </c>
      <c r="T7" s="11" t="n">
        <f aca="false">'Раскрой 11,7м'!D1069</f>
        <v>380</v>
      </c>
      <c r="U7" s="8" t="n">
        <f aca="false">'Раскрой 11,7м'!E1069</f>
        <v>17130.438</v>
      </c>
      <c r="V7" s="12" t="n">
        <f aca="false">'Раскрой 11,7м'!H1069</f>
        <v>0.0338101664417455</v>
      </c>
    </row>
    <row r="8" customFormat="false" ht="15" hidden="false" customHeight="false" outlineLevel="0" collapsed="false">
      <c r="A8" s="6" t="s">
        <v>22</v>
      </c>
      <c r="B8" s="7" t="s">
        <v>19</v>
      </c>
      <c r="C8" s="8" t="n">
        <f aca="false">'По осям'!AK11*'По осям'!AL11</f>
        <v>468.488</v>
      </c>
      <c r="D8" s="8" t="n">
        <f aca="false">'По осям'!AN11*'По осям'!AO11</f>
        <v>644.8424</v>
      </c>
      <c r="E8" s="8" t="n">
        <f aca="false">'По осям'!AQ11*'По осям'!AR11</f>
        <v>0</v>
      </c>
      <c r="F8" s="8" t="n">
        <f aca="false">'По осям'!AK57*'По осям'!AL57</f>
        <v>64.4544</v>
      </c>
      <c r="G8" s="8" t="n">
        <f aca="false">'По осям'!AN57*'По осям'!AO57</f>
        <v>631.116</v>
      </c>
      <c r="H8" s="8" t="n">
        <f aca="false">'По осям'!AQ57*'По осям'!AR57</f>
        <v>0</v>
      </c>
      <c r="I8" s="8" t="n">
        <f aca="false">'По осям'!AK103*'По осям'!AL103</f>
        <v>386.7264</v>
      </c>
      <c r="J8" s="8" t="n">
        <f aca="false">'По осям'!AN103*'По осям'!AO103</f>
        <v>564.2744</v>
      </c>
      <c r="K8" s="8" t="n">
        <f aca="false">'По осям'!AQ103*'По осям'!AR103</f>
        <v>0</v>
      </c>
      <c r="L8" s="8" t="n">
        <f aca="false">'По осям'!AK149*'По осям'!AL149</f>
        <v>580.0896</v>
      </c>
      <c r="M8" s="8" t="n">
        <f aca="false">'По осям'!AN149*'По осям'!AO149</f>
        <v>512.0544</v>
      </c>
      <c r="N8" s="8" t="n">
        <f aca="false">'По осям'!AQ149*'По осям'!AR149</f>
        <v>0</v>
      </c>
      <c r="O8" s="8" t="n">
        <f aca="false">'По осям'!AK195*'По осям'!AL195</f>
        <v>402.84</v>
      </c>
      <c r="P8" s="8" t="n">
        <f aca="false">'По осям'!AN195*'По осям'!AO195</f>
        <v>70.4224</v>
      </c>
      <c r="Q8" s="8" t="n">
        <f aca="false">'По осям'!AQ195*'По осям'!AR195</f>
        <v>0</v>
      </c>
      <c r="R8" s="9" t="n">
        <f aca="false">SUM(C8:Q8)</f>
        <v>4325.308</v>
      </c>
      <c r="S8" s="10" t="n">
        <f aca="false">R8*Исходные!$B$16</f>
        <v>4628.07956</v>
      </c>
      <c r="T8" s="11" t="n">
        <f aca="false">'Раскрой 11,7м'!D1070</f>
        <v>134</v>
      </c>
      <c r="U8" s="8" t="n">
        <f aca="false">'Раскрой 11,7м'!E1070</f>
        <v>4678.3152</v>
      </c>
      <c r="V8" s="12" t="n">
        <f aca="false">'Раскрой 11,7м'!H1070</f>
        <v>0.0754560530679934</v>
      </c>
    </row>
    <row r="9" customFormat="false" ht="15" hidden="false" customHeight="false" outlineLevel="0" collapsed="false">
      <c r="A9" s="6" t="s">
        <v>23</v>
      </c>
      <c r="B9" s="7" t="s">
        <v>19</v>
      </c>
      <c r="C9" s="8" t="n">
        <f aca="false">'По осям'!AK12*'По осям'!AL12</f>
        <v>1732.8582</v>
      </c>
      <c r="D9" s="8" t="n">
        <f aca="false">'По осям'!AN12*'По осям'!AO12</f>
        <v>205.02324</v>
      </c>
      <c r="E9" s="8" t="n">
        <f aca="false">'По осям'!AQ12*'По осям'!AR12</f>
        <v>0</v>
      </c>
      <c r="F9" s="8" t="n">
        <f aca="false">'По осям'!AK58*'По осям'!AL58</f>
        <v>1455.9264</v>
      </c>
      <c r="G9" s="8" t="n">
        <f aca="false">'По осям'!AN58*'По осям'!AO58</f>
        <v>340.60392</v>
      </c>
      <c r="H9" s="8" t="n">
        <f aca="false">'По осям'!AQ58*'По осям'!AR58</f>
        <v>0</v>
      </c>
      <c r="I9" s="8" t="n">
        <f aca="false">'По осям'!AK104*'По осям'!AL104</f>
        <v>1420.416</v>
      </c>
      <c r="J9" s="8" t="n">
        <f aca="false">'По осям'!AN104*'По осям'!AO104</f>
        <v>330.98652</v>
      </c>
      <c r="K9" s="8" t="n">
        <f aca="false">'По осям'!AQ104*'По осям'!AR104</f>
        <v>0</v>
      </c>
      <c r="L9" s="8" t="n">
        <f aca="false">'По осям'!AK150*'По осям'!AL150</f>
        <v>1420.416</v>
      </c>
      <c r="M9" s="8" t="n">
        <f aca="false">'По осям'!AN150*'По осям'!AO150</f>
        <v>348.00192</v>
      </c>
      <c r="N9" s="8" t="n">
        <f aca="false">'По осям'!AQ150*'По осям'!AR150</f>
        <v>0</v>
      </c>
      <c r="O9" s="8" t="n">
        <f aca="false">'По осям'!AK196*'По осям'!AL196</f>
        <v>1042.1316</v>
      </c>
      <c r="P9" s="8" t="n">
        <f aca="false">'По осям'!AN196*'По осям'!AO196</f>
        <v>389.43072</v>
      </c>
      <c r="Q9" s="8" t="n">
        <f aca="false">'По осям'!AQ196*'По осям'!AR196</f>
        <v>0</v>
      </c>
      <c r="R9" s="9" t="n">
        <f aca="false">SUM(C9:Q9)</f>
        <v>8685.79452</v>
      </c>
      <c r="S9" s="10" t="n">
        <f aca="false">R9*Исходные!$B$16</f>
        <v>9293.8001364</v>
      </c>
      <c r="T9" s="11" t="n">
        <f aca="false">'Раскрой 11,7м'!D1071</f>
        <v>341</v>
      </c>
      <c r="U9" s="8" t="n">
        <f aca="false">'Раскрой 11,7м'!E1071</f>
        <v>9838.6002</v>
      </c>
      <c r="V9" s="12" t="n">
        <f aca="false">'Раскрой 11,7м'!H1071</f>
        <v>0.117171717171717</v>
      </c>
    </row>
    <row r="10" customFormat="false" ht="15" hidden="false" customHeight="false" outlineLevel="0" collapsed="false">
      <c r="A10" s="6" t="s">
        <v>24</v>
      </c>
      <c r="B10" s="7" t="s">
        <v>19</v>
      </c>
      <c r="C10" s="8" t="n">
        <f aca="false">'По осям'!AK13*'По осям'!AL13</f>
        <v>280.99872</v>
      </c>
      <c r="D10" s="8" t="n">
        <f aca="false">'По осям'!AN13*'По осям'!AO13</f>
        <v>872.614512</v>
      </c>
      <c r="E10" s="8" t="n">
        <f aca="false">'По осям'!AQ13*'По осям'!AR13</f>
        <v>447.320232</v>
      </c>
      <c r="F10" s="8" t="n">
        <f aca="false">'По осям'!AK59*'По осям'!AL59</f>
        <v>239.376384</v>
      </c>
      <c r="G10" s="8" t="n">
        <f aca="false">'По осям'!AN59*'По осям'!AO59</f>
        <v>911.375712</v>
      </c>
      <c r="H10" s="8" t="n">
        <f aca="false">'По осям'!AQ59*'По осям'!AR59</f>
        <v>439.408152</v>
      </c>
      <c r="I10" s="8" t="n">
        <f aca="false">'По осям'!AK105*'По осям'!AL105</f>
        <v>164.571264</v>
      </c>
      <c r="J10" s="8" t="n">
        <f aca="false">'По осям'!AN105*'По осям'!AO105</f>
        <v>901.785312</v>
      </c>
      <c r="K10" s="8" t="n">
        <f aca="false">'По осям'!AQ105*'По осям'!AR105</f>
        <v>439.408152</v>
      </c>
      <c r="L10" s="8" t="n">
        <f aca="false">'По осям'!AK151*'По осям'!AL151</f>
        <v>59.844096</v>
      </c>
      <c r="M10" s="8" t="n">
        <f aca="false">'По осям'!AN151*'По осям'!AO151</f>
        <v>959.527512</v>
      </c>
      <c r="N10" s="8" t="n">
        <f aca="false">'По осям'!AQ151*'По осям'!AR151</f>
        <v>439.408152</v>
      </c>
      <c r="O10" s="8" t="n">
        <f aca="false">'По осям'!AK197*'По осям'!AL197</f>
        <v>59.644296</v>
      </c>
      <c r="P10" s="8" t="n">
        <f aca="false">'По осям'!AN197*'По осям'!AO197</f>
        <v>856.430712</v>
      </c>
      <c r="Q10" s="8" t="n">
        <f aca="false">'По осям'!AQ197*'По осям'!AR197</f>
        <v>439.408152</v>
      </c>
      <c r="R10" s="9" t="n">
        <f aca="false">SUM(C10:Q10)</f>
        <v>7511.12136</v>
      </c>
      <c r="S10" s="10" t="n">
        <f aca="false">R10*Исходные!$B$16</f>
        <v>8036.8998552</v>
      </c>
      <c r="T10" s="11" t="n">
        <f aca="false">'Раскрой 11,7м'!D1072</f>
        <v>362</v>
      </c>
      <c r="U10" s="8" t="n">
        <f aca="false">'Раскрой 11,7м'!E1072</f>
        <v>8462.3292</v>
      </c>
      <c r="V10" s="12" t="n">
        <f aca="false">'Раскрой 11,7м'!H1072</f>
        <v>0.112404967653586</v>
      </c>
    </row>
    <row r="11" customFormat="false" ht="15" hidden="false" customHeight="false" outlineLevel="0" collapsed="false">
      <c r="A11" s="6" t="s">
        <v>25</v>
      </c>
      <c r="B11" s="7" t="s">
        <v>19</v>
      </c>
      <c r="C11" s="8" t="n">
        <f aca="false">'По осям'!AK14*'По осям'!AL14</f>
        <v>693.3732</v>
      </c>
      <c r="D11" s="8" t="n">
        <f aca="false">'По осям'!AN14*'По осям'!AO14</f>
        <v>845.220984</v>
      </c>
      <c r="E11" s="8" t="n">
        <f aca="false">'По осям'!AQ14*'По осям'!AR14</f>
        <v>0</v>
      </c>
      <c r="F11" s="8" t="n">
        <f aca="false">'По осям'!AK60*'По осям'!AL60</f>
        <v>404.151048</v>
      </c>
      <c r="G11" s="8" t="n">
        <f aca="false">'По осям'!AN60*'По осям'!AO60</f>
        <v>823.602384</v>
      </c>
      <c r="H11" s="8" t="n">
        <f aca="false">'По осям'!AQ60*'По осям'!AR60</f>
        <v>0</v>
      </c>
      <c r="I11" s="8" t="n">
        <f aca="false">'По осям'!AK106*'По осям'!AL106</f>
        <v>109.32384</v>
      </c>
      <c r="J11" s="8" t="n">
        <f aca="false">'По осям'!AN106*'По осям'!AO106</f>
        <v>793.146984</v>
      </c>
      <c r="K11" s="8" t="n">
        <f aca="false">'По осям'!AQ106*'По осям'!AR106</f>
        <v>0</v>
      </c>
      <c r="L11" s="8" t="n">
        <f aca="false">'По осям'!AK152*'По осям'!AL152</f>
        <v>144.620544</v>
      </c>
      <c r="M11" s="8" t="n">
        <f aca="false">'По осям'!AN152*'По осям'!AO152</f>
        <v>804.508584</v>
      </c>
      <c r="N11" s="8" t="n">
        <f aca="false">'По осям'!AQ152*'По осям'!AR152</f>
        <v>0</v>
      </c>
      <c r="O11" s="8" t="n">
        <f aca="false">'По осям'!AK198*'По осям'!AL198</f>
        <v>66.351744</v>
      </c>
      <c r="P11" s="8" t="n">
        <f aca="false">'По осям'!AN198*'По осям'!AO198</f>
        <v>840.171384</v>
      </c>
      <c r="Q11" s="8" t="n">
        <f aca="false">'По осям'!AQ198*'По осям'!AR198</f>
        <v>0</v>
      </c>
      <c r="R11" s="9" t="n">
        <f aca="false">SUM(C11:Q11)</f>
        <v>5524.470696</v>
      </c>
      <c r="S11" s="10" t="n">
        <f aca="false">R11*Исходные!$B$16</f>
        <v>5911.18364472</v>
      </c>
      <c r="T11" s="11" t="n">
        <f aca="false">'Раскрой 11,7м'!D1073</f>
        <v>307</v>
      </c>
      <c r="U11" s="8" t="n">
        <f aca="false">'Раскрой 11,7м'!E1073</f>
        <v>5668.0182</v>
      </c>
      <c r="V11" s="12" t="n">
        <f aca="false">'Раскрой 11,7м'!H1073</f>
        <v>0.0253258721011164</v>
      </c>
    </row>
    <row r="12" customFormat="false" ht="15" hidden="false" customHeight="false" outlineLevel="0" collapsed="false">
      <c r="A12" s="6" t="s">
        <v>26</v>
      </c>
      <c r="B12" s="7" t="s">
        <v>19</v>
      </c>
      <c r="C12" s="8" t="n">
        <f aca="false">'По осям'!AK15*'По осям'!AL15</f>
        <v>73.5672</v>
      </c>
      <c r="D12" s="8" t="n">
        <f aca="false">'По осям'!AN15*'По осям'!AO15</f>
        <v>216.90848</v>
      </c>
      <c r="E12" s="8" t="n">
        <f aca="false">'По осям'!AQ15*'По осям'!AR15</f>
        <v>0</v>
      </c>
      <c r="F12" s="8" t="n">
        <f aca="false">'По осям'!AK61*'По осям'!AL61</f>
        <v>494.791968</v>
      </c>
      <c r="G12" s="8" t="n">
        <f aca="false">'По осям'!AN61*'По осям'!AO61</f>
        <v>243.33952</v>
      </c>
      <c r="H12" s="8" t="n">
        <f aca="false">'По осям'!AQ61*'По осям'!AR61</f>
        <v>0</v>
      </c>
      <c r="I12" s="8" t="n">
        <f aca="false">'По осям'!AK107*'По осям'!AL107</f>
        <v>725.172064</v>
      </c>
      <c r="J12" s="8" t="n">
        <f aca="false">'По осям'!AN107*'По осям'!AO107</f>
        <v>260.00992</v>
      </c>
      <c r="K12" s="8" t="n">
        <f aca="false">'По осям'!AQ107*'По осям'!AR107</f>
        <v>0</v>
      </c>
      <c r="L12" s="8" t="n">
        <f aca="false">'По осям'!AK153*'По осям'!AL153</f>
        <v>282.918432</v>
      </c>
      <c r="M12" s="8" t="n">
        <f aca="false">'По осям'!AN153*'По осям'!AO153</f>
        <v>300.84032</v>
      </c>
      <c r="N12" s="8" t="n">
        <f aca="false">'По осям'!AQ153*'По осям'!AR153</f>
        <v>0</v>
      </c>
      <c r="O12" s="8" t="n">
        <f aca="false">'По осям'!AK199*'По осям'!AL199</f>
        <v>141.220032</v>
      </c>
      <c r="P12" s="8" t="n">
        <f aca="false">'По осям'!AN199*'По осям'!AO199</f>
        <v>339.52048</v>
      </c>
      <c r="Q12" s="8" t="n">
        <f aca="false">'По осям'!AQ199*'По осям'!AR199</f>
        <v>0</v>
      </c>
      <c r="R12" s="9" t="n">
        <f aca="false">SUM(C12:Q12)</f>
        <v>3078.288416</v>
      </c>
      <c r="S12" s="10" t="n">
        <f aca="false">R12*Исходные!$B$16</f>
        <v>3293.76860512</v>
      </c>
      <c r="T12" s="11" t="n">
        <f aca="false">'Раскрой 11,7м'!D1074</f>
        <v>226</v>
      </c>
      <c r="U12" s="8" t="n">
        <f aca="false">'Раскрой 11,7м'!E1074</f>
        <v>3194.1936</v>
      </c>
      <c r="V12" s="12" t="n">
        <f aca="false">'Раскрой 11,7м'!H1074</f>
        <v>0.0362862113304592</v>
      </c>
    </row>
    <row r="13" customFormat="false" ht="15" hidden="false" customHeight="false" outlineLevel="0" collapsed="false">
      <c r="A13" s="6" t="s">
        <v>27</v>
      </c>
      <c r="B13" s="7" t="s">
        <v>19</v>
      </c>
      <c r="C13" s="8" t="n">
        <f aca="false">'По осям'!AK16*'По осям'!AL16</f>
        <v>0</v>
      </c>
      <c r="D13" s="8" t="n">
        <f aca="false">'По осям'!AN16*'По осям'!AO16</f>
        <v>215.059392</v>
      </c>
      <c r="E13" s="8" t="n">
        <f aca="false">'По осям'!AQ16*'По осям'!AR16</f>
        <v>0</v>
      </c>
      <c r="F13" s="8" t="n">
        <f aca="false">'По осям'!AK62*'По осям'!AL62</f>
        <v>95.016</v>
      </c>
      <c r="G13" s="8" t="n">
        <f aca="false">'По осям'!AN62*'По осям'!AO62</f>
        <v>260.688384</v>
      </c>
      <c r="H13" s="8" t="n">
        <f aca="false">'По осям'!AQ62*'По осям'!AR62</f>
        <v>0</v>
      </c>
      <c r="I13" s="8" t="n">
        <f aca="false">'По осям'!AK108*'По осям'!AL108</f>
        <v>73.0824</v>
      </c>
      <c r="J13" s="8" t="n">
        <f aca="false">'По осям'!AN108*'По осям'!AO108</f>
        <v>298.339584</v>
      </c>
      <c r="K13" s="8" t="n">
        <f aca="false">'По осям'!AQ108*'По осям'!AR108</f>
        <v>0</v>
      </c>
      <c r="L13" s="8" t="n">
        <f aca="false">'По осям'!AK154*'По осям'!AL154</f>
        <v>166.8552</v>
      </c>
      <c r="M13" s="8" t="n">
        <f aca="false">'По осям'!AN154*'По осям'!AO154</f>
        <v>277.915584</v>
      </c>
      <c r="N13" s="8" t="n">
        <f aca="false">'По осям'!AQ154*'По осям'!AR154</f>
        <v>0</v>
      </c>
      <c r="O13" s="8" t="n">
        <f aca="false">'По осям'!AK200*'По осям'!AL200</f>
        <v>224.4864</v>
      </c>
      <c r="P13" s="8" t="n">
        <f aca="false">'По осям'!AN200*'По осям'!AO200</f>
        <v>76.1904</v>
      </c>
      <c r="Q13" s="8" t="n">
        <f aca="false">'По осям'!AQ200*'По осям'!AR200</f>
        <v>0</v>
      </c>
      <c r="R13" s="9" t="n">
        <f aca="false">SUM(C13:Q13)</f>
        <v>1687.633344</v>
      </c>
      <c r="S13" s="10" t="n">
        <f aca="false">R13*Исходные!$B$16</f>
        <v>1805.76767808</v>
      </c>
      <c r="T13" s="11" t="n">
        <f aca="false">'Раскрой 11,7м'!D1075</f>
        <v>171</v>
      </c>
      <c r="U13" s="8" t="n">
        <f aca="false">'Раскрой 11,7м'!E1075</f>
        <v>1776.6216</v>
      </c>
      <c r="V13" s="12" t="n">
        <f aca="false">'Раскрой 11,7м'!H1075</f>
        <v>0.0500884690358374</v>
      </c>
    </row>
    <row r="14" customFormat="false" ht="15" hidden="false" customHeight="false" outlineLevel="0" collapsed="false">
      <c r="A14" s="6" t="s">
        <v>28</v>
      </c>
      <c r="B14" s="7" t="s">
        <v>19</v>
      </c>
      <c r="C14" s="8" t="n">
        <f aca="false">'По осям'!AK17*'По осям'!AL17</f>
        <v>7.5891</v>
      </c>
      <c r="D14" s="8" t="n">
        <f aca="false">'По осям'!AN17*'По осям'!AO17</f>
        <v>7917.99802</v>
      </c>
      <c r="E14" s="8" t="n">
        <f aca="false">'По осям'!AQ17*'По осям'!AR17</f>
        <v>146.36474</v>
      </c>
      <c r="F14" s="8" t="n">
        <f aca="false">'По осям'!AK63*'По осям'!AL63</f>
        <v>12.5868</v>
      </c>
      <c r="G14" s="8" t="n">
        <f aca="false">'По осям'!AN63*'По осям'!AO63</f>
        <v>7923.27954</v>
      </c>
      <c r="H14" s="8" t="n">
        <f aca="false">'По осям'!AQ63*'По осям'!AR63</f>
        <v>141.95936</v>
      </c>
      <c r="I14" s="8" t="n">
        <f aca="false">'По осям'!AK109*'По осям'!AL109</f>
        <v>34.4286</v>
      </c>
      <c r="J14" s="8" t="n">
        <f aca="false">'По осям'!AN109*'По осям'!AO109</f>
        <v>7923.27954</v>
      </c>
      <c r="K14" s="8" t="n">
        <f aca="false">'По осям'!AQ109*'По осям'!AR109</f>
        <v>141.95936</v>
      </c>
      <c r="L14" s="8" t="n">
        <f aca="false">'По осям'!AK155*'По осям'!AL155</f>
        <v>225.9454</v>
      </c>
      <c r="M14" s="8" t="n">
        <f aca="false">'По осям'!AN155*'По осям'!AO155</f>
        <v>7923.27954</v>
      </c>
      <c r="N14" s="8" t="n">
        <f aca="false">'По осям'!AQ155*'По осям'!AR155</f>
        <v>141.95936</v>
      </c>
      <c r="O14" s="8" t="n">
        <f aca="false">'По осям'!AK201*'По осям'!AL201</f>
        <v>179.547</v>
      </c>
      <c r="P14" s="8" t="n">
        <f aca="false">'По осям'!AN201*'По осям'!AO201</f>
        <v>6938.3501</v>
      </c>
      <c r="Q14" s="8" t="n">
        <f aca="false">'По осям'!AQ201*'По осям'!AR201</f>
        <v>141.95936</v>
      </c>
      <c r="R14" s="9" t="n">
        <f aca="false">SUM(C14:Q14)</f>
        <v>39800.48582</v>
      </c>
      <c r="S14" s="10" t="n">
        <f aca="false">R14*Исходные!$B$16</f>
        <v>42586.5198274</v>
      </c>
      <c r="T14" s="11" t="n">
        <f aca="false">'Раскрой 11,7м'!D1076</f>
        <v>5558</v>
      </c>
      <c r="U14" s="8" t="n">
        <f aca="false">'Раскрой 11,7м'!E1076</f>
        <v>40122.6462</v>
      </c>
      <c r="V14" s="12" t="n">
        <f aca="false">'Раскрой 11,7м'!H1076</f>
        <v>0.00802939014525901</v>
      </c>
    </row>
    <row r="15" customFormat="false" ht="15" hidden="false" customHeight="false" outlineLevel="0" collapsed="false">
      <c r="A15" s="6" t="s">
        <v>29</v>
      </c>
      <c r="B15" s="7" t="s">
        <v>19</v>
      </c>
      <c r="C15" s="8" t="n">
        <f aca="false">'По осям'!AK18*'По осям'!AL18</f>
        <v>0</v>
      </c>
      <c r="D15" s="8" t="n">
        <f aca="false">'По осям'!AN18*'По осям'!AO18</f>
        <v>0</v>
      </c>
      <c r="E15" s="8" t="n">
        <f aca="false">'По осям'!AQ18*'По осям'!AR18</f>
        <v>0</v>
      </c>
      <c r="F15" s="8" t="n">
        <f aca="false">'По осям'!AK64*'По осям'!AL64</f>
        <v>0</v>
      </c>
      <c r="G15" s="8" t="n">
        <f aca="false">'По осям'!AN64*'По осям'!AO64</f>
        <v>0</v>
      </c>
      <c r="H15" s="8" t="n">
        <f aca="false">'По осям'!AQ64*'По осям'!AR64</f>
        <v>0</v>
      </c>
      <c r="I15" s="8" t="n">
        <f aca="false">'По осям'!AK110*'По осям'!AL110</f>
        <v>0</v>
      </c>
      <c r="J15" s="8" t="n">
        <f aca="false">'По осям'!AN110*'По осям'!AO110</f>
        <v>0</v>
      </c>
      <c r="K15" s="8" t="n">
        <f aca="false">'По осям'!AQ110*'По осям'!AR110</f>
        <v>0</v>
      </c>
      <c r="L15" s="8" t="n">
        <f aca="false">'По осям'!AK156*'По осям'!AL156</f>
        <v>0</v>
      </c>
      <c r="M15" s="8" t="n">
        <f aca="false">'По осям'!AN156*'По осям'!AO156</f>
        <v>0</v>
      </c>
      <c r="N15" s="8" t="n">
        <f aca="false">'По осям'!AQ156*'По осям'!AR156</f>
        <v>0</v>
      </c>
      <c r="O15" s="8" t="n">
        <f aca="false">'По осям'!AK202*'По осям'!AL202</f>
        <v>0</v>
      </c>
      <c r="P15" s="8" t="n">
        <f aca="false">'По осям'!AN202*'По осям'!AO202</f>
        <v>0</v>
      </c>
      <c r="Q15" s="8" t="n">
        <f aca="false">'По осям'!AQ202*'По осям'!AR202</f>
        <v>0</v>
      </c>
      <c r="R15" s="9" t="n">
        <f aca="false">SUM(C15:Q15)</f>
        <v>0</v>
      </c>
      <c r="S15" s="10" t="n">
        <f aca="false">R15*Исходные!$B$16</f>
        <v>0</v>
      </c>
      <c r="T15" s="11" t="n">
        <f aca="false">'Раскрой 11,7м'!D1077</f>
        <v>0</v>
      </c>
      <c r="U15" s="8" t="n">
        <f aca="false">'Раскрой 11,7м'!E1077</f>
        <v>0</v>
      </c>
      <c r="V15" s="12" t="n">
        <f aca="false">'Раскрой 11,7м'!H1077</f>
        <v>0</v>
      </c>
    </row>
    <row r="16" customFormat="false" ht="15" hidden="false" customHeight="false" outlineLevel="0" collapsed="false">
      <c r="A16" s="6" t="s">
        <v>30</v>
      </c>
      <c r="B16" s="7" t="s">
        <v>19</v>
      </c>
      <c r="C16" s="8" t="n">
        <f aca="false">'По осям'!AK19*'По осям'!AL19</f>
        <v>0</v>
      </c>
      <c r="D16" s="8" t="n">
        <f aca="false">'По осям'!AN19*'По осям'!AO19</f>
        <v>0</v>
      </c>
      <c r="E16" s="8" t="n">
        <f aca="false">'По осям'!AQ19*'По осям'!AR19</f>
        <v>1.32552</v>
      </c>
      <c r="F16" s="8" t="n">
        <f aca="false">'По осям'!AK65*'По осям'!AL65</f>
        <v>0</v>
      </c>
      <c r="G16" s="8" t="n">
        <f aca="false">'По осям'!AN65*'По осям'!AO65</f>
        <v>0</v>
      </c>
      <c r="H16" s="8" t="n">
        <f aca="false">'По осям'!AQ65*'По осям'!AR65</f>
        <v>1.32552</v>
      </c>
      <c r="I16" s="8" t="n">
        <f aca="false">'По осям'!AK111*'По осям'!AL111</f>
        <v>0</v>
      </c>
      <c r="J16" s="8" t="n">
        <f aca="false">'По осям'!AN111*'По осям'!AO111</f>
        <v>0</v>
      </c>
      <c r="K16" s="8" t="n">
        <f aca="false">'По осям'!AQ111*'По осям'!AR111</f>
        <v>1.32552</v>
      </c>
      <c r="L16" s="8" t="n">
        <f aca="false">'По осям'!AK157*'По осям'!AL157</f>
        <v>0</v>
      </c>
      <c r="M16" s="8" t="n">
        <f aca="false">'По осям'!AN157*'По осям'!AO157</f>
        <v>0</v>
      </c>
      <c r="N16" s="8" t="n">
        <f aca="false">'По осям'!AQ157*'По осям'!AR157</f>
        <v>1.32552</v>
      </c>
      <c r="O16" s="8" t="n">
        <f aca="false">'По осям'!AK203*'По осям'!AL203</f>
        <v>0</v>
      </c>
      <c r="P16" s="8" t="n">
        <f aca="false">'По осям'!AN203*'По осям'!AO203</f>
        <v>0</v>
      </c>
      <c r="Q16" s="8" t="n">
        <f aca="false">'По осям'!AQ203*'По осям'!AR203</f>
        <v>1.32552</v>
      </c>
      <c r="R16" s="9" t="n">
        <f aca="false">SUM(C16:Q16)</f>
        <v>6.6276</v>
      </c>
      <c r="S16" s="10" t="n">
        <f aca="false">R16*Исходные!$B$16</f>
        <v>7.091532</v>
      </c>
      <c r="T16" s="11" t="n">
        <f aca="false">'Раскрой 11,7м'!D1078</f>
        <v>5</v>
      </c>
      <c r="U16" s="8" t="n">
        <f aca="false">'Раскрой 11,7м'!E1078</f>
        <v>92.313</v>
      </c>
      <c r="V16" s="12" t="n">
        <f aca="false">'Раскрой 11,7м'!H1078</f>
        <v>0.928205128205128</v>
      </c>
    </row>
    <row r="17" customFormat="false" ht="15" hidden="false" customHeight="false" outlineLevel="0" collapsed="false">
      <c r="A17" s="6" t="s">
        <v>31</v>
      </c>
      <c r="B17" s="7" t="s">
        <v>19</v>
      </c>
      <c r="C17" s="8" t="n">
        <f aca="false">'По осям'!AK20*'По осям'!AL20</f>
        <v>0</v>
      </c>
      <c r="D17" s="8" t="n">
        <f aca="false">'По осям'!AN20*'По осям'!AO20</f>
        <v>0</v>
      </c>
      <c r="E17" s="8" t="n">
        <f aca="false">'По осям'!AQ20*'По осям'!AR20</f>
        <v>0</v>
      </c>
      <c r="F17" s="8" t="n">
        <f aca="false">'По осям'!AK66*'По осям'!AL66</f>
        <v>0</v>
      </c>
      <c r="G17" s="8" t="n">
        <f aca="false">'По осям'!AN66*'По осям'!AO66</f>
        <v>0</v>
      </c>
      <c r="H17" s="8" t="n">
        <f aca="false">'По осям'!AQ66*'По осям'!AR66</f>
        <v>0</v>
      </c>
      <c r="I17" s="8" t="n">
        <f aca="false">'По осям'!AK112*'По осям'!AL112</f>
        <v>0</v>
      </c>
      <c r="J17" s="8" t="n">
        <f aca="false">'По осям'!AN112*'По осям'!AO112</f>
        <v>0</v>
      </c>
      <c r="K17" s="8" t="n">
        <f aca="false">'По осям'!AQ112*'По осям'!AR112</f>
        <v>0</v>
      </c>
      <c r="L17" s="8" t="n">
        <f aca="false">'По осям'!AK158*'По осям'!AL158</f>
        <v>0</v>
      </c>
      <c r="M17" s="8" t="n">
        <f aca="false">'По осям'!AN158*'По осям'!AO158</f>
        <v>0</v>
      </c>
      <c r="N17" s="8" t="n">
        <f aca="false">'По осям'!AQ158*'По осям'!AR158</f>
        <v>0</v>
      </c>
      <c r="O17" s="8" t="n">
        <f aca="false">'По осям'!AK204*'По осям'!AL204</f>
        <v>0</v>
      </c>
      <c r="P17" s="8" t="n">
        <f aca="false">'По осям'!AN204*'По осям'!AO204</f>
        <v>0</v>
      </c>
      <c r="Q17" s="8" t="n">
        <f aca="false">'По осям'!AQ204*'По осям'!AR204</f>
        <v>0</v>
      </c>
      <c r="R17" s="9" t="n">
        <f aca="false">SUM(C17:Q17)</f>
        <v>0</v>
      </c>
      <c r="S17" s="10" t="n">
        <f aca="false">R17*Исходные!$B$16</f>
        <v>0</v>
      </c>
      <c r="T17" s="11" t="n">
        <f aca="false">'Раскрой 11,7м'!D1079</f>
        <v>0</v>
      </c>
      <c r="U17" s="8" t="n">
        <f aca="false">'Раскрой 11,7м'!E1079</f>
        <v>0</v>
      </c>
      <c r="V17" s="12" t="n">
        <f aca="false">'Раскрой 11,7м'!H1079</f>
        <v>0</v>
      </c>
    </row>
    <row r="18" customFormat="false" ht="15" hidden="false" customHeight="false" outlineLevel="0" collapsed="false">
      <c r="A18" s="6" t="s">
        <v>32</v>
      </c>
      <c r="B18" s="7" t="s">
        <v>19</v>
      </c>
      <c r="C18" s="8" t="n">
        <f aca="false">'По осям'!AK21*'По осям'!AL21</f>
        <v>325.07262</v>
      </c>
      <c r="D18" s="8" t="n">
        <f aca="false">'По осям'!AN21*'По осям'!AO21</f>
        <v>1403.51458</v>
      </c>
      <c r="E18" s="8" t="n">
        <f aca="false">'По осям'!AQ21*'По осям'!AR21</f>
        <v>58.39288</v>
      </c>
      <c r="F18" s="8" t="n">
        <f aca="false">'По осям'!AK67*'По осям'!AL67</f>
        <v>144.42736</v>
      </c>
      <c r="G18" s="8" t="n">
        <f aca="false">'По осям'!AN67*'По осям'!AO67</f>
        <v>1531.8259</v>
      </c>
      <c r="H18" s="8" t="n">
        <f aca="false">'По осям'!AQ67*'По осям'!AR67</f>
        <v>56.46784</v>
      </c>
      <c r="I18" s="8" t="n">
        <f aca="false">'По осям'!AK113*'По осям'!AL113</f>
        <v>144.42736</v>
      </c>
      <c r="J18" s="8" t="n">
        <f aca="false">'По осям'!AN113*'По осям'!AO113</f>
        <v>1472.37178</v>
      </c>
      <c r="K18" s="8" t="n">
        <f aca="false">'По осям'!AQ113*'По осям'!AR113</f>
        <v>56.46784</v>
      </c>
      <c r="L18" s="8" t="n">
        <f aca="false">'По осям'!AK159*'По осям'!AL159</f>
        <v>144.42736</v>
      </c>
      <c r="M18" s="8" t="n">
        <f aca="false">'По осям'!AN159*'По осям'!AO159</f>
        <v>1414.63292</v>
      </c>
      <c r="N18" s="8" t="n">
        <f aca="false">'По осям'!AQ159*'По осям'!AR159</f>
        <v>56.46784</v>
      </c>
      <c r="O18" s="8" t="n">
        <f aca="false">'По осям'!AK205*'По осям'!AL205</f>
        <v>144.42736</v>
      </c>
      <c r="P18" s="8" t="n">
        <f aca="false">'По осям'!AN205*'По осям'!AO205</f>
        <v>781.27008</v>
      </c>
      <c r="Q18" s="8" t="n">
        <f aca="false">'По осям'!AQ205*'По осям'!AR205</f>
        <v>56.46784</v>
      </c>
      <c r="R18" s="9" t="n">
        <f aca="false">SUM(C18:Q18)</f>
        <v>7790.66156</v>
      </c>
      <c r="S18" s="10" t="n">
        <f aca="false">R18*Исходные!$B$16</f>
        <v>8336.0078692</v>
      </c>
      <c r="T18" s="11" t="n">
        <f aca="false">'Раскрой 11,7м'!D1080</f>
        <v>1094</v>
      </c>
      <c r="U18" s="8" t="n">
        <f aca="false">'Раскрой 11,7м'!E1080</f>
        <v>7897.4766</v>
      </c>
      <c r="V18" s="12" t="n">
        <f aca="false">'Раскрой 11,7м'!H1080</f>
        <v>0.0135252113314269</v>
      </c>
    </row>
    <row r="19" customFormat="false" ht="15" hidden="false" customHeight="false" outlineLevel="0" collapsed="false">
      <c r="A19" s="6" t="s">
        <v>33</v>
      </c>
      <c r="B19" s="7" t="s">
        <v>19</v>
      </c>
      <c r="C19" s="8" t="n">
        <f aca="false">'По осям'!AK22*'По осям'!AL22</f>
        <v>1228.5606</v>
      </c>
      <c r="D19" s="8" t="n">
        <f aca="false">'По осям'!AN22*'По осям'!AO22</f>
        <v>1748.66895</v>
      </c>
      <c r="E19" s="8" t="n">
        <f aca="false">'По осям'!AQ22*'По осям'!AR22</f>
        <v>17.6644</v>
      </c>
      <c r="F19" s="8" t="n">
        <f aca="false">'По осям'!AK68*'По осям'!AL68</f>
        <v>1208.6052</v>
      </c>
      <c r="G19" s="8" t="n">
        <f aca="false">'По осям'!AN68*'По осям'!AO68</f>
        <v>1707.15445</v>
      </c>
      <c r="H19" s="8" t="n">
        <f aca="false">'По осям'!AQ68*'По осям'!AR68</f>
        <v>17.1588</v>
      </c>
      <c r="I19" s="8" t="n">
        <f aca="false">'По осям'!AK114*'По осям'!AL114</f>
        <v>1208.6052</v>
      </c>
      <c r="J19" s="8" t="n">
        <f aca="false">'По осям'!AN114*'По осям'!AO114</f>
        <v>1745.17715</v>
      </c>
      <c r="K19" s="8" t="n">
        <f aca="false">'По осям'!AQ114*'По осям'!AR114</f>
        <v>17.1588</v>
      </c>
      <c r="L19" s="8" t="n">
        <f aca="false">'По осям'!AK160*'По осям'!AL160</f>
        <v>1208.6052</v>
      </c>
      <c r="M19" s="8" t="n">
        <f aca="false">'По осям'!AN160*'По осям'!AO160</f>
        <v>1774.39925</v>
      </c>
      <c r="N19" s="8" t="n">
        <f aca="false">'По осям'!AQ160*'По осям'!AR160</f>
        <v>17.1588</v>
      </c>
      <c r="O19" s="8" t="n">
        <f aca="false">'По осям'!AK206*'По осям'!AL206</f>
        <v>1208.6052</v>
      </c>
      <c r="P19" s="8" t="n">
        <f aca="false">'По осям'!AN206*'По осям'!AO206</f>
        <v>1941.66595</v>
      </c>
      <c r="Q19" s="8" t="n">
        <f aca="false">'По осям'!AQ206*'По осям'!AR206</f>
        <v>17.1588</v>
      </c>
      <c r="R19" s="9" t="n">
        <f aca="false">SUM(C19:Q19)</f>
        <v>15066.34675</v>
      </c>
      <c r="S19" s="10" t="n">
        <f aca="false">R19*Исходные!$B$16</f>
        <v>16120.9910225</v>
      </c>
      <c r="T19" s="11" t="n">
        <f aca="false">'Раскрой 11,7м'!D1081</f>
        <v>3291</v>
      </c>
      <c r="U19" s="8" t="n">
        <f aca="false">'Раскрой 11,7м'!E1081</f>
        <v>15209.3565</v>
      </c>
      <c r="V19" s="12" t="n">
        <f aca="false">'Раскрой 11,7м'!H1081</f>
        <v>0.00940274823592959</v>
      </c>
    </row>
    <row r="20" customFormat="false" ht="15" hidden="false" customHeight="false" outlineLevel="0" collapsed="false">
      <c r="A20" s="6" t="s">
        <v>34</v>
      </c>
      <c r="B20" s="7" t="s">
        <v>19</v>
      </c>
      <c r="C20" s="8" t="n">
        <f aca="false">'По осям'!AK23*'По осям'!AL23</f>
        <v>0</v>
      </c>
      <c r="D20" s="8" t="n">
        <f aca="false">'По осям'!AN23*'По осям'!AO23</f>
        <v>0</v>
      </c>
      <c r="E20" s="8" t="n">
        <f aca="false">'По осям'!AQ23*'По осям'!AR23</f>
        <v>6.89976</v>
      </c>
      <c r="F20" s="8" t="n">
        <f aca="false">'По осям'!AK69*'По осям'!AL69</f>
        <v>0</v>
      </c>
      <c r="G20" s="8" t="n">
        <f aca="false">'По осям'!AN69*'По осям'!AO69</f>
        <v>0</v>
      </c>
      <c r="H20" s="8" t="n">
        <f aca="false">'По осям'!AQ69*'По осям'!AR69</f>
        <v>6.46464</v>
      </c>
      <c r="I20" s="8" t="n">
        <f aca="false">'По осям'!AK115*'По осям'!AL115</f>
        <v>0</v>
      </c>
      <c r="J20" s="8" t="n">
        <f aca="false">'По осям'!AN115*'По осям'!AO115</f>
        <v>0</v>
      </c>
      <c r="K20" s="8" t="n">
        <f aca="false">'По осям'!AQ115*'По осям'!AR115</f>
        <v>6.46464</v>
      </c>
      <c r="L20" s="8" t="n">
        <f aca="false">'По осям'!AK161*'По осям'!AL161</f>
        <v>0</v>
      </c>
      <c r="M20" s="8" t="n">
        <f aca="false">'По осям'!AN161*'По осям'!AO161</f>
        <v>0</v>
      </c>
      <c r="N20" s="8" t="n">
        <f aca="false">'По осям'!AQ161*'По осям'!AR161</f>
        <v>6.46464</v>
      </c>
      <c r="O20" s="8" t="n">
        <f aca="false">'По осям'!AK207*'По осям'!AL207</f>
        <v>0</v>
      </c>
      <c r="P20" s="8" t="n">
        <f aca="false">'По осям'!AN207*'По осям'!AO207</f>
        <v>0</v>
      </c>
      <c r="Q20" s="8" t="n">
        <f aca="false">'По осям'!AQ207*'По осям'!AR207</f>
        <v>6.46464</v>
      </c>
      <c r="R20" s="9" t="n">
        <f aca="false">SUM(C20:Q20)</f>
        <v>32.75832</v>
      </c>
      <c r="S20" s="10" t="n">
        <f aca="false">R20*Исходные!$B$16</f>
        <v>35.0514024</v>
      </c>
      <c r="T20" s="11" t="n">
        <f aca="false">'Раскрой 11,7м'!D1082</f>
        <v>15</v>
      </c>
      <c r="U20" s="8" t="n">
        <f aca="false">'Раскрой 11,7м'!E1082</f>
        <v>38.961</v>
      </c>
      <c r="V20" s="12" t="n">
        <f aca="false">'Раскрой 11,7м'!H1082</f>
        <v>0.159202279202279</v>
      </c>
    </row>
    <row r="21" customFormat="false" ht="15" hidden="false" customHeight="false" outlineLevel="0" collapsed="false">
      <c r="A21" s="6" t="s">
        <v>35</v>
      </c>
      <c r="B21" s="7" t="s">
        <v>19</v>
      </c>
      <c r="C21" s="8" t="n">
        <f aca="false">'По осям'!AK24*'По осям'!AL24</f>
        <v>0</v>
      </c>
      <c r="D21" s="8" t="n">
        <f aca="false">'По осям'!AN24*'По осям'!AO24</f>
        <v>0</v>
      </c>
      <c r="E21" s="8" t="n">
        <f aca="false">'По осям'!AQ24*'По осям'!AR24</f>
        <v>43.12</v>
      </c>
      <c r="F21" s="8" t="n">
        <f aca="false">'По осям'!AK70*'По осям'!AL70</f>
        <v>0</v>
      </c>
      <c r="G21" s="8" t="n">
        <f aca="false">'По осям'!AN70*'По осям'!AO70</f>
        <v>0</v>
      </c>
      <c r="H21" s="8" t="n">
        <f aca="false">'По осям'!AQ70*'По осям'!AR70</f>
        <v>39.3008</v>
      </c>
      <c r="I21" s="8" t="n">
        <f aca="false">'По осям'!AK116*'По осям'!AL116</f>
        <v>0</v>
      </c>
      <c r="J21" s="8" t="n">
        <f aca="false">'По осям'!AN116*'По осям'!AO116</f>
        <v>0</v>
      </c>
      <c r="K21" s="8" t="n">
        <f aca="false">'По осям'!AQ116*'По осям'!AR116</f>
        <v>39.3008</v>
      </c>
      <c r="L21" s="8" t="n">
        <f aca="false">'По осям'!AK162*'По осям'!AL162</f>
        <v>0</v>
      </c>
      <c r="M21" s="8" t="n">
        <f aca="false">'По осям'!AN162*'По осям'!AO162</f>
        <v>0</v>
      </c>
      <c r="N21" s="8" t="n">
        <f aca="false">'По осям'!AQ162*'По осям'!AR162</f>
        <v>39.3008</v>
      </c>
      <c r="O21" s="8" t="n">
        <f aca="false">'По осям'!AK208*'По осям'!AL208</f>
        <v>0</v>
      </c>
      <c r="P21" s="8" t="n">
        <f aca="false">'По осям'!AN208*'По осям'!AO208</f>
        <v>0</v>
      </c>
      <c r="Q21" s="8" t="n">
        <f aca="false">'По осям'!AQ208*'По осям'!AR208</f>
        <v>39.3008</v>
      </c>
      <c r="R21" s="9" t="n">
        <f aca="false">SUM(C21:Q21)</f>
        <v>200.3232</v>
      </c>
      <c r="S21" s="10" t="n">
        <f aca="false">R21*Исходные!$B$16</f>
        <v>214.345824</v>
      </c>
      <c r="T21" s="11" t="n">
        <f aca="false">'Раскрой 11,7м'!D1083</f>
        <v>0</v>
      </c>
      <c r="U21" s="8" t="n">
        <f aca="false">'Раскрой 11,7м'!E1083</f>
        <v>200.3232</v>
      </c>
      <c r="V21" s="12" t="n">
        <f aca="false">'Раскрой 11,7м'!H1083</f>
        <v>0</v>
      </c>
    </row>
    <row r="22" customFormat="false" ht="15" hidden="false" customHeight="false" outlineLevel="0" collapsed="false">
      <c r="A22" s="13" t="s">
        <v>36</v>
      </c>
      <c r="B22" s="14" t="s">
        <v>19</v>
      </c>
      <c r="C22" s="9" t="n">
        <f aca="false">SUM(C5:C21)</f>
        <v>9396.44364</v>
      </c>
      <c r="D22" s="9" t="n">
        <f aca="false">SUM(D5:D21)</f>
        <v>22240.444458</v>
      </c>
      <c r="E22" s="9" t="n">
        <f aca="false">SUM(E5:E21)</f>
        <v>803.464672</v>
      </c>
      <c r="F22" s="9" t="n">
        <f aca="false">SUM(F5:F21)</f>
        <v>6578.04916</v>
      </c>
      <c r="G22" s="9" t="n">
        <f aca="false">SUM(G5:G21)</f>
        <v>22729.48631</v>
      </c>
      <c r="H22" s="9" t="n">
        <f aca="false">SUM(H5:H21)</f>
        <v>783.383412</v>
      </c>
      <c r="I22" s="9" t="n">
        <f aca="false">SUM(I5:I21)</f>
        <v>6309.342728</v>
      </c>
      <c r="J22" s="9" t="n">
        <f aca="false">SUM(J5:J21)</f>
        <v>22496.76189</v>
      </c>
      <c r="K22" s="9" t="n">
        <f aca="false">SUM(K5:K21)</f>
        <v>783.383412</v>
      </c>
      <c r="L22" s="9" t="n">
        <f aca="false">SUM(L5:L21)</f>
        <v>6026.637032</v>
      </c>
      <c r="M22" s="9" t="n">
        <f aca="false">SUM(M5:M21)</f>
        <v>22147.10303</v>
      </c>
      <c r="N22" s="9" t="n">
        <f aca="false">SUM(N5:N21)</f>
        <v>783.383412</v>
      </c>
      <c r="O22" s="9" t="n">
        <f aca="false">SUM(O5:O21)</f>
        <v>4769.888032</v>
      </c>
      <c r="P22" s="9" t="n">
        <f aca="false">SUM(P5:P21)</f>
        <v>18851.157326</v>
      </c>
      <c r="Q22" s="9" t="n">
        <f aca="false">SUM(Q5:Q21)</f>
        <v>783.383412</v>
      </c>
      <c r="R22" s="9" t="n">
        <f aca="false">SUM(R5:R21)</f>
        <v>145482.311926</v>
      </c>
      <c r="S22" s="9" t="n">
        <f aca="false">SUM(S5:S21)</f>
        <v>155666.07376082</v>
      </c>
      <c r="T22" s="15" t="n">
        <f aca="false">SUM(T5:T21)</f>
        <v>12513</v>
      </c>
      <c r="U22" s="9" t="n">
        <f aca="false">SUM(U5:U21)</f>
        <v>152030.1819</v>
      </c>
      <c r="V22" s="12" t="n">
        <f aca="false">'Раскрой 11,7м'!H1084</f>
        <v>0.043069539825368</v>
      </c>
    </row>
    <row r="23" customFormat="false" ht="15" hidden="false" customHeight="false" outlineLevel="0" collapsed="false">
      <c r="A23" s="13" t="s">
        <v>36</v>
      </c>
      <c r="B23" s="14" t="s">
        <v>37</v>
      </c>
      <c r="C23" s="16" t="n">
        <f aca="false">C22/1000</f>
        <v>9.39644364</v>
      </c>
      <c r="D23" s="16" t="n">
        <f aca="false">D22/1000</f>
        <v>22.240444458</v>
      </c>
      <c r="E23" s="16" t="n">
        <f aca="false">E22/1000</f>
        <v>0.803464672</v>
      </c>
      <c r="F23" s="16" t="n">
        <f aca="false">F22/1000</f>
        <v>6.57804916</v>
      </c>
      <c r="G23" s="16" t="n">
        <f aca="false">G22/1000</f>
        <v>22.72948631</v>
      </c>
      <c r="H23" s="16" t="n">
        <f aca="false">H22/1000</f>
        <v>0.783383412</v>
      </c>
      <c r="I23" s="16" t="n">
        <f aca="false">I22/1000</f>
        <v>6.309342728</v>
      </c>
      <c r="J23" s="16" t="n">
        <f aca="false">J22/1000</f>
        <v>22.49676189</v>
      </c>
      <c r="K23" s="16" t="n">
        <f aca="false">K22/1000</f>
        <v>0.783383412</v>
      </c>
      <c r="L23" s="16" t="n">
        <f aca="false">L22/1000</f>
        <v>6.026637032</v>
      </c>
      <c r="M23" s="16" t="n">
        <f aca="false">M22/1000</f>
        <v>22.14710303</v>
      </c>
      <c r="N23" s="16" t="n">
        <f aca="false">N22/1000</f>
        <v>0.783383412</v>
      </c>
      <c r="O23" s="16" t="n">
        <f aca="false">O22/1000</f>
        <v>4.769888032</v>
      </c>
      <c r="P23" s="16" t="n">
        <f aca="false">P22/1000</f>
        <v>18.851157326</v>
      </c>
      <c r="Q23" s="16" t="n">
        <f aca="false">Q22/1000</f>
        <v>0.783383412</v>
      </c>
      <c r="R23" s="16" t="n">
        <f aca="false">R22/1000</f>
        <v>145.482311926</v>
      </c>
      <c r="S23" s="16" t="n">
        <f aca="false">S22/1000</f>
        <v>155.66607376082</v>
      </c>
      <c r="U23" s="16" t="n">
        <f aca="false">U22/1000</f>
        <v>152.0301819</v>
      </c>
    </row>
    <row r="24" customFormat="false" ht="15" hidden="false" customHeight="false" outlineLevel="0" collapsed="false">
      <c r="A24" s="17" t="s">
        <v>38</v>
      </c>
      <c r="B24" s="18" t="s">
        <v>19</v>
      </c>
      <c r="C24" s="19" t="n">
        <f aca="false">SUM(C22:E22)</f>
        <v>32440.35277</v>
      </c>
      <c r="D24" s="19"/>
      <c r="E24" s="19"/>
      <c r="F24" s="19" t="n">
        <f aca="false">SUM(F22:H22)</f>
        <v>30090.918882</v>
      </c>
      <c r="G24" s="19"/>
      <c r="H24" s="19"/>
      <c r="I24" s="19" t="n">
        <f aca="false">SUM(I22:K22)</f>
        <v>29589.48803</v>
      </c>
      <c r="J24" s="19"/>
      <c r="K24" s="19"/>
      <c r="L24" s="19" t="n">
        <f aca="false">SUM(L22:N22)</f>
        <v>28957.123474</v>
      </c>
      <c r="M24" s="19"/>
      <c r="N24" s="19"/>
      <c r="O24" s="19" t="n">
        <f aca="false">SUM(O22:Q22)</f>
        <v>24404.42877</v>
      </c>
      <c r="P24" s="19"/>
      <c r="Q24" s="19"/>
      <c r="R24" s="19" t="n">
        <f aca="false">R22</f>
        <v>145482.311926</v>
      </c>
    </row>
    <row r="25" customFormat="false" ht="15" hidden="false" customHeight="false" outlineLevel="0" collapsed="false">
      <c r="A25" s="20" t="s">
        <v>39</v>
      </c>
      <c r="R25" s="21" t="n">
        <f aca="false">ROUND(R22-Ведомость!P2059,1)+ROUND(R22-'По осям'!AJ25-'По осям'!AJ71-'По осям'!AJ117-'По осям'!AJ163-'По осям'!AJ209,1)</f>
        <v>0</v>
      </c>
      <c r="S25" s="22" t="s">
        <v>40</v>
      </c>
    </row>
    <row r="27" customFormat="false" ht="15" hidden="false" customHeight="false" outlineLevel="0" collapsed="false">
      <c r="A27" s="4" t="s">
        <v>41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customFormat="false" ht="15" hidden="false" customHeight="true" outlineLevel="0" collapsed="false">
      <c r="A28" s="5" t="s">
        <v>42</v>
      </c>
      <c r="B28" s="5" t="s">
        <v>3</v>
      </c>
      <c r="C28" s="5" t="s">
        <v>4</v>
      </c>
      <c r="D28" s="5"/>
      <c r="E28" s="5"/>
      <c r="F28" s="5" t="s">
        <v>5</v>
      </c>
      <c r="G28" s="5"/>
      <c r="H28" s="5"/>
      <c r="I28" s="5" t="s">
        <v>6</v>
      </c>
      <c r="J28" s="5"/>
      <c r="K28" s="5"/>
      <c r="L28" s="5" t="s">
        <v>7</v>
      </c>
      <c r="M28" s="5"/>
      <c r="N28" s="5"/>
      <c r="O28" s="5" t="s">
        <v>8</v>
      </c>
      <c r="P28" s="5"/>
      <c r="Q28" s="5"/>
      <c r="R28" s="5" t="s">
        <v>9</v>
      </c>
    </row>
    <row r="29" customFormat="false" ht="48" hidden="false" customHeight="true" outlineLevel="0" collapsed="false">
      <c r="A29" s="5"/>
      <c r="B29" s="5"/>
      <c r="C29" s="5" t="s">
        <v>12</v>
      </c>
      <c r="D29" s="5" t="s">
        <v>13</v>
      </c>
      <c r="E29" s="5" t="s">
        <v>14</v>
      </c>
      <c r="F29" s="5" t="s">
        <v>12</v>
      </c>
      <c r="G29" s="5" t="s">
        <v>13</v>
      </c>
      <c r="H29" s="5" t="s">
        <v>14</v>
      </c>
      <c r="I29" s="5" t="s">
        <v>12</v>
      </c>
      <c r="J29" s="5" t="s">
        <v>13</v>
      </c>
      <c r="K29" s="5" t="s">
        <v>14</v>
      </c>
      <c r="L29" s="5" t="s">
        <v>12</v>
      </c>
      <c r="M29" s="5" t="s">
        <v>13</v>
      </c>
      <c r="N29" s="5" t="s">
        <v>14</v>
      </c>
      <c r="O29" s="5" t="s">
        <v>12</v>
      </c>
      <c r="P29" s="5" t="s">
        <v>13</v>
      </c>
      <c r="Q29" s="5" t="s">
        <v>14</v>
      </c>
      <c r="R29" s="5"/>
    </row>
    <row r="30" customFormat="false" ht="15" hidden="false" customHeight="false" outlineLevel="0" collapsed="false">
      <c r="A30" s="6" t="s">
        <v>43</v>
      </c>
      <c r="B30" s="7" t="s">
        <v>44</v>
      </c>
      <c r="C30" s="23" t="n">
        <f aca="false">'По осям'!AM31</f>
        <v>43.9216</v>
      </c>
      <c r="D30" s="23" t="n">
        <f aca="false">'По осям'!AP31</f>
        <v>113.26746</v>
      </c>
      <c r="E30" s="23" t="n">
        <f aca="false">'По осям'!AS31</f>
        <v>3.29071718761118</v>
      </c>
      <c r="F30" s="23" t="n">
        <f aca="false">'По осям'!AM77</f>
        <v>39.3936</v>
      </c>
      <c r="G30" s="23" t="n">
        <f aca="false">'По осям'!AP77</f>
        <v>113.4234</v>
      </c>
      <c r="H30" s="23" t="n">
        <f aca="false">'По осям'!AS77</f>
        <v>3.06997095969094</v>
      </c>
      <c r="I30" s="23" t="n">
        <f aca="false">'По осям'!AM123</f>
        <v>39.3936</v>
      </c>
      <c r="J30" s="23" t="n">
        <f aca="false">'По осям'!AP123</f>
        <v>113.4234</v>
      </c>
      <c r="K30" s="23" t="n">
        <f aca="false">'По осям'!AS123</f>
        <v>3.06997095969094</v>
      </c>
      <c r="L30" s="23" t="n">
        <f aca="false">'По осям'!AM169</f>
        <v>39.3936</v>
      </c>
      <c r="M30" s="23" t="n">
        <f aca="false">'По осям'!AP169</f>
        <v>113.4234</v>
      </c>
      <c r="N30" s="23" t="n">
        <f aca="false">'По осям'!AS169</f>
        <v>3.06997095969094</v>
      </c>
      <c r="O30" s="23" t="n">
        <f aca="false">'По осям'!AM215</f>
        <v>39.3936</v>
      </c>
      <c r="P30" s="23" t="n">
        <f aca="false">'По осям'!AP215</f>
        <v>107.64105</v>
      </c>
      <c r="Q30" s="23" t="n">
        <f aca="false">'По осям'!AS215</f>
        <v>3.06997095969094</v>
      </c>
      <c r="R30" s="24" t="n">
        <f aca="false">SUM(C30:Q30)</f>
        <v>778.245311026375</v>
      </c>
    </row>
    <row r="32" customFormat="false" ht="15" hidden="false" customHeight="false" outlineLevel="0" collapsed="false">
      <c r="A32" s="4" t="s">
        <v>45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</row>
    <row r="33" customFormat="false" ht="15" hidden="false" customHeight="true" outlineLevel="0" collapsed="false">
      <c r="A33" s="5" t="s">
        <v>46</v>
      </c>
      <c r="B33" s="5" t="s">
        <v>3</v>
      </c>
      <c r="C33" s="5" t="s">
        <v>4</v>
      </c>
      <c r="D33" s="5"/>
      <c r="E33" s="5"/>
      <c r="F33" s="5" t="s">
        <v>5</v>
      </c>
      <c r="G33" s="5"/>
      <c r="H33" s="5"/>
      <c r="I33" s="5" t="s">
        <v>6</v>
      </c>
      <c r="J33" s="5"/>
      <c r="K33" s="5"/>
      <c r="L33" s="5" t="s">
        <v>7</v>
      </c>
      <c r="M33" s="5"/>
      <c r="N33" s="5"/>
      <c r="O33" s="5" t="s">
        <v>8</v>
      </c>
      <c r="P33" s="5"/>
      <c r="Q33" s="5"/>
      <c r="R33" s="5" t="s">
        <v>9</v>
      </c>
      <c r="S33" s="5" t="s">
        <v>47</v>
      </c>
      <c r="T33" s="5"/>
      <c r="U33" s="5"/>
      <c r="V33" s="5"/>
    </row>
    <row r="34" customFormat="false" ht="48" hidden="false" customHeight="true" outlineLevel="0" collapsed="false">
      <c r="A34" s="5"/>
      <c r="B34" s="5"/>
      <c r="C34" s="5" t="s">
        <v>12</v>
      </c>
      <c r="D34" s="5" t="s">
        <v>13</v>
      </c>
      <c r="E34" s="5" t="s">
        <v>14</v>
      </c>
      <c r="F34" s="5" t="s">
        <v>12</v>
      </c>
      <c r="G34" s="5" t="s">
        <v>13</v>
      </c>
      <c r="H34" s="5" t="s">
        <v>14</v>
      </c>
      <c r="I34" s="5" t="s">
        <v>12</v>
      </c>
      <c r="J34" s="5" t="s">
        <v>13</v>
      </c>
      <c r="K34" s="5" t="s">
        <v>14</v>
      </c>
      <c r="L34" s="5" t="s">
        <v>12</v>
      </c>
      <c r="M34" s="5" t="s">
        <v>13</v>
      </c>
      <c r="N34" s="5" t="s">
        <v>14</v>
      </c>
      <c r="O34" s="5" t="s">
        <v>12</v>
      </c>
      <c r="P34" s="5" t="s">
        <v>13</v>
      </c>
      <c r="Q34" s="5" t="s">
        <v>14</v>
      </c>
      <c r="R34" s="5"/>
      <c r="S34" s="5"/>
      <c r="T34" s="5"/>
      <c r="U34" s="5"/>
      <c r="V34" s="5"/>
    </row>
    <row r="35" customFormat="false" ht="15" hidden="false" customHeight="true" outlineLevel="0" collapsed="false">
      <c r="A35" s="6" t="s">
        <v>48</v>
      </c>
      <c r="B35" s="7" t="s">
        <v>49</v>
      </c>
      <c r="C35" s="25" t="n">
        <f aca="false">'По осям'!AK35</f>
        <v>0</v>
      </c>
      <c r="D35" s="25" t="n">
        <f aca="false">'По осям'!AN35</f>
        <v>0</v>
      </c>
      <c r="E35" s="25" t="n">
        <f aca="false">'По осям'!AQ35</f>
        <v>0</v>
      </c>
      <c r="F35" s="25" t="n">
        <f aca="false">'По осям'!AK81</f>
        <v>0</v>
      </c>
      <c r="G35" s="25" t="n">
        <f aca="false">'По осям'!AN81</f>
        <v>0</v>
      </c>
      <c r="H35" s="25" t="n">
        <f aca="false">'По осям'!AQ81</f>
        <v>0</v>
      </c>
      <c r="I35" s="25" t="n">
        <f aca="false">'По осям'!AK127</f>
        <v>0</v>
      </c>
      <c r="J35" s="25" t="n">
        <f aca="false">'По осям'!AN127</f>
        <v>0</v>
      </c>
      <c r="K35" s="25" t="n">
        <f aca="false">'По осям'!AQ127</f>
        <v>0</v>
      </c>
      <c r="L35" s="25" t="n">
        <f aca="false">'По осям'!AK173</f>
        <v>0</v>
      </c>
      <c r="M35" s="25" t="n">
        <f aca="false">'По осям'!AN173</f>
        <v>0</v>
      </c>
      <c r="N35" s="25" t="n">
        <f aca="false">'По осям'!AQ173</f>
        <v>0</v>
      </c>
      <c r="O35" s="25" t="n">
        <f aca="false">'По осям'!AK219</f>
        <v>42</v>
      </c>
      <c r="P35" s="25" t="n">
        <f aca="false">'По осям'!AN219</f>
        <v>0</v>
      </c>
      <c r="Q35" s="25" t="n">
        <f aca="false">'По осям'!AQ219</f>
        <v>0</v>
      </c>
      <c r="R35" s="26" t="n">
        <f aca="false">SUM(C35:Q35)</f>
        <v>42</v>
      </c>
      <c r="S35" s="20" t="s">
        <v>50</v>
      </c>
      <c r="T35" s="20"/>
      <c r="U35" s="20"/>
      <c r="V35" s="20"/>
    </row>
    <row r="36" customFormat="false" ht="15" hidden="false" customHeight="true" outlineLevel="0" collapsed="false">
      <c r="A36" s="6" t="s">
        <v>51</v>
      </c>
      <c r="B36" s="7" t="s">
        <v>49</v>
      </c>
      <c r="C36" s="25" t="n">
        <f aca="false">'По осям'!AK36</f>
        <v>0</v>
      </c>
      <c r="D36" s="25" t="n">
        <f aca="false">'По осям'!AN36</f>
        <v>0</v>
      </c>
      <c r="E36" s="25" t="n">
        <f aca="false">'По осям'!AQ36</f>
        <v>0</v>
      </c>
      <c r="F36" s="25" t="n">
        <f aca="false">'По осям'!AK82</f>
        <v>0</v>
      </c>
      <c r="G36" s="25" t="n">
        <f aca="false">'По осям'!AN82</f>
        <v>0</v>
      </c>
      <c r="H36" s="25" t="n">
        <f aca="false">'По осям'!AQ82</f>
        <v>0</v>
      </c>
      <c r="I36" s="25" t="n">
        <f aca="false">'По осям'!AK128</f>
        <v>0</v>
      </c>
      <c r="J36" s="25" t="n">
        <f aca="false">'По осям'!AN128</f>
        <v>0</v>
      </c>
      <c r="K36" s="25" t="n">
        <f aca="false">'По осям'!AQ128</f>
        <v>0</v>
      </c>
      <c r="L36" s="25" t="n">
        <f aca="false">'По осям'!AK174</f>
        <v>0</v>
      </c>
      <c r="M36" s="25" t="n">
        <f aca="false">'По осям'!AN174</f>
        <v>0</v>
      </c>
      <c r="N36" s="25" t="n">
        <f aca="false">'По осям'!AQ174</f>
        <v>0</v>
      </c>
      <c r="O36" s="25" t="n">
        <f aca="false">'По осям'!AK220</f>
        <v>16</v>
      </c>
      <c r="P36" s="25" t="n">
        <f aca="false">'По осям'!AN220</f>
        <v>0</v>
      </c>
      <c r="Q36" s="25" t="n">
        <f aca="false">'По осям'!AQ220</f>
        <v>0</v>
      </c>
      <c r="R36" s="26" t="n">
        <f aca="false">SUM(C36:Q36)</f>
        <v>16</v>
      </c>
      <c r="S36" s="20" t="s">
        <v>52</v>
      </c>
      <c r="T36" s="20"/>
      <c r="U36" s="20"/>
      <c r="V36" s="20"/>
    </row>
    <row r="37" customFormat="false" ht="15" hidden="false" customHeight="true" outlineLevel="0" collapsed="false">
      <c r="A37" s="6" t="s">
        <v>53</v>
      </c>
      <c r="B37" s="7" t="s">
        <v>49</v>
      </c>
      <c r="C37" s="25" t="n">
        <f aca="false">'По осям'!AK37</f>
        <v>0</v>
      </c>
      <c r="D37" s="25" t="n">
        <f aca="false">'По осям'!AN37</f>
        <v>0</v>
      </c>
      <c r="E37" s="25" t="n">
        <f aca="false">'По осям'!AQ37</f>
        <v>0</v>
      </c>
      <c r="F37" s="25" t="n">
        <f aca="false">'По осям'!AK83</f>
        <v>0</v>
      </c>
      <c r="G37" s="25" t="n">
        <f aca="false">'По осям'!AN83</f>
        <v>0</v>
      </c>
      <c r="H37" s="25" t="n">
        <f aca="false">'По осям'!AQ83</f>
        <v>0</v>
      </c>
      <c r="I37" s="25" t="n">
        <f aca="false">'По осям'!AK129</f>
        <v>0</v>
      </c>
      <c r="J37" s="25" t="n">
        <f aca="false">'По осям'!AN129</f>
        <v>0</v>
      </c>
      <c r="K37" s="25" t="n">
        <f aca="false">'По осям'!AQ129</f>
        <v>0</v>
      </c>
      <c r="L37" s="25" t="n">
        <f aca="false">'По осям'!AK175</f>
        <v>0</v>
      </c>
      <c r="M37" s="25" t="n">
        <f aca="false">'По осям'!AN175</f>
        <v>0</v>
      </c>
      <c r="N37" s="25" t="n">
        <f aca="false">'По осям'!AQ175</f>
        <v>0</v>
      </c>
      <c r="O37" s="25" t="n">
        <f aca="false">'По осям'!AK221</f>
        <v>8</v>
      </c>
      <c r="P37" s="25" t="n">
        <f aca="false">'По осям'!AN221</f>
        <v>0</v>
      </c>
      <c r="Q37" s="25" t="n">
        <f aca="false">'По осям'!AQ221</f>
        <v>0</v>
      </c>
      <c r="R37" s="26" t="n">
        <f aca="false">SUM(C37:Q37)</f>
        <v>8</v>
      </c>
      <c r="S37" s="20" t="s">
        <v>54</v>
      </c>
      <c r="T37" s="20"/>
      <c r="U37" s="20"/>
      <c r="V37" s="20"/>
    </row>
    <row r="38" customFormat="false" ht="31.5" hidden="false" customHeight="true" outlineLevel="0" collapsed="false">
      <c r="A38" s="6" t="s">
        <v>55</v>
      </c>
      <c r="B38" s="7" t="s">
        <v>49</v>
      </c>
      <c r="C38" s="25" t="n">
        <f aca="false">'По осям'!AK38</f>
        <v>0</v>
      </c>
      <c r="D38" s="25" t="n">
        <f aca="false">'По осям'!AN38</f>
        <v>12</v>
      </c>
      <c r="E38" s="25" t="n">
        <f aca="false">'По осям'!AQ38</f>
        <v>0</v>
      </c>
      <c r="F38" s="25" t="n">
        <f aca="false">'По осям'!AK84</f>
        <v>0</v>
      </c>
      <c r="G38" s="25" t="n">
        <f aca="false">'По осям'!AN84</f>
        <v>16</v>
      </c>
      <c r="H38" s="25" t="n">
        <f aca="false">'По осям'!AQ84</f>
        <v>0</v>
      </c>
      <c r="I38" s="25" t="n">
        <f aca="false">'По осям'!AK130</f>
        <v>0</v>
      </c>
      <c r="J38" s="25" t="n">
        <f aca="false">'По осям'!AN130</f>
        <v>16</v>
      </c>
      <c r="K38" s="25" t="n">
        <f aca="false">'По осям'!AQ130</f>
        <v>0</v>
      </c>
      <c r="L38" s="25" t="n">
        <f aca="false">'По осям'!AK176</f>
        <v>0</v>
      </c>
      <c r="M38" s="25" t="n">
        <f aca="false">'По осям'!AN176</f>
        <v>16</v>
      </c>
      <c r="N38" s="25" t="n">
        <f aca="false">'По осям'!AQ176</f>
        <v>0</v>
      </c>
      <c r="O38" s="25" t="n">
        <f aca="false">'По осям'!AK222</f>
        <v>146</v>
      </c>
      <c r="P38" s="25" t="n">
        <f aca="false">'По осям'!AN222</f>
        <v>16</v>
      </c>
      <c r="Q38" s="25" t="n">
        <f aca="false">'По осям'!AQ222</f>
        <v>0</v>
      </c>
      <c r="R38" s="26" t="n">
        <f aca="false">SUM(C38:Q38)</f>
        <v>222</v>
      </c>
      <c r="S38" s="20" t="s">
        <v>56</v>
      </c>
      <c r="T38" s="20"/>
      <c r="U38" s="20"/>
      <c r="V38" s="20"/>
    </row>
    <row r="39" customFormat="false" ht="31.5" hidden="false" customHeight="true" outlineLevel="0" collapsed="false">
      <c r="A39" s="6" t="s">
        <v>57</v>
      </c>
      <c r="B39" s="7" t="s">
        <v>49</v>
      </c>
      <c r="C39" s="25" t="n">
        <f aca="false">'По осям'!AK39</f>
        <v>0</v>
      </c>
      <c r="D39" s="25" t="n">
        <f aca="false">'По осям'!AN39</f>
        <v>38</v>
      </c>
      <c r="E39" s="25" t="n">
        <f aca="false">'По осям'!AQ39</f>
        <v>0</v>
      </c>
      <c r="F39" s="25" t="n">
        <f aca="false">'По осям'!AK85</f>
        <v>0</v>
      </c>
      <c r="G39" s="25" t="n">
        <f aca="false">'По осям'!AN85</f>
        <v>38</v>
      </c>
      <c r="H39" s="25" t="n">
        <f aca="false">'По осям'!AQ85</f>
        <v>0</v>
      </c>
      <c r="I39" s="25" t="n">
        <f aca="false">'По осям'!AK131</f>
        <v>0</v>
      </c>
      <c r="J39" s="25" t="n">
        <f aca="false">'По осям'!AN131</f>
        <v>38</v>
      </c>
      <c r="K39" s="25" t="n">
        <f aca="false">'По осям'!AQ131</f>
        <v>0</v>
      </c>
      <c r="L39" s="25" t="n">
        <f aca="false">'По осям'!AK177</f>
        <v>0</v>
      </c>
      <c r="M39" s="25" t="n">
        <f aca="false">'По осям'!AN177</f>
        <v>36</v>
      </c>
      <c r="N39" s="25" t="n">
        <f aca="false">'По осям'!AQ177</f>
        <v>0</v>
      </c>
      <c r="O39" s="25" t="n">
        <f aca="false">'По осям'!AK223</f>
        <v>54</v>
      </c>
      <c r="P39" s="25" t="n">
        <f aca="false">'По осям'!AN223</f>
        <v>2</v>
      </c>
      <c r="Q39" s="25" t="n">
        <f aca="false">'По осям'!AQ223</f>
        <v>0</v>
      </c>
      <c r="R39" s="26" t="n">
        <f aca="false">SUM(C39:Q39)</f>
        <v>206</v>
      </c>
      <c r="S39" s="20" t="s">
        <v>58</v>
      </c>
      <c r="T39" s="20"/>
      <c r="U39" s="20"/>
      <c r="V39" s="20"/>
    </row>
    <row r="40" customFormat="false" ht="31.5" hidden="false" customHeight="true" outlineLevel="0" collapsed="false">
      <c r="A40" s="6" t="s">
        <v>59</v>
      </c>
      <c r="B40" s="7" t="s">
        <v>49</v>
      </c>
      <c r="C40" s="25" t="n">
        <f aca="false">'По осям'!AK40</f>
        <v>0</v>
      </c>
      <c r="D40" s="25" t="n">
        <f aca="false">'По осям'!AN40</f>
        <v>88</v>
      </c>
      <c r="E40" s="25" t="n">
        <f aca="false">'По осям'!AQ40</f>
        <v>34</v>
      </c>
      <c r="F40" s="25" t="n">
        <f aca="false">'По осям'!AK86</f>
        <v>0</v>
      </c>
      <c r="G40" s="25" t="n">
        <f aca="false">'По осям'!AN86</f>
        <v>86</v>
      </c>
      <c r="H40" s="25" t="n">
        <f aca="false">'По осям'!AQ86</f>
        <v>16</v>
      </c>
      <c r="I40" s="25" t="n">
        <f aca="false">'По осям'!AK132</f>
        <v>0</v>
      </c>
      <c r="J40" s="25" t="n">
        <f aca="false">'По осям'!AN132</f>
        <v>86</v>
      </c>
      <c r="K40" s="25" t="n">
        <f aca="false">'По осям'!AQ132</f>
        <v>16</v>
      </c>
      <c r="L40" s="25" t="n">
        <f aca="false">'По осям'!AK178</f>
        <v>0</v>
      </c>
      <c r="M40" s="25" t="n">
        <f aca="false">'По осям'!AN178</f>
        <v>72</v>
      </c>
      <c r="N40" s="25" t="n">
        <f aca="false">'По осям'!AQ178</f>
        <v>16</v>
      </c>
      <c r="O40" s="25" t="n">
        <f aca="false">'По осям'!AK224</f>
        <v>12</v>
      </c>
      <c r="P40" s="25" t="n">
        <f aca="false">'По осям'!AN224</f>
        <v>74</v>
      </c>
      <c r="Q40" s="25" t="n">
        <f aca="false">'По осям'!AQ224</f>
        <v>16</v>
      </c>
      <c r="R40" s="26" t="n">
        <f aca="false">SUM(C40:Q40)</f>
        <v>516</v>
      </c>
      <c r="S40" s="20" t="s">
        <v>60</v>
      </c>
      <c r="T40" s="20"/>
      <c r="U40" s="20"/>
      <c r="V40" s="20"/>
    </row>
    <row r="41" customFormat="false" ht="31.5" hidden="false" customHeight="true" outlineLevel="0" collapsed="false">
      <c r="A41" s="6" t="s">
        <v>61</v>
      </c>
      <c r="B41" s="7" t="s">
        <v>49</v>
      </c>
      <c r="C41" s="25" t="n">
        <f aca="false">'По осям'!AK41</f>
        <v>0</v>
      </c>
      <c r="D41" s="25" t="n">
        <f aca="false">'По осям'!AN41</f>
        <v>86</v>
      </c>
      <c r="E41" s="25" t="n">
        <f aca="false">'По осям'!AQ41</f>
        <v>0</v>
      </c>
      <c r="F41" s="25" t="n">
        <f aca="false">'По осям'!AK87</f>
        <v>0</v>
      </c>
      <c r="G41" s="25" t="n">
        <f aca="false">'По осям'!AN87</f>
        <v>82</v>
      </c>
      <c r="H41" s="25" t="n">
        <f aca="false">'По осям'!AQ87</f>
        <v>0</v>
      </c>
      <c r="I41" s="25" t="n">
        <f aca="false">'По осям'!AK133</f>
        <v>0</v>
      </c>
      <c r="J41" s="25" t="n">
        <f aca="false">'По осям'!AN133</f>
        <v>84</v>
      </c>
      <c r="K41" s="25" t="n">
        <f aca="false">'По осям'!AQ133</f>
        <v>0</v>
      </c>
      <c r="L41" s="25" t="n">
        <f aca="false">'По осям'!AK179</f>
        <v>0</v>
      </c>
      <c r="M41" s="25" t="n">
        <f aca="false">'По осям'!AN179</f>
        <v>86</v>
      </c>
      <c r="N41" s="25" t="n">
        <f aca="false">'По осям'!AQ179</f>
        <v>0</v>
      </c>
      <c r="O41" s="25" t="n">
        <f aca="false">'По осям'!AK225</f>
        <v>36</v>
      </c>
      <c r="P41" s="25" t="n">
        <f aca="false">'По осям'!AN225</f>
        <v>74</v>
      </c>
      <c r="Q41" s="25" t="n">
        <f aca="false">'По осям'!AQ225</f>
        <v>0</v>
      </c>
      <c r="R41" s="26" t="n">
        <f aca="false">SUM(C41:Q41)</f>
        <v>448</v>
      </c>
      <c r="S41" s="20" t="s">
        <v>62</v>
      </c>
      <c r="T41" s="20"/>
      <c r="U41" s="20"/>
      <c r="V41" s="20"/>
    </row>
    <row r="42" customFormat="false" ht="15" hidden="false" customHeight="true" outlineLevel="0" collapsed="false">
      <c r="A42" s="6" t="s">
        <v>63</v>
      </c>
      <c r="B42" s="7" t="s">
        <v>49</v>
      </c>
      <c r="C42" s="25" t="n">
        <f aca="false">'По осям'!AK42</f>
        <v>0</v>
      </c>
      <c r="D42" s="25" t="n">
        <f aca="false">'По осям'!AN42</f>
        <v>6</v>
      </c>
      <c r="E42" s="25" t="n">
        <f aca="false">'По осям'!AQ42</f>
        <v>0</v>
      </c>
      <c r="F42" s="25" t="n">
        <f aca="false">'По осям'!AK88</f>
        <v>0</v>
      </c>
      <c r="G42" s="25" t="n">
        <f aca="false">'По осям'!AN88</f>
        <v>12</v>
      </c>
      <c r="H42" s="25" t="n">
        <f aca="false">'По осям'!AQ88</f>
        <v>0</v>
      </c>
      <c r="I42" s="25" t="n">
        <f aca="false">'По осям'!AK134</f>
        <v>0</v>
      </c>
      <c r="J42" s="25" t="n">
        <f aca="false">'По осям'!AN134</f>
        <v>8</v>
      </c>
      <c r="K42" s="25" t="n">
        <f aca="false">'По осям'!AQ134</f>
        <v>0</v>
      </c>
      <c r="L42" s="25" t="n">
        <f aca="false">'По осям'!AK180</f>
        <v>0</v>
      </c>
      <c r="M42" s="25" t="n">
        <f aca="false">'По осям'!AN180</f>
        <v>4</v>
      </c>
      <c r="N42" s="25" t="n">
        <f aca="false">'По осям'!AQ180</f>
        <v>0</v>
      </c>
      <c r="O42" s="25" t="n">
        <f aca="false">'По осям'!AK226</f>
        <v>36</v>
      </c>
      <c r="P42" s="25" t="n">
        <f aca="false">'По осям'!AN226</f>
        <v>0</v>
      </c>
      <c r="Q42" s="25" t="n">
        <f aca="false">'По осям'!AQ226</f>
        <v>0</v>
      </c>
      <c r="R42" s="26" t="n">
        <f aca="false">SUM(C42:Q42)</f>
        <v>66</v>
      </c>
      <c r="S42" s="20" t="s">
        <v>64</v>
      </c>
      <c r="T42" s="20"/>
      <c r="U42" s="20"/>
      <c r="V42" s="20"/>
    </row>
    <row r="43" customFormat="false" ht="15" hidden="false" customHeight="true" outlineLevel="0" collapsed="false">
      <c r="A43" s="6" t="s">
        <v>65</v>
      </c>
      <c r="B43" s="7" t="s">
        <v>19</v>
      </c>
      <c r="C43" s="27" t="n">
        <f aca="false">SUMPRODUCT(C35:C42,Исходные!$C$63:$C$70)</f>
        <v>0</v>
      </c>
      <c r="D43" s="27" t="n">
        <f aca="false">SUMPRODUCT(D35:D42,Исходные!$C$63:$C$70)</f>
        <v>199.5</v>
      </c>
      <c r="E43" s="27" t="n">
        <f aca="false">SUMPRODUCT(E35:E42,Исходные!$C$63:$C$70)</f>
        <v>26.18</v>
      </c>
      <c r="F43" s="27" t="n">
        <f aca="false">SUMPRODUCT(F35:F42,Исходные!$C$63:$C$70)</f>
        <v>0</v>
      </c>
      <c r="G43" s="27" t="n">
        <f aca="false">SUMPRODUCT(G35:G42,Исходные!$C$63:$C$70)</f>
        <v>204.7</v>
      </c>
      <c r="H43" s="27" t="n">
        <f aca="false">SUMPRODUCT(H35:H42,Исходные!$C$63:$C$70)</f>
        <v>12.32</v>
      </c>
      <c r="I43" s="27" t="n">
        <f aca="false">SUMPRODUCT(I35:I42,Исходные!$C$63:$C$70)</f>
        <v>0</v>
      </c>
      <c r="J43" s="27" t="n">
        <f aca="false">SUMPRODUCT(J35:J42,Исходные!$C$63:$C$70)</f>
        <v>200.54</v>
      </c>
      <c r="K43" s="27" t="n">
        <f aca="false">SUMPRODUCT(K35:K42,Исходные!$C$63:$C$70)</f>
        <v>12.32</v>
      </c>
      <c r="L43" s="27" t="n">
        <f aca="false">SUMPRODUCT(L35:L42,Исходные!$C$63:$C$70)</f>
        <v>0</v>
      </c>
      <c r="M43" s="27" t="n">
        <f aca="false">SUMPRODUCT(M35:M42,Исходные!$C$63:$C$70)</f>
        <v>184.4</v>
      </c>
      <c r="N43" s="27" t="n">
        <f aca="false">SUMPRODUCT(N35:N42,Исходные!$C$63:$C$70)</f>
        <v>12.32</v>
      </c>
      <c r="O43" s="27" t="n">
        <f aca="false">SUMPRODUCT(O35:O42,Исходные!$C$63:$C$70)</f>
        <v>209.98</v>
      </c>
      <c r="P43" s="27" t="n">
        <f aca="false">SUMPRODUCT(P35:P42,Исходные!$C$63:$C$70)</f>
        <v>145.98</v>
      </c>
      <c r="Q43" s="27" t="n">
        <f aca="false">SUMPRODUCT(Q35:Q42,Исходные!$C$63:$C$70)</f>
        <v>12.32</v>
      </c>
      <c r="R43" s="28" t="n">
        <f aca="false">SUM(C43:Q43)</f>
        <v>1220.56</v>
      </c>
      <c r="S43" s="20" t="s">
        <v>66</v>
      </c>
      <c r="T43" s="20"/>
      <c r="U43" s="20"/>
      <c r="V43" s="20"/>
    </row>
    <row r="44" customFormat="false" ht="48" hidden="false" customHeight="true" outlineLevel="0" collapsed="false">
      <c r="A44" s="6" t="s">
        <v>67</v>
      </c>
      <c r="B44" s="7" t="s">
        <v>49</v>
      </c>
      <c r="C44" s="25" t="n">
        <f aca="false">'По осям'!AK43</f>
        <v>80</v>
      </c>
      <c r="D44" s="25" t="n">
        <f aca="false">'По осям'!AN43</f>
        <v>0</v>
      </c>
      <c r="E44" s="25" t="n">
        <f aca="false">'По осям'!AQ43</f>
        <v>0</v>
      </c>
      <c r="F44" s="25" t="n">
        <f aca="false">'По осям'!AK89</f>
        <v>44</v>
      </c>
      <c r="G44" s="25" t="n">
        <f aca="false">'По осям'!AN89</f>
        <v>0</v>
      </c>
      <c r="H44" s="25" t="n">
        <f aca="false">'По осям'!AQ89</f>
        <v>0</v>
      </c>
      <c r="I44" s="25" t="n">
        <f aca="false">'По осям'!AK135</f>
        <v>44</v>
      </c>
      <c r="J44" s="25" t="n">
        <f aca="false">'По осям'!AN135</f>
        <v>0</v>
      </c>
      <c r="K44" s="25" t="n">
        <f aca="false">'По осям'!AQ135</f>
        <v>0</v>
      </c>
      <c r="L44" s="25" t="n">
        <f aca="false">'По осям'!AK181</f>
        <v>44</v>
      </c>
      <c r="M44" s="25" t="n">
        <f aca="false">'По осям'!AN181</f>
        <v>0</v>
      </c>
      <c r="N44" s="25" t="n">
        <f aca="false">'По осям'!AQ181</f>
        <v>0</v>
      </c>
      <c r="O44" s="25" t="n">
        <f aca="false">'По осям'!AK227</f>
        <v>44</v>
      </c>
      <c r="P44" s="25" t="n">
        <f aca="false">'По осям'!AN227</f>
        <v>0</v>
      </c>
      <c r="Q44" s="25" t="n">
        <f aca="false">'По осям'!AQ227</f>
        <v>0</v>
      </c>
      <c r="R44" s="26" t="n">
        <f aca="false">SUM(C44:Q44)</f>
        <v>256</v>
      </c>
      <c r="S44" s="20" t="s">
        <v>68</v>
      </c>
      <c r="T44" s="20"/>
      <c r="U44" s="20"/>
      <c r="V44" s="20"/>
    </row>
    <row r="45" customFormat="false" ht="15" hidden="false" customHeight="true" outlineLevel="0" collapsed="false">
      <c r="A45" s="6" t="s">
        <v>69</v>
      </c>
      <c r="B45" s="7" t="s">
        <v>49</v>
      </c>
      <c r="C45" s="25" t="n">
        <f aca="false">'По осям'!AK44</f>
        <v>104</v>
      </c>
      <c r="D45" s="25" t="n">
        <f aca="false">'По осям'!AN44</f>
        <v>52</v>
      </c>
      <c r="E45" s="25" t="n">
        <f aca="false">'По осям'!AQ44</f>
        <v>0</v>
      </c>
      <c r="F45" s="25" t="n">
        <f aca="false">'По осям'!AK90</f>
        <v>36</v>
      </c>
      <c r="G45" s="25" t="n">
        <f aca="false">'По осям'!AN90</f>
        <v>52</v>
      </c>
      <c r="H45" s="25" t="n">
        <f aca="false">'По осям'!AQ90</f>
        <v>0</v>
      </c>
      <c r="I45" s="25" t="n">
        <f aca="false">'По осям'!AK136</f>
        <v>36</v>
      </c>
      <c r="J45" s="25" t="n">
        <f aca="false">'По осям'!AN136</f>
        <v>52</v>
      </c>
      <c r="K45" s="25" t="n">
        <f aca="false">'По осям'!AQ136</f>
        <v>0</v>
      </c>
      <c r="L45" s="25" t="n">
        <f aca="false">'По осям'!AK182</f>
        <v>36</v>
      </c>
      <c r="M45" s="25" t="n">
        <f aca="false">'По осям'!AN182</f>
        <v>52</v>
      </c>
      <c r="N45" s="25" t="n">
        <f aca="false">'По осям'!AQ182</f>
        <v>0</v>
      </c>
      <c r="O45" s="25" t="n">
        <f aca="false">'По осям'!AK228</f>
        <v>36</v>
      </c>
      <c r="P45" s="25" t="n">
        <f aca="false">'По осям'!AN228</f>
        <v>52</v>
      </c>
      <c r="Q45" s="25" t="n">
        <f aca="false">'По осям'!AQ228</f>
        <v>0</v>
      </c>
      <c r="R45" s="26" t="n">
        <f aca="false">SUM(C45:Q45)</f>
        <v>508</v>
      </c>
      <c r="S45" s="20" t="s">
        <v>70</v>
      </c>
      <c r="T45" s="20"/>
      <c r="U45" s="20"/>
      <c r="V45" s="20"/>
    </row>
    <row r="46" customFormat="false" ht="15" hidden="false" customHeight="true" outlineLevel="0" collapsed="false">
      <c r="A46" s="6" t="s">
        <v>71</v>
      </c>
      <c r="B46" s="7" t="s">
        <v>49</v>
      </c>
      <c r="C46" s="25" t="n">
        <f aca="false">'По осям'!AK45</f>
        <v>36</v>
      </c>
      <c r="D46" s="25" t="n">
        <f aca="false">'По осям'!AN45</f>
        <v>40</v>
      </c>
      <c r="E46" s="25" t="n">
        <f aca="false">'По осям'!AQ45</f>
        <v>0</v>
      </c>
      <c r="F46" s="25" t="n">
        <f aca="false">'По осям'!AK91</f>
        <v>60</v>
      </c>
      <c r="G46" s="25" t="n">
        <f aca="false">'По осям'!AN91</f>
        <v>40</v>
      </c>
      <c r="H46" s="25" t="n">
        <f aca="false">'По осям'!AQ91</f>
        <v>0</v>
      </c>
      <c r="I46" s="25" t="n">
        <f aca="false">'По осям'!AK137</f>
        <v>30</v>
      </c>
      <c r="J46" s="25" t="n">
        <f aca="false">'По осям'!AN137</f>
        <v>40</v>
      </c>
      <c r="K46" s="25" t="n">
        <f aca="false">'По осям'!AQ137</f>
        <v>0</v>
      </c>
      <c r="L46" s="25" t="n">
        <f aca="false">'По осям'!AK183</f>
        <v>12</v>
      </c>
      <c r="M46" s="25" t="n">
        <f aca="false">'По осям'!AN183</f>
        <v>42</v>
      </c>
      <c r="N46" s="25" t="n">
        <f aca="false">'По осям'!AQ183</f>
        <v>0</v>
      </c>
      <c r="O46" s="25" t="n">
        <f aca="false">'По осям'!AK229</f>
        <v>12</v>
      </c>
      <c r="P46" s="25" t="n">
        <f aca="false">'По осям'!AN229</f>
        <v>40</v>
      </c>
      <c r="Q46" s="25" t="n">
        <f aca="false">'По осям'!AQ229</f>
        <v>0</v>
      </c>
      <c r="R46" s="26" t="n">
        <f aca="false">SUM(C46:Q46)</f>
        <v>352</v>
      </c>
      <c r="S46" s="20" t="s">
        <v>70</v>
      </c>
      <c r="T46" s="20"/>
      <c r="U46" s="20"/>
      <c r="V46" s="20"/>
    </row>
    <row r="47" customFormat="false" ht="15" hidden="false" customHeight="true" outlineLevel="0" collapsed="false">
      <c r="A47" s="6" t="s">
        <v>72</v>
      </c>
      <c r="B47" s="7" t="s">
        <v>49</v>
      </c>
      <c r="C47" s="25" t="n">
        <f aca="false">'По осям'!AK46</f>
        <v>36</v>
      </c>
      <c r="D47" s="25" t="n">
        <f aca="false">'По осям'!AN46</f>
        <v>0</v>
      </c>
      <c r="E47" s="25" t="n">
        <f aca="false">'По осям'!AQ46</f>
        <v>0</v>
      </c>
      <c r="F47" s="25" t="n">
        <f aca="false">'По осям'!AK92</f>
        <v>6</v>
      </c>
      <c r="G47" s="25" t="n">
        <f aca="false">'По осям'!AN92</f>
        <v>0</v>
      </c>
      <c r="H47" s="25" t="n">
        <f aca="false">'По осям'!AQ92</f>
        <v>0</v>
      </c>
      <c r="I47" s="25" t="n">
        <f aca="false">'По осям'!AK138</f>
        <v>36</v>
      </c>
      <c r="J47" s="25" t="n">
        <f aca="false">'По осям'!AN138</f>
        <v>0</v>
      </c>
      <c r="K47" s="25" t="n">
        <f aca="false">'По осям'!AQ138</f>
        <v>0</v>
      </c>
      <c r="L47" s="25" t="n">
        <f aca="false">'По осям'!AK184</f>
        <v>54</v>
      </c>
      <c r="M47" s="25" t="n">
        <f aca="false">'По осям'!AN184</f>
        <v>0</v>
      </c>
      <c r="N47" s="25" t="n">
        <f aca="false">'По осям'!AQ184</f>
        <v>0</v>
      </c>
      <c r="O47" s="25" t="n">
        <f aca="false">'По осям'!AK230</f>
        <v>54</v>
      </c>
      <c r="P47" s="25" t="n">
        <f aca="false">'По осям'!AN230</f>
        <v>0</v>
      </c>
      <c r="Q47" s="25" t="n">
        <f aca="false">'По осям'!AQ230</f>
        <v>0</v>
      </c>
      <c r="R47" s="26" t="n">
        <f aca="false">SUM(C47:Q47)</f>
        <v>186</v>
      </c>
      <c r="S47" s="20" t="s">
        <v>70</v>
      </c>
      <c r="T47" s="20"/>
      <c r="U47" s="20"/>
      <c r="V47" s="20"/>
    </row>
    <row r="48" customFormat="false" ht="15" hidden="false" customHeight="true" outlineLevel="0" collapsed="false">
      <c r="A48" s="6" t="s">
        <v>73</v>
      </c>
      <c r="B48" s="7" t="s">
        <v>49</v>
      </c>
      <c r="C48" s="25" t="n">
        <f aca="false">'По осям'!AK47</f>
        <v>166</v>
      </c>
      <c r="D48" s="25" t="n">
        <f aca="false">'По осям'!AN47</f>
        <v>0</v>
      </c>
      <c r="E48" s="25" t="n">
        <f aca="false">'По осям'!AQ47</f>
        <v>0</v>
      </c>
      <c r="F48" s="25" t="n">
        <f aca="false">'По осям'!AK93</f>
        <v>164</v>
      </c>
      <c r="G48" s="25" t="n">
        <f aca="false">'По осям'!AN93</f>
        <v>0</v>
      </c>
      <c r="H48" s="25" t="n">
        <f aca="false">'По осям'!AQ93</f>
        <v>0</v>
      </c>
      <c r="I48" s="25" t="n">
        <f aca="false">'По осям'!AK139</f>
        <v>160</v>
      </c>
      <c r="J48" s="25" t="n">
        <f aca="false">'По осям'!AN139</f>
        <v>0</v>
      </c>
      <c r="K48" s="25" t="n">
        <f aca="false">'По осям'!AQ139</f>
        <v>0</v>
      </c>
      <c r="L48" s="25" t="n">
        <f aca="false">'По осям'!AK185</f>
        <v>160</v>
      </c>
      <c r="M48" s="25" t="n">
        <f aca="false">'По осям'!AN185</f>
        <v>0</v>
      </c>
      <c r="N48" s="25" t="n">
        <f aca="false">'По осям'!AQ185</f>
        <v>0</v>
      </c>
      <c r="O48" s="25" t="n">
        <f aca="false">'По осям'!AK231</f>
        <v>162</v>
      </c>
      <c r="P48" s="25" t="n">
        <f aca="false">'По осям'!AN231</f>
        <v>0</v>
      </c>
      <c r="Q48" s="25" t="n">
        <f aca="false">'По осям'!AQ231</f>
        <v>0</v>
      </c>
      <c r="R48" s="26" t="n">
        <f aca="false">SUM(C48:Q48)</f>
        <v>812</v>
      </c>
      <c r="S48" s="20" t="s">
        <v>70</v>
      </c>
      <c r="T48" s="20"/>
      <c r="U48" s="20"/>
      <c r="V48" s="20"/>
    </row>
    <row r="49" customFormat="false" ht="31.5" hidden="false" customHeight="true" outlineLevel="0" collapsed="false">
      <c r="A49" s="6" t="s">
        <v>74</v>
      </c>
      <c r="B49" s="7" t="s">
        <v>19</v>
      </c>
      <c r="C49" s="27" t="n">
        <f aca="false">ROUND(C22*Исходные!$B$16*Исходные!$B$82/1000,1)</f>
        <v>70.4</v>
      </c>
      <c r="D49" s="27" t="n">
        <f aca="false">ROUND(D22*Исходные!$B$16*Исходные!$B$82/1000,1)</f>
        <v>166.6</v>
      </c>
      <c r="E49" s="27" t="n">
        <f aca="false">ROUND(E22*Исходные!$B$16*Исходные!$B$82/1000,1)</f>
        <v>6</v>
      </c>
      <c r="F49" s="27" t="n">
        <f aca="false">ROUND(F22*Исходные!$B$16*Исходные!$B$82/1000,1)</f>
        <v>49.3</v>
      </c>
      <c r="G49" s="27" t="n">
        <f aca="false">ROUND(G22*Исходные!$B$16*Исходные!$B$82/1000,1)</f>
        <v>170.2</v>
      </c>
      <c r="H49" s="27" t="n">
        <f aca="false">ROUND(H22*Исходные!$B$16*Исходные!$B$82/1000,1)</f>
        <v>5.9</v>
      </c>
      <c r="I49" s="27" t="n">
        <f aca="false">ROUND(I22*Исходные!$B$16*Исходные!$B$82/1000,1)</f>
        <v>47.3</v>
      </c>
      <c r="J49" s="27" t="n">
        <f aca="false">ROUND(J22*Исходные!$B$16*Исходные!$B$82/1000,1)</f>
        <v>168.5</v>
      </c>
      <c r="K49" s="27" t="n">
        <f aca="false">ROUND(K22*Исходные!$B$16*Исходные!$B$82/1000,1)</f>
        <v>5.9</v>
      </c>
      <c r="L49" s="27" t="n">
        <f aca="false">ROUND(L22*Исходные!$B$16*Исходные!$B$82/1000,1)</f>
        <v>45.1</v>
      </c>
      <c r="M49" s="27" t="n">
        <f aca="false">ROUND(M22*Исходные!$B$16*Исходные!$B$82/1000,1)</f>
        <v>165.9</v>
      </c>
      <c r="N49" s="27" t="n">
        <f aca="false">ROUND(N22*Исходные!$B$16*Исходные!$B$82/1000,1)</f>
        <v>5.9</v>
      </c>
      <c r="O49" s="27" t="n">
        <f aca="false">ROUND(O22*Исходные!$B$16*Исходные!$B$82/1000,1)</f>
        <v>35.7</v>
      </c>
      <c r="P49" s="27" t="n">
        <f aca="false">ROUND(P22*Исходные!$B$16*Исходные!$B$82/1000,1)</f>
        <v>141.2</v>
      </c>
      <c r="Q49" s="27" t="n">
        <f aca="false">ROUND(Q22*Исходные!$B$16*Исходные!$B$82/1000,1)</f>
        <v>5.9</v>
      </c>
      <c r="R49" s="28" t="n">
        <f aca="false">SUM(C49:Q49)</f>
        <v>1089.8</v>
      </c>
      <c r="S49" s="20" t="s">
        <v>75</v>
      </c>
      <c r="T49" s="20"/>
      <c r="U49" s="20"/>
      <c r="V49" s="20"/>
    </row>
    <row r="50" customFormat="false" ht="15" hidden="false" customHeight="true" outlineLevel="0" collapsed="false">
      <c r="A50" s="6" t="s">
        <v>76</v>
      </c>
      <c r="B50" s="7" t="s">
        <v>19</v>
      </c>
      <c r="C50" s="27" t="n">
        <f aca="false">ROUND(C22*Исходные!$B$16*Исходные!$B$83/1000,1)</f>
        <v>110.6</v>
      </c>
      <c r="D50" s="27" t="n">
        <f aca="false">ROUND(D22*Исходные!$B$16*Исходные!$B$83/1000,1)</f>
        <v>261.8</v>
      </c>
      <c r="E50" s="27" t="n">
        <f aca="false">ROUND(E22*Исходные!$B$16*Исходные!$B$83/1000,1)</f>
        <v>9.5</v>
      </c>
      <c r="F50" s="27" t="n">
        <f aca="false">ROUND(F22*Исходные!$B$16*Исходные!$B$83/1000,1)</f>
        <v>77.4</v>
      </c>
      <c r="G50" s="27" t="n">
        <f aca="false">ROUND(G22*Исходные!$B$16*Исходные!$B$83/1000,1)</f>
        <v>267.5</v>
      </c>
      <c r="H50" s="27" t="n">
        <f aca="false">ROUND(H22*Исходные!$B$16*Исходные!$B$83/1000,1)</f>
        <v>9.2</v>
      </c>
      <c r="I50" s="27" t="n">
        <f aca="false">ROUND(I22*Исходные!$B$16*Исходные!$B$83/1000,1)</f>
        <v>74.3</v>
      </c>
      <c r="J50" s="27" t="n">
        <f aca="false">ROUND(J22*Исходные!$B$16*Исходные!$B$83/1000,1)</f>
        <v>264.8</v>
      </c>
      <c r="K50" s="27" t="n">
        <f aca="false">ROUND(K22*Исходные!$B$16*Исходные!$B$83/1000,1)</f>
        <v>9.2</v>
      </c>
      <c r="L50" s="27" t="n">
        <f aca="false">ROUND(L22*Исходные!$B$16*Исходные!$B$83/1000,1)</f>
        <v>70.9</v>
      </c>
      <c r="M50" s="27" t="n">
        <f aca="false">ROUND(M22*Исходные!$B$16*Исходные!$B$83/1000,1)</f>
        <v>260.7</v>
      </c>
      <c r="N50" s="27" t="n">
        <f aca="false">ROUND(N22*Исходные!$B$16*Исходные!$B$83/1000,1)</f>
        <v>9.2</v>
      </c>
      <c r="O50" s="27" t="n">
        <f aca="false">ROUND(O22*Исходные!$B$16*Исходные!$B$83/1000,1)</f>
        <v>56.1</v>
      </c>
      <c r="P50" s="27" t="n">
        <f aca="false">ROUND(P22*Исходные!$B$16*Исходные!$B$83/1000,1)</f>
        <v>221.9</v>
      </c>
      <c r="Q50" s="27" t="n">
        <f aca="false">ROUND(Q22*Исходные!$B$16*Исходные!$B$83/1000,1)</f>
        <v>9.2</v>
      </c>
      <c r="R50" s="28" t="n">
        <f aca="false">SUM(C50:Q50)</f>
        <v>1712.3</v>
      </c>
      <c r="S50" s="20" t="s">
        <v>77</v>
      </c>
      <c r="T50" s="20"/>
      <c r="U50" s="20"/>
      <c r="V50" s="20"/>
    </row>
    <row r="51" customFormat="false" ht="15" hidden="false" customHeight="true" outlineLevel="0" collapsed="false">
      <c r="A51" s="6" t="s">
        <v>78</v>
      </c>
      <c r="B51" s="7" t="s">
        <v>19</v>
      </c>
      <c r="C51" s="27" t="n">
        <f aca="false">ROUND(Исходные!$B$89*Исходные!$B$74/Исходные!$B$73,0)</f>
        <v>418</v>
      </c>
      <c r="D51" s="29"/>
      <c r="E51" s="29"/>
      <c r="F51" s="27" t="n">
        <f aca="false">ROUND(Исходные!$B$89*Исходные!$B$75/Исходные!$B$73,0)</f>
        <v>418</v>
      </c>
      <c r="G51" s="29"/>
      <c r="H51" s="29"/>
      <c r="I51" s="27" t="n">
        <f aca="false">ROUND(Исходные!$B$89*Исходные!$B$76/Исходные!$B$73,0)</f>
        <v>418</v>
      </c>
      <c r="J51" s="29"/>
      <c r="K51" s="29"/>
      <c r="L51" s="27" t="n">
        <f aca="false">ROUND(Исходные!$B$89*Исходные!$B$77/Исходные!$B$73,0)</f>
        <v>418</v>
      </c>
      <c r="M51" s="29"/>
      <c r="N51" s="29"/>
      <c r="O51" s="27" t="n">
        <f aca="false">ROUND(Исходные!$B$89*Исходные!$B$78/Исходные!$B$73,0)</f>
        <v>391</v>
      </c>
      <c r="P51" s="29"/>
      <c r="Q51" s="29"/>
      <c r="R51" s="28" t="n">
        <f aca="false">SUM(C51:Q51)</f>
        <v>2063</v>
      </c>
      <c r="S51" s="20" t="s">
        <v>79</v>
      </c>
      <c r="T51" s="20"/>
      <c r="U51" s="20"/>
      <c r="V51" s="20"/>
    </row>
    <row r="52" customFormat="false" ht="15" hidden="false" customHeight="true" outlineLevel="0" collapsed="false">
      <c r="A52" s="6" t="s">
        <v>80</v>
      </c>
      <c r="B52" s="7" t="s">
        <v>19</v>
      </c>
      <c r="C52" s="27" t="n">
        <f aca="false">ROUND(Исходные!$B$90*Исходные!$B$74/Исходные!$B$73,0)</f>
        <v>167</v>
      </c>
      <c r="D52" s="29"/>
      <c r="E52" s="29"/>
      <c r="F52" s="27" t="n">
        <f aca="false">ROUND(Исходные!$B$90*Исходные!$B$75/Исходные!$B$73,0)</f>
        <v>167</v>
      </c>
      <c r="G52" s="29"/>
      <c r="H52" s="29"/>
      <c r="I52" s="27" t="n">
        <f aca="false">ROUND(Исходные!$B$90*Исходные!$B$76/Исходные!$B$73,0)</f>
        <v>167</v>
      </c>
      <c r="J52" s="29"/>
      <c r="K52" s="29"/>
      <c r="L52" s="27" t="n">
        <f aca="false">ROUND(Исходные!$B$90*Исходные!$B$77/Исходные!$B$73,0)</f>
        <v>167</v>
      </c>
      <c r="M52" s="29"/>
      <c r="N52" s="29"/>
      <c r="O52" s="27" t="n">
        <f aca="false">ROUND(Исходные!$B$90*Исходные!$B$78/Исходные!$B$73,0)</f>
        <v>156</v>
      </c>
      <c r="P52" s="29"/>
      <c r="Q52" s="29"/>
      <c r="R52" s="28" t="n">
        <f aca="false">SUM(C52:Q52)</f>
        <v>824</v>
      </c>
      <c r="S52" s="20" t="s">
        <v>81</v>
      </c>
      <c r="T52" s="20"/>
      <c r="U52" s="20"/>
      <c r="V52" s="20"/>
    </row>
    <row r="53" customFormat="false" ht="48" hidden="false" customHeight="true" outlineLevel="0" collapsed="false">
      <c r="A53" s="6" t="s">
        <v>82</v>
      </c>
      <c r="B53" s="7" t="s">
        <v>19</v>
      </c>
      <c r="C53" s="27" t="n">
        <f aca="false">ROUND((('По осям'!B31+'По осям'!C31+'По осям'!K31+'По осям'!L31+'По осям'!M31)*Исходные!$B$86+('По осям'!D31+'По осям'!F31+'По осям'!H31+'По осям'!J31)*Исходные!$B$85)/100,1)</f>
        <v>29.1</v>
      </c>
      <c r="D53" s="27" t="n">
        <f aca="false">ROUND('По осям'!AN31*Исходные!$B$87/100,1)</f>
        <v>131.4</v>
      </c>
      <c r="E53" s="27" t="n">
        <f aca="false">ROUND('По осям'!AQ31*Исходные!$B$88/100,1)</f>
        <v>2.6</v>
      </c>
      <c r="F53" s="27" t="n">
        <f aca="false">ROUND((('По осям'!B77+'По осям'!C77+'По осям'!K77+'По осям'!L77+'По осям'!M77)*Исходные!$B$86+('По осям'!D77+'По осям'!F77+'По осям'!H77+'По осям'!J77)*Исходные!$B$85)/100,1)</f>
        <v>26.1</v>
      </c>
      <c r="G53" s="27" t="n">
        <f aca="false">ROUND('По осям'!AN77*Исходные!$B$87/100,1)</f>
        <v>131.6</v>
      </c>
      <c r="H53" s="27" t="n">
        <f aca="false">ROUND('По осям'!AQ77*Исходные!$B$88/100,1)</f>
        <v>2.4</v>
      </c>
      <c r="I53" s="27" t="n">
        <f aca="false">ROUND((('По осям'!B123+'По осям'!C123+'По осям'!K123+'По осям'!L123+'По осям'!M123)*Исходные!$B$86+('По осям'!D123+'По осям'!F123+'По осям'!H123+'По осям'!J123)*Исходные!$B$85)/100,1)</f>
        <v>26.1</v>
      </c>
      <c r="J53" s="27" t="n">
        <f aca="false">ROUND('По осям'!AN123*Исходные!$B$87/100,1)</f>
        <v>131.6</v>
      </c>
      <c r="K53" s="27" t="n">
        <f aca="false">ROUND('По осям'!AQ123*Исходные!$B$88/100,1)</f>
        <v>2.4</v>
      </c>
      <c r="L53" s="27" t="n">
        <f aca="false">ROUND((('По осям'!B169+'По осям'!C169+'По осям'!K169+'По осям'!L169+'По осям'!M169)*Исходные!$B$86+('По осям'!D169+'По осям'!F169+'По осям'!H169+'По осям'!J169)*Исходные!$B$85)/100,1)</f>
        <v>26.1</v>
      </c>
      <c r="M53" s="27" t="n">
        <f aca="false">ROUND('По осям'!AN169*Исходные!$B$87/100,1)</f>
        <v>131.6</v>
      </c>
      <c r="N53" s="27" t="n">
        <f aca="false">ROUND('По осям'!AQ169*Исходные!$B$88/100,1)</f>
        <v>2.4</v>
      </c>
      <c r="O53" s="27" t="n">
        <f aca="false">ROUND((('По осям'!B215+'По осям'!C215+'По осям'!K215+'По осям'!L215+'По осям'!M215)*Исходные!$B$86+('По осям'!D215+'По осям'!F215+'По осям'!H215+'По осям'!J215)*Исходные!$B$85)/100,1)</f>
        <v>26.1</v>
      </c>
      <c r="P53" s="27" t="n">
        <f aca="false">ROUND('По осям'!AN215*Исходные!$B$87/100,1)</f>
        <v>124.9</v>
      </c>
      <c r="Q53" s="27" t="n">
        <f aca="false">ROUND('По осям'!AQ215*Исходные!$B$88/100,1)</f>
        <v>2.4</v>
      </c>
      <c r="R53" s="28" t="n">
        <f aca="false">SUM(C53:Q53)</f>
        <v>796.8</v>
      </c>
      <c r="S53" s="20" t="s">
        <v>83</v>
      </c>
      <c r="T53" s="20"/>
      <c r="U53" s="20"/>
      <c r="V53" s="20"/>
    </row>
    <row r="54" customFormat="false" ht="31.5" hidden="false" customHeight="true" outlineLevel="0" collapsed="false">
      <c r="A54" s="6" t="s">
        <v>84</v>
      </c>
      <c r="B54" s="7" t="s">
        <v>49</v>
      </c>
      <c r="C54" s="30"/>
      <c r="D54" s="30"/>
      <c r="E54" s="30" t="n">
        <v>2</v>
      </c>
      <c r="F54" s="30"/>
      <c r="G54" s="30"/>
      <c r="H54" s="30" t="n">
        <v>2</v>
      </c>
      <c r="I54" s="30"/>
      <c r="J54" s="30"/>
      <c r="K54" s="30" t="n">
        <v>2</v>
      </c>
      <c r="L54" s="30"/>
      <c r="M54" s="30"/>
      <c r="N54" s="30" t="n">
        <v>2</v>
      </c>
      <c r="O54" s="30"/>
      <c r="P54" s="30"/>
      <c r="Q54" s="30" t="n">
        <v>2</v>
      </c>
      <c r="R54" s="26" t="n">
        <f aca="false">SUM(C54:Q54)</f>
        <v>10</v>
      </c>
      <c r="S54" s="20" t="s">
        <v>85</v>
      </c>
      <c r="T54" s="20"/>
      <c r="U54" s="20"/>
      <c r="V54" s="20"/>
    </row>
    <row r="55" customFormat="false" ht="31.5" hidden="false" customHeight="true" outlineLevel="0" collapsed="false">
      <c r="A55" s="6" t="s">
        <v>86</v>
      </c>
      <c r="B55" s="7" t="s">
        <v>49</v>
      </c>
      <c r="C55" s="30"/>
      <c r="D55" s="30"/>
      <c r="E55" s="30" t="n">
        <v>2</v>
      </c>
      <c r="F55" s="30"/>
      <c r="G55" s="30"/>
      <c r="H55" s="30" t="n">
        <v>2</v>
      </c>
      <c r="I55" s="30"/>
      <c r="J55" s="30"/>
      <c r="K55" s="30" t="n">
        <v>2</v>
      </c>
      <c r="L55" s="30"/>
      <c r="M55" s="30"/>
      <c r="N55" s="30" t="n">
        <v>2</v>
      </c>
      <c r="O55" s="30"/>
      <c r="P55" s="30"/>
      <c r="Q55" s="30" t="n">
        <v>2</v>
      </c>
      <c r="R55" s="26" t="n">
        <f aca="false">SUM(C55:Q55)</f>
        <v>10</v>
      </c>
      <c r="S55" s="20" t="s">
        <v>87</v>
      </c>
      <c r="T55" s="20"/>
      <c r="U55" s="20"/>
      <c r="V55" s="20"/>
    </row>
    <row r="56" customFormat="false" ht="31.5" hidden="false" customHeight="true" outlineLevel="0" collapsed="false">
      <c r="A56" s="6" t="s">
        <v>88</v>
      </c>
      <c r="B56" s="7" t="s">
        <v>89</v>
      </c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8" t="n">
        <f aca="false">SUM(C56:Q56)</f>
        <v>0</v>
      </c>
      <c r="S56" s="20" t="s">
        <v>90</v>
      </c>
      <c r="T56" s="20"/>
      <c r="U56" s="20"/>
      <c r="V56" s="20"/>
    </row>
    <row r="57" customFormat="false" ht="31.5" hidden="false" customHeight="true" outlineLevel="0" collapsed="false">
      <c r="A57" s="6" t="s">
        <v>91</v>
      </c>
      <c r="B57" s="7" t="s">
        <v>92</v>
      </c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8" t="n">
        <f aca="false">SUM(C57:Q57)</f>
        <v>0</v>
      </c>
      <c r="S57" s="20" t="s">
        <v>93</v>
      </c>
      <c r="T57" s="20"/>
      <c r="U57" s="20"/>
      <c r="V57" s="20"/>
    </row>
    <row r="58" customFormat="false" ht="31.5" hidden="false" customHeight="true" outlineLevel="0" collapsed="false">
      <c r="A58" s="6" t="s">
        <v>94</v>
      </c>
      <c r="B58" s="7" t="s">
        <v>95</v>
      </c>
      <c r="C58" s="25" t="n">
        <f aca="false">ROUNDUP(Исходные!$B$91*Исходные!$B$74/Исходные!$B$73,0)</f>
        <v>22</v>
      </c>
      <c r="D58" s="30"/>
      <c r="E58" s="30"/>
      <c r="F58" s="25" t="n">
        <f aca="false">ROUNDUP(Исходные!$B$91*Исходные!$B$75/Исходные!$B$73,0)</f>
        <v>22</v>
      </c>
      <c r="G58" s="30"/>
      <c r="H58" s="30"/>
      <c r="I58" s="25" t="n">
        <f aca="false">ROUNDUP(Исходные!$B$91*Исходные!$B$76/Исходные!$B$73,0)</f>
        <v>22</v>
      </c>
      <c r="J58" s="30"/>
      <c r="K58" s="30"/>
      <c r="L58" s="25" t="n">
        <f aca="false">ROUNDUP(Исходные!$B$91*Исходные!$B$77/Исходные!$B$73,0)</f>
        <v>22</v>
      </c>
      <c r="M58" s="30"/>
      <c r="N58" s="30"/>
      <c r="O58" s="25" t="n">
        <f aca="false">ROUNDUP(Исходные!$B$91*Исходные!$B$78/Исходные!$B$73,0)</f>
        <v>21</v>
      </c>
      <c r="P58" s="30"/>
      <c r="Q58" s="30"/>
      <c r="R58" s="26" t="n">
        <f aca="false">SUM(C58:Q58)</f>
        <v>109</v>
      </c>
      <c r="S58" s="20" t="s">
        <v>96</v>
      </c>
      <c r="T58" s="20"/>
      <c r="U58" s="20"/>
      <c r="V58" s="20"/>
    </row>
    <row r="59" customFormat="false" ht="31.5" hidden="false" customHeight="true" outlineLevel="0" collapsed="false">
      <c r="A59" s="6" t="s">
        <v>97</v>
      </c>
      <c r="B59" s="7" t="s">
        <v>98</v>
      </c>
      <c r="C59" s="25" t="n">
        <f aca="false">ROUND(Исходные!$B$92*Исходные!$B$74/Исходные!$B$73,0)</f>
        <v>418</v>
      </c>
      <c r="D59" s="30"/>
      <c r="E59" s="30"/>
      <c r="F59" s="25" t="n">
        <f aca="false">ROUND(Исходные!$B$92*Исходные!$B$75/Исходные!$B$73,0)</f>
        <v>418</v>
      </c>
      <c r="G59" s="30"/>
      <c r="H59" s="30"/>
      <c r="I59" s="25" t="n">
        <f aca="false">ROUND(Исходные!$B$92*Исходные!$B$76/Исходные!$B$73,0)</f>
        <v>418</v>
      </c>
      <c r="J59" s="30"/>
      <c r="K59" s="30"/>
      <c r="L59" s="25" t="n">
        <f aca="false">ROUND(Исходные!$B$92*Исходные!$B$77/Исходные!$B$73,0)</f>
        <v>418</v>
      </c>
      <c r="M59" s="30"/>
      <c r="N59" s="30"/>
      <c r="O59" s="25" t="n">
        <f aca="false">ROUND(Исходные!$B$92*Исходные!$B$78/Исходные!$B$73,0)</f>
        <v>391</v>
      </c>
      <c r="P59" s="30"/>
      <c r="Q59" s="30"/>
      <c r="R59" s="26" t="n">
        <f aca="false">SUM(C59:Q59)</f>
        <v>2063</v>
      </c>
      <c r="S59" s="20" t="s">
        <v>96</v>
      </c>
      <c r="T59" s="20"/>
      <c r="U59" s="20"/>
      <c r="V59" s="20"/>
    </row>
    <row r="60" customFormat="false" ht="31.5" hidden="false" customHeight="true" outlineLevel="0" collapsed="false">
      <c r="A60" s="6" t="s">
        <v>99</v>
      </c>
      <c r="B60" s="7" t="s">
        <v>49</v>
      </c>
      <c r="C60" s="25" t="n">
        <f aca="false">ROUNDUP(Исходные!$B$93*Исходные!$B$74/Исходные!$B$73,0)</f>
        <v>26</v>
      </c>
      <c r="D60" s="30"/>
      <c r="E60" s="30"/>
      <c r="F60" s="25" t="n">
        <f aca="false">ROUNDUP(Исходные!$B$93*Исходные!$B$75/Исходные!$B$73,0)</f>
        <v>26</v>
      </c>
      <c r="G60" s="30"/>
      <c r="H60" s="30"/>
      <c r="I60" s="25" t="n">
        <f aca="false">ROUNDUP(Исходные!$B$93*Исходные!$B$76/Исходные!$B$73,0)</f>
        <v>26</v>
      </c>
      <c r="J60" s="30"/>
      <c r="K60" s="30"/>
      <c r="L60" s="25" t="n">
        <f aca="false">ROUNDUP(Исходные!$B$93*Исходные!$B$77/Исходные!$B$73,0)</f>
        <v>26</v>
      </c>
      <c r="M60" s="30"/>
      <c r="N60" s="30"/>
      <c r="O60" s="25" t="n">
        <f aca="false">ROUNDUP(Исходные!$B$93*Исходные!$B$78/Исходные!$B$73,0)</f>
        <v>24</v>
      </c>
      <c r="P60" s="30"/>
      <c r="Q60" s="30"/>
      <c r="R60" s="26" t="n">
        <f aca="false">SUM(C60:Q60)</f>
        <v>128</v>
      </c>
      <c r="S60" s="20" t="s">
        <v>96</v>
      </c>
      <c r="T60" s="20"/>
      <c r="U60" s="20"/>
      <c r="V60" s="20"/>
    </row>
    <row r="61" customFormat="false" ht="31.5" hidden="false" customHeight="true" outlineLevel="0" collapsed="false">
      <c r="A61" s="6" t="s">
        <v>100</v>
      </c>
      <c r="B61" s="7" t="s">
        <v>49</v>
      </c>
      <c r="C61" s="25" t="n">
        <f aca="false">ROUNDUP(Исходные!$B$94*Исходные!$B$74/Исходные!$B$73,0)</f>
        <v>34</v>
      </c>
      <c r="D61" s="30"/>
      <c r="E61" s="30"/>
      <c r="F61" s="25" t="n">
        <f aca="false">ROUNDUP(Исходные!$B$94*Исходные!$B$75/Исходные!$B$73,0)</f>
        <v>34</v>
      </c>
      <c r="G61" s="30"/>
      <c r="H61" s="30"/>
      <c r="I61" s="25" t="n">
        <f aca="false">ROUNDUP(Исходные!$B$94*Исходные!$B$76/Исходные!$B$73,0)</f>
        <v>34</v>
      </c>
      <c r="J61" s="30"/>
      <c r="K61" s="30"/>
      <c r="L61" s="25" t="n">
        <f aca="false">ROUNDUP(Исходные!$B$94*Исходные!$B$77/Исходные!$B$73,0)</f>
        <v>34</v>
      </c>
      <c r="M61" s="30"/>
      <c r="N61" s="30"/>
      <c r="O61" s="25" t="n">
        <f aca="false">ROUNDUP(Исходные!$B$94*Исходные!$B$78/Исходные!$B$73,0)</f>
        <v>32</v>
      </c>
      <c r="P61" s="30"/>
      <c r="Q61" s="30"/>
      <c r="R61" s="26" t="n">
        <f aca="false">SUM(C61:Q61)</f>
        <v>168</v>
      </c>
      <c r="S61" s="20" t="s">
        <v>96</v>
      </c>
      <c r="T61" s="20"/>
      <c r="U61" s="20"/>
      <c r="V61" s="20"/>
    </row>
    <row r="62" customFormat="false" ht="31.5" hidden="false" customHeight="true" outlineLevel="0" collapsed="false">
      <c r="A62" s="6" t="s">
        <v>101</v>
      </c>
      <c r="B62" s="7" t="s">
        <v>49</v>
      </c>
      <c r="C62" s="25" t="n">
        <f aca="false">ROUND(C22*Исходные!$B$16*Исходные!$B$84/1000,0)</f>
        <v>20</v>
      </c>
      <c r="D62" s="25" t="n">
        <f aca="false">ROUND(D22*Исходные!$B$16*Исходные!$B$84/1000,0)</f>
        <v>48</v>
      </c>
      <c r="E62" s="25" t="n">
        <f aca="false">ROUND(E22*Исходные!$B$16*Исходные!$B$84/1000,0)</f>
        <v>2</v>
      </c>
      <c r="F62" s="25" t="n">
        <f aca="false">ROUND(F22*Исходные!$B$16*Исходные!$B$84/1000,0)</f>
        <v>14</v>
      </c>
      <c r="G62" s="25" t="n">
        <f aca="false">ROUND(G22*Исходные!$B$16*Исходные!$B$84/1000,0)</f>
        <v>49</v>
      </c>
      <c r="H62" s="25" t="n">
        <f aca="false">ROUND(H22*Исходные!$B$16*Исходные!$B$84/1000,0)</f>
        <v>2</v>
      </c>
      <c r="I62" s="25" t="n">
        <f aca="false">ROUND(I22*Исходные!$B$16*Исходные!$B$84/1000,0)</f>
        <v>14</v>
      </c>
      <c r="J62" s="25" t="n">
        <f aca="false">ROUND(J22*Исходные!$B$16*Исходные!$B$84/1000,0)</f>
        <v>48</v>
      </c>
      <c r="K62" s="25" t="n">
        <f aca="false">ROUND(K22*Исходные!$B$16*Исходные!$B$84/1000,0)</f>
        <v>2</v>
      </c>
      <c r="L62" s="25" t="n">
        <f aca="false">ROUND(L22*Исходные!$B$16*Исходные!$B$84/1000,0)</f>
        <v>13</v>
      </c>
      <c r="M62" s="25" t="n">
        <f aca="false">ROUND(M22*Исходные!$B$16*Исходные!$B$84/1000,0)</f>
        <v>47</v>
      </c>
      <c r="N62" s="25" t="n">
        <f aca="false">ROUND(N22*Исходные!$B$16*Исходные!$B$84/1000,0)</f>
        <v>2</v>
      </c>
      <c r="O62" s="25" t="n">
        <f aca="false">ROUND(O22*Исходные!$B$16*Исходные!$B$84/1000,0)</f>
        <v>10</v>
      </c>
      <c r="P62" s="25" t="n">
        <f aca="false">ROUND(P22*Исходные!$B$16*Исходные!$B$84/1000,0)</f>
        <v>40</v>
      </c>
      <c r="Q62" s="25" t="n">
        <f aca="false">ROUND(Q22*Исходные!$B$16*Исходные!$B$84/1000,0)</f>
        <v>2</v>
      </c>
      <c r="R62" s="26" t="n">
        <f aca="false">SUM(C62:Q62)</f>
        <v>313</v>
      </c>
      <c r="S62" s="20" t="s">
        <v>102</v>
      </c>
      <c r="T62" s="20"/>
      <c r="U62" s="20"/>
      <c r="V62" s="20"/>
    </row>
    <row r="63" customFormat="false" ht="31.5" hidden="false" customHeight="true" outlineLevel="0" collapsed="false">
      <c r="A63" s="6" t="s">
        <v>103</v>
      </c>
      <c r="B63" s="7" t="s">
        <v>19</v>
      </c>
      <c r="C63" s="27" t="n">
        <f aca="false">ROUND(Исходные!$B$95*Исходные!$B$74/Исходные!$B$73,0)</f>
        <v>25</v>
      </c>
      <c r="D63" s="29"/>
      <c r="E63" s="29"/>
      <c r="F63" s="27" t="n">
        <f aca="false">ROUND(Исходные!$B$95*Исходные!$B$75/Исходные!$B$73,0)</f>
        <v>25</v>
      </c>
      <c r="G63" s="29"/>
      <c r="H63" s="29"/>
      <c r="I63" s="27" t="n">
        <f aca="false">ROUND(Исходные!$B$95*Исходные!$B$76/Исходные!$B$73,0)</f>
        <v>25</v>
      </c>
      <c r="J63" s="29"/>
      <c r="K63" s="29"/>
      <c r="L63" s="27" t="n">
        <f aca="false">ROUND(Исходные!$B$95*Исходные!$B$77/Исходные!$B$73,0)</f>
        <v>25</v>
      </c>
      <c r="M63" s="29"/>
      <c r="N63" s="29"/>
      <c r="O63" s="27" t="n">
        <f aca="false">ROUND(Исходные!$B$95*Исходные!$B$78/Исходные!$B$73,0)</f>
        <v>23</v>
      </c>
      <c r="P63" s="29"/>
      <c r="Q63" s="29"/>
      <c r="R63" s="28" t="n">
        <f aca="false">SUM(C63:Q63)</f>
        <v>123</v>
      </c>
      <c r="S63" s="20" t="s">
        <v>96</v>
      </c>
      <c r="T63" s="20"/>
      <c r="U63" s="20"/>
      <c r="V63" s="20"/>
    </row>
    <row r="64" customFormat="false" ht="31.5" hidden="false" customHeight="true" outlineLevel="0" collapsed="false">
      <c r="A64" s="6" t="s">
        <v>104</v>
      </c>
      <c r="B64" s="7" t="s">
        <v>19</v>
      </c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8" t="n">
        <f aca="false">SUM(C64:Q64)</f>
        <v>0</v>
      </c>
      <c r="S64" s="20" t="s">
        <v>105</v>
      </c>
      <c r="T64" s="20"/>
      <c r="U64" s="20"/>
      <c r="V64" s="20"/>
    </row>
    <row r="65" customFormat="false" ht="31.5" hidden="false" customHeight="true" outlineLevel="0" collapsed="false">
      <c r="A65" s="6" t="s">
        <v>106</v>
      </c>
      <c r="B65" s="7" t="s">
        <v>89</v>
      </c>
      <c r="C65" s="31"/>
      <c r="D65" s="31"/>
      <c r="E65" s="32" t="n">
        <f aca="false">Исходные!$B$96</f>
        <v>1.734</v>
      </c>
      <c r="F65" s="31"/>
      <c r="G65" s="31"/>
      <c r="H65" s="32" t="n">
        <f aca="false">Исходные!$B$96</f>
        <v>1.734</v>
      </c>
      <c r="I65" s="31"/>
      <c r="J65" s="31"/>
      <c r="K65" s="32" t="n">
        <f aca="false">Исходные!$B$96</f>
        <v>1.734</v>
      </c>
      <c r="L65" s="31"/>
      <c r="M65" s="31"/>
      <c r="N65" s="32" t="n">
        <f aca="false">Исходные!$B$96</f>
        <v>1.734</v>
      </c>
      <c r="O65" s="31"/>
      <c r="P65" s="31"/>
      <c r="Q65" s="32" t="n">
        <f aca="false">Исходные!$B$96</f>
        <v>1.734</v>
      </c>
      <c r="R65" s="33" t="n">
        <f aca="false">SUM(C65:Q65)</f>
        <v>8.67</v>
      </c>
      <c r="S65" s="20" t="s">
        <v>107</v>
      </c>
      <c r="T65" s="20"/>
      <c r="U65" s="20"/>
      <c r="V65" s="20"/>
    </row>
    <row r="67" customFormat="false" ht="15" hidden="false" customHeight="false" outlineLevel="0" collapsed="false">
      <c r="A67" s="34" t="s">
        <v>108</v>
      </c>
    </row>
    <row r="68" customFormat="false" ht="15" hidden="false" customHeight="false" outlineLevel="0" collapsed="false">
      <c r="A68" s="35" t="s">
        <v>109</v>
      </c>
    </row>
    <row r="69" customFormat="false" ht="15" hidden="false" customHeight="false" outlineLevel="0" collapsed="false">
      <c r="A69" s="35" t="s">
        <v>110</v>
      </c>
    </row>
    <row r="70" customFormat="false" ht="15" hidden="false" customHeight="false" outlineLevel="0" collapsed="false">
      <c r="A70" s="35" t="s">
        <v>111</v>
      </c>
    </row>
    <row r="71" customFormat="false" ht="15" hidden="false" customHeight="false" outlineLevel="0" collapsed="false">
      <c r="A71" s="35" t="s">
        <v>112</v>
      </c>
    </row>
  </sheetData>
  <mergeCells count="63">
    <mergeCell ref="A3:A4"/>
    <mergeCell ref="B3:B4"/>
    <mergeCell ref="C3:E3"/>
    <mergeCell ref="F3:H3"/>
    <mergeCell ref="I3:K3"/>
    <mergeCell ref="L3:N3"/>
    <mergeCell ref="O3:Q3"/>
    <mergeCell ref="R3:R4"/>
    <mergeCell ref="S3:S4"/>
    <mergeCell ref="T3:V3"/>
    <mergeCell ref="C24:E24"/>
    <mergeCell ref="F24:H24"/>
    <mergeCell ref="I24:K24"/>
    <mergeCell ref="L24:N24"/>
    <mergeCell ref="O24:Q24"/>
    <mergeCell ref="A28:A29"/>
    <mergeCell ref="B28:B29"/>
    <mergeCell ref="C28:E28"/>
    <mergeCell ref="F28:H28"/>
    <mergeCell ref="I28:K28"/>
    <mergeCell ref="L28:N28"/>
    <mergeCell ref="O28:Q28"/>
    <mergeCell ref="R28:R29"/>
    <mergeCell ref="A33:A34"/>
    <mergeCell ref="B33:B34"/>
    <mergeCell ref="C33:E33"/>
    <mergeCell ref="F33:H33"/>
    <mergeCell ref="I33:K33"/>
    <mergeCell ref="L33:N33"/>
    <mergeCell ref="O33:Q33"/>
    <mergeCell ref="R33:R34"/>
    <mergeCell ref="S33:V34"/>
    <mergeCell ref="S35:V35"/>
    <mergeCell ref="S36:V36"/>
    <mergeCell ref="S37:V37"/>
    <mergeCell ref="S38:V38"/>
    <mergeCell ref="S39:V39"/>
    <mergeCell ref="S40:V40"/>
    <mergeCell ref="S41:V41"/>
    <mergeCell ref="S42:V42"/>
    <mergeCell ref="S43:V43"/>
    <mergeCell ref="S44:V44"/>
    <mergeCell ref="S45:V45"/>
    <mergeCell ref="S46:V46"/>
    <mergeCell ref="S47:V47"/>
    <mergeCell ref="S48:V48"/>
    <mergeCell ref="S49:V49"/>
    <mergeCell ref="S50:V50"/>
    <mergeCell ref="S51:V51"/>
    <mergeCell ref="S52:V52"/>
    <mergeCell ref="S53:V53"/>
    <mergeCell ref="S54:V54"/>
    <mergeCell ref="S55:V55"/>
    <mergeCell ref="S56:V56"/>
    <mergeCell ref="S57:V57"/>
    <mergeCell ref="S58:V58"/>
    <mergeCell ref="S59:V59"/>
    <mergeCell ref="S60:V60"/>
    <mergeCell ref="S61:V61"/>
    <mergeCell ref="S62:V62"/>
    <mergeCell ref="S63:V63"/>
    <mergeCell ref="S64:V64"/>
    <mergeCell ref="S65:V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S23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3" min="2" style="0" width="10.51"/>
    <col collapsed="false" customWidth="true" hidden="false" outlineLevel="0" max="45" min="34" style="0" width="9.51"/>
  </cols>
  <sheetData>
    <row r="1" customFormat="false" ht="23.85" hidden="false" customHeight="false" outlineLevel="0" collapsed="false">
      <c r="A1" s="36" t="s">
        <v>113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K1" s="5" t="s">
        <v>114</v>
      </c>
      <c r="AL1" s="5" t="s">
        <v>115</v>
      </c>
    </row>
    <row r="2" customFormat="false" ht="15" hidden="false" customHeight="false" outlineLevel="0" collapsed="false">
      <c r="A2" s="35" t="s">
        <v>116</v>
      </c>
      <c r="AK2" s="37" t="n">
        <f aca="false">Исходные!$B$16</f>
        <v>1.07</v>
      </c>
      <c r="AL2" s="37" t="n">
        <f aca="false">Исходные!$B$17</f>
        <v>1</v>
      </c>
    </row>
    <row r="4" customFormat="false" ht="30" hidden="false" customHeight="true" outlineLevel="0" collapsed="false">
      <c r="A4" s="38" t="s">
        <v>117</v>
      </c>
      <c r="B4" s="38" t="s">
        <v>118</v>
      </c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 t="s">
        <v>119</v>
      </c>
      <c r="T4" s="38"/>
      <c r="U4" s="38"/>
      <c r="V4" s="38" t="s">
        <v>120</v>
      </c>
      <c r="W4" s="38"/>
      <c r="X4" s="38"/>
      <c r="Y4" s="38"/>
      <c r="Z4" s="38"/>
      <c r="AA4" s="38"/>
      <c r="AB4" s="38"/>
      <c r="AC4" s="38" t="s">
        <v>121</v>
      </c>
      <c r="AD4" s="38" t="s">
        <v>122</v>
      </c>
      <c r="AE4" s="38"/>
      <c r="AF4" s="38"/>
      <c r="AG4" s="38"/>
      <c r="AH4" s="38"/>
      <c r="AI4" s="38"/>
      <c r="AJ4" s="38"/>
      <c r="AK4" s="38" t="s">
        <v>12</v>
      </c>
      <c r="AL4" s="38"/>
      <c r="AM4" s="38"/>
      <c r="AN4" s="38" t="s">
        <v>123</v>
      </c>
      <c r="AO4" s="38"/>
      <c r="AP4" s="38"/>
      <c r="AQ4" s="38" t="s">
        <v>124</v>
      </c>
      <c r="AR4" s="38"/>
      <c r="AS4" s="38"/>
    </row>
    <row r="5" customFormat="false" ht="30" hidden="false" customHeight="true" outlineLevel="0" collapsed="false">
      <c r="A5" s="5" t="s">
        <v>125</v>
      </c>
      <c r="B5" s="5" t="s">
        <v>126</v>
      </c>
      <c r="C5" s="5" t="s">
        <v>126</v>
      </c>
      <c r="D5" s="5" t="s">
        <v>126</v>
      </c>
      <c r="E5" s="5" t="s">
        <v>126</v>
      </c>
      <c r="F5" s="5" t="s">
        <v>127</v>
      </c>
      <c r="G5" s="5" t="s">
        <v>127</v>
      </c>
      <c r="H5" s="5" t="s">
        <v>128</v>
      </c>
      <c r="I5" s="5" t="s">
        <v>128</v>
      </c>
      <c r="J5" s="5" t="s">
        <v>129</v>
      </c>
      <c r="K5" s="5" t="s">
        <v>129</v>
      </c>
      <c r="L5" s="5" t="s">
        <v>129</v>
      </c>
      <c r="M5" s="5" t="s">
        <v>129</v>
      </c>
      <c r="N5" s="5" t="s">
        <v>129</v>
      </c>
      <c r="O5" s="5" t="s">
        <v>130</v>
      </c>
      <c r="P5" s="5" t="s">
        <v>131</v>
      </c>
      <c r="Q5" s="5" t="s">
        <v>132</v>
      </c>
      <c r="R5" s="5" t="s">
        <v>133</v>
      </c>
      <c r="S5" s="5" t="s">
        <v>134</v>
      </c>
      <c r="T5" s="5" t="s">
        <v>135</v>
      </c>
      <c r="U5" s="5" t="s">
        <v>136</v>
      </c>
      <c r="V5" s="5" t="s">
        <v>134</v>
      </c>
      <c r="W5" s="5" t="s">
        <v>135</v>
      </c>
      <c r="X5" s="5" t="s">
        <v>137</v>
      </c>
      <c r="Y5" s="5" t="s">
        <v>136</v>
      </c>
      <c r="Z5" s="5"/>
      <c r="AA5" s="5" t="s">
        <v>138</v>
      </c>
      <c r="AB5" s="5" t="s">
        <v>139</v>
      </c>
      <c r="AC5" s="5" t="s">
        <v>140</v>
      </c>
      <c r="AD5" s="5" t="s">
        <v>141</v>
      </c>
      <c r="AE5" s="5" t="s">
        <v>142</v>
      </c>
      <c r="AF5" s="5" t="s">
        <v>143</v>
      </c>
      <c r="AG5" s="5" t="s">
        <v>144</v>
      </c>
      <c r="AH5" s="5" t="s">
        <v>36</v>
      </c>
      <c r="AI5" s="5" t="s">
        <v>145</v>
      </c>
      <c r="AJ5" s="5" t="s">
        <v>146</v>
      </c>
      <c r="AK5" s="5" t="s">
        <v>36</v>
      </c>
      <c r="AL5" s="5" t="s">
        <v>145</v>
      </c>
      <c r="AM5" s="5" t="s">
        <v>146</v>
      </c>
      <c r="AN5" s="5" t="s">
        <v>36</v>
      </c>
      <c r="AO5" s="5" t="s">
        <v>145</v>
      </c>
      <c r="AP5" s="5" t="s">
        <v>146</v>
      </c>
      <c r="AQ5" s="5" t="s">
        <v>36</v>
      </c>
      <c r="AR5" s="5" t="s">
        <v>145</v>
      </c>
      <c r="AS5" s="5" t="s">
        <v>146</v>
      </c>
    </row>
    <row r="6" customFormat="false" ht="30" hidden="false" customHeight="true" outlineLevel="0" collapsed="false">
      <c r="A6" s="5" t="s">
        <v>147</v>
      </c>
      <c r="B6" s="5" t="s">
        <v>148</v>
      </c>
      <c r="C6" s="5" t="s">
        <v>149</v>
      </c>
      <c r="D6" s="5" t="s">
        <v>150</v>
      </c>
      <c r="E6" s="5" t="s">
        <v>151</v>
      </c>
      <c r="F6" s="5" t="s">
        <v>152</v>
      </c>
      <c r="G6" s="5" t="s">
        <v>151</v>
      </c>
      <c r="H6" s="5" t="s">
        <v>152</v>
      </c>
      <c r="I6" s="5" t="s">
        <v>151</v>
      </c>
      <c r="J6" s="5" t="s">
        <v>153</v>
      </c>
      <c r="K6" s="5" t="s">
        <v>154</v>
      </c>
      <c r="L6" s="5" t="s">
        <v>155</v>
      </c>
      <c r="M6" s="5" t="s">
        <v>156</v>
      </c>
      <c r="N6" s="5" t="s">
        <v>151</v>
      </c>
      <c r="O6" s="5" t="s">
        <v>157</v>
      </c>
      <c r="P6" s="5" t="s">
        <v>158</v>
      </c>
      <c r="Q6" s="5" t="s">
        <v>158</v>
      </c>
      <c r="R6" s="5" t="s">
        <v>158</v>
      </c>
      <c r="S6" s="5"/>
      <c r="T6" s="5"/>
      <c r="U6" s="5" t="s">
        <v>159</v>
      </c>
      <c r="V6" s="5"/>
      <c r="W6" s="5" t="s">
        <v>160</v>
      </c>
      <c r="X6" s="5"/>
      <c r="Y6" s="5" t="s">
        <v>161</v>
      </c>
      <c r="Z6" s="5" t="s">
        <v>162</v>
      </c>
      <c r="AA6" s="5" t="s">
        <v>163</v>
      </c>
      <c r="AB6" s="5" t="s">
        <v>164</v>
      </c>
      <c r="AC6" s="5" t="s">
        <v>165</v>
      </c>
      <c r="AD6" s="5" t="s">
        <v>166</v>
      </c>
      <c r="AE6" s="5" t="s">
        <v>167</v>
      </c>
      <c r="AF6" s="5" t="s">
        <v>168</v>
      </c>
      <c r="AG6" s="5" t="s">
        <v>169</v>
      </c>
      <c r="AH6" s="5" t="s">
        <v>170</v>
      </c>
      <c r="AI6" s="5"/>
      <c r="AJ6" s="5" t="s">
        <v>19</v>
      </c>
      <c r="AK6" s="5" t="s">
        <v>170</v>
      </c>
      <c r="AL6" s="5"/>
      <c r="AM6" s="5" t="s">
        <v>19</v>
      </c>
      <c r="AN6" s="5" t="s">
        <v>170</v>
      </c>
      <c r="AO6" s="5"/>
      <c r="AP6" s="5" t="s">
        <v>19</v>
      </c>
      <c r="AQ6" s="5" t="s">
        <v>170</v>
      </c>
      <c r="AR6" s="5"/>
      <c r="AS6" s="5" t="s">
        <v>19</v>
      </c>
    </row>
    <row r="7" customFormat="false" ht="15" hidden="false" customHeight="false" outlineLevel="0" collapsed="false">
      <c r="A7" s="4" t="s">
        <v>171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</row>
    <row r="8" customFormat="false" ht="15" hidden="false" customHeight="false" outlineLevel="0" collapsed="false">
      <c r="A8" s="6" t="s">
        <v>172</v>
      </c>
      <c r="B8" s="39" t="n">
        <f aca="false">4*4</f>
        <v>16</v>
      </c>
      <c r="C8" s="39" t="n">
        <f aca="false">4*4</f>
        <v>16</v>
      </c>
      <c r="D8" s="39" t="n">
        <f aca="false">3*4*4</f>
        <v>48</v>
      </c>
      <c r="E8" s="39" t="n">
        <f aca="false">2*3.3</f>
        <v>6.6</v>
      </c>
      <c r="F8" s="39" t="n">
        <f aca="false">5*4*4</f>
        <v>80</v>
      </c>
      <c r="G8" s="39" t="n">
        <f aca="false">2*3.7</f>
        <v>7.4</v>
      </c>
      <c r="H8" s="39" t="n">
        <f aca="false">5*4*4</f>
        <v>80</v>
      </c>
      <c r="I8" s="39" t="n">
        <f aca="false">2*3.7+2*3.7</f>
        <v>14.8</v>
      </c>
      <c r="J8" s="39" t="n">
        <f aca="false">2*4*4</f>
        <v>32</v>
      </c>
      <c r="K8" s="39" t="n">
        <f aca="false">4*4</f>
        <v>16</v>
      </c>
      <c r="L8" s="39" t="n">
        <f aca="false">4*4</f>
        <v>16</v>
      </c>
      <c r="M8" s="39" t="n">
        <f aca="false">4*4</f>
        <v>16</v>
      </c>
      <c r="N8" s="39" t="n">
        <f aca="false">2*4.3</f>
        <v>8.6</v>
      </c>
      <c r="O8" s="39" t="n">
        <f aca="false">2*2*3.8</f>
        <v>15.2</v>
      </c>
      <c r="P8" s="39" t="n">
        <f aca="false">2*7.5+2*3.6+2*2.85</f>
        <v>27.9</v>
      </c>
      <c r="Q8" s="39" t="n">
        <f aca="false">2*2.05</f>
        <v>4.1</v>
      </c>
      <c r="R8" s="39" t="n">
        <f aca="false">2*2.4+2*3.4+2*2.85</f>
        <v>17.3</v>
      </c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40" t="n">
        <f aca="false">SUM(B8:AG8)</f>
        <v>421.9</v>
      </c>
      <c r="AI8" s="41" t="n">
        <f aca="false">IFERROR(INDEX(Исходные!$B$21:$B$33,MATCH(32,Исходные!$A$21:$A$33,0)),0)</f>
        <v>6.313</v>
      </c>
      <c r="AJ8" s="40" t="n">
        <f aca="false">AH8*AI8*$AK$2</f>
        <v>2849.896529</v>
      </c>
      <c r="AK8" s="42" t="n">
        <f aca="false">SUM(B8:D8,F8,H8,J8:M8)</f>
        <v>320</v>
      </c>
      <c r="AL8" s="43" t="n">
        <f aca="false">AI8</f>
        <v>6.313</v>
      </c>
      <c r="AM8" s="28" t="n">
        <f aca="false">AK8*AL8*$AK$2</f>
        <v>2161.5712</v>
      </c>
      <c r="AN8" s="42" t="n">
        <f aca="false">SUM(E8,G8,I8,N8:AC8)</f>
        <v>101.9</v>
      </c>
      <c r="AO8" s="43" t="n">
        <f aca="false">AI8</f>
        <v>6.313</v>
      </c>
      <c r="AP8" s="28" t="n">
        <f aca="false">AN8*AO8*$AK$2</f>
        <v>688.325329</v>
      </c>
      <c r="AQ8" s="42" t="n">
        <f aca="false">SUM(AD8:AG8)</f>
        <v>0</v>
      </c>
      <c r="AR8" s="43" t="n">
        <f aca="false">AI8</f>
        <v>6.313</v>
      </c>
      <c r="AS8" s="28" t="n">
        <f aca="false">AQ8*AR8*$AK$2</f>
        <v>0</v>
      </c>
    </row>
    <row r="9" customFormat="false" ht="15" hidden="false" customHeight="false" outlineLevel="0" collapsed="false">
      <c r="A9" s="6" t="s">
        <v>173</v>
      </c>
      <c r="B9" s="39" t="n">
        <f aca="false">22*4+10*4</f>
        <v>128</v>
      </c>
      <c r="C9" s="39" t="n">
        <f aca="false">11*4+11*4</f>
        <v>88</v>
      </c>
      <c r="D9" s="39"/>
      <c r="E9" s="39" t="n">
        <f aca="false">4*25.5+2*2.05+2*7.85</f>
        <v>121.8</v>
      </c>
      <c r="F9" s="39"/>
      <c r="G9" s="39" t="n">
        <f aca="false">4*25.5+2*3.7+2*3.6</f>
        <v>116.6</v>
      </c>
      <c r="H9" s="39"/>
      <c r="I9" s="39" t="n">
        <f aca="false">4*25.5+2*2.05+2*3.6</f>
        <v>113.3</v>
      </c>
      <c r="J9" s="39"/>
      <c r="K9" s="39" t="n">
        <f aca="false">22*4</f>
        <v>88</v>
      </c>
      <c r="L9" s="39" t="n">
        <f aca="false">4*4+10*4</f>
        <v>56</v>
      </c>
      <c r="M9" s="39" t="n">
        <f aca="false">4*4+10*4</f>
        <v>56</v>
      </c>
      <c r="N9" s="39" t="n">
        <f aca="false">4*25.5+2*1.85+2*5.5+2*4.7+2*4.7+2*4.3</f>
        <v>144.1</v>
      </c>
      <c r="O9" s="39" t="n">
        <f aca="false">2*4*20.5+2*2*3.8+2*2*2.05</f>
        <v>187.4</v>
      </c>
      <c r="P9" s="39" t="n">
        <f aca="false">4*20.5</f>
        <v>82</v>
      </c>
      <c r="Q9" s="39" t="n">
        <f aca="false">4*20.5+2*2.05+2*3.8+2*3</f>
        <v>99.7</v>
      </c>
      <c r="R9" s="39" t="n">
        <f aca="false">4*20.5+2*3.6</f>
        <v>89.2</v>
      </c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40" t="n">
        <f aca="false">SUM(B9:AG9)</f>
        <v>1370.1</v>
      </c>
      <c r="AI9" s="41" t="n">
        <f aca="false">IFERROR(INDEX(Исходные!$B$21:$B$33,MATCH(28,Исходные!$A$21:$A$33,0)),0)</f>
        <v>4.834</v>
      </c>
      <c r="AJ9" s="40" t="n">
        <f aca="false">AH9*AI9*$AK$2</f>
        <v>7086.677838</v>
      </c>
      <c r="AK9" s="42" t="n">
        <f aca="false">SUM(B9:D9,F9,H9,J9:M9)</f>
        <v>416</v>
      </c>
      <c r="AL9" s="43" t="n">
        <f aca="false">AI9</f>
        <v>4.834</v>
      </c>
      <c r="AM9" s="28" t="n">
        <f aca="false">AK9*AL9*$AK$2</f>
        <v>2151.71008</v>
      </c>
      <c r="AN9" s="42" t="n">
        <f aca="false">SUM(E9,G9,I9,N9:AC9)</f>
        <v>954.1</v>
      </c>
      <c r="AO9" s="43" t="n">
        <f aca="false">AI9</f>
        <v>4.834</v>
      </c>
      <c r="AP9" s="28" t="n">
        <f aca="false">AN9*AO9*$AK$2</f>
        <v>4934.967758</v>
      </c>
      <c r="AQ9" s="42" t="n">
        <f aca="false">SUM(AD9:AG9)</f>
        <v>0</v>
      </c>
      <c r="AR9" s="43" t="n">
        <f aca="false">AI9</f>
        <v>4.834</v>
      </c>
      <c r="AS9" s="28" t="n">
        <f aca="false">AQ9*AR9*$AK$2</f>
        <v>0</v>
      </c>
    </row>
    <row r="10" customFormat="false" ht="15" hidden="false" customHeight="false" outlineLevel="0" collapsed="false">
      <c r="A10" s="6" t="s">
        <v>174</v>
      </c>
      <c r="B10" s="39" t="n">
        <f aca="false">8*4</f>
        <v>32</v>
      </c>
      <c r="C10" s="39" t="n">
        <f aca="false">4*4+4*4</f>
        <v>32</v>
      </c>
      <c r="D10" s="39"/>
      <c r="E10" s="39" t="n">
        <f aca="false">2*4.5+2*7.85+2*7.85</f>
        <v>40.4</v>
      </c>
      <c r="F10" s="39"/>
      <c r="G10" s="39" t="n">
        <f aca="false">2*2.05+2*2.05</f>
        <v>8.2</v>
      </c>
      <c r="H10" s="39"/>
      <c r="I10" s="39" t="n">
        <f aca="false">2*2.05</f>
        <v>4.1</v>
      </c>
      <c r="J10" s="39"/>
      <c r="K10" s="39" t="n">
        <f aca="false">10*4</f>
        <v>40</v>
      </c>
      <c r="L10" s="39"/>
      <c r="M10" s="39" t="n">
        <f aca="false">10*4</f>
        <v>40</v>
      </c>
      <c r="N10" s="39" t="n">
        <f aca="false">2*2.05</f>
        <v>4.1</v>
      </c>
      <c r="O10" s="39" t="n">
        <f aca="false">2*2*2.05</f>
        <v>8.2</v>
      </c>
      <c r="P10" s="39" t="n">
        <f aca="false">2*10.5</f>
        <v>21</v>
      </c>
      <c r="Q10" s="39" t="n">
        <f aca="false">2*3.8+2*3.8+2*3.8</f>
        <v>22.8</v>
      </c>
      <c r="R10" s="39" t="n">
        <f aca="false">2*6.2</f>
        <v>12.4</v>
      </c>
      <c r="S10" s="39" t="n">
        <f aca="false">4*20.4+4*20.4+4*13.9+4*20.4+4*25.4+4*25.4+4*13.9+4*11.9+4*3.785+4*3.365</f>
        <v>635.4</v>
      </c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 t="n">
        <f aca="false">4*3.065+4*2.28</f>
        <v>21.38</v>
      </c>
      <c r="AH10" s="40" t="n">
        <f aca="false">SUM(B10:AG10)</f>
        <v>921.98</v>
      </c>
      <c r="AI10" s="41" t="n">
        <f aca="false">IFERROR(INDEX(Исходные!$B$21:$B$33,MATCH(25,Исходные!$A$21:$A$33,0)),0)</f>
        <v>3.853</v>
      </c>
      <c r="AJ10" s="40" t="n">
        <f aca="false">AH10*AI10*$AK$2</f>
        <v>3801.0561658</v>
      </c>
      <c r="AK10" s="42" t="n">
        <f aca="false">SUM(B10:D10,F10,H10,J10:M10)</f>
        <v>144</v>
      </c>
      <c r="AL10" s="43" t="n">
        <f aca="false">AI10</f>
        <v>3.853</v>
      </c>
      <c r="AM10" s="28" t="n">
        <f aca="false">AK10*AL10*$AK$2</f>
        <v>593.67024</v>
      </c>
      <c r="AN10" s="42" t="n">
        <f aca="false">SUM(E10,G10,I10,N10:AC10)</f>
        <v>756.6</v>
      </c>
      <c r="AO10" s="43" t="n">
        <f aca="false">AI10</f>
        <v>3.853</v>
      </c>
      <c r="AP10" s="28" t="n">
        <f aca="false">AN10*AO10*$AK$2</f>
        <v>3119.242386</v>
      </c>
      <c r="AQ10" s="42" t="n">
        <f aca="false">SUM(AD10:AG10)</f>
        <v>21.38</v>
      </c>
      <c r="AR10" s="43" t="n">
        <f aca="false">AI10</f>
        <v>3.853</v>
      </c>
      <c r="AS10" s="28" t="n">
        <f aca="false">AQ10*AR10*$AK$2</f>
        <v>88.1435398</v>
      </c>
    </row>
    <row r="11" customFormat="false" ht="15" hidden="false" customHeight="false" outlineLevel="0" collapsed="false">
      <c r="A11" s="6" t="s">
        <v>175</v>
      </c>
      <c r="B11" s="39"/>
      <c r="C11" s="39" t="n">
        <f aca="false">16*4</f>
        <v>64</v>
      </c>
      <c r="D11" s="39"/>
      <c r="E11" s="39" t="n">
        <f aca="false">2*4.5</f>
        <v>9</v>
      </c>
      <c r="F11" s="39"/>
      <c r="G11" s="39" t="n">
        <f aca="false">2*3.2</f>
        <v>6.4</v>
      </c>
      <c r="H11" s="39"/>
      <c r="I11" s="39" t="n">
        <f aca="false">2*3.2</f>
        <v>6.4</v>
      </c>
      <c r="J11" s="39"/>
      <c r="K11" s="39" t="n">
        <f aca="false">8*4+6*4+10*1.3</f>
        <v>69</v>
      </c>
      <c r="L11" s="39"/>
      <c r="M11" s="39" t="n">
        <f aca="false">6*4</f>
        <v>24</v>
      </c>
      <c r="N11" s="39" t="n">
        <f aca="false">2*5.5+2*4.7+2*5.5+2*2.05</f>
        <v>35.5</v>
      </c>
      <c r="O11" s="39"/>
      <c r="P11" s="39"/>
      <c r="Q11" s="39"/>
      <c r="R11" s="39"/>
      <c r="S11" s="39" t="n">
        <f aca="false">4*2.175+4*4.15+4*2.175+4*2.175+4*4.15+4*2.175+4*2.15+4*3.775+4*2.15+4*2.15+4*7.95+4*2.15+4*2.375</f>
        <v>158.8</v>
      </c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40" t="n">
        <f aca="false">SUM(B11:AG11)</f>
        <v>373.1</v>
      </c>
      <c r="AI11" s="41" t="n">
        <f aca="false">IFERROR(INDEX(Исходные!$B$21:$B$33,MATCH(22,Исходные!$A$21:$A$33,0)),0)</f>
        <v>2.984</v>
      </c>
      <c r="AJ11" s="40" t="n">
        <f aca="false">AH11*AI11*$AK$2</f>
        <v>1191.263528</v>
      </c>
      <c r="AK11" s="42" t="n">
        <f aca="false">SUM(B11:D11,F11,H11,J11:M11)</f>
        <v>157</v>
      </c>
      <c r="AL11" s="43" t="n">
        <f aca="false">AI11</f>
        <v>2.984</v>
      </c>
      <c r="AM11" s="28" t="n">
        <f aca="false">AK11*AL11*$AK$2</f>
        <v>501.28216</v>
      </c>
      <c r="AN11" s="42" t="n">
        <f aca="false">SUM(E11,G11,I11,N11:AC11)</f>
        <v>216.1</v>
      </c>
      <c r="AO11" s="43" t="n">
        <f aca="false">AI11</f>
        <v>2.984</v>
      </c>
      <c r="AP11" s="28" t="n">
        <f aca="false">AN11*AO11*$AK$2</f>
        <v>689.981368</v>
      </c>
      <c r="AQ11" s="42" t="n">
        <f aca="false">SUM(AD11:AG11)</f>
        <v>0</v>
      </c>
      <c r="AR11" s="43" t="n">
        <f aca="false">AI11</f>
        <v>2.984</v>
      </c>
      <c r="AS11" s="28" t="n">
        <f aca="false">AQ11*AR11*$AK$2</f>
        <v>0</v>
      </c>
    </row>
    <row r="12" customFormat="false" ht="15" hidden="false" customHeight="false" outlineLevel="0" collapsed="false">
      <c r="A12" s="6" t="s">
        <v>176</v>
      </c>
      <c r="B12" s="39" t="n">
        <f aca="false">8*4+8*4+10*1.95+6*1.2</f>
        <v>90.7</v>
      </c>
      <c r="C12" s="39" t="n">
        <f aca="false">4*4+10*1.2</f>
        <v>28</v>
      </c>
      <c r="D12" s="39" t="n">
        <f aca="false">3*8*4</f>
        <v>96</v>
      </c>
      <c r="E12" s="39"/>
      <c r="F12" s="39" t="n">
        <f aca="false">5*8*4</f>
        <v>160</v>
      </c>
      <c r="G12" s="39"/>
      <c r="H12" s="39" t="n">
        <f aca="false">5*8*4</f>
        <v>160</v>
      </c>
      <c r="I12" s="39"/>
      <c r="J12" s="39" t="n">
        <f aca="false">2*8*4</f>
        <v>64</v>
      </c>
      <c r="K12" s="39" t="n">
        <f aca="false">8*4</f>
        <v>32</v>
      </c>
      <c r="L12" s="39" t="n">
        <f aca="false">4*4+6*4</f>
        <v>40</v>
      </c>
      <c r="M12" s="39" t="n">
        <f aca="false">4*4+4*4</f>
        <v>32</v>
      </c>
      <c r="N12" s="39"/>
      <c r="O12" s="39"/>
      <c r="P12" s="39" t="n">
        <f aca="false">1*2.4+2*2.85</f>
        <v>8.1</v>
      </c>
      <c r="Q12" s="39"/>
      <c r="R12" s="39" t="n">
        <f aca="false">2*3</f>
        <v>6</v>
      </c>
      <c r="S12" s="39" t="n">
        <f aca="false">4*3.05+4*3.785+4*4.1+4*3.325</f>
        <v>57.04</v>
      </c>
      <c r="T12" s="39"/>
      <c r="U12" s="39"/>
      <c r="V12" s="39"/>
      <c r="W12" s="39"/>
      <c r="X12" s="39"/>
      <c r="Y12" s="39"/>
      <c r="Z12" s="39" t="n">
        <f aca="false">4*1*3</f>
        <v>12</v>
      </c>
      <c r="AA12" s="39"/>
      <c r="AB12" s="39"/>
      <c r="AC12" s="39"/>
      <c r="AD12" s="39"/>
      <c r="AE12" s="39"/>
      <c r="AF12" s="39"/>
      <c r="AG12" s="39"/>
      <c r="AH12" s="40" t="n">
        <f aca="false">SUM(B12:AG12)</f>
        <v>785.84</v>
      </c>
      <c r="AI12" s="41" t="n">
        <f aca="false">IFERROR(INDEX(Исходные!$B$21:$B$33,MATCH(20,Исходные!$A$21:$A$33,0)),0)</f>
        <v>2.466</v>
      </c>
      <c r="AJ12" s="40" t="n">
        <f aca="false">AH12*AI12*$AK$2</f>
        <v>2073.5331408</v>
      </c>
      <c r="AK12" s="42" t="n">
        <f aca="false">SUM(B12:D12,F12,H12,J12:M12)</f>
        <v>702.7</v>
      </c>
      <c r="AL12" s="43" t="n">
        <f aca="false">AI12</f>
        <v>2.466</v>
      </c>
      <c r="AM12" s="28" t="n">
        <f aca="false">AK12*AL12*$AK$2</f>
        <v>1854.158274</v>
      </c>
      <c r="AN12" s="42" t="n">
        <f aca="false">SUM(E12,G12,I12,N12:AC12)</f>
        <v>83.14</v>
      </c>
      <c r="AO12" s="43" t="n">
        <f aca="false">AI12</f>
        <v>2.466</v>
      </c>
      <c r="AP12" s="28" t="n">
        <f aca="false">AN12*AO12*$AK$2</f>
        <v>219.3748668</v>
      </c>
      <c r="AQ12" s="42" t="n">
        <f aca="false">SUM(AD12:AG12)</f>
        <v>0</v>
      </c>
      <c r="AR12" s="43" t="n">
        <f aca="false">AI12</f>
        <v>2.466</v>
      </c>
      <c r="AS12" s="28" t="n">
        <f aca="false">AQ12*AR12*$AK$2</f>
        <v>0</v>
      </c>
    </row>
    <row r="13" customFormat="false" ht="15" hidden="false" customHeight="false" outlineLevel="0" collapsed="false">
      <c r="A13" s="6" t="s">
        <v>177</v>
      </c>
      <c r="B13" s="39" t="n">
        <f aca="false">9*4.144+36*1.95</f>
        <v>107.496</v>
      </c>
      <c r="C13" s="39"/>
      <c r="D13" s="39"/>
      <c r="E13" s="39" t="n">
        <f aca="false">2*25.5+2*2*0.144</f>
        <v>51.576</v>
      </c>
      <c r="F13" s="39"/>
      <c r="G13" s="39" t="n">
        <f aca="false">2*25.5+2*2*0.144</f>
        <v>51.576</v>
      </c>
      <c r="H13" s="39"/>
      <c r="I13" s="39" t="n">
        <f aca="false">2*25.5+2*2*0.144</f>
        <v>51.576</v>
      </c>
      <c r="J13" s="39"/>
      <c r="K13" s="39" t="n">
        <f aca="false">1*4.144+10*1.45</f>
        <v>18.644</v>
      </c>
      <c r="L13" s="39" t="n">
        <f aca="false">10*1.45</f>
        <v>14.5</v>
      </c>
      <c r="M13" s="39"/>
      <c r="N13" s="39" t="n">
        <f aca="false">2*25.5+2*2*0.144</f>
        <v>51.576</v>
      </c>
      <c r="O13" s="39" t="n">
        <f aca="false">2*2*20.5+4*1*0.144</f>
        <v>82.576</v>
      </c>
      <c r="P13" s="39" t="n">
        <f aca="false">2*20.5+2*1*0.144</f>
        <v>41.288</v>
      </c>
      <c r="Q13" s="39" t="n">
        <f aca="false">2*20.5+2*1*0.144</f>
        <v>41.288</v>
      </c>
      <c r="R13" s="39" t="n">
        <f aca="false">2*20.5+2*1*0.144</f>
        <v>41.288</v>
      </c>
      <c r="S13" s="39"/>
      <c r="T13" s="39"/>
      <c r="U13" s="39" t="n">
        <f aca="false">20*1.2</f>
        <v>24</v>
      </c>
      <c r="V13" s="39"/>
      <c r="W13" s="39"/>
      <c r="X13" s="39"/>
      <c r="Y13" s="39"/>
      <c r="Z13" s="39"/>
      <c r="AA13" s="39"/>
      <c r="AB13" s="39"/>
      <c r="AC13" s="39"/>
      <c r="AD13" s="39" t="n">
        <f aca="false">18*5.93</f>
        <v>106.74</v>
      </c>
      <c r="AE13" s="39" t="n">
        <f aca="false">18*6.508</f>
        <v>117.144</v>
      </c>
      <c r="AF13" s="39"/>
      <c r="AG13" s="39"/>
      <c r="AH13" s="40" t="n">
        <f aca="false">SUM(B13:AG13)</f>
        <v>801.268</v>
      </c>
      <c r="AI13" s="41" t="n">
        <f aca="false">IFERROR(INDEX(Исходные!$B$21:$B$33,MATCH(18,Исходные!$A$21:$A$33,0)),0)</f>
        <v>1.998</v>
      </c>
      <c r="AJ13" s="40" t="n">
        <f aca="false">AH13*AI13*$AK$2</f>
        <v>1712.99880648</v>
      </c>
      <c r="AK13" s="42" t="n">
        <f aca="false">SUM(B13:D13,F13,H13,J13:M13)</f>
        <v>140.64</v>
      </c>
      <c r="AL13" s="43" t="n">
        <f aca="false">AI13</f>
        <v>1.998</v>
      </c>
      <c r="AM13" s="28" t="n">
        <f aca="false">AK13*AL13*$AK$2</f>
        <v>300.6686304</v>
      </c>
      <c r="AN13" s="42" t="n">
        <f aca="false">SUM(E13,G13,I13,N13:AC13)</f>
        <v>436.744</v>
      </c>
      <c r="AO13" s="43" t="n">
        <f aca="false">AI13</f>
        <v>1.998</v>
      </c>
      <c r="AP13" s="28" t="n">
        <f aca="false">AN13*AO13*$AK$2</f>
        <v>933.69752784</v>
      </c>
      <c r="AQ13" s="42" t="n">
        <f aca="false">SUM(AD13:AG13)</f>
        <v>223.884</v>
      </c>
      <c r="AR13" s="43" t="n">
        <f aca="false">AI13</f>
        <v>1.998</v>
      </c>
      <c r="AS13" s="28" t="n">
        <f aca="false">AQ13*AR13*$AK$2</f>
        <v>478.63264824</v>
      </c>
    </row>
    <row r="14" customFormat="false" ht="15" hidden="false" customHeight="false" outlineLevel="0" collapsed="false">
      <c r="A14" s="6" t="s">
        <v>178</v>
      </c>
      <c r="B14" s="39" t="n">
        <f aca="false">36*2.25</f>
        <v>81</v>
      </c>
      <c r="C14" s="39" t="n">
        <f aca="false">36*1.25+36*2.25</f>
        <v>126</v>
      </c>
      <c r="D14" s="39"/>
      <c r="E14" s="39" t="n">
        <f aca="false">2*25.5+2*2*0.128+2*9.45+2*3.3</f>
        <v>77.012</v>
      </c>
      <c r="F14" s="39"/>
      <c r="G14" s="39" t="n">
        <f aca="false">2*25.5+2*2*0.128+2*2.9+2*2.9</f>
        <v>63.112</v>
      </c>
      <c r="H14" s="39"/>
      <c r="I14" s="39" t="n">
        <f aca="false">2*25.5+2*2*0.128+2*2.9+2*2.9</f>
        <v>63.112</v>
      </c>
      <c r="J14" s="39"/>
      <c r="K14" s="39" t="n">
        <f aca="false">36*1.95+8*1.6</f>
        <v>83</v>
      </c>
      <c r="L14" s="39" t="n">
        <f aca="false">36*1.45</f>
        <v>52.2</v>
      </c>
      <c r="M14" s="39" t="n">
        <f aca="false">36*1.25+36*1.45</f>
        <v>97.2</v>
      </c>
      <c r="N14" s="39" t="n">
        <f aca="false">2*25.5+2*2*0.128+2*1.85</f>
        <v>55.212</v>
      </c>
      <c r="O14" s="39" t="n">
        <f aca="false">2*2*20.5+4*1*0.128+2*2*4.95+2*2*3+2*2*2.9</f>
        <v>125.912</v>
      </c>
      <c r="P14" s="39" t="n">
        <f aca="false">2*20.5+2*1*0.128+2*3.6</f>
        <v>48.456</v>
      </c>
      <c r="Q14" s="39" t="n">
        <f aca="false">2*20.5+2*1*0.128+2*2.9+2*4.95</f>
        <v>56.956</v>
      </c>
      <c r="R14" s="39" t="n">
        <f aca="false">2*20.5+2*1*0.128+2*2.3</f>
        <v>45.856</v>
      </c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40" t="n">
        <f aca="false">SUM(B14:AG14)</f>
        <v>975.028</v>
      </c>
      <c r="AI14" s="41" t="n">
        <f aca="false">IFERROR(INDEX(Исходные!$B$21:$B$33,MATCH(16,Исходные!$A$21:$A$33,0)),0)</f>
        <v>1.578</v>
      </c>
      <c r="AJ14" s="40" t="n">
        <f aca="false">AH14*AI14*$AK$2</f>
        <v>1646.29577688</v>
      </c>
      <c r="AK14" s="42" t="n">
        <f aca="false">SUM(B14:D14,F14,H14,J14:M14)</f>
        <v>439.4</v>
      </c>
      <c r="AL14" s="43" t="n">
        <f aca="false">AI14</f>
        <v>1.578</v>
      </c>
      <c r="AM14" s="28" t="n">
        <f aca="false">AK14*AL14*$AK$2</f>
        <v>741.909324</v>
      </c>
      <c r="AN14" s="42" t="n">
        <f aca="false">SUM(E14,G14,I14,N14:AC14)</f>
        <v>535.628</v>
      </c>
      <c r="AO14" s="43" t="n">
        <f aca="false">AI14</f>
        <v>1.578</v>
      </c>
      <c r="AP14" s="28" t="n">
        <f aca="false">AN14*AO14*$AK$2</f>
        <v>904.38645288</v>
      </c>
      <c r="AQ14" s="42" t="n">
        <f aca="false">SUM(AD14:AG14)</f>
        <v>0</v>
      </c>
      <c r="AR14" s="43" t="n">
        <f aca="false">AI14</f>
        <v>1.578</v>
      </c>
      <c r="AS14" s="28" t="n">
        <f aca="false">AQ14*AR14*$AK$2</f>
        <v>0</v>
      </c>
    </row>
    <row r="15" customFormat="false" ht="15" hidden="false" customHeight="false" outlineLevel="0" collapsed="false">
      <c r="A15" s="6" t="s">
        <v>179</v>
      </c>
      <c r="B15" s="39"/>
      <c r="C15" s="39"/>
      <c r="D15" s="39"/>
      <c r="E15" s="39"/>
      <c r="F15" s="39"/>
      <c r="G15" s="39" t="n">
        <f aca="false">2*3.7+2*3.7</f>
        <v>14.8</v>
      </c>
      <c r="H15" s="39"/>
      <c r="I15" s="39" t="n">
        <f aca="false">2*4.2+2*3.9+2*3.7+2*4.2</f>
        <v>32</v>
      </c>
      <c r="J15" s="39"/>
      <c r="K15" s="39" t="n">
        <f aca="false">36*1.45</f>
        <v>52.2</v>
      </c>
      <c r="L15" s="39"/>
      <c r="M15" s="39" t="n">
        <f aca="false">6*1.45</f>
        <v>8.7</v>
      </c>
      <c r="N15" s="39"/>
      <c r="O15" s="39"/>
      <c r="P15" s="39" t="n">
        <f aca="false">2*4+2*2.4+2*9.1+2*2.85</f>
        <v>36.7</v>
      </c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 t="n">
        <f aca="false">2*25.825+2*2*0.56+2*20.525+2*1*0.56</f>
        <v>96.06</v>
      </c>
      <c r="AB15" s="39"/>
      <c r="AC15" s="39"/>
      <c r="AD15" s="39"/>
      <c r="AE15" s="39"/>
      <c r="AF15" s="39"/>
      <c r="AG15" s="39"/>
      <c r="AH15" s="40" t="n">
        <f aca="false">SUM(B15:AG15)</f>
        <v>240.46</v>
      </c>
      <c r="AI15" s="41" t="n">
        <f aca="false">IFERROR(INDEX(Исходные!$B$21:$B$33,MATCH(14,Исходные!$A$21:$A$33,0)),0)</f>
        <v>1.208</v>
      </c>
      <c r="AJ15" s="40" t="n">
        <f aca="false">AH15*AI15*$AK$2</f>
        <v>310.8089776</v>
      </c>
      <c r="AK15" s="42" t="n">
        <f aca="false">SUM(B15:D15,F15,H15,J15:M15)</f>
        <v>60.9</v>
      </c>
      <c r="AL15" s="43" t="n">
        <f aca="false">AI15</f>
        <v>1.208</v>
      </c>
      <c r="AM15" s="28" t="n">
        <f aca="false">AK15*AL15*$AK$2</f>
        <v>78.716904</v>
      </c>
      <c r="AN15" s="42" t="n">
        <f aca="false">SUM(E15,G15,I15,N15:AC15)</f>
        <v>179.56</v>
      </c>
      <c r="AO15" s="43" t="n">
        <f aca="false">AI15</f>
        <v>1.208</v>
      </c>
      <c r="AP15" s="28" t="n">
        <f aca="false">AN15*AO15*$AK$2</f>
        <v>232.0920736</v>
      </c>
      <c r="AQ15" s="42" t="n">
        <f aca="false">SUM(AD15:AG15)</f>
        <v>0</v>
      </c>
      <c r="AR15" s="43" t="n">
        <f aca="false">AI15</f>
        <v>1.208</v>
      </c>
      <c r="AS15" s="28" t="n">
        <f aca="false">AQ15*AR15*$AK$2</f>
        <v>0</v>
      </c>
    </row>
    <row r="16" customFormat="false" ht="15" hidden="false" customHeight="false" outlineLevel="0" collapsed="false">
      <c r="A16" s="6" t="s">
        <v>180</v>
      </c>
      <c r="B16" s="39"/>
      <c r="C16" s="39"/>
      <c r="D16" s="39"/>
      <c r="E16" s="39"/>
      <c r="F16" s="39"/>
      <c r="G16" s="39" t="n">
        <f aca="false">2*10.6+2*3.6</f>
        <v>28.4</v>
      </c>
      <c r="H16" s="39"/>
      <c r="I16" s="39" t="n">
        <f aca="false">4*17.1+4*1*0.096</f>
        <v>68.784</v>
      </c>
      <c r="J16" s="39"/>
      <c r="K16" s="39"/>
      <c r="L16" s="39"/>
      <c r="M16" s="39"/>
      <c r="N16" s="39"/>
      <c r="O16" s="39" t="n">
        <f aca="false">2*4*2.05</f>
        <v>16.4</v>
      </c>
      <c r="P16" s="39"/>
      <c r="Q16" s="39" t="n">
        <f aca="false">4*3.8+4*3.8+4*2.05</f>
        <v>38.6</v>
      </c>
      <c r="R16" s="39" t="n">
        <f aca="false">4*2.4+4*3.4+4*3.6+4*2.3</f>
        <v>46.8</v>
      </c>
      <c r="S16" s="39"/>
      <c r="T16" s="39"/>
      <c r="U16" s="39"/>
      <c r="V16" s="39"/>
      <c r="W16" s="39"/>
      <c r="X16" s="39"/>
      <c r="Y16" s="39"/>
      <c r="Z16" s="39" t="n">
        <f aca="false">12*1.4+12*2.2</f>
        <v>43.2</v>
      </c>
      <c r="AA16" s="39"/>
      <c r="AB16" s="39"/>
      <c r="AC16" s="39"/>
      <c r="AD16" s="39"/>
      <c r="AE16" s="39"/>
      <c r="AF16" s="39"/>
      <c r="AG16" s="39"/>
      <c r="AH16" s="40" t="n">
        <f aca="false">SUM(B16:AG16)</f>
        <v>242.184</v>
      </c>
      <c r="AI16" s="41" t="n">
        <f aca="false">IFERROR(INDEX(Исходные!$B$21:$B$33,MATCH(12,Исходные!$A$21:$A$33,0)),0)</f>
        <v>0.888</v>
      </c>
      <c r="AJ16" s="40" t="n">
        <f aca="false">AH16*AI16*$AK$2</f>
        <v>230.11354944</v>
      </c>
      <c r="AK16" s="42" t="n">
        <f aca="false">SUM(B16:D16,F16,H16,J16:M16)</f>
        <v>0</v>
      </c>
      <c r="AL16" s="43" t="n">
        <f aca="false">AI16</f>
        <v>0.888</v>
      </c>
      <c r="AM16" s="28" t="n">
        <f aca="false">AK16*AL16*$AK$2</f>
        <v>0</v>
      </c>
      <c r="AN16" s="42" t="n">
        <f aca="false">SUM(E16,G16,I16,N16:AC16)</f>
        <v>242.184</v>
      </c>
      <c r="AO16" s="43" t="n">
        <f aca="false">AI16</f>
        <v>0.888</v>
      </c>
      <c r="AP16" s="28" t="n">
        <f aca="false">AN16*AO16*$AK$2</f>
        <v>230.11354944</v>
      </c>
      <c r="AQ16" s="42" t="n">
        <f aca="false">SUM(AD16:AG16)</f>
        <v>0</v>
      </c>
      <c r="AR16" s="43" t="n">
        <f aca="false">AI16</f>
        <v>0.888</v>
      </c>
      <c r="AS16" s="28" t="n">
        <f aca="false">AQ16*AR16*$AK$2</f>
        <v>0</v>
      </c>
    </row>
    <row r="17" customFormat="false" ht="15" hidden="false" customHeight="false" outlineLevel="0" collapsed="false">
      <c r="A17" s="6" t="s">
        <v>181</v>
      </c>
      <c r="B17" s="39" t="n">
        <f aca="false">4*1.2</f>
        <v>4.8</v>
      </c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 t="n">
        <f aca="false">6*1.25</f>
        <v>7.5</v>
      </c>
      <c r="N17" s="39"/>
      <c r="O17" s="39"/>
      <c r="P17" s="39"/>
      <c r="Q17" s="39"/>
      <c r="R17" s="39"/>
      <c r="S17" s="39"/>
      <c r="T17" s="39"/>
      <c r="U17" s="39"/>
      <c r="V17" s="39" t="n">
        <f aca="false">26*27.35+26*2*0.4+49*25.62+49*2*0.4+1*22.2+1*0.4+16*15.62+16*1*0.4+12*13.9+12*1*0.4+1*10.8+14*8+9*7.95+13*6.9+9*3.78+40*22.35+40*1*0.4+39*20.62+39*1*0.4+26*20.48+26*1*0.4+2*19.01+2*1*0.4+5*17.28+5*1*0.4+17*15.6+17*1*0.4+18*4.15+24*0.62+26*27.35+26*2*0.4+49*25.62+49*2*0.4+1*22.2+1*0.4+16*15.62+16*1*0.4+12*13.9+12*1*0.4+1*10.8+14*8+9*7.95+13*6.9+9*3.78+40*22.35+40*1*0.4+39*20.62+39*1*0.4+26*20.48+26*1*0.4+2*19.01+2*1*0.4+5*17.28+5*1*0.4+17*15.6+17*1*0.4+18*4.15+24*0.62</f>
        <v>11113.06</v>
      </c>
      <c r="W17" s="39"/>
      <c r="X17" s="39"/>
      <c r="Y17" s="39" t="n">
        <f aca="false">22*5.05+25*4.5+20*3.625+17*4.5+17*1.2</f>
        <v>393</v>
      </c>
      <c r="Z17" s="39" t="n">
        <f aca="false">18*1.2+11*1.2+18*1.2+18*1.4+18*2.2+24*1.2+25*2+25*1.2+17*1.2+36*1.2+15*1.4+17*2.2+29*1.4+62*2.2</f>
        <v>529</v>
      </c>
      <c r="AA17" s="39"/>
      <c r="AB17" s="39"/>
      <c r="AC17" s="39" t="n">
        <f aca="false">200*7*0.57</f>
        <v>798</v>
      </c>
      <c r="AD17" s="39" t="n">
        <f aca="false">62*1.19</f>
        <v>73.78</v>
      </c>
      <c r="AE17" s="39" t="n">
        <f aca="false">64*1.19</f>
        <v>76.16</v>
      </c>
      <c r="AF17" s="39" t="n">
        <f aca="false">2*28*1.19+28*0.6+2*4*0.48</f>
        <v>87.28</v>
      </c>
      <c r="AG17" s="39"/>
      <c r="AH17" s="40" t="n">
        <f aca="false">SUM(B17:AG17)</f>
        <v>13082.58</v>
      </c>
      <c r="AI17" s="41" t="n">
        <f aca="false">IFERROR(INDEX(Исходные!$B$21:$B$33,MATCH(10,Исходные!$A$21:$A$33,0)),0)</f>
        <v>0.617</v>
      </c>
      <c r="AJ17" s="40" t="n">
        <f aca="false">AH17*AI17*$AK$2</f>
        <v>8636.9884902</v>
      </c>
      <c r="AK17" s="42" t="n">
        <f aca="false">SUM(B17:D17,F17,H17,J17:M17)</f>
        <v>12.3</v>
      </c>
      <c r="AL17" s="43" t="n">
        <f aca="false">AI17</f>
        <v>0.617</v>
      </c>
      <c r="AM17" s="28" t="n">
        <f aca="false">AK17*AL17*$AK$2</f>
        <v>8.120337</v>
      </c>
      <c r="AN17" s="42" t="n">
        <f aca="false">SUM(E17,G17,I17,N17:AC17)</f>
        <v>12833.06</v>
      </c>
      <c r="AO17" s="43" t="n">
        <f aca="false">AI17</f>
        <v>0.617</v>
      </c>
      <c r="AP17" s="28" t="n">
        <f aca="false">AN17*AO17*$AK$2</f>
        <v>8472.2578814</v>
      </c>
      <c r="AQ17" s="42" t="n">
        <f aca="false">SUM(AD17:AG17)</f>
        <v>237.22</v>
      </c>
      <c r="AR17" s="43" t="n">
        <f aca="false">AI17</f>
        <v>0.617</v>
      </c>
      <c r="AS17" s="28" t="n">
        <f aca="false">AQ17*AR17*$AK$2</f>
        <v>156.6102718</v>
      </c>
    </row>
    <row r="18" customFormat="false" ht="15" hidden="false" customHeight="false" outlineLevel="0" collapsed="false">
      <c r="A18" s="6" t="s">
        <v>182</v>
      </c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40" t="n">
        <f aca="false">SUM(B18:AG18)</f>
        <v>0</v>
      </c>
      <c r="AI18" s="41" t="n">
        <f aca="false">IFERROR(INDEX(Исходные!$B$21:$B$33,MATCH(8,Исходные!$A$21:$A$33,0)),0)</f>
        <v>0.395</v>
      </c>
      <c r="AJ18" s="40" t="n">
        <f aca="false">AH18*AI18*$AK$2</f>
        <v>0</v>
      </c>
      <c r="AK18" s="42" t="n">
        <f aca="false">SUM(B18:D18,F18,H18,J18:M18)</f>
        <v>0</v>
      </c>
      <c r="AL18" s="43" t="n">
        <f aca="false">AI18</f>
        <v>0.395</v>
      </c>
      <c r="AM18" s="28" t="n">
        <f aca="false">AK18*AL18*$AK$2</f>
        <v>0</v>
      </c>
      <c r="AN18" s="42" t="n">
        <f aca="false">SUM(E18,G18,I18,N18:AC18)</f>
        <v>0</v>
      </c>
      <c r="AO18" s="43" t="n">
        <f aca="false">AI18</f>
        <v>0.395</v>
      </c>
      <c r="AP18" s="28" t="n">
        <f aca="false">AN18*AO18*$AK$2</f>
        <v>0</v>
      </c>
      <c r="AQ18" s="42" t="n">
        <f aca="false">SUM(AD18:AG18)</f>
        <v>0</v>
      </c>
      <c r="AR18" s="43" t="n">
        <f aca="false">AI18</f>
        <v>0.395</v>
      </c>
      <c r="AS18" s="28" t="n">
        <f aca="false">AQ18*AR18*$AK$2</f>
        <v>0</v>
      </c>
    </row>
    <row r="19" customFormat="false" ht="15" hidden="false" customHeight="false" outlineLevel="0" collapsed="false">
      <c r="A19" s="6" t="s">
        <v>183</v>
      </c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 t="n">
        <f aca="false">2*0.42</f>
        <v>0.84</v>
      </c>
      <c r="AH19" s="40" t="n">
        <f aca="false">SUM(B19:AG19)</f>
        <v>0.84</v>
      </c>
      <c r="AI19" s="41" t="n">
        <f aca="false">IFERROR(INDEX(Исходные!$B$21:$B$33,MATCH(16,Исходные!$A$21:$A$33,0)),0)</f>
        <v>1.578</v>
      </c>
      <c r="AJ19" s="40" t="n">
        <f aca="false">AH19*AI19*$AK$2</f>
        <v>1.4183064</v>
      </c>
      <c r="AK19" s="42" t="n">
        <f aca="false">SUM(B19:D19,F19,H19,J19:M19)</f>
        <v>0</v>
      </c>
      <c r="AL19" s="43" t="n">
        <f aca="false">AI19</f>
        <v>1.578</v>
      </c>
      <c r="AM19" s="28" t="n">
        <f aca="false">AK19*AL19*$AK$2</f>
        <v>0</v>
      </c>
      <c r="AN19" s="42" t="n">
        <f aca="false">SUM(E19,G19,I19,N19:AC19)</f>
        <v>0</v>
      </c>
      <c r="AO19" s="43" t="n">
        <f aca="false">AI19</f>
        <v>1.578</v>
      </c>
      <c r="AP19" s="28" t="n">
        <f aca="false">AN19*AO19*$AK$2</f>
        <v>0</v>
      </c>
      <c r="AQ19" s="42" t="n">
        <f aca="false">SUM(AD19:AG19)</f>
        <v>0.84</v>
      </c>
      <c r="AR19" s="43" t="n">
        <f aca="false">AI19</f>
        <v>1.578</v>
      </c>
      <c r="AS19" s="28" t="n">
        <f aca="false">AQ19*AR19*$AK$2</f>
        <v>1.4183064</v>
      </c>
    </row>
    <row r="20" customFormat="false" ht="15" hidden="false" customHeight="false" outlineLevel="0" collapsed="false">
      <c r="A20" s="6" t="s">
        <v>184</v>
      </c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40" t="n">
        <f aca="false">SUM(B20:AG20)</f>
        <v>0</v>
      </c>
      <c r="AI20" s="41" t="n">
        <f aca="false">IFERROR(INDEX(Исходные!$B$21:$B$33,MATCH(12,Исходные!$A$21:$A$33,0)),0)</f>
        <v>0.888</v>
      </c>
      <c r="AJ20" s="40" t="n">
        <f aca="false">AH20*AI20*$AK$2</f>
        <v>0</v>
      </c>
      <c r="AK20" s="42" t="n">
        <f aca="false">SUM(B20:D20,F20,H20,J20:M20)</f>
        <v>0</v>
      </c>
      <c r="AL20" s="43" t="n">
        <f aca="false">AI20</f>
        <v>0.888</v>
      </c>
      <c r="AM20" s="28" t="n">
        <f aca="false">AK20*AL20*$AK$2</f>
        <v>0</v>
      </c>
      <c r="AN20" s="42" t="n">
        <f aca="false">SUM(E20,G20,I20,N20:AC20)</f>
        <v>0</v>
      </c>
      <c r="AO20" s="43" t="n">
        <f aca="false">AI20</f>
        <v>0.888</v>
      </c>
      <c r="AP20" s="28" t="n">
        <f aca="false">AN20*AO20*$AK$2</f>
        <v>0</v>
      </c>
      <c r="AQ20" s="42" t="n">
        <f aca="false">SUM(AD20:AG20)</f>
        <v>0</v>
      </c>
      <c r="AR20" s="43" t="n">
        <f aca="false">AI20</f>
        <v>0.888</v>
      </c>
      <c r="AS20" s="28" t="n">
        <f aca="false">AQ20*AR20*$AK$2</f>
        <v>0</v>
      </c>
    </row>
    <row r="21" customFormat="false" ht="15" hidden="false" customHeight="false" outlineLevel="0" collapsed="false">
      <c r="A21" s="6" t="s">
        <v>185</v>
      </c>
      <c r="B21" s="39" t="n">
        <f aca="false">54*1.33+36*1.56+18*1.76</f>
        <v>159.66</v>
      </c>
      <c r="C21" s="39" t="n">
        <f aca="false">36*1.33+18*1.56+18*1.76</f>
        <v>107.64</v>
      </c>
      <c r="D21" s="39"/>
      <c r="E21" s="39" t="n">
        <f aca="false">35*2.06+8*1.6</f>
        <v>84.9</v>
      </c>
      <c r="F21" s="39"/>
      <c r="G21" s="39" t="n">
        <f aca="false">95*2.06+19*1.6</f>
        <v>226.1</v>
      </c>
      <c r="H21" s="39"/>
      <c r="I21" s="39" t="n">
        <f aca="false">124*2.06+115*1.6</f>
        <v>439.44</v>
      </c>
      <c r="J21" s="39"/>
      <c r="K21" s="39" t="n">
        <f aca="false">54*1.33+36*1.56</f>
        <v>127.98</v>
      </c>
      <c r="L21" s="39" t="n">
        <f aca="false">18*1.33+18*1.76</f>
        <v>55.62</v>
      </c>
      <c r="M21" s="39" t="n">
        <f aca="false">36*1.33+18*1.56</f>
        <v>75.96</v>
      </c>
      <c r="N21" s="39" t="n">
        <f aca="false">45*2.06</f>
        <v>92.7</v>
      </c>
      <c r="O21" s="39" t="n">
        <f aca="false">2*36*2.06</f>
        <v>148.32</v>
      </c>
      <c r="P21" s="39" t="n">
        <f aca="false">92*2.06+86*1.6</f>
        <v>327.12</v>
      </c>
      <c r="Q21" s="39" t="n">
        <f aca="false">106*2.06+50*1.6</f>
        <v>298.36</v>
      </c>
      <c r="R21" s="39" t="n">
        <f aca="false">86*2.06+26*1.6</f>
        <v>218.76</v>
      </c>
      <c r="S21" s="39"/>
      <c r="T21" s="39"/>
      <c r="U21" s="39"/>
      <c r="V21" s="39"/>
      <c r="W21" s="39" t="n">
        <f aca="false">847*0.42</f>
        <v>355.74</v>
      </c>
      <c r="X21" s="39"/>
      <c r="Y21" s="39"/>
      <c r="Z21" s="39"/>
      <c r="AA21" s="39" t="n">
        <f aca="false">119*0.7</f>
        <v>83.3</v>
      </c>
      <c r="AB21" s="39"/>
      <c r="AC21" s="39"/>
      <c r="AD21" s="39" t="n">
        <f aca="false">62*0.52</f>
        <v>32.24</v>
      </c>
      <c r="AE21" s="39" t="n">
        <f aca="false">64*0.52</f>
        <v>33.28</v>
      </c>
      <c r="AF21" s="39" t="n">
        <f aca="false">2*28*0.52</f>
        <v>29.12</v>
      </c>
      <c r="AG21" s="39"/>
      <c r="AH21" s="40" t="n">
        <f aca="false">SUM(B21:AG21)</f>
        <v>2896.24</v>
      </c>
      <c r="AI21" s="41" t="n">
        <f aca="false">IFERROR(INDEX(Исходные!$B$21:$B$33,MATCH(10,Исходные!$A$21:$A$33,0)),0)</f>
        <v>0.617</v>
      </c>
      <c r="AJ21" s="40" t="n">
        <f aca="false">AH21*AI21*$AK$2</f>
        <v>1912.0686856</v>
      </c>
      <c r="AK21" s="42" t="n">
        <f aca="false">SUM(B21:D21,F21,H21,J21:M21)</f>
        <v>526.86</v>
      </c>
      <c r="AL21" s="43" t="n">
        <f aca="false">AI21</f>
        <v>0.617</v>
      </c>
      <c r="AM21" s="28" t="n">
        <f aca="false">AK21*AL21*$AK$2</f>
        <v>347.8277034</v>
      </c>
      <c r="AN21" s="42" t="n">
        <f aca="false">SUM(E21,G21,I21,N21:AC21)</f>
        <v>2274.74</v>
      </c>
      <c r="AO21" s="43" t="n">
        <f aca="false">AI21</f>
        <v>0.617</v>
      </c>
      <c r="AP21" s="28" t="n">
        <f aca="false">AN21*AO21*$AK$2</f>
        <v>1501.7606006</v>
      </c>
      <c r="AQ21" s="42" t="n">
        <f aca="false">SUM(AD21:AG21)</f>
        <v>94.64</v>
      </c>
      <c r="AR21" s="43" t="n">
        <f aca="false">AI21</f>
        <v>0.617</v>
      </c>
      <c r="AS21" s="28" t="n">
        <f aca="false">AQ21*AR21*$AK$2</f>
        <v>62.4803816</v>
      </c>
    </row>
    <row r="22" customFormat="false" ht="15" hidden="false" customHeight="false" outlineLevel="0" collapsed="false">
      <c r="A22" s="6" t="s">
        <v>186</v>
      </c>
      <c r="B22" s="39" t="n">
        <f aca="false">30*2.44+36*1.96+90*0.53</f>
        <v>191.46</v>
      </c>
      <c r="C22" s="39" t="n">
        <f aca="false">30*2.44+36*1.96+63*0.53</f>
        <v>177.15</v>
      </c>
      <c r="D22" s="39" t="n">
        <f aca="false">3*30*2.44+3*36*1.96</f>
        <v>431.28</v>
      </c>
      <c r="E22" s="39" t="n">
        <f aca="false">134*2.06+105*0.75+70*0.58</f>
        <v>395.39</v>
      </c>
      <c r="F22" s="39" t="n">
        <f aca="false">5*30*2.44+5*36*1.96</f>
        <v>718.8</v>
      </c>
      <c r="G22" s="39" t="n">
        <f aca="false">99*2.06+113*0.75+77*0.58</f>
        <v>333.35</v>
      </c>
      <c r="H22" s="39" t="n">
        <f aca="false">5*30*2.44+5*36*1.96</f>
        <v>718.8</v>
      </c>
      <c r="I22" s="39" t="n">
        <f aca="false">78*2.06+54*0.75+77*0.58</f>
        <v>245.84</v>
      </c>
      <c r="J22" s="39" t="n">
        <f aca="false">2*30*2.44+2*36*1.96</f>
        <v>287.52</v>
      </c>
      <c r="K22" s="39" t="n">
        <f aca="false">18*1.76+30*2.44+36*1.96+81*0.53</f>
        <v>218.37</v>
      </c>
      <c r="L22" s="39" t="n">
        <f aca="false">30*2.44+36*1.96+36*0.53</f>
        <v>162.84</v>
      </c>
      <c r="M22" s="39" t="n">
        <f aca="false">18*1.76+30*2.44+36*1.96+54*0.53</f>
        <v>204.06</v>
      </c>
      <c r="N22" s="39" t="n">
        <f aca="false">125*2.06+106*0.75+67*0.58</f>
        <v>375.86</v>
      </c>
      <c r="O22" s="39" t="n">
        <f aca="false">2*112*2.06+2*99*0.75+2*62*0.58</f>
        <v>681.86</v>
      </c>
      <c r="P22" s="39" t="n">
        <f aca="false">47*2.06+35*0.75+54*0.58</f>
        <v>154.39</v>
      </c>
      <c r="Q22" s="39" t="n">
        <f aca="false">52*2.06+73*0.75+62*0.58</f>
        <v>197.83</v>
      </c>
      <c r="R22" s="39" t="n">
        <f aca="false">51*2.06+71*0.75+54*0.58</f>
        <v>189.63</v>
      </c>
      <c r="S22" s="39"/>
      <c r="T22" s="39" t="n">
        <f aca="false">925*1.24+44*1.24+44*1.44+88*1.04+272*1.14</f>
        <v>1666.52</v>
      </c>
      <c r="U22" s="39"/>
      <c r="V22" s="39"/>
      <c r="W22" s="39" t="n">
        <f aca="false">847*0.22</f>
        <v>186.34</v>
      </c>
      <c r="X22" s="39"/>
      <c r="Y22" s="39"/>
      <c r="Z22" s="39"/>
      <c r="AA22" s="39"/>
      <c r="AB22" s="39"/>
      <c r="AC22" s="39"/>
      <c r="AD22" s="39"/>
      <c r="AE22" s="39"/>
      <c r="AF22" s="39"/>
      <c r="AG22" s="39" t="n">
        <f aca="false">15*1.28+22*1.16</f>
        <v>44.72</v>
      </c>
      <c r="AH22" s="40" t="n">
        <f aca="false">SUM(B22:AG22)</f>
        <v>7582.01</v>
      </c>
      <c r="AI22" s="41" t="n">
        <f aca="false">IFERROR(INDEX(Исходные!$B$21:$B$33,MATCH(8,Исходные!$A$21:$A$33,0)),0)</f>
        <v>0.395</v>
      </c>
      <c r="AJ22" s="40" t="n">
        <f aca="false">AH22*AI22*$AK$2</f>
        <v>3204.5365265</v>
      </c>
      <c r="AK22" s="42" t="n">
        <f aca="false">SUM(B22:D22,F22,H22,J22:M22)</f>
        <v>3110.28</v>
      </c>
      <c r="AL22" s="43" t="n">
        <f aca="false">AI22</f>
        <v>0.395</v>
      </c>
      <c r="AM22" s="28" t="n">
        <f aca="false">AK22*AL22*$AK$2</f>
        <v>1314.559842</v>
      </c>
      <c r="AN22" s="42" t="n">
        <f aca="false">SUM(E22,G22,I22,N22:AC22)</f>
        <v>4427.01</v>
      </c>
      <c r="AO22" s="43" t="n">
        <f aca="false">AI22</f>
        <v>0.395</v>
      </c>
      <c r="AP22" s="28" t="n">
        <f aca="false">AN22*AO22*$AK$2</f>
        <v>1871.0757765</v>
      </c>
      <c r="AQ22" s="42" t="n">
        <f aca="false">SUM(AD22:AG22)</f>
        <v>44.72</v>
      </c>
      <c r="AR22" s="43" t="n">
        <f aca="false">AI22</f>
        <v>0.395</v>
      </c>
      <c r="AS22" s="28" t="n">
        <f aca="false">AQ22*AR22*$AK$2</f>
        <v>18.900908</v>
      </c>
    </row>
    <row r="23" customFormat="false" ht="15" hidden="false" customHeight="false" outlineLevel="0" collapsed="false">
      <c r="A23" s="6" t="s">
        <v>187</v>
      </c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 t="n">
        <f aca="false">41*0.28</f>
        <v>11.48</v>
      </c>
      <c r="AE23" s="39" t="n">
        <f aca="false">42*0.28</f>
        <v>11.76</v>
      </c>
      <c r="AF23" s="39" t="n">
        <f aca="false">28*0.28</f>
        <v>7.84</v>
      </c>
      <c r="AG23" s="39"/>
      <c r="AH23" s="40" t="n">
        <f aca="false">SUM(B23:AG23)</f>
        <v>31.08</v>
      </c>
      <c r="AI23" s="41" t="n">
        <f aca="false">IFERROR(INDEX(Исходные!$B$21:$B$33,MATCH(6,Исходные!$A$21:$A$33,0)),0)</f>
        <v>0.222</v>
      </c>
      <c r="AJ23" s="40" t="n">
        <f aca="false">AH23*AI23*$AK$2</f>
        <v>7.3827432</v>
      </c>
      <c r="AK23" s="42" t="n">
        <f aca="false">SUM(B23:D23,F23,H23,J23:M23)</f>
        <v>0</v>
      </c>
      <c r="AL23" s="43" t="n">
        <f aca="false">AI23</f>
        <v>0.222</v>
      </c>
      <c r="AM23" s="28" t="n">
        <f aca="false">AK23*AL23*$AK$2</f>
        <v>0</v>
      </c>
      <c r="AN23" s="42" t="n">
        <f aca="false">SUM(E23,G23,I23,N23:AC23)</f>
        <v>0</v>
      </c>
      <c r="AO23" s="43" t="n">
        <f aca="false">AI23</f>
        <v>0.222</v>
      </c>
      <c r="AP23" s="28" t="n">
        <f aca="false">AN23*AO23*$AK$2</f>
        <v>0</v>
      </c>
      <c r="AQ23" s="42" t="n">
        <f aca="false">SUM(AD23:AG23)</f>
        <v>31.08</v>
      </c>
      <c r="AR23" s="43" t="n">
        <f aca="false">AI23</f>
        <v>0.222</v>
      </c>
      <c r="AS23" s="28" t="n">
        <f aca="false">AQ23*AR23*$AK$2</f>
        <v>7.3827432</v>
      </c>
    </row>
    <row r="24" customFormat="false" ht="15" hidden="false" customHeight="false" outlineLevel="0" collapsed="false">
      <c r="A24" s="6" t="s">
        <v>188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 t="n">
        <f aca="false">6.9</f>
        <v>6.9</v>
      </c>
      <c r="AE24" s="44" t="n">
        <f aca="false">7.1</f>
        <v>7.1</v>
      </c>
      <c r="AF24" s="44"/>
      <c r="AG24" s="44"/>
      <c r="AH24" s="40" t="n">
        <f aca="false">SUM(B24:AG24)</f>
        <v>14</v>
      </c>
      <c r="AI24" s="41" t="n">
        <f aca="false">Исходные!$B$34</f>
        <v>3.08</v>
      </c>
      <c r="AJ24" s="40" t="n">
        <f aca="false">AH24*AI24*$AK$2</f>
        <v>46.1384</v>
      </c>
      <c r="AK24" s="42" t="n">
        <f aca="false">SUM(B24:D24,F24,H24,J24:M24)</f>
        <v>0</v>
      </c>
      <c r="AL24" s="43" t="n">
        <f aca="false">AI24</f>
        <v>3.08</v>
      </c>
      <c r="AM24" s="28" t="n">
        <f aca="false">AK24*AL24*$AK$2</f>
        <v>0</v>
      </c>
      <c r="AN24" s="42" t="n">
        <f aca="false">SUM(E24,G24,I24,N24:AC24)</f>
        <v>0</v>
      </c>
      <c r="AO24" s="43" t="n">
        <f aca="false">AI24</f>
        <v>3.08</v>
      </c>
      <c r="AP24" s="28" t="n">
        <f aca="false">AN24*AO24*$AK$2</f>
        <v>0</v>
      </c>
      <c r="AQ24" s="42" t="n">
        <f aca="false">SUM(AD24:AG24)</f>
        <v>14</v>
      </c>
      <c r="AR24" s="43" t="n">
        <f aca="false">AI24</f>
        <v>3.08</v>
      </c>
      <c r="AS24" s="28" t="n">
        <f aca="false">AQ24*AR24*$AK$2</f>
        <v>46.1384</v>
      </c>
    </row>
    <row r="25" customFormat="false" ht="15" hidden="false" customHeight="false" outlineLevel="0" collapsed="false">
      <c r="A25" s="45" t="s">
        <v>189</v>
      </c>
      <c r="B25" s="46" t="n">
        <f aca="false">SUMPRODUCT(B8:B24,$AI$8:$AI$24)</f>
        <v>1586.415728</v>
      </c>
      <c r="C25" s="46" t="n">
        <f aca="false">SUMPRODUCT(C8:C24,$AI$8:$AI$24)</f>
        <v>1244.93613</v>
      </c>
      <c r="D25" s="46" t="n">
        <f aca="false">SUMPRODUCT(D8:D24,$AI$8:$AI$24)</f>
        <v>710.1156</v>
      </c>
      <c r="E25" s="46" t="n">
        <f aca="false">SUMPRODUCT(E8:E24,$AI$8:$AI$24)</f>
        <v>1246.100334</v>
      </c>
      <c r="F25" s="46" t="n">
        <f aca="false">SUMPRODUCT(F8:F24,$AI$8:$AI$24)</f>
        <v>1183.526</v>
      </c>
      <c r="G25" s="46" t="n">
        <f aca="false">SUMPRODUCT(G8:G24,$AI$8:$AI$24)</f>
        <v>1177.966934</v>
      </c>
      <c r="H25" s="46" t="n">
        <f aca="false">SUMPRODUCT(H8:H24,$AI$8:$AI$24)</f>
        <v>1183.526</v>
      </c>
      <c r="I25" s="46" t="n">
        <f aca="false">SUMPRODUCT(I8:I24,$AI$8:$AI$24)</f>
        <v>1346.636556</v>
      </c>
      <c r="J25" s="46" t="n">
        <f aca="false">SUMPRODUCT(J8:J24,$AI$8:$AI$24)</f>
        <v>473.4104</v>
      </c>
      <c r="K25" s="46" t="n">
        <f aca="false">SUMPRODUCT(K8:K24,$AI$8:$AI$24)</f>
        <v>1361.830122</v>
      </c>
      <c r="L25" s="46" t="n">
        <f aca="false">SUMPRODUCT(L8:L24,$AI$8:$AI$24)</f>
        <v>680.33394</v>
      </c>
      <c r="M25" s="46" t="n">
        <f aca="false">SUMPRODUCT(M8:M24,$AI$8:$AI$24)</f>
        <v>972.34972</v>
      </c>
      <c r="N25" s="46" t="n">
        <f aca="false">SUMPRODUCT(N8:N24,$AI$8:$AI$24)</f>
        <v>1268.434484</v>
      </c>
      <c r="O25" s="46" t="n">
        <f aca="false">SUMPRODUCT(O8:O24,$AI$8:$AI$24)</f>
        <v>1772.531124</v>
      </c>
      <c r="P25" s="46" t="n">
        <f aca="false">SUMPRODUCT(P8:P24,$AI$8:$AI$24)</f>
        <v>1139.515982</v>
      </c>
      <c r="Q25" s="46" t="n">
        <f aca="false">SUMPRODUCT(Q8:Q24,$AI$8:$AI$24)</f>
        <v>1064.559262</v>
      </c>
      <c r="R25" s="46" t="n">
        <f aca="false">SUMPRODUCT(R8:R24,$AI$8:$AI$24)</f>
        <v>1009.272262</v>
      </c>
      <c r="S25" s="46" t="n">
        <f aca="false">SUMPRODUCT(S8:S24,$AI$8:$AI$24)</f>
        <v>3062.71604</v>
      </c>
      <c r="T25" s="46" t="n">
        <f aca="false">SUMPRODUCT(T8:T24,$AI$8:$AI$24)</f>
        <v>658.2754</v>
      </c>
      <c r="U25" s="46" t="n">
        <f aca="false">SUMPRODUCT(U8:U24,$AI$8:$AI$24)</f>
        <v>47.952</v>
      </c>
      <c r="V25" s="46" t="n">
        <f aca="false">SUMPRODUCT(V8:V24,$AI$8:$AI$24)</f>
        <v>6856.75802</v>
      </c>
      <c r="W25" s="46" t="n">
        <f aca="false">SUMPRODUCT(W8:W24,$AI$8:$AI$24)</f>
        <v>293.09588</v>
      </c>
      <c r="X25" s="46" t="n">
        <f aca="false">SUMPRODUCT(X8:X24,$AI$8:$AI$24)</f>
        <v>0</v>
      </c>
      <c r="Y25" s="46" t="n">
        <f aca="false">SUMPRODUCT(Y8:Y24,$AI$8:$AI$24)</f>
        <v>242.481</v>
      </c>
      <c r="Z25" s="46" t="n">
        <f aca="false">SUMPRODUCT(Z8:Z24,$AI$8:$AI$24)</f>
        <v>394.3466</v>
      </c>
      <c r="AA25" s="46" t="n">
        <f aca="false">SUMPRODUCT(AA8:AA24,$AI$8:$AI$24)</f>
        <v>167.43658</v>
      </c>
      <c r="AB25" s="46" t="n">
        <f aca="false">SUMPRODUCT(AB8:AB24,$AI$8:$AI$24)</f>
        <v>0</v>
      </c>
      <c r="AC25" s="46" t="n">
        <f aca="false">SUMPRODUCT(AC8:AC24,$AI$8:$AI$24)</f>
        <v>492.366</v>
      </c>
      <c r="AD25" s="46" t="n">
        <f aca="false">SUMPRODUCT(AD8:AD24,$AI$8:$AI$24)</f>
        <v>302.48142</v>
      </c>
      <c r="AE25" s="46" t="n">
        <f aca="false">SUMPRODUCT(AE8:AE24,$AI$8:$AI$24)</f>
        <v>326.056912</v>
      </c>
      <c r="AF25" s="46" t="n">
        <f aca="false">SUMPRODUCT(AF8:AF24,$AI$8:$AI$24)</f>
        <v>73.55928</v>
      </c>
      <c r="AG25" s="46" t="n">
        <f aca="false">SUMPRODUCT(AG8:AG24,$AI$8:$AI$24)</f>
        <v>101.36706</v>
      </c>
      <c r="AH25" s="45"/>
      <c r="AI25" s="18" t="s">
        <v>36</v>
      </c>
      <c r="AJ25" s="47" t="n">
        <f aca="false">SUMPRODUCT(AH8:AH24,AI8:AI24)</f>
        <v>32440.35277</v>
      </c>
      <c r="AK25" s="45"/>
      <c r="AL25" s="18" t="s">
        <v>36</v>
      </c>
      <c r="AM25" s="47" t="n">
        <f aca="false">SUMPRODUCT(AK8:AK24,AL8:AL24)</f>
        <v>9396.44364</v>
      </c>
      <c r="AN25" s="45"/>
      <c r="AO25" s="18" t="s">
        <v>36</v>
      </c>
      <c r="AP25" s="47" t="n">
        <f aca="false">SUMPRODUCT(AN8:AN24,AO8:AO24)</f>
        <v>22240.444458</v>
      </c>
      <c r="AQ25" s="45"/>
      <c r="AR25" s="18" t="s">
        <v>36</v>
      </c>
      <c r="AS25" s="47" t="n">
        <f aca="false">SUMPRODUCT(AQ8:AQ24,AR8:AR24)</f>
        <v>803.464672</v>
      </c>
    </row>
    <row r="26" customFormat="false" ht="23.85" hidden="false" customHeight="false" outlineLevel="0" collapsed="false">
      <c r="A26" s="4" t="s">
        <v>190</v>
      </c>
      <c r="B26" s="48" t="n">
        <f aca="false">B25*$AK$2</f>
        <v>1697.46482896</v>
      </c>
      <c r="C26" s="48" t="n">
        <f aca="false">C25*$AK$2</f>
        <v>1332.0816591</v>
      </c>
      <c r="D26" s="48" t="n">
        <f aca="false">D25*$AK$2</f>
        <v>759.823692</v>
      </c>
      <c r="E26" s="48" t="n">
        <f aca="false">E25*$AK$2</f>
        <v>1333.32735738</v>
      </c>
      <c r="F26" s="48" t="n">
        <f aca="false">F25*$AK$2</f>
        <v>1266.37282</v>
      </c>
      <c r="G26" s="48" t="n">
        <f aca="false">G25*$AK$2</f>
        <v>1260.42461938</v>
      </c>
      <c r="H26" s="48" t="n">
        <f aca="false">H25*$AK$2</f>
        <v>1266.37282</v>
      </c>
      <c r="I26" s="48" t="n">
        <f aca="false">I25*$AK$2</f>
        <v>1440.90111492</v>
      </c>
      <c r="J26" s="48" t="n">
        <f aca="false">J25*$AK$2</f>
        <v>506.549128</v>
      </c>
      <c r="K26" s="48" t="n">
        <f aca="false">K25*$AK$2</f>
        <v>1457.15823054</v>
      </c>
      <c r="L26" s="48" t="n">
        <f aca="false">L25*$AK$2</f>
        <v>727.9573158</v>
      </c>
      <c r="M26" s="48" t="n">
        <f aca="false">M25*$AK$2</f>
        <v>1040.4142004</v>
      </c>
      <c r="N26" s="48" t="n">
        <f aca="false">N25*$AK$2</f>
        <v>1357.22489788</v>
      </c>
      <c r="O26" s="48" t="n">
        <f aca="false">O25*$AK$2</f>
        <v>1896.60830268</v>
      </c>
      <c r="P26" s="48" t="n">
        <f aca="false">P25*$AK$2</f>
        <v>1219.28210074</v>
      </c>
      <c r="Q26" s="48" t="n">
        <f aca="false">Q25*$AK$2</f>
        <v>1139.07841034</v>
      </c>
      <c r="R26" s="48" t="n">
        <f aca="false">R25*$AK$2</f>
        <v>1079.92132034</v>
      </c>
      <c r="S26" s="48" t="n">
        <f aca="false">S25*$AK$2</f>
        <v>3277.1061628</v>
      </c>
      <c r="T26" s="48" t="n">
        <f aca="false">T25*$AK$2</f>
        <v>704.354678</v>
      </c>
      <c r="U26" s="48" t="n">
        <f aca="false">U25*$AK$2</f>
        <v>51.30864</v>
      </c>
      <c r="V26" s="48" t="n">
        <f aca="false">V25*$AK$2</f>
        <v>7336.7310814</v>
      </c>
      <c r="W26" s="48" t="n">
        <f aca="false">W25*$AK$2</f>
        <v>313.6125916</v>
      </c>
      <c r="X26" s="48" t="n">
        <f aca="false">X25*$AK$2</f>
        <v>0</v>
      </c>
      <c r="Y26" s="48" t="n">
        <f aca="false">Y25*$AK$2</f>
        <v>259.45467</v>
      </c>
      <c r="Z26" s="48" t="n">
        <f aca="false">Z25*$AK$2</f>
        <v>421.950862</v>
      </c>
      <c r="AA26" s="48" t="n">
        <f aca="false">AA25*$AK$2</f>
        <v>179.1571406</v>
      </c>
      <c r="AB26" s="48" t="n">
        <f aca="false">AB25*$AK$2</f>
        <v>0</v>
      </c>
      <c r="AC26" s="48" t="n">
        <f aca="false">AC25*$AK$2</f>
        <v>526.83162</v>
      </c>
      <c r="AD26" s="48" t="n">
        <f aca="false">AD25*$AK$2</f>
        <v>323.6551194</v>
      </c>
      <c r="AE26" s="48" t="n">
        <f aca="false">AE25*$AK$2</f>
        <v>348.88089584</v>
      </c>
      <c r="AF26" s="48" t="n">
        <f aca="false">AF25*$AK$2</f>
        <v>78.7084296</v>
      </c>
      <c r="AG26" s="48" t="n">
        <f aca="false">AG25*$AK$2</f>
        <v>108.4627542</v>
      </c>
      <c r="AH26" s="4"/>
      <c r="AI26" s="5" t="s">
        <v>191</v>
      </c>
      <c r="AJ26" s="49" t="n">
        <f aca="false">SUM(AJ8:AJ24)</f>
        <v>34711.1774639</v>
      </c>
      <c r="AK26" s="4"/>
      <c r="AL26" s="5" t="s">
        <v>191</v>
      </c>
      <c r="AM26" s="49" t="n">
        <f aca="false">SUM(AM8:AM24)</f>
        <v>10054.1946948</v>
      </c>
      <c r="AN26" s="4"/>
      <c r="AO26" s="5" t="s">
        <v>191</v>
      </c>
      <c r="AP26" s="49" t="n">
        <f aca="false">SUM(AP8:AP24)</f>
        <v>23797.27557006</v>
      </c>
      <c r="AQ26" s="4"/>
      <c r="AR26" s="5" t="s">
        <v>191</v>
      </c>
      <c r="AS26" s="49" t="n">
        <f aca="false">SUM(AS8:AS24)</f>
        <v>859.70719904</v>
      </c>
    </row>
    <row r="27" customFormat="false" ht="15" hidden="false" customHeight="false" outlineLevel="0" collapsed="false">
      <c r="AI27" s="5" t="s">
        <v>192</v>
      </c>
      <c r="AJ27" s="50" t="n">
        <f aca="false">AJ26/1000</f>
        <v>34.7111774639</v>
      </c>
      <c r="AL27" s="5" t="s">
        <v>192</v>
      </c>
      <c r="AM27" s="50" t="n">
        <f aca="false">AM26/1000</f>
        <v>10.0541946948</v>
      </c>
      <c r="AO27" s="5" t="s">
        <v>192</v>
      </c>
      <c r="AP27" s="50" t="n">
        <f aca="false">AP26/1000</f>
        <v>23.79727557006</v>
      </c>
      <c r="AR27" s="5" t="s">
        <v>192</v>
      </c>
      <c r="AS27" s="50" t="n">
        <f aca="false">AS26/1000</f>
        <v>0.85970719904</v>
      </c>
    </row>
    <row r="28" customFormat="false" ht="23.85" hidden="false" customHeight="false" outlineLevel="0" collapsed="false">
      <c r="A28" s="20" t="s">
        <v>193</v>
      </c>
      <c r="AJ28" s="21" t="n">
        <f aca="false">ROUND(AJ25-Ведомость!P2054,1)</f>
        <v>0</v>
      </c>
      <c r="AK28" s="35" t="s">
        <v>40</v>
      </c>
    </row>
    <row r="30" customFormat="false" ht="15" hidden="false" customHeight="false" outlineLevel="0" collapsed="false">
      <c r="A30" s="4" t="s">
        <v>194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</row>
    <row r="31" customFormat="false" ht="15" hidden="false" customHeight="false" outlineLevel="0" collapsed="false">
      <c r="A31" s="6" t="s">
        <v>195</v>
      </c>
      <c r="B31" s="44" t="n">
        <f aca="false">(0.6*0.6+2*0.7*0.4+1.7*0.4)*(4-0.12)</f>
        <v>6.208</v>
      </c>
      <c r="C31" s="44" t="n">
        <f aca="false">(0.6*0.6+0.7*0.4+1.7*0.4)*(4-0.12)</f>
        <v>5.1216</v>
      </c>
      <c r="D31" s="44" t="n">
        <f aca="false">3*0.6*0.6*(4-0.12)</f>
        <v>4.1904</v>
      </c>
      <c r="E31" s="44" t="n">
        <f aca="false">1*0.45*(0.63-0.12)*20.5</f>
        <v>4.70475</v>
      </c>
      <c r="F31" s="44" t="n">
        <f aca="false">5*0.6*0.6*(4-0.12)</f>
        <v>6.984</v>
      </c>
      <c r="G31" s="44" t="n">
        <f aca="false">1*0.45*(0.63-0.12)*22.6</f>
        <v>5.1867</v>
      </c>
      <c r="H31" s="44" t="n">
        <f aca="false">5*0.6*0.6*(4-0.12)</f>
        <v>6.984</v>
      </c>
      <c r="I31" s="44" t="n">
        <f aca="false">1*0.45*(0.63-0.12)*22.6</f>
        <v>5.1867</v>
      </c>
      <c r="J31" s="44" t="n">
        <f aca="false">2*0.6*0.6*(4-0.12)</f>
        <v>2.7936</v>
      </c>
      <c r="K31" s="44" t="n">
        <f aca="false">(0.6*0.6+2*0.7*0.4+0.9*0.4)*(4-0.12)</f>
        <v>4.9664</v>
      </c>
      <c r="L31" s="44" t="n">
        <f aca="false">(0.6*0.6+0.9*0.4)*(4-0.12)</f>
        <v>2.7936</v>
      </c>
      <c r="M31" s="44" t="n">
        <f aca="false">(0.6*0.6+0.7*0.4+0.9*0.4)*(4-0.12)</f>
        <v>3.88</v>
      </c>
      <c r="N31" s="44" t="n">
        <f aca="false">1*0.45*(0.63-0.12)*19.8</f>
        <v>4.5441</v>
      </c>
      <c r="O31" s="44" t="n">
        <f aca="false">2*0.45*(0.6-0.12)*18.2</f>
        <v>7.8624</v>
      </c>
      <c r="P31" s="44" t="n">
        <f aca="false">1*0.45*(0.6-0.12)*15.8</f>
        <v>3.4128</v>
      </c>
      <c r="Q31" s="44" t="n">
        <f aca="false">1*0.45*(0.6-0.12)*18.2</f>
        <v>3.9312</v>
      </c>
      <c r="R31" s="44" t="n">
        <f aca="false">1*0.45*(0.6-0.12)*15.8</f>
        <v>3.4128</v>
      </c>
      <c r="S31" s="44" t="n">
        <f aca="false">137.85*0.3*(0.3-0.12)+6.05*0.3*(0.4-0.12)+11.71*0.2*(0.3-0.12)+35.75*0.25*(0.3-0.12)</f>
        <v>9.98241</v>
      </c>
      <c r="T31" s="44"/>
      <c r="U31" s="44"/>
      <c r="V31" s="44" t="n">
        <f aca="false">542.03*0.12</f>
        <v>65.0436</v>
      </c>
      <c r="W31" s="44"/>
      <c r="X31" s="44"/>
      <c r="Y31" s="44"/>
      <c r="Z31" s="44"/>
      <c r="AA31" s="44"/>
      <c r="AB31" s="44"/>
      <c r="AC31" s="44"/>
      <c r="AD31" s="44" t="n">
        <f aca="false">SQRT(3.6^2+1.92^2)*1.25*0.15+12*0.3*0.16/2*1.25</f>
        <v>1.125</v>
      </c>
      <c r="AE31" s="44" t="n">
        <f aca="false">SQRT(3.6^2+2.08^2)*1.25*0.15+13*0.3*0.16/2*1.25</f>
        <v>1.16956718761118</v>
      </c>
      <c r="AF31" s="44" t="n">
        <f aca="false">1.4*2.89*0.15</f>
        <v>0.6069</v>
      </c>
      <c r="AG31" s="44" t="n">
        <f aca="false">0.3*0.3*(1.82-0.3+0.55)+0.3*0.3*2.255</f>
        <v>0.38925</v>
      </c>
      <c r="AH31" s="51" t="n">
        <f aca="false">SUM(B31:AG31)</f>
        <v>160.479777187611</v>
      </c>
      <c r="AI31" s="20"/>
      <c r="AJ31" s="51" t="n">
        <f aca="false">AH31*$AL$2</f>
        <v>160.479777187611</v>
      </c>
      <c r="AK31" s="52" t="n">
        <f aca="false">SUM(B31:D31,F31,H31,J31:M31)</f>
        <v>43.9216</v>
      </c>
      <c r="AL31" s="6"/>
      <c r="AM31" s="24" t="n">
        <f aca="false">AK31*$AL$2</f>
        <v>43.9216</v>
      </c>
      <c r="AN31" s="52" t="n">
        <f aca="false">SUM(E31,G31,I31,N31:AC31)</f>
        <v>113.26746</v>
      </c>
      <c r="AO31" s="6"/>
      <c r="AP31" s="24" t="n">
        <f aca="false">AN31*$AL$2</f>
        <v>113.26746</v>
      </c>
      <c r="AQ31" s="52" t="n">
        <f aca="false">SUM(AD31:AG31)</f>
        <v>3.29071718761118</v>
      </c>
      <c r="AR31" s="6"/>
      <c r="AS31" s="24" t="n">
        <f aca="false">AQ31*$AL$2</f>
        <v>3.29071718761118</v>
      </c>
    </row>
    <row r="32" customFormat="false" ht="15" hidden="false" customHeight="false" outlineLevel="0" collapsed="false">
      <c r="A32" s="20" t="s">
        <v>196</v>
      </c>
      <c r="AJ32" s="53" t="n">
        <f aca="false">IF(AH31&gt;0,AJ25/AH31,0)</f>
        <v>202.146048172008</v>
      </c>
      <c r="AM32" s="54" t="n">
        <f aca="false">IF(AK31&gt;0,AM25/AK31,0)</f>
        <v>213.936733634476</v>
      </c>
      <c r="AP32" s="54" t="n">
        <f aca="false">IF(AN31&gt;0,AP25/AN31,0)</f>
        <v>196.353343299126</v>
      </c>
      <c r="AS32" s="54" t="n">
        <f aca="false">IF(AQ31&gt;0,AS25/AQ31,0)</f>
        <v>244.16096133234</v>
      </c>
    </row>
    <row r="34" customFormat="false" ht="15" hidden="false" customHeight="false" outlineLevel="0" collapsed="false">
      <c r="A34" s="4" t="s">
        <v>197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</row>
    <row r="35" customFormat="false" ht="15" hidden="false" customHeight="false" outlineLevel="0" collapsed="false">
      <c r="A35" s="6" t="s">
        <v>198</v>
      </c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  <c r="AD35" s="55"/>
      <c r="AE35" s="55"/>
      <c r="AF35" s="55"/>
      <c r="AG35" s="55"/>
      <c r="AH35" s="56" t="n">
        <f aca="false">SUM(B35:AG35)</f>
        <v>0</v>
      </c>
      <c r="AK35" s="57" t="n">
        <f aca="false">SUM(B35:D35,F35,H35,J35:M35)</f>
        <v>0</v>
      </c>
      <c r="AN35" s="57" t="n">
        <f aca="false">SUM(E35,G35,I35,N35:AC35)</f>
        <v>0</v>
      </c>
      <c r="AQ35" s="57" t="n">
        <f aca="false">SUM(AD35:AG35)</f>
        <v>0</v>
      </c>
    </row>
    <row r="36" customFormat="false" ht="15" hidden="false" customHeight="false" outlineLevel="0" collapsed="false">
      <c r="A36" s="6" t="s">
        <v>199</v>
      </c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6" t="n">
        <f aca="false">SUM(B36:AG36)</f>
        <v>0</v>
      </c>
      <c r="AK36" s="57" t="n">
        <f aca="false">SUM(B36:D36,F36,H36,J36:M36)</f>
        <v>0</v>
      </c>
      <c r="AN36" s="57" t="n">
        <f aca="false">SUM(E36,G36,I36,N36:AC36)</f>
        <v>0</v>
      </c>
      <c r="AQ36" s="57" t="n">
        <f aca="false">SUM(AD36:AG36)</f>
        <v>0</v>
      </c>
    </row>
    <row r="37" customFormat="false" ht="15" hidden="false" customHeight="false" outlineLevel="0" collapsed="false">
      <c r="A37" s="6" t="s">
        <v>200</v>
      </c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6" t="n">
        <f aca="false">SUM(B37:AG37)</f>
        <v>0</v>
      </c>
      <c r="AK37" s="57" t="n">
        <f aca="false">SUM(B37:D37,F37,H37,J37:M37)</f>
        <v>0</v>
      </c>
      <c r="AN37" s="57" t="n">
        <f aca="false">SUM(E37,G37,I37,N37:AC37)</f>
        <v>0</v>
      </c>
      <c r="AQ37" s="57" t="n">
        <f aca="false">SUM(AD37:AG37)</f>
        <v>0</v>
      </c>
    </row>
    <row r="38" customFormat="false" ht="15" hidden="false" customHeight="false" outlineLevel="0" collapsed="false">
      <c r="A38" s="6" t="s">
        <v>201</v>
      </c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 t="n">
        <v>12</v>
      </c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6" t="n">
        <f aca="false">SUM(B38:AG38)</f>
        <v>12</v>
      </c>
      <c r="AK38" s="57" t="n">
        <f aca="false">SUM(B38:D38,F38,H38,J38:M38)</f>
        <v>0</v>
      </c>
      <c r="AN38" s="57" t="n">
        <f aca="false">SUM(E38,G38,I38,N38:AC38)</f>
        <v>12</v>
      </c>
      <c r="AQ38" s="57" t="n">
        <f aca="false">SUM(AD38:AG38)</f>
        <v>0</v>
      </c>
    </row>
    <row r="39" customFormat="false" ht="15" hidden="false" customHeight="false" outlineLevel="0" collapsed="false">
      <c r="A39" s="6" t="s">
        <v>202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 t="n">
        <v>2</v>
      </c>
      <c r="O39" s="55"/>
      <c r="P39" s="55"/>
      <c r="Q39" s="55"/>
      <c r="R39" s="55"/>
      <c r="S39" s="55" t="n">
        <v>36</v>
      </c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6" t="n">
        <f aca="false">SUM(B39:AG39)</f>
        <v>38</v>
      </c>
      <c r="AK39" s="57" t="n">
        <f aca="false">SUM(B39:D39,F39,H39,J39:M39)</f>
        <v>0</v>
      </c>
      <c r="AN39" s="57" t="n">
        <f aca="false">SUM(E39,G39,I39,N39:AC39)</f>
        <v>38</v>
      </c>
      <c r="AQ39" s="57" t="n">
        <f aca="false">SUM(AD39:AG39)</f>
        <v>0</v>
      </c>
    </row>
    <row r="40" customFormat="false" ht="15" hidden="false" customHeight="false" outlineLevel="0" collapsed="false">
      <c r="A40" s="6" t="s">
        <v>203</v>
      </c>
      <c r="B40" s="55"/>
      <c r="C40" s="55"/>
      <c r="D40" s="55"/>
      <c r="E40" s="55" t="n">
        <v>4</v>
      </c>
      <c r="F40" s="55"/>
      <c r="G40" s="55" t="n">
        <v>4</v>
      </c>
      <c r="H40" s="55"/>
      <c r="I40" s="55" t="n">
        <v>2</v>
      </c>
      <c r="J40" s="55"/>
      <c r="K40" s="55"/>
      <c r="L40" s="55"/>
      <c r="M40" s="55"/>
      <c r="N40" s="55" t="n">
        <v>2</v>
      </c>
      <c r="O40" s="55" t="n">
        <v>4</v>
      </c>
      <c r="P40" s="55"/>
      <c r="Q40" s="55"/>
      <c r="R40" s="55"/>
      <c r="S40" s="55" t="n">
        <v>72</v>
      </c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 t="n">
        <v>18</v>
      </c>
      <c r="AE40" s="55"/>
      <c r="AF40" s="55"/>
      <c r="AG40" s="55" t="n">
        <v>16</v>
      </c>
      <c r="AH40" s="56" t="n">
        <f aca="false">SUM(B40:AG40)</f>
        <v>122</v>
      </c>
      <c r="AK40" s="57" t="n">
        <f aca="false">SUM(B40:D40,F40,H40,J40:M40)</f>
        <v>0</v>
      </c>
      <c r="AN40" s="57" t="n">
        <f aca="false">SUM(E40,G40,I40,N40:AC40)</f>
        <v>88</v>
      </c>
      <c r="AQ40" s="57" t="n">
        <f aca="false">SUM(AD40:AG40)</f>
        <v>34</v>
      </c>
    </row>
    <row r="41" customFormat="false" ht="15" hidden="false" customHeight="false" outlineLevel="0" collapsed="false">
      <c r="A41" s="6" t="s">
        <v>204</v>
      </c>
      <c r="B41" s="55"/>
      <c r="C41" s="55"/>
      <c r="D41" s="55"/>
      <c r="E41" s="55" t="n">
        <v>12</v>
      </c>
      <c r="F41" s="55"/>
      <c r="G41" s="55" t="n">
        <v>8</v>
      </c>
      <c r="H41" s="55"/>
      <c r="I41" s="55" t="n">
        <v>10</v>
      </c>
      <c r="J41" s="55"/>
      <c r="K41" s="55"/>
      <c r="L41" s="55"/>
      <c r="M41" s="55"/>
      <c r="N41" s="55" t="n">
        <v>10</v>
      </c>
      <c r="O41" s="55" t="n">
        <v>20</v>
      </c>
      <c r="P41" s="55" t="n">
        <v>8</v>
      </c>
      <c r="Q41" s="55" t="n">
        <v>10</v>
      </c>
      <c r="R41" s="55" t="n">
        <v>8</v>
      </c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6" t="n">
        <f aca="false">SUM(B41:AG41)</f>
        <v>86</v>
      </c>
      <c r="AK41" s="57" t="n">
        <f aca="false">SUM(B41:D41,F41,H41,J41:M41)</f>
        <v>0</v>
      </c>
      <c r="AN41" s="57" t="n">
        <f aca="false">SUM(E41,G41,I41,N41:AC41)</f>
        <v>86</v>
      </c>
      <c r="AQ41" s="57" t="n">
        <f aca="false">SUM(AD41:AG41)</f>
        <v>0</v>
      </c>
    </row>
    <row r="42" customFormat="false" ht="15" hidden="false" customHeight="false" outlineLevel="0" collapsed="false">
      <c r="A42" s="6" t="s">
        <v>205</v>
      </c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 t="n">
        <v>2</v>
      </c>
      <c r="Q42" s="55" t="n">
        <v>2</v>
      </c>
      <c r="R42" s="55" t="n">
        <v>2</v>
      </c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/>
      <c r="AD42" s="55"/>
      <c r="AE42" s="55"/>
      <c r="AF42" s="55"/>
      <c r="AG42" s="55"/>
      <c r="AH42" s="56" t="n">
        <f aca="false">SUM(B42:AG42)</f>
        <v>6</v>
      </c>
      <c r="AK42" s="57" t="n">
        <f aca="false">SUM(B42:D42,F42,H42,J42:M42)</f>
        <v>0</v>
      </c>
      <c r="AN42" s="57" t="n">
        <f aca="false">SUM(E42,G42,I42,N42:AC42)</f>
        <v>6</v>
      </c>
      <c r="AQ42" s="57" t="n">
        <f aca="false">SUM(AD42:AG42)</f>
        <v>0</v>
      </c>
    </row>
    <row r="43" customFormat="false" ht="15" hidden="false" customHeight="false" outlineLevel="0" collapsed="false">
      <c r="A43" s="6" t="s">
        <v>206</v>
      </c>
      <c r="B43" s="55" t="n">
        <v>4</v>
      </c>
      <c r="C43" s="55" t="n">
        <v>4</v>
      </c>
      <c r="D43" s="55" t="n">
        <v>12</v>
      </c>
      <c r="E43" s="55"/>
      <c r="F43" s="55" t="n">
        <v>20</v>
      </c>
      <c r="G43" s="55"/>
      <c r="H43" s="55" t="n">
        <v>20</v>
      </c>
      <c r="I43" s="55"/>
      <c r="J43" s="55" t="n">
        <v>8</v>
      </c>
      <c r="K43" s="55" t="n">
        <v>4</v>
      </c>
      <c r="L43" s="55" t="n">
        <v>4</v>
      </c>
      <c r="M43" s="55" t="n">
        <v>4</v>
      </c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/>
      <c r="AD43" s="55"/>
      <c r="AE43" s="55"/>
      <c r="AF43" s="55"/>
      <c r="AG43" s="55"/>
      <c r="AH43" s="56" t="n">
        <f aca="false">SUM(B43:AG43)</f>
        <v>80</v>
      </c>
      <c r="AK43" s="57" t="n">
        <f aca="false">SUM(B43:D43,F43,H43,J43:M43)</f>
        <v>80</v>
      </c>
      <c r="AN43" s="57" t="n">
        <f aca="false">SUM(E43,G43,I43,N43:AC43)</f>
        <v>0</v>
      </c>
      <c r="AQ43" s="57" t="n">
        <f aca="false">SUM(AD43:AG43)</f>
        <v>0</v>
      </c>
    </row>
    <row r="44" customFormat="false" ht="15" hidden="false" customHeight="false" outlineLevel="0" collapsed="false">
      <c r="A44" s="6" t="s">
        <v>207</v>
      </c>
      <c r="B44" s="55" t="n">
        <v>32</v>
      </c>
      <c r="C44" s="55" t="n">
        <v>22</v>
      </c>
      <c r="D44" s="55"/>
      <c r="E44" s="55" t="n">
        <v>8</v>
      </c>
      <c r="F44" s="55"/>
      <c r="G44" s="55" t="n">
        <v>8</v>
      </c>
      <c r="H44" s="55"/>
      <c r="I44" s="55" t="n">
        <v>8</v>
      </c>
      <c r="J44" s="55"/>
      <c r="K44" s="55" t="n">
        <v>22</v>
      </c>
      <c r="L44" s="55" t="n">
        <v>14</v>
      </c>
      <c r="M44" s="55" t="n">
        <v>14</v>
      </c>
      <c r="N44" s="55" t="n">
        <v>8</v>
      </c>
      <c r="O44" s="55" t="n">
        <v>8</v>
      </c>
      <c r="P44" s="55" t="n">
        <v>4</v>
      </c>
      <c r="Q44" s="55" t="n">
        <v>4</v>
      </c>
      <c r="R44" s="55" t="n">
        <v>4</v>
      </c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6" t="n">
        <f aca="false">SUM(B44:AG44)</f>
        <v>156</v>
      </c>
      <c r="AK44" s="57" t="n">
        <f aca="false">SUM(B44:D44,F44,H44,J44:M44)</f>
        <v>104</v>
      </c>
      <c r="AN44" s="57" t="n">
        <f aca="false">SUM(E44,G44,I44,N44:AC44)</f>
        <v>52</v>
      </c>
      <c r="AQ44" s="57" t="n">
        <f aca="false">SUM(AD44:AG44)</f>
        <v>0</v>
      </c>
    </row>
    <row r="45" customFormat="false" ht="15" hidden="false" customHeight="false" outlineLevel="0" collapsed="false">
      <c r="A45" s="6" t="s">
        <v>208</v>
      </c>
      <c r="B45" s="55" t="n">
        <v>8</v>
      </c>
      <c r="C45" s="55" t="n">
        <v>8</v>
      </c>
      <c r="D45" s="55"/>
      <c r="E45" s="55"/>
      <c r="F45" s="55"/>
      <c r="G45" s="55"/>
      <c r="H45" s="55"/>
      <c r="I45" s="55"/>
      <c r="J45" s="55"/>
      <c r="K45" s="55" t="n">
        <v>10</v>
      </c>
      <c r="L45" s="55"/>
      <c r="M45" s="55" t="n">
        <v>10</v>
      </c>
      <c r="N45" s="55"/>
      <c r="O45" s="55"/>
      <c r="P45" s="55"/>
      <c r="Q45" s="55"/>
      <c r="R45" s="55"/>
      <c r="S45" s="55" t="n">
        <v>40</v>
      </c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6" t="n">
        <f aca="false">SUM(B45:AG45)</f>
        <v>76</v>
      </c>
      <c r="AK45" s="57" t="n">
        <f aca="false">SUM(B45:D45,F45,H45,J45:M45)</f>
        <v>36</v>
      </c>
      <c r="AN45" s="57" t="n">
        <f aca="false">SUM(E45,G45,I45,N45:AC45)</f>
        <v>40</v>
      </c>
      <c r="AQ45" s="57" t="n">
        <f aca="false">SUM(AD45:AG45)</f>
        <v>0</v>
      </c>
    </row>
    <row r="46" customFormat="false" ht="15" hidden="false" customHeight="false" outlineLevel="0" collapsed="false">
      <c r="A46" s="6" t="s">
        <v>209</v>
      </c>
      <c r="B46" s="55"/>
      <c r="C46" s="55" t="n">
        <v>16</v>
      </c>
      <c r="D46" s="55"/>
      <c r="E46" s="55"/>
      <c r="F46" s="55"/>
      <c r="G46" s="55"/>
      <c r="H46" s="55"/>
      <c r="I46" s="55"/>
      <c r="J46" s="55"/>
      <c r="K46" s="55" t="n">
        <v>14</v>
      </c>
      <c r="L46" s="55"/>
      <c r="M46" s="55" t="n">
        <v>6</v>
      </c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6" t="n">
        <f aca="false">SUM(B46:AG46)</f>
        <v>36</v>
      </c>
      <c r="AK46" s="57" t="n">
        <f aca="false">SUM(B46:D46,F46,H46,J46:M46)</f>
        <v>36</v>
      </c>
      <c r="AN46" s="57" t="n">
        <f aca="false">SUM(E46,G46,I46,N46:AC46)</f>
        <v>0</v>
      </c>
      <c r="AQ46" s="57" t="n">
        <f aca="false">SUM(AD46:AG46)</f>
        <v>0</v>
      </c>
    </row>
    <row r="47" customFormat="false" ht="15" hidden="false" customHeight="false" outlineLevel="0" collapsed="false">
      <c r="A47" s="6" t="s">
        <v>210</v>
      </c>
      <c r="B47" s="55" t="n">
        <v>16</v>
      </c>
      <c r="C47" s="55" t="n">
        <v>4</v>
      </c>
      <c r="D47" s="55" t="n">
        <v>24</v>
      </c>
      <c r="E47" s="55"/>
      <c r="F47" s="55" t="n">
        <v>40</v>
      </c>
      <c r="G47" s="55"/>
      <c r="H47" s="55" t="n">
        <v>40</v>
      </c>
      <c r="I47" s="55"/>
      <c r="J47" s="55" t="n">
        <v>16</v>
      </c>
      <c r="K47" s="55" t="n">
        <v>8</v>
      </c>
      <c r="L47" s="55" t="n">
        <v>10</v>
      </c>
      <c r="M47" s="55" t="n">
        <v>8</v>
      </c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  <c r="AE47" s="55"/>
      <c r="AF47" s="55"/>
      <c r="AG47" s="55"/>
      <c r="AH47" s="56" t="n">
        <f aca="false">SUM(B47:AG47)</f>
        <v>166</v>
      </c>
      <c r="AK47" s="57" t="n">
        <f aca="false">SUM(B47:D47,F47,H47,J47:M47)</f>
        <v>166</v>
      </c>
      <c r="AN47" s="57" t="n">
        <f aca="false">SUM(E47,G47,I47,N47:AC47)</f>
        <v>0</v>
      </c>
      <c r="AQ47" s="57" t="n">
        <f aca="false">SUM(AD47:AG47)</f>
        <v>0</v>
      </c>
    </row>
    <row r="50" customFormat="false" ht="30" hidden="false" customHeight="true" outlineLevel="0" collapsed="false">
      <c r="A50" s="38" t="s">
        <v>211</v>
      </c>
      <c r="B50" s="38" t="s">
        <v>118</v>
      </c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 t="s">
        <v>119</v>
      </c>
      <c r="T50" s="38"/>
      <c r="U50" s="38"/>
      <c r="V50" s="38" t="s">
        <v>120</v>
      </c>
      <c r="W50" s="38"/>
      <c r="X50" s="38"/>
      <c r="Y50" s="38"/>
      <c r="Z50" s="38"/>
      <c r="AA50" s="38"/>
      <c r="AB50" s="38"/>
      <c r="AC50" s="38" t="s">
        <v>121</v>
      </c>
      <c r="AD50" s="38" t="s">
        <v>122</v>
      </c>
      <c r="AE50" s="38"/>
      <c r="AF50" s="38"/>
      <c r="AG50" s="38"/>
      <c r="AH50" s="38"/>
      <c r="AI50" s="38"/>
      <c r="AJ50" s="38"/>
      <c r="AK50" s="38" t="s">
        <v>12</v>
      </c>
      <c r="AL50" s="38"/>
      <c r="AM50" s="38"/>
      <c r="AN50" s="38" t="s">
        <v>123</v>
      </c>
      <c r="AO50" s="38"/>
      <c r="AP50" s="38"/>
      <c r="AQ50" s="38" t="s">
        <v>124</v>
      </c>
      <c r="AR50" s="38"/>
      <c r="AS50" s="38"/>
    </row>
    <row r="51" customFormat="false" ht="30" hidden="false" customHeight="true" outlineLevel="0" collapsed="false">
      <c r="A51" s="5" t="s">
        <v>212</v>
      </c>
      <c r="B51" s="5" t="s">
        <v>126</v>
      </c>
      <c r="C51" s="5" t="s">
        <v>126</v>
      </c>
      <c r="D51" s="5" t="s">
        <v>126</v>
      </c>
      <c r="E51" s="5" t="s">
        <v>126</v>
      </c>
      <c r="F51" s="5" t="s">
        <v>127</v>
      </c>
      <c r="G51" s="5" t="s">
        <v>127</v>
      </c>
      <c r="H51" s="5" t="s">
        <v>128</v>
      </c>
      <c r="I51" s="5" t="s">
        <v>128</v>
      </c>
      <c r="J51" s="5" t="s">
        <v>129</v>
      </c>
      <c r="K51" s="5" t="s">
        <v>129</v>
      </c>
      <c r="L51" s="5" t="s">
        <v>129</v>
      </c>
      <c r="M51" s="5" t="s">
        <v>129</v>
      </c>
      <c r="N51" s="5" t="s">
        <v>129</v>
      </c>
      <c r="O51" s="5" t="s">
        <v>130</v>
      </c>
      <c r="P51" s="5" t="s">
        <v>131</v>
      </c>
      <c r="Q51" s="5" t="s">
        <v>132</v>
      </c>
      <c r="R51" s="5" t="s">
        <v>133</v>
      </c>
      <c r="S51" s="5" t="s">
        <v>134</v>
      </c>
      <c r="T51" s="5" t="s">
        <v>135</v>
      </c>
      <c r="U51" s="5" t="s">
        <v>136</v>
      </c>
      <c r="V51" s="5" t="s">
        <v>134</v>
      </c>
      <c r="W51" s="5" t="s">
        <v>135</v>
      </c>
      <c r="X51" s="5" t="s">
        <v>137</v>
      </c>
      <c r="Y51" s="5" t="s">
        <v>136</v>
      </c>
      <c r="Z51" s="5"/>
      <c r="AA51" s="5" t="s">
        <v>138</v>
      </c>
      <c r="AB51" s="5" t="s">
        <v>139</v>
      </c>
      <c r="AC51" s="5" t="s">
        <v>140</v>
      </c>
      <c r="AD51" s="5" t="s">
        <v>141</v>
      </c>
      <c r="AE51" s="5" t="s">
        <v>142</v>
      </c>
      <c r="AF51" s="5" t="s">
        <v>143</v>
      </c>
      <c r="AG51" s="5" t="s">
        <v>144</v>
      </c>
      <c r="AH51" s="5" t="s">
        <v>36</v>
      </c>
      <c r="AI51" s="5" t="s">
        <v>145</v>
      </c>
      <c r="AJ51" s="5" t="s">
        <v>146</v>
      </c>
      <c r="AK51" s="5" t="s">
        <v>36</v>
      </c>
      <c r="AL51" s="5" t="s">
        <v>145</v>
      </c>
      <c r="AM51" s="5" t="s">
        <v>146</v>
      </c>
      <c r="AN51" s="5" t="s">
        <v>36</v>
      </c>
      <c r="AO51" s="5" t="s">
        <v>145</v>
      </c>
      <c r="AP51" s="5" t="s">
        <v>146</v>
      </c>
      <c r="AQ51" s="5" t="s">
        <v>36</v>
      </c>
      <c r="AR51" s="5" t="s">
        <v>145</v>
      </c>
      <c r="AS51" s="5" t="s">
        <v>146</v>
      </c>
    </row>
    <row r="52" customFormat="false" ht="30" hidden="false" customHeight="true" outlineLevel="0" collapsed="false">
      <c r="A52" s="5" t="s">
        <v>213</v>
      </c>
      <c r="B52" s="5" t="s">
        <v>148</v>
      </c>
      <c r="C52" s="5" t="s">
        <v>149</v>
      </c>
      <c r="D52" s="5" t="s">
        <v>214</v>
      </c>
      <c r="E52" s="5" t="s">
        <v>151</v>
      </c>
      <c r="F52" s="5" t="s">
        <v>152</v>
      </c>
      <c r="G52" s="5" t="s">
        <v>151</v>
      </c>
      <c r="H52" s="5" t="s">
        <v>215</v>
      </c>
      <c r="I52" s="5" t="s">
        <v>151</v>
      </c>
      <c r="J52" s="5" t="s">
        <v>216</v>
      </c>
      <c r="K52" s="5" t="s">
        <v>154</v>
      </c>
      <c r="L52" s="5" t="s">
        <v>155</v>
      </c>
      <c r="M52" s="5" t="s">
        <v>156</v>
      </c>
      <c r="N52" s="5" t="s">
        <v>151</v>
      </c>
      <c r="O52" s="5" t="s">
        <v>157</v>
      </c>
      <c r="P52" s="5" t="s">
        <v>158</v>
      </c>
      <c r="Q52" s="5" t="s">
        <v>158</v>
      </c>
      <c r="R52" s="5" t="s">
        <v>158</v>
      </c>
      <c r="S52" s="5"/>
      <c r="T52" s="5"/>
      <c r="U52" s="5" t="s">
        <v>159</v>
      </c>
      <c r="V52" s="5"/>
      <c r="W52" s="5" t="s">
        <v>160</v>
      </c>
      <c r="X52" s="5"/>
      <c r="Y52" s="5" t="s">
        <v>161</v>
      </c>
      <c r="Z52" s="5" t="s">
        <v>162</v>
      </c>
      <c r="AA52" s="5" t="s">
        <v>163</v>
      </c>
      <c r="AB52" s="5" t="s">
        <v>164</v>
      </c>
      <c r="AC52" s="5" t="s">
        <v>165</v>
      </c>
      <c r="AD52" s="5" t="s">
        <v>217</v>
      </c>
      <c r="AE52" s="5" t="s">
        <v>218</v>
      </c>
      <c r="AF52" s="5" t="s">
        <v>219</v>
      </c>
      <c r="AG52" s="5" t="s">
        <v>220</v>
      </c>
      <c r="AH52" s="5" t="s">
        <v>170</v>
      </c>
      <c r="AI52" s="5"/>
      <c r="AJ52" s="5" t="s">
        <v>19</v>
      </c>
      <c r="AK52" s="5" t="s">
        <v>170</v>
      </c>
      <c r="AL52" s="5"/>
      <c r="AM52" s="5" t="s">
        <v>19</v>
      </c>
      <c r="AN52" s="5" t="s">
        <v>170</v>
      </c>
      <c r="AO52" s="5"/>
      <c r="AP52" s="5" t="s">
        <v>19</v>
      </c>
      <c r="AQ52" s="5" t="s">
        <v>170</v>
      </c>
      <c r="AR52" s="5"/>
      <c r="AS52" s="5" t="s">
        <v>19</v>
      </c>
    </row>
    <row r="53" customFormat="false" ht="15" hidden="false" customHeight="false" outlineLevel="0" collapsed="false">
      <c r="A53" s="4" t="s">
        <v>171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</row>
    <row r="54" customFormat="false" ht="15" hidden="false" customHeight="false" outlineLevel="0" collapsed="false">
      <c r="A54" s="6" t="s">
        <v>172</v>
      </c>
      <c r="B54" s="39"/>
      <c r="C54" s="39"/>
      <c r="D54" s="39" t="n">
        <f aca="false">2*4*3.6</f>
        <v>28.8</v>
      </c>
      <c r="E54" s="39" t="n">
        <f aca="false">2*3.3+2*7.85</f>
        <v>22.3</v>
      </c>
      <c r="F54" s="39" t="n">
        <f aca="false">5*4*3.6</f>
        <v>72</v>
      </c>
      <c r="G54" s="39"/>
      <c r="H54" s="39" t="n">
        <f aca="false">4*4*3.6</f>
        <v>57.6</v>
      </c>
      <c r="I54" s="39" t="n">
        <f aca="false">2*3.7+2*3.6</f>
        <v>14.6</v>
      </c>
      <c r="J54" s="39"/>
      <c r="K54" s="39"/>
      <c r="L54" s="39"/>
      <c r="M54" s="39"/>
      <c r="N54" s="39"/>
      <c r="O54" s="39" t="n">
        <f aca="false">2*2*3.8+2*2*2.05</f>
        <v>23.4</v>
      </c>
      <c r="P54" s="39" t="n">
        <f aca="false">2*7.5+2*3.6+2*2.85</f>
        <v>27.9</v>
      </c>
      <c r="Q54" s="39" t="n">
        <f aca="false">2*2.05</f>
        <v>4.1</v>
      </c>
      <c r="R54" s="39" t="n">
        <f aca="false">2*3.4+2*3.6+2*2.85</f>
        <v>19.7</v>
      </c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40" t="n">
        <f aca="false">SUM(B54:AG54)</f>
        <v>270.4</v>
      </c>
      <c r="AI54" s="41" t="n">
        <f aca="false">IFERROR(INDEX(Исходные!$B$21:$B$33,MATCH(32,Исходные!$A$21:$A$33,0)),0)</f>
        <v>6.313</v>
      </c>
      <c r="AJ54" s="40" t="n">
        <f aca="false">AH54*AI54*$AK$2</f>
        <v>1826.527664</v>
      </c>
      <c r="AK54" s="42" t="n">
        <f aca="false">SUM(B54:D54,F54,H54,J54:M54)</f>
        <v>158.4</v>
      </c>
      <c r="AL54" s="43" t="n">
        <f aca="false">AI54</f>
        <v>6.313</v>
      </c>
      <c r="AM54" s="28" t="n">
        <f aca="false">AK54*AL54*$AK$2</f>
        <v>1069.977744</v>
      </c>
      <c r="AN54" s="42" t="n">
        <f aca="false">SUM(E54,G54,I54,N54:AC54)</f>
        <v>112</v>
      </c>
      <c r="AO54" s="43" t="n">
        <f aca="false">AI54</f>
        <v>6.313</v>
      </c>
      <c r="AP54" s="28" t="n">
        <f aca="false">AN54*AO54*$AK$2</f>
        <v>756.54992</v>
      </c>
      <c r="AQ54" s="42" t="n">
        <f aca="false">SUM(AD54:AG54)</f>
        <v>0</v>
      </c>
      <c r="AR54" s="43" t="n">
        <f aca="false">AI54</f>
        <v>6.313</v>
      </c>
      <c r="AS54" s="28" t="n">
        <f aca="false">AQ54*AR54*$AK$2</f>
        <v>0</v>
      </c>
    </row>
    <row r="55" customFormat="false" ht="15" hidden="false" customHeight="false" outlineLevel="0" collapsed="false">
      <c r="A55" s="6" t="s">
        <v>173</v>
      </c>
      <c r="B55" s="39" t="n">
        <f aca="false">4*3.6</f>
        <v>14.4</v>
      </c>
      <c r="C55" s="39" t="n">
        <f aca="false">4*3.6</f>
        <v>14.4</v>
      </c>
      <c r="D55" s="39" t="n">
        <f aca="false">4*3.6</f>
        <v>14.4</v>
      </c>
      <c r="E55" s="39" t="n">
        <f aca="false">4*25.5+2*2.05</f>
        <v>106.1</v>
      </c>
      <c r="F55" s="39"/>
      <c r="G55" s="39" t="n">
        <f aca="false">4*25.5+2*2.05+2*3.7+2*3.7+2*3.6+2*2.05</f>
        <v>132.2</v>
      </c>
      <c r="H55" s="39" t="n">
        <f aca="false">4*3.6</f>
        <v>14.4</v>
      </c>
      <c r="I55" s="39" t="n">
        <f aca="false">4*25.5+2*2.05+2*3.7</f>
        <v>113.5</v>
      </c>
      <c r="J55" s="39" t="n">
        <f aca="false">2*4*3.6</f>
        <v>28.8</v>
      </c>
      <c r="K55" s="39" t="n">
        <f aca="false">4*3.6</f>
        <v>14.4</v>
      </c>
      <c r="L55" s="39" t="n">
        <f aca="false">4*3.6</f>
        <v>14.4</v>
      </c>
      <c r="M55" s="39" t="n">
        <f aca="false">4*3.6</f>
        <v>14.4</v>
      </c>
      <c r="N55" s="39" t="n">
        <f aca="false">4*25.5+2*5.5+2*4.7+2*4.7+2*4.3</f>
        <v>140.4</v>
      </c>
      <c r="O55" s="39" t="n">
        <f aca="false">2*4*20.5+2*2*3.8</f>
        <v>179.2</v>
      </c>
      <c r="P55" s="39" t="n">
        <f aca="false">4*20.5+2*10.5</f>
        <v>103</v>
      </c>
      <c r="Q55" s="39" t="n">
        <f aca="false">4*20.5+2*2.05+2*3.8+2*3.8+2*3</f>
        <v>107.3</v>
      </c>
      <c r="R55" s="39" t="n">
        <f aca="false">4*20.5+2*6.2</f>
        <v>94.4</v>
      </c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40" t="n">
        <f aca="false">SUM(B55:AG55)</f>
        <v>1105.7</v>
      </c>
      <c r="AI55" s="41" t="n">
        <f aca="false">IFERROR(INDEX(Исходные!$B$21:$B$33,MATCH(28,Исходные!$A$21:$A$33,0)),0)</f>
        <v>4.834</v>
      </c>
      <c r="AJ55" s="40" t="n">
        <f aca="false">AH55*AI55*$AK$2</f>
        <v>5719.100566</v>
      </c>
      <c r="AK55" s="42" t="n">
        <f aca="false">SUM(B55:D55,F55,H55,J55:M55)</f>
        <v>129.6</v>
      </c>
      <c r="AL55" s="43" t="n">
        <f aca="false">AI55</f>
        <v>4.834</v>
      </c>
      <c r="AM55" s="28" t="n">
        <f aca="false">AK55*AL55*$AK$2</f>
        <v>670.340448</v>
      </c>
      <c r="AN55" s="42" t="n">
        <f aca="false">SUM(E55,G55,I55,N55:AC55)</f>
        <v>976.1</v>
      </c>
      <c r="AO55" s="43" t="n">
        <f aca="false">AI55</f>
        <v>4.834</v>
      </c>
      <c r="AP55" s="28" t="n">
        <f aca="false">AN55*AO55*$AK$2</f>
        <v>5048.760118</v>
      </c>
      <c r="AQ55" s="42" t="n">
        <f aca="false">SUM(AD55:AG55)</f>
        <v>0</v>
      </c>
      <c r="AR55" s="43" t="n">
        <f aca="false">AI55</f>
        <v>4.834</v>
      </c>
      <c r="AS55" s="28" t="n">
        <f aca="false">AQ55*AR55*$AK$2</f>
        <v>0</v>
      </c>
    </row>
    <row r="56" customFormat="false" ht="15" hidden="false" customHeight="false" outlineLevel="0" collapsed="false">
      <c r="A56" s="6" t="s">
        <v>174</v>
      </c>
      <c r="B56" s="39" t="n">
        <f aca="false">12*3.6+6*3.6</f>
        <v>64.8</v>
      </c>
      <c r="C56" s="39" t="n">
        <f aca="false">6*3.6+6*3.6</f>
        <v>43.2</v>
      </c>
      <c r="D56" s="39"/>
      <c r="E56" s="39" t="n">
        <f aca="false">2*4.5+2*7.85+2*7.85</f>
        <v>40.4</v>
      </c>
      <c r="F56" s="39"/>
      <c r="G56" s="39"/>
      <c r="H56" s="39"/>
      <c r="I56" s="39" t="n">
        <f aca="false">2*2.05</f>
        <v>4.1</v>
      </c>
      <c r="J56" s="39"/>
      <c r="K56" s="39" t="n">
        <f aca="false">12*3.6+6*3.6</f>
        <v>64.8</v>
      </c>
      <c r="L56" s="39" t="n">
        <f aca="false">6*3.6</f>
        <v>21.6</v>
      </c>
      <c r="M56" s="39" t="n">
        <f aca="false">6*3.6</f>
        <v>21.6</v>
      </c>
      <c r="N56" s="39" t="n">
        <f aca="false">2*1.85+2*5.5+2*4.7+2*4.3+2*2.05+2*5.5</f>
        <v>47.8</v>
      </c>
      <c r="O56" s="39" t="n">
        <f aca="false">2*2*2.05</f>
        <v>8.2</v>
      </c>
      <c r="P56" s="39"/>
      <c r="Q56" s="39" t="n">
        <f aca="false">2*3.8+2*3.8</f>
        <v>15.2</v>
      </c>
      <c r="R56" s="39" t="n">
        <f aca="false">2*2.4+2*2.4</f>
        <v>9.6</v>
      </c>
      <c r="S56" s="39" t="n">
        <f aca="false">4*20.4+4*20.4+4*13.9+4*20.4+4*25.4+4*25.4+4*13.9+4*11.9+4*3.785+4*3.365</f>
        <v>635.4</v>
      </c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 t="n">
        <f aca="false">4*3.065+4*2.21</f>
        <v>21.1</v>
      </c>
      <c r="AH56" s="40" t="n">
        <f aca="false">SUM(B56:AG56)</f>
        <v>997.8</v>
      </c>
      <c r="AI56" s="41" t="n">
        <f aca="false">IFERROR(INDEX(Исходные!$B$21:$B$33,MATCH(25,Исходные!$A$21:$A$33,0)),0)</f>
        <v>3.853</v>
      </c>
      <c r="AJ56" s="40" t="n">
        <f aca="false">AH56*AI56*$AK$2</f>
        <v>4113.640038</v>
      </c>
      <c r="AK56" s="42" t="n">
        <f aca="false">SUM(B56:D56,F56,H56,J56:M56)</f>
        <v>216</v>
      </c>
      <c r="AL56" s="43" t="n">
        <f aca="false">AI56</f>
        <v>3.853</v>
      </c>
      <c r="AM56" s="28" t="n">
        <f aca="false">AK56*AL56*$AK$2</f>
        <v>890.50536</v>
      </c>
      <c r="AN56" s="42" t="n">
        <f aca="false">SUM(E56,G56,I56,N56:AC56)</f>
        <v>760.7</v>
      </c>
      <c r="AO56" s="43" t="n">
        <f aca="false">AI56</f>
        <v>3.853</v>
      </c>
      <c r="AP56" s="28" t="n">
        <f aca="false">AN56*AO56*$AK$2</f>
        <v>3136.145497</v>
      </c>
      <c r="AQ56" s="42" t="n">
        <f aca="false">SUM(AD56:AG56)</f>
        <v>21.1</v>
      </c>
      <c r="AR56" s="43" t="n">
        <f aca="false">AI56</f>
        <v>3.853</v>
      </c>
      <c r="AS56" s="28" t="n">
        <f aca="false">AQ56*AR56*$AK$2</f>
        <v>86.989181</v>
      </c>
    </row>
    <row r="57" customFormat="false" ht="15" hidden="false" customHeight="false" outlineLevel="0" collapsed="false">
      <c r="A57" s="6" t="s">
        <v>175</v>
      </c>
      <c r="B57" s="39"/>
      <c r="C57" s="39"/>
      <c r="D57" s="39"/>
      <c r="E57" s="39" t="n">
        <f aca="false">2*4.5</f>
        <v>9</v>
      </c>
      <c r="F57" s="39"/>
      <c r="G57" s="39" t="n">
        <f aca="false">2*3.7+2*3.2</f>
        <v>13.8</v>
      </c>
      <c r="H57" s="39"/>
      <c r="I57" s="39" t="n">
        <f aca="false">2*4.2+2*3.2</f>
        <v>14.8</v>
      </c>
      <c r="J57" s="39"/>
      <c r="K57" s="39"/>
      <c r="L57" s="39"/>
      <c r="M57" s="39" t="n">
        <f aca="false">6*3.6</f>
        <v>21.6</v>
      </c>
      <c r="N57" s="39" t="n">
        <f aca="false">2*4.3+2*2.05</f>
        <v>12.7</v>
      </c>
      <c r="O57" s="39"/>
      <c r="P57" s="39" t="n">
        <f aca="false">1*2.4</f>
        <v>2.4</v>
      </c>
      <c r="Q57" s="39"/>
      <c r="R57" s="39"/>
      <c r="S57" s="39" t="n">
        <f aca="false">4*2.175+4*4.15+4*2.175+4*2.175+4*4.15+4*2.175+4*2.15+4*3.775+4*2.15+4*2.15+4*7.95+4*2.15+4*2.375</f>
        <v>158.8</v>
      </c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40" t="n">
        <f aca="false">SUM(B57:AG57)</f>
        <v>233.1</v>
      </c>
      <c r="AI57" s="41" t="n">
        <f aca="false">IFERROR(INDEX(Исходные!$B$21:$B$33,MATCH(22,Исходные!$A$21:$A$33,0)),0)</f>
        <v>2.984</v>
      </c>
      <c r="AJ57" s="40" t="n">
        <f aca="false">AH57*AI57*$AK$2</f>
        <v>744.260328</v>
      </c>
      <c r="AK57" s="42" t="n">
        <f aca="false">SUM(B57:D57,F57,H57,J57:M57)</f>
        <v>21.6</v>
      </c>
      <c r="AL57" s="43" t="n">
        <f aca="false">AI57</f>
        <v>2.984</v>
      </c>
      <c r="AM57" s="28" t="n">
        <f aca="false">AK57*AL57*$AK$2</f>
        <v>68.966208</v>
      </c>
      <c r="AN57" s="42" t="n">
        <f aca="false">SUM(E57,G57,I57,N57:AC57)</f>
        <v>211.5</v>
      </c>
      <c r="AO57" s="43" t="n">
        <f aca="false">AI57</f>
        <v>2.984</v>
      </c>
      <c r="AP57" s="28" t="n">
        <f aca="false">AN57*AO57*$AK$2</f>
        <v>675.29412</v>
      </c>
      <c r="AQ57" s="42" t="n">
        <f aca="false">SUM(AD57:AG57)</f>
        <v>0</v>
      </c>
      <c r="AR57" s="43" t="n">
        <f aca="false">AI57</f>
        <v>2.984</v>
      </c>
      <c r="AS57" s="28" t="n">
        <f aca="false">AQ57*AR57*$AK$2</f>
        <v>0</v>
      </c>
    </row>
    <row r="58" customFormat="false" ht="15" hidden="false" customHeight="false" outlineLevel="0" collapsed="false">
      <c r="A58" s="6" t="s">
        <v>176</v>
      </c>
      <c r="B58" s="39" t="n">
        <f aca="false">8*3.6</f>
        <v>28.8</v>
      </c>
      <c r="C58" s="39" t="n">
        <f aca="false">8*3.6+4*3.6</f>
        <v>43.2</v>
      </c>
      <c r="D58" s="39" t="n">
        <f aca="false">3*8*3.6</f>
        <v>86.4</v>
      </c>
      <c r="E58" s="39" t="n">
        <f aca="false">2*3.3</f>
        <v>6.6</v>
      </c>
      <c r="F58" s="39" t="n">
        <f aca="false">5*8*3.6</f>
        <v>144</v>
      </c>
      <c r="G58" s="39"/>
      <c r="H58" s="39" t="n">
        <f aca="false">5*8*3.6</f>
        <v>144</v>
      </c>
      <c r="I58" s="39"/>
      <c r="J58" s="39" t="n">
        <f aca="false">2*8*3.6</f>
        <v>57.6</v>
      </c>
      <c r="K58" s="39" t="n">
        <f aca="false">8*3.6</f>
        <v>28.8</v>
      </c>
      <c r="L58" s="39" t="n">
        <f aca="false">8*3.6</f>
        <v>28.8</v>
      </c>
      <c r="M58" s="39" t="n">
        <f aca="false">8*3.6</f>
        <v>28.8</v>
      </c>
      <c r="N58" s="39" t="n">
        <f aca="false">1*4.7</f>
        <v>4.7</v>
      </c>
      <c r="O58" s="39"/>
      <c r="P58" s="39" t="n">
        <f aca="false">2*2.3+2*2.85</f>
        <v>10.3</v>
      </c>
      <c r="Q58" s="39"/>
      <c r="R58" s="39" t="n">
        <f aca="false">2*3</f>
        <v>6</v>
      </c>
      <c r="S58" s="39" t="n">
        <f aca="false">4*3.05+4*3.785+4*4.1+4*3.325+4*3.78+4*3.59</f>
        <v>86.52</v>
      </c>
      <c r="T58" s="39"/>
      <c r="U58" s="39"/>
      <c r="V58" s="39"/>
      <c r="W58" s="39"/>
      <c r="X58" s="39"/>
      <c r="Y58" s="39"/>
      <c r="Z58" s="39" t="n">
        <f aca="false">4*2*3</f>
        <v>24</v>
      </c>
      <c r="AA58" s="39"/>
      <c r="AB58" s="39"/>
      <c r="AC58" s="39"/>
      <c r="AD58" s="39"/>
      <c r="AE58" s="39"/>
      <c r="AF58" s="39"/>
      <c r="AG58" s="39"/>
      <c r="AH58" s="40" t="n">
        <f aca="false">SUM(B58:AG58)</f>
        <v>728.52</v>
      </c>
      <c r="AI58" s="41" t="n">
        <f aca="false">IFERROR(INDEX(Исходные!$B$21:$B$33,MATCH(20,Исходные!$A$21:$A$33,0)),0)</f>
        <v>2.466</v>
      </c>
      <c r="AJ58" s="40" t="n">
        <f aca="false">AH58*AI58*$AK$2</f>
        <v>1922.2874424</v>
      </c>
      <c r="AK58" s="42" t="n">
        <f aca="false">SUM(B58:D58,F58,H58,J58:M58)</f>
        <v>590.4</v>
      </c>
      <c r="AL58" s="43" t="n">
        <f aca="false">AI58</f>
        <v>2.466</v>
      </c>
      <c r="AM58" s="28" t="n">
        <f aca="false">AK58*AL58*$AK$2</f>
        <v>1557.841248</v>
      </c>
      <c r="AN58" s="42" t="n">
        <f aca="false">SUM(E58,G58,I58,N58:AC58)</f>
        <v>138.12</v>
      </c>
      <c r="AO58" s="43" t="n">
        <f aca="false">AI58</f>
        <v>2.466</v>
      </c>
      <c r="AP58" s="28" t="n">
        <f aca="false">AN58*AO58*$AK$2</f>
        <v>364.4461944</v>
      </c>
      <c r="AQ58" s="42" t="n">
        <f aca="false">SUM(AD58:AG58)</f>
        <v>0</v>
      </c>
      <c r="AR58" s="43" t="n">
        <f aca="false">AI58</f>
        <v>2.466</v>
      </c>
      <c r="AS58" s="28" t="n">
        <f aca="false">AQ58*AR58*$AK$2</f>
        <v>0</v>
      </c>
    </row>
    <row r="59" customFormat="false" ht="15" hidden="false" customHeight="false" outlineLevel="0" collapsed="false">
      <c r="A59" s="6" t="s">
        <v>177</v>
      </c>
      <c r="B59" s="39"/>
      <c r="C59" s="39" t="n">
        <f aca="false">12*3.744</f>
        <v>44.928</v>
      </c>
      <c r="D59" s="39"/>
      <c r="E59" s="39" t="n">
        <f aca="false">2*25.5+2*2*0.144+1*4.8</f>
        <v>56.376</v>
      </c>
      <c r="F59" s="39"/>
      <c r="G59" s="39" t="n">
        <f aca="false">2*25.5+2*2*0.144</f>
        <v>51.576</v>
      </c>
      <c r="H59" s="39"/>
      <c r="I59" s="39" t="n">
        <f aca="false">2*25.5+2*2*0.144</f>
        <v>51.576</v>
      </c>
      <c r="J59" s="39"/>
      <c r="K59" s="39" t="n">
        <f aca="false">8*3.744+6*3.744</f>
        <v>52.416</v>
      </c>
      <c r="L59" s="39"/>
      <c r="M59" s="39" t="n">
        <f aca="false">6*3.744</f>
        <v>22.464</v>
      </c>
      <c r="N59" s="39" t="n">
        <f aca="false">2*25.5+2*2*0.144</f>
        <v>51.576</v>
      </c>
      <c r="O59" s="39" t="n">
        <f aca="false">2*2*20.5+4*1*0.144</f>
        <v>82.576</v>
      </c>
      <c r="P59" s="39" t="n">
        <f aca="false">2*20.5+2*1*0.144</f>
        <v>41.288</v>
      </c>
      <c r="Q59" s="39" t="n">
        <f aca="false">2*20.5+2*1*0.144+2*4.95</f>
        <v>51.188</v>
      </c>
      <c r="R59" s="39" t="n">
        <f aca="false">2*20.5+2*1*0.144</f>
        <v>41.288</v>
      </c>
      <c r="S59" s="39"/>
      <c r="T59" s="39"/>
      <c r="U59" s="39" t="n">
        <f aca="false">20*1.2</f>
        <v>24</v>
      </c>
      <c r="V59" s="39"/>
      <c r="W59" s="39"/>
      <c r="X59" s="39"/>
      <c r="Y59" s="39"/>
      <c r="Z59" s="39" t="n">
        <f aca="false">1*3+1*1.7</f>
        <v>4.7</v>
      </c>
      <c r="AA59" s="39"/>
      <c r="AB59" s="39"/>
      <c r="AC59" s="39"/>
      <c r="AD59" s="39" t="n">
        <f aca="false">18*6.109</f>
        <v>109.962</v>
      </c>
      <c r="AE59" s="39" t="n">
        <f aca="false">18*6.109</f>
        <v>109.962</v>
      </c>
      <c r="AF59" s="39"/>
      <c r="AG59" s="39"/>
      <c r="AH59" s="40" t="n">
        <f aca="false">SUM(B59:AG59)</f>
        <v>795.876</v>
      </c>
      <c r="AI59" s="41" t="n">
        <f aca="false">IFERROR(INDEX(Исходные!$B$21:$B$33,MATCH(18,Исходные!$A$21:$A$33,0)),0)</f>
        <v>1.998</v>
      </c>
      <c r="AJ59" s="40" t="n">
        <f aca="false">AH59*AI59*$AK$2</f>
        <v>1701.47146536</v>
      </c>
      <c r="AK59" s="42" t="n">
        <f aca="false">SUM(B59:D59,F59,H59,J59:M59)</f>
        <v>119.808</v>
      </c>
      <c r="AL59" s="43" t="n">
        <f aca="false">AI59</f>
        <v>1.998</v>
      </c>
      <c r="AM59" s="28" t="n">
        <f aca="false">AK59*AL59*$AK$2</f>
        <v>256.13273088</v>
      </c>
      <c r="AN59" s="42" t="n">
        <f aca="false">SUM(E59,G59,I59,N59:AC59)</f>
        <v>456.144</v>
      </c>
      <c r="AO59" s="43" t="n">
        <f aca="false">AI59</f>
        <v>1.998</v>
      </c>
      <c r="AP59" s="28" t="n">
        <f aca="false">AN59*AO59*$AK$2</f>
        <v>975.17201184</v>
      </c>
      <c r="AQ59" s="42" t="n">
        <f aca="false">SUM(AD59:AG59)</f>
        <v>219.924</v>
      </c>
      <c r="AR59" s="43" t="n">
        <f aca="false">AI59</f>
        <v>1.998</v>
      </c>
      <c r="AS59" s="28" t="n">
        <f aca="false">AQ59*AR59*$AK$2</f>
        <v>470.16672264</v>
      </c>
    </row>
    <row r="60" customFormat="false" ht="15" hidden="false" customHeight="false" outlineLevel="0" collapsed="false">
      <c r="A60" s="6" t="s">
        <v>178</v>
      </c>
      <c r="B60" s="39" t="n">
        <f aca="false">8*3.728+4*3.728+32*2.25</f>
        <v>116.736</v>
      </c>
      <c r="C60" s="39" t="n">
        <f aca="false">32*2.25</f>
        <v>72</v>
      </c>
      <c r="D60" s="39"/>
      <c r="E60" s="39" t="n">
        <f aca="false">2*25.5+2*2*0.128+2*9.45</f>
        <v>70.412</v>
      </c>
      <c r="F60" s="39"/>
      <c r="G60" s="39" t="n">
        <f aca="false">2*25.5+2*2*0.128+2*2.9+2*6.5+2*2.05</f>
        <v>74.412</v>
      </c>
      <c r="H60" s="39"/>
      <c r="I60" s="39" t="n">
        <f aca="false">2*25.5+2*2*0.128+2*2.9+2*6.5+2*2.05</f>
        <v>74.412</v>
      </c>
      <c r="J60" s="39"/>
      <c r="K60" s="39" t="n">
        <f aca="false">8*1.95+10*1.45</f>
        <v>30.1</v>
      </c>
      <c r="L60" s="39" t="n">
        <f aca="false">6*3.728</f>
        <v>22.368</v>
      </c>
      <c r="M60" s="39" t="n">
        <f aca="false">4*3.728</f>
        <v>14.912</v>
      </c>
      <c r="N60" s="39" t="n">
        <f aca="false">2*25.5+2*2*0.128+2*1.85</f>
        <v>55.212</v>
      </c>
      <c r="O60" s="39" t="n">
        <f aca="false">2*2*20.5+4*1*0.128+2*2*3+2*2*2.9</f>
        <v>106.112</v>
      </c>
      <c r="P60" s="39" t="n">
        <f aca="false">2*20.5+2*1*0.128</f>
        <v>41.256</v>
      </c>
      <c r="Q60" s="39" t="n">
        <f aca="false">2*20.5+2*1*0.128+2*2.9</f>
        <v>47.056</v>
      </c>
      <c r="R60" s="39" t="n">
        <f aca="false">2*20.5+2*1*0.128+2*3.6+2*2.3</f>
        <v>53.056</v>
      </c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40" t="n">
        <f aca="false">SUM(B60:AG60)</f>
        <v>778.044</v>
      </c>
      <c r="AI60" s="41" t="n">
        <f aca="false">IFERROR(INDEX(Исходные!$B$21:$B$33,MATCH(16,Исходные!$A$21:$A$33,0)),0)</f>
        <v>1.578</v>
      </c>
      <c r="AJ60" s="40" t="n">
        <f aca="false">AH60*AI60*$AK$2</f>
        <v>1313.69617224</v>
      </c>
      <c r="AK60" s="42" t="n">
        <f aca="false">SUM(B60:D60,F60,H60,J60:M60)</f>
        <v>256.116</v>
      </c>
      <c r="AL60" s="43" t="n">
        <f aca="false">AI60</f>
        <v>1.578</v>
      </c>
      <c r="AM60" s="28" t="n">
        <f aca="false">AK60*AL60*$AK$2</f>
        <v>432.44162136</v>
      </c>
      <c r="AN60" s="42" t="n">
        <f aca="false">SUM(E60,G60,I60,N60:AC60)</f>
        <v>521.928</v>
      </c>
      <c r="AO60" s="43" t="n">
        <f aca="false">AI60</f>
        <v>1.578</v>
      </c>
      <c r="AP60" s="28" t="n">
        <f aca="false">AN60*AO60*$AK$2</f>
        <v>881.25455088</v>
      </c>
      <c r="AQ60" s="42" t="n">
        <f aca="false">SUM(AD60:AG60)</f>
        <v>0</v>
      </c>
      <c r="AR60" s="43" t="n">
        <f aca="false">AI60</f>
        <v>1.578</v>
      </c>
      <c r="AS60" s="28" t="n">
        <f aca="false">AQ60*AR60*$AK$2</f>
        <v>0</v>
      </c>
    </row>
    <row r="61" customFormat="false" ht="15" hidden="false" customHeight="false" outlineLevel="0" collapsed="false">
      <c r="A61" s="6" t="s">
        <v>179</v>
      </c>
      <c r="B61" s="39" t="n">
        <f aca="false">8*3.712+32*1.95+10*1.95+6*1.2+6*1.2</f>
        <v>125.996</v>
      </c>
      <c r="C61" s="39" t="n">
        <f aca="false">32*1.25+6*1.2</f>
        <v>47.2</v>
      </c>
      <c r="D61" s="39"/>
      <c r="E61" s="39"/>
      <c r="F61" s="39"/>
      <c r="G61" s="39" t="n">
        <f aca="false">2*3.7+2*3.7</f>
        <v>14.8</v>
      </c>
      <c r="H61" s="39"/>
      <c r="I61" s="39" t="n">
        <f aca="false">2*3.9+2*3.7+2*4.2</f>
        <v>23.6</v>
      </c>
      <c r="J61" s="39"/>
      <c r="K61" s="39" t="n">
        <f aca="false">32*1.95+32*1.45</f>
        <v>108.8</v>
      </c>
      <c r="L61" s="39" t="n">
        <f aca="false">32*1.45+6*1.45+6*1.45</f>
        <v>63.8</v>
      </c>
      <c r="M61" s="39" t="n">
        <f aca="false">32*1.45+6*1.45+6*1.45</f>
        <v>63.8</v>
      </c>
      <c r="N61" s="39"/>
      <c r="O61" s="39"/>
      <c r="P61" s="39" t="n">
        <f aca="false">2*4+2*2.7+2*2.4+4*9.1+2*2.85</f>
        <v>60.3</v>
      </c>
      <c r="Q61" s="39"/>
      <c r="R61" s="39" t="n">
        <f aca="false">2*3.4</f>
        <v>6.8</v>
      </c>
      <c r="S61" s="39"/>
      <c r="T61" s="39"/>
      <c r="U61" s="39"/>
      <c r="V61" s="39"/>
      <c r="W61" s="39"/>
      <c r="X61" s="39"/>
      <c r="Y61" s="39"/>
      <c r="Z61" s="39"/>
      <c r="AA61" s="39" t="n">
        <f aca="false">2*25.795+2*2*0.56+2*20.495+2*1*0.56</f>
        <v>95.94</v>
      </c>
      <c r="AB61" s="39"/>
      <c r="AC61" s="39"/>
      <c r="AD61" s="39"/>
      <c r="AE61" s="39"/>
      <c r="AF61" s="39"/>
      <c r="AG61" s="39"/>
      <c r="AH61" s="40" t="n">
        <f aca="false">SUM(B61:AG61)</f>
        <v>611.036</v>
      </c>
      <c r="AI61" s="41" t="n">
        <f aca="false">IFERROR(INDEX(Исходные!$B$21:$B$33,MATCH(14,Исходные!$A$21:$A$33,0)),0)</f>
        <v>1.208</v>
      </c>
      <c r="AJ61" s="40" t="n">
        <f aca="false">AH61*AI61*$AK$2</f>
        <v>789.80069216</v>
      </c>
      <c r="AK61" s="42" t="n">
        <f aca="false">SUM(B61:D61,F61,H61,J61:M61)</f>
        <v>409.596</v>
      </c>
      <c r="AL61" s="43" t="n">
        <f aca="false">AI61</f>
        <v>1.208</v>
      </c>
      <c r="AM61" s="28" t="n">
        <f aca="false">AK61*AL61*$AK$2</f>
        <v>529.42740576</v>
      </c>
      <c r="AN61" s="42" t="n">
        <f aca="false">SUM(E61,G61,I61,N61:AC61)</f>
        <v>201.44</v>
      </c>
      <c r="AO61" s="43" t="n">
        <f aca="false">AI61</f>
        <v>1.208</v>
      </c>
      <c r="AP61" s="28" t="n">
        <f aca="false">AN61*AO61*$AK$2</f>
        <v>260.3732864</v>
      </c>
      <c r="AQ61" s="42" t="n">
        <f aca="false">SUM(AD61:AG61)</f>
        <v>0</v>
      </c>
      <c r="AR61" s="43" t="n">
        <f aca="false">AI61</f>
        <v>1.208</v>
      </c>
      <c r="AS61" s="28" t="n">
        <f aca="false">AQ61*AR61*$AK$2</f>
        <v>0</v>
      </c>
    </row>
    <row r="62" customFormat="false" ht="15" hidden="false" customHeight="false" outlineLevel="0" collapsed="false">
      <c r="A62" s="6" t="s">
        <v>180</v>
      </c>
      <c r="B62" s="39" t="n">
        <f aca="false">14*1.95</f>
        <v>27.3</v>
      </c>
      <c r="C62" s="39" t="n">
        <f aca="false">10*1.25+6*1.2</f>
        <v>19.7</v>
      </c>
      <c r="D62" s="39"/>
      <c r="E62" s="39"/>
      <c r="F62" s="39"/>
      <c r="G62" s="39" t="n">
        <f aca="false">4*17.1+4*1*0.096</f>
        <v>68.784</v>
      </c>
      <c r="H62" s="39"/>
      <c r="I62" s="39" t="n">
        <f aca="false">4*17.1+4*1*0.096</f>
        <v>68.784</v>
      </c>
      <c r="J62" s="39"/>
      <c r="K62" s="39"/>
      <c r="L62" s="39"/>
      <c r="M62" s="39" t="n">
        <f aca="false">32*1.25+10*1.25+6*1.25</f>
        <v>60</v>
      </c>
      <c r="N62" s="39" t="n">
        <f aca="false">2*5.5</f>
        <v>11</v>
      </c>
      <c r="O62" s="39" t="n">
        <f aca="false">2*4*2.05</f>
        <v>16.4</v>
      </c>
      <c r="P62" s="39"/>
      <c r="Q62" s="39" t="n">
        <f aca="false">4*3.8+4*3.8+4*2.05</f>
        <v>38.6</v>
      </c>
      <c r="R62" s="39" t="n">
        <f aca="false">4*2.4+4*3.4+4*3.6+4*2.3</f>
        <v>46.8</v>
      </c>
      <c r="S62" s="39"/>
      <c r="T62" s="39"/>
      <c r="U62" s="39"/>
      <c r="V62" s="39"/>
      <c r="W62" s="39"/>
      <c r="X62" s="39"/>
      <c r="Y62" s="39"/>
      <c r="Z62" s="39" t="n">
        <f aca="false">12*1.4+12*2.2</f>
        <v>43.2</v>
      </c>
      <c r="AA62" s="39"/>
      <c r="AB62" s="39"/>
      <c r="AC62" s="39"/>
      <c r="AD62" s="39"/>
      <c r="AE62" s="39"/>
      <c r="AF62" s="39"/>
      <c r="AG62" s="39"/>
      <c r="AH62" s="40" t="n">
        <f aca="false">SUM(B62:AG62)</f>
        <v>400.568</v>
      </c>
      <c r="AI62" s="41" t="n">
        <f aca="false">IFERROR(INDEX(Исходные!$B$21:$B$33,MATCH(12,Исходные!$A$21:$A$33,0)),0)</f>
        <v>0.888</v>
      </c>
      <c r="AJ62" s="40" t="n">
        <f aca="false">AH62*AI62*$AK$2</f>
        <v>380.60369088</v>
      </c>
      <c r="AK62" s="42" t="n">
        <f aca="false">SUM(B62:D62,F62,H62,J62:M62)</f>
        <v>107</v>
      </c>
      <c r="AL62" s="43" t="n">
        <f aca="false">AI62</f>
        <v>0.888</v>
      </c>
      <c r="AM62" s="28" t="n">
        <f aca="false">AK62*AL62*$AK$2</f>
        <v>101.66712</v>
      </c>
      <c r="AN62" s="42" t="n">
        <f aca="false">SUM(E62,G62,I62,N62:AC62)</f>
        <v>293.568</v>
      </c>
      <c r="AO62" s="43" t="n">
        <f aca="false">AI62</f>
        <v>0.888</v>
      </c>
      <c r="AP62" s="28" t="n">
        <f aca="false">AN62*AO62*$AK$2</f>
        <v>278.93657088</v>
      </c>
      <c r="AQ62" s="42" t="n">
        <f aca="false">SUM(AD62:AG62)</f>
        <v>0</v>
      </c>
      <c r="AR62" s="43" t="n">
        <f aca="false">AI62</f>
        <v>0.888</v>
      </c>
      <c r="AS62" s="28" t="n">
        <f aca="false">AQ62*AR62*$AK$2</f>
        <v>0</v>
      </c>
    </row>
    <row r="63" customFormat="false" ht="15" hidden="false" customHeight="false" outlineLevel="0" collapsed="false">
      <c r="A63" s="6" t="s">
        <v>181</v>
      </c>
      <c r="B63" s="39"/>
      <c r="C63" s="39"/>
      <c r="D63" s="39"/>
      <c r="E63" s="39"/>
      <c r="F63" s="39"/>
      <c r="G63" s="39"/>
      <c r="H63" s="39"/>
      <c r="I63" s="39"/>
      <c r="J63" s="39"/>
      <c r="K63" s="39" t="n">
        <f aca="false">6*1.95+6*1.45</f>
        <v>20.4</v>
      </c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 t="n">
        <f aca="false">26*27.32+26*2*0.4+49*25.6+49*2*0.4+1*22.2+1*0.4+16*15.62+16*1*0.4+12*13.9+12*1*0.4+1*10.77+14*7.97+9*7.95+13*7.17+9*3.78+40*22.32+40*1*0.4+41*20.6+41*1*0.4+26*20.48+26*1*0.4+2*19.01+2*1*0.4+3*17.28+3*1*0.4+17*15.6+17*1*0.4+18*4.15+22*0.6+26*27.32+26*2*0.4+49*25.6+49*2*0.4+1*22.2+1*0.4+16*15.62+16*1*0.4+12*13.9+12*1*0.4+1*10.77+14*7.97+9*7.95+13*7.17+9*3.78+40*22.32+40*1*0.4+41*20.6+41*1*0.4+26*20.48+26*1*0.4+2*19.01+2*1*0.4+3*17.28+3*1*0.4+17*15.6+17*1*0.4+18*4.15+22*0.6</f>
        <v>11121.62</v>
      </c>
      <c r="W63" s="39"/>
      <c r="X63" s="39"/>
      <c r="Y63" s="39" t="n">
        <f aca="false">22*5.05+25*4.5+20*3.625+17*4.5+17*1.2</f>
        <v>393</v>
      </c>
      <c r="Z63" s="39" t="n">
        <f aca="false">18*1.2+11*1.2+18*1.2+18*1.4+18*2.2+24*1.2+25*2+25*1.2+17*1.2+36*1.2+15*1.4+17*2.2+29*1.4+62*2.2</f>
        <v>529</v>
      </c>
      <c r="AA63" s="39"/>
      <c r="AB63" s="39"/>
      <c r="AC63" s="39" t="n">
        <f aca="false">200*7*0.57</f>
        <v>798</v>
      </c>
      <c r="AD63" s="39" t="n">
        <f aca="false">60*1.19</f>
        <v>71.4</v>
      </c>
      <c r="AE63" s="39" t="n">
        <f aca="false">60*1.19</f>
        <v>71.4</v>
      </c>
      <c r="AF63" s="39" t="n">
        <f aca="false">2*28*1.19+28*0.6+2*4*0.48</f>
        <v>87.28</v>
      </c>
      <c r="AG63" s="39"/>
      <c r="AH63" s="40" t="n">
        <f aca="false">SUM(B63:AG63)</f>
        <v>13092.1</v>
      </c>
      <c r="AI63" s="41" t="n">
        <f aca="false">IFERROR(INDEX(Исходные!$B$21:$B$33,MATCH(10,Исходные!$A$21:$A$33,0)),0)</f>
        <v>0.617</v>
      </c>
      <c r="AJ63" s="40" t="n">
        <f aca="false">AH63*AI63*$AK$2</f>
        <v>8643.273499</v>
      </c>
      <c r="AK63" s="42" t="n">
        <f aca="false">SUM(B63:D63,F63,H63,J63:M63)</f>
        <v>20.4</v>
      </c>
      <c r="AL63" s="43" t="n">
        <f aca="false">AI63</f>
        <v>0.617</v>
      </c>
      <c r="AM63" s="28" t="n">
        <f aca="false">AK63*AL63*$AK$2</f>
        <v>13.467876</v>
      </c>
      <c r="AN63" s="42" t="n">
        <f aca="false">SUM(E63,G63,I63,N63:AC63)</f>
        <v>12841.62</v>
      </c>
      <c r="AO63" s="43" t="n">
        <f aca="false">AI63</f>
        <v>0.617</v>
      </c>
      <c r="AP63" s="28" t="n">
        <f aca="false">AN63*AO63*$AK$2</f>
        <v>8477.9091078</v>
      </c>
      <c r="AQ63" s="42" t="n">
        <f aca="false">SUM(AD63:AG63)</f>
        <v>230.08</v>
      </c>
      <c r="AR63" s="43" t="n">
        <f aca="false">AI63</f>
        <v>0.617</v>
      </c>
      <c r="AS63" s="28" t="n">
        <f aca="false">AQ63*AR63*$AK$2</f>
        <v>151.8965152</v>
      </c>
    </row>
    <row r="64" customFormat="false" ht="15" hidden="false" customHeight="false" outlineLevel="0" collapsed="false">
      <c r="A64" s="6" t="s">
        <v>182</v>
      </c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40" t="n">
        <f aca="false">SUM(B64:AG64)</f>
        <v>0</v>
      </c>
      <c r="AI64" s="41" t="n">
        <f aca="false">IFERROR(INDEX(Исходные!$B$21:$B$33,MATCH(8,Исходные!$A$21:$A$33,0)),0)</f>
        <v>0.395</v>
      </c>
      <c r="AJ64" s="40" t="n">
        <f aca="false">AH64*AI64*$AK$2</f>
        <v>0</v>
      </c>
      <c r="AK64" s="42" t="n">
        <f aca="false">SUM(B64:D64,F64,H64,J64:M64)</f>
        <v>0</v>
      </c>
      <c r="AL64" s="43" t="n">
        <f aca="false">AI64</f>
        <v>0.395</v>
      </c>
      <c r="AM64" s="28" t="n">
        <f aca="false">AK64*AL64*$AK$2</f>
        <v>0</v>
      </c>
      <c r="AN64" s="42" t="n">
        <f aca="false">SUM(E64,G64,I64,N64:AC64)</f>
        <v>0</v>
      </c>
      <c r="AO64" s="43" t="n">
        <f aca="false">AI64</f>
        <v>0.395</v>
      </c>
      <c r="AP64" s="28" t="n">
        <f aca="false">AN64*AO64*$AK$2</f>
        <v>0</v>
      </c>
      <c r="AQ64" s="42" t="n">
        <f aca="false">SUM(AD64:AG64)</f>
        <v>0</v>
      </c>
      <c r="AR64" s="43" t="n">
        <f aca="false">AI64</f>
        <v>0.395</v>
      </c>
      <c r="AS64" s="28" t="n">
        <f aca="false">AQ64*AR64*$AK$2</f>
        <v>0</v>
      </c>
    </row>
    <row r="65" customFormat="false" ht="15" hidden="false" customHeight="false" outlineLevel="0" collapsed="false">
      <c r="A65" s="6" t="s">
        <v>183</v>
      </c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 t="n">
        <f aca="false">2*0.42</f>
        <v>0.84</v>
      </c>
      <c r="AH65" s="40" t="n">
        <f aca="false">SUM(B65:AG65)</f>
        <v>0.84</v>
      </c>
      <c r="AI65" s="41" t="n">
        <f aca="false">IFERROR(INDEX(Исходные!$B$21:$B$33,MATCH(16,Исходные!$A$21:$A$33,0)),0)</f>
        <v>1.578</v>
      </c>
      <c r="AJ65" s="40" t="n">
        <f aca="false">AH65*AI65*$AK$2</f>
        <v>1.4183064</v>
      </c>
      <c r="AK65" s="42" t="n">
        <f aca="false">SUM(B65:D65,F65,H65,J65:M65)</f>
        <v>0</v>
      </c>
      <c r="AL65" s="43" t="n">
        <f aca="false">AI65</f>
        <v>1.578</v>
      </c>
      <c r="AM65" s="28" t="n">
        <f aca="false">AK65*AL65*$AK$2</f>
        <v>0</v>
      </c>
      <c r="AN65" s="42" t="n">
        <f aca="false">SUM(E65,G65,I65,N65:AC65)</f>
        <v>0</v>
      </c>
      <c r="AO65" s="43" t="n">
        <f aca="false">AI65</f>
        <v>1.578</v>
      </c>
      <c r="AP65" s="28" t="n">
        <f aca="false">AN65*AO65*$AK$2</f>
        <v>0</v>
      </c>
      <c r="AQ65" s="42" t="n">
        <f aca="false">SUM(AD65:AG65)</f>
        <v>0.84</v>
      </c>
      <c r="AR65" s="43" t="n">
        <f aca="false">AI65</f>
        <v>1.578</v>
      </c>
      <c r="AS65" s="28" t="n">
        <f aca="false">AQ65*AR65*$AK$2</f>
        <v>1.4183064</v>
      </c>
    </row>
    <row r="66" customFormat="false" ht="15" hidden="false" customHeight="false" outlineLevel="0" collapsed="false">
      <c r="A66" s="6" t="s">
        <v>184</v>
      </c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40" t="n">
        <f aca="false">SUM(B66:AG66)</f>
        <v>0</v>
      </c>
      <c r="AI66" s="41" t="n">
        <f aca="false">IFERROR(INDEX(Исходные!$B$21:$B$33,MATCH(12,Исходные!$A$21:$A$33,0)),0)</f>
        <v>0.888</v>
      </c>
      <c r="AJ66" s="40" t="n">
        <f aca="false">AH66*AI66*$AK$2</f>
        <v>0</v>
      </c>
      <c r="AK66" s="42" t="n">
        <f aca="false">SUM(B66:D66,F66,H66,J66:M66)</f>
        <v>0</v>
      </c>
      <c r="AL66" s="43" t="n">
        <f aca="false">AI66</f>
        <v>0.888</v>
      </c>
      <c r="AM66" s="28" t="n">
        <f aca="false">AK66*AL66*$AK$2</f>
        <v>0</v>
      </c>
      <c r="AN66" s="42" t="n">
        <f aca="false">SUM(E66,G66,I66,N66:AC66)</f>
        <v>0</v>
      </c>
      <c r="AO66" s="43" t="n">
        <f aca="false">AI66</f>
        <v>0.888</v>
      </c>
      <c r="AP66" s="28" t="n">
        <f aca="false">AN66*AO66*$AK$2</f>
        <v>0</v>
      </c>
      <c r="AQ66" s="42" t="n">
        <f aca="false">SUM(AD66:AG66)</f>
        <v>0</v>
      </c>
      <c r="AR66" s="43" t="n">
        <f aca="false">AI66</f>
        <v>0.888</v>
      </c>
      <c r="AS66" s="28" t="n">
        <f aca="false">AQ66*AR66*$AK$2</f>
        <v>0</v>
      </c>
    </row>
    <row r="67" customFormat="false" ht="15" hidden="false" customHeight="false" outlineLevel="0" collapsed="false">
      <c r="A67" s="6" t="s">
        <v>185</v>
      </c>
      <c r="B67" s="39" t="n">
        <f aca="false">48*1.33</f>
        <v>63.84</v>
      </c>
      <c r="C67" s="39" t="n">
        <f aca="false">32*1.33</f>
        <v>42.56</v>
      </c>
      <c r="D67" s="39"/>
      <c r="E67" s="39" t="n">
        <f aca="false">56*2.06+8*1.6</f>
        <v>128.16</v>
      </c>
      <c r="F67" s="39"/>
      <c r="G67" s="39" t="n">
        <f aca="false">105*2.06+28*1.6</f>
        <v>261.1</v>
      </c>
      <c r="H67" s="39"/>
      <c r="I67" s="39" t="n">
        <f aca="false">124*2.06+115*1.6</f>
        <v>439.44</v>
      </c>
      <c r="J67" s="39"/>
      <c r="K67" s="39" t="n">
        <f aca="false">48*1.33</f>
        <v>63.84</v>
      </c>
      <c r="L67" s="39" t="n">
        <f aca="false">16*1.33</f>
        <v>21.28</v>
      </c>
      <c r="M67" s="39" t="n">
        <f aca="false">32*1.33</f>
        <v>42.56</v>
      </c>
      <c r="N67" s="39" t="n">
        <f aca="false">57*2.06</f>
        <v>117.42</v>
      </c>
      <c r="O67" s="39" t="n">
        <f aca="false">2*47*2.06</f>
        <v>193.64</v>
      </c>
      <c r="P67" s="39" t="n">
        <f aca="false">92*2.06+86*1.6</f>
        <v>327.12</v>
      </c>
      <c r="Q67" s="39" t="n">
        <f aca="false">106*2.06+51*1.6</f>
        <v>299.96</v>
      </c>
      <c r="R67" s="39" t="n">
        <f aca="false">87*2.06+61*1.6</f>
        <v>276.82</v>
      </c>
      <c r="S67" s="39"/>
      <c r="T67" s="39"/>
      <c r="U67" s="39"/>
      <c r="V67" s="39"/>
      <c r="W67" s="39" t="n">
        <f aca="false">847*0.42</f>
        <v>355.74</v>
      </c>
      <c r="X67" s="39"/>
      <c r="Y67" s="39"/>
      <c r="Z67" s="39"/>
      <c r="AA67" s="39" t="n">
        <f aca="false">119*0.7</f>
        <v>83.3</v>
      </c>
      <c r="AB67" s="39"/>
      <c r="AC67" s="39"/>
      <c r="AD67" s="39" t="n">
        <f aca="false">60*0.52</f>
        <v>31.2</v>
      </c>
      <c r="AE67" s="39" t="n">
        <f aca="false">60*0.52</f>
        <v>31.2</v>
      </c>
      <c r="AF67" s="39" t="n">
        <f aca="false">2*28*0.52</f>
        <v>29.12</v>
      </c>
      <c r="AG67" s="39"/>
      <c r="AH67" s="40" t="n">
        <f aca="false">SUM(B67:AG67)</f>
        <v>2808.3</v>
      </c>
      <c r="AI67" s="41" t="n">
        <f aca="false">IFERROR(INDEX(Исходные!$B$21:$B$33,MATCH(10,Исходные!$A$21:$A$33,0)),0)</f>
        <v>0.617</v>
      </c>
      <c r="AJ67" s="40" t="n">
        <f aca="false">AH67*AI67*$AK$2</f>
        <v>1854.011577</v>
      </c>
      <c r="AK67" s="42" t="n">
        <f aca="false">SUM(B67:D67,F67,H67,J67:M67)</f>
        <v>234.08</v>
      </c>
      <c r="AL67" s="43" t="n">
        <f aca="false">AI67</f>
        <v>0.617</v>
      </c>
      <c r="AM67" s="28" t="n">
        <f aca="false">AK67*AL67*$AK$2</f>
        <v>154.5372752</v>
      </c>
      <c r="AN67" s="42" t="n">
        <f aca="false">SUM(E67,G67,I67,N67:AC67)</f>
        <v>2482.7</v>
      </c>
      <c r="AO67" s="43" t="n">
        <f aca="false">AI67</f>
        <v>0.617</v>
      </c>
      <c r="AP67" s="28" t="n">
        <f aca="false">AN67*AO67*$AK$2</f>
        <v>1639.053713</v>
      </c>
      <c r="AQ67" s="42" t="n">
        <f aca="false">SUM(AD67:AG67)</f>
        <v>91.52</v>
      </c>
      <c r="AR67" s="43" t="n">
        <f aca="false">AI67</f>
        <v>0.617</v>
      </c>
      <c r="AS67" s="28" t="n">
        <f aca="false">AQ67*AR67*$AK$2</f>
        <v>60.4205888</v>
      </c>
    </row>
    <row r="68" customFormat="false" ht="15" hidden="false" customHeight="false" outlineLevel="0" collapsed="false">
      <c r="A68" s="6" t="s">
        <v>186</v>
      </c>
      <c r="B68" s="39" t="n">
        <f aca="false">32*1.56+16*1.76+28*2.44+32*1.96+80*0.53</f>
        <v>251.52</v>
      </c>
      <c r="C68" s="39" t="n">
        <f aca="false">16*1.56+16*1.76+28*2.44+32*1.96+56*0.53</f>
        <v>213.84</v>
      </c>
      <c r="D68" s="39" t="n">
        <f aca="false">3*28*2.44+3*32*1.96</f>
        <v>393.12</v>
      </c>
      <c r="E68" s="39" t="n">
        <f aca="false">112*2.06+105*0.75+70*0.58</f>
        <v>350.07</v>
      </c>
      <c r="F68" s="39" t="n">
        <f aca="false">5*28*2.44+5*32*1.96</f>
        <v>655.2</v>
      </c>
      <c r="G68" s="39" t="n">
        <f aca="false">90*2.06+109*0.75+77*0.58</f>
        <v>311.81</v>
      </c>
      <c r="H68" s="39" t="n">
        <f aca="false">5*28*2.44+5*32*1.96</f>
        <v>655.2</v>
      </c>
      <c r="I68" s="39" t="n">
        <f aca="false">78*2.06+54*0.75+77*0.58</f>
        <v>245.84</v>
      </c>
      <c r="J68" s="39" t="n">
        <f aca="false">2*28*2.44+2*32*1.96</f>
        <v>262.08</v>
      </c>
      <c r="K68" s="39" t="n">
        <f aca="false">32*1.56+16*1.76+28*2.44+32*1.96+72*0.53</f>
        <v>247.28</v>
      </c>
      <c r="L68" s="39" t="n">
        <f aca="false">16*1.76+28*2.44+32*1.96+24*0.53</f>
        <v>171.92</v>
      </c>
      <c r="M68" s="39" t="n">
        <f aca="false">16*1.56+16*1.76+28*2.44+32*1.96+48*0.53</f>
        <v>209.6</v>
      </c>
      <c r="N68" s="39" t="n">
        <f aca="false">113*2.06+106*0.75+67*0.58</f>
        <v>351.14</v>
      </c>
      <c r="O68" s="39" t="n">
        <f aca="false">2*101*2.06+2*99*0.75+2*62*0.58</f>
        <v>636.54</v>
      </c>
      <c r="P68" s="39" t="n">
        <f aca="false">47*2.06+35*0.75+54*0.58</f>
        <v>154.39</v>
      </c>
      <c r="Q68" s="39" t="n">
        <f aca="false">52*2.06+72*0.75+62*0.58</f>
        <v>197.08</v>
      </c>
      <c r="R68" s="39" t="n">
        <f aca="false">51*2.06+52*0.75+54*0.58</f>
        <v>175.38</v>
      </c>
      <c r="S68" s="39"/>
      <c r="T68" s="39" t="n">
        <f aca="false">925*1.24+44*1.24+44*1.44+133*1.04+272*1.14</f>
        <v>1713.32</v>
      </c>
      <c r="U68" s="39"/>
      <c r="V68" s="39"/>
      <c r="W68" s="39" t="n">
        <f aca="false">847*0.22</f>
        <v>186.34</v>
      </c>
      <c r="X68" s="39"/>
      <c r="Y68" s="39"/>
      <c r="Z68" s="39"/>
      <c r="AA68" s="39"/>
      <c r="AB68" s="39"/>
      <c r="AC68" s="39"/>
      <c r="AD68" s="39"/>
      <c r="AE68" s="39"/>
      <c r="AF68" s="39"/>
      <c r="AG68" s="39" t="n">
        <f aca="false">14*1.28+22*1.16</f>
        <v>43.44</v>
      </c>
      <c r="AH68" s="40" t="n">
        <f aca="false">SUM(B68:AG68)</f>
        <v>7425.11</v>
      </c>
      <c r="AI68" s="41" t="n">
        <f aca="false">IFERROR(INDEX(Исходные!$B$21:$B$33,MATCH(8,Исходные!$A$21:$A$33,0)),0)</f>
        <v>0.395</v>
      </c>
      <c r="AJ68" s="40" t="n">
        <f aca="false">AH68*AI68*$AK$2</f>
        <v>3138.2227415</v>
      </c>
      <c r="AK68" s="42" t="n">
        <f aca="false">SUM(B68:D68,F68,H68,J68:M68)</f>
        <v>3059.76</v>
      </c>
      <c r="AL68" s="43" t="n">
        <f aca="false">AI68</f>
        <v>0.395</v>
      </c>
      <c r="AM68" s="28" t="n">
        <f aca="false">AK68*AL68*$AK$2</f>
        <v>1293.207564</v>
      </c>
      <c r="AN68" s="42" t="n">
        <f aca="false">SUM(E68,G68,I68,N68:AC68)</f>
        <v>4321.91</v>
      </c>
      <c r="AO68" s="43" t="n">
        <f aca="false">AI68</f>
        <v>0.395</v>
      </c>
      <c r="AP68" s="28" t="n">
        <f aca="false">AN68*AO68*$AK$2</f>
        <v>1826.6552615</v>
      </c>
      <c r="AQ68" s="42" t="n">
        <f aca="false">SUM(AD68:AG68)</f>
        <v>43.44</v>
      </c>
      <c r="AR68" s="43" t="n">
        <f aca="false">AI68</f>
        <v>0.395</v>
      </c>
      <c r="AS68" s="28" t="n">
        <f aca="false">AQ68*AR68*$AK$2</f>
        <v>18.359916</v>
      </c>
    </row>
    <row r="69" customFormat="false" ht="15" hidden="false" customHeight="false" outlineLevel="0" collapsed="false">
      <c r="A69" s="6" t="s">
        <v>187</v>
      </c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 t="n">
        <f aca="false">38*0.28</f>
        <v>10.64</v>
      </c>
      <c r="AE69" s="39" t="n">
        <f aca="false">38*0.28</f>
        <v>10.64</v>
      </c>
      <c r="AF69" s="39" t="n">
        <f aca="false">28*0.28</f>
        <v>7.84</v>
      </c>
      <c r="AG69" s="39"/>
      <c r="AH69" s="40" t="n">
        <f aca="false">SUM(B69:AG69)</f>
        <v>29.12</v>
      </c>
      <c r="AI69" s="41" t="n">
        <f aca="false">IFERROR(INDEX(Исходные!$B$21:$B$33,MATCH(6,Исходные!$A$21:$A$33,0)),0)</f>
        <v>0.222</v>
      </c>
      <c r="AJ69" s="40" t="n">
        <f aca="false">AH69*AI69*$AK$2</f>
        <v>6.9171648</v>
      </c>
      <c r="AK69" s="42" t="n">
        <f aca="false">SUM(B69:D69,F69,H69,J69:M69)</f>
        <v>0</v>
      </c>
      <c r="AL69" s="43" t="n">
        <f aca="false">AI69</f>
        <v>0.222</v>
      </c>
      <c r="AM69" s="28" t="n">
        <f aca="false">AK69*AL69*$AK$2</f>
        <v>0</v>
      </c>
      <c r="AN69" s="42" t="n">
        <f aca="false">SUM(E69,G69,I69,N69:AC69)</f>
        <v>0</v>
      </c>
      <c r="AO69" s="43" t="n">
        <f aca="false">AI69</f>
        <v>0.222</v>
      </c>
      <c r="AP69" s="28" t="n">
        <f aca="false">AN69*AO69*$AK$2</f>
        <v>0</v>
      </c>
      <c r="AQ69" s="42" t="n">
        <f aca="false">SUM(AD69:AG69)</f>
        <v>29.12</v>
      </c>
      <c r="AR69" s="43" t="n">
        <f aca="false">AI69</f>
        <v>0.222</v>
      </c>
      <c r="AS69" s="28" t="n">
        <f aca="false">AQ69*AR69*$AK$2</f>
        <v>6.9171648</v>
      </c>
    </row>
    <row r="70" customFormat="false" ht="15" hidden="false" customHeight="false" outlineLevel="0" collapsed="false">
      <c r="A70" s="6" t="s">
        <v>188</v>
      </c>
      <c r="B70" s="44"/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 t="n">
        <f aca="false">6.38</f>
        <v>6.38</v>
      </c>
      <c r="AE70" s="44" t="n">
        <f aca="false">6.38</f>
        <v>6.38</v>
      </c>
      <c r="AF70" s="44"/>
      <c r="AG70" s="44"/>
      <c r="AH70" s="40" t="n">
        <f aca="false">SUM(B70:AG70)</f>
        <v>12.76</v>
      </c>
      <c r="AI70" s="41" t="n">
        <f aca="false">Исходные!$B$34</f>
        <v>3.08</v>
      </c>
      <c r="AJ70" s="40" t="n">
        <f aca="false">AH70*AI70*$AK$2</f>
        <v>42.051856</v>
      </c>
      <c r="AK70" s="42" t="n">
        <f aca="false">SUM(B70:D70,F70,H70,J70:M70)</f>
        <v>0</v>
      </c>
      <c r="AL70" s="43" t="n">
        <f aca="false">AI70</f>
        <v>3.08</v>
      </c>
      <c r="AM70" s="28" t="n">
        <f aca="false">AK70*AL70*$AK$2</f>
        <v>0</v>
      </c>
      <c r="AN70" s="42" t="n">
        <f aca="false">SUM(E70,G70,I70,N70:AC70)</f>
        <v>0</v>
      </c>
      <c r="AO70" s="43" t="n">
        <f aca="false">AI70</f>
        <v>3.08</v>
      </c>
      <c r="AP70" s="28" t="n">
        <f aca="false">AN70*AO70*$AK$2</f>
        <v>0</v>
      </c>
      <c r="AQ70" s="42" t="n">
        <f aca="false">SUM(AD70:AG70)</f>
        <v>12.76</v>
      </c>
      <c r="AR70" s="43" t="n">
        <f aca="false">AI70</f>
        <v>3.08</v>
      </c>
      <c r="AS70" s="28" t="n">
        <f aca="false">AQ70*AR70*$AK$2</f>
        <v>42.051856</v>
      </c>
    </row>
    <row r="71" customFormat="false" ht="15" hidden="false" customHeight="false" outlineLevel="0" collapsed="false">
      <c r="A71" s="45" t="s">
        <v>189</v>
      </c>
      <c r="B71" s="46" t="n">
        <f aca="false">SUMPRODUCT(B54:B70,$AI$54:$AI$70)</f>
        <v>889.699456</v>
      </c>
      <c r="C71" s="46" t="n">
        <f aca="false">SUMPRODUCT(C54:C70,$AI$54:$AI$70)</f>
        <v>731.210064</v>
      </c>
      <c r="D71" s="46" t="n">
        <f aca="false">SUMPRODUCT(D54:D70,$AI$54:$AI$70)</f>
        <v>619.7688</v>
      </c>
      <c r="E71" s="46" t="n">
        <f aca="false">SUMPRODUCT(E54:E70,$AI$54:$AI$70)</f>
        <v>1293.561854</v>
      </c>
      <c r="F71" s="46" t="n">
        <f aca="false">SUMPRODUCT(F54:F70,$AI$54:$AI$70)</f>
        <v>1068.444</v>
      </c>
      <c r="G71" s="46" t="n">
        <f aca="false">SUMPRODUCT(G54:G70,$AI$54:$AI$70)</f>
        <v>1263.927226</v>
      </c>
      <c r="H71" s="46" t="n">
        <f aca="false">SUMPRODUCT(H54:H70,$AI$54:$AI$70)</f>
        <v>1047.1464</v>
      </c>
      <c r="I71" s="46" t="n">
        <f aca="false">SUMPRODUCT(I54:I70,$AI$54:$AI$70)</f>
        <v>1379.090556</v>
      </c>
      <c r="J71" s="46" t="n">
        <f aca="false">SUMPRODUCT(J54:J70,$AI$54:$AI$70)</f>
        <v>384.7824</v>
      </c>
      <c r="K71" s="46" t="n">
        <f aca="false">SUMPRODUCT(K54:K70,$AI$54:$AI$70)</f>
        <v>823.611848</v>
      </c>
      <c r="L71" s="46" t="n">
        <f aca="false">SUMPRODUCT(L54:L70,$AI$54:$AI$70)</f>
        <v>417.260464</v>
      </c>
      <c r="M71" s="46" t="n">
        <f aca="false">SUMPRODUCT(M54:M70,$AI$54:$AI$70)</f>
        <v>596.125728</v>
      </c>
      <c r="N71" s="46" t="n">
        <f aca="false">SUMPRODUCT(N54:N70,$AI$54:$AI$70)</f>
        <v>1323.443824</v>
      </c>
      <c r="O71" s="46" t="n">
        <f aca="false">SUMPRODUCT(O54:O70,$AI$54:$AI$70)</f>
        <v>1763.475564</v>
      </c>
      <c r="P71" s="46" t="n">
        <f aca="false">SUMPRODUCT(P54:P70,$AI$54:$AI$70)</f>
        <v>1189.850982</v>
      </c>
      <c r="Q71" s="46" t="n">
        <f aca="false">SUMPRODUCT(Q54:Q70,$AI$54:$AI$70)</f>
        <v>1076.863812</v>
      </c>
      <c r="R71" s="46" t="n">
        <f aca="false">SUMPRODUCT(R54:R70,$AI$54:$AI$70)</f>
        <v>1088.542132</v>
      </c>
      <c r="S71" s="46" t="n">
        <f aca="false">SUMPRODUCT(S54:S70,$AI$54:$AI$70)</f>
        <v>3135.41372</v>
      </c>
      <c r="T71" s="46" t="n">
        <f aca="false">SUMPRODUCT(T54:T70,$AI$54:$AI$70)</f>
        <v>676.7614</v>
      </c>
      <c r="U71" s="46" t="n">
        <f aca="false">SUMPRODUCT(U54:U70,$AI$54:$AI$70)</f>
        <v>47.952</v>
      </c>
      <c r="V71" s="46" t="n">
        <f aca="false">SUMPRODUCT(V54:V70,$AI$54:$AI$70)</f>
        <v>6862.03954</v>
      </c>
      <c r="W71" s="46" t="n">
        <f aca="false">SUMPRODUCT(W54:W70,$AI$54:$AI$70)</f>
        <v>293.09588</v>
      </c>
      <c r="X71" s="46" t="n">
        <f aca="false">SUMPRODUCT(X54:X70,$AI$54:$AI$70)</f>
        <v>0</v>
      </c>
      <c r="Y71" s="46" t="n">
        <f aca="false">SUMPRODUCT(Y54:Y70,$AI$54:$AI$70)</f>
        <v>242.481</v>
      </c>
      <c r="Z71" s="46" t="n">
        <f aca="false">SUMPRODUCT(Z54:Z70,$AI$54:$AI$70)</f>
        <v>433.3292</v>
      </c>
      <c r="AA71" s="46" t="n">
        <f aca="false">SUMPRODUCT(AA54:AA70,$AI$54:$AI$70)</f>
        <v>167.29162</v>
      </c>
      <c r="AB71" s="46" t="n">
        <f aca="false">SUMPRODUCT(AB54:AB70,$AI$54:$AI$70)</f>
        <v>0</v>
      </c>
      <c r="AC71" s="46" t="n">
        <f aca="false">SUMPRODUCT(AC54:AC70,$AI$54:$AI$70)</f>
        <v>492.366</v>
      </c>
      <c r="AD71" s="46" t="n">
        <f aca="false">SUMPRODUCT(AD54:AD70,$AI$54:$AI$70)</f>
        <v>305.020756</v>
      </c>
      <c r="AE71" s="46" t="n">
        <f aca="false">SUMPRODUCT(AE54:AE70,$AI$54:$AI$70)</f>
        <v>305.020756</v>
      </c>
      <c r="AF71" s="46" t="n">
        <f aca="false">SUMPRODUCT(AF54:AF70,$AI$54:$AI$70)</f>
        <v>73.55928</v>
      </c>
      <c r="AG71" s="46" t="n">
        <f aca="false">SUMPRODUCT(AG54:AG70,$AI$54:$AI$70)</f>
        <v>99.78262</v>
      </c>
      <c r="AH71" s="45"/>
      <c r="AI71" s="18" t="s">
        <v>36</v>
      </c>
      <c r="AJ71" s="47" t="n">
        <f aca="false">SUMPRODUCT(AH54:AH70,AI54:AI70)</f>
        <v>30090.918882</v>
      </c>
      <c r="AK71" s="45"/>
      <c r="AL71" s="18" t="s">
        <v>36</v>
      </c>
      <c r="AM71" s="47" t="n">
        <f aca="false">SUMPRODUCT(AK54:AK70,AL54:AL70)</f>
        <v>6578.04916</v>
      </c>
      <c r="AN71" s="45"/>
      <c r="AO71" s="18" t="s">
        <v>36</v>
      </c>
      <c r="AP71" s="47" t="n">
        <f aca="false">SUMPRODUCT(AN54:AN70,AO54:AO70)</f>
        <v>22729.48631</v>
      </c>
      <c r="AQ71" s="45"/>
      <c r="AR71" s="18" t="s">
        <v>36</v>
      </c>
      <c r="AS71" s="47" t="n">
        <f aca="false">SUMPRODUCT(AQ54:AQ70,AR54:AR70)</f>
        <v>783.383412</v>
      </c>
    </row>
    <row r="72" customFormat="false" ht="23.85" hidden="false" customHeight="false" outlineLevel="0" collapsed="false">
      <c r="A72" s="4" t="s">
        <v>190</v>
      </c>
      <c r="B72" s="48" t="n">
        <f aca="false">B71*$AK$2</f>
        <v>951.97841792</v>
      </c>
      <c r="C72" s="48" t="n">
        <f aca="false">C71*$AK$2</f>
        <v>782.39476848</v>
      </c>
      <c r="D72" s="48" t="n">
        <f aca="false">D71*$AK$2</f>
        <v>663.152616</v>
      </c>
      <c r="E72" s="48" t="n">
        <f aca="false">E71*$AK$2</f>
        <v>1384.11118378</v>
      </c>
      <c r="F72" s="48" t="n">
        <f aca="false">F71*$AK$2</f>
        <v>1143.23508</v>
      </c>
      <c r="G72" s="48" t="n">
        <f aca="false">G71*$AK$2</f>
        <v>1352.40213182</v>
      </c>
      <c r="H72" s="48" t="n">
        <f aca="false">H71*$AK$2</f>
        <v>1120.446648</v>
      </c>
      <c r="I72" s="48" t="n">
        <f aca="false">I71*$AK$2</f>
        <v>1475.62689492</v>
      </c>
      <c r="J72" s="48" t="n">
        <f aca="false">J71*$AK$2</f>
        <v>411.717168</v>
      </c>
      <c r="K72" s="48" t="n">
        <f aca="false">K71*$AK$2</f>
        <v>881.26467736</v>
      </c>
      <c r="L72" s="48" t="n">
        <f aca="false">L71*$AK$2</f>
        <v>446.46869648</v>
      </c>
      <c r="M72" s="48" t="n">
        <f aca="false">M71*$AK$2</f>
        <v>637.85452896</v>
      </c>
      <c r="N72" s="48" t="n">
        <f aca="false">N71*$AK$2</f>
        <v>1416.08489168</v>
      </c>
      <c r="O72" s="48" t="n">
        <f aca="false">O71*$AK$2</f>
        <v>1886.91885348</v>
      </c>
      <c r="P72" s="48" t="n">
        <f aca="false">P71*$AK$2</f>
        <v>1273.14055074</v>
      </c>
      <c r="Q72" s="48" t="n">
        <f aca="false">Q71*$AK$2</f>
        <v>1152.24427884</v>
      </c>
      <c r="R72" s="48" t="n">
        <f aca="false">R71*$AK$2</f>
        <v>1164.74008124</v>
      </c>
      <c r="S72" s="48" t="n">
        <f aca="false">S71*$AK$2</f>
        <v>3354.8926804</v>
      </c>
      <c r="T72" s="48" t="n">
        <f aca="false">T71*$AK$2</f>
        <v>724.134698</v>
      </c>
      <c r="U72" s="48" t="n">
        <f aca="false">U71*$AK$2</f>
        <v>51.30864</v>
      </c>
      <c r="V72" s="48" t="n">
        <f aca="false">V71*$AK$2</f>
        <v>7342.3823078</v>
      </c>
      <c r="W72" s="48" t="n">
        <f aca="false">W71*$AK$2</f>
        <v>313.6125916</v>
      </c>
      <c r="X72" s="48" t="n">
        <f aca="false">X71*$AK$2</f>
        <v>0</v>
      </c>
      <c r="Y72" s="48" t="n">
        <f aca="false">Y71*$AK$2</f>
        <v>259.45467</v>
      </c>
      <c r="Z72" s="48" t="n">
        <f aca="false">Z71*$AK$2</f>
        <v>463.662244</v>
      </c>
      <c r="AA72" s="48" t="n">
        <f aca="false">AA71*$AK$2</f>
        <v>179.0020334</v>
      </c>
      <c r="AB72" s="48" t="n">
        <f aca="false">AB71*$AK$2</f>
        <v>0</v>
      </c>
      <c r="AC72" s="48" t="n">
        <f aca="false">AC71*$AK$2</f>
        <v>526.83162</v>
      </c>
      <c r="AD72" s="48" t="n">
        <f aca="false">AD71*$AK$2</f>
        <v>326.37220892</v>
      </c>
      <c r="AE72" s="48" t="n">
        <f aca="false">AE71*$AK$2</f>
        <v>326.37220892</v>
      </c>
      <c r="AF72" s="48" t="n">
        <f aca="false">AF71*$AK$2</f>
        <v>78.7084296</v>
      </c>
      <c r="AG72" s="48" t="n">
        <f aca="false">AG71*$AK$2</f>
        <v>106.7674034</v>
      </c>
      <c r="AH72" s="4"/>
      <c r="AI72" s="5" t="s">
        <v>191</v>
      </c>
      <c r="AJ72" s="49" t="n">
        <f aca="false">SUM(AJ54:AJ70)</f>
        <v>32197.28320374</v>
      </c>
      <c r="AK72" s="4"/>
      <c r="AL72" s="5" t="s">
        <v>191</v>
      </c>
      <c r="AM72" s="49" t="n">
        <f aca="false">SUM(AM54:AM70)</f>
        <v>7038.5126012</v>
      </c>
      <c r="AN72" s="4"/>
      <c r="AO72" s="5" t="s">
        <v>191</v>
      </c>
      <c r="AP72" s="49" t="n">
        <f aca="false">SUM(AP54:AP70)</f>
        <v>24320.5503517</v>
      </c>
      <c r="AQ72" s="4"/>
      <c r="AR72" s="5" t="s">
        <v>191</v>
      </c>
      <c r="AS72" s="49" t="n">
        <f aca="false">SUM(AS54:AS70)</f>
        <v>838.22025084</v>
      </c>
    </row>
    <row r="73" customFormat="false" ht="15" hidden="false" customHeight="false" outlineLevel="0" collapsed="false">
      <c r="AI73" s="5" t="s">
        <v>192</v>
      </c>
      <c r="AJ73" s="50" t="n">
        <f aca="false">AJ72/1000</f>
        <v>32.19728320374</v>
      </c>
      <c r="AL73" s="5" t="s">
        <v>192</v>
      </c>
      <c r="AM73" s="50" t="n">
        <f aca="false">AM72/1000</f>
        <v>7.0385126012</v>
      </c>
      <c r="AO73" s="5" t="s">
        <v>192</v>
      </c>
      <c r="AP73" s="50" t="n">
        <f aca="false">AP72/1000</f>
        <v>24.3205503517</v>
      </c>
      <c r="AR73" s="5" t="s">
        <v>192</v>
      </c>
      <c r="AS73" s="50" t="n">
        <f aca="false">AS72/1000</f>
        <v>0.83822025084</v>
      </c>
    </row>
    <row r="74" customFormat="false" ht="23.85" hidden="false" customHeight="false" outlineLevel="0" collapsed="false">
      <c r="A74" s="20" t="s">
        <v>221</v>
      </c>
      <c r="AJ74" s="21" t="n">
        <f aca="false">ROUND(AJ71-Ведомость!P2055,1)</f>
        <v>0</v>
      </c>
      <c r="AK74" s="35" t="s">
        <v>40</v>
      </c>
    </row>
    <row r="76" customFormat="false" ht="15" hidden="false" customHeight="false" outlineLevel="0" collapsed="false">
      <c r="A76" s="4" t="s">
        <v>194</v>
      </c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</row>
    <row r="77" customFormat="false" ht="15" hidden="false" customHeight="false" outlineLevel="0" collapsed="false">
      <c r="A77" s="6" t="s">
        <v>195</v>
      </c>
      <c r="B77" s="44" t="n">
        <f aca="false">(0.6*0.6+2*0.7*0.4+1.7*0.4)*(3.6-0.12)</f>
        <v>5.568</v>
      </c>
      <c r="C77" s="44" t="n">
        <f aca="false">(0.6*0.6+0.7*0.4+1.7*0.4)*(3.6-0.12)</f>
        <v>4.5936</v>
      </c>
      <c r="D77" s="44" t="n">
        <f aca="false">3*0.6*0.6*(3.6-0.12)</f>
        <v>3.7584</v>
      </c>
      <c r="E77" s="44" t="n">
        <f aca="false">1*0.45*(0.63-0.12)*20.5</f>
        <v>4.70475</v>
      </c>
      <c r="F77" s="44" t="n">
        <f aca="false">5*0.6*0.6*(3.6-0.12)</f>
        <v>6.264</v>
      </c>
      <c r="G77" s="44" t="n">
        <f aca="false">1*0.45*(0.63-0.12)*22.6</f>
        <v>5.1867</v>
      </c>
      <c r="H77" s="44" t="n">
        <f aca="false">5*0.6*0.6*(3.6-0.12)</f>
        <v>6.264</v>
      </c>
      <c r="I77" s="44" t="n">
        <f aca="false">1*0.45*(0.63-0.12)*22.6</f>
        <v>5.1867</v>
      </c>
      <c r="J77" s="44" t="n">
        <f aca="false">2*0.6*0.6*(3.6-0.12)</f>
        <v>2.5056</v>
      </c>
      <c r="K77" s="44" t="n">
        <f aca="false">(0.6*0.6+2*0.7*0.4+0.9*0.4)*(3.6-0.12)</f>
        <v>4.4544</v>
      </c>
      <c r="L77" s="44" t="n">
        <f aca="false">(0.6*0.6+0.9*0.4)*(3.6-0.12)</f>
        <v>2.5056</v>
      </c>
      <c r="M77" s="44" t="n">
        <f aca="false">(0.6*0.6+0.7*0.4+0.9*0.4)*(3.6-0.12)</f>
        <v>3.48</v>
      </c>
      <c r="N77" s="44" t="n">
        <f aca="false">1*0.45*(0.63-0.12)*19.8</f>
        <v>4.5441</v>
      </c>
      <c r="O77" s="44" t="n">
        <f aca="false">2*0.45*(0.6-0.12)*18.2</f>
        <v>7.8624</v>
      </c>
      <c r="P77" s="44" t="n">
        <f aca="false">1*0.45*(0.6-0.12)*15.8</f>
        <v>3.4128</v>
      </c>
      <c r="Q77" s="44" t="n">
        <f aca="false">1*0.45*(0.6-0.12)*18.2</f>
        <v>3.9312</v>
      </c>
      <c r="R77" s="44" t="n">
        <f aca="false">1*0.45*(0.6-0.12)*15.8</f>
        <v>3.4128</v>
      </c>
      <c r="S77" s="44" t="n">
        <f aca="false">137.85*0.3*(0.3-0.12)+6.05*0.3*(0.4-0.12)+(11.71+3.08+2.885)*0.2*(0.3-0.12)+35.75*0.25*(0.3-0.12)</f>
        <v>10.19715</v>
      </c>
      <c r="T77" s="44"/>
      <c r="U77" s="44"/>
      <c r="V77" s="44" t="n">
        <f aca="false">541.54*0.12</f>
        <v>64.9848</v>
      </c>
      <c r="W77" s="44"/>
      <c r="X77" s="44"/>
      <c r="Y77" s="44"/>
      <c r="Z77" s="44"/>
      <c r="AA77" s="44"/>
      <c r="AB77" s="44"/>
      <c r="AC77" s="44"/>
      <c r="AD77" s="44" t="n">
        <f aca="false">SQRT(3.3^2+1.8^2)*1.25*0.15+12*0.3*0.15/2*1.25</f>
        <v>1.04231047984547</v>
      </c>
      <c r="AE77" s="44" t="n">
        <f aca="false">SQRT(3.3^2+1.8^2)*1.25*0.15+12*0.3*0.15/2*1.25</f>
        <v>1.04231047984547</v>
      </c>
      <c r="AF77" s="44" t="n">
        <f aca="false">1.4*2.89*0.15</f>
        <v>0.6069</v>
      </c>
      <c r="AG77" s="44" t="n">
        <f aca="false">0.3*0.3*(1.7-0.3+0.55)+0.3*0.3*2.255</f>
        <v>0.37845</v>
      </c>
      <c r="AH77" s="51" t="n">
        <f aca="false">SUM(B77:AG77)</f>
        <v>155.886970959691</v>
      </c>
      <c r="AI77" s="20"/>
      <c r="AJ77" s="51" t="n">
        <f aca="false">AH77*$AL$2</f>
        <v>155.886970959691</v>
      </c>
      <c r="AK77" s="52" t="n">
        <f aca="false">SUM(B77:D77,F77,H77,J77:M77)</f>
        <v>39.3936</v>
      </c>
      <c r="AL77" s="6"/>
      <c r="AM77" s="24" t="n">
        <f aca="false">AK77*$AL$2</f>
        <v>39.3936</v>
      </c>
      <c r="AN77" s="52" t="n">
        <f aca="false">SUM(E77,G77,I77,N77:AC77)</f>
        <v>113.4234</v>
      </c>
      <c r="AO77" s="6"/>
      <c r="AP77" s="24" t="n">
        <f aca="false">AN77*$AL$2</f>
        <v>113.4234</v>
      </c>
      <c r="AQ77" s="52" t="n">
        <f aca="false">SUM(AD77:AG77)</f>
        <v>3.06997095969094</v>
      </c>
      <c r="AR77" s="6"/>
      <c r="AS77" s="24" t="n">
        <f aca="false">AQ77*$AL$2</f>
        <v>3.06997095969094</v>
      </c>
    </row>
    <row r="78" customFormat="false" ht="15" hidden="false" customHeight="false" outlineLevel="0" collapsed="false">
      <c r="A78" s="20" t="s">
        <v>196</v>
      </c>
      <c r="AJ78" s="53" t="n">
        <f aca="false">IF(AH77&gt;0,AJ71/AH77,0)</f>
        <v>193.030364864687</v>
      </c>
      <c r="AM78" s="54" t="n">
        <f aca="false">IF(AK77&gt;0,AM71/AK77,0)</f>
        <v>166.982686527761</v>
      </c>
      <c r="AP78" s="54" t="n">
        <f aca="false">IF(AN77&gt;0,AP71/AN77,0)</f>
        <v>200.395035856799</v>
      </c>
      <c r="AS78" s="54" t="n">
        <f aca="false">IF(AQ77&gt;0,AS71/AQ77,0)</f>
        <v>255.176163646468</v>
      </c>
    </row>
    <row r="80" customFormat="false" ht="15" hidden="false" customHeight="false" outlineLevel="0" collapsed="false">
      <c r="A80" s="4" t="s">
        <v>197</v>
      </c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</row>
    <row r="81" customFormat="false" ht="15" hidden="false" customHeight="false" outlineLevel="0" collapsed="false">
      <c r="A81" s="6" t="s">
        <v>198</v>
      </c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  <c r="AF81" s="55"/>
      <c r="AG81" s="55"/>
      <c r="AH81" s="56" t="n">
        <f aca="false">SUM(B81:AG81)</f>
        <v>0</v>
      </c>
      <c r="AK81" s="57" t="n">
        <f aca="false">SUM(B81:D81,F81,H81,J81:M81)</f>
        <v>0</v>
      </c>
      <c r="AN81" s="57" t="n">
        <f aca="false">SUM(E81,G81,I81,N81:AC81)</f>
        <v>0</v>
      </c>
      <c r="AQ81" s="57" t="n">
        <f aca="false">SUM(AD81:AG81)</f>
        <v>0</v>
      </c>
    </row>
    <row r="82" customFormat="false" ht="15" hidden="false" customHeight="false" outlineLevel="0" collapsed="false">
      <c r="A82" s="6" t="s">
        <v>199</v>
      </c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  <c r="AB82" s="55"/>
      <c r="AC82" s="55"/>
      <c r="AD82" s="55"/>
      <c r="AE82" s="55"/>
      <c r="AF82" s="55"/>
      <c r="AG82" s="55"/>
      <c r="AH82" s="56" t="n">
        <f aca="false">SUM(B82:AG82)</f>
        <v>0</v>
      </c>
      <c r="AK82" s="57" t="n">
        <f aca="false">SUM(B82:D82,F82,H82,J82:M82)</f>
        <v>0</v>
      </c>
      <c r="AN82" s="57" t="n">
        <f aca="false">SUM(E82,G82,I82,N82:AC82)</f>
        <v>0</v>
      </c>
      <c r="AQ82" s="57" t="n">
        <f aca="false">SUM(AD82:AG82)</f>
        <v>0</v>
      </c>
    </row>
    <row r="83" customFormat="false" ht="15" hidden="false" customHeight="false" outlineLevel="0" collapsed="false">
      <c r="A83" s="6" t="s">
        <v>200</v>
      </c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  <c r="AB83" s="55"/>
      <c r="AC83" s="55"/>
      <c r="AD83" s="55"/>
      <c r="AE83" s="55"/>
      <c r="AF83" s="55"/>
      <c r="AG83" s="55"/>
      <c r="AH83" s="56" t="n">
        <f aca="false">SUM(B83:AG83)</f>
        <v>0</v>
      </c>
      <c r="AK83" s="57" t="n">
        <f aca="false">SUM(B83:D83,F83,H83,J83:M83)</f>
        <v>0</v>
      </c>
      <c r="AN83" s="57" t="n">
        <f aca="false">SUM(E83,G83,I83,N83:AC83)</f>
        <v>0</v>
      </c>
      <c r="AQ83" s="57" t="n">
        <f aca="false">SUM(AD83:AG83)</f>
        <v>0</v>
      </c>
    </row>
    <row r="84" customFormat="false" ht="15" hidden="false" customHeight="false" outlineLevel="0" collapsed="false">
      <c r="A84" s="6" t="s">
        <v>201</v>
      </c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 t="n">
        <v>16</v>
      </c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  <c r="AF84" s="55"/>
      <c r="AG84" s="55"/>
      <c r="AH84" s="56" t="n">
        <f aca="false">SUM(B84:AG84)</f>
        <v>16</v>
      </c>
      <c r="AK84" s="57" t="n">
        <f aca="false">SUM(B84:D84,F84,H84,J84:M84)</f>
        <v>0</v>
      </c>
      <c r="AN84" s="57" t="n">
        <f aca="false">SUM(E84,G84,I84,N84:AC84)</f>
        <v>16</v>
      </c>
      <c r="AQ84" s="57" t="n">
        <f aca="false">SUM(AD84:AG84)</f>
        <v>0</v>
      </c>
    </row>
    <row r="85" customFormat="false" ht="15" hidden="false" customHeight="false" outlineLevel="0" collapsed="false">
      <c r="A85" s="6" t="s">
        <v>202</v>
      </c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 t="n">
        <v>2</v>
      </c>
      <c r="O85" s="55"/>
      <c r="P85" s="55"/>
      <c r="Q85" s="55"/>
      <c r="R85" s="55"/>
      <c r="S85" s="55" t="n">
        <v>36</v>
      </c>
      <c r="T85" s="55"/>
      <c r="U85" s="55"/>
      <c r="V85" s="55"/>
      <c r="W85" s="55"/>
      <c r="X85" s="55"/>
      <c r="Y85" s="55"/>
      <c r="Z85" s="55"/>
      <c r="AA85" s="55"/>
      <c r="AB85" s="55"/>
      <c r="AC85" s="55"/>
      <c r="AD85" s="55"/>
      <c r="AE85" s="55"/>
      <c r="AF85" s="55"/>
      <c r="AG85" s="55"/>
      <c r="AH85" s="56" t="n">
        <f aca="false">SUM(B85:AG85)</f>
        <v>38</v>
      </c>
      <c r="AK85" s="57" t="n">
        <f aca="false">SUM(B85:D85,F85,H85,J85:M85)</f>
        <v>0</v>
      </c>
      <c r="AN85" s="57" t="n">
        <f aca="false">SUM(E85,G85,I85,N85:AC85)</f>
        <v>38</v>
      </c>
      <c r="AQ85" s="57" t="n">
        <f aca="false">SUM(AD85:AG85)</f>
        <v>0</v>
      </c>
    </row>
    <row r="86" customFormat="false" ht="15" hidden="false" customHeight="false" outlineLevel="0" collapsed="false">
      <c r="A86" s="6" t="s">
        <v>203</v>
      </c>
      <c r="B86" s="55"/>
      <c r="C86" s="55"/>
      <c r="D86" s="55"/>
      <c r="E86" s="55" t="n">
        <v>4</v>
      </c>
      <c r="F86" s="55"/>
      <c r="G86" s="55"/>
      <c r="H86" s="55"/>
      <c r="I86" s="55" t="n">
        <v>2</v>
      </c>
      <c r="J86" s="55"/>
      <c r="K86" s="55"/>
      <c r="L86" s="55"/>
      <c r="M86" s="55"/>
      <c r="N86" s="55" t="n">
        <v>4</v>
      </c>
      <c r="O86" s="55" t="n">
        <v>4</v>
      </c>
      <c r="P86" s="55"/>
      <c r="Q86" s="55"/>
      <c r="R86" s="55"/>
      <c r="S86" s="55" t="n">
        <v>72</v>
      </c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  <c r="AF86" s="55"/>
      <c r="AG86" s="55" t="n">
        <v>16</v>
      </c>
      <c r="AH86" s="56" t="n">
        <f aca="false">SUM(B86:AG86)</f>
        <v>102</v>
      </c>
      <c r="AK86" s="57" t="n">
        <f aca="false">SUM(B86:D86,F86,H86,J86:M86)</f>
        <v>0</v>
      </c>
      <c r="AN86" s="57" t="n">
        <f aca="false">SUM(E86,G86,I86,N86:AC86)</f>
        <v>86</v>
      </c>
      <c r="AQ86" s="57" t="n">
        <f aca="false">SUM(AD86:AG86)</f>
        <v>16</v>
      </c>
    </row>
    <row r="87" customFormat="false" ht="15" hidden="false" customHeight="false" outlineLevel="0" collapsed="false">
      <c r="A87" s="6" t="s">
        <v>204</v>
      </c>
      <c r="B87" s="55"/>
      <c r="C87" s="55"/>
      <c r="D87" s="55"/>
      <c r="E87" s="55" t="n">
        <v>10</v>
      </c>
      <c r="F87" s="55"/>
      <c r="G87" s="55" t="n">
        <v>12</v>
      </c>
      <c r="H87" s="55"/>
      <c r="I87" s="55" t="n">
        <v>10</v>
      </c>
      <c r="J87" s="55"/>
      <c r="K87" s="55"/>
      <c r="L87" s="55"/>
      <c r="M87" s="55"/>
      <c r="N87" s="55" t="n">
        <v>8</v>
      </c>
      <c r="O87" s="55" t="n">
        <v>16</v>
      </c>
      <c r="P87" s="55" t="n">
        <v>8</v>
      </c>
      <c r="Q87" s="55" t="n">
        <v>10</v>
      </c>
      <c r="R87" s="55" t="n">
        <v>8</v>
      </c>
      <c r="S87" s="55"/>
      <c r="T87" s="55"/>
      <c r="U87" s="55"/>
      <c r="V87" s="55"/>
      <c r="W87" s="55"/>
      <c r="X87" s="55"/>
      <c r="Y87" s="55"/>
      <c r="Z87" s="55"/>
      <c r="AA87" s="55"/>
      <c r="AB87" s="55"/>
      <c r="AC87" s="55"/>
      <c r="AD87" s="55"/>
      <c r="AE87" s="55"/>
      <c r="AF87" s="55"/>
      <c r="AG87" s="55"/>
      <c r="AH87" s="56" t="n">
        <f aca="false">SUM(B87:AG87)</f>
        <v>82</v>
      </c>
      <c r="AK87" s="57" t="n">
        <f aca="false">SUM(B87:D87,F87,H87,J87:M87)</f>
        <v>0</v>
      </c>
      <c r="AN87" s="57" t="n">
        <f aca="false">SUM(E87,G87,I87,N87:AC87)</f>
        <v>82</v>
      </c>
      <c r="AQ87" s="57" t="n">
        <f aca="false">SUM(AD87:AG87)</f>
        <v>0</v>
      </c>
    </row>
    <row r="88" customFormat="false" ht="15" hidden="false" customHeight="false" outlineLevel="0" collapsed="false">
      <c r="A88" s="6" t="s">
        <v>205</v>
      </c>
      <c r="B88" s="55"/>
      <c r="C88" s="55"/>
      <c r="D88" s="55"/>
      <c r="E88" s="55" t="n">
        <v>2</v>
      </c>
      <c r="F88" s="55"/>
      <c r="G88" s="55"/>
      <c r="H88" s="55"/>
      <c r="I88" s="55"/>
      <c r="J88" s="55"/>
      <c r="K88" s="55"/>
      <c r="L88" s="55"/>
      <c r="M88" s="55"/>
      <c r="N88" s="55"/>
      <c r="O88" s="55" t="n">
        <v>4</v>
      </c>
      <c r="P88" s="55" t="n">
        <v>2</v>
      </c>
      <c r="Q88" s="55" t="n">
        <v>2</v>
      </c>
      <c r="R88" s="55" t="n">
        <v>2</v>
      </c>
      <c r="S88" s="55"/>
      <c r="T88" s="55"/>
      <c r="U88" s="55"/>
      <c r="V88" s="55"/>
      <c r="W88" s="55"/>
      <c r="X88" s="55"/>
      <c r="Y88" s="55"/>
      <c r="Z88" s="55"/>
      <c r="AA88" s="55"/>
      <c r="AB88" s="55"/>
      <c r="AC88" s="55"/>
      <c r="AD88" s="55"/>
      <c r="AE88" s="55"/>
      <c r="AF88" s="55"/>
      <c r="AG88" s="55"/>
      <c r="AH88" s="56" t="n">
        <f aca="false">SUM(B88:AG88)</f>
        <v>12</v>
      </c>
      <c r="AK88" s="57" t="n">
        <f aca="false">SUM(B88:D88,F88,H88,J88:M88)</f>
        <v>0</v>
      </c>
      <c r="AN88" s="57" t="n">
        <f aca="false">SUM(E88,G88,I88,N88:AC88)</f>
        <v>12</v>
      </c>
      <c r="AQ88" s="57" t="n">
        <f aca="false">SUM(AD88:AG88)</f>
        <v>0</v>
      </c>
    </row>
    <row r="89" customFormat="false" ht="15" hidden="false" customHeight="false" outlineLevel="0" collapsed="false">
      <c r="A89" s="6" t="s">
        <v>206</v>
      </c>
      <c r="B89" s="55"/>
      <c r="C89" s="55"/>
      <c r="D89" s="55" t="n">
        <v>8</v>
      </c>
      <c r="E89" s="55"/>
      <c r="F89" s="55" t="n">
        <v>20</v>
      </c>
      <c r="G89" s="55"/>
      <c r="H89" s="55" t="n">
        <v>16</v>
      </c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  <c r="AB89" s="55"/>
      <c r="AC89" s="55"/>
      <c r="AD89" s="55"/>
      <c r="AE89" s="55"/>
      <c r="AF89" s="55"/>
      <c r="AG89" s="55"/>
      <c r="AH89" s="56" t="n">
        <f aca="false">SUM(B89:AG89)</f>
        <v>44</v>
      </c>
      <c r="AK89" s="57" t="n">
        <f aca="false">SUM(B89:D89,F89,H89,J89:M89)</f>
        <v>44</v>
      </c>
      <c r="AN89" s="57" t="n">
        <f aca="false">SUM(E89,G89,I89,N89:AC89)</f>
        <v>0</v>
      </c>
      <c r="AQ89" s="57" t="n">
        <f aca="false">SUM(AD89:AG89)</f>
        <v>0</v>
      </c>
    </row>
    <row r="90" customFormat="false" ht="15" hidden="false" customHeight="false" outlineLevel="0" collapsed="false">
      <c r="A90" s="6" t="s">
        <v>207</v>
      </c>
      <c r="B90" s="55" t="n">
        <v>4</v>
      </c>
      <c r="C90" s="55" t="n">
        <v>4</v>
      </c>
      <c r="D90" s="55" t="n">
        <v>4</v>
      </c>
      <c r="E90" s="55" t="n">
        <v>8</v>
      </c>
      <c r="F90" s="55"/>
      <c r="G90" s="55" t="n">
        <v>8</v>
      </c>
      <c r="H90" s="55" t="n">
        <v>4</v>
      </c>
      <c r="I90" s="55" t="n">
        <v>8</v>
      </c>
      <c r="J90" s="55" t="n">
        <v>8</v>
      </c>
      <c r="K90" s="55" t="n">
        <v>4</v>
      </c>
      <c r="L90" s="55" t="n">
        <v>4</v>
      </c>
      <c r="M90" s="55" t="n">
        <v>4</v>
      </c>
      <c r="N90" s="55" t="n">
        <v>8</v>
      </c>
      <c r="O90" s="55" t="n">
        <v>8</v>
      </c>
      <c r="P90" s="55" t="n">
        <v>4</v>
      </c>
      <c r="Q90" s="55" t="n">
        <v>4</v>
      </c>
      <c r="R90" s="55" t="n">
        <v>4</v>
      </c>
      <c r="S90" s="55"/>
      <c r="T90" s="55"/>
      <c r="U90" s="55"/>
      <c r="V90" s="55"/>
      <c r="W90" s="55"/>
      <c r="X90" s="55"/>
      <c r="Y90" s="55"/>
      <c r="Z90" s="55"/>
      <c r="AA90" s="55"/>
      <c r="AB90" s="55"/>
      <c r="AC90" s="55"/>
      <c r="AD90" s="55"/>
      <c r="AE90" s="55"/>
      <c r="AF90" s="55"/>
      <c r="AG90" s="55"/>
      <c r="AH90" s="56" t="n">
        <f aca="false">SUM(B90:AG90)</f>
        <v>88</v>
      </c>
      <c r="AK90" s="57" t="n">
        <f aca="false">SUM(B90:D90,F90,H90,J90:M90)</f>
        <v>36</v>
      </c>
      <c r="AN90" s="57" t="n">
        <f aca="false">SUM(E90,G90,I90,N90:AC90)</f>
        <v>52</v>
      </c>
      <c r="AQ90" s="57" t="n">
        <f aca="false">SUM(AD90:AG90)</f>
        <v>0</v>
      </c>
    </row>
    <row r="91" customFormat="false" ht="15" hidden="false" customHeight="false" outlineLevel="0" collapsed="false">
      <c r="A91" s="6" t="s">
        <v>208</v>
      </c>
      <c r="B91" s="55" t="n">
        <v>18</v>
      </c>
      <c r="C91" s="55" t="n">
        <v>12</v>
      </c>
      <c r="D91" s="55"/>
      <c r="E91" s="55"/>
      <c r="F91" s="55"/>
      <c r="G91" s="55"/>
      <c r="H91" s="55"/>
      <c r="I91" s="55"/>
      <c r="J91" s="55"/>
      <c r="K91" s="55" t="n">
        <v>18</v>
      </c>
      <c r="L91" s="55" t="n">
        <v>6</v>
      </c>
      <c r="M91" s="55" t="n">
        <v>6</v>
      </c>
      <c r="N91" s="55"/>
      <c r="O91" s="55"/>
      <c r="P91" s="55"/>
      <c r="Q91" s="55"/>
      <c r="R91" s="55"/>
      <c r="S91" s="55" t="n">
        <v>40</v>
      </c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55"/>
      <c r="AH91" s="56" t="n">
        <f aca="false">SUM(B91:AG91)</f>
        <v>100</v>
      </c>
      <c r="AK91" s="57" t="n">
        <f aca="false">SUM(B91:D91,F91,H91,J91:M91)</f>
        <v>60</v>
      </c>
      <c r="AN91" s="57" t="n">
        <f aca="false">SUM(E91,G91,I91,N91:AC91)</f>
        <v>40</v>
      </c>
      <c r="AQ91" s="57" t="n">
        <f aca="false">SUM(AD91:AG91)</f>
        <v>0</v>
      </c>
    </row>
    <row r="92" customFormat="false" ht="15" hidden="false" customHeight="false" outlineLevel="0" collapsed="false">
      <c r="A92" s="6" t="s">
        <v>209</v>
      </c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 t="n">
        <v>6</v>
      </c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  <c r="AF92" s="55"/>
      <c r="AG92" s="55"/>
      <c r="AH92" s="56" t="n">
        <f aca="false">SUM(B92:AG92)</f>
        <v>6</v>
      </c>
      <c r="AK92" s="57" t="n">
        <f aca="false">SUM(B92:D92,F92,H92,J92:M92)</f>
        <v>6</v>
      </c>
      <c r="AN92" s="57" t="n">
        <f aca="false">SUM(E92,G92,I92,N92:AC92)</f>
        <v>0</v>
      </c>
      <c r="AQ92" s="57" t="n">
        <f aca="false">SUM(AD92:AG92)</f>
        <v>0</v>
      </c>
    </row>
    <row r="93" customFormat="false" ht="15" hidden="false" customHeight="false" outlineLevel="0" collapsed="false">
      <c r="A93" s="6" t="s">
        <v>210</v>
      </c>
      <c r="B93" s="55" t="n">
        <v>8</v>
      </c>
      <c r="C93" s="55" t="n">
        <v>12</v>
      </c>
      <c r="D93" s="55" t="n">
        <v>24</v>
      </c>
      <c r="E93" s="55"/>
      <c r="F93" s="55" t="n">
        <v>40</v>
      </c>
      <c r="G93" s="55"/>
      <c r="H93" s="55" t="n">
        <v>40</v>
      </c>
      <c r="I93" s="55"/>
      <c r="J93" s="55" t="n">
        <v>16</v>
      </c>
      <c r="K93" s="55" t="n">
        <v>8</v>
      </c>
      <c r="L93" s="55" t="n">
        <v>8</v>
      </c>
      <c r="M93" s="55" t="n">
        <v>8</v>
      </c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  <c r="AB93" s="55"/>
      <c r="AC93" s="55"/>
      <c r="AD93" s="55"/>
      <c r="AE93" s="55"/>
      <c r="AF93" s="55"/>
      <c r="AG93" s="55"/>
      <c r="AH93" s="56" t="n">
        <f aca="false">SUM(B93:AG93)</f>
        <v>164</v>
      </c>
      <c r="AK93" s="57" t="n">
        <f aca="false">SUM(B93:D93,F93,H93,J93:M93)</f>
        <v>164</v>
      </c>
      <c r="AN93" s="57" t="n">
        <f aca="false">SUM(E93,G93,I93,N93:AC93)</f>
        <v>0</v>
      </c>
      <c r="AQ93" s="57" t="n">
        <f aca="false">SUM(AD93:AG93)</f>
        <v>0</v>
      </c>
    </row>
    <row r="96" customFormat="false" ht="30" hidden="false" customHeight="true" outlineLevel="0" collapsed="false">
      <c r="A96" s="38" t="s">
        <v>222</v>
      </c>
      <c r="B96" s="38" t="s">
        <v>118</v>
      </c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 t="s">
        <v>119</v>
      </c>
      <c r="T96" s="38"/>
      <c r="U96" s="38"/>
      <c r="V96" s="38" t="s">
        <v>120</v>
      </c>
      <c r="W96" s="38"/>
      <c r="X96" s="38"/>
      <c r="Y96" s="38"/>
      <c r="Z96" s="38"/>
      <c r="AA96" s="38"/>
      <c r="AB96" s="38"/>
      <c r="AC96" s="38" t="s">
        <v>121</v>
      </c>
      <c r="AD96" s="38" t="s">
        <v>122</v>
      </c>
      <c r="AE96" s="38"/>
      <c r="AF96" s="38"/>
      <c r="AG96" s="38"/>
      <c r="AH96" s="38"/>
      <c r="AI96" s="38"/>
      <c r="AJ96" s="38"/>
      <c r="AK96" s="38" t="s">
        <v>12</v>
      </c>
      <c r="AL96" s="38"/>
      <c r="AM96" s="38"/>
      <c r="AN96" s="38" t="s">
        <v>123</v>
      </c>
      <c r="AO96" s="38"/>
      <c r="AP96" s="38"/>
      <c r="AQ96" s="38" t="s">
        <v>124</v>
      </c>
      <c r="AR96" s="38"/>
      <c r="AS96" s="38"/>
    </row>
    <row r="97" customFormat="false" ht="30" hidden="false" customHeight="true" outlineLevel="0" collapsed="false">
      <c r="A97" s="5" t="s">
        <v>223</v>
      </c>
      <c r="B97" s="5" t="s">
        <v>126</v>
      </c>
      <c r="C97" s="5" t="s">
        <v>126</v>
      </c>
      <c r="D97" s="5" t="s">
        <v>126</v>
      </c>
      <c r="E97" s="5" t="s">
        <v>126</v>
      </c>
      <c r="F97" s="5" t="s">
        <v>127</v>
      </c>
      <c r="G97" s="5" t="s">
        <v>127</v>
      </c>
      <c r="H97" s="5" t="s">
        <v>128</v>
      </c>
      <c r="I97" s="5" t="s">
        <v>128</v>
      </c>
      <c r="J97" s="5" t="s">
        <v>129</v>
      </c>
      <c r="K97" s="5" t="s">
        <v>129</v>
      </c>
      <c r="L97" s="5" t="s">
        <v>129</v>
      </c>
      <c r="M97" s="5" t="s">
        <v>129</v>
      </c>
      <c r="N97" s="5" t="s">
        <v>129</v>
      </c>
      <c r="O97" s="5" t="s">
        <v>130</v>
      </c>
      <c r="P97" s="5" t="s">
        <v>131</v>
      </c>
      <c r="Q97" s="5" t="s">
        <v>132</v>
      </c>
      <c r="R97" s="5" t="s">
        <v>133</v>
      </c>
      <c r="S97" s="5" t="s">
        <v>134</v>
      </c>
      <c r="T97" s="5" t="s">
        <v>135</v>
      </c>
      <c r="U97" s="5" t="s">
        <v>136</v>
      </c>
      <c r="V97" s="5" t="s">
        <v>134</v>
      </c>
      <c r="W97" s="5" t="s">
        <v>135</v>
      </c>
      <c r="X97" s="5" t="s">
        <v>137</v>
      </c>
      <c r="Y97" s="5" t="s">
        <v>136</v>
      </c>
      <c r="Z97" s="5"/>
      <c r="AA97" s="5" t="s">
        <v>138</v>
      </c>
      <c r="AB97" s="5" t="s">
        <v>139</v>
      </c>
      <c r="AC97" s="5" t="s">
        <v>140</v>
      </c>
      <c r="AD97" s="5" t="s">
        <v>141</v>
      </c>
      <c r="AE97" s="5" t="s">
        <v>142</v>
      </c>
      <c r="AF97" s="5" t="s">
        <v>143</v>
      </c>
      <c r="AG97" s="5" t="s">
        <v>144</v>
      </c>
      <c r="AH97" s="5" t="s">
        <v>36</v>
      </c>
      <c r="AI97" s="5" t="s">
        <v>145</v>
      </c>
      <c r="AJ97" s="5" t="s">
        <v>146</v>
      </c>
      <c r="AK97" s="5" t="s">
        <v>36</v>
      </c>
      <c r="AL97" s="5" t="s">
        <v>145</v>
      </c>
      <c r="AM97" s="5" t="s">
        <v>146</v>
      </c>
      <c r="AN97" s="5" t="s">
        <v>36</v>
      </c>
      <c r="AO97" s="5" t="s">
        <v>145</v>
      </c>
      <c r="AP97" s="5" t="s">
        <v>146</v>
      </c>
      <c r="AQ97" s="5" t="s">
        <v>36</v>
      </c>
      <c r="AR97" s="5" t="s">
        <v>145</v>
      </c>
      <c r="AS97" s="5" t="s">
        <v>146</v>
      </c>
    </row>
    <row r="98" customFormat="false" ht="30" hidden="false" customHeight="true" outlineLevel="0" collapsed="false">
      <c r="A98" s="5" t="s">
        <v>224</v>
      </c>
      <c r="B98" s="5" t="s">
        <v>148</v>
      </c>
      <c r="C98" s="5" t="s">
        <v>149</v>
      </c>
      <c r="D98" s="5" t="s">
        <v>214</v>
      </c>
      <c r="E98" s="5" t="s">
        <v>151</v>
      </c>
      <c r="F98" s="5" t="s">
        <v>152</v>
      </c>
      <c r="G98" s="5" t="s">
        <v>151</v>
      </c>
      <c r="H98" s="5" t="s">
        <v>215</v>
      </c>
      <c r="I98" s="5" t="s">
        <v>151</v>
      </c>
      <c r="J98" s="5" t="s">
        <v>216</v>
      </c>
      <c r="K98" s="5" t="s">
        <v>154</v>
      </c>
      <c r="L98" s="5" t="s">
        <v>155</v>
      </c>
      <c r="M98" s="5" t="s">
        <v>156</v>
      </c>
      <c r="N98" s="5" t="s">
        <v>151</v>
      </c>
      <c r="O98" s="5" t="s">
        <v>157</v>
      </c>
      <c r="P98" s="5" t="s">
        <v>158</v>
      </c>
      <c r="Q98" s="5" t="s">
        <v>158</v>
      </c>
      <c r="R98" s="5" t="s">
        <v>158</v>
      </c>
      <c r="S98" s="5"/>
      <c r="T98" s="5"/>
      <c r="U98" s="5" t="s">
        <v>159</v>
      </c>
      <c r="V98" s="5"/>
      <c r="W98" s="5" t="s">
        <v>160</v>
      </c>
      <c r="X98" s="5"/>
      <c r="Y98" s="5" t="s">
        <v>161</v>
      </c>
      <c r="Z98" s="5" t="s">
        <v>162</v>
      </c>
      <c r="AA98" s="5" t="s">
        <v>163</v>
      </c>
      <c r="AB98" s="5" t="s">
        <v>164</v>
      </c>
      <c r="AC98" s="5" t="s">
        <v>165</v>
      </c>
      <c r="AD98" s="5" t="s">
        <v>225</v>
      </c>
      <c r="AE98" s="5" t="s">
        <v>226</v>
      </c>
      <c r="AF98" s="5" t="s">
        <v>227</v>
      </c>
      <c r="AG98" s="5" t="s">
        <v>220</v>
      </c>
      <c r="AH98" s="5" t="s">
        <v>170</v>
      </c>
      <c r="AI98" s="5"/>
      <c r="AJ98" s="5" t="s">
        <v>19</v>
      </c>
      <c r="AK98" s="5" t="s">
        <v>170</v>
      </c>
      <c r="AL98" s="5"/>
      <c r="AM98" s="5" t="s">
        <v>19</v>
      </c>
      <c r="AN98" s="5" t="s">
        <v>170</v>
      </c>
      <c r="AO98" s="5"/>
      <c r="AP98" s="5" t="s">
        <v>19</v>
      </c>
      <c r="AQ98" s="5" t="s">
        <v>170</v>
      </c>
      <c r="AR98" s="5"/>
      <c r="AS98" s="5" t="s">
        <v>19</v>
      </c>
    </row>
    <row r="99" customFormat="false" ht="15" hidden="false" customHeight="false" outlineLevel="0" collapsed="false">
      <c r="A99" s="4" t="s">
        <v>171</v>
      </c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</row>
    <row r="100" customFormat="false" ht="15" hidden="false" customHeight="false" outlineLevel="0" collapsed="false">
      <c r="A100" s="6" t="s">
        <v>172</v>
      </c>
      <c r="B100" s="39"/>
      <c r="C100" s="39"/>
      <c r="D100" s="39" t="n">
        <f aca="false">2*4*3.6</f>
        <v>28.8</v>
      </c>
      <c r="E100" s="39" t="n">
        <f aca="false">2*4.5+2*7.85</f>
        <v>24.7</v>
      </c>
      <c r="F100" s="39" t="n">
        <f aca="false">5*4*3.6</f>
        <v>72</v>
      </c>
      <c r="G100" s="39" t="n">
        <f aca="false">2*3.6</f>
        <v>7.2</v>
      </c>
      <c r="H100" s="39" t="n">
        <f aca="false">4*4*3.6</f>
        <v>57.6</v>
      </c>
      <c r="I100" s="39" t="n">
        <f aca="false">2*3.7</f>
        <v>7.4</v>
      </c>
      <c r="J100" s="39"/>
      <c r="K100" s="39"/>
      <c r="L100" s="39"/>
      <c r="M100" s="39"/>
      <c r="N100" s="39" t="n">
        <f aca="false">2*4.7+2*4.3</f>
        <v>18</v>
      </c>
      <c r="O100" s="39"/>
      <c r="P100" s="39" t="n">
        <f aca="false">2*7.5+2*3.6+2*2.85</f>
        <v>27.9</v>
      </c>
      <c r="Q100" s="39" t="n">
        <f aca="false">2*2.05</f>
        <v>4.1</v>
      </c>
      <c r="R100" s="39" t="n">
        <f aca="false">2*3.6+2*2.85</f>
        <v>12.9</v>
      </c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40" t="n">
        <f aca="false">SUM(B100:AG100)</f>
        <v>260.6</v>
      </c>
      <c r="AI100" s="41" t="n">
        <f aca="false">IFERROR(INDEX(Исходные!$B$21:$B$33,MATCH(32,Исходные!$A$21:$A$33,0)),0)</f>
        <v>6.313</v>
      </c>
      <c r="AJ100" s="40" t="n">
        <f aca="false">AH100*AI100*$AK$2</f>
        <v>1760.329546</v>
      </c>
      <c r="AK100" s="42" t="n">
        <f aca="false">SUM(B100:D100,F100,H100,J100:M100)</f>
        <v>158.4</v>
      </c>
      <c r="AL100" s="43" t="n">
        <f aca="false">AI100</f>
        <v>6.313</v>
      </c>
      <c r="AM100" s="28" t="n">
        <f aca="false">AK100*AL100*$AK$2</f>
        <v>1069.977744</v>
      </c>
      <c r="AN100" s="42" t="n">
        <f aca="false">SUM(E100,G100,I100,N100:AC100)</f>
        <v>102.2</v>
      </c>
      <c r="AO100" s="43" t="n">
        <f aca="false">AI100</f>
        <v>6.313</v>
      </c>
      <c r="AP100" s="28" t="n">
        <f aca="false">AN100*AO100*$AK$2</f>
        <v>690.351802</v>
      </c>
      <c r="AQ100" s="42" t="n">
        <f aca="false">SUM(AD100:AG100)</f>
        <v>0</v>
      </c>
      <c r="AR100" s="43" t="n">
        <f aca="false">AI100</f>
        <v>6.313</v>
      </c>
      <c r="AS100" s="28" t="n">
        <f aca="false">AQ100*AR100*$AK$2</f>
        <v>0</v>
      </c>
    </row>
    <row r="101" customFormat="false" ht="15" hidden="false" customHeight="false" outlineLevel="0" collapsed="false">
      <c r="A101" s="6" t="s">
        <v>173</v>
      </c>
      <c r="B101" s="39" t="n">
        <f aca="false">4*3.6</f>
        <v>14.4</v>
      </c>
      <c r="C101" s="39" t="n">
        <f aca="false">4*3.6</f>
        <v>14.4</v>
      </c>
      <c r="D101" s="39" t="n">
        <f aca="false">4*3.6</f>
        <v>14.4</v>
      </c>
      <c r="E101" s="39" t="n">
        <f aca="false">4*25.5+2*2.05+2*3.3+2*7.85</f>
        <v>128.4</v>
      </c>
      <c r="F101" s="39"/>
      <c r="G101" s="39" t="n">
        <f aca="false">4*25.5+2*3.7+2*3.7</f>
        <v>116.8</v>
      </c>
      <c r="H101" s="39" t="n">
        <f aca="false">4*3.6</f>
        <v>14.4</v>
      </c>
      <c r="I101" s="39" t="n">
        <f aca="false">4*25.5+2*2.05+2*3.7+2*3.6</f>
        <v>120.7</v>
      </c>
      <c r="J101" s="39" t="n">
        <f aca="false">2*4*3.6</f>
        <v>28.8</v>
      </c>
      <c r="K101" s="39" t="n">
        <f aca="false">4*3.6</f>
        <v>14.4</v>
      </c>
      <c r="L101" s="39" t="n">
        <f aca="false">4*3.6</f>
        <v>14.4</v>
      </c>
      <c r="M101" s="39" t="n">
        <f aca="false">4*3.6</f>
        <v>14.4</v>
      </c>
      <c r="N101" s="39" t="n">
        <f aca="false">4*25.5+2*5.5+2*4.7</f>
        <v>122.4</v>
      </c>
      <c r="O101" s="39" t="n">
        <f aca="false">2*4*20.5+2*2*3.8+2*2*2.05</f>
        <v>187.4</v>
      </c>
      <c r="P101" s="39" t="n">
        <f aca="false">4*20.5</f>
        <v>82</v>
      </c>
      <c r="Q101" s="39" t="n">
        <f aca="false">4*20.5+2*2.05+2*3.8+2*3.8+2*3.8+2*3</f>
        <v>114.9</v>
      </c>
      <c r="R101" s="39" t="n">
        <f aca="false">4*20.5+2*3.4</f>
        <v>88.8</v>
      </c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40" t="n">
        <f aca="false">SUM(B101:AG101)</f>
        <v>1091</v>
      </c>
      <c r="AI101" s="41" t="n">
        <f aca="false">IFERROR(INDEX(Исходные!$B$21:$B$33,MATCH(28,Исходные!$A$21:$A$33,0)),0)</f>
        <v>4.834</v>
      </c>
      <c r="AJ101" s="40" t="n">
        <f aca="false">AH101*AI101*$AK$2</f>
        <v>5643.06658</v>
      </c>
      <c r="AK101" s="42" t="n">
        <f aca="false">SUM(B101:D101,F101,H101,J101:M101)</f>
        <v>129.6</v>
      </c>
      <c r="AL101" s="43" t="n">
        <f aca="false">AI101</f>
        <v>4.834</v>
      </c>
      <c r="AM101" s="28" t="n">
        <f aca="false">AK101*AL101*$AK$2</f>
        <v>670.340448</v>
      </c>
      <c r="AN101" s="42" t="n">
        <f aca="false">SUM(E101,G101,I101,N101:AC101)</f>
        <v>961.4</v>
      </c>
      <c r="AO101" s="43" t="n">
        <f aca="false">AI101</f>
        <v>4.834</v>
      </c>
      <c r="AP101" s="28" t="n">
        <f aca="false">AN101*AO101*$AK$2</f>
        <v>4972.726132</v>
      </c>
      <c r="AQ101" s="42" t="n">
        <f aca="false">SUM(AD101:AG101)</f>
        <v>0</v>
      </c>
      <c r="AR101" s="43" t="n">
        <f aca="false">AI101</f>
        <v>4.834</v>
      </c>
      <c r="AS101" s="28" t="n">
        <f aca="false">AQ101*AR101*$AK$2</f>
        <v>0</v>
      </c>
    </row>
    <row r="102" customFormat="false" ht="15" hidden="false" customHeight="false" outlineLevel="0" collapsed="false">
      <c r="A102" s="6" t="s">
        <v>174</v>
      </c>
      <c r="B102" s="39" t="n">
        <f aca="false">6*3.6</f>
        <v>21.6</v>
      </c>
      <c r="C102" s="39"/>
      <c r="D102" s="39"/>
      <c r="E102" s="39"/>
      <c r="F102" s="39"/>
      <c r="G102" s="39" t="n">
        <f aca="false">2*2.05+2*2.05</f>
        <v>8.2</v>
      </c>
      <c r="H102" s="39"/>
      <c r="I102" s="39" t="n">
        <f aca="false">2*3.7+2*2.05</f>
        <v>11.5</v>
      </c>
      <c r="J102" s="39"/>
      <c r="K102" s="39" t="n">
        <f aca="false">12*3.6+6*3.6</f>
        <v>64.8</v>
      </c>
      <c r="L102" s="39" t="n">
        <f aca="false">6*3.6</f>
        <v>21.6</v>
      </c>
      <c r="M102" s="39"/>
      <c r="N102" s="39" t="n">
        <f aca="false">2*1.85+2*5.5+2*2.05+2*4.3</f>
        <v>27.4</v>
      </c>
      <c r="O102" s="39" t="n">
        <f aca="false">2*2*2.05+2*2*3.8</f>
        <v>23.4</v>
      </c>
      <c r="P102" s="39" t="n">
        <f aca="false">2*10.5</f>
        <v>21</v>
      </c>
      <c r="Q102" s="39" t="n">
        <f aca="false">2*3.8</f>
        <v>7.6</v>
      </c>
      <c r="R102" s="39" t="n">
        <f aca="false">2*2.4+2*2.4+2*6.2</f>
        <v>22</v>
      </c>
      <c r="S102" s="39" t="n">
        <f aca="false">4*20.4+4*20.4+4*13.9+4*20.4+4*25.4+4*25.4+4*13.9+4*11.9+4*3.785+4*3.365</f>
        <v>635.4</v>
      </c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 t="n">
        <f aca="false">4*3.065+4*2.21</f>
        <v>21.1</v>
      </c>
      <c r="AH102" s="40" t="n">
        <f aca="false">SUM(B102:AG102)</f>
        <v>885.6</v>
      </c>
      <c r="AI102" s="41" t="n">
        <f aca="false">IFERROR(INDEX(Исходные!$B$21:$B$33,MATCH(25,Исходные!$A$21:$A$33,0)),0)</f>
        <v>3.853</v>
      </c>
      <c r="AJ102" s="40" t="n">
        <f aca="false">AH102*AI102*$AK$2</f>
        <v>3651.071976</v>
      </c>
      <c r="AK102" s="42" t="n">
        <f aca="false">SUM(B102:D102,F102,H102,J102:M102)</f>
        <v>108</v>
      </c>
      <c r="AL102" s="43" t="n">
        <f aca="false">AI102</f>
        <v>3.853</v>
      </c>
      <c r="AM102" s="28" t="n">
        <f aca="false">AK102*AL102*$AK$2</f>
        <v>445.25268</v>
      </c>
      <c r="AN102" s="42" t="n">
        <f aca="false">SUM(E102,G102,I102,N102:AC102)</f>
        <v>756.5</v>
      </c>
      <c r="AO102" s="43" t="n">
        <f aca="false">AI102</f>
        <v>3.853</v>
      </c>
      <c r="AP102" s="28" t="n">
        <f aca="false">AN102*AO102*$AK$2</f>
        <v>3118.830115</v>
      </c>
      <c r="AQ102" s="42" t="n">
        <f aca="false">SUM(AD102:AG102)</f>
        <v>21.1</v>
      </c>
      <c r="AR102" s="43" t="n">
        <f aca="false">AI102</f>
        <v>3.853</v>
      </c>
      <c r="AS102" s="28" t="n">
        <f aca="false">AQ102*AR102*$AK$2</f>
        <v>86.989181</v>
      </c>
    </row>
    <row r="103" customFormat="false" ht="15" hidden="false" customHeight="false" outlineLevel="0" collapsed="false">
      <c r="A103" s="6" t="s">
        <v>175</v>
      </c>
      <c r="B103" s="39" t="n">
        <f aca="false">12*3.6</f>
        <v>43.2</v>
      </c>
      <c r="C103" s="39" t="n">
        <f aca="false">6*3.6+6*3.6</f>
        <v>43.2</v>
      </c>
      <c r="D103" s="39"/>
      <c r="E103" s="39"/>
      <c r="F103" s="39"/>
      <c r="G103" s="39" t="n">
        <f aca="false">2*3.2</f>
        <v>6.4</v>
      </c>
      <c r="H103" s="39"/>
      <c r="I103" s="39" t="n">
        <f aca="false">2*3.2</f>
        <v>6.4</v>
      </c>
      <c r="J103" s="39"/>
      <c r="K103" s="39"/>
      <c r="L103" s="39"/>
      <c r="M103" s="39" t="n">
        <f aca="false">6*3.6+6*3.6</f>
        <v>43.2</v>
      </c>
      <c r="N103" s="39" t="n">
        <f aca="false">2*5.5+2*2.05</f>
        <v>15.1</v>
      </c>
      <c r="O103" s="39"/>
      <c r="P103" s="39" t="n">
        <f aca="false">1*2.4</f>
        <v>2.4</v>
      </c>
      <c r="Q103" s="39"/>
      <c r="R103" s="39"/>
      <c r="S103" s="39" t="n">
        <f aca="false">4*2.175+4*4.15+4*2.175+4*2.175+4*4.15+4*2.175+4*2.15+4*3.775+4*2.15+4*2.15+4*7.95+4*2.15+4*2.375</f>
        <v>158.8</v>
      </c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40" t="n">
        <f aca="false">SUM(B103:AG103)</f>
        <v>318.7</v>
      </c>
      <c r="AI103" s="41" t="n">
        <f aca="false">IFERROR(INDEX(Исходные!$B$21:$B$33,MATCH(22,Исходные!$A$21:$A$33,0)),0)</f>
        <v>2.984</v>
      </c>
      <c r="AJ103" s="40" t="n">
        <f aca="false">AH103*AI103*$AK$2</f>
        <v>1017.570856</v>
      </c>
      <c r="AK103" s="42" t="n">
        <f aca="false">SUM(B103:D103,F103,H103,J103:M103)</f>
        <v>129.6</v>
      </c>
      <c r="AL103" s="43" t="n">
        <f aca="false">AI103</f>
        <v>2.984</v>
      </c>
      <c r="AM103" s="28" t="n">
        <f aca="false">AK103*AL103*$AK$2</f>
        <v>413.797248</v>
      </c>
      <c r="AN103" s="42" t="n">
        <f aca="false">SUM(E103,G103,I103,N103:AC103)</f>
        <v>189.1</v>
      </c>
      <c r="AO103" s="43" t="n">
        <f aca="false">AI103</f>
        <v>2.984</v>
      </c>
      <c r="AP103" s="28" t="n">
        <f aca="false">AN103*AO103*$AK$2</f>
        <v>603.773608</v>
      </c>
      <c r="AQ103" s="42" t="n">
        <f aca="false">SUM(AD103:AG103)</f>
        <v>0</v>
      </c>
      <c r="AR103" s="43" t="n">
        <f aca="false">AI103</f>
        <v>2.984</v>
      </c>
      <c r="AS103" s="28" t="n">
        <f aca="false">AQ103*AR103*$AK$2</f>
        <v>0</v>
      </c>
    </row>
    <row r="104" customFormat="false" ht="15" hidden="false" customHeight="false" outlineLevel="0" collapsed="false">
      <c r="A104" s="6" t="s">
        <v>176</v>
      </c>
      <c r="B104" s="39" t="n">
        <f aca="false">8*3.6</f>
        <v>28.8</v>
      </c>
      <c r="C104" s="39" t="n">
        <f aca="false">8*3.6</f>
        <v>28.8</v>
      </c>
      <c r="D104" s="39" t="n">
        <f aca="false">3*8*3.6</f>
        <v>86.4</v>
      </c>
      <c r="E104" s="39"/>
      <c r="F104" s="39" t="n">
        <f aca="false">5*8*3.6</f>
        <v>144</v>
      </c>
      <c r="G104" s="39" t="n">
        <f aca="false">2*3.7</f>
        <v>7.4</v>
      </c>
      <c r="H104" s="39" t="n">
        <f aca="false">5*8*3.6</f>
        <v>144</v>
      </c>
      <c r="I104" s="39"/>
      <c r="J104" s="39" t="n">
        <f aca="false">2*8*3.6</f>
        <v>57.6</v>
      </c>
      <c r="K104" s="39" t="n">
        <f aca="false">8*3.6</f>
        <v>28.8</v>
      </c>
      <c r="L104" s="39" t="n">
        <f aca="false">8*3.6</f>
        <v>28.8</v>
      </c>
      <c r="M104" s="39" t="n">
        <f aca="false">8*3.6</f>
        <v>28.8</v>
      </c>
      <c r="N104" s="39"/>
      <c r="O104" s="39"/>
      <c r="P104" s="39" t="n">
        <f aca="false">2*2.3+2*2.85</f>
        <v>10.3</v>
      </c>
      <c r="Q104" s="39"/>
      <c r="R104" s="39" t="n">
        <f aca="false">2*3</f>
        <v>6</v>
      </c>
      <c r="S104" s="39" t="n">
        <f aca="false">4*3.05+4*3.785+4*4.1+4*3.325+4*3.78+4*3.59</f>
        <v>86.52</v>
      </c>
      <c r="T104" s="39"/>
      <c r="U104" s="39"/>
      <c r="V104" s="39"/>
      <c r="W104" s="39"/>
      <c r="X104" s="39"/>
      <c r="Y104" s="39"/>
      <c r="Z104" s="39" t="n">
        <f aca="false">4*2*3</f>
        <v>24</v>
      </c>
      <c r="AA104" s="39"/>
      <c r="AB104" s="39"/>
      <c r="AC104" s="39"/>
      <c r="AD104" s="39"/>
      <c r="AE104" s="39"/>
      <c r="AF104" s="39"/>
      <c r="AG104" s="39"/>
      <c r="AH104" s="40" t="n">
        <f aca="false">SUM(B104:AG104)</f>
        <v>710.22</v>
      </c>
      <c r="AI104" s="41" t="n">
        <f aca="false">IFERROR(INDEX(Исходные!$B$21:$B$33,MATCH(20,Исходные!$A$21:$A$33,0)),0)</f>
        <v>2.466</v>
      </c>
      <c r="AJ104" s="40" t="n">
        <f aca="false">AH104*AI104*$AK$2</f>
        <v>1874.0006964</v>
      </c>
      <c r="AK104" s="42" t="n">
        <f aca="false">SUM(B104:D104,F104,H104,J104:M104)</f>
        <v>576</v>
      </c>
      <c r="AL104" s="43" t="n">
        <f aca="false">AI104</f>
        <v>2.466</v>
      </c>
      <c r="AM104" s="28" t="n">
        <f aca="false">AK104*AL104*$AK$2</f>
        <v>1519.84512</v>
      </c>
      <c r="AN104" s="42" t="n">
        <f aca="false">SUM(E104,G104,I104,N104:AC104)</f>
        <v>134.22</v>
      </c>
      <c r="AO104" s="43" t="n">
        <f aca="false">AI104</f>
        <v>2.466</v>
      </c>
      <c r="AP104" s="28" t="n">
        <f aca="false">AN104*AO104*$AK$2</f>
        <v>354.1555764</v>
      </c>
      <c r="AQ104" s="42" t="n">
        <f aca="false">SUM(AD104:AG104)</f>
        <v>0</v>
      </c>
      <c r="AR104" s="43" t="n">
        <f aca="false">AI104</f>
        <v>2.466</v>
      </c>
      <c r="AS104" s="28" t="n">
        <f aca="false">AQ104*AR104*$AK$2</f>
        <v>0</v>
      </c>
    </row>
    <row r="105" customFormat="false" ht="15" hidden="false" customHeight="false" outlineLevel="0" collapsed="false">
      <c r="A105" s="6" t="s">
        <v>177</v>
      </c>
      <c r="B105" s="39" t="n">
        <f aca="false">4*3.744</f>
        <v>14.976</v>
      </c>
      <c r="C105" s="39" t="n">
        <f aca="false">4*3.744</f>
        <v>14.976</v>
      </c>
      <c r="D105" s="39"/>
      <c r="E105" s="39" t="n">
        <f aca="false">2*25.5+2*2*0.144</f>
        <v>51.576</v>
      </c>
      <c r="F105" s="39"/>
      <c r="G105" s="39" t="n">
        <f aca="false">2*25.5+2*2*0.144</f>
        <v>51.576</v>
      </c>
      <c r="H105" s="39"/>
      <c r="I105" s="39" t="n">
        <f aca="false">2*25.5+2*2*0.144</f>
        <v>51.576</v>
      </c>
      <c r="J105" s="39"/>
      <c r="K105" s="39" t="n">
        <f aca="false">8*3.744+6*3.744</f>
        <v>52.416</v>
      </c>
      <c r="L105" s="39"/>
      <c r="M105" s="39"/>
      <c r="N105" s="39" t="n">
        <f aca="false">2*25.5+2*2*0.144</f>
        <v>51.576</v>
      </c>
      <c r="O105" s="39" t="n">
        <f aca="false">2*2*20.5+4*1*0.144</f>
        <v>82.576</v>
      </c>
      <c r="P105" s="39" t="n">
        <f aca="false">2*20.5+2*1*0.144</f>
        <v>41.288</v>
      </c>
      <c r="Q105" s="39" t="n">
        <f aca="false">2*20.5+2*1*0.144+2*4.95</f>
        <v>51.188</v>
      </c>
      <c r="R105" s="39" t="n">
        <f aca="false">2*20.5+2*1*0.144</f>
        <v>41.288</v>
      </c>
      <c r="S105" s="39"/>
      <c r="T105" s="39"/>
      <c r="U105" s="39" t="n">
        <f aca="false">20*1.2</f>
        <v>24</v>
      </c>
      <c r="V105" s="39"/>
      <c r="W105" s="39"/>
      <c r="X105" s="39"/>
      <c r="Y105" s="39"/>
      <c r="Z105" s="39" t="n">
        <f aca="false">1*3+1*1.7</f>
        <v>4.7</v>
      </c>
      <c r="AA105" s="39"/>
      <c r="AB105" s="39"/>
      <c r="AC105" s="39"/>
      <c r="AD105" s="39" t="n">
        <f aca="false">18*6.109</f>
        <v>109.962</v>
      </c>
      <c r="AE105" s="39" t="n">
        <f aca="false">18*6.109</f>
        <v>109.962</v>
      </c>
      <c r="AF105" s="39"/>
      <c r="AG105" s="39"/>
      <c r="AH105" s="40" t="n">
        <f aca="false">SUM(B105:AG105)</f>
        <v>753.636</v>
      </c>
      <c r="AI105" s="41" t="n">
        <f aca="false">IFERROR(INDEX(Исходные!$B$21:$B$33,MATCH(18,Исходные!$A$21:$A$33,0)),0)</f>
        <v>1.998</v>
      </c>
      <c r="AJ105" s="40" t="n">
        <f aca="false">AH105*AI105*$AK$2</f>
        <v>1611.16825896</v>
      </c>
      <c r="AK105" s="42" t="n">
        <f aca="false">SUM(B105:D105,F105,H105,J105:M105)</f>
        <v>82.368</v>
      </c>
      <c r="AL105" s="43" t="n">
        <f aca="false">AI105</f>
        <v>1.998</v>
      </c>
      <c r="AM105" s="28" t="n">
        <f aca="false">AK105*AL105*$AK$2</f>
        <v>176.09125248</v>
      </c>
      <c r="AN105" s="42" t="n">
        <f aca="false">SUM(E105,G105,I105,N105:AC105)</f>
        <v>451.344</v>
      </c>
      <c r="AO105" s="43" t="n">
        <f aca="false">AI105</f>
        <v>1.998</v>
      </c>
      <c r="AP105" s="28" t="n">
        <f aca="false">AN105*AO105*$AK$2</f>
        <v>964.91028384</v>
      </c>
      <c r="AQ105" s="42" t="n">
        <f aca="false">SUM(AD105:AG105)</f>
        <v>219.924</v>
      </c>
      <c r="AR105" s="43" t="n">
        <f aca="false">AI105</f>
        <v>1.998</v>
      </c>
      <c r="AS105" s="28" t="n">
        <f aca="false">AQ105*AR105*$AK$2</f>
        <v>470.16672264</v>
      </c>
    </row>
    <row r="106" customFormat="false" ht="15" hidden="false" customHeight="false" outlineLevel="0" collapsed="false">
      <c r="A106" s="6" t="s">
        <v>178</v>
      </c>
      <c r="B106" s="39" t="n">
        <f aca="false">8*1.6</f>
        <v>12.8</v>
      </c>
      <c r="C106" s="39" t="n">
        <f aca="false">4*3.728+4*1.6</f>
        <v>21.312</v>
      </c>
      <c r="D106" s="39"/>
      <c r="E106" s="39" t="n">
        <f aca="false">2*25.5+2*2*0.128+2*2.9+2*3.3</f>
        <v>63.912</v>
      </c>
      <c r="F106" s="39"/>
      <c r="G106" s="39" t="n">
        <f aca="false">2*25.5+2*2*0.128+2*2.9+2*6.5</f>
        <v>70.312</v>
      </c>
      <c r="H106" s="39"/>
      <c r="I106" s="39" t="n">
        <f aca="false">2*25.5+2*2*0.128+2*2.9+2*6.5</f>
        <v>70.312</v>
      </c>
      <c r="J106" s="39"/>
      <c r="K106" s="39" t="n">
        <f aca="false">8*1.6</f>
        <v>12.8</v>
      </c>
      <c r="L106" s="39" t="n">
        <f aca="false">6*3.728</f>
        <v>22.368</v>
      </c>
      <c r="M106" s="39"/>
      <c r="N106" s="39" t="n">
        <f aca="false">2*25.5+2*2*0.128+2*1.85</f>
        <v>55.212</v>
      </c>
      <c r="O106" s="39" t="n">
        <f aca="false">2*2*20.5+4*1*0.128+2*2*3+2*2*2.9</f>
        <v>106.112</v>
      </c>
      <c r="P106" s="39" t="n">
        <f aca="false">2*20.5+2*1*0.128</f>
        <v>41.256</v>
      </c>
      <c r="Q106" s="39" t="n">
        <f aca="false">2*20.5+2*1*0.128+2*2.9</f>
        <v>47.056</v>
      </c>
      <c r="R106" s="39" t="n">
        <f aca="false">2*20.5+2*1*0.128+2*3.6</f>
        <v>48.456</v>
      </c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40" t="n">
        <f aca="false">SUM(B106:AG106)</f>
        <v>571.908</v>
      </c>
      <c r="AI106" s="41" t="n">
        <f aca="false">IFERROR(INDEX(Исходные!$B$21:$B$33,MATCH(16,Исходные!$A$21:$A$33,0)),0)</f>
        <v>1.578</v>
      </c>
      <c r="AJ106" s="40" t="n">
        <f aca="false">AH106*AI106*$AK$2</f>
        <v>965.64378168</v>
      </c>
      <c r="AK106" s="42" t="n">
        <f aca="false">SUM(B106:D106,F106,H106,J106:M106)</f>
        <v>69.28</v>
      </c>
      <c r="AL106" s="43" t="n">
        <f aca="false">AI106</f>
        <v>1.578</v>
      </c>
      <c r="AM106" s="28" t="n">
        <f aca="false">AK106*AL106*$AK$2</f>
        <v>116.9765088</v>
      </c>
      <c r="AN106" s="42" t="n">
        <f aca="false">SUM(E106,G106,I106,N106:AC106)</f>
        <v>502.628</v>
      </c>
      <c r="AO106" s="43" t="n">
        <f aca="false">AI106</f>
        <v>1.578</v>
      </c>
      <c r="AP106" s="28" t="n">
        <f aca="false">AN106*AO106*$AK$2</f>
        <v>848.66727288</v>
      </c>
      <c r="AQ106" s="42" t="n">
        <f aca="false">SUM(AD106:AG106)</f>
        <v>0</v>
      </c>
      <c r="AR106" s="43" t="n">
        <f aca="false">AI106</f>
        <v>1.578</v>
      </c>
      <c r="AS106" s="28" t="n">
        <f aca="false">AQ106*AR106*$AK$2</f>
        <v>0</v>
      </c>
    </row>
    <row r="107" customFormat="false" ht="15" hidden="false" customHeight="false" outlineLevel="0" collapsed="false">
      <c r="A107" s="6" t="s">
        <v>179</v>
      </c>
      <c r="B107" s="39" t="n">
        <f aca="false">8*3.712+8*3.712+32*1.95+32*2.25</f>
        <v>193.792</v>
      </c>
      <c r="C107" s="39" t="n">
        <f aca="false">8*3.712+32*1.25+32*2.25</f>
        <v>141.696</v>
      </c>
      <c r="D107" s="39"/>
      <c r="E107" s="39" t="n">
        <f aca="false">2*2.7</f>
        <v>5.4</v>
      </c>
      <c r="F107" s="39"/>
      <c r="G107" s="39" t="n">
        <f aca="false">2*3.7+2*3.7</f>
        <v>14.8</v>
      </c>
      <c r="H107" s="39"/>
      <c r="I107" s="39" t="n">
        <f aca="false">2*4.2+2*3.9+2*3.7+2*4.2</f>
        <v>32</v>
      </c>
      <c r="J107" s="39"/>
      <c r="K107" s="39" t="n">
        <f aca="false">32*1.95+32*1.45</f>
        <v>108.8</v>
      </c>
      <c r="L107" s="39" t="n">
        <f aca="false">32*1.45+6*1.45</f>
        <v>55.1</v>
      </c>
      <c r="M107" s="39" t="n">
        <f aca="false">4*3.712+6*3.712+32*1.45+6*1.45+6*1.45</f>
        <v>100.92</v>
      </c>
      <c r="N107" s="39"/>
      <c r="O107" s="39"/>
      <c r="P107" s="39" t="n">
        <f aca="false">2*4+2*2.7+2*2.4+4*9.1+2*2.85</f>
        <v>60.3</v>
      </c>
      <c r="Q107" s="39"/>
      <c r="R107" s="39" t="n">
        <f aca="false">2*3.4</f>
        <v>6.8</v>
      </c>
      <c r="S107" s="39"/>
      <c r="T107" s="39"/>
      <c r="U107" s="39"/>
      <c r="V107" s="39"/>
      <c r="W107" s="39"/>
      <c r="X107" s="39"/>
      <c r="Y107" s="39"/>
      <c r="Z107" s="39"/>
      <c r="AA107" s="39" t="n">
        <f aca="false">2*25.795+2*2*0.56+2*20.495+2*1*0.56</f>
        <v>95.94</v>
      </c>
      <c r="AB107" s="39"/>
      <c r="AC107" s="39"/>
      <c r="AD107" s="39"/>
      <c r="AE107" s="39"/>
      <c r="AF107" s="39"/>
      <c r="AG107" s="39"/>
      <c r="AH107" s="40" t="n">
        <f aca="false">SUM(B107:AG107)</f>
        <v>815.548</v>
      </c>
      <c r="AI107" s="41" t="n">
        <f aca="false">IFERROR(INDEX(Исходные!$B$21:$B$33,MATCH(14,Исходные!$A$21:$A$33,0)),0)</f>
        <v>1.208</v>
      </c>
      <c r="AJ107" s="40" t="n">
        <f aca="false">AH107*AI107*$AK$2</f>
        <v>1054.14472288</v>
      </c>
      <c r="AK107" s="42" t="n">
        <f aca="false">SUM(B107:D107,F107,H107,J107:M107)</f>
        <v>600.308</v>
      </c>
      <c r="AL107" s="43" t="n">
        <f aca="false">AI107</f>
        <v>1.208</v>
      </c>
      <c r="AM107" s="28" t="n">
        <f aca="false">AK107*AL107*$AK$2</f>
        <v>775.93410848</v>
      </c>
      <c r="AN107" s="42" t="n">
        <f aca="false">SUM(E107,G107,I107,N107:AC107)</f>
        <v>215.24</v>
      </c>
      <c r="AO107" s="43" t="n">
        <f aca="false">AI107</f>
        <v>1.208</v>
      </c>
      <c r="AP107" s="28" t="n">
        <f aca="false">AN107*AO107*$AK$2</f>
        <v>278.2106144</v>
      </c>
      <c r="AQ107" s="42" t="n">
        <f aca="false">SUM(AD107:AG107)</f>
        <v>0</v>
      </c>
      <c r="AR107" s="43" t="n">
        <f aca="false">AI107</f>
        <v>1.208</v>
      </c>
      <c r="AS107" s="28" t="n">
        <f aca="false">AQ107*AR107*$AK$2</f>
        <v>0</v>
      </c>
    </row>
    <row r="108" customFormat="false" ht="15" hidden="false" customHeight="false" outlineLevel="0" collapsed="false">
      <c r="A108" s="6" t="s">
        <v>180</v>
      </c>
      <c r="B108" s="39" t="n">
        <f aca="false">6*1.95+6*1.2</f>
        <v>18.9</v>
      </c>
      <c r="C108" s="39" t="n">
        <f aca="false">6*1.2</f>
        <v>7.2</v>
      </c>
      <c r="D108" s="39"/>
      <c r="E108" s="39"/>
      <c r="F108" s="39"/>
      <c r="G108" s="39" t="n">
        <f aca="false">4*17.1+4*1*0.096</f>
        <v>68.784</v>
      </c>
      <c r="H108" s="39"/>
      <c r="I108" s="39" t="n">
        <f aca="false">4*17.1+4*1*0.096</f>
        <v>68.784</v>
      </c>
      <c r="J108" s="39"/>
      <c r="K108" s="39"/>
      <c r="L108" s="39" t="n">
        <f aca="false">6*1.45</f>
        <v>8.7</v>
      </c>
      <c r="M108" s="39" t="n">
        <f aca="false">32*1.25+6*1.25</f>
        <v>47.5</v>
      </c>
      <c r="N108" s="39" t="n">
        <f aca="false">2*5.5</f>
        <v>11</v>
      </c>
      <c r="O108" s="39" t="n">
        <f aca="false">2*4*2.05</f>
        <v>16.4</v>
      </c>
      <c r="P108" s="39"/>
      <c r="Q108" s="39" t="n">
        <f aca="false">4*3.8+4*3.8+4*10.6+4*2.05</f>
        <v>81</v>
      </c>
      <c r="R108" s="39" t="n">
        <f aca="false">4*2.4+4*3.4+4*3.6+4*2.3</f>
        <v>46.8</v>
      </c>
      <c r="S108" s="39"/>
      <c r="T108" s="39"/>
      <c r="U108" s="39"/>
      <c r="V108" s="39"/>
      <c r="W108" s="39"/>
      <c r="X108" s="39"/>
      <c r="Y108" s="39"/>
      <c r="Z108" s="39" t="n">
        <f aca="false">12*1.4+12*2.2</f>
        <v>43.2</v>
      </c>
      <c r="AA108" s="39"/>
      <c r="AB108" s="39"/>
      <c r="AC108" s="39"/>
      <c r="AD108" s="39"/>
      <c r="AE108" s="39"/>
      <c r="AF108" s="39"/>
      <c r="AG108" s="39"/>
      <c r="AH108" s="40" t="n">
        <f aca="false">SUM(B108:AG108)</f>
        <v>418.268</v>
      </c>
      <c r="AI108" s="41" t="n">
        <f aca="false">IFERROR(INDEX(Исходные!$B$21:$B$33,MATCH(12,Исходные!$A$21:$A$33,0)),0)</f>
        <v>0.888</v>
      </c>
      <c r="AJ108" s="40" t="n">
        <f aca="false">AH108*AI108*$AK$2</f>
        <v>397.42152288</v>
      </c>
      <c r="AK108" s="42" t="n">
        <f aca="false">SUM(B108:D108,F108,H108,J108:M108)</f>
        <v>82.3</v>
      </c>
      <c r="AL108" s="43" t="n">
        <f aca="false">AI108</f>
        <v>0.888</v>
      </c>
      <c r="AM108" s="28" t="n">
        <f aca="false">AK108*AL108*$AK$2</f>
        <v>78.198168</v>
      </c>
      <c r="AN108" s="42" t="n">
        <f aca="false">SUM(E108,G108,I108,N108:AC108)</f>
        <v>335.968</v>
      </c>
      <c r="AO108" s="43" t="n">
        <f aca="false">AI108</f>
        <v>0.888</v>
      </c>
      <c r="AP108" s="28" t="n">
        <f aca="false">AN108*AO108*$AK$2</f>
        <v>319.22335488</v>
      </c>
      <c r="AQ108" s="42" t="n">
        <f aca="false">SUM(AD108:AG108)</f>
        <v>0</v>
      </c>
      <c r="AR108" s="43" t="n">
        <f aca="false">AI108</f>
        <v>0.888</v>
      </c>
      <c r="AS108" s="28" t="n">
        <f aca="false">AQ108*AR108*$AK$2</f>
        <v>0</v>
      </c>
    </row>
    <row r="109" customFormat="false" ht="15" hidden="false" customHeight="false" outlineLevel="0" collapsed="false">
      <c r="A109" s="6" t="s">
        <v>181</v>
      </c>
      <c r="B109" s="39"/>
      <c r="C109" s="39" t="n">
        <f aca="false">6*1.25</f>
        <v>7.5</v>
      </c>
      <c r="D109" s="39"/>
      <c r="E109" s="39"/>
      <c r="F109" s="39"/>
      <c r="G109" s="39"/>
      <c r="H109" s="39"/>
      <c r="I109" s="39"/>
      <c r="J109" s="39"/>
      <c r="K109" s="39" t="n">
        <f aca="false">6*1.95+6*1.95+6*1.45+6*1.45</f>
        <v>40.8</v>
      </c>
      <c r="L109" s="39"/>
      <c r="M109" s="39" t="n">
        <f aca="false">6*1.25</f>
        <v>7.5</v>
      </c>
      <c r="N109" s="39"/>
      <c r="O109" s="39"/>
      <c r="P109" s="39"/>
      <c r="Q109" s="39"/>
      <c r="R109" s="39"/>
      <c r="S109" s="39"/>
      <c r="T109" s="39"/>
      <c r="U109" s="39"/>
      <c r="V109" s="39" t="n">
        <f aca="false">26*27.32+26*2*0.4+49*25.6+49*2*0.4+1*22.2+1*0.4+16*15.62+16*1*0.4+12*13.9+12*1*0.4+1*10.77+14*7.97+9*7.95+13*7.17+9*3.78+40*22.32+40*1*0.4+41*20.6+41*1*0.4+26*20.48+26*1*0.4+2*19.01+2*1*0.4+3*17.28+3*1*0.4+17*15.6+17*1*0.4+18*4.15+22*0.6+26*27.32+26*2*0.4+49*25.6+49*2*0.4+1*22.2+1*0.4+16*15.62+16*1*0.4+12*13.9+12*1*0.4+1*10.77+14*7.97+9*7.95+13*7.17+9*3.78+40*22.32+40*1*0.4+41*20.6+41*1*0.4+26*20.48+26*1*0.4+2*19.01+2*1*0.4+3*17.28+3*1*0.4+17*15.6+17*1*0.4+18*4.15+22*0.6</f>
        <v>11121.62</v>
      </c>
      <c r="W109" s="39"/>
      <c r="X109" s="39"/>
      <c r="Y109" s="39" t="n">
        <f aca="false">22*5.05+25*4.5+20*3.625+17*4.5+17*1.2</f>
        <v>393</v>
      </c>
      <c r="Z109" s="39" t="n">
        <f aca="false">18*1.2+11*1.2+18*1.2+18*1.4+18*2.2+24*1.2+25*2+25*1.2+17*1.2+36*1.2+15*1.4+17*2.2+29*1.4+62*2.2</f>
        <v>529</v>
      </c>
      <c r="AA109" s="39"/>
      <c r="AB109" s="39"/>
      <c r="AC109" s="39" t="n">
        <f aca="false">200*7*0.57</f>
        <v>798</v>
      </c>
      <c r="AD109" s="39" t="n">
        <f aca="false">60*1.19</f>
        <v>71.4</v>
      </c>
      <c r="AE109" s="39" t="n">
        <f aca="false">60*1.19</f>
        <v>71.4</v>
      </c>
      <c r="AF109" s="39" t="n">
        <f aca="false">2*28*1.19+28*0.6+2*4*0.48</f>
        <v>87.28</v>
      </c>
      <c r="AG109" s="39"/>
      <c r="AH109" s="40" t="n">
        <f aca="false">SUM(B109:AG109)</f>
        <v>13127.5</v>
      </c>
      <c r="AI109" s="41" t="n">
        <f aca="false">IFERROR(INDEX(Исходные!$B$21:$B$33,MATCH(10,Исходные!$A$21:$A$33,0)),0)</f>
        <v>0.617</v>
      </c>
      <c r="AJ109" s="40" t="n">
        <f aca="false">AH109*AI109*$AK$2</f>
        <v>8666.644225</v>
      </c>
      <c r="AK109" s="42" t="n">
        <f aca="false">SUM(B109:D109,F109,H109,J109:M109)</f>
        <v>55.8</v>
      </c>
      <c r="AL109" s="43" t="n">
        <f aca="false">AI109</f>
        <v>0.617</v>
      </c>
      <c r="AM109" s="28" t="n">
        <f aca="false">AK109*AL109*$AK$2</f>
        <v>36.838602</v>
      </c>
      <c r="AN109" s="42" t="n">
        <f aca="false">SUM(E109,G109,I109,N109:AC109)</f>
        <v>12841.62</v>
      </c>
      <c r="AO109" s="43" t="n">
        <f aca="false">AI109</f>
        <v>0.617</v>
      </c>
      <c r="AP109" s="28" t="n">
        <f aca="false">AN109*AO109*$AK$2</f>
        <v>8477.9091078</v>
      </c>
      <c r="AQ109" s="42" t="n">
        <f aca="false">SUM(AD109:AG109)</f>
        <v>230.08</v>
      </c>
      <c r="AR109" s="43" t="n">
        <f aca="false">AI109</f>
        <v>0.617</v>
      </c>
      <c r="AS109" s="28" t="n">
        <f aca="false">AQ109*AR109*$AK$2</f>
        <v>151.8965152</v>
      </c>
    </row>
    <row r="110" customFormat="false" ht="15" hidden="false" customHeight="false" outlineLevel="0" collapsed="false">
      <c r="A110" s="6" t="s">
        <v>182</v>
      </c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40" t="n">
        <f aca="false">SUM(B110:AG110)</f>
        <v>0</v>
      </c>
      <c r="AI110" s="41" t="n">
        <f aca="false">IFERROR(INDEX(Исходные!$B$21:$B$33,MATCH(8,Исходные!$A$21:$A$33,0)),0)</f>
        <v>0.395</v>
      </c>
      <c r="AJ110" s="40" t="n">
        <f aca="false">AH110*AI110*$AK$2</f>
        <v>0</v>
      </c>
      <c r="AK110" s="42" t="n">
        <f aca="false">SUM(B110:D110,F110,H110,J110:M110)</f>
        <v>0</v>
      </c>
      <c r="AL110" s="43" t="n">
        <f aca="false">AI110</f>
        <v>0.395</v>
      </c>
      <c r="AM110" s="28" t="n">
        <f aca="false">AK110*AL110*$AK$2</f>
        <v>0</v>
      </c>
      <c r="AN110" s="42" t="n">
        <f aca="false">SUM(E110,G110,I110,N110:AC110)</f>
        <v>0</v>
      </c>
      <c r="AO110" s="43" t="n">
        <f aca="false">AI110</f>
        <v>0.395</v>
      </c>
      <c r="AP110" s="28" t="n">
        <f aca="false">AN110*AO110*$AK$2</f>
        <v>0</v>
      </c>
      <c r="AQ110" s="42" t="n">
        <f aca="false">SUM(AD110:AG110)</f>
        <v>0</v>
      </c>
      <c r="AR110" s="43" t="n">
        <f aca="false">AI110</f>
        <v>0.395</v>
      </c>
      <c r="AS110" s="28" t="n">
        <f aca="false">AQ110*AR110*$AK$2</f>
        <v>0</v>
      </c>
    </row>
    <row r="111" customFormat="false" ht="15" hidden="false" customHeight="false" outlineLevel="0" collapsed="false">
      <c r="A111" s="6" t="s">
        <v>183</v>
      </c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 t="n">
        <f aca="false">2*0.42</f>
        <v>0.84</v>
      </c>
      <c r="AH111" s="40" t="n">
        <f aca="false">SUM(B111:AG111)</f>
        <v>0.84</v>
      </c>
      <c r="AI111" s="41" t="n">
        <f aca="false">IFERROR(INDEX(Исходные!$B$21:$B$33,MATCH(16,Исходные!$A$21:$A$33,0)),0)</f>
        <v>1.578</v>
      </c>
      <c r="AJ111" s="40" t="n">
        <f aca="false">AH111*AI111*$AK$2</f>
        <v>1.4183064</v>
      </c>
      <c r="AK111" s="42" t="n">
        <f aca="false">SUM(B111:D111,F111,H111,J111:M111)</f>
        <v>0</v>
      </c>
      <c r="AL111" s="43" t="n">
        <f aca="false">AI111</f>
        <v>1.578</v>
      </c>
      <c r="AM111" s="28" t="n">
        <f aca="false">AK111*AL111*$AK$2</f>
        <v>0</v>
      </c>
      <c r="AN111" s="42" t="n">
        <f aca="false">SUM(E111,G111,I111,N111:AC111)</f>
        <v>0</v>
      </c>
      <c r="AO111" s="43" t="n">
        <f aca="false">AI111</f>
        <v>1.578</v>
      </c>
      <c r="AP111" s="28" t="n">
        <f aca="false">AN111*AO111*$AK$2</f>
        <v>0</v>
      </c>
      <c r="AQ111" s="42" t="n">
        <f aca="false">SUM(AD111:AG111)</f>
        <v>0.84</v>
      </c>
      <c r="AR111" s="43" t="n">
        <f aca="false">AI111</f>
        <v>1.578</v>
      </c>
      <c r="AS111" s="28" t="n">
        <f aca="false">AQ111*AR111*$AK$2</f>
        <v>1.4183064</v>
      </c>
    </row>
    <row r="112" customFormat="false" ht="15" hidden="false" customHeight="false" outlineLevel="0" collapsed="false">
      <c r="A112" s="6" t="s">
        <v>184</v>
      </c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40" t="n">
        <f aca="false">SUM(B112:AG112)</f>
        <v>0</v>
      </c>
      <c r="AI112" s="41" t="n">
        <f aca="false">IFERROR(INDEX(Исходные!$B$21:$B$33,MATCH(12,Исходные!$A$21:$A$33,0)),0)</f>
        <v>0.888</v>
      </c>
      <c r="AJ112" s="40" t="n">
        <f aca="false">AH112*AI112*$AK$2</f>
        <v>0</v>
      </c>
      <c r="AK112" s="42" t="n">
        <f aca="false">SUM(B112:D112,F112,H112,J112:M112)</f>
        <v>0</v>
      </c>
      <c r="AL112" s="43" t="n">
        <f aca="false">AI112</f>
        <v>0.888</v>
      </c>
      <c r="AM112" s="28" t="n">
        <f aca="false">AK112*AL112*$AK$2</f>
        <v>0</v>
      </c>
      <c r="AN112" s="42" t="n">
        <f aca="false">SUM(E112,G112,I112,N112:AC112)</f>
        <v>0</v>
      </c>
      <c r="AO112" s="43" t="n">
        <f aca="false">AI112</f>
        <v>0.888</v>
      </c>
      <c r="AP112" s="28" t="n">
        <f aca="false">AN112*AO112*$AK$2</f>
        <v>0</v>
      </c>
      <c r="AQ112" s="42" t="n">
        <f aca="false">SUM(AD112:AG112)</f>
        <v>0</v>
      </c>
      <c r="AR112" s="43" t="n">
        <f aca="false">AI112</f>
        <v>0.888</v>
      </c>
      <c r="AS112" s="28" t="n">
        <f aca="false">AQ112*AR112*$AK$2</f>
        <v>0</v>
      </c>
    </row>
    <row r="113" customFormat="false" ht="15" hidden="false" customHeight="false" outlineLevel="0" collapsed="false">
      <c r="A113" s="6" t="s">
        <v>185</v>
      </c>
      <c r="B113" s="39" t="n">
        <f aca="false">48*1.33</f>
        <v>63.84</v>
      </c>
      <c r="C113" s="39" t="n">
        <f aca="false">32*1.33</f>
        <v>42.56</v>
      </c>
      <c r="D113" s="39"/>
      <c r="E113" s="39" t="n">
        <f aca="false">34*2.06+8*1.6</f>
        <v>82.84</v>
      </c>
      <c r="F113" s="39"/>
      <c r="G113" s="39" t="n">
        <f aca="false">105*2.06+28*1.6</f>
        <v>261.1</v>
      </c>
      <c r="H113" s="39"/>
      <c r="I113" s="39" t="n">
        <f aca="false">124*2.06+115*1.6</f>
        <v>439.44</v>
      </c>
      <c r="J113" s="39"/>
      <c r="K113" s="39" t="n">
        <f aca="false">48*1.33</f>
        <v>63.84</v>
      </c>
      <c r="L113" s="39" t="n">
        <f aca="false">16*1.33</f>
        <v>21.28</v>
      </c>
      <c r="M113" s="39" t="n">
        <f aca="false">32*1.33</f>
        <v>42.56</v>
      </c>
      <c r="N113" s="39" t="n">
        <f aca="false">45*2.06</f>
        <v>92.7</v>
      </c>
      <c r="O113" s="39" t="n">
        <f aca="false">2*47*2.06</f>
        <v>193.64</v>
      </c>
      <c r="P113" s="39" t="n">
        <f aca="false">92*2.06+86*1.6</f>
        <v>327.12</v>
      </c>
      <c r="Q113" s="39" t="n">
        <f aca="false">94*2.06+50*1.6</f>
        <v>273.64</v>
      </c>
      <c r="R113" s="39" t="n">
        <f aca="false">87*2.06+61*1.6</f>
        <v>276.82</v>
      </c>
      <c r="S113" s="39"/>
      <c r="T113" s="39"/>
      <c r="U113" s="39"/>
      <c r="V113" s="39"/>
      <c r="W113" s="39" t="n">
        <f aca="false">847*0.42</f>
        <v>355.74</v>
      </c>
      <c r="X113" s="39"/>
      <c r="Y113" s="39"/>
      <c r="Z113" s="39"/>
      <c r="AA113" s="39" t="n">
        <f aca="false">119*0.7</f>
        <v>83.3</v>
      </c>
      <c r="AB113" s="39"/>
      <c r="AC113" s="39"/>
      <c r="AD113" s="39" t="n">
        <f aca="false">60*0.52</f>
        <v>31.2</v>
      </c>
      <c r="AE113" s="39" t="n">
        <f aca="false">60*0.52</f>
        <v>31.2</v>
      </c>
      <c r="AF113" s="39" t="n">
        <f aca="false">2*28*0.52</f>
        <v>29.12</v>
      </c>
      <c r="AG113" s="39"/>
      <c r="AH113" s="40" t="n">
        <f aca="false">SUM(B113:AG113)</f>
        <v>2711.94</v>
      </c>
      <c r="AI113" s="41" t="n">
        <f aca="false">IFERROR(INDEX(Исходные!$B$21:$B$33,MATCH(10,Исходные!$A$21:$A$33,0)),0)</f>
        <v>0.617</v>
      </c>
      <c r="AJ113" s="40" t="n">
        <f aca="false">AH113*AI113*$AK$2</f>
        <v>1790.3956686</v>
      </c>
      <c r="AK113" s="42" t="n">
        <f aca="false">SUM(B113:D113,F113,H113,J113:M113)</f>
        <v>234.08</v>
      </c>
      <c r="AL113" s="43" t="n">
        <f aca="false">AI113</f>
        <v>0.617</v>
      </c>
      <c r="AM113" s="28" t="n">
        <f aca="false">AK113*AL113*$AK$2</f>
        <v>154.5372752</v>
      </c>
      <c r="AN113" s="42" t="n">
        <f aca="false">SUM(E113,G113,I113,N113:AC113)</f>
        <v>2386.34</v>
      </c>
      <c r="AO113" s="43" t="n">
        <f aca="false">AI113</f>
        <v>0.617</v>
      </c>
      <c r="AP113" s="28" t="n">
        <f aca="false">AN113*AO113*$AK$2</f>
        <v>1575.4378046</v>
      </c>
      <c r="AQ113" s="42" t="n">
        <f aca="false">SUM(AD113:AG113)</f>
        <v>91.52</v>
      </c>
      <c r="AR113" s="43" t="n">
        <f aca="false">AI113</f>
        <v>0.617</v>
      </c>
      <c r="AS113" s="28" t="n">
        <f aca="false">AQ113*AR113*$AK$2</f>
        <v>60.4205888</v>
      </c>
    </row>
    <row r="114" customFormat="false" ht="15" hidden="false" customHeight="false" outlineLevel="0" collapsed="false">
      <c r="A114" s="6" t="s">
        <v>186</v>
      </c>
      <c r="B114" s="39" t="n">
        <f aca="false">32*1.56+16*1.76+28*2.44+32*1.96+80*0.53</f>
        <v>251.52</v>
      </c>
      <c r="C114" s="39" t="n">
        <f aca="false">16*1.56+16*1.76+28*2.44+32*1.96+56*0.53</f>
        <v>213.84</v>
      </c>
      <c r="D114" s="39" t="n">
        <f aca="false">3*28*2.44+3*32*1.96</f>
        <v>393.12</v>
      </c>
      <c r="E114" s="39" t="n">
        <f aca="false">134*2.06+105*0.75+70*0.58</f>
        <v>395.39</v>
      </c>
      <c r="F114" s="39" t="n">
        <f aca="false">5*28*2.44+5*32*1.96</f>
        <v>655.2</v>
      </c>
      <c r="G114" s="39" t="n">
        <f aca="false">90*2.06+109*0.75+77*0.58</f>
        <v>311.81</v>
      </c>
      <c r="H114" s="39" t="n">
        <f aca="false">5*28*2.44+5*32*1.96</f>
        <v>655.2</v>
      </c>
      <c r="I114" s="39" t="n">
        <f aca="false">78*2.06+54*0.75+77*0.58</f>
        <v>245.84</v>
      </c>
      <c r="J114" s="39" t="n">
        <f aca="false">2*28*2.44+2*32*1.96</f>
        <v>262.08</v>
      </c>
      <c r="K114" s="39" t="n">
        <f aca="false">32*1.56+16*1.76+28*2.44+32*1.96+72*0.53</f>
        <v>247.28</v>
      </c>
      <c r="L114" s="39" t="n">
        <f aca="false">16*1.76+28*2.44+32*1.96+24*0.53</f>
        <v>171.92</v>
      </c>
      <c r="M114" s="39" t="n">
        <f aca="false">16*1.56+16*1.76+28*2.44+32*1.96+48*0.53</f>
        <v>209.6</v>
      </c>
      <c r="N114" s="39" t="n">
        <f aca="false">125*2.06+106*0.75+67*0.58</f>
        <v>375.86</v>
      </c>
      <c r="O114" s="39" t="n">
        <f aca="false">2*101*2.06+2*99*0.75+2*62*0.58</f>
        <v>636.54</v>
      </c>
      <c r="P114" s="39" t="n">
        <f aca="false">47*2.06+35*0.75+54*0.58</f>
        <v>154.39</v>
      </c>
      <c r="Q114" s="39" t="n">
        <f aca="false">64*2.06+73*0.75+62*0.58</f>
        <v>222.55</v>
      </c>
      <c r="R114" s="39" t="n">
        <f aca="false">51*2.06+53*0.75+54*0.58</f>
        <v>176.13</v>
      </c>
      <c r="S114" s="39"/>
      <c r="T114" s="39" t="n">
        <f aca="false">925*1.24+44*1.24+44*1.44+133*1.04+272*1.14</f>
        <v>1713.32</v>
      </c>
      <c r="U114" s="39"/>
      <c r="V114" s="39"/>
      <c r="W114" s="39" t="n">
        <f aca="false">847*0.22</f>
        <v>186.34</v>
      </c>
      <c r="X114" s="39"/>
      <c r="Y114" s="39"/>
      <c r="Z114" s="39"/>
      <c r="AA114" s="39"/>
      <c r="AB114" s="39"/>
      <c r="AC114" s="39"/>
      <c r="AD114" s="39"/>
      <c r="AE114" s="39"/>
      <c r="AF114" s="39"/>
      <c r="AG114" s="39" t="n">
        <f aca="false">14*1.28+22*1.16</f>
        <v>43.44</v>
      </c>
      <c r="AH114" s="40" t="n">
        <f aca="false">SUM(B114:AG114)</f>
        <v>7521.37</v>
      </c>
      <c r="AI114" s="41" t="n">
        <f aca="false">IFERROR(INDEX(Исходные!$B$21:$B$33,MATCH(8,Исходные!$A$21:$A$33,0)),0)</f>
        <v>0.395</v>
      </c>
      <c r="AJ114" s="40" t="n">
        <f aca="false">AH114*AI114*$AK$2</f>
        <v>3178.9070305</v>
      </c>
      <c r="AK114" s="42" t="n">
        <f aca="false">SUM(B114:D114,F114,H114,J114:M114)</f>
        <v>3059.76</v>
      </c>
      <c r="AL114" s="43" t="n">
        <f aca="false">AI114</f>
        <v>0.395</v>
      </c>
      <c r="AM114" s="28" t="n">
        <f aca="false">AK114*AL114*$AK$2</f>
        <v>1293.207564</v>
      </c>
      <c r="AN114" s="42" t="n">
        <f aca="false">SUM(E114,G114,I114,N114:AC114)</f>
        <v>4418.17</v>
      </c>
      <c r="AO114" s="43" t="n">
        <f aca="false">AI114</f>
        <v>0.395</v>
      </c>
      <c r="AP114" s="28" t="n">
        <f aca="false">AN114*AO114*$AK$2</f>
        <v>1867.3395505</v>
      </c>
      <c r="AQ114" s="42" t="n">
        <f aca="false">SUM(AD114:AG114)</f>
        <v>43.44</v>
      </c>
      <c r="AR114" s="43" t="n">
        <f aca="false">AI114</f>
        <v>0.395</v>
      </c>
      <c r="AS114" s="28" t="n">
        <f aca="false">AQ114*AR114*$AK$2</f>
        <v>18.359916</v>
      </c>
    </row>
    <row r="115" customFormat="false" ht="15" hidden="false" customHeight="false" outlineLevel="0" collapsed="false">
      <c r="A115" s="6" t="s">
        <v>187</v>
      </c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 t="n">
        <f aca="false">38*0.28</f>
        <v>10.64</v>
      </c>
      <c r="AE115" s="39" t="n">
        <f aca="false">38*0.28</f>
        <v>10.64</v>
      </c>
      <c r="AF115" s="39" t="n">
        <f aca="false">28*0.28</f>
        <v>7.84</v>
      </c>
      <c r="AG115" s="39"/>
      <c r="AH115" s="40" t="n">
        <f aca="false">SUM(B115:AG115)</f>
        <v>29.12</v>
      </c>
      <c r="AI115" s="41" t="n">
        <f aca="false">IFERROR(INDEX(Исходные!$B$21:$B$33,MATCH(6,Исходные!$A$21:$A$33,0)),0)</f>
        <v>0.222</v>
      </c>
      <c r="AJ115" s="40" t="n">
        <f aca="false">AH115*AI115*$AK$2</f>
        <v>6.9171648</v>
      </c>
      <c r="AK115" s="42" t="n">
        <f aca="false">SUM(B115:D115,F115,H115,J115:M115)</f>
        <v>0</v>
      </c>
      <c r="AL115" s="43" t="n">
        <f aca="false">AI115</f>
        <v>0.222</v>
      </c>
      <c r="AM115" s="28" t="n">
        <f aca="false">AK115*AL115*$AK$2</f>
        <v>0</v>
      </c>
      <c r="AN115" s="42" t="n">
        <f aca="false">SUM(E115,G115,I115,N115:AC115)</f>
        <v>0</v>
      </c>
      <c r="AO115" s="43" t="n">
        <f aca="false">AI115</f>
        <v>0.222</v>
      </c>
      <c r="AP115" s="28" t="n">
        <f aca="false">AN115*AO115*$AK$2</f>
        <v>0</v>
      </c>
      <c r="AQ115" s="42" t="n">
        <f aca="false">SUM(AD115:AG115)</f>
        <v>29.12</v>
      </c>
      <c r="AR115" s="43" t="n">
        <f aca="false">AI115</f>
        <v>0.222</v>
      </c>
      <c r="AS115" s="28" t="n">
        <f aca="false">AQ115*AR115*$AK$2</f>
        <v>6.9171648</v>
      </c>
    </row>
    <row r="116" customFormat="false" ht="15" hidden="false" customHeight="false" outlineLevel="0" collapsed="false">
      <c r="A116" s="6" t="s">
        <v>188</v>
      </c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4" t="n">
        <f aca="false">6.38</f>
        <v>6.38</v>
      </c>
      <c r="AE116" s="44" t="n">
        <f aca="false">6.38</f>
        <v>6.38</v>
      </c>
      <c r="AF116" s="44"/>
      <c r="AG116" s="44"/>
      <c r="AH116" s="40" t="n">
        <f aca="false">SUM(B116:AG116)</f>
        <v>12.76</v>
      </c>
      <c r="AI116" s="41" t="n">
        <f aca="false">Исходные!$B$34</f>
        <v>3.08</v>
      </c>
      <c r="AJ116" s="40" t="n">
        <f aca="false">AH116*AI116*$AK$2</f>
        <v>42.051856</v>
      </c>
      <c r="AK116" s="42" t="n">
        <f aca="false">SUM(B116:D116,F116,H116,J116:M116)</f>
        <v>0</v>
      </c>
      <c r="AL116" s="43" t="n">
        <f aca="false">AI116</f>
        <v>3.08</v>
      </c>
      <c r="AM116" s="28" t="n">
        <f aca="false">AK116*AL116*$AK$2</f>
        <v>0</v>
      </c>
      <c r="AN116" s="42" t="n">
        <f aca="false">SUM(E116,G116,I116,N116:AC116)</f>
        <v>0</v>
      </c>
      <c r="AO116" s="43" t="n">
        <f aca="false">AI116</f>
        <v>3.08</v>
      </c>
      <c r="AP116" s="28" t="n">
        <f aca="false">AN116*AO116*$AK$2</f>
        <v>0</v>
      </c>
      <c r="AQ116" s="42" t="n">
        <f aca="false">SUM(AD116:AG116)</f>
        <v>12.76</v>
      </c>
      <c r="AR116" s="43" t="n">
        <f aca="false">AI116</f>
        <v>3.08</v>
      </c>
      <c r="AS116" s="28" t="n">
        <f aca="false">AQ116*AR116*$AK$2</f>
        <v>42.051856</v>
      </c>
    </row>
    <row r="117" customFormat="false" ht="15" hidden="false" customHeight="false" outlineLevel="0" collapsed="false">
      <c r="A117" s="45" t="s">
        <v>189</v>
      </c>
      <c r="B117" s="46" t="n">
        <f aca="false">SUMPRODUCT(B100:B116,$AI$100:$AI$116)</f>
        <v>792.508064</v>
      </c>
      <c r="C117" s="46" t="n">
        <f aca="false">SUMPRODUCT(C100:C116,$AI$100:$AI$116)</f>
        <v>626.007772</v>
      </c>
      <c r="D117" s="46" t="n">
        <f aca="false">SUMPRODUCT(D100:D116,$AI$100:$AI$116)</f>
        <v>619.7688</v>
      </c>
      <c r="E117" s="46" t="n">
        <f aca="false">SUMPRODUCT(E100:E116,$AI$100:$AI$116)</f>
        <v>1194.333214</v>
      </c>
      <c r="F117" s="46" t="n">
        <f aca="false">SUMPRODUCT(F100:F116,$AI$100:$AI$116)</f>
        <v>1068.444</v>
      </c>
      <c r="G117" s="46" t="n">
        <f aca="false">SUMPRODUCT(G100:G116,$AI$100:$AI$116)</f>
        <v>1256.228826</v>
      </c>
      <c r="H117" s="46" t="n">
        <f aca="false">SUMPRODUCT(H100:H116,$AI$100:$AI$116)</f>
        <v>1047.1464</v>
      </c>
      <c r="I117" s="46" t="n">
        <f aca="false">SUMPRODUCT(I100:I116,$AI$100:$AI$116)</f>
        <v>1375.565756</v>
      </c>
      <c r="J117" s="46" t="n">
        <f aca="false">SUMPRODUCT(J100:J116,$AI$100:$AI$116)</f>
        <v>384.7824</v>
      </c>
      <c r="K117" s="46" t="n">
        <f aca="false">SUMPRODUCT(K100:K116,$AI$100:$AI$116)</f>
        <v>808.899248</v>
      </c>
      <c r="L117" s="46" t="n">
        <f aca="false">SUMPRODUCT(L100:L116,$AI$100:$AI$116)</f>
        <v>414.476464</v>
      </c>
      <c r="M117" s="46" t="n">
        <f aca="false">SUMPRODUCT(M100:M116,$AI$100:$AI$116)</f>
        <v>547.30958</v>
      </c>
      <c r="N117" s="46" t="n">
        <f aca="false">SUMPRODUCT(N100:N116,$AI$100:$AI$116)</f>
        <v>1261.548184</v>
      </c>
      <c r="O117" s="46" t="n">
        <f aca="false">SUMPRODUCT(O100:O116,$AI$100:$AI$116)</f>
        <v>1713.955764</v>
      </c>
      <c r="P117" s="46" t="n">
        <f aca="false">SUMPRODUCT(P100:P116,$AI$100:$AI$116)</f>
        <v>1169.249982</v>
      </c>
      <c r="Q117" s="46" t="n">
        <f aca="false">SUMPRODUCT(Q100:Q116,$AI$100:$AI$116)</f>
        <v>1115.791822</v>
      </c>
      <c r="R117" s="46" t="n">
        <f aca="false">SUMPRODUCT(R100:R116,$AI$100:$AI$116)</f>
        <v>1059.357982</v>
      </c>
      <c r="S117" s="46" t="n">
        <f aca="false">SUMPRODUCT(S100:S116,$AI$100:$AI$116)</f>
        <v>3135.41372</v>
      </c>
      <c r="T117" s="46" t="n">
        <f aca="false">SUMPRODUCT(T100:T116,$AI$100:$AI$116)</f>
        <v>676.7614</v>
      </c>
      <c r="U117" s="46" t="n">
        <f aca="false">SUMPRODUCT(U100:U116,$AI$100:$AI$116)</f>
        <v>47.952</v>
      </c>
      <c r="V117" s="46" t="n">
        <f aca="false">SUMPRODUCT(V100:V116,$AI$100:$AI$116)</f>
        <v>6862.03954</v>
      </c>
      <c r="W117" s="46" t="n">
        <f aca="false">SUMPRODUCT(W100:W116,$AI$100:$AI$116)</f>
        <v>293.09588</v>
      </c>
      <c r="X117" s="46" t="n">
        <f aca="false">SUMPRODUCT(X100:X116,$AI$100:$AI$116)</f>
        <v>0</v>
      </c>
      <c r="Y117" s="46" t="n">
        <f aca="false">SUMPRODUCT(Y100:Y116,$AI$100:$AI$116)</f>
        <v>242.481</v>
      </c>
      <c r="Z117" s="46" t="n">
        <f aca="false">SUMPRODUCT(Z100:Z116,$AI$100:$AI$116)</f>
        <v>433.3292</v>
      </c>
      <c r="AA117" s="46" t="n">
        <f aca="false">SUMPRODUCT(AA100:AA116,$AI$100:$AI$116)</f>
        <v>167.29162</v>
      </c>
      <c r="AB117" s="46" t="n">
        <f aca="false">SUMPRODUCT(AB100:AB116,$AI$100:$AI$116)</f>
        <v>0</v>
      </c>
      <c r="AC117" s="46" t="n">
        <f aca="false">SUMPRODUCT(AC100:AC116,$AI$100:$AI$116)</f>
        <v>492.366</v>
      </c>
      <c r="AD117" s="46" t="n">
        <f aca="false">SUMPRODUCT(AD100:AD116,$AI$100:$AI$116)</f>
        <v>305.020756</v>
      </c>
      <c r="AE117" s="46" t="n">
        <f aca="false">SUMPRODUCT(AE100:AE116,$AI$100:$AI$116)</f>
        <v>305.020756</v>
      </c>
      <c r="AF117" s="46" t="n">
        <f aca="false">SUMPRODUCT(AF100:AF116,$AI$100:$AI$116)</f>
        <v>73.55928</v>
      </c>
      <c r="AG117" s="46" t="n">
        <f aca="false">SUMPRODUCT(AG100:AG116,$AI$100:$AI$116)</f>
        <v>99.78262</v>
      </c>
      <c r="AH117" s="45"/>
      <c r="AI117" s="18" t="s">
        <v>36</v>
      </c>
      <c r="AJ117" s="47" t="n">
        <f aca="false">SUMPRODUCT(AH100:AH116,AI100:AI116)</f>
        <v>29589.48803</v>
      </c>
      <c r="AK117" s="45"/>
      <c r="AL117" s="18" t="s">
        <v>36</v>
      </c>
      <c r="AM117" s="47" t="n">
        <f aca="false">SUMPRODUCT(AK100:AK116,AL100:AL116)</f>
        <v>6309.342728</v>
      </c>
      <c r="AN117" s="45"/>
      <c r="AO117" s="18" t="s">
        <v>36</v>
      </c>
      <c r="AP117" s="47" t="n">
        <f aca="false">SUMPRODUCT(AN100:AN116,AO100:AO116)</f>
        <v>22496.76189</v>
      </c>
      <c r="AQ117" s="45"/>
      <c r="AR117" s="18" t="s">
        <v>36</v>
      </c>
      <c r="AS117" s="47" t="n">
        <f aca="false">SUMPRODUCT(AQ100:AQ116,AR100:AR116)</f>
        <v>783.383412</v>
      </c>
    </row>
    <row r="118" customFormat="false" ht="23.85" hidden="false" customHeight="false" outlineLevel="0" collapsed="false">
      <c r="A118" s="4" t="s">
        <v>190</v>
      </c>
      <c r="B118" s="48" t="n">
        <f aca="false">B117*$AK$2</f>
        <v>847.98362848</v>
      </c>
      <c r="C118" s="48" t="n">
        <f aca="false">C117*$AK$2</f>
        <v>669.82831604</v>
      </c>
      <c r="D118" s="48" t="n">
        <f aca="false">D117*$AK$2</f>
        <v>663.152616</v>
      </c>
      <c r="E118" s="48" t="n">
        <f aca="false">E117*$AK$2</f>
        <v>1277.93653898</v>
      </c>
      <c r="F118" s="48" t="n">
        <f aca="false">F117*$AK$2</f>
        <v>1143.23508</v>
      </c>
      <c r="G118" s="48" t="n">
        <f aca="false">G117*$AK$2</f>
        <v>1344.16484382</v>
      </c>
      <c r="H118" s="48" t="n">
        <f aca="false">H117*$AK$2</f>
        <v>1120.446648</v>
      </c>
      <c r="I118" s="48" t="n">
        <f aca="false">I117*$AK$2</f>
        <v>1471.85535892</v>
      </c>
      <c r="J118" s="48" t="n">
        <f aca="false">J117*$AK$2</f>
        <v>411.717168</v>
      </c>
      <c r="K118" s="48" t="n">
        <f aca="false">K117*$AK$2</f>
        <v>865.52219536</v>
      </c>
      <c r="L118" s="48" t="n">
        <f aca="false">L117*$AK$2</f>
        <v>443.48981648</v>
      </c>
      <c r="M118" s="48" t="n">
        <f aca="false">M117*$AK$2</f>
        <v>585.6212506</v>
      </c>
      <c r="N118" s="48" t="n">
        <f aca="false">N117*$AK$2</f>
        <v>1349.85655688</v>
      </c>
      <c r="O118" s="48" t="n">
        <f aca="false">O117*$AK$2</f>
        <v>1833.93266748</v>
      </c>
      <c r="P118" s="48" t="n">
        <f aca="false">P117*$AK$2</f>
        <v>1251.09748074</v>
      </c>
      <c r="Q118" s="48" t="n">
        <f aca="false">Q117*$AK$2</f>
        <v>1193.89724954</v>
      </c>
      <c r="R118" s="48" t="n">
        <f aca="false">R117*$AK$2</f>
        <v>1133.51304074</v>
      </c>
      <c r="S118" s="48" t="n">
        <f aca="false">S117*$AK$2</f>
        <v>3354.8926804</v>
      </c>
      <c r="T118" s="48" t="n">
        <f aca="false">T117*$AK$2</f>
        <v>724.134698</v>
      </c>
      <c r="U118" s="48" t="n">
        <f aca="false">U117*$AK$2</f>
        <v>51.30864</v>
      </c>
      <c r="V118" s="48" t="n">
        <f aca="false">V117*$AK$2</f>
        <v>7342.3823078</v>
      </c>
      <c r="W118" s="48" t="n">
        <f aca="false">W117*$AK$2</f>
        <v>313.6125916</v>
      </c>
      <c r="X118" s="48" t="n">
        <f aca="false">X117*$AK$2</f>
        <v>0</v>
      </c>
      <c r="Y118" s="48" t="n">
        <f aca="false">Y117*$AK$2</f>
        <v>259.45467</v>
      </c>
      <c r="Z118" s="48" t="n">
        <f aca="false">Z117*$AK$2</f>
        <v>463.662244</v>
      </c>
      <c r="AA118" s="48" t="n">
        <f aca="false">AA117*$AK$2</f>
        <v>179.0020334</v>
      </c>
      <c r="AB118" s="48" t="n">
        <f aca="false">AB117*$AK$2</f>
        <v>0</v>
      </c>
      <c r="AC118" s="48" t="n">
        <f aca="false">AC117*$AK$2</f>
        <v>526.83162</v>
      </c>
      <c r="AD118" s="48" t="n">
        <f aca="false">AD117*$AK$2</f>
        <v>326.37220892</v>
      </c>
      <c r="AE118" s="48" t="n">
        <f aca="false">AE117*$AK$2</f>
        <v>326.37220892</v>
      </c>
      <c r="AF118" s="48" t="n">
        <f aca="false">AF117*$AK$2</f>
        <v>78.7084296</v>
      </c>
      <c r="AG118" s="48" t="n">
        <f aca="false">AG117*$AK$2</f>
        <v>106.7674034</v>
      </c>
      <c r="AH118" s="4"/>
      <c r="AI118" s="5" t="s">
        <v>191</v>
      </c>
      <c r="AJ118" s="49" t="n">
        <f aca="false">SUM(AJ100:AJ116)</f>
        <v>31660.7521921</v>
      </c>
      <c r="AK118" s="4"/>
      <c r="AL118" s="5" t="s">
        <v>191</v>
      </c>
      <c r="AM118" s="49" t="n">
        <f aca="false">SUM(AM100:AM116)</f>
        <v>6750.99671896</v>
      </c>
      <c r="AN118" s="4"/>
      <c r="AO118" s="5" t="s">
        <v>191</v>
      </c>
      <c r="AP118" s="49" t="n">
        <f aca="false">SUM(AP100:AP116)</f>
        <v>24071.5352223</v>
      </c>
      <c r="AQ118" s="4"/>
      <c r="AR118" s="5" t="s">
        <v>191</v>
      </c>
      <c r="AS118" s="49" t="n">
        <f aca="false">SUM(AS100:AS116)</f>
        <v>838.22025084</v>
      </c>
    </row>
    <row r="119" customFormat="false" ht="15" hidden="false" customHeight="false" outlineLevel="0" collapsed="false">
      <c r="AI119" s="5" t="s">
        <v>192</v>
      </c>
      <c r="AJ119" s="50" t="n">
        <f aca="false">AJ118/1000</f>
        <v>31.6607521921</v>
      </c>
      <c r="AL119" s="5" t="s">
        <v>192</v>
      </c>
      <c r="AM119" s="50" t="n">
        <f aca="false">AM118/1000</f>
        <v>6.75099671896</v>
      </c>
      <c r="AO119" s="5" t="s">
        <v>192</v>
      </c>
      <c r="AP119" s="50" t="n">
        <f aca="false">AP118/1000</f>
        <v>24.0715352223</v>
      </c>
      <c r="AR119" s="5" t="s">
        <v>192</v>
      </c>
      <c r="AS119" s="50" t="n">
        <f aca="false">AS118/1000</f>
        <v>0.83822025084</v>
      </c>
    </row>
    <row r="120" customFormat="false" ht="23.85" hidden="false" customHeight="false" outlineLevel="0" collapsed="false">
      <c r="A120" s="20" t="s">
        <v>228</v>
      </c>
      <c r="AJ120" s="21" t="n">
        <f aca="false">ROUND(AJ117-Ведомость!P2056,1)</f>
        <v>0</v>
      </c>
      <c r="AK120" s="35" t="s">
        <v>40</v>
      </c>
    </row>
    <row r="122" customFormat="false" ht="15" hidden="false" customHeight="false" outlineLevel="0" collapsed="false">
      <c r="A122" s="4" t="s">
        <v>194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</row>
    <row r="123" customFormat="false" ht="15" hidden="false" customHeight="false" outlineLevel="0" collapsed="false">
      <c r="A123" s="6" t="s">
        <v>195</v>
      </c>
      <c r="B123" s="44" t="n">
        <f aca="false">(0.6*0.6+2*0.7*0.4+1.7*0.4)*(3.6-0.12)</f>
        <v>5.568</v>
      </c>
      <c r="C123" s="44" t="n">
        <f aca="false">(0.6*0.6+0.7*0.4+1.7*0.4)*(3.6-0.12)</f>
        <v>4.5936</v>
      </c>
      <c r="D123" s="44" t="n">
        <f aca="false">3*0.6*0.6*(3.6-0.12)</f>
        <v>3.7584</v>
      </c>
      <c r="E123" s="44" t="n">
        <f aca="false">1*0.45*(0.63-0.12)*20.5</f>
        <v>4.70475</v>
      </c>
      <c r="F123" s="44" t="n">
        <f aca="false">5*0.6*0.6*(3.6-0.12)</f>
        <v>6.264</v>
      </c>
      <c r="G123" s="44" t="n">
        <f aca="false">1*0.45*(0.63-0.12)*22.6</f>
        <v>5.1867</v>
      </c>
      <c r="H123" s="44" t="n">
        <f aca="false">5*0.6*0.6*(3.6-0.12)</f>
        <v>6.264</v>
      </c>
      <c r="I123" s="44" t="n">
        <f aca="false">1*0.45*(0.63-0.12)*22.6</f>
        <v>5.1867</v>
      </c>
      <c r="J123" s="44" t="n">
        <f aca="false">2*0.6*0.6*(3.6-0.12)</f>
        <v>2.5056</v>
      </c>
      <c r="K123" s="44" t="n">
        <f aca="false">(0.6*0.6+2*0.7*0.4+0.9*0.4)*(3.6-0.12)</f>
        <v>4.4544</v>
      </c>
      <c r="L123" s="44" t="n">
        <f aca="false">(0.6*0.6+0.9*0.4)*(3.6-0.12)</f>
        <v>2.5056</v>
      </c>
      <c r="M123" s="44" t="n">
        <f aca="false">(0.6*0.6+0.7*0.4+0.9*0.4)*(3.6-0.12)</f>
        <v>3.48</v>
      </c>
      <c r="N123" s="44" t="n">
        <f aca="false">1*0.45*(0.63-0.12)*19.8</f>
        <v>4.5441</v>
      </c>
      <c r="O123" s="44" t="n">
        <f aca="false">2*0.45*(0.6-0.12)*18.2</f>
        <v>7.8624</v>
      </c>
      <c r="P123" s="44" t="n">
        <f aca="false">1*0.45*(0.6-0.12)*15.8</f>
        <v>3.4128</v>
      </c>
      <c r="Q123" s="44" t="n">
        <f aca="false">1*0.45*(0.6-0.12)*18.2</f>
        <v>3.9312</v>
      </c>
      <c r="R123" s="44" t="n">
        <f aca="false">1*0.45*(0.6-0.12)*15.8</f>
        <v>3.4128</v>
      </c>
      <c r="S123" s="44" t="n">
        <f aca="false">137.85*0.3*(0.3-0.12)+6.05*0.3*(0.4-0.12)+(11.71+3.08+2.885)*0.2*(0.3-0.12)+35.75*0.25*(0.3-0.12)</f>
        <v>10.19715</v>
      </c>
      <c r="T123" s="44"/>
      <c r="U123" s="44"/>
      <c r="V123" s="44" t="n">
        <f aca="false">541.54*0.12</f>
        <v>64.9848</v>
      </c>
      <c r="W123" s="44"/>
      <c r="X123" s="44"/>
      <c r="Y123" s="44"/>
      <c r="Z123" s="44"/>
      <c r="AA123" s="44"/>
      <c r="AB123" s="44"/>
      <c r="AC123" s="44"/>
      <c r="AD123" s="44" t="n">
        <f aca="false">SQRT(3.3^2+1.8^2)*1.25*0.15+12*0.3*0.15/2*1.25</f>
        <v>1.04231047984547</v>
      </c>
      <c r="AE123" s="44" t="n">
        <f aca="false">SQRT(3.3^2+1.8^2)*1.25*0.15+12*0.3*0.15/2*1.25</f>
        <v>1.04231047984547</v>
      </c>
      <c r="AF123" s="44" t="n">
        <f aca="false">1.4*2.89*0.15</f>
        <v>0.6069</v>
      </c>
      <c r="AG123" s="44" t="n">
        <f aca="false">0.3*0.3*(1.7-0.3+0.55)+0.3*0.3*2.255</f>
        <v>0.37845</v>
      </c>
      <c r="AH123" s="51" t="n">
        <f aca="false">SUM(B123:AG123)</f>
        <v>155.886970959691</v>
      </c>
      <c r="AI123" s="20"/>
      <c r="AJ123" s="51" t="n">
        <f aca="false">AH123*$AL$2</f>
        <v>155.886970959691</v>
      </c>
      <c r="AK123" s="52" t="n">
        <f aca="false">SUM(B123:D123,F123,H123,J123:M123)</f>
        <v>39.3936</v>
      </c>
      <c r="AL123" s="6"/>
      <c r="AM123" s="24" t="n">
        <f aca="false">AK123*$AL$2</f>
        <v>39.3936</v>
      </c>
      <c r="AN123" s="52" t="n">
        <f aca="false">SUM(E123,G123,I123,N123:AC123)</f>
        <v>113.4234</v>
      </c>
      <c r="AO123" s="6"/>
      <c r="AP123" s="24" t="n">
        <f aca="false">AN123*$AL$2</f>
        <v>113.4234</v>
      </c>
      <c r="AQ123" s="52" t="n">
        <f aca="false">SUM(AD123:AG123)</f>
        <v>3.06997095969094</v>
      </c>
      <c r="AR123" s="6"/>
      <c r="AS123" s="24" t="n">
        <f aca="false">AQ123*$AL$2</f>
        <v>3.06997095969094</v>
      </c>
    </row>
    <row r="124" customFormat="false" ht="15" hidden="false" customHeight="false" outlineLevel="0" collapsed="false">
      <c r="A124" s="20" t="s">
        <v>196</v>
      </c>
      <c r="AJ124" s="53" t="n">
        <f aca="false">IF(AH123&gt;0,AJ117/AH123,0)</f>
        <v>189.813733937079</v>
      </c>
      <c r="AM124" s="54" t="n">
        <f aca="false">IF(AK123&gt;0,AM117/AK123,0)</f>
        <v>160.161618333943</v>
      </c>
      <c r="AP124" s="54" t="n">
        <f aca="false">IF(AN123&gt;0,AP117/AN123,0)</f>
        <v>198.343215685652</v>
      </c>
      <c r="AS124" s="54" t="n">
        <f aca="false">IF(AQ123&gt;0,AS117/AQ123,0)</f>
        <v>255.176163646468</v>
      </c>
    </row>
    <row r="126" customFormat="false" ht="15" hidden="false" customHeight="false" outlineLevel="0" collapsed="false">
      <c r="A126" s="4" t="s">
        <v>197</v>
      </c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</row>
    <row r="127" customFormat="false" ht="15" hidden="false" customHeight="false" outlineLevel="0" collapsed="false">
      <c r="A127" s="6" t="s">
        <v>198</v>
      </c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  <c r="AB127" s="55"/>
      <c r="AC127" s="55"/>
      <c r="AD127" s="55"/>
      <c r="AE127" s="55"/>
      <c r="AF127" s="55"/>
      <c r="AG127" s="55"/>
      <c r="AH127" s="56" t="n">
        <f aca="false">SUM(B127:AG127)</f>
        <v>0</v>
      </c>
      <c r="AK127" s="57" t="n">
        <f aca="false">SUM(B127:D127,F127,H127,J127:M127)</f>
        <v>0</v>
      </c>
      <c r="AN127" s="57" t="n">
        <f aca="false">SUM(E127,G127,I127,N127:AC127)</f>
        <v>0</v>
      </c>
      <c r="AQ127" s="57" t="n">
        <f aca="false">SUM(AD127:AG127)</f>
        <v>0</v>
      </c>
    </row>
    <row r="128" customFormat="false" ht="15" hidden="false" customHeight="false" outlineLevel="0" collapsed="false">
      <c r="A128" s="6" t="s">
        <v>199</v>
      </c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  <c r="AB128" s="55"/>
      <c r="AC128" s="55"/>
      <c r="AD128" s="55"/>
      <c r="AE128" s="55"/>
      <c r="AF128" s="55"/>
      <c r="AG128" s="55"/>
      <c r="AH128" s="56" t="n">
        <f aca="false">SUM(B128:AG128)</f>
        <v>0</v>
      </c>
      <c r="AK128" s="57" t="n">
        <f aca="false">SUM(B128:D128,F128,H128,J128:M128)</f>
        <v>0</v>
      </c>
      <c r="AN128" s="57" t="n">
        <f aca="false">SUM(E128,G128,I128,N128:AC128)</f>
        <v>0</v>
      </c>
      <c r="AQ128" s="57" t="n">
        <f aca="false">SUM(AD128:AG128)</f>
        <v>0</v>
      </c>
    </row>
    <row r="129" customFormat="false" ht="15" hidden="false" customHeight="false" outlineLevel="0" collapsed="false">
      <c r="A129" s="6" t="s">
        <v>200</v>
      </c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  <c r="AE129" s="55"/>
      <c r="AF129" s="55"/>
      <c r="AG129" s="55"/>
      <c r="AH129" s="56" t="n">
        <f aca="false">SUM(B129:AG129)</f>
        <v>0</v>
      </c>
      <c r="AK129" s="57" t="n">
        <f aca="false">SUM(B129:D129,F129,H129,J129:M129)</f>
        <v>0</v>
      </c>
      <c r="AN129" s="57" t="n">
        <f aca="false">SUM(E129,G129,I129,N129:AC129)</f>
        <v>0</v>
      </c>
      <c r="AQ129" s="57" t="n">
        <f aca="false">SUM(AD129:AG129)</f>
        <v>0</v>
      </c>
    </row>
    <row r="130" customFormat="false" ht="15" hidden="false" customHeight="false" outlineLevel="0" collapsed="false">
      <c r="A130" s="6" t="s">
        <v>201</v>
      </c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 t="n">
        <v>16</v>
      </c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  <c r="AE130" s="55"/>
      <c r="AF130" s="55"/>
      <c r="AG130" s="55"/>
      <c r="AH130" s="56" t="n">
        <f aca="false">SUM(B130:AG130)</f>
        <v>16</v>
      </c>
      <c r="AK130" s="57" t="n">
        <f aca="false">SUM(B130:D130,F130,H130,J130:M130)</f>
        <v>0</v>
      </c>
      <c r="AN130" s="57" t="n">
        <f aca="false">SUM(E130,G130,I130,N130:AC130)</f>
        <v>16</v>
      </c>
      <c r="AQ130" s="57" t="n">
        <f aca="false">SUM(AD130:AG130)</f>
        <v>0</v>
      </c>
    </row>
    <row r="131" customFormat="false" ht="15" hidden="false" customHeight="false" outlineLevel="0" collapsed="false">
      <c r="A131" s="6" t="s">
        <v>202</v>
      </c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 t="n">
        <v>2</v>
      </c>
      <c r="O131" s="55"/>
      <c r="P131" s="55"/>
      <c r="Q131" s="55"/>
      <c r="R131" s="55"/>
      <c r="S131" s="55" t="n">
        <v>36</v>
      </c>
      <c r="T131" s="55"/>
      <c r="U131" s="55"/>
      <c r="V131" s="55"/>
      <c r="W131" s="55"/>
      <c r="X131" s="55"/>
      <c r="Y131" s="55"/>
      <c r="Z131" s="55"/>
      <c r="AA131" s="55"/>
      <c r="AB131" s="55"/>
      <c r="AC131" s="55"/>
      <c r="AD131" s="55"/>
      <c r="AE131" s="55"/>
      <c r="AF131" s="55"/>
      <c r="AG131" s="55"/>
      <c r="AH131" s="56" t="n">
        <f aca="false">SUM(B131:AG131)</f>
        <v>38</v>
      </c>
      <c r="AK131" s="57" t="n">
        <f aca="false">SUM(B131:D131,F131,H131,J131:M131)</f>
        <v>0</v>
      </c>
      <c r="AN131" s="57" t="n">
        <f aca="false">SUM(E131,G131,I131,N131:AC131)</f>
        <v>38</v>
      </c>
      <c r="AQ131" s="57" t="n">
        <f aca="false">SUM(AD131:AG131)</f>
        <v>0</v>
      </c>
    </row>
    <row r="132" customFormat="false" ht="15" hidden="false" customHeight="false" outlineLevel="0" collapsed="false">
      <c r="A132" s="6" t="s">
        <v>203</v>
      </c>
      <c r="B132" s="55"/>
      <c r="C132" s="55"/>
      <c r="D132" s="55"/>
      <c r="E132" s="55"/>
      <c r="F132" s="55"/>
      <c r="G132" s="55" t="n">
        <v>4</v>
      </c>
      <c r="H132" s="55"/>
      <c r="I132" s="55" t="n">
        <v>2</v>
      </c>
      <c r="J132" s="55"/>
      <c r="K132" s="55"/>
      <c r="L132" s="55"/>
      <c r="M132" s="55"/>
      <c r="N132" s="55" t="n">
        <v>4</v>
      </c>
      <c r="O132" s="55" t="n">
        <v>4</v>
      </c>
      <c r="P132" s="55"/>
      <c r="Q132" s="55"/>
      <c r="R132" s="55"/>
      <c r="S132" s="55" t="n">
        <v>72</v>
      </c>
      <c r="T132" s="55"/>
      <c r="U132" s="55"/>
      <c r="V132" s="55"/>
      <c r="W132" s="55"/>
      <c r="X132" s="55"/>
      <c r="Y132" s="55"/>
      <c r="Z132" s="55"/>
      <c r="AA132" s="55"/>
      <c r="AB132" s="55"/>
      <c r="AC132" s="55"/>
      <c r="AD132" s="55"/>
      <c r="AE132" s="55"/>
      <c r="AF132" s="55"/>
      <c r="AG132" s="55" t="n">
        <v>16</v>
      </c>
      <c r="AH132" s="56" t="n">
        <f aca="false">SUM(B132:AG132)</f>
        <v>102</v>
      </c>
      <c r="AK132" s="57" t="n">
        <f aca="false">SUM(B132:D132,F132,H132,J132:M132)</f>
        <v>0</v>
      </c>
      <c r="AN132" s="57" t="n">
        <f aca="false">SUM(E132,G132,I132,N132:AC132)</f>
        <v>86</v>
      </c>
      <c r="AQ132" s="57" t="n">
        <f aca="false">SUM(AD132:AG132)</f>
        <v>16</v>
      </c>
    </row>
    <row r="133" customFormat="false" ht="15" hidden="false" customHeight="false" outlineLevel="0" collapsed="false">
      <c r="A133" s="6" t="s">
        <v>204</v>
      </c>
      <c r="B133" s="55"/>
      <c r="C133" s="55"/>
      <c r="D133" s="55"/>
      <c r="E133" s="55" t="n">
        <v>12</v>
      </c>
      <c r="F133" s="55"/>
      <c r="G133" s="55" t="n">
        <v>8</v>
      </c>
      <c r="H133" s="55"/>
      <c r="I133" s="55" t="n">
        <v>10</v>
      </c>
      <c r="J133" s="55"/>
      <c r="K133" s="55"/>
      <c r="L133" s="55"/>
      <c r="M133" s="55"/>
      <c r="N133" s="55" t="n">
        <v>8</v>
      </c>
      <c r="O133" s="55" t="n">
        <v>20</v>
      </c>
      <c r="P133" s="55" t="n">
        <v>8</v>
      </c>
      <c r="Q133" s="55" t="n">
        <v>10</v>
      </c>
      <c r="R133" s="55" t="n">
        <v>8</v>
      </c>
      <c r="S133" s="55"/>
      <c r="T133" s="55"/>
      <c r="U133" s="55"/>
      <c r="V133" s="55"/>
      <c r="W133" s="55"/>
      <c r="X133" s="55"/>
      <c r="Y133" s="55"/>
      <c r="Z133" s="55"/>
      <c r="AA133" s="55"/>
      <c r="AB133" s="55"/>
      <c r="AC133" s="55"/>
      <c r="AD133" s="55"/>
      <c r="AE133" s="55"/>
      <c r="AF133" s="55"/>
      <c r="AG133" s="55"/>
      <c r="AH133" s="56" t="n">
        <f aca="false">SUM(B133:AG133)</f>
        <v>84</v>
      </c>
      <c r="AK133" s="57" t="n">
        <f aca="false">SUM(B133:D133,F133,H133,J133:M133)</f>
        <v>0</v>
      </c>
      <c r="AN133" s="57" t="n">
        <f aca="false">SUM(E133,G133,I133,N133:AC133)</f>
        <v>84</v>
      </c>
      <c r="AQ133" s="57" t="n">
        <f aca="false">SUM(AD133:AG133)</f>
        <v>0</v>
      </c>
    </row>
    <row r="134" customFormat="false" ht="15" hidden="false" customHeight="false" outlineLevel="0" collapsed="false">
      <c r="A134" s="6" t="s">
        <v>205</v>
      </c>
      <c r="B134" s="55"/>
      <c r="C134" s="55"/>
      <c r="D134" s="55"/>
      <c r="E134" s="55" t="n">
        <v>2</v>
      </c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 t="n">
        <v>2</v>
      </c>
      <c r="Q134" s="55" t="n">
        <v>2</v>
      </c>
      <c r="R134" s="55" t="n">
        <v>2</v>
      </c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  <c r="AF134" s="55"/>
      <c r="AG134" s="55"/>
      <c r="AH134" s="56" t="n">
        <f aca="false">SUM(B134:AG134)</f>
        <v>8</v>
      </c>
      <c r="AK134" s="57" t="n">
        <f aca="false">SUM(B134:D134,F134,H134,J134:M134)</f>
        <v>0</v>
      </c>
      <c r="AN134" s="57" t="n">
        <f aca="false">SUM(E134,G134,I134,N134:AC134)</f>
        <v>8</v>
      </c>
      <c r="AQ134" s="57" t="n">
        <f aca="false">SUM(AD134:AG134)</f>
        <v>0</v>
      </c>
    </row>
    <row r="135" customFormat="false" ht="15" hidden="false" customHeight="false" outlineLevel="0" collapsed="false">
      <c r="A135" s="6" t="s">
        <v>206</v>
      </c>
      <c r="B135" s="55"/>
      <c r="C135" s="55"/>
      <c r="D135" s="55" t="n">
        <v>8</v>
      </c>
      <c r="E135" s="55"/>
      <c r="F135" s="55" t="n">
        <v>20</v>
      </c>
      <c r="G135" s="55"/>
      <c r="H135" s="55" t="n">
        <v>16</v>
      </c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6" t="n">
        <f aca="false">SUM(B135:AG135)</f>
        <v>44</v>
      </c>
      <c r="AK135" s="57" t="n">
        <f aca="false">SUM(B135:D135,F135,H135,J135:M135)</f>
        <v>44</v>
      </c>
      <c r="AN135" s="57" t="n">
        <f aca="false">SUM(E135,G135,I135,N135:AC135)</f>
        <v>0</v>
      </c>
      <c r="AQ135" s="57" t="n">
        <f aca="false">SUM(AD135:AG135)</f>
        <v>0</v>
      </c>
    </row>
    <row r="136" customFormat="false" ht="15" hidden="false" customHeight="false" outlineLevel="0" collapsed="false">
      <c r="A136" s="6" t="s">
        <v>207</v>
      </c>
      <c r="B136" s="55" t="n">
        <v>4</v>
      </c>
      <c r="C136" s="55" t="n">
        <v>4</v>
      </c>
      <c r="D136" s="55" t="n">
        <v>4</v>
      </c>
      <c r="E136" s="55" t="n">
        <v>8</v>
      </c>
      <c r="F136" s="55"/>
      <c r="G136" s="55" t="n">
        <v>8</v>
      </c>
      <c r="H136" s="55" t="n">
        <v>4</v>
      </c>
      <c r="I136" s="55" t="n">
        <v>8</v>
      </c>
      <c r="J136" s="55" t="n">
        <v>8</v>
      </c>
      <c r="K136" s="55" t="n">
        <v>4</v>
      </c>
      <c r="L136" s="55" t="n">
        <v>4</v>
      </c>
      <c r="M136" s="55" t="n">
        <v>4</v>
      </c>
      <c r="N136" s="55" t="n">
        <v>8</v>
      </c>
      <c r="O136" s="55" t="n">
        <v>8</v>
      </c>
      <c r="P136" s="55" t="n">
        <v>4</v>
      </c>
      <c r="Q136" s="55" t="n">
        <v>4</v>
      </c>
      <c r="R136" s="55" t="n">
        <v>4</v>
      </c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6" t="n">
        <f aca="false">SUM(B136:AG136)</f>
        <v>88</v>
      </c>
      <c r="AK136" s="57" t="n">
        <f aca="false">SUM(B136:D136,F136,H136,J136:M136)</f>
        <v>36</v>
      </c>
      <c r="AN136" s="57" t="n">
        <f aca="false">SUM(E136,G136,I136,N136:AC136)</f>
        <v>52</v>
      </c>
      <c r="AQ136" s="57" t="n">
        <f aca="false">SUM(AD136:AG136)</f>
        <v>0</v>
      </c>
    </row>
    <row r="137" customFormat="false" ht="15" hidden="false" customHeight="false" outlineLevel="0" collapsed="false">
      <c r="A137" s="6" t="s">
        <v>208</v>
      </c>
      <c r="B137" s="55" t="n">
        <v>6</v>
      </c>
      <c r="C137" s="55"/>
      <c r="D137" s="55"/>
      <c r="E137" s="55"/>
      <c r="F137" s="55"/>
      <c r="G137" s="55"/>
      <c r="H137" s="55"/>
      <c r="I137" s="55"/>
      <c r="J137" s="55"/>
      <c r="K137" s="55" t="n">
        <v>18</v>
      </c>
      <c r="L137" s="55" t="n">
        <v>6</v>
      </c>
      <c r="M137" s="55"/>
      <c r="N137" s="55"/>
      <c r="O137" s="55"/>
      <c r="P137" s="55"/>
      <c r="Q137" s="55"/>
      <c r="R137" s="55"/>
      <c r="S137" s="55" t="n">
        <v>40</v>
      </c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6" t="n">
        <f aca="false">SUM(B137:AG137)</f>
        <v>70</v>
      </c>
      <c r="AK137" s="57" t="n">
        <f aca="false">SUM(B137:D137,F137,H137,J137:M137)</f>
        <v>30</v>
      </c>
      <c r="AN137" s="57" t="n">
        <f aca="false">SUM(E137,G137,I137,N137:AC137)</f>
        <v>40</v>
      </c>
      <c r="AQ137" s="57" t="n">
        <f aca="false">SUM(AD137:AG137)</f>
        <v>0</v>
      </c>
    </row>
    <row r="138" customFormat="false" ht="15" hidden="false" customHeight="false" outlineLevel="0" collapsed="false">
      <c r="A138" s="6" t="s">
        <v>209</v>
      </c>
      <c r="B138" s="55" t="n">
        <v>12</v>
      </c>
      <c r="C138" s="55" t="n">
        <v>12</v>
      </c>
      <c r="D138" s="55"/>
      <c r="E138" s="55"/>
      <c r="F138" s="55"/>
      <c r="G138" s="55"/>
      <c r="H138" s="55"/>
      <c r="I138" s="55"/>
      <c r="J138" s="55"/>
      <c r="K138" s="55"/>
      <c r="L138" s="55"/>
      <c r="M138" s="55" t="n">
        <v>12</v>
      </c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6" t="n">
        <f aca="false">SUM(B138:AG138)</f>
        <v>36</v>
      </c>
      <c r="AK138" s="57" t="n">
        <f aca="false">SUM(B138:D138,F138,H138,J138:M138)</f>
        <v>36</v>
      </c>
      <c r="AN138" s="57" t="n">
        <f aca="false">SUM(E138,G138,I138,N138:AC138)</f>
        <v>0</v>
      </c>
      <c r="AQ138" s="57" t="n">
        <f aca="false">SUM(AD138:AG138)</f>
        <v>0</v>
      </c>
    </row>
    <row r="139" customFormat="false" ht="15" hidden="false" customHeight="false" outlineLevel="0" collapsed="false">
      <c r="A139" s="6" t="s">
        <v>210</v>
      </c>
      <c r="B139" s="55" t="n">
        <v>8</v>
      </c>
      <c r="C139" s="55" t="n">
        <v>8</v>
      </c>
      <c r="D139" s="55" t="n">
        <v>24</v>
      </c>
      <c r="E139" s="55"/>
      <c r="F139" s="55" t="n">
        <v>40</v>
      </c>
      <c r="G139" s="55"/>
      <c r="H139" s="55" t="n">
        <v>40</v>
      </c>
      <c r="I139" s="55"/>
      <c r="J139" s="55" t="n">
        <v>16</v>
      </c>
      <c r="K139" s="55" t="n">
        <v>8</v>
      </c>
      <c r="L139" s="55" t="n">
        <v>8</v>
      </c>
      <c r="M139" s="55" t="n">
        <v>8</v>
      </c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6" t="n">
        <f aca="false">SUM(B139:AG139)</f>
        <v>160</v>
      </c>
      <c r="AK139" s="57" t="n">
        <f aca="false">SUM(B139:D139,F139,H139,J139:M139)</f>
        <v>160</v>
      </c>
      <c r="AN139" s="57" t="n">
        <f aca="false">SUM(E139,G139,I139,N139:AC139)</f>
        <v>0</v>
      </c>
      <c r="AQ139" s="57" t="n">
        <f aca="false">SUM(AD139:AG139)</f>
        <v>0</v>
      </c>
    </row>
    <row r="142" customFormat="false" ht="30" hidden="false" customHeight="true" outlineLevel="0" collapsed="false">
      <c r="A142" s="38" t="s">
        <v>229</v>
      </c>
      <c r="B142" s="38" t="s">
        <v>118</v>
      </c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 t="s">
        <v>119</v>
      </c>
      <c r="T142" s="38"/>
      <c r="U142" s="38"/>
      <c r="V142" s="38" t="s">
        <v>120</v>
      </c>
      <c r="W142" s="38"/>
      <c r="X142" s="38"/>
      <c r="Y142" s="38"/>
      <c r="Z142" s="38"/>
      <c r="AA142" s="38"/>
      <c r="AB142" s="38"/>
      <c r="AC142" s="38" t="s">
        <v>121</v>
      </c>
      <c r="AD142" s="38" t="s">
        <v>122</v>
      </c>
      <c r="AE142" s="38"/>
      <c r="AF142" s="38"/>
      <c r="AG142" s="38"/>
      <c r="AH142" s="38"/>
      <c r="AI142" s="38"/>
      <c r="AJ142" s="38"/>
      <c r="AK142" s="38" t="s">
        <v>12</v>
      </c>
      <c r="AL142" s="38"/>
      <c r="AM142" s="38"/>
      <c r="AN142" s="38" t="s">
        <v>123</v>
      </c>
      <c r="AO142" s="38"/>
      <c r="AP142" s="38"/>
      <c r="AQ142" s="38" t="s">
        <v>124</v>
      </c>
      <c r="AR142" s="38"/>
      <c r="AS142" s="38"/>
    </row>
    <row r="143" customFormat="false" ht="30" hidden="false" customHeight="true" outlineLevel="0" collapsed="false">
      <c r="A143" s="5" t="s">
        <v>230</v>
      </c>
      <c r="B143" s="5" t="s">
        <v>126</v>
      </c>
      <c r="C143" s="5" t="s">
        <v>126</v>
      </c>
      <c r="D143" s="5" t="s">
        <v>126</v>
      </c>
      <c r="E143" s="5" t="s">
        <v>126</v>
      </c>
      <c r="F143" s="5" t="s">
        <v>127</v>
      </c>
      <c r="G143" s="5" t="s">
        <v>127</v>
      </c>
      <c r="H143" s="5" t="s">
        <v>128</v>
      </c>
      <c r="I143" s="5" t="s">
        <v>128</v>
      </c>
      <c r="J143" s="5" t="s">
        <v>129</v>
      </c>
      <c r="K143" s="5" t="s">
        <v>129</v>
      </c>
      <c r="L143" s="5" t="s">
        <v>129</v>
      </c>
      <c r="M143" s="5" t="s">
        <v>129</v>
      </c>
      <c r="N143" s="5" t="s">
        <v>129</v>
      </c>
      <c r="O143" s="5" t="s">
        <v>130</v>
      </c>
      <c r="P143" s="5" t="s">
        <v>131</v>
      </c>
      <c r="Q143" s="5" t="s">
        <v>132</v>
      </c>
      <c r="R143" s="5" t="s">
        <v>133</v>
      </c>
      <c r="S143" s="5" t="s">
        <v>134</v>
      </c>
      <c r="T143" s="5" t="s">
        <v>135</v>
      </c>
      <c r="U143" s="5" t="s">
        <v>136</v>
      </c>
      <c r="V143" s="5" t="s">
        <v>134</v>
      </c>
      <c r="W143" s="5" t="s">
        <v>135</v>
      </c>
      <c r="X143" s="5" t="s">
        <v>137</v>
      </c>
      <c r="Y143" s="5" t="s">
        <v>136</v>
      </c>
      <c r="Z143" s="5"/>
      <c r="AA143" s="5" t="s">
        <v>138</v>
      </c>
      <c r="AB143" s="5" t="s">
        <v>139</v>
      </c>
      <c r="AC143" s="5" t="s">
        <v>140</v>
      </c>
      <c r="AD143" s="5" t="s">
        <v>141</v>
      </c>
      <c r="AE143" s="5" t="s">
        <v>142</v>
      </c>
      <c r="AF143" s="5" t="s">
        <v>143</v>
      </c>
      <c r="AG143" s="5" t="s">
        <v>144</v>
      </c>
      <c r="AH143" s="5" t="s">
        <v>36</v>
      </c>
      <c r="AI143" s="5" t="s">
        <v>145</v>
      </c>
      <c r="AJ143" s="5" t="s">
        <v>146</v>
      </c>
      <c r="AK143" s="5" t="s">
        <v>36</v>
      </c>
      <c r="AL143" s="5" t="s">
        <v>145</v>
      </c>
      <c r="AM143" s="5" t="s">
        <v>146</v>
      </c>
      <c r="AN143" s="5" t="s">
        <v>36</v>
      </c>
      <c r="AO143" s="5" t="s">
        <v>145</v>
      </c>
      <c r="AP143" s="5" t="s">
        <v>146</v>
      </c>
      <c r="AQ143" s="5" t="s">
        <v>36</v>
      </c>
      <c r="AR143" s="5" t="s">
        <v>145</v>
      </c>
      <c r="AS143" s="5" t="s">
        <v>146</v>
      </c>
    </row>
    <row r="144" customFormat="false" ht="30" hidden="false" customHeight="true" outlineLevel="0" collapsed="false">
      <c r="A144" s="5" t="s">
        <v>231</v>
      </c>
      <c r="B144" s="5" t="s">
        <v>148</v>
      </c>
      <c r="C144" s="5" t="s">
        <v>149</v>
      </c>
      <c r="D144" s="5" t="s">
        <v>214</v>
      </c>
      <c r="E144" s="5" t="s">
        <v>151</v>
      </c>
      <c r="F144" s="5" t="s">
        <v>152</v>
      </c>
      <c r="G144" s="5" t="s">
        <v>151</v>
      </c>
      <c r="H144" s="5" t="s">
        <v>215</v>
      </c>
      <c r="I144" s="5" t="s">
        <v>151</v>
      </c>
      <c r="J144" s="5" t="s">
        <v>216</v>
      </c>
      <c r="K144" s="5" t="s">
        <v>154</v>
      </c>
      <c r="L144" s="5" t="s">
        <v>155</v>
      </c>
      <c r="M144" s="5" t="s">
        <v>156</v>
      </c>
      <c r="N144" s="5" t="s">
        <v>151</v>
      </c>
      <c r="O144" s="5" t="s">
        <v>157</v>
      </c>
      <c r="P144" s="5" t="s">
        <v>158</v>
      </c>
      <c r="Q144" s="5" t="s">
        <v>158</v>
      </c>
      <c r="R144" s="5" t="s">
        <v>158</v>
      </c>
      <c r="S144" s="5"/>
      <c r="T144" s="5"/>
      <c r="U144" s="5" t="s">
        <v>159</v>
      </c>
      <c r="V144" s="5"/>
      <c r="W144" s="5" t="s">
        <v>160</v>
      </c>
      <c r="X144" s="5"/>
      <c r="Y144" s="5" t="s">
        <v>161</v>
      </c>
      <c r="Z144" s="5" t="s">
        <v>162</v>
      </c>
      <c r="AA144" s="5" t="s">
        <v>163</v>
      </c>
      <c r="AB144" s="5" t="s">
        <v>164</v>
      </c>
      <c r="AC144" s="5" t="s">
        <v>165</v>
      </c>
      <c r="AD144" s="5" t="s">
        <v>232</v>
      </c>
      <c r="AE144" s="5" t="s">
        <v>233</v>
      </c>
      <c r="AF144" s="5" t="s">
        <v>234</v>
      </c>
      <c r="AG144" s="5" t="s">
        <v>220</v>
      </c>
      <c r="AH144" s="5" t="s">
        <v>170</v>
      </c>
      <c r="AI144" s="5"/>
      <c r="AJ144" s="5" t="s">
        <v>19</v>
      </c>
      <c r="AK144" s="5" t="s">
        <v>170</v>
      </c>
      <c r="AL144" s="5"/>
      <c r="AM144" s="5" t="s">
        <v>19</v>
      </c>
      <c r="AN144" s="5" t="s">
        <v>170</v>
      </c>
      <c r="AO144" s="5"/>
      <c r="AP144" s="5" t="s">
        <v>19</v>
      </c>
      <c r="AQ144" s="5" t="s">
        <v>170</v>
      </c>
      <c r="AR144" s="5"/>
      <c r="AS144" s="5" t="s">
        <v>19</v>
      </c>
    </row>
    <row r="145" customFormat="false" ht="15" hidden="false" customHeight="false" outlineLevel="0" collapsed="false">
      <c r="A145" s="4" t="s">
        <v>171</v>
      </c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</row>
    <row r="146" customFormat="false" ht="15" hidden="false" customHeight="false" outlineLevel="0" collapsed="false">
      <c r="A146" s="6" t="s">
        <v>172</v>
      </c>
      <c r="B146" s="39"/>
      <c r="C146" s="39"/>
      <c r="D146" s="39" t="n">
        <f aca="false">2*4*3.6</f>
        <v>28.8</v>
      </c>
      <c r="E146" s="39"/>
      <c r="F146" s="39" t="n">
        <f aca="false">5*4*3.6</f>
        <v>72</v>
      </c>
      <c r="G146" s="39"/>
      <c r="H146" s="39" t="n">
        <f aca="false">4*4*3.6</f>
        <v>57.6</v>
      </c>
      <c r="I146" s="39" t="n">
        <f aca="false">2*3.7</f>
        <v>7.4</v>
      </c>
      <c r="J146" s="39"/>
      <c r="K146" s="39"/>
      <c r="L146" s="39"/>
      <c r="M146" s="39"/>
      <c r="N146" s="39" t="n">
        <f aca="false">2*5.5</f>
        <v>11</v>
      </c>
      <c r="O146" s="39"/>
      <c r="P146" s="39" t="n">
        <f aca="false">2*7.5+2*3.6+2*2.85</f>
        <v>27.9</v>
      </c>
      <c r="Q146" s="39" t="n">
        <f aca="false">2*2.05</f>
        <v>4.1</v>
      </c>
      <c r="R146" s="39" t="n">
        <f aca="false">2*2.4</f>
        <v>4.8</v>
      </c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40" t="n">
        <f aca="false">SUM(B146:AG146)</f>
        <v>213.6</v>
      </c>
      <c r="AI146" s="41" t="n">
        <f aca="false">IFERROR(INDEX(Исходные!$B$21:$B$33,MATCH(32,Исходные!$A$21:$A$33,0)),0)</f>
        <v>6.313</v>
      </c>
      <c r="AJ146" s="40" t="n">
        <f aca="false">AH146*AI146*$AK$2</f>
        <v>1442.848776</v>
      </c>
      <c r="AK146" s="42" t="n">
        <f aca="false">SUM(B146:D146,F146,H146,J146:M146)</f>
        <v>158.4</v>
      </c>
      <c r="AL146" s="43" t="n">
        <f aca="false">AI146</f>
        <v>6.313</v>
      </c>
      <c r="AM146" s="28" t="n">
        <f aca="false">AK146*AL146*$AK$2</f>
        <v>1069.977744</v>
      </c>
      <c r="AN146" s="42" t="n">
        <f aca="false">SUM(E146,G146,I146,N146:AC146)</f>
        <v>55.2</v>
      </c>
      <c r="AO146" s="43" t="n">
        <f aca="false">AI146</f>
        <v>6.313</v>
      </c>
      <c r="AP146" s="28" t="n">
        <f aca="false">AN146*AO146*$AK$2</f>
        <v>372.871032</v>
      </c>
      <c r="AQ146" s="42" t="n">
        <f aca="false">SUM(AD146:AG146)</f>
        <v>0</v>
      </c>
      <c r="AR146" s="43" t="n">
        <f aca="false">AI146</f>
        <v>6.313</v>
      </c>
      <c r="AS146" s="28" t="n">
        <f aca="false">AQ146*AR146*$AK$2</f>
        <v>0</v>
      </c>
    </row>
    <row r="147" customFormat="false" ht="15" hidden="false" customHeight="false" outlineLevel="0" collapsed="false">
      <c r="A147" s="6" t="s">
        <v>173</v>
      </c>
      <c r="B147" s="39" t="n">
        <f aca="false">4*3.6</f>
        <v>14.4</v>
      </c>
      <c r="C147" s="39" t="n">
        <f aca="false">4*3.6</f>
        <v>14.4</v>
      </c>
      <c r="D147" s="39" t="n">
        <f aca="false">4*3.6</f>
        <v>14.4</v>
      </c>
      <c r="E147" s="39" t="n">
        <f aca="false">4*25.5+2*4.5+2*7.85</f>
        <v>126.7</v>
      </c>
      <c r="F147" s="39"/>
      <c r="G147" s="39" t="n">
        <f aca="false">4*25.5+2*2.05+2*3.7+2*3.7+2*3.6</f>
        <v>128.1</v>
      </c>
      <c r="H147" s="39" t="n">
        <f aca="false">4*3.6</f>
        <v>14.4</v>
      </c>
      <c r="I147" s="39" t="n">
        <f aca="false">4*25.5+2*2.05+2*3.7</f>
        <v>113.5</v>
      </c>
      <c r="J147" s="39" t="n">
        <f aca="false">2*4*3.6</f>
        <v>28.8</v>
      </c>
      <c r="K147" s="39" t="n">
        <f aca="false">4*3.6</f>
        <v>14.4</v>
      </c>
      <c r="L147" s="39" t="n">
        <f aca="false">4*3.6</f>
        <v>14.4</v>
      </c>
      <c r="M147" s="39" t="n">
        <f aca="false">4*3.6</f>
        <v>14.4</v>
      </c>
      <c r="N147" s="39" t="n">
        <f aca="false">4*25.5+2*4.7</f>
        <v>111.4</v>
      </c>
      <c r="O147" s="39" t="n">
        <f aca="false">2*4*20.5+2*2*3.8+2*2*3.8+2*2*2.05</f>
        <v>202.6</v>
      </c>
      <c r="P147" s="39" t="n">
        <f aca="false">4*20.5</f>
        <v>82</v>
      </c>
      <c r="Q147" s="39" t="n">
        <f aca="false">4*20.5+2*2.05+2*3.8+2*3.8+2*3.8+2*3</f>
        <v>114.9</v>
      </c>
      <c r="R147" s="39" t="n">
        <f aca="false">4*20.5+2*3.4+2*3.6+2*2.85</f>
        <v>101.7</v>
      </c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40" t="n">
        <f aca="false">SUM(B147:AG147)</f>
        <v>1110.5</v>
      </c>
      <c r="AI147" s="41" t="n">
        <f aca="false">IFERROR(INDEX(Исходные!$B$21:$B$33,MATCH(28,Исходные!$A$21:$A$33,0)),0)</f>
        <v>4.834</v>
      </c>
      <c r="AJ147" s="40" t="n">
        <f aca="false">AH147*AI147*$AK$2</f>
        <v>5743.92799</v>
      </c>
      <c r="AK147" s="42" t="n">
        <f aca="false">SUM(B147:D147,F147,H147,J147:M147)</f>
        <v>129.6</v>
      </c>
      <c r="AL147" s="43" t="n">
        <f aca="false">AI147</f>
        <v>4.834</v>
      </c>
      <c r="AM147" s="28" t="n">
        <f aca="false">AK147*AL147*$AK$2</f>
        <v>670.340448</v>
      </c>
      <c r="AN147" s="42" t="n">
        <f aca="false">SUM(E147,G147,I147,N147:AC147)</f>
        <v>980.9</v>
      </c>
      <c r="AO147" s="43" t="n">
        <f aca="false">AI147</f>
        <v>4.834</v>
      </c>
      <c r="AP147" s="28" t="n">
        <f aca="false">AN147*AO147*$AK$2</f>
        <v>5073.587542</v>
      </c>
      <c r="AQ147" s="42" t="n">
        <f aca="false">SUM(AD147:AG147)</f>
        <v>0</v>
      </c>
      <c r="AR147" s="43" t="n">
        <f aca="false">AI147</f>
        <v>4.834</v>
      </c>
      <c r="AS147" s="28" t="n">
        <f aca="false">AQ147*AR147*$AK$2</f>
        <v>0</v>
      </c>
    </row>
    <row r="148" customFormat="false" ht="15" hidden="false" customHeight="false" outlineLevel="0" collapsed="false">
      <c r="A148" s="6" t="s">
        <v>174</v>
      </c>
      <c r="B148" s="39" t="n">
        <f aca="false">6*3.6</f>
        <v>21.6</v>
      </c>
      <c r="C148" s="39"/>
      <c r="D148" s="39"/>
      <c r="E148" s="39" t="n">
        <f aca="false">2*3.3</f>
        <v>6.6</v>
      </c>
      <c r="F148" s="39"/>
      <c r="G148" s="39"/>
      <c r="H148" s="39"/>
      <c r="I148" s="39" t="n">
        <f aca="false">2*3.7+2*3.6</f>
        <v>14.6</v>
      </c>
      <c r="J148" s="39"/>
      <c r="K148" s="39"/>
      <c r="L148" s="39" t="n">
        <f aca="false">6*3.6</f>
        <v>21.6</v>
      </c>
      <c r="M148" s="39"/>
      <c r="N148" s="39" t="n">
        <f aca="false">2*4.3</f>
        <v>8.6</v>
      </c>
      <c r="O148" s="39"/>
      <c r="P148" s="39" t="n">
        <f aca="false">2*13.2</f>
        <v>26.4</v>
      </c>
      <c r="Q148" s="39" t="n">
        <f aca="false">2*3.8</f>
        <v>7.6</v>
      </c>
      <c r="R148" s="39" t="n">
        <f aca="false">2*6.2</f>
        <v>12.4</v>
      </c>
      <c r="S148" s="39" t="n">
        <f aca="false">4*20.4+4*20.4+4*13.9+4*20.4+4*25.4+4*25.4+4*13.9+4*11.9+4*3.785+4*3.365</f>
        <v>635.4</v>
      </c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 t="n">
        <f aca="false">4*3.065+4*2.21</f>
        <v>21.1</v>
      </c>
      <c r="AH148" s="40" t="n">
        <f aca="false">SUM(B148:AG148)</f>
        <v>775.9</v>
      </c>
      <c r="AI148" s="41" t="n">
        <f aca="false">IFERROR(INDEX(Исходные!$B$21:$B$33,MATCH(25,Исходные!$A$21:$A$33,0)),0)</f>
        <v>3.853</v>
      </c>
      <c r="AJ148" s="40" t="n">
        <f aca="false">AH148*AI148*$AK$2</f>
        <v>3198.810689</v>
      </c>
      <c r="AK148" s="42" t="n">
        <f aca="false">SUM(B148:D148,F148,H148,J148:M148)</f>
        <v>43.2</v>
      </c>
      <c r="AL148" s="43" t="n">
        <f aca="false">AI148</f>
        <v>3.853</v>
      </c>
      <c r="AM148" s="28" t="n">
        <f aca="false">AK148*AL148*$AK$2</f>
        <v>178.101072</v>
      </c>
      <c r="AN148" s="42" t="n">
        <f aca="false">SUM(E148,G148,I148,N148:AC148)</f>
        <v>711.6</v>
      </c>
      <c r="AO148" s="43" t="n">
        <f aca="false">AI148</f>
        <v>3.853</v>
      </c>
      <c r="AP148" s="28" t="n">
        <f aca="false">AN148*AO148*$AK$2</f>
        <v>2933.720436</v>
      </c>
      <c r="AQ148" s="42" t="n">
        <f aca="false">SUM(AD148:AG148)</f>
        <v>21.1</v>
      </c>
      <c r="AR148" s="43" t="n">
        <f aca="false">AI148</f>
        <v>3.853</v>
      </c>
      <c r="AS148" s="28" t="n">
        <f aca="false">AQ148*AR148*$AK$2</f>
        <v>86.989181</v>
      </c>
    </row>
    <row r="149" customFormat="false" ht="15" hidden="false" customHeight="false" outlineLevel="0" collapsed="false">
      <c r="A149" s="6" t="s">
        <v>175</v>
      </c>
      <c r="B149" s="39" t="n">
        <f aca="false">12*3.6</f>
        <v>43.2</v>
      </c>
      <c r="C149" s="39" t="n">
        <f aca="false">6*3.6+6*3.6</f>
        <v>43.2</v>
      </c>
      <c r="D149" s="39"/>
      <c r="E149" s="39"/>
      <c r="F149" s="39"/>
      <c r="G149" s="39" t="n">
        <f aca="false">2*3.2</f>
        <v>6.4</v>
      </c>
      <c r="H149" s="39"/>
      <c r="I149" s="39" t="n">
        <f aca="false">2*3.2</f>
        <v>6.4</v>
      </c>
      <c r="J149" s="39"/>
      <c r="K149" s="39" t="n">
        <f aca="false">12*3.6+6*3.6</f>
        <v>64.8</v>
      </c>
      <c r="L149" s="39"/>
      <c r="M149" s="39" t="n">
        <f aca="false">6*3.6+6*3.6</f>
        <v>43.2</v>
      </c>
      <c r="N149" s="39"/>
      <c r="O149" s="39"/>
      <c r="P149" s="39"/>
      <c r="Q149" s="39"/>
      <c r="R149" s="39"/>
      <c r="S149" s="39" t="n">
        <f aca="false">4*2.175+4*4.15+4*2.175+4*2.175+4*4.15+4*2.175+4*2.15+4*3.775+4*2.15+4*2.15+4*7.95+4*2.15+4*2.375</f>
        <v>158.8</v>
      </c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40" t="n">
        <f aca="false">SUM(B149:AG149)</f>
        <v>366</v>
      </c>
      <c r="AI149" s="41" t="n">
        <f aca="false">IFERROR(INDEX(Исходные!$B$21:$B$33,MATCH(22,Исходные!$A$21:$A$33,0)),0)</f>
        <v>2.984</v>
      </c>
      <c r="AJ149" s="40" t="n">
        <f aca="false">AH149*AI149*$AK$2</f>
        <v>1168.59408</v>
      </c>
      <c r="AK149" s="42" t="n">
        <f aca="false">SUM(B149:D149,F149,H149,J149:M149)</f>
        <v>194.4</v>
      </c>
      <c r="AL149" s="43" t="n">
        <f aca="false">AI149</f>
        <v>2.984</v>
      </c>
      <c r="AM149" s="28" t="n">
        <f aca="false">AK149*AL149*$AK$2</f>
        <v>620.695872</v>
      </c>
      <c r="AN149" s="42" t="n">
        <f aca="false">SUM(E149,G149,I149,N149:AC149)</f>
        <v>171.6</v>
      </c>
      <c r="AO149" s="43" t="n">
        <f aca="false">AI149</f>
        <v>2.984</v>
      </c>
      <c r="AP149" s="28" t="n">
        <f aca="false">AN149*AO149*$AK$2</f>
        <v>547.898208</v>
      </c>
      <c r="AQ149" s="42" t="n">
        <f aca="false">SUM(AD149:AG149)</f>
        <v>0</v>
      </c>
      <c r="AR149" s="43" t="n">
        <f aca="false">AI149</f>
        <v>2.984</v>
      </c>
      <c r="AS149" s="28" t="n">
        <f aca="false">AQ149*AR149*$AK$2</f>
        <v>0</v>
      </c>
    </row>
    <row r="150" customFormat="false" ht="15" hidden="false" customHeight="false" outlineLevel="0" collapsed="false">
      <c r="A150" s="6" t="s">
        <v>176</v>
      </c>
      <c r="B150" s="39" t="n">
        <f aca="false">8*3.6</f>
        <v>28.8</v>
      </c>
      <c r="C150" s="39" t="n">
        <f aca="false">8*3.6</f>
        <v>28.8</v>
      </c>
      <c r="D150" s="39" t="n">
        <f aca="false">3*8*3.6</f>
        <v>86.4</v>
      </c>
      <c r="E150" s="39" t="n">
        <f aca="false">2*2.05</f>
        <v>4.1</v>
      </c>
      <c r="F150" s="39" t="n">
        <f aca="false">5*8*3.6</f>
        <v>144</v>
      </c>
      <c r="G150" s="39" t="n">
        <f aca="false">2*3.7</f>
        <v>7.4</v>
      </c>
      <c r="H150" s="39" t="n">
        <f aca="false">5*8*3.6</f>
        <v>144</v>
      </c>
      <c r="I150" s="39"/>
      <c r="J150" s="39" t="n">
        <f aca="false">2*8*3.6</f>
        <v>57.6</v>
      </c>
      <c r="K150" s="39" t="n">
        <f aca="false">8*3.6</f>
        <v>28.8</v>
      </c>
      <c r="L150" s="39" t="n">
        <f aca="false">8*3.6</f>
        <v>28.8</v>
      </c>
      <c r="M150" s="39" t="n">
        <f aca="false">8*3.6</f>
        <v>28.8</v>
      </c>
      <c r="N150" s="39" t="n">
        <f aca="false">2*1.85+2*4.7</f>
        <v>13.1</v>
      </c>
      <c r="O150" s="39"/>
      <c r="P150" s="39"/>
      <c r="Q150" s="39"/>
      <c r="R150" s="39" t="n">
        <f aca="false">2*3</f>
        <v>6</v>
      </c>
      <c r="S150" s="39" t="n">
        <f aca="false">4*3.05+4*3.785+4*4.1+4*3.325+4*3.78+4*3.59</f>
        <v>86.52</v>
      </c>
      <c r="T150" s="39"/>
      <c r="U150" s="39"/>
      <c r="V150" s="39"/>
      <c r="W150" s="39"/>
      <c r="X150" s="39"/>
      <c r="Y150" s="39"/>
      <c r="Z150" s="39" t="n">
        <f aca="false">4*2*3</f>
        <v>24</v>
      </c>
      <c r="AA150" s="39"/>
      <c r="AB150" s="39"/>
      <c r="AC150" s="39"/>
      <c r="AD150" s="39"/>
      <c r="AE150" s="39"/>
      <c r="AF150" s="39"/>
      <c r="AG150" s="39"/>
      <c r="AH150" s="40" t="n">
        <f aca="false">SUM(B150:AG150)</f>
        <v>717.12</v>
      </c>
      <c r="AI150" s="41" t="n">
        <f aca="false">IFERROR(INDEX(Исходные!$B$21:$B$33,MATCH(20,Исходные!$A$21:$A$33,0)),0)</f>
        <v>2.466</v>
      </c>
      <c r="AJ150" s="40" t="n">
        <f aca="false">AH150*AI150*$AK$2</f>
        <v>1892.2071744</v>
      </c>
      <c r="AK150" s="42" t="n">
        <f aca="false">SUM(B150:D150,F150,H150,J150:M150)</f>
        <v>576</v>
      </c>
      <c r="AL150" s="43" t="n">
        <f aca="false">AI150</f>
        <v>2.466</v>
      </c>
      <c r="AM150" s="28" t="n">
        <f aca="false">AK150*AL150*$AK$2</f>
        <v>1519.84512</v>
      </c>
      <c r="AN150" s="42" t="n">
        <f aca="false">SUM(E150,G150,I150,N150:AC150)</f>
        <v>141.12</v>
      </c>
      <c r="AO150" s="43" t="n">
        <f aca="false">AI150</f>
        <v>2.466</v>
      </c>
      <c r="AP150" s="28" t="n">
        <f aca="false">AN150*AO150*$AK$2</f>
        <v>372.3620544</v>
      </c>
      <c r="AQ150" s="42" t="n">
        <f aca="false">SUM(AD150:AG150)</f>
        <v>0</v>
      </c>
      <c r="AR150" s="43" t="n">
        <f aca="false">AI150</f>
        <v>2.466</v>
      </c>
      <c r="AS150" s="28" t="n">
        <f aca="false">AQ150*AR150*$AK$2</f>
        <v>0</v>
      </c>
    </row>
    <row r="151" customFormat="false" ht="15" hidden="false" customHeight="false" outlineLevel="0" collapsed="false">
      <c r="A151" s="6" t="s">
        <v>177</v>
      </c>
      <c r="B151" s="39" t="n">
        <f aca="false">4*3.744</f>
        <v>14.976</v>
      </c>
      <c r="C151" s="39" t="n">
        <f aca="false">4*3.744</f>
        <v>14.976</v>
      </c>
      <c r="D151" s="39"/>
      <c r="E151" s="39" t="n">
        <f aca="false">2*25.5+2*2*0.144+2*7.85</f>
        <v>67.276</v>
      </c>
      <c r="F151" s="39"/>
      <c r="G151" s="39" t="n">
        <f aca="false">2*25.5+2*2*0.144</f>
        <v>51.576</v>
      </c>
      <c r="H151" s="39"/>
      <c r="I151" s="39" t="n">
        <f aca="false">2*25.5+2*2*0.144</f>
        <v>51.576</v>
      </c>
      <c r="J151" s="39"/>
      <c r="K151" s="39"/>
      <c r="L151" s="39"/>
      <c r="M151" s="39"/>
      <c r="N151" s="39" t="n">
        <f aca="false">2*25.5+2*2*0.144+2*2.5</f>
        <v>56.576</v>
      </c>
      <c r="O151" s="39" t="n">
        <f aca="false">2*2*20.5+4*1*0.144+2*2*2.05</f>
        <v>90.776</v>
      </c>
      <c r="P151" s="39" t="n">
        <f aca="false">2*20.5+2*1*0.144</f>
        <v>41.288</v>
      </c>
      <c r="Q151" s="39" t="n">
        <f aca="false">2*20.5+2*1*0.144+2*4.95</f>
        <v>51.188</v>
      </c>
      <c r="R151" s="39" t="n">
        <f aca="false">2*20.5+2*1*0.144</f>
        <v>41.288</v>
      </c>
      <c r="S151" s="39"/>
      <c r="T151" s="39"/>
      <c r="U151" s="39" t="n">
        <f aca="false">20*1.2</f>
        <v>24</v>
      </c>
      <c r="V151" s="39"/>
      <c r="W151" s="39"/>
      <c r="X151" s="39"/>
      <c r="Y151" s="39"/>
      <c r="Z151" s="39" t="n">
        <f aca="false">1*3+1*1.7</f>
        <v>4.7</v>
      </c>
      <c r="AA151" s="39"/>
      <c r="AB151" s="39"/>
      <c r="AC151" s="39"/>
      <c r="AD151" s="39" t="n">
        <f aca="false">18*6.109</f>
        <v>109.962</v>
      </c>
      <c r="AE151" s="39" t="n">
        <f aca="false">18*6.109</f>
        <v>109.962</v>
      </c>
      <c r="AF151" s="39"/>
      <c r="AG151" s="39"/>
      <c r="AH151" s="40" t="n">
        <f aca="false">SUM(B151:AG151)</f>
        <v>730.12</v>
      </c>
      <c r="AI151" s="41" t="n">
        <f aca="false">IFERROR(INDEX(Исходные!$B$21:$B$33,MATCH(18,Исходные!$A$21:$A$33,0)),0)</f>
        <v>1.998</v>
      </c>
      <c r="AJ151" s="40" t="n">
        <f aca="false">AH151*AI151*$AK$2</f>
        <v>1560.8943432</v>
      </c>
      <c r="AK151" s="42" t="n">
        <f aca="false">SUM(B151:D151,F151,H151,J151:M151)</f>
        <v>29.952</v>
      </c>
      <c r="AL151" s="43" t="n">
        <f aca="false">AI151</f>
        <v>1.998</v>
      </c>
      <c r="AM151" s="28" t="n">
        <f aca="false">AK151*AL151*$AK$2</f>
        <v>64.03318272</v>
      </c>
      <c r="AN151" s="42" t="n">
        <f aca="false">SUM(E151,G151,I151,N151:AC151)</f>
        <v>480.244</v>
      </c>
      <c r="AO151" s="43" t="n">
        <f aca="false">AI151</f>
        <v>1.998</v>
      </c>
      <c r="AP151" s="28" t="n">
        <f aca="false">AN151*AO151*$AK$2</f>
        <v>1026.69443784</v>
      </c>
      <c r="AQ151" s="42" t="n">
        <f aca="false">SUM(AD151:AG151)</f>
        <v>219.924</v>
      </c>
      <c r="AR151" s="43" t="n">
        <f aca="false">AI151</f>
        <v>1.998</v>
      </c>
      <c r="AS151" s="28" t="n">
        <f aca="false">AQ151*AR151*$AK$2</f>
        <v>470.16672264</v>
      </c>
    </row>
    <row r="152" customFormat="false" ht="15" hidden="false" customHeight="false" outlineLevel="0" collapsed="false">
      <c r="A152" s="6" t="s">
        <v>178</v>
      </c>
      <c r="B152" s="39" t="n">
        <f aca="false">8*1.6</f>
        <v>12.8</v>
      </c>
      <c r="C152" s="39" t="n">
        <f aca="false">4*3.728+4*1.6</f>
        <v>21.312</v>
      </c>
      <c r="D152" s="39"/>
      <c r="E152" s="39" t="n">
        <f aca="false">2*25.5+2*2*0.128</f>
        <v>51.512</v>
      </c>
      <c r="F152" s="39"/>
      <c r="G152" s="39" t="n">
        <f aca="false">2*25.5+2*2*0.128+2*2.05+2*2.9+2*6.5</f>
        <v>74.412</v>
      </c>
      <c r="H152" s="39"/>
      <c r="I152" s="39" t="n">
        <f aca="false">2*25.5+2*2*0.128+2*2.05+2*2.9+2*6.5</f>
        <v>74.412</v>
      </c>
      <c r="J152" s="39"/>
      <c r="K152" s="39" t="n">
        <f aca="false">6*3.728+8*1.6</f>
        <v>35.168</v>
      </c>
      <c r="L152" s="39" t="n">
        <f aca="false">6*3.728</f>
        <v>22.368</v>
      </c>
      <c r="M152" s="39"/>
      <c r="N152" s="39" t="n">
        <f aca="false">2*25.5+2*2*0.128+2*2.05+2*5.5</f>
        <v>66.612</v>
      </c>
      <c r="O152" s="39" t="n">
        <f aca="false">2*2*20.5+4*1*0.128+2*2*3+2*2*2.9</f>
        <v>106.112</v>
      </c>
      <c r="P152" s="39" t="n">
        <f aca="false">2*20.5+2*1*0.128</f>
        <v>41.256</v>
      </c>
      <c r="Q152" s="39" t="n">
        <f aca="false">2*20.5+2*1*0.128+2*2.9</f>
        <v>47.056</v>
      </c>
      <c r="R152" s="39" t="n">
        <f aca="false">2*20.5+2*1*0.128+2*3.6</f>
        <v>48.456</v>
      </c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40" t="n">
        <f aca="false">SUM(B152:AG152)</f>
        <v>601.476</v>
      </c>
      <c r="AI152" s="41" t="n">
        <f aca="false">IFERROR(INDEX(Исходные!$B$21:$B$33,MATCH(16,Исходные!$A$21:$A$33,0)),0)</f>
        <v>1.578</v>
      </c>
      <c r="AJ152" s="40" t="n">
        <f aca="false">AH152*AI152*$AK$2</f>
        <v>1015.56816696</v>
      </c>
      <c r="AK152" s="42" t="n">
        <f aca="false">SUM(B152:D152,F152,H152,J152:M152)</f>
        <v>91.648</v>
      </c>
      <c r="AL152" s="43" t="n">
        <f aca="false">AI152</f>
        <v>1.578</v>
      </c>
      <c r="AM152" s="28" t="n">
        <f aca="false">AK152*AL152*$AK$2</f>
        <v>154.74398208</v>
      </c>
      <c r="AN152" s="42" t="n">
        <f aca="false">SUM(E152,G152,I152,N152:AC152)</f>
        <v>509.828</v>
      </c>
      <c r="AO152" s="43" t="n">
        <f aca="false">AI152</f>
        <v>1.578</v>
      </c>
      <c r="AP152" s="28" t="n">
        <f aca="false">AN152*AO152*$AK$2</f>
        <v>860.82418488</v>
      </c>
      <c r="AQ152" s="42" t="n">
        <f aca="false">SUM(AD152:AG152)</f>
        <v>0</v>
      </c>
      <c r="AR152" s="43" t="n">
        <f aca="false">AI152</f>
        <v>1.578</v>
      </c>
      <c r="AS152" s="28" t="n">
        <f aca="false">AQ152*AR152*$AK$2</f>
        <v>0</v>
      </c>
    </row>
    <row r="153" customFormat="false" ht="15" hidden="false" customHeight="false" outlineLevel="0" collapsed="false">
      <c r="A153" s="6" t="s">
        <v>179</v>
      </c>
      <c r="B153" s="39" t="n">
        <f aca="false">8*3.712+8*3.712</f>
        <v>59.392</v>
      </c>
      <c r="C153" s="39" t="n">
        <f aca="false">8*3.712+6*1.2</f>
        <v>36.896</v>
      </c>
      <c r="D153" s="39"/>
      <c r="E153" s="39" t="n">
        <f aca="false">2*2.7+4*4.5</f>
        <v>23.4</v>
      </c>
      <c r="F153" s="39"/>
      <c r="G153" s="39" t="n">
        <f aca="false">2*3.7+2*3.7</f>
        <v>14.8</v>
      </c>
      <c r="H153" s="39"/>
      <c r="I153" s="39" t="n">
        <f aca="false">2*4.2+2*3.9+2*3.7+2*4.2</f>
        <v>32</v>
      </c>
      <c r="J153" s="39"/>
      <c r="K153" s="39" t="n">
        <f aca="false">8*3.712+32*1.95</f>
        <v>92.096</v>
      </c>
      <c r="L153" s="39"/>
      <c r="M153" s="39" t="n">
        <f aca="false">4*3.712+6*3.712+6*1.45</f>
        <v>45.82</v>
      </c>
      <c r="N153" s="39"/>
      <c r="O153" s="39"/>
      <c r="P153" s="39" t="n">
        <f aca="false">2*4+2*2.85+2*2.4+4*9.1</f>
        <v>54.9</v>
      </c>
      <c r="Q153" s="39" t="n">
        <f aca="false">2*10.6</f>
        <v>21.2</v>
      </c>
      <c r="R153" s="39" t="n">
        <f aca="false">2*3.4</f>
        <v>6.8</v>
      </c>
      <c r="S153" s="39"/>
      <c r="T153" s="39"/>
      <c r="U153" s="39"/>
      <c r="V153" s="39"/>
      <c r="W153" s="39"/>
      <c r="X153" s="39"/>
      <c r="Y153" s="39"/>
      <c r="Z153" s="39"/>
      <c r="AA153" s="39" t="n">
        <f aca="false">2*25.795+2*2*0.56+2*20.495+2*1*0.56</f>
        <v>95.94</v>
      </c>
      <c r="AB153" s="39"/>
      <c r="AC153" s="39"/>
      <c r="AD153" s="39"/>
      <c r="AE153" s="39"/>
      <c r="AF153" s="39"/>
      <c r="AG153" s="39"/>
      <c r="AH153" s="40" t="n">
        <f aca="false">SUM(B153:AG153)</f>
        <v>483.244</v>
      </c>
      <c r="AI153" s="41" t="n">
        <f aca="false">IFERROR(INDEX(Исходные!$B$21:$B$33,MATCH(14,Исходные!$A$21:$A$33,0)),0)</f>
        <v>1.208</v>
      </c>
      <c r="AJ153" s="40" t="n">
        <f aca="false">AH153*AI153*$AK$2</f>
        <v>624.62186464</v>
      </c>
      <c r="AK153" s="42" t="n">
        <f aca="false">SUM(B153:D153,F153,H153,J153:M153)</f>
        <v>234.204</v>
      </c>
      <c r="AL153" s="43" t="n">
        <f aca="false">AI153</f>
        <v>1.208</v>
      </c>
      <c r="AM153" s="28" t="n">
        <f aca="false">AK153*AL153*$AK$2</f>
        <v>302.72272224</v>
      </c>
      <c r="AN153" s="42" t="n">
        <f aca="false">SUM(E153,G153,I153,N153:AC153)</f>
        <v>249.04</v>
      </c>
      <c r="AO153" s="43" t="n">
        <f aca="false">AI153</f>
        <v>1.208</v>
      </c>
      <c r="AP153" s="28" t="n">
        <f aca="false">AN153*AO153*$AK$2</f>
        <v>321.8991424</v>
      </c>
      <c r="AQ153" s="42" t="n">
        <f aca="false">SUM(AD153:AG153)</f>
        <v>0</v>
      </c>
      <c r="AR153" s="43" t="n">
        <f aca="false">AI153</f>
        <v>1.208</v>
      </c>
      <c r="AS153" s="28" t="n">
        <f aca="false">AQ153*AR153*$AK$2</f>
        <v>0</v>
      </c>
    </row>
    <row r="154" customFormat="false" ht="15" hidden="false" customHeight="false" outlineLevel="0" collapsed="false">
      <c r="A154" s="6" t="s">
        <v>180</v>
      </c>
      <c r="B154" s="39" t="n">
        <f aca="false">32*2.25+6*1.2</f>
        <v>79.2</v>
      </c>
      <c r="C154" s="39" t="n">
        <f aca="false">6*1.2</f>
        <v>7.2</v>
      </c>
      <c r="D154" s="39"/>
      <c r="E154" s="39"/>
      <c r="F154" s="39"/>
      <c r="G154" s="39" t="n">
        <f aca="false">4*17.1+4*1*0.096</f>
        <v>68.784</v>
      </c>
      <c r="H154" s="39"/>
      <c r="I154" s="39" t="n">
        <f aca="false">4*17.1+4*1*0.096</f>
        <v>68.784</v>
      </c>
      <c r="J154" s="39"/>
      <c r="K154" s="39" t="n">
        <f aca="false">32*1.45</f>
        <v>46.4</v>
      </c>
      <c r="L154" s="39"/>
      <c r="M154" s="39" t="n">
        <f aca="false">32*1.45+6*1.45</f>
        <v>55.1</v>
      </c>
      <c r="N154" s="39"/>
      <c r="O154" s="39" t="n">
        <f aca="false">2*4*2.05+2*4*3.8</f>
        <v>46.8</v>
      </c>
      <c r="P154" s="39"/>
      <c r="Q154" s="39" t="n">
        <f aca="false">4*3.8+4*3.8+4*2.05</f>
        <v>38.6</v>
      </c>
      <c r="R154" s="39" t="n">
        <f aca="false">4*2.4+4*3.4+4*3.6+4*2.3</f>
        <v>46.8</v>
      </c>
      <c r="S154" s="39"/>
      <c r="T154" s="39"/>
      <c r="U154" s="39"/>
      <c r="V154" s="39"/>
      <c r="W154" s="39"/>
      <c r="X154" s="39"/>
      <c r="Y154" s="39"/>
      <c r="Z154" s="39" t="n">
        <f aca="false">12*1.4+12*2.2</f>
        <v>43.2</v>
      </c>
      <c r="AA154" s="39"/>
      <c r="AB154" s="39"/>
      <c r="AC154" s="39"/>
      <c r="AD154" s="39"/>
      <c r="AE154" s="39"/>
      <c r="AF154" s="39"/>
      <c r="AG154" s="39"/>
      <c r="AH154" s="40" t="n">
        <f aca="false">SUM(B154:AG154)</f>
        <v>500.868</v>
      </c>
      <c r="AI154" s="41" t="n">
        <f aca="false">IFERROR(INDEX(Исходные!$B$21:$B$33,MATCH(12,Исходные!$A$21:$A$33,0)),0)</f>
        <v>0.888</v>
      </c>
      <c r="AJ154" s="40" t="n">
        <f aca="false">AH154*AI154*$AK$2</f>
        <v>475.90473888</v>
      </c>
      <c r="AK154" s="42" t="n">
        <f aca="false">SUM(B154:D154,F154,H154,J154:M154)</f>
        <v>187.9</v>
      </c>
      <c r="AL154" s="43" t="n">
        <f aca="false">AI154</f>
        <v>0.888</v>
      </c>
      <c r="AM154" s="28" t="n">
        <f aca="false">AK154*AL154*$AK$2</f>
        <v>178.535064</v>
      </c>
      <c r="AN154" s="42" t="n">
        <f aca="false">SUM(E154,G154,I154,N154:AC154)</f>
        <v>312.968</v>
      </c>
      <c r="AO154" s="43" t="n">
        <f aca="false">AI154</f>
        <v>0.888</v>
      </c>
      <c r="AP154" s="28" t="n">
        <f aca="false">AN154*AO154*$AK$2</f>
        <v>297.36967488</v>
      </c>
      <c r="AQ154" s="42" t="n">
        <f aca="false">SUM(AD154:AG154)</f>
        <v>0</v>
      </c>
      <c r="AR154" s="43" t="n">
        <f aca="false">AI154</f>
        <v>0.888</v>
      </c>
      <c r="AS154" s="28" t="n">
        <f aca="false">AQ154*AR154*$AK$2</f>
        <v>0</v>
      </c>
    </row>
    <row r="155" customFormat="false" ht="15" hidden="false" customHeight="false" outlineLevel="0" collapsed="false">
      <c r="A155" s="6" t="s">
        <v>181</v>
      </c>
      <c r="B155" s="39" t="n">
        <f aca="false">32*1.95+6*1.95+6*1.2</f>
        <v>81.3</v>
      </c>
      <c r="C155" s="39" t="n">
        <f aca="false">32*1.25+32*2.25+6*1.25</f>
        <v>119.5</v>
      </c>
      <c r="D155" s="39"/>
      <c r="E155" s="39"/>
      <c r="F155" s="39"/>
      <c r="G155" s="39"/>
      <c r="H155" s="39"/>
      <c r="I155" s="39"/>
      <c r="J155" s="39"/>
      <c r="K155" s="39" t="n">
        <f aca="false">6*1.95+6*1.95+10*1.45+6*1.45</f>
        <v>46.6</v>
      </c>
      <c r="L155" s="39" t="n">
        <f aca="false">32*1.45+6*1.45+6*1.45</f>
        <v>63.8</v>
      </c>
      <c r="M155" s="39" t="n">
        <f aca="false">32*1.25+6*1.25+6*1.25</f>
        <v>55</v>
      </c>
      <c r="N155" s="39"/>
      <c r="O155" s="39"/>
      <c r="P155" s="39"/>
      <c r="Q155" s="39"/>
      <c r="R155" s="39"/>
      <c r="S155" s="39"/>
      <c r="T155" s="39"/>
      <c r="U155" s="39"/>
      <c r="V155" s="39" t="n">
        <f aca="false">26*27.32+26*2*0.4+49*25.6+49*2*0.4+1*22.2+1*0.4+16*15.62+16*1*0.4+12*13.9+12*1*0.4+1*10.77+14*7.97+9*7.95+13*7.17+9*3.78+40*22.32+40*1*0.4+41*20.6+41*1*0.4+26*20.48+26*1*0.4+2*19.01+2*1*0.4+3*17.28+3*1*0.4+17*15.6+17*1*0.4+18*4.15+22*0.6+26*27.32+26*2*0.4+49*25.6+49*2*0.4+1*22.2+1*0.4+16*15.62+16*1*0.4+12*13.9+12*1*0.4+1*10.77+14*7.97+9*7.95+13*7.17+9*3.78+40*22.32+40*1*0.4+41*20.6+41*1*0.4+26*20.48+26*1*0.4+2*19.01+2*1*0.4+3*17.28+3*1*0.4+17*15.6+17*1*0.4+18*4.15+22*0.6</f>
        <v>11121.62</v>
      </c>
      <c r="W155" s="39"/>
      <c r="X155" s="39"/>
      <c r="Y155" s="39" t="n">
        <f aca="false">22*5.05+25*4.5+20*3.625+17*4.5+17*1.2</f>
        <v>393</v>
      </c>
      <c r="Z155" s="39" t="n">
        <f aca="false">18*1.2+11*1.2+18*1.2+18*1.4+18*2.2+24*1.2+25*2+25*1.2+17*1.2+36*1.2+15*1.4+17*2.2+29*1.4+62*2.2</f>
        <v>529</v>
      </c>
      <c r="AA155" s="39"/>
      <c r="AB155" s="39"/>
      <c r="AC155" s="39" t="n">
        <f aca="false">200*7*0.57</f>
        <v>798</v>
      </c>
      <c r="AD155" s="39" t="n">
        <f aca="false">60*1.19</f>
        <v>71.4</v>
      </c>
      <c r="AE155" s="39" t="n">
        <f aca="false">60*1.19</f>
        <v>71.4</v>
      </c>
      <c r="AF155" s="39" t="n">
        <f aca="false">2*28*1.19+28*0.6+2*4*0.48</f>
        <v>87.28</v>
      </c>
      <c r="AG155" s="39"/>
      <c r="AH155" s="40" t="n">
        <f aca="false">SUM(B155:AG155)</f>
        <v>13437.9</v>
      </c>
      <c r="AI155" s="41" t="n">
        <f aca="false">IFERROR(INDEX(Исходные!$B$21:$B$33,MATCH(10,Исходные!$A$21:$A$33,0)),0)</f>
        <v>0.617</v>
      </c>
      <c r="AJ155" s="40" t="n">
        <f aca="false">AH155*AI155*$AK$2</f>
        <v>8871.567201</v>
      </c>
      <c r="AK155" s="42" t="n">
        <f aca="false">SUM(B155:D155,F155,H155,J155:M155)</f>
        <v>366.2</v>
      </c>
      <c r="AL155" s="43" t="n">
        <f aca="false">AI155</f>
        <v>0.617</v>
      </c>
      <c r="AM155" s="28" t="n">
        <f aca="false">AK155*AL155*$AK$2</f>
        <v>241.761578</v>
      </c>
      <c r="AN155" s="42" t="n">
        <f aca="false">SUM(E155,G155,I155,N155:AC155)</f>
        <v>12841.62</v>
      </c>
      <c r="AO155" s="43" t="n">
        <f aca="false">AI155</f>
        <v>0.617</v>
      </c>
      <c r="AP155" s="28" t="n">
        <f aca="false">AN155*AO155*$AK$2</f>
        <v>8477.9091078</v>
      </c>
      <c r="AQ155" s="42" t="n">
        <f aca="false">SUM(AD155:AG155)</f>
        <v>230.08</v>
      </c>
      <c r="AR155" s="43" t="n">
        <f aca="false">AI155</f>
        <v>0.617</v>
      </c>
      <c r="AS155" s="28" t="n">
        <f aca="false">AQ155*AR155*$AK$2</f>
        <v>151.8965152</v>
      </c>
    </row>
    <row r="156" customFormat="false" ht="15" hidden="false" customHeight="false" outlineLevel="0" collapsed="false">
      <c r="A156" s="6" t="s">
        <v>182</v>
      </c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40" t="n">
        <f aca="false">SUM(B156:AG156)</f>
        <v>0</v>
      </c>
      <c r="AI156" s="41" t="n">
        <f aca="false">IFERROR(INDEX(Исходные!$B$21:$B$33,MATCH(8,Исходные!$A$21:$A$33,0)),0)</f>
        <v>0.395</v>
      </c>
      <c r="AJ156" s="40" t="n">
        <f aca="false">AH156*AI156*$AK$2</f>
        <v>0</v>
      </c>
      <c r="AK156" s="42" t="n">
        <f aca="false">SUM(B156:D156,F156,H156,J156:M156)</f>
        <v>0</v>
      </c>
      <c r="AL156" s="43" t="n">
        <f aca="false">AI156</f>
        <v>0.395</v>
      </c>
      <c r="AM156" s="28" t="n">
        <f aca="false">AK156*AL156*$AK$2</f>
        <v>0</v>
      </c>
      <c r="AN156" s="42" t="n">
        <f aca="false">SUM(E156,G156,I156,N156:AC156)</f>
        <v>0</v>
      </c>
      <c r="AO156" s="43" t="n">
        <f aca="false">AI156</f>
        <v>0.395</v>
      </c>
      <c r="AP156" s="28" t="n">
        <f aca="false">AN156*AO156*$AK$2</f>
        <v>0</v>
      </c>
      <c r="AQ156" s="42" t="n">
        <f aca="false">SUM(AD156:AG156)</f>
        <v>0</v>
      </c>
      <c r="AR156" s="43" t="n">
        <f aca="false">AI156</f>
        <v>0.395</v>
      </c>
      <c r="AS156" s="28" t="n">
        <f aca="false">AQ156*AR156*$AK$2</f>
        <v>0</v>
      </c>
    </row>
    <row r="157" customFormat="false" ht="15" hidden="false" customHeight="false" outlineLevel="0" collapsed="false">
      <c r="A157" s="6" t="s">
        <v>183</v>
      </c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 t="n">
        <f aca="false">2*0.42</f>
        <v>0.84</v>
      </c>
      <c r="AH157" s="40" t="n">
        <f aca="false">SUM(B157:AG157)</f>
        <v>0.84</v>
      </c>
      <c r="AI157" s="41" t="n">
        <f aca="false">IFERROR(INDEX(Исходные!$B$21:$B$33,MATCH(16,Исходные!$A$21:$A$33,0)),0)</f>
        <v>1.578</v>
      </c>
      <c r="AJ157" s="40" t="n">
        <f aca="false">AH157*AI157*$AK$2</f>
        <v>1.4183064</v>
      </c>
      <c r="AK157" s="42" t="n">
        <f aca="false">SUM(B157:D157,F157,H157,J157:M157)</f>
        <v>0</v>
      </c>
      <c r="AL157" s="43" t="n">
        <f aca="false">AI157</f>
        <v>1.578</v>
      </c>
      <c r="AM157" s="28" t="n">
        <f aca="false">AK157*AL157*$AK$2</f>
        <v>0</v>
      </c>
      <c r="AN157" s="42" t="n">
        <f aca="false">SUM(E157,G157,I157,N157:AC157)</f>
        <v>0</v>
      </c>
      <c r="AO157" s="43" t="n">
        <f aca="false">AI157</f>
        <v>1.578</v>
      </c>
      <c r="AP157" s="28" t="n">
        <f aca="false">AN157*AO157*$AK$2</f>
        <v>0</v>
      </c>
      <c r="AQ157" s="42" t="n">
        <f aca="false">SUM(AD157:AG157)</f>
        <v>0.84</v>
      </c>
      <c r="AR157" s="43" t="n">
        <f aca="false">AI157</f>
        <v>1.578</v>
      </c>
      <c r="AS157" s="28" t="n">
        <f aca="false">AQ157*AR157*$AK$2</f>
        <v>1.4183064</v>
      </c>
    </row>
    <row r="158" customFormat="false" ht="15" hidden="false" customHeight="false" outlineLevel="0" collapsed="false">
      <c r="A158" s="6" t="s">
        <v>184</v>
      </c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40" t="n">
        <f aca="false">SUM(B158:AG158)</f>
        <v>0</v>
      </c>
      <c r="AI158" s="41" t="n">
        <f aca="false">IFERROR(INDEX(Исходные!$B$21:$B$33,MATCH(12,Исходные!$A$21:$A$33,0)),0)</f>
        <v>0.888</v>
      </c>
      <c r="AJ158" s="40" t="n">
        <f aca="false">AH158*AI158*$AK$2</f>
        <v>0</v>
      </c>
      <c r="AK158" s="42" t="n">
        <f aca="false">SUM(B158:D158,F158,H158,J158:M158)</f>
        <v>0</v>
      </c>
      <c r="AL158" s="43" t="n">
        <f aca="false">AI158</f>
        <v>0.888</v>
      </c>
      <c r="AM158" s="28" t="n">
        <f aca="false">AK158*AL158*$AK$2</f>
        <v>0</v>
      </c>
      <c r="AN158" s="42" t="n">
        <f aca="false">SUM(E158,G158,I158,N158:AC158)</f>
        <v>0</v>
      </c>
      <c r="AO158" s="43" t="n">
        <f aca="false">AI158</f>
        <v>0.888</v>
      </c>
      <c r="AP158" s="28" t="n">
        <f aca="false">AN158*AO158*$AK$2</f>
        <v>0</v>
      </c>
      <c r="AQ158" s="42" t="n">
        <f aca="false">SUM(AD158:AG158)</f>
        <v>0</v>
      </c>
      <c r="AR158" s="43" t="n">
        <f aca="false">AI158</f>
        <v>0.888</v>
      </c>
      <c r="AS158" s="28" t="n">
        <f aca="false">AQ158*AR158*$AK$2</f>
        <v>0</v>
      </c>
    </row>
    <row r="159" customFormat="false" ht="15" hidden="false" customHeight="false" outlineLevel="0" collapsed="false">
      <c r="A159" s="6" t="s">
        <v>185</v>
      </c>
      <c r="B159" s="39" t="n">
        <f aca="false">48*1.33</f>
        <v>63.84</v>
      </c>
      <c r="C159" s="39" t="n">
        <f aca="false">32*1.33</f>
        <v>42.56</v>
      </c>
      <c r="D159" s="39"/>
      <c r="E159" s="39" t="n">
        <f aca="false">34*2.06+8*1.6</f>
        <v>82.84</v>
      </c>
      <c r="F159" s="39"/>
      <c r="G159" s="39" t="n">
        <f aca="false">105*2.06+28*1.6</f>
        <v>261.1</v>
      </c>
      <c r="H159" s="39"/>
      <c r="I159" s="39" t="n">
        <f aca="false">115*2.06+115*1.6</f>
        <v>420.9</v>
      </c>
      <c r="J159" s="39"/>
      <c r="K159" s="39" t="n">
        <f aca="false">48*1.33</f>
        <v>63.84</v>
      </c>
      <c r="L159" s="39" t="n">
        <f aca="false">16*1.33</f>
        <v>21.28</v>
      </c>
      <c r="M159" s="39" t="n">
        <f aca="false">32*1.33</f>
        <v>42.56</v>
      </c>
      <c r="N159" s="39" t="n">
        <f aca="false">45*2.06</f>
        <v>92.7</v>
      </c>
      <c r="O159" s="39" t="n">
        <f aca="false">2*47*2.06</f>
        <v>193.64</v>
      </c>
      <c r="P159" s="39" t="n">
        <f aca="false">92*2.06+86*1.6</f>
        <v>327.12</v>
      </c>
      <c r="Q159" s="39" t="n">
        <f aca="false">70*2.06+50*1.6</f>
        <v>224.2</v>
      </c>
      <c r="R159" s="39" t="n">
        <f aca="false">87*2.06+45*1.6</f>
        <v>251.22</v>
      </c>
      <c r="S159" s="39"/>
      <c r="T159" s="39"/>
      <c r="U159" s="39"/>
      <c r="V159" s="39"/>
      <c r="W159" s="39" t="n">
        <f aca="false">847*0.42</f>
        <v>355.74</v>
      </c>
      <c r="X159" s="39"/>
      <c r="Y159" s="39"/>
      <c r="Z159" s="39"/>
      <c r="AA159" s="39" t="n">
        <f aca="false">119*0.7</f>
        <v>83.3</v>
      </c>
      <c r="AB159" s="39"/>
      <c r="AC159" s="39"/>
      <c r="AD159" s="39" t="n">
        <f aca="false">60*0.52</f>
        <v>31.2</v>
      </c>
      <c r="AE159" s="39" t="n">
        <f aca="false">60*0.52</f>
        <v>31.2</v>
      </c>
      <c r="AF159" s="39" t="n">
        <f aca="false">2*28*0.52</f>
        <v>29.12</v>
      </c>
      <c r="AG159" s="39"/>
      <c r="AH159" s="40" t="n">
        <f aca="false">SUM(B159:AG159)</f>
        <v>2618.36</v>
      </c>
      <c r="AI159" s="41" t="n">
        <f aca="false">IFERROR(INDEX(Исходные!$B$21:$B$33,MATCH(10,Исходные!$A$21:$A$33,0)),0)</f>
        <v>0.617</v>
      </c>
      <c r="AJ159" s="40" t="n">
        <f aca="false">AH159*AI159*$AK$2</f>
        <v>1728.6150884</v>
      </c>
      <c r="AK159" s="42" t="n">
        <f aca="false">SUM(B159:D159,F159,H159,J159:M159)</f>
        <v>234.08</v>
      </c>
      <c r="AL159" s="43" t="n">
        <f aca="false">AI159</f>
        <v>0.617</v>
      </c>
      <c r="AM159" s="28" t="n">
        <f aca="false">AK159*AL159*$AK$2</f>
        <v>154.5372752</v>
      </c>
      <c r="AN159" s="42" t="n">
        <f aca="false">SUM(E159,G159,I159,N159:AC159)</f>
        <v>2292.76</v>
      </c>
      <c r="AO159" s="43" t="n">
        <f aca="false">AI159</f>
        <v>0.617</v>
      </c>
      <c r="AP159" s="28" t="n">
        <f aca="false">AN159*AO159*$AK$2</f>
        <v>1513.6572244</v>
      </c>
      <c r="AQ159" s="42" t="n">
        <f aca="false">SUM(AD159:AG159)</f>
        <v>91.52</v>
      </c>
      <c r="AR159" s="43" t="n">
        <f aca="false">AI159</f>
        <v>0.617</v>
      </c>
      <c r="AS159" s="28" t="n">
        <f aca="false">AQ159*AR159*$AK$2</f>
        <v>60.4205888</v>
      </c>
    </row>
    <row r="160" customFormat="false" ht="15" hidden="false" customHeight="false" outlineLevel="0" collapsed="false">
      <c r="A160" s="6" t="s">
        <v>186</v>
      </c>
      <c r="B160" s="39" t="n">
        <f aca="false">32*1.56+16*1.76+28*2.44+32*1.96+80*0.53</f>
        <v>251.52</v>
      </c>
      <c r="C160" s="39" t="n">
        <f aca="false">16*1.56+16*1.76+28*2.44+32*1.96+56*0.53</f>
        <v>213.84</v>
      </c>
      <c r="D160" s="39" t="n">
        <f aca="false">3*28*2.44+3*32*1.96</f>
        <v>393.12</v>
      </c>
      <c r="E160" s="39" t="n">
        <f aca="false">134*2.06+105*0.75+70*0.58</f>
        <v>395.39</v>
      </c>
      <c r="F160" s="39" t="n">
        <f aca="false">5*28*2.44+5*32*1.96</f>
        <v>655.2</v>
      </c>
      <c r="G160" s="39" t="n">
        <f aca="false">90*2.06+109*0.75+77*0.58</f>
        <v>311.81</v>
      </c>
      <c r="H160" s="39" t="n">
        <f aca="false">5*28*2.44+5*32*1.96</f>
        <v>655.2</v>
      </c>
      <c r="I160" s="39" t="n">
        <f aca="false">87*2.06+54*0.75+77*0.58</f>
        <v>264.38</v>
      </c>
      <c r="J160" s="39" t="n">
        <f aca="false">2*28*2.44+2*32*1.96</f>
        <v>262.08</v>
      </c>
      <c r="K160" s="39" t="n">
        <f aca="false">32*1.56+16*1.76+28*2.44+32*1.96+72*0.53</f>
        <v>247.28</v>
      </c>
      <c r="L160" s="39" t="n">
        <f aca="false">16*1.76+28*2.44+32*1.96+24*0.53</f>
        <v>171.92</v>
      </c>
      <c r="M160" s="39" t="n">
        <f aca="false">16*1.56+16*1.76+28*2.44+32*1.96+48*0.53</f>
        <v>209.6</v>
      </c>
      <c r="N160" s="39" t="n">
        <f aca="false">125*2.06+106*0.75+67*0.58</f>
        <v>375.86</v>
      </c>
      <c r="O160" s="39" t="n">
        <f aca="false">2*101*2.06+2*99*0.75+2*62*0.58</f>
        <v>636.54</v>
      </c>
      <c r="P160" s="39" t="n">
        <f aca="false">47*2.06+35*0.75+54*0.58</f>
        <v>154.39</v>
      </c>
      <c r="Q160" s="39" t="n">
        <f aca="false">88*2.06+73*0.75+62*0.58</f>
        <v>271.99</v>
      </c>
      <c r="R160" s="39" t="n">
        <f aca="false">51*2.06+61*0.75+54*0.58</f>
        <v>182.13</v>
      </c>
      <c r="S160" s="39"/>
      <c r="T160" s="39" t="n">
        <f aca="false">925*1.24+44*1.24+44*1.44+133*1.04+272*1.14</f>
        <v>1713.32</v>
      </c>
      <c r="U160" s="39"/>
      <c r="V160" s="39"/>
      <c r="W160" s="39" t="n">
        <f aca="false">847*0.22</f>
        <v>186.34</v>
      </c>
      <c r="X160" s="39"/>
      <c r="Y160" s="39"/>
      <c r="Z160" s="39"/>
      <c r="AA160" s="39"/>
      <c r="AB160" s="39"/>
      <c r="AC160" s="39"/>
      <c r="AD160" s="39"/>
      <c r="AE160" s="39"/>
      <c r="AF160" s="39"/>
      <c r="AG160" s="39" t="n">
        <f aca="false">14*1.28+22*1.16</f>
        <v>43.44</v>
      </c>
      <c r="AH160" s="40" t="n">
        <f aca="false">SUM(B160:AG160)</f>
        <v>7595.35</v>
      </c>
      <c r="AI160" s="41" t="n">
        <f aca="false">IFERROR(INDEX(Исходные!$B$21:$B$33,MATCH(8,Исходные!$A$21:$A$33,0)),0)</f>
        <v>0.395</v>
      </c>
      <c r="AJ160" s="40" t="n">
        <f aca="false">AH160*AI160*$AK$2</f>
        <v>3210.1746775</v>
      </c>
      <c r="AK160" s="42" t="n">
        <f aca="false">SUM(B160:D160,F160,H160,J160:M160)</f>
        <v>3059.76</v>
      </c>
      <c r="AL160" s="43" t="n">
        <f aca="false">AI160</f>
        <v>0.395</v>
      </c>
      <c r="AM160" s="28" t="n">
        <f aca="false">AK160*AL160*$AK$2</f>
        <v>1293.207564</v>
      </c>
      <c r="AN160" s="42" t="n">
        <f aca="false">SUM(E160,G160,I160,N160:AC160)</f>
        <v>4492.15</v>
      </c>
      <c r="AO160" s="43" t="n">
        <f aca="false">AI160</f>
        <v>0.395</v>
      </c>
      <c r="AP160" s="28" t="n">
        <f aca="false">AN160*AO160*$AK$2</f>
        <v>1898.6071975</v>
      </c>
      <c r="AQ160" s="42" t="n">
        <f aca="false">SUM(AD160:AG160)</f>
        <v>43.44</v>
      </c>
      <c r="AR160" s="43" t="n">
        <f aca="false">AI160</f>
        <v>0.395</v>
      </c>
      <c r="AS160" s="28" t="n">
        <f aca="false">AQ160*AR160*$AK$2</f>
        <v>18.359916</v>
      </c>
    </row>
    <row r="161" customFormat="false" ht="15" hidden="false" customHeight="false" outlineLevel="0" collapsed="false">
      <c r="A161" s="6" t="s">
        <v>187</v>
      </c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 t="n">
        <f aca="false">38*0.28</f>
        <v>10.64</v>
      </c>
      <c r="AE161" s="39" t="n">
        <f aca="false">38*0.28</f>
        <v>10.64</v>
      </c>
      <c r="AF161" s="39" t="n">
        <f aca="false">28*0.28</f>
        <v>7.84</v>
      </c>
      <c r="AG161" s="39"/>
      <c r="AH161" s="40" t="n">
        <f aca="false">SUM(B161:AG161)</f>
        <v>29.12</v>
      </c>
      <c r="AI161" s="41" t="n">
        <f aca="false">IFERROR(INDEX(Исходные!$B$21:$B$33,MATCH(6,Исходные!$A$21:$A$33,0)),0)</f>
        <v>0.222</v>
      </c>
      <c r="AJ161" s="40" t="n">
        <f aca="false">AH161*AI161*$AK$2</f>
        <v>6.9171648</v>
      </c>
      <c r="AK161" s="42" t="n">
        <f aca="false">SUM(B161:D161,F161,H161,J161:M161)</f>
        <v>0</v>
      </c>
      <c r="AL161" s="43" t="n">
        <f aca="false">AI161</f>
        <v>0.222</v>
      </c>
      <c r="AM161" s="28" t="n">
        <f aca="false">AK161*AL161*$AK$2</f>
        <v>0</v>
      </c>
      <c r="AN161" s="42" t="n">
        <f aca="false">SUM(E161,G161,I161,N161:AC161)</f>
        <v>0</v>
      </c>
      <c r="AO161" s="43" t="n">
        <f aca="false">AI161</f>
        <v>0.222</v>
      </c>
      <c r="AP161" s="28" t="n">
        <f aca="false">AN161*AO161*$AK$2</f>
        <v>0</v>
      </c>
      <c r="AQ161" s="42" t="n">
        <f aca="false">SUM(AD161:AG161)</f>
        <v>29.12</v>
      </c>
      <c r="AR161" s="43" t="n">
        <f aca="false">AI161</f>
        <v>0.222</v>
      </c>
      <c r="AS161" s="28" t="n">
        <f aca="false">AQ161*AR161*$AK$2</f>
        <v>6.9171648</v>
      </c>
    </row>
    <row r="162" customFormat="false" ht="15" hidden="false" customHeight="false" outlineLevel="0" collapsed="false">
      <c r="A162" s="6" t="s">
        <v>188</v>
      </c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 t="n">
        <f aca="false">6.38</f>
        <v>6.38</v>
      </c>
      <c r="AE162" s="44" t="n">
        <f aca="false">6.38</f>
        <v>6.38</v>
      </c>
      <c r="AF162" s="44"/>
      <c r="AG162" s="44"/>
      <c r="AH162" s="40" t="n">
        <f aca="false">SUM(B162:AG162)</f>
        <v>12.76</v>
      </c>
      <c r="AI162" s="41" t="n">
        <f aca="false">Исходные!$B$34</f>
        <v>3.08</v>
      </c>
      <c r="AJ162" s="40" t="n">
        <f aca="false">AH162*AI162*$AK$2</f>
        <v>42.051856</v>
      </c>
      <c r="AK162" s="42" t="n">
        <f aca="false">SUM(B162:D162,F162,H162,J162:M162)</f>
        <v>0</v>
      </c>
      <c r="AL162" s="43" t="n">
        <f aca="false">AI162</f>
        <v>3.08</v>
      </c>
      <c r="AM162" s="28" t="n">
        <f aca="false">AK162*AL162*$AK$2</f>
        <v>0</v>
      </c>
      <c r="AN162" s="42" t="n">
        <f aca="false">SUM(E162,G162,I162,N162:AC162)</f>
        <v>0</v>
      </c>
      <c r="AO162" s="43" t="n">
        <f aca="false">AI162</f>
        <v>3.08</v>
      </c>
      <c r="AP162" s="28" t="n">
        <f aca="false">AN162*AO162*$AK$2</f>
        <v>0</v>
      </c>
      <c r="AQ162" s="42" t="n">
        <f aca="false">SUM(AD162:AG162)</f>
        <v>12.76</v>
      </c>
      <c r="AR162" s="43" t="n">
        <f aca="false">AI162</f>
        <v>3.08</v>
      </c>
      <c r="AS162" s="28" t="n">
        <f aca="false">AQ162*AR162*$AK$2</f>
        <v>42.051856</v>
      </c>
    </row>
    <row r="163" customFormat="false" ht="15" hidden="false" customHeight="false" outlineLevel="0" collapsed="false">
      <c r="A163" s="45" t="s">
        <v>189</v>
      </c>
      <c r="B163" s="46" t="n">
        <f aca="false">SUMPRODUCT(B146:B162,$AI$146:$AI$162)</f>
        <v>733.861364</v>
      </c>
      <c r="C163" s="46" t="n">
        <f aca="false">SUMPRODUCT(C146:C162,$AI$146:$AI$162)</f>
        <v>568.513372</v>
      </c>
      <c r="D163" s="46" t="n">
        <f aca="false">SUMPRODUCT(D146:D162,$AI$146:$AI$162)</f>
        <v>619.7688</v>
      </c>
      <c r="E163" s="46" t="n">
        <f aca="false">SUMPRODUCT(E146:E162,$AI$146:$AI$162)</f>
        <v>1099.270114</v>
      </c>
      <c r="F163" s="46" t="n">
        <f aca="false">SUMPRODUCT(F146:F162,$AI$146:$AI$162)</f>
        <v>1068.444</v>
      </c>
      <c r="G163" s="46" t="n">
        <f aca="false">SUMPRODUCT(G146:G162,$AI$146:$AI$162)</f>
        <v>1240.274626</v>
      </c>
      <c r="H163" s="46" t="n">
        <f aca="false">SUMPRODUCT(H146:H162,$AI$146:$AI$162)</f>
        <v>1047.1464</v>
      </c>
      <c r="I163" s="46" t="n">
        <f aca="false">SUMPRODUCT(I146:I162,$AI$146:$AI$162)</f>
        <v>1355.059176</v>
      </c>
      <c r="J163" s="46" t="n">
        <f aca="false">SUMPRODUCT(J146:J162,$AI$146:$AI$162)</f>
        <v>384.7824</v>
      </c>
      <c r="K163" s="46" t="n">
        <f aca="false">SUMPRODUCT(K146:K162,$AI$146:$AI$162)</f>
        <v>707.760952</v>
      </c>
      <c r="L163" s="46" t="n">
        <f aca="false">SUMPRODUCT(L146:L162,$AI$146:$AI$162)</f>
        <v>379.554664</v>
      </c>
      <c r="M163" s="46" t="n">
        <f aca="false">SUMPRODUCT(M146:M162,$AI$146:$AI$162)</f>
        <v>516.80508</v>
      </c>
      <c r="N163" s="46" t="n">
        <f aca="false">SUMPRODUCT(N146:N162,$AI$146:$AI$162)</f>
        <v>1097.204184</v>
      </c>
      <c r="O163" s="46" t="n">
        <f aca="false">SUMPRODUCT(O146:O162,$AI$146:$AI$162)</f>
        <v>1740.651164</v>
      </c>
      <c r="P163" s="46" t="n">
        <f aca="false">SUMPRODUCT(P146:P162,$AI$146:$AI$162)</f>
        <v>1150.971582</v>
      </c>
      <c r="Q163" s="46" t="n">
        <f aca="false">SUMPRODUCT(Q146:Q162,$AI$146:$AI$162)</f>
        <v>1092.774542</v>
      </c>
      <c r="R163" s="46" t="n">
        <f aca="false">SUMPRODUCT(R146:R162,$AI$146:$AI$162)</f>
        <v>1020.167282</v>
      </c>
      <c r="S163" s="46" t="n">
        <f aca="false">SUMPRODUCT(S146:S162,$AI$146:$AI$162)</f>
        <v>3135.41372</v>
      </c>
      <c r="T163" s="46" t="n">
        <f aca="false">SUMPRODUCT(T146:T162,$AI$146:$AI$162)</f>
        <v>676.7614</v>
      </c>
      <c r="U163" s="46" t="n">
        <f aca="false">SUMPRODUCT(U146:U162,$AI$146:$AI$162)</f>
        <v>47.952</v>
      </c>
      <c r="V163" s="46" t="n">
        <f aca="false">SUMPRODUCT(V146:V162,$AI$146:$AI$162)</f>
        <v>6862.03954</v>
      </c>
      <c r="W163" s="46" t="n">
        <f aca="false">SUMPRODUCT(W146:W162,$AI$146:$AI$162)</f>
        <v>293.09588</v>
      </c>
      <c r="X163" s="46" t="n">
        <f aca="false">SUMPRODUCT(X146:X162,$AI$146:$AI$162)</f>
        <v>0</v>
      </c>
      <c r="Y163" s="46" t="n">
        <f aca="false">SUMPRODUCT(Y146:Y162,$AI$146:$AI$162)</f>
        <v>242.481</v>
      </c>
      <c r="Z163" s="46" t="n">
        <f aca="false">SUMPRODUCT(Z146:Z162,$AI$146:$AI$162)</f>
        <v>433.3292</v>
      </c>
      <c r="AA163" s="46" t="n">
        <f aca="false">SUMPRODUCT(AA146:AA162,$AI$146:$AI$162)</f>
        <v>167.29162</v>
      </c>
      <c r="AB163" s="46" t="n">
        <f aca="false">SUMPRODUCT(AB146:AB162,$AI$146:$AI$162)</f>
        <v>0</v>
      </c>
      <c r="AC163" s="46" t="n">
        <f aca="false">SUMPRODUCT(AC146:AC162,$AI$146:$AI$162)</f>
        <v>492.366</v>
      </c>
      <c r="AD163" s="46" t="n">
        <f aca="false">SUMPRODUCT(AD146:AD162,$AI$146:$AI$162)</f>
        <v>305.020756</v>
      </c>
      <c r="AE163" s="46" t="n">
        <f aca="false">SUMPRODUCT(AE146:AE162,$AI$146:$AI$162)</f>
        <v>305.020756</v>
      </c>
      <c r="AF163" s="46" t="n">
        <f aca="false">SUMPRODUCT(AF146:AF162,$AI$146:$AI$162)</f>
        <v>73.55928</v>
      </c>
      <c r="AG163" s="46" t="n">
        <f aca="false">SUMPRODUCT(AG146:AG162,$AI$146:$AI$162)</f>
        <v>99.78262</v>
      </c>
      <c r="AH163" s="45"/>
      <c r="AI163" s="18" t="s">
        <v>36</v>
      </c>
      <c r="AJ163" s="47" t="n">
        <f aca="false">SUMPRODUCT(AH146:AH162,AI146:AI162)</f>
        <v>28957.123474</v>
      </c>
      <c r="AK163" s="45"/>
      <c r="AL163" s="18" t="s">
        <v>36</v>
      </c>
      <c r="AM163" s="47" t="n">
        <f aca="false">SUMPRODUCT(AK146:AK162,AL146:AL162)</f>
        <v>6026.637032</v>
      </c>
      <c r="AN163" s="45"/>
      <c r="AO163" s="18" t="s">
        <v>36</v>
      </c>
      <c r="AP163" s="47" t="n">
        <f aca="false">SUMPRODUCT(AN146:AN162,AO146:AO162)</f>
        <v>22147.10303</v>
      </c>
      <c r="AQ163" s="45"/>
      <c r="AR163" s="18" t="s">
        <v>36</v>
      </c>
      <c r="AS163" s="47" t="n">
        <f aca="false">SUMPRODUCT(AQ146:AQ162,AR146:AR162)</f>
        <v>783.383412</v>
      </c>
    </row>
    <row r="164" customFormat="false" ht="23.85" hidden="false" customHeight="false" outlineLevel="0" collapsed="false">
      <c r="A164" s="4" t="s">
        <v>190</v>
      </c>
      <c r="B164" s="48" t="n">
        <f aca="false">B163*$AK$2</f>
        <v>785.23165948</v>
      </c>
      <c r="C164" s="48" t="n">
        <f aca="false">C163*$AK$2</f>
        <v>608.30930804</v>
      </c>
      <c r="D164" s="48" t="n">
        <f aca="false">D163*$AK$2</f>
        <v>663.152616</v>
      </c>
      <c r="E164" s="48" t="n">
        <f aca="false">E163*$AK$2</f>
        <v>1176.21902198</v>
      </c>
      <c r="F164" s="48" t="n">
        <f aca="false">F163*$AK$2</f>
        <v>1143.23508</v>
      </c>
      <c r="G164" s="48" t="n">
        <f aca="false">G163*$AK$2</f>
        <v>1327.09384982</v>
      </c>
      <c r="H164" s="48" t="n">
        <f aca="false">H163*$AK$2</f>
        <v>1120.446648</v>
      </c>
      <c r="I164" s="48" t="n">
        <f aca="false">I163*$AK$2</f>
        <v>1449.91331832</v>
      </c>
      <c r="J164" s="48" t="n">
        <f aca="false">J163*$AK$2</f>
        <v>411.717168</v>
      </c>
      <c r="K164" s="48" t="n">
        <f aca="false">K163*$AK$2</f>
        <v>757.30421864</v>
      </c>
      <c r="L164" s="48" t="n">
        <f aca="false">L163*$AK$2</f>
        <v>406.12349048</v>
      </c>
      <c r="M164" s="48" t="n">
        <f aca="false">M163*$AK$2</f>
        <v>552.9814356</v>
      </c>
      <c r="N164" s="48" t="n">
        <f aca="false">N163*$AK$2</f>
        <v>1174.00847688</v>
      </c>
      <c r="O164" s="48" t="n">
        <f aca="false">O163*$AK$2</f>
        <v>1862.49674548</v>
      </c>
      <c r="P164" s="48" t="n">
        <f aca="false">P163*$AK$2</f>
        <v>1231.53959274</v>
      </c>
      <c r="Q164" s="48" t="n">
        <f aca="false">Q163*$AK$2</f>
        <v>1169.26875994</v>
      </c>
      <c r="R164" s="48" t="n">
        <f aca="false">R163*$AK$2</f>
        <v>1091.57899174</v>
      </c>
      <c r="S164" s="48" t="n">
        <f aca="false">S163*$AK$2</f>
        <v>3354.8926804</v>
      </c>
      <c r="T164" s="48" t="n">
        <f aca="false">T163*$AK$2</f>
        <v>724.134698</v>
      </c>
      <c r="U164" s="48" t="n">
        <f aca="false">U163*$AK$2</f>
        <v>51.30864</v>
      </c>
      <c r="V164" s="48" t="n">
        <f aca="false">V163*$AK$2</f>
        <v>7342.3823078</v>
      </c>
      <c r="W164" s="48" t="n">
        <f aca="false">W163*$AK$2</f>
        <v>313.6125916</v>
      </c>
      <c r="X164" s="48" t="n">
        <f aca="false">X163*$AK$2</f>
        <v>0</v>
      </c>
      <c r="Y164" s="48" t="n">
        <f aca="false">Y163*$AK$2</f>
        <v>259.45467</v>
      </c>
      <c r="Z164" s="48" t="n">
        <f aca="false">Z163*$AK$2</f>
        <v>463.662244</v>
      </c>
      <c r="AA164" s="48" t="n">
        <f aca="false">AA163*$AK$2</f>
        <v>179.0020334</v>
      </c>
      <c r="AB164" s="48" t="n">
        <f aca="false">AB163*$AK$2</f>
        <v>0</v>
      </c>
      <c r="AC164" s="48" t="n">
        <f aca="false">AC163*$AK$2</f>
        <v>526.83162</v>
      </c>
      <c r="AD164" s="48" t="n">
        <f aca="false">AD163*$AK$2</f>
        <v>326.37220892</v>
      </c>
      <c r="AE164" s="48" t="n">
        <f aca="false">AE163*$AK$2</f>
        <v>326.37220892</v>
      </c>
      <c r="AF164" s="48" t="n">
        <f aca="false">AF163*$AK$2</f>
        <v>78.7084296</v>
      </c>
      <c r="AG164" s="48" t="n">
        <f aca="false">AG163*$AK$2</f>
        <v>106.7674034</v>
      </c>
      <c r="AH164" s="4"/>
      <c r="AI164" s="5" t="s">
        <v>191</v>
      </c>
      <c r="AJ164" s="49" t="n">
        <f aca="false">SUM(AJ146:AJ162)</f>
        <v>30984.12211718</v>
      </c>
      <c r="AK164" s="4"/>
      <c r="AL164" s="5" t="s">
        <v>191</v>
      </c>
      <c r="AM164" s="49" t="n">
        <f aca="false">SUM(AM146:AM162)</f>
        <v>6448.50162424</v>
      </c>
      <c r="AN164" s="4"/>
      <c r="AO164" s="5" t="s">
        <v>191</v>
      </c>
      <c r="AP164" s="49" t="n">
        <f aca="false">SUM(AP146:AP162)</f>
        <v>23697.4002421</v>
      </c>
      <c r="AQ164" s="4"/>
      <c r="AR164" s="5" t="s">
        <v>191</v>
      </c>
      <c r="AS164" s="49" t="n">
        <f aca="false">SUM(AS146:AS162)</f>
        <v>838.22025084</v>
      </c>
    </row>
    <row r="165" customFormat="false" ht="15" hidden="false" customHeight="false" outlineLevel="0" collapsed="false">
      <c r="AI165" s="5" t="s">
        <v>192</v>
      </c>
      <c r="AJ165" s="50" t="n">
        <f aca="false">AJ164/1000</f>
        <v>30.98412211718</v>
      </c>
      <c r="AL165" s="5" t="s">
        <v>192</v>
      </c>
      <c r="AM165" s="50" t="n">
        <f aca="false">AM164/1000</f>
        <v>6.44850162424</v>
      </c>
      <c r="AO165" s="5" t="s">
        <v>192</v>
      </c>
      <c r="AP165" s="50" t="n">
        <f aca="false">AP164/1000</f>
        <v>23.6974002421</v>
      </c>
      <c r="AR165" s="5" t="s">
        <v>192</v>
      </c>
      <c r="AS165" s="50" t="n">
        <f aca="false">AS164/1000</f>
        <v>0.83822025084</v>
      </c>
    </row>
    <row r="166" customFormat="false" ht="23.85" hidden="false" customHeight="false" outlineLevel="0" collapsed="false">
      <c r="A166" s="20" t="s">
        <v>235</v>
      </c>
      <c r="AJ166" s="21" t="n">
        <f aca="false">ROUND(AJ163-Ведомость!P2057,1)</f>
        <v>0</v>
      </c>
      <c r="AK166" s="35" t="s">
        <v>40</v>
      </c>
    </row>
    <row r="168" customFormat="false" ht="15" hidden="false" customHeight="false" outlineLevel="0" collapsed="false">
      <c r="A168" s="4" t="s">
        <v>194</v>
      </c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</row>
    <row r="169" customFormat="false" ht="15" hidden="false" customHeight="false" outlineLevel="0" collapsed="false">
      <c r="A169" s="6" t="s">
        <v>195</v>
      </c>
      <c r="B169" s="44" t="n">
        <f aca="false">(0.6*0.6+2*0.7*0.4+1.7*0.4)*(3.6-0.12)</f>
        <v>5.568</v>
      </c>
      <c r="C169" s="44" t="n">
        <f aca="false">(0.6*0.6+0.7*0.4+1.7*0.4)*(3.6-0.12)</f>
        <v>4.5936</v>
      </c>
      <c r="D169" s="44" t="n">
        <f aca="false">3*0.6*0.6*(3.6-0.12)</f>
        <v>3.7584</v>
      </c>
      <c r="E169" s="44" t="n">
        <f aca="false">1*0.45*(0.63-0.12)*20.5</f>
        <v>4.70475</v>
      </c>
      <c r="F169" s="44" t="n">
        <f aca="false">5*0.6*0.6*(3.6-0.12)</f>
        <v>6.264</v>
      </c>
      <c r="G169" s="44" t="n">
        <f aca="false">1*0.45*(0.63-0.12)*22.6</f>
        <v>5.1867</v>
      </c>
      <c r="H169" s="44" t="n">
        <f aca="false">5*0.6*0.6*(3.6-0.12)</f>
        <v>6.264</v>
      </c>
      <c r="I169" s="44" t="n">
        <f aca="false">1*0.45*(0.63-0.12)*22.6</f>
        <v>5.1867</v>
      </c>
      <c r="J169" s="44" t="n">
        <f aca="false">2*0.6*0.6*(3.6-0.12)</f>
        <v>2.5056</v>
      </c>
      <c r="K169" s="44" t="n">
        <f aca="false">(0.6*0.6+2*0.7*0.4+0.9*0.4)*(3.6-0.12)</f>
        <v>4.4544</v>
      </c>
      <c r="L169" s="44" t="n">
        <f aca="false">(0.6*0.6+0.9*0.4)*(3.6-0.12)</f>
        <v>2.5056</v>
      </c>
      <c r="M169" s="44" t="n">
        <f aca="false">(0.6*0.6+0.7*0.4+0.9*0.4)*(3.6-0.12)</f>
        <v>3.48</v>
      </c>
      <c r="N169" s="44" t="n">
        <f aca="false">1*0.45*(0.63-0.12)*19.8</f>
        <v>4.5441</v>
      </c>
      <c r="O169" s="44" t="n">
        <f aca="false">2*0.45*(0.6-0.12)*18.2</f>
        <v>7.8624</v>
      </c>
      <c r="P169" s="44" t="n">
        <f aca="false">1*0.45*(0.6-0.12)*15.8</f>
        <v>3.4128</v>
      </c>
      <c r="Q169" s="44" t="n">
        <f aca="false">1*0.45*(0.6-0.12)*18.2</f>
        <v>3.9312</v>
      </c>
      <c r="R169" s="44" t="n">
        <f aca="false">1*0.45*(0.6-0.12)*15.8</f>
        <v>3.4128</v>
      </c>
      <c r="S169" s="44" t="n">
        <f aca="false">137.85*0.3*(0.3-0.12)+6.05*0.3*(0.4-0.12)+(11.71+3.08+2.885)*0.2*(0.3-0.12)+35.75*0.25*(0.3-0.12)</f>
        <v>10.19715</v>
      </c>
      <c r="T169" s="44"/>
      <c r="U169" s="44"/>
      <c r="V169" s="44" t="n">
        <f aca="false">541.54*0.12</f>
        <v>64.9848</v>
      </c>
      <c r="W169" s="44"/>
      <c r="X169" s="44"/>
      <c r="Y169" s="44"/>
      <c r="Z169" s="44"/>
      <c r="AA169" s="44"/>
      <c r="AB169" s="44"/>
      <c r="AC169" s="44"/>
      <c r="AD169" s="44" t="n">
        <f aca="false">SQRT(3.3^2+1.8^2)*1.25*0.15+12*0.3*0.15/2*1.25</f>
        <v>1.04231047984547</v>
      </c>
      <c r="AE169" s="44" t="n">
        <f aca="false">SQRT(3.3^2+1.8^2)*1.25*0.15+12*0.3*0.15/2*1.25</f>
        <v>1.04231047984547</v>
      </c>
      <c r="AF169" s="44" t="n">
        <f aca="false">1.4*2.89*0.15</f>
        <v>0.6069</v>
      </c>
      <c r="AG169" s="44" t="n">
        <f aca="false">0.3*0.3*(1.7-0.3+0.55)+0.3*0.3*2.255</f>
        <v>0.37845</v>
      </c>
      <c r="AH169" s="51" t="n">
        <f aca="false">SUM(B169:AG169)</f>
        <v>155.886970959691</v>
      </c>
      <c r="AI169" s="20"/>
      <c r="AJ169" s="51" t="n">
        <f aca="false">AH169*$AL$2</f>
        <v>155.886970959691</v>
      </c>
      <c r="AK169" s="52" t="n">
        <f aca="false">SUM(B169:D169,F169,H169,J169:M169)</f>
        <v>39.3936</v>
      </c>
      <c r="AL169" s="6"/>
      <c r="AM169" s="24" t="n">
        <f aca="false">AK169*$AL$2</f>
        <v>39.3936</v>
      </c>
      <c r="AN169" s="52" t="n">
        <f aca="false">SUM(E169,G169,I169,N169:AC169)</f>
        <v>113.4234</v>
      </c>
      <c r="AO169" s="6"/>
      <c r="AP169" s="24" t="n">
        <f aca="false">AN169*$AL$2</f>
        <v>113.4234</v>
      </c>
      <c r="AQ169" s="52" t="n">
        <f aca="false">SUM(AD169:AG169)</f>
        <v>3.06997095969094</v>
      </c>
      <c r="AR169" s="6"/>
      <c r="AS169" s="24" t="n">
        <f aca="false">AQ169*$AL$2</f>
        <v>3.06997095969094</v>
      </c>
    </row>
    <row r="170" customFormat="false" ht="15" hidden="false" customHeight="false" outlineLevel="0" collapsed="false">
      <c r="A170" s="20" t="s">
        <v>196</v>
      </c>
      <c r="AJ170" s="53" t="n">
        <f aca="false">IF(AH169&gt;0,AJ163/AH169,0)</f>
        <v>185.757175828939</v>
      </c>
      <c r="AM170" s="54" t="n">
        <f aca="false">IF(AK169&gt;0,AM163/AK169,0)</f>
        <v>152.985181146176</v>
      </c>
      <c r="AP170" s="54" t="n">
        <f aca="false">IF(AN169&gt;0,AP163/AN169,0)</f>
        <v>195.260440350051</v>
      </c>
      <c r="AS170" s="54" t="n">
        <f aca="false">IF(AQ169&gt;0,AS163/AQ169,0)</f>
        <v>255.176163646468</v>
      </c>
    </row>
    <row r="172" customFormat="false" ht="15" hidden="false" customHeight="false" outlineLevel="0" collapsed="false">
      <c r="A172" s="4" t="s">
        <v>197</v>
      </c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</row>
    <row r="173" customFormat="false" ht="15" hidden="false" customHeight="false" outlineLevel="0" collapsed="false">
      <c r="A173" s="6" t="s">
        <v>198</v>
      </c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6" t="n">
        <f aca="false">SUM(B173:AG173)</f>
        <v>0</v>
      </c>
      <c r="AK173" s="57" t="n">
        <f aca="false">SUM(B173:D173,F173,H173,J173:M173)</f>
        <v>0</v>
      </c>
      <c r="AN173" s="57" t="n">
        <f aca="false">SUM(E173,G173,I173,N173:AC173)</f>
        <v>0</v>
      </c>
      <c r="AQ173" s="57" t="n">
        <f aca="false">SUM(AD173:AG173)</f>
        <v>0</v>
      </c>
    </row>
    <row r="174" customFormat="false" ht="15" hidden="false" customHeight="false" outlineLevel="0" collapsed="false">
      <c r="A174" s="6" t="s">
        <v>199</v>
      </c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6" t="n">
        <f aca="false">SUM(B174:AG174)</f>
        <v>0</v>
      </c>
      <c r="AK174" s="57" t="n">
        <f aca="false">SUM(B174:D174,F174,H174,J174:M174)</f>
        <v>0</v>
      </c>
      <c r="AN174" s="57" t="n">
        <f aca="false">SUM(E174,G174,I174,N174:AC174)</f>
        <v>0</v>
      </c>
      <c r="AQ174" s="57" t="n">
        <f aca="false">SUM(AD174:AG174)</f>
        <v>0</v>
      </c>
    </row>
    <row r="175" customFormat="false" ht="15" hidden="false" customHeight="false" outlineLevel="0" collapsed="false">
      <c r="A175" s="6" t="s">
        <v>200</v>
      </c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6" t="n">
        <f aca="false">SUM(B175:AG175)</f>
        <v>0</v>
      </c>
      <c r="AK175" s="57" t="n">
        <f aca="false">SUM(B175:D175,F175,H175,J175:M175)</f>
        <v>0</v>
      </c>
      <c r="AN175" s="57" t="n">
        <f aca="false">SUM(E175,G175,I175,N175:AC175)</f>
        <v>0</v>
      </c>
      <c r="AQ175" s="57" t="n">
        <f aca="false">SUM(AD175:AG175)</f>
        <v>0</v>
      </c>
    </row>
    <row r="176" customFormat="false" ht="15" hidden="false" customHeight="false" outlineLevel="0" collapsed="false">
      <c r="A176" s="6" t="s">
        <v>201</v>
      </c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 t="n">
        <v>16</v>
      </c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6" t="n">
        <f aca="false">SUM(B176:AG176)</f>
        <v>16</v>
      </c>
      <c r="AK176" s="57" t="n">
        <f aca="false">SUM(B176:D176,F176,H176,J176:M176)</f>
        <v>0</v>
      </c>
      <c r="AN176" s="57" t="n">
        <f aca="false">SUM(E176,G176,I176,N176:AC176)</f>
        <v>16</v>
      </c>
      <c r="AQ176" s="57" t="n">
        <f aca="false">SUM(AD176:AG176)</f>
        <v>0</v>
      </c>
    </row>
    <row r="177" customFormat="false" ht="15" hidden="false" customHeight="false" outlineLevel="0" collapsed="false">
      <c r="A177" s="6" t="s">
        <v>202</v>
      </c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 t="n">
        <v>36</v>
      </c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6" t="n">
        <f aca="false">SUM(B177:AG177)</f>
        <v>36</v>
      </c>
      <c r="AK177" s="57" t="n">
        <f aca="false">SUM(B177:D177,F177,H177,J177:M177)</f>
        <v>0</v>
      </c>
      <c r="AN177" s="57" t="n">
        <f aca="false">SUM(E177,G177,I177,N177:AC177)</f>
        <v>36</v>
      </c>
      <c r="AQ177" s="57" t="n">
        <f aca="false">SUM(AD177:AG177)</f>
        <v>0</v>
      </c>
    </row>
    <row r="178" customFormat="false" ht="15" hidden="false" customHeight="false" outlineLevel="0" collapsed="false">
      <c r="A178" s="6" t="s">
        <v>203</v>
      </c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 t="n">
        <v>72</v>
      </c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 t="n">
        <v>16</v>
      </c>
      <c r="AH178" s="56" t="n">
        <f aca="false">SUM(B178:AG178)</f>
        <v>88</v>
      </c>
      <c r="AK178" s="57" t="n">
        <f aca="false">SUM(B178:D178,F178,H178,J178:M178)</f>
        <v>0</v>
      </c>
      <c r="AN178" s="57" t="n">
        <f aca="false">SUM(E178,G178,I178,N178:AC178)</f>
        <v>72</v>
      </c>
      <c r="AQ178" s="57" t="n">
        <f aca="false">SUM(AD178:AG178)</f>
        <v>16</v>
      </c>
    </row>
    <row r="179" customFormat="false" ht="15" hidden="false" customHeight="false" outlineLevel="0" collapsed="false">
      <c r="A179" s="6" t="s">
        <v>204</v>
      </c>
      <c r="B179" s="55"/>
      <c r="C179" s="55"/>
      <c r="D179" s="55"/>
      <c r="E179" s="55" t="n">
        <v>10</v>
      </c>
      <c r="F179" s="55"/>
      <c r="G179" s="55" t="n">
        <v>10</v>
      </c>
      <c r="H179" s="55"/>
      <c r="I179" s="55" t="n">
        <v>10</v>
      </c>
      <c r="J179" s="55"/>
      <c r="K179" s="55"/>
      <c r="L179" s="55"/>
      <c r="M179" s="55"/>
      <c r="N179" s="55" t="n">
        <v>8</v>
      </c>
      <c r="O179" s="55" t="n">
        <v>20</v>
      </c>
      <c r="P179" s="55" t="n">
        <v>8</v>
      </c>
      <c r="Q179" s="55" t="n">
        <v>10</v>
      </c>
      <c r="R179" s="55" t="n">
        <v>10</v>
      </c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6" t="n">
        <f aca="false">SUM(B179:AG179)</f>
        <v>86</v>
      </c>
      <c r="AK179" s="57" t="n">
        <f aca="false">SUM(B179:D179,F179,H179,J179:M179)</f>
        <v>0</v>
      </c>
      <c r="AN179" s="57" t="n">
        <f aca="false">SUM(E179,G179,I179,N179:AC179)</f>
        <v>86</v>
      </c>
      <c r="AQ179" s="57" t="n">
        <f aca="false">SUM(AD179:AG179)</f>
        <v>0</v>
      </c>
    </row>
    <row r="180" customFormat="false" ht="15" hidden="false" customHeight="false" outlineLevel="0" collapsed="false">
      <c r="A180" s="6" t="s">
        <v>205</v>
      </c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 t="n">
        <v>2</v>
      </c>
      <c r="Q180" s="55" t="n">
        <v>2</v>
      </c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6" t="n">
        <f aca="false">SUM(B180:AG180)</f>
        <v>4</v>
      </c>
      <c r="AK180" s="57" t="n">
        <f aca="false">SUM(B180:D180,F180,H180,J180:M180)</f>
        <v>0</v>
      </c>
      <c r="AN180" s="57" t="n">
        <f aca="false">SUM(E180,G180,I180,N180:AC180)</f>
        <v>4</v>
      </c>
      <c r="AQ180" s="57" t="n">
        <f aca="false">SUM(AD180:AG180)</f>
        <v>0</v>
      </c>
    </row>
    <row r="181" customFormat="false" ht="15" hidden="false" customHeight="false" outlineLevel="0" collapsed="false">
      <c r="A181" s="6" t="s">
        <v>206</v>
      </c>
      <c r="B181" s="55"/>
      <c r="C181" s="55"/>
      <c r="D181" s="55" t="n">
        <v>8</v>
      </c>
      <c r="E181" s="55"/>
      <c r="F181" s="55" t="n">
        <v>20</v>
      </c>
      <c r="G181" s="55"/>
      <c r="H181" s="55" t="n">
        <v>16</v>
      </c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6" t="n">
        <f aca="false">SUM(B181:AG181)</f>
        <v>44</v>
      </c>
      <c r="AK181" s="57" t="n">
        <f aca="false">SUM(B181:D181,F181,H181,J181:M181)</f>
        <v>44</v>
      </c>
      <c r="AN181" s="57" t="n">
        <f aca="false">SUM(E181,G181,I181,N181:AC181)</f>
        <v>0</v>
      </c>
      <c r="AQ181" s="57" t="n">
        <f aca="false">SUM(AD181:AG181)</f>
        <v>0</v>
      </c>
    </row>
    <row r="182" customFormat="false" ht="15" hidden="false" customHeight="false" outlineLevel="0" collapsed="false">
      <c r="A182" s="6" t="s">
        <v>207</v>
      </c>
      <c r="B182" s="55" t="n">
        <v>4</v>
      </c>
      <c r="C182" s="55" t="n">
        <v>4</v>
      </c>
      <c r="D182" s="55" t="n">
        <v>4</v>
      </c>
      <c r="E182" s="55" t="n">
        <v>8</v>
      </c>
      <c r="F182" s="55"/>
      <c r="G182" s="55" t="n">
        <v>8</v>
      </c>
      <c r="H182" s="55" t="n">
        <v>4</v>
      </c>
      <c r="I182" s="55" t="n">
        <v>8</v>
      </c>
      <c r="J182" s="55" t="n">
        <v>8</v>
      </c>
      <c r="K182" s="55" t="n">
        <v>4</v>
      </c>
      <c r="L182" s="55" t="n">
        <v>4</v>
      </c>
      <c r="M182" s="55" t="n">
        <v>4</v>
      </c>
      <c r="N182" s="55" t="n">
        <v>8</v>
      </c>
      <c r="O182" s="55" t="n">
        <v>8</v>
      </c>
      <c r="P182" s="55" t="n">
        <v>4</v>
      </c>
      <c r="Q182" s="55" t="n">
        <v>4</v>
      </c>
      <c r="R182" s="55" t="n">
        <v>4</v>
      </c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6" t="n">
        <f aca="false">SUM(B182:AG182)</f>
        <v>88</v>
      </c>
      <c r="AK182" s="57" t="n">
        <f aca="false">SUM(B182:D182,F182,H182,J182:M182)</f>
        <v>36</v>
      </c>
      <c r="AN182" s="57" t="n">
        <f aca="false">SUM(E182,G182,I182,N182:AC182)</f>
        <v>52</v>
      </c>
      <c r="AQ182" s="57" t="n">
        <f aca="false">SUM(AD182:AG182)</f>
        <v>0</v>
      </c>
    </row>
    <row r="183" customFormat="false" ht="15" hidden="false" customHeight="false" outlineLevel="0" collapsed="false">
      <c r="A183" s="6" t="s">
        <v>208</v>
      </c>
      <c r="B183" s="55" t="n">
        <v>6</v>
      </c>
      <c r="C183" s="55"/>
      <c r="D183" s="55"/>
      <c r="E183" s="55"/>
      <c r="F183" s="55"/>
      <c r="G183" s="55"/>
      <c r="H183" s="55"/>
      <c r="I183" s="55"/>
      <c r="J183" s="55"/>
      <c r="K183" s="55"/>
      <c r="L183" s="55" t="n">
        <v>6</v>
      </c>
      <c r="M183" s="55"/>
      <c r="N183" s="55"/>
      <c r="O183" s="55"/>
      <c r="P183" s="55" t="n">
        <v>2</v>
      </c>
      <c r="Q183" s="55"/>
      <c r="R183" s="55"/>
      <c r="S183" s="55" t="n">
        <v>40</v>
      </c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6" t="n">
        <f aca="false">SUM(B183:AG183)</f>
        <v>54</v>
      </c>
      <c r="AK183" s="57" t="n">
        <f aca="false">SUM(B183:D183,F183,H183,J183:M183)</f>
        <v>12</v>
      </c>
      <c r="AN183" s="57" t="n">
        <f aca="false">SUM(E183,G183,I183,N183:AC183)</f>
        <v>42</v>
      </c>
      <c r="AQ183" s="57" t="n">
        <f aca="false">SUM(AD183:AG183)</f>
        <v>0</v>
      </c>
    </row>
    <row r="184" customFormat="false" ht="15" hidden="false" customHeight="false" outlineLevel="0" collapsed="false">
      <c r="A184" s="6" t="s">
        <v>209</v>
      </c>
      <c r="B184" s="55" t="n">
        <v>12</v>
      </c>
      <c r="C184" s="55" t="n">
        <v>12</v>
      </c>
      <c r="D184" s="55"/>
      <c r="E184" s="55"/>
      <c r="F184" s="55"/>
      <c r="G184" s="55"/>
      <c r="H184" s="55"/>
      <c r="I184" s="55"/>
      <c r="J184" s="55"/>
      <c r="K184" s="55" t="n">
        <v>18</v>
      </c>
      <c r="L184" s="55"/>
      <c r="M184" s="55" t="n">
        <v>12</v>
      </c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6" t="n">
        <f aca="false">SUM(B184:AG184)</f>
        <v>54</v>
      </c>
      <c r="AK184" s="57" t="n">
        <f aca="false">SUM(B184:D184,F184,H184,J184:M184)</f>
        <v>54</v>
      </c>
      <c r="AN184" s="57" t="n">
        <f aca="false">SUM(E184,G184,I184,N184:AC184)</f>
        <v>0</v>
      </c>
      <c r="AQ184" s="57" t="n">
        <f aca="false">SUM(AD184:AG184)</f>
        <v>0</v>
      </c>
    </row>
    <row r="185" customFormat="false" ht="15" hidden="false" customHeight="false" outlineLevel="0" collapsed="false">
      <c r="A185" s="6" t="s">
        <v>210</v>
      </c>
      <c r="B185" s="55" t="n">
        <v>8</v>
      </c>
      <c r="C185" s="55" t="n">
        <v>8</v>
      </c>
      <c r="D185" s="55" t="n">
        <v>24</v>
      </c>
      <c r="E185" s="55"/>
      <c r="F185" s="55" t="n">
        <v>40</v>
      </c>
      <c r="G185" s="55"/>
      <c r="H185" s="55" t="n">
        <v>40</v>
      </c>
      <c r="I185" s="55"/>
      <c r="J185" s="55" t="n">
        <v>16</v>
      </c>
      <c r="K185" s="55" t="n">
        <v>8</v>
      </c>
      <c r="L185" s="55" t="n">
        <v>8</v>
      </c>
      <c r="M185" s="55" t="n">
        <v>8</v>
      </c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6" t="n">
        <f aca="false">SUM(B185:AG185)</f>
        <v>160</v>
      </c>
      <c r="AK185" s="57" t="n">
        <f aca="false">SUM(B185:D185,F185,H185,J185:M185)</f>
        <v>160</v>
      </c>
      <c r="AN185" s="57" t="n">
        <f aca="false">SUM(E185,G185,I185,N185:AC185)</f>
        <v>0</v>
      </c>
      <c r="AQ185" s="57" t="n">
        <f aca="false">SUM(AD185:AG185)</f>
        <v>0</v>
      </c>
    </row>
    <row r="188" customFormat="false" ht="30" hidden="false" customHeight="true" outlineLevel="0" collapsed="false">
      <c r="A188" s="38" t="s">
        <v>236</v>
      </c>
      <c r="B188" s="38" t="s">
        <v>118</v>
      </c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 t="s">
        <v>119</v>
      </c>
      <c r="T188" s="38"/>
      <c r="U188" s="38"/>
      <c r="V188" s="38" t="s">
        <v>120</v>
      </c>
      <c r="W188" s="38"/>
      <c r="X188" s="38"/>
      <c r="Y188" s="38"/>
      <c r="Z188" s="38"/>
      <c r="AA188" s="38"/>
      <c r="AB188" s="38"/>
      <c r="AC188" s="38" t="s">
        <v>121</v>
      </c>
      <c r="AD188" s="38" t="s">
        <v>122</v>
      </c>
      <c r="AE188" s="38"/>
      <c r="AF188" s="38"/>
      <c r="AG188" s="38"/>
      <c r="AH188" s="38"/>
      <c r="AI188" s="38"/>
      <c r="AJ188" s="38"/>
      <c r="AK188" s="38" t="s">
        <v>12</v>
      </c>
      <c r="AL188" s="38"/>
      <c r="AM188" s="38"/>
      <c r="AN188" s="38" t="s">
        <v>123</v>
      </c>
      <c r="AO188" s="38"/>
      <c r="AP188" s="38"/>
      <c r="AQ188" s="38" t="s">
        <v>124</v>
      </c>
      <c r="AR188" s="38"/>
      <c r="AS188" s="38"/>
    </row>
    <row r="189" customFormat="false" ht="30" hidden="false" customHeight="true" outlineLevel="0" collapsed="false">
      <c r="A189" s="5" t="s">
        <v>237</v>
      </c>
      <c r="B189" s="5" t="s">
        <v>126</v>
      </c>
      <c r="C189" s="5" t="s">
        <v>126</v>
      </c>
      <c r="D189" s="5" t="s">
        <v>126</v>
      </c>
      <c r="E189" s="5" t="s">
        <v>126</v>
      </c>
      <c r="F189" s="5" t="s">
        <v>127</v>
      </c>
      <c r="G189" s="5" t="s">
        <v>127</v>
      </c>
      <c r="H189" s="5" t="s">
        <v>128</v>
      </c>
      <c r="I189" s="5" t="s">
        <v>128</v>
      </c>
      <c r="J189" s="5" t="s">
        <v>129</v>
      </c>
      <c r="K189" s="5" t="s">
        <v>129</v>
      </c>
      <c r="L189" s="5" t="s">
        <v>129</v>
      </c>
      <c r="M189" s="5" t="s">
        <v>129</v>
      </c>
      <c r="N189" s="5" t="s">
        <v>129</v>
      </c>
      <c r="O189" s="5" t="s">
        <v>130</v>
      </c>
      <c r="P189" s="5" t="s">
        <v>131</v>
      </c>
      <c r="Q189" s="5" t="s">
        <v>132</v>
      </c>
      <c r="R189" s="5" t="s">
        <v>133</v>
      </c>
      <c r="S189" s="5" t="s">
        <v>134</v>
      </c>
      <c r="T189" s="5" t="s">
        <v>135</v>
      </c>
      <c r="U189" s="5" t="s">
        <v>136</v>
      </c>
      <c r="V189" s="5" t="s">
        <v>134</v>
      </c>
      <c r="W189" s="5" t="s">
        <v>135</v>
      </c>
      <c r="X189" s="5" t="s">
        <v>137</v>
      </c>
      <c r="Y189" s="5" t="s">
        <v>136</v>
      </c>
      <c r="Z189" s="5"/>
      <c r="AA189" s="5" t="s">
        <v>138</v>
      </c>
      <c r="AB189" s="5" t="s">
        <v>139</v>
      </c>
      <c r="AC189" s="5" t="s">
        <v>140</v>
      </c>
      <c r="AD189" s="5" t="s">
        <v>141</v>
      </c>
      <c r="AE189" s="5" t="s">
        <v>142</v>
      </c>
      <c r="AF189" s="5" t="s">
        <v>143</v>
      </c>
      <c r="AG189" s="5" t="s">
        <v>144</v>
      </c>
      <c r="AH189" s="5" t="s">
        <v>36</v>
      </c>
      <c r="AI189" s="5" t="s">
        <v>145</v>
      </c>
      <c r="AJ189" s="5" t="s">
        <v>146</v>
      </c>
      <c r="AK189" s="5" t="s">
        <v>36</v>
      </c>
      <c r="AL189" s="5" t="s">
        <v>145</v>
      </c>
      <c r="AM189" s="5" t="s">
        <v>146</v>
      </c>
      <c r="AN189" s="5" t="s">
        <v>36</v>
      </c>
      <c r="AO189" s="5" t="s">
        <v>145</v>
      </c>
      <c r="AP189" s="5" t="s">
        <v>146</v>
      </c>
      <c r="AQ189" s="5" t="s">
        <v>36</v>
      </c>
      <c r="AR189" s="5" t="s">
        <v>145</v>
      </c>
      <c r="AS189" s="5" t="s">
        <v>146</v>
      </c>
    </row>
    <row r="190" customFormat="false" ht="30" hidden="false" customHeight="true" outlineLevel="0" collapsed="false">
      <c r="A190" s="5" t="s">
        <v>238</v>
      </c>
      <c r="B190" s="5" t="s">
        <v>148</v>
      </c>
      <c r="C190" s="5" t="s">
        <v>149</v>
      </c>
      <c r="D190" s="5" t="s">
        <v>214</v>
      </c>
      <c r="E190" s="5" t="s">
        <v>151</v>
      </c>
      <c r="F190" s="5" t="s">
        <v>239</v>
      </c>
      <c r="G190" s="5" t="s">
        <v>151</v>
      </c>
      <c r="H190" s="5" t="s">
        <v>215</v>
      </c>
      <c r="I190" s="5" t="s">
        <v>151</v>
      </c>
      <c r="J190" s="5" t="s">
        <v>216</v>
      </c>
      <c r="K190" s="5" t="s">
        <v>154</v>
      </c>
      <c r="L190" s="5" t="s">
        <v>155</v>
      </c>
      <c r="M190" s="5" t="s">
        <v>156</v>
      </c>
      <c r="N190" s="5" t="s">
        <v>151</v>
      </c>
      <c r="O190" s="5" t="s">
        <v>157</v>
      </c>
      <c r="P190" s="5" t="s">
        <v>158</v>
      </c>
      <c r="Q190" s="5" t="s">
        <v>158</v>
      </c>
      <c r="R190" s="5" t="s">
        <v>158</v>
      </c>
      <c r="S190" s="5"/>
      <c r="T190" s="5" t="s">
        <v>240</v>
      </c>
      <c r="U190" s="5" t="s">
        <v>164</v>
      </c>
      <c r="V190" s="5"/>
      <c r="W190" s="5" t="s">
        <v>160</v>
      </c>
      <c r="X190" s="5"/>
      <c r="Y190" s="5" t="s">
        <v>161</v>
      </c>
      <c r="Z190" s="5" t="s">
        <v>162</v>
      </c>
      <c r="AA190" s="5" t="s">
        <v>163</v>
      </c>
      <c r="AB190" s="5" t="s">
        <v>241</v>
      </c>
      <c r="AC190" s="5" t="s">
        <v>165</v>
      </c>
      <c r="AD190" s="5" t="s">
        <v>242</v>
      </c>
      <c r="AE190" s="5" t="s">
        <v>243</v>
      </c>
      <c r="AF190" s="5" t="s">
        <v>244</v>
      </c>
      <c r="AG190" s="5" t="s">
        <v>220</v>
      </c>
      <c r="AH190" s="5" t="s">
        <v>170</v>
      </c>
      <c r="AI190" s="5"/>
      <c r="AJ190" s="5" t="s">
        <v>19</v>
      </c>
      <c r="AK190" s="5" t="s">
        <v>170</v>
      </c>
      <c r="AL190" s="5"/>
      <c r="AM190" s="5" t="s">
        <v>19</v>
      </c>
      <c r="AN190" s="5" t="s">
        <v>170</v>
      </c>
      <c r="AO190" s="5"/>
      <c r="AP190" s="5" t="s">
        <v>19</v>
      </c>
      <c r="AQ190" s="5" t="s">
        <v>170</v>
      </c>
      <c r="AR190" s="5"/>
      <c r="AS190" s="5" t="s">
        <v>19</v>
      </c>
    </row>
    <row r="191" customFormat="false" ht="15" hidden="false" customHeight="false" outlineLevel="0" collapsed="false">
      <c r="A191" s="4" t="s">
        <v>171</v>
      </c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</row>
    <row r="192" customFormat="false" ht="15" hidden="false" customHeight="false" outlineLevel="0" collapsed="false">
      <c r="A192" s="6" t="s">
        <v>172</v>
      </c>
      <c r="B192" s="39"/>
      <c r="C192" s="39"/>
      <c r="D192" s="39" t="n">
        <f aca="false">2*2*2.75+2*2*2.25</f>
        <v>20</v>
      </c>
      <c r="E192" s="39"/>
      <c r="F192" s="39" t="n">
        <f aca="false">4*2*2.75+4*2*2.25+2*2.75+2*2.25</f>
        <v>50</v>
      </c>
      <c r="G192" s="39"/>
      <c r="H192" s="39" t="n">
        <f aca="false">2*2*2.75+2*2*2.25+2*4*3.6</f>
        <v>48.8</v>
      </c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40" t="n">
        <f aca="false">SUM(B192:AG192)</f>
        <v>118.8</v>
      </c>
      <c r="AI192" s="41" t="n">
        <f aca="false">IFERROR(INDEX(Исходные!$B$21:$B$33,MATCH(32,Исходные!$A$21:$A$33,0)),0)</f>
        <v>6.313</v>
      </c>
      <c r="AJ192" s="40" t="n">
        <f aca="false">AH192*AI192*$AK$2</f>
        <v>802.483308</v>
      </c>
      <c r="AK192" s="42" t="n">
        <f aca="false">SUM(B192:D192,F192,H192,J192:M192)</f>
        <v>118.8</v>
      </c>
      <c r="AL192" s="43" t="n">
        <f aca="false">AI192</f>
        <v>6.313</v>
      </c>
      <c r="AM192" s="28" t="n">
        <f aca="false">AK192*AL192*$AK$2</f>
        <v>802.483308</v>
      </c>
      <c r="AN192" s="42" t="n">
        <f aca="false">SUM(E192,G192,I192,N192:AC192)</f>
        <v>0</v>
      </c>
      <c r="AO192" s="43" t="n">
        <f aca="false">AI192</f>
        <v>6.313</v>
      </c>
      <c r="AP192" s="28" t="n">
        <f aca="false">AN192*AO192*$AK$2</f>
        <v>0</v>
      </c>
      <c r="AQ192" s="42" t="n">
        <f aca="false">SUM(AD192:AG192)</f>
        <v>0</v>
      </c>
      <c r="AR192" s="43" t="n">
        <f aca="false">AI192</f>
        <v>6.313</v>
      </c>
      <c r="AS192" s="28" t="n">
        <f aca="false">AQ192*AR192*$AK$2</f>
        <v>0</v>
      </c>
    </row>
    <row r="193" customFormat="false" ht="15" hidden="false" customHeight="false" outlineLevel="0" collapsed="false">
      <c r="A193" s="6" t="s">
        <v>173</v>
      </c>
      <c r="B193" s="39" t="n">
        <f aca="false">2*2.75+2*2.25</f>
        <v>10</v>
      </c>
      <c r="C193" s="39" t="n">
        <f aca="false">2*2.75+2*2.25</f>
        <v>10</v>
      </c>
      <c r="D193" s="39" t="n">
        <f aca="false">2*2.75+2*2.25</f>
        <v>10</v>
      </c>
      <c r="E193" s="39" t="n">
        <f aca="false">4*25.5</f>
        <v>102</v>
      </c>
      <c r="F193" s="39"/>
      <c r="G193" s="39" t="n">
        <f aca="false">4*25.5</f>
        <v>102</v>
      </c>
      <c r="H193" s="39" t="n">
        <f aca="false">2*2.75+2*2.25</f>
        <v>10</v>
      </c>
      <c r="I193" s="39" t="n">
        <f aca="false">4*25.5</f>
        <v>102</v>
      </c>
      <c r="J193" s="39" t="n">
        <f aca="false">2*2*2.75+2*2*2.25</f>
        <v>20</v>
      </c>
      <c r="K193" s="39" t="n">
        <f aca="false">2*2.75+2*2.25</f>
        <v>10</v>
      </c>
      <c r="L193" s="39" t="n">
        <f aca="false">2*2.75+2*2.25</f>
        <v>10</v>
      </c>
      <c r="M193" s="39" t="n">
        <f aca="false">2*2.75+2*2.25</f>
        <v>10</v>
      </c>
      <c r="N193" s="39" t="n">
        <f aca="false">4*25.5+2*5.5</f>
        <v>113</v>
      </c>
      <c r="O193" s="39" t="n">
        <f aca="false">2*4*20.5</f>
        <v>164</v>
      </c>
      <c r="P193" s="39" t="n">
        <f aca="false">4*20.5+1*2.4</f>
        <v>84.4</v>
      </c>
      <c r="Q193" s="39" t="n">
        <f aca="false">4*20.5+2*2.05</f>
        <v>86.1</v>
      </c>
      <c r="R193" s="39" t="n">
        <f aca="false">4*20.5+2*2.4</f>
        <v>86.8</v>
      </c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40" t="n">
        <f aca="false">SUM(B193:AG193)</f>
        <v>930.3</v>
      </c>
      <c r="AI193" s="41" t="n">
        <f aca="false">IFERROR(INDEX(Исходные!$B$21:$B$33,MATCH(28,Исходные!$A$21:$A$33,0)),0)</f>
        <v>4.834</v>
      </c>
      <c r="AJ193" s="40" t="n">
        <f aca="false">AH193*AI193*$AK$2</f>
        <v>4811.865114</v>
      </c>
      <c r="AK193" s="42" t="n">
        <f aca="false">SUM(B193:D193,F193,H193,J193:M193)</f>
        <v>90</v>
      </c>
      <c r="AL193" s="43" t="n">
        <f aca="false">AI193</f>
        <v>4.834</v>
      </c>
      <c r="AM193" s="28" t="n">
        <f aca="false">AK193*AL193*$AK$2</f>
        <v>465.5142</v>
      </c>
      <c r="AN193" s="42" t="n">
        <f aca="false">SUM(E193,G193,I193,N193:AC193)</f>
        <v>840.3</v>
      </c>
      <c r="AO193" s="43" t="n">
        <f aca="false">AI193</f>
        <v>4.834</v>
      </c>
      <c r="AP193" s="28" t="n">
        <f aca="false">AN193*AO193*$AK$2</f>
        <v>4346.350914</v>
      </c>
      <c r="AQ193" s="42" t="n">
        <f aca="false">SUM(AD193:AG193)</f>
        <v>0</v>
      </c>
      <c r="AR193" s="43" t="n">
        <f aca="false">AI193</f>
        <v>4.834</v>
      </c>
      <c r="AS193" s="28" t="n">
        <f aca="false">AQ193*AR193*$AK$2</f>
        <v>0</v>
      </c>
    </row>
    <row r="194" customFormat="false" ht="15" hidden="false" customHeight="false" outlineLevel="0" collapsed="false">
      <c r="A194" s="6" t="s">
        <v>174</v>
      </c>
      <c r="B194" s="39" t="n">
        <f aca="false">3*2.75+3*2.25</f>
        <v>15</v>
      </c>
      <c r="C194" s="39"/>
      <c r="D194" s="39"/>
      <c r="E194" s="39"/>
      <c r="F194" s="39"/>
      <c r="G194" s="39"/>
      <c r="H194" s="39"/>
      <c r="I194" s="39" t="n">
        <f aca="false">2*3.7+2*3.6</f>
        <v>14.6</v>
      </c>
      <c r="J194" s="39"/>
      <c r="K194" s="39"/>
      <c r="L194" s="39" t="n">
        <f aca="false">3*2.75+3*2.25</f>
        <v>15</v>
      </c>
      <c r="M194" s="39"/>
      <c r="N194" s="39"/>
      <c r="O194" s="39"/>
      <c r="P194" s="39"/>
      <c r="Q194" s="39" t="n">
        <f aca="false">2*3.8</f>
        <v>7.6</v>
      </c>
      <c r="R194" s="39" t="n">
        <f aca="false">2*2.85</f>
        <v>5.7</v>
      </c>
      <c r="S194" s="39" t="n">
        <f aca="false">4*20.4+4*20.4+4*13.9+4*20.4+4*25.4+4*25.4+4*13.9+4*11.9+4*3.785+4*3.365</f>
        <v>635.4</v>
      </c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 t="n">
        <f aca="false">4*3.065+4*2.21</f>
        <v>21.1</v>
      </c>
      <c r="AH194" s="40" t="n">
        <f aca="false">SUM(B194:AG194)</f>
        <v>714.4</v>
      </c>
      <c r="AI194" s="41" t="n">
        <f aca="false">IFERROR(INDEX(Исходные!$B$21:$B$33,MATCH(25,Исходные!$A$21:$A$33,0)),0)</f>
        <v>3.853</v>
      </c>
      <c r="AJ194" s="40" t="n">
        <f aca="false">AH194*AI194*$AK$2</f>
        <v>2945.264024</v>
      </c>
      <c r="AK194" s="42" t="n">
        <f aca="false">SUM(B194:D194,F194,H194,J194:M194)</f>
        <v>30</v>
      </c>
      <c r="AL194" s="43" t="n">
        <f aca="false">AI194</f>
        <v>3.853</v>
      </c>
      <c r="AM194" s="28" t="n">
        <f aca="false">AK194*AL194*$AK$2</f>
        <v>123.6813</v>
      </c>
      <c r="AN194" s="42" t="n">
        <f aca="false">SUM(E194,G194,I194,N194:AC194)</f>
        <v>663.3</v>
      </c>
      <c r="AO194" s="43" t="n">
        <f aca="false">AI194</f>
        <v>3.853</v>
      </c>
      <c r="AP194" s="28" t="n">
        <f aca="false">AN194*AO194*$AK$2</f>
        <v>2734.593543</v>
      </c>
      <c r="AQ194" s="42" t="n">
        <f aca="false">SUM(AD194:AG194)</f>
        <v>21.1</v>
      </c>
      <c r="AR194" s="43" t="n">
        <f aca="false">AI194</f>
        <v>3.853</v>
      </c>
      <c r="AS194" s="28" t="n">
        <f aca="false">AQ194*AR194*$AK$2</f>
        <v>86.989181</v>
      </c>
    </row>
    <row r="195" customFormat="false" ht="15" hidden="false" customHeight="false" outlineLevel="0" collapsed="false">
      <c r="A195" s="6" t="s">
        <v>175</v>
      </c>
      <c r="B195" s="39" t="n">
        <f aca="false">6*2.75+6*2.25</f>
        <v>30</v>
      </c>
      <c r="C195" s="39" t="n">
        <f aca="false">3*2.75+3*2.25+3*2.75+3*2.25</f>
        <v>30</v>
      </c>
      <c r="D195" s="39"/>
      <c r="E195" s="39"/>
      <c r="F195" s="39"/>
      <c r="G195" s="39"/>
      <c r="H195" s="39"/>
      <c r="I195" s="39"/>
      <c r="J195" s="39"/>
      <c r="K195" s="39" t="n">
        <f aca="false">6*2.75+6*2.25+3*2.75+3*2.25</f>
        <v>45</v>
      </c>
      <c r="L195" s="39"/>
      <c r="M195" s="39" t="n">
        <f aca="false">3*2.75+3*2.25+3*2.75+3*2.25</f>
        <v>30</v>
      </c>
      <c r="N195" s="39" t="n">
        <f aca="false">2*4.7</f>
        <v>9.4</v>
      </c>
      <c r="O195" s="39"/>
      <c r="P195" s="39" t="n">
        <f aca="false">2*2.85</f>
        <v>5.7</v>
      </c>
      <c r="Q195" s="39"/>
      <c r="R195" s="39"/>
      <c r="S195" s="39"/>
      <c r="T195" s="39"/>
      <c r="U195" s="39"/>
      <c r="V195" s="39"/>
      <c r="W195" s="39"/>
      <c r="X195" s="39"/>
      <c r="Y195" s="39"/>
      <c r="Z195" s="39" t="n">
        <f aca="false">2*2*1.7+1*1.7</f>
        <v>8.5</v>
      </c>
      <c r="AA195" s="39"/>
      <c r="AB195" s="39"/>
      <c r="AC195" s="39"/>
      <c r="AD195" s="39"/>
      <c r="AE195" s="39"/>
      <c r="AF195" s="39"/>
      <c r="AG195" s="39"/>
      <c r="AH195" s="40" t="n">
        <f aca="false">SUM(B195:AG195)</f>
        <v>158.6</v>
      </c>
      <c r="AI195" s="41" t="n">
        <f aca="false">IFERROR(INDEX(Исходные!$B$21:$B$33,MATCH(22,Исходные!$A$21:$A$33,0)),0)</f>
        <v>2.984</v>
      </c>
      <c r="AJ195" s="40" t="n">
        <f aca="false">AH195*AI195*$AK$2</f>
        <v>506.390768</v>
      </c>
      <c r="AK195" s="42" t="n">
        <f aca="false">SUM(B195:D195,F195,H195,J195:M195)</f>
        <v>135</v>
      </c>
      <c r="AL195" s="43" t="n">
        <f aca="false">AI195</f>
        <v>2.984</v>
      </c>
      <c r="AM195" s="28" t="n">
        <f aca="false">AK195*AL195*$AK$2</f>
        <v>431.0388</v>
      </c>
      <c r="AN195" s="42" t="n">
        <f aca="false">SUM(E195,G195,I195,N195:AC195)</f>
        <v>23.6</v>
      </c>
      <c r="AO195" s="43" t="n">
        <f aca="false">AI195</f>
        <v>2.984</v>
      </c>
      <c r="AP195" s="28" t="n">
        <f aca="false">AN195*AO195*$AK$2</f>
        <v>75.351968</v>
      </c>
      <c r="AQ195" s="42" t="n">
        <f aca="false">SUM(AD195:AG195)</f>
        <v>0</v>
      </c>
      <c r="AR195" s="43" t="n">
        <f aca="false">AI195</f>
        <v>2.984</v>
      </c>
      <c r="AS195" s="28" t="n">
        <f aca="false">AQ195*AR195*$AK$2</f>
        <v>0</v>
      </c>
    </row>
    <row r="196" customFormat="false" ht="15" hidden="false" customHeight="false" outlineLevel="0" collapsed="false">
      <c r="A196" s="6" t="s">
        <v>176</v>
      </c>
      <c r="B196" s="39" t="n">
        <f aca="false">4*2.75+4*2.25</f>
        <v>20</v>
      </c>
      <c r="C196" s="39" t="n">
        <f aca="false">4*2.75+4*2.25</f>
        <v>20</v>
      </c>
      <c r="D196" s="39" t="n">
        <f aca="false">3*4*2.75+3*4*2.25</f>
        <v>60</v>
      </c>
      <c r="E196" s="39" t="n">
        <f aca="false">2*4.5+2*4.8</f>
        <v>18.6</v>
      </c>
      <c r="F196" s="39" t="n">
        <f aca="false">4*4*2.75+4*4*2.25+5*2.75+5*2.25</f>
        <v>105</v>
      </c>
      <c r="G196" s="39" t="n">
        <f aca="false">2*3.7</f>
        <v>7.4</v>
      </c>
      <c r="H196" s="39" t="n">
        <f aca="false">3*4*2.75+3*4*2.25+2*8*3.6</f>
        <v>117.6</v>
      </c>
      <c r="I196" s="39" t="n">
        <f aca="false">2*3.7</f>
        <v>7.4</v>
      </c>
      <c r="J196" s="39" t="n">
        <f aca="false">2*4*2.75+2*4*2.25</f>
        <v>40</v>
      </c>
      <c r="K196" s="39" t="n">
        <f aca="false">4*2.75+4*2.25</f>
        <v>20</v>
      </c>
      <c r="L196" s="39" t="n">
        <f aca="false">4*2.75+4*2.25</f>
        <v>20</v>
      </c>
      <c r="M196" s="39" t="n">
        <f aca="false">4*2.75+4*2.25</f>
        <v>20</v>
      </c>
      <c r="N196" s="39"/>
      <c r="O196" s="39" t="n">
        <f aca="false">2*2*3.8+2*2*3.8</f>
        <v>30.4</v>
      </c>
      <c r="P196" s="39"/>
      <c r="Q196" s="39" t="n">
        <f aca="false">2*3.8</f>
        <v>7.6</v>
      </c>
      <c r="R196" s="39"/>
      <c r="S196" s="39" t="n">
        <f aca="false">4*3.05+4*3.785+4*4.1+4*3.325+4*3.78+4*3.59</f>
        <v>86.52</v>
      </c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40" t="n">
        <f aca="false">SUM(B196:AG196)</f>
        <v>580.52</v>
      </c>
      <c r="AI196" s="41" t="n">
        <f aca="false">IFERROR(INDEX(Исходные!$B$21:$B$33,MATCH(20,Исходные!$A$21:$A$33,0)),0)</f>
        <v>2.466</v>
      </c>
      <c r="AJ196" s="40" t="n">
        <f aca="false">AH196*AI196*$AK$2</f>
        <v>1531.7716824</v>
      </c>
      <c r="AK196" s="42" t="n">
        <f aca="false">SUM(B196:D196,F196,H196,J196:M196)</f>
        <v>422.6</v>
      </c>
      <c r="AL196" s="43" t="n">
        <f aca="false">AI196</f>
        <v>2.466</v>
      </c>
      <c r="AM196" s="28" t="n">
        <f aca="false">AK196*AL196*$AK$2</f>
        <v>1115.080812</v>
      </c>
      <c r="AN196" s="42" t="n">
        <f aca="false">SUM(E196,G196,I196,N196:AC196)</f>
        <v>157.92</v>
      </c>
      <c r="AO196" s="43" t="n">
        <f aca="false">AI196</f>
        <v>2.466</v>
      </c>
      <c r="AP196" s="28" t="n">
        <f aca="false">AN196*AO196*$AK$2</f>
        <v>416.6908704</v>
      </c>
      <c r="AQ196" s="42" t="n">
        <f aca="false">SUM(AD196:AG196)</f>
        <v>0</v>
      </c>
      <c r="AR196" s="43" t="n">
        <f aca="false">AI196</f>
        <v>2.466</v>
      </c>
      <c r="AS196" s="28" t="n">
        <f aca="false">AQ196*AR196*$AK$2</f>
        <v>0</v>
      </c>
    </row>
    <row r="197" customFormat="false" ht="15" hidden="false" customHeight="false" outlineLevel="0" collapsed="false">
      <c r="A197" s="6" t="s">
        <v>177</v>
      </c>
      <c r="B197" s="39" t="n">
        <f aca="false">2*2.894+2*2.394</f>
        <v>10.576</v>
      </c>
      <c r="C197" s="39" t="n">
        <f aca="false">2*2.894+2*2.394</f>
        <v>10.576</v>
      </c>
      <c r="D197" s="39"/>
      <c r="E197" s="39" t="n">
        <f aca="false">2*25.5+2*2*0.144</f>
        <v>51.576</v>
      </c>
      <c r="F197" s="39"/>
      <c r="G197" s="39" t="n">
        <f aca="false">2*25.5+2*2*0.144</f>
        <v>51.576</v>
      </c>
      <c r="H197" s="39"/>
      <c r="I197" s="39" t="n">
        <f aca="false">2*25.5+2*2*0.144</f>
        <v>51.576</v>
      </c>
      <c r="J197" s="39"/>
      <c r="K197" s="39"/>
      <c r="L197" s="39"/>
      <c r="M197" s="39" t="n">
        <f aca="false">6*1.45</f>
        <v>8.7</v>
      </c>
      <c r="N197" s="39" t="n">
        <f aca="false">2*25.5+2*2*0.144+2*4.3</f>
        <v>60.176</v>
      </c>
      <c r="O197" s="39" t="n">
        <f aca="false">2*2*20.5+4*1*0.144</f>
        <v>82.576</v>
      </c>
      <c r="P197" s="39" t="n">
        <f aca="false">2*20.5+2*1*0.144</f>
        <v>41.288</v>
      </c>
      <c r="Q197" s="39" t="n">
        <f aca="false">2*20.5+2*1*0.144</f>
        <v>41.288</v>
      </c>
      <c r="R197" s="39" t="n">
        <f aca="false">2*20.5+2*1*0.144</f>
        <v>41.288</v>
      </c>
      <c r="S197" s="39"/>
      <c r="T197" s="39"/>
      <c r="U197" s="39"/>
      <c r="V197" s="39"/>
      <c r="W197" s="39"/>
      <c r="X197" s="39"/>
      <c r="Y197" s="39"/>
      <c r="Z197" s="39" t="n">
        <f aca="false">1*3.9+2*1.7</f>
        <v>7.3</v>
      </c>
      <c r="AA197" s="39"/>
      <c r="AB197" s="39"/>
      <c r="AC197" s="39"/>
      <c r="AD197" s="39" t="n">
        <f aca="false">18*6.109</f>
        <v>109.962</v>
      </c>
      <c r="AE197" s="39" t="n">
        <f aca="false">18*6.109</f>
        <v>109.962</v>
      </c>
      <c r="AF197" s="39"/>
      <c r="AG197" s="39"/>
      <c r="AH197" s="40" t="n">
        <f aca="false">SUM(B197:AG197)</f>
        <v>678.42</v>
      </c>
      <c r="AI197" s="41" t="n">
        <f aca="false">IFERROR(INDEX(Исходные!$B$21:$B$33,MATCH(18,Исходные!$A$21:$A$33,0)),0)</f>
        <v>1.998</v>
      </c>
      <c r="AJ197" s="40" t="n">
        <f aca="false">AH197*AI197*$AK$2</f>
        <v>1450.3669812</v>
      </c>
      <c r="AK197" s="42" t="n">
        <f aca="false">SUM(B197:D197,F197,H197,J197:M197)</f>
        <v>29.852</v>
      </c>
      <c r="AL197" s="43" t="n">
        <f aca="false">AI197</f>
        <v>1.998</v>
      </c>
      <c r="AM197" s="28" t="n">
        <f aca="false">AK197*AL197*$AK$2</f>
        <v>63.81939672</v>
      </c>
      <c r="AN197" s="42" t="n">
        <f aca="false">SUM(E197,G197,I197,N197:AC197)</f>
        <v>428.644</v>
      </c>
      <c r="AO197" s="43" t="n">
        <f aca="false">AI197</f>
        <v>1.998</v>
      </c>
      <c r="AP197" s="28" t="n">
        <f aca="false">AN197*AO197*$AK$2</f>
        <v>916.38086184</v>
      </c>
      <c r="AQ197" s="42" t="n">
        <f aca="false">SUM(AD197:AG197)</f>
        <v>219.924</v>
      </c>
      <c r="AR197" s="43" t="n">
        <f aca="false">AI197</f>
        <v>1.998</v>
      </c>
      <c r="AS197" s="28" t="n">
        <f aca="false">AQ197*AR197*$AK$2</f>
        <v>470.16672264</v>
      </c>
    </row>
    <row r="198" customFormat="false" ht="15" hidden="false" customHeight="false" outlineLevel="0" collapsed="false">
      <c r="A198" s="6" t="s">
        <v>178</v>
      </c>
      <c r="B198" s="39"/>
      <c r="C198" s="39" t="n">
        <f aca="false">2*2.878+2*2.378</f>
        <v>10.512</v>
      </c>
      <c r="D198" s="39"/>
      <c r="E198" s="39" t="n">
        <f aca="false">2*25.5+2*2*0.128</f>
        <v>51.512</v>
      </c>
      <c r="F198" s="39"/>
      <c r="G198" s="39" t="n">
        <f aca="false">2*25.5+2*2*0.128+2*3.7+2*3.6</f>
        <v>66.112</v>
      </c>
      <c r="H198" s="39"/>
      <c r="I198" s="39" t="n">
        <f aca="false">2*25.5+2*2*0.128+2*10.2</f>
        <v>71.912</v>
      </c>
      <c r="J198" s="39"/>
      <c r="K198" s="39" t="n">
        <f aca="false">3*2.878+3*2.378</f>
        <v>15.768</v>
      </c>
      <c r="L198" s="39" t="n">
        <f aca="false">3*2.878+3*2.378</f>
        <v>15.768</v>
      </c>
      <c r="M198" s="39"/>
      <c r="N198" s="39" t="n">
        <f aca="false">2*25.5+2*2*0.128+2*4.7</f>
        <v>60.912</v>
      </c>
      <c r="O198" s="39" t="n">
        <f aca="false">2*2*20.5+4*1*0.128</f>
        <v>82.512</v>
      </c>
      <c r="P198" s="39" t="n">
        <f aca="false">2*20.5+2*1*0.128+2*7.5+2*3.6</f>
        <v>63.456</v>
      </c>
      <c r="Q198" s="39" t="n">
        <f aca="false">2*20.5+2*1*0.128+2*3+2*4.95</f>
        <v>57.156</v>
      </c>
      <c r="R198" s="39" t="n">
        <f aca="false">2*20.5+2*1*0.128+2*3.4+2*3.6+2*2.3+2*2.3</f>
        <v>64.456</v>
      </c>
      <c r="S198" s="39"/>
      <c r="T198" s="39"/>
      <c r="U198" s="39"/>
      <c r="V198" s="39"/>
      <c r="W198" s="39"/>
      <c r="X198" s="39"/>
      <c r="Y198" s="39"/>
      <c r="Z198" s="39" t="n">
        <f aca="false">2*2*1.7+2*2*1.9</f>
        <v>14.4</v>
      </c>
      <c r="AA198" s="39"/>
      <c r="AB198" s="39"/>
      <c r="AC198" s="39"/>
      <c r="AD198" s="39"/>
      <c r="AE198" s="39"/>
      <c r="AF198" s="39"/>
      <c r="AG198" s="39"/>
      <c r="AH198" s="40" t="n">
        <f aca="false">SUM(B198:AG198)</f>
        <v>574.476</v>
      </c>
      <c r="AI198" s="41" t="n">
        <f aca="false">IFERROR(INDEX(Исходные!$B$21:$B$33,MATCH(16,Исходные!$A$21:$A$33,0)),0)</f>
        <v>1.578</v>
      </c>
      <c r="AJ198" s="40" t="n">
        <f aca="false">AH198*AI198*$AK$2</f>
        <v>969.97974696</v>
      </c>
      <c r="AK198" s="42" t="n">
        <f aca="false">SUM(B198:D198,F198,H198,J198:M198)</f>
        <v>42.048</v>
      </c>
      <c r="AL198" s="43" t="n">
        <f aca="false">AI198</f>
        <v>1.578</v>
      </c>
      <c r="AM198" s="28" t="n">
        <f aca="false">AK198*AL198*$AK$2</f>
        <v>70.99636608</v>
      </c>
      <c r="AN198" s="42" t="n">
        <f aca="false">SUM(E198,G198,I198,N198:AC198)</f>
        <v>532.428</v>
      </c>
      <c r="AO198" s="43" t="n">
        <f aca="false">AI198</f>
        <v>1.578</v>
      </c>
      <c r="AP198" s="28" t="n">
        <f aca="false">AN198*AO198*$AK$2</f>
        <v>898.98338088</v>
      </c>
      <c r="AQ198" s="42" t="n">
        <f aca="false">SUM(AD198:AG198)</f>
        <v>0</v>
      </c>
      <c r="AR198" s="43" t="n">
        <f aca="false">AI198</f>
        <v>1.578</v>
      </c>
      <c r="AS198" s="28" t="n">
        <f aca="false">AQ198*AR198*$AK$2</f>
        <v>0</v>
      </c>
    </row>
    <row r="199" customFormat="false" ht="15" hidden="false" customHeight="false" outlineLevel="0" collapsed="false">
      <c r="A199" s="6" t="s">
        <v>179</v>
      </c>
      <c r="B199" s="39" t="n">
        <f aca="false">4*2.862+4*2.362+4*2.862+4*2.362</f>
        <v>41.792</v>
      </c>
      <c r="C199" s="39" t="n">
        <f aca="false">4*2.862+4*2.362+6*1.2</f>
        <v>28.096</v>
      </c>
      <c r="D199" s="39"/>
      <c r="E199" s="39" t="n">
        <f aca="false">2*2.7</f>
        <v>5.4</v>
      </c>
      <c r="F199" s="39"/>
      <c r="G199" s="39"/>
      <c r="H199" s="39"/>
      <c r="I199" s="39"/>
      <c r="J199" s="39"/>
      <c r="K199" s="39" t="n">
        <f aca="false">4*2.862+4*2.362</f>
        <v>20.896</v>
      </c>
      <c r="L199" s="39"/>
      <c r="M199" s="39" t="n">
        <f aca="false">2*2.862+2*2.362+3*2.862+3*2.362</f>
        <v>26.12</v>
      </c>
      <c r="N199" s="39" t="n">
        <f aca="false">2*2.9</f>
        <v>5.8</v>
      </c>
      <c r="O199" s="39"/>
      <c r="P199" s="39"/>
      <c r="Q199" s="39"/>
      <c r="R199" s="39" t="n">
        <f aca="false">4*6.9</f>
        <v>27.6</v>
      </c>
      <c r="S199" s="39"/>
      <c r="T199" s="39"/>
      <c r="U199" s="39"/>
      <c r="V199" s="39"/>
      <c r="W199" s="39"/>
      <c r="X199" s="39"/>
      <c r="Y199" s="39"/>
      <c r="Z199" s="39"/>
      <c r="AA199" s="39" t="n">
        <f aca="false">2*25.795+2*2*0.56+2*20.495+2*1*0.56</f>
        <v>95.94</v>
      </c>
      <c r="AB199" s="39" t="n">
        <f aca="false">59*2*1.24</f>
        <v>146.32</v>
      </c>
      <c r="AC199" s="39"/>
      <c r="AD199" s="39"/>
      <c r="AE199" s="39"/>
      <c r="AF199" s="39"/>
      <c r="AG199" s="39"/>
      <c r="AH199" s="40" t="n">
        <f aca="false">SUM(B199:AG199)</f>
        <v>397.964</v>
      </c>
      <c r="AI199" s="41" t="n">
        <f aca="false">IFERROR(INDEX(Исходные!$B$21:$B$33,MATCH(14,Исходные!$A$21:$A$33,0)),0)</f>
        <v>1.208</v>
      </c>
      <c r="AJ199" s="40" t="n">
        <f aca="false">AH199*AI199*$AK$2</f>
        <v>514.39234784</v>
      </c>
      <c r="AK199" s="42" t="n">
        <f aca="false">SUM(B199:D199,F199,H199,J199:M199)</f>
        <v>116.904</v>
      </c>
      <c r="AL199" s="43" t="n">
        <f aca="false">AI199</f>
        <v>1.208</v>
      </c>
      <c r="AM199" s="28" t="n">
        <f aca="false">AK199*AL199*$AK$2</f>
        <v>151.10543424</v>
      </c>
      <c r="AN199" s="42" t="n">
        <f aca="false">SUM(E199,G199,I199,N199:AC199)</f>
        <v>281.06</v>
      </c>
      <c r="AO199" s="43" t="n">
        <f aca="false">AI199</f>
        <v>1.208</v>
      </c>
      <c r="AP199" s="28" t="n">
        <f aca="false">AN199*AO199*$AK$2</f>
        <v>363.2869136</v>
      </c>
      <c r="AQ199" s="42" t="n">
        <f aca="false">SUM(AD199:AG199)</f>
        <v>0</v>
      </c>
      <c r="AR199" s="43" t="n">
        <f aca="false">AI199</f>
        <v>1.208</v>
      </c>
      <c r="AS199" s="28" t="n">
        <f aca="false">AQ199*AR199*$AK$2</f>
        <v>0</v>
      </c>
    </row>
    <row r="200" customFormat="false" ht="15" hidden="false" customHeight="false" outlineLevel="0" collapsed="false">
      <c r="A200" s="6" t="s">
        <v>180</v>
      </c>
      <c r="B200" s="39" t="n">
        <f aca="false">32*2.25</f>
        <v>72</v>
      </c>
      <c r="C200" s="39" t="n">
        <f aca="false">32*2.25</f>
        <v>72</v>
      </c>
      <c r="D200" s="39"/>
      <c r="E200" s="39"/>
      <c r="F200" s="39"/>
      <c r="G200" s="39"/>
      <c r="H200" s="39"/>
      <c r="I200" s="39" t="n">
        <f aca="false">4*10.2</f>
        <v>40.8</v>
      </c>
      <c r="J200" s="39"/>
      <c r="K200" s="39" t="n">
        <f aca="false">32*1.95+32*1.45</f>
        <v>108.8</v>
      </c>
      <c r="L200" s="39"/>
      <c r="M200" s="39"/>
      <c r="N200" s="39" t="n">
        <f aca="false">2*2.5+2*2.5</f>
        <v>10</v>
      </c>
      <c r="O200" s="39"/>
      <c r="P200" s="39"/>
      <c r="Q200" s="39" t="n">
        <f aca="false">4*8.75</f>
        <v>35</v>
      </c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40" t="n">
        <f aca="false">SUM(B200:AG200)</f>
        <v>338.6</v>
      </c>
      <c r="AI200" s="41" t="n">
        <f aca="false">IFERROR(INDEX(Исходные!$B$21:$B$33,MATCH(12,Исходные!$A$21:$A$33,0)),0)</f>
        <v>0.888</v>
      </c>
      <c r="AJ200" s="40" t="n">
        <f aca="false">AH200*AI200*$AK$2</f>
        <v>321.724176</v>
      </c>
      <c r="AK200" s="42" t="n">
        <f aca="false">SUM(B200:D200,F200,H200,J200:M200)</f>
        <v>252.8</v>
      </c>
      <c r="AL200" s="43" t="n">
        <f aca="false">AI200</f>
        <v>0.888</v>
      </c>
      <c r="AM200" s="28" t="n">
        <f aca="false">AK200*AL200*$AK$2</f>
        <v>240.200448</v>
      </c>
      <c r="AN200" s="42" t="n">
        <f aca="false">SUM(E200,G200,I200,N200:AC200)</f>
        <v>85.8</v>
      </c>
      <c r="AO200" s="43" t="n">
        <f aca="false">AI200</f>
        <v>0.888</v>
      </c>
      <c r="AP200" s="28" t="n">
        <f aca="false">AN200*AO200*$AK$2</f>
        <v>81.523728</v>
      </c>
      <c r="AQ200" s="42" t="n">
        <f aca="false">SUM(AD200:AG200)</f>
        <v>0</v>
      </c>
      <c r="AR200" s="43" t="n">
        <f aca="false">AI200</f>
        <v>0.888</v>
      </c>
      <c r="AS200" s="28" t="n">
        <f aca="false">AQ200*AR200*$AK$2</f>
        <v>0</v>
      </c>
    </row>
    <row r="201" customFormat="false" ht="15" hidden="false" customHeight="false" outlineLevel="0" collapsed="false">
      <c r="A201" s="6" t="s">
        <v>181</v>
      </c>
      <c r="B201" s="39" t="n">
        <f aca="false">32*1.95</f>
        <v>62.4</v>
      </c>
      <c r="C201" s="39" t="n">
        <f aca="false">32*1.25+6*1.25</f>
        <v>47.5</v>
      </c>
      <c r="D201" s="39"/>
      <c r="E201" s="39"/>
      <c r="F201" s="39"/>
      <c r="G201" s="39"/>
      <c r="H201" s="39"/>
      <c r="I201" s="39"/>
      <c r="J201" s="39"/>
      <c r="K201" s="39" t="n">
        <f aca="false">6*1.95+6*1.95+6*1.45</f>
        <v>32.1</v>
      </c>
      <c r="L201" s="39" t="n">
        <f aca="false">32*1.45+6*1.45</f>
        <v>55.1</v>
      </c>
      <c r="M201" s="39" t="n">
        <f aca="false">32*1.25+32*1.45+6*1.25</f>
        <v>93.9</v>
      </c>
      <c r="N201" s="39"/>
      <c r="O201" s="39"/>
      <c r="P201" s="39"/>
      <c r="Q201" s="39"/>
      <c r="R201" s="39"/>
      <c r="S201" s="39"/>
      <c r="T201" s="39"/>
      <c r="U201" s="39"/>
      <c r="V201" s="39" t="n">
        <f aca="false">75*25.6+75*2*0.4+1*20.48+1*0.4+28*13.9+28*1*0.4+1*10.77+14*7.97+13*7.17+81*20.6+81*1*0.4+26*20.48+26*1*0.4+5*17.28+5*1*0.4+17*13.88+17*1*0.4+22*0.6+75*25.6+75*2*0.4+1*20.48+1*0.4+28*13.9+28*1*0.4+1*10.77+14*7.97+13*7.17+81*20.6+81*1*0.4+26*20.48+26*1*0.4+5*17.28+5*1*0.4+17*13.88+17*1*0.4+22*0.6</f>
        <v>10410.16</v>
      </c>
      <c r="W201" s="39"/>
      <c r="X201" s="39"/>
      <c r="Y201" s="39"/>
      <c r="Z201" s="39" t="n">
        <f aca="false">10*1.2+5*2.73+3*3.83</f>
        <v>37.14</v>
      </c>
      <c r="AA201" s="39"/>
      <c r="AB201" s="39"/>
      <c r="AC201" s="39" t="n">
        <f aca="false">200*7*0.57</f>
        <v>798</v>
      </c>
      <c r="AD201" s="39" t="n">
        <f aca="false">60*1.19</f>
        <v>71.4</v>
      </c>
      <c r="AE201" s="39" t="n">
        <f aca="false">60*1.19</f>
        <v>71.4</v>
      </c>
      <c r="AF201" s="39" t="n">
        <f aca="false">2*28*1.19+28*0.6+2*4*0.48</f>
        <v>87.28</v>
      </c>
      <c r="AG201" s="39"/>
      <c r="AH201" s="40" t="n">
        <f aca="false">SUM(B201:AG201)</f>
        <v>11766.38</v>
      </c>
      <c r="AI201" s="41" t="n">
        <f aca="false">IFERROR(INDEX(Исходные!$B$21:$B$33,MATCH(10,Исходные!$A$21:$A$33,0)),0)</f>
        <v>0.617</v>
      </c>
      <c r="AJ201" s="40" t="n">
        <f aca="false">AH201*AI201*$AK$2</f>
        <v>7768.0464122</v>
      </c>
      <c r="AK201" s="42" t="n">
        <f aca="false">SUM(B201:D201,F201,H201,J201:M201)</f>
        <v>291</v>
      </c>
      <c r="AL201" s="43" t="n">
        <f aca="false">AI201</f>
        <v>0.617</v>
      </c>
      <c r="AM201" s="28" t="n">
        <f aca="false">AK201*AL201*$AK$2</f>
        <v>192.11529</v>
      </c>
      <c r="AN201" s="42" t="n">
        <f aca="false">SUM(E201,G201,I201,N201:AC201)</f>
        <v>11245.3</v>
      </c>
      <c r="AO201" s="43" t="n">
        <f aca="false">AI201</f>
        <v>0.617</v>
      </c>
      <c r="AP201" s="28" t="n">
        <f aca="false">AN201*AO201*$AK$2</f>
        <v>7424.034607</v>
      </c>
      <c r="AQ201" s="42" t="n">
        <f aca="false">SUM(AD201:AG201)</f>
        <v>230.08</v>
      </c>
      <c r="AR201" s="43" t="n">
        <f aca="false">AI201</f>
        <v>0.617</v>
      </c>
      <c r="AS201" s="28" t="n">
        <f aca="false">AQ201*AR201*$AK$2</f>
        <v>151.8965152</v>
      </c>
    </row>
    <row r="202" customFormat="false" ht="15" hidden="false" customHeight="false" outlineLevel="0" collapsed="false">
      <c r="A202" s="6" t="s">
        <v>182</v>
      </c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40" t="n">
        <f aca="false">SUM(B202:AG202)</f>
        <v>0</v>
      </c>
      <c r="AI202" s="41" t="n">
        <f aca="false">IFERROR(INDEX(Исходные!$B$21:$B$33,MATCH(8,Исходные!$A$21:$A$33,0)),0)</f>
        <v>0.395</v>
      </c>
      <c r="AJ202" s="40" t="n">
        <f aca="false">AH202*AI202*$AK$2</f>
        <v>0</v>
      </c>
      <c r="AK202" s="42" t="n">
        <f aca="false">SUM(B202:D202,F202,H202,J202:M202)</f>
        <v>0</v>
      </c>
      <c r="AL202" s="43" t="n">
        <f aca="false">AI202</f>
        <v>0.395</v>
      </c>
      <c r="AM202" s="28" t="n">
        <f aca="false">AK202*AL202*$AK$2</f>
        <v>0</v>
      </c>
      <c r="AN202" s="42" t="n">
        <f aca="false">SUM(E202,G202,I202,N202:AC202)</f>
        <v>0</v>
      </c>
      <c r="AO202" s="43" t="n">
        <f aca="false">AI202</f>
        <v>0.395</v>
      </c>
      <c r="AP202" s="28" t="n">
        <f aca="false">AN202*AO202*$AK$2</f>
        <v>0</v>
      </c>
      <c r="AQ202" s="42" t="n">
        <f aca="false">SUM(AD202:AG202)</f>
        <v>0</v>
      </c>
      <c r="AR202" s="43" t="n">
        <f aca="false">AI202</f>
        <v>0.395</v>
      </c>
      <c r="AS202" s="28" t="n">
        <f aca="false">AQ202*AR202*$AK$2</f>
        <v>0</v>
      </c>
    </row>
    <row r="203" customFormat="false" ht="15" hidden="false" customHeight="false" outlineLevel="0" collapsed="false">
      <c r="A203" s="6" t="s">
        <v>183</v>
      </c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 t="n">
        <f aca="false">2*0.42</f>
        <v>0.84</v>
      </c>
      <c r="AH203" s="40" t="n">
        <f aca="false">SUM(B203:AG203)</f>
        <v>0.84</v>
      </c>
      <c r="AI203" s="41" t="n">
        <f aca="false">IFERROR(INDEX(Исходные!$B$21:$B$33,MATCH(16,Исходные!$A$21:$A$33,0)),0)</f>
        <v>1.578</v>
      </c>
      <c r="AJ203" s="40" t="n">
        <f aca="false">AH203*AI203*$AK$2</f>
        <v>1.4183064</v>
      </c>
      <c r="AK203" s="42" t="n">
        <f aca="false">SUM(B203:D203,F203,H203,J203:M203)</f>
        <v>0</v>
      </c>
      <c r="AL203" s="43" t="n">
        <f aca="false">AI203</f>
        <v>1.578</v>
      </c>
      <c r="AM203" s="28" t="n">
        <f aca="false">AK203*AL203*$AK$2</f>
        <v>0</v>
      </c>
      <c r="AN203" s="42" t="n">
        <f aca="false">SUM(E203,G203,I203,N203:AC203)</f>
        <v>0</v>
      </c>
      <c r="AO203" s="43" t="n">
        <f aca="false">AI203</f>
        <v>1.578</v>
      </c>
      <c r="AP203" s="28" t="n">
        <f aca="false">AN203*AO203*$AK$2</f>
        <v>0</v>
      </c>
      <c r="AQ203" s="42" t="n">
        <f aca="false">SUM(AD203:AG203)</f>
        <v>0.84</v>
      </c>
      <c r="AR203" s="43" t="n">
        <f aca="false">AI203</f>
        <v>1.578</v>
      </c>
      <c r="AS203" s="28" t="n">
        <f aca="false">AQ203*AR203*$AK$2</f>
        <v>1.4183064</v>
      </c>
    </row>
    <row r="204" customFormat="false" ht="15" hidden="false" customHeight="false" outlineLevel="0" collapsed="false">
      <c r="A204" s="6" t="s">
        <v>184</v>
      </c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40" t="n">
        <f aca="false">SUM(B204:AG204)</f>
        <v>0</v>
      </c>
      <c r="AI204" s="41" t="n">
        <f aca="false">IFERROR(INDEX(Исходные!$B$21:$B$33,MATCH(12,Исходные!$A$21:$A$33,0)),0)</f>
        <v>0.888</v>
      </c>
      <c r="AJ204" s="40" t="n">
        <f aca="false">AH204*AI204*$AK$2</f>
        <v>0</v>
      </c>
      <c r="AK204" s="42" t="n">
        <f aca="false">SUM(B204:D204,F204,H204,J204:M204)</f>
        <v>0</v>
      </c>
      <c r="AL204" s="43" t="n">
        <f aca="false">AI204</f>
        <v>0.888</v>
      </c>
      <c r="AM204" s="28" t="n">
        <f aca="false">AK204*AL204*$AK$2</f>
        <v>0</v>
      </c>
      <c r="AN204" s="42" t="n">
        <f aca="false">SUM(E204,G204,I204,N204:AC204)</f>
        <v>0</v>
      </c>
      <c r="AO204" s="43" t="n">
        <f aca="false">AI204</f>
        <v>0.888</v>
      </c>
      <c r="AP204" s="28" t="n">
        <f aca="false">AN204*AO204*$AK$2</f>
        <v>0</v>
      </c>
      <c r="AQ204" s="42" t="n">
        <f aca="false">SUM(AD204:AG204)</f>
        <v>0</v>
      </c>
      <c r="AR204" s="43" t="n">
        <f aca="false">AI204</f>
        <v>0.888</v>
      </c>
      <c r="AS204" s="28" t="n">
        <f aca="false">AQ204*AR204*$AK$2</f>
        <v>0</v>
      </c>
    </row>
    <row r="205" customFormat="false" ht="15" hidden="false" customHeight="false" outlineLevel="0" collapsed="false">
      <c r="A205" s="6" t="s">
        <v>185</v>
      </c>
      <c r="B205" s="39" t="n">
        <f aca="false">48*1.33</f>
        <v>63.84</v>
      </c>
      <c r="C205" s="39" t="n">
        <f aca="false">32*1.33</f>
        <v>42.56</v>
      </c>
      <c r="D205" s="39"/>
      <c r="E205" s="39" t="n">
        <f aca="false">34*2.06</f>
        <v>70.04</v>
      </c>
      <c r="F205" s="39"/>
      <c r="G205" s="39" t="n">
        <f aca="false">9*2.06</f>
        <v>18.54</v>
      </c>
      <c r="H205" s="39"/>
      <c r="I205" s="39" t="n">
        <f aca="false">55*2.06+29*1.6</f>
        <v>159.7</v>
      </c>
      <c r="J205" s="39"/>
      <c r="K205" s="39" t="n">
        <f aca="false">48*1.33</f>
        <v>63.84</v>
      </c>
      <c r="L205" s="39" t="n">
        <f aca="false">16*1.33</f>
        <v>21.28</v>
      </c>
      <c r="M205" s="39" t="n">
        <f aca="false">32*1.33</f>
        <v>42.56</v>
      </c>
      <c r="N205" s="39" t="n">
        <f aca="false">45*2.06</f>
        <v>92.7</v>
      </c>
      <c r="O205" s="39" t="n">
        <f aca="false">2*22*2.06</f>
        <v>90.64</v>
      </c>
      <c r="P205" s="39"/>
      <c r="Q205" s="39" t="n">
        <f aca="false">54*2.06+26*1.6</f>
        <v>152.84</v>
      </c>
      <c r="R205" s="39" t="n">
        <f aca="false">58*2.06+30*1.6</f>
        <v>167.48</v>
      </c>
      <c r="S205" s="39"/>
      <c r="T205" s="39" t="n">
        <f aca="false">27*1.14+31*1.04+31*1.14</f>
        <v>98.36</v>
      </c>
      <c r="U205" s="39"/>
      <c r="V205" s="39"/>
      <c r="W205" s="39" t="n">
        <f aca="false">792*0.42</f>
        <v>332.64</v>
      </c>
      <c r="X205" s="39"/>
      <c r="Y205" s="39"/>
      <c r="Z205" s="39"/>
      <c r="AA205" s="39" t="n">
        <f aca="false">119*0.7</f>
        <v>83.3</v>
      </c>
      <c r="AB205" s="39"/>
      <c r="AC205" s="39"/>
      <c r="AD205" s="39" t="n">
        <f aca="false">60*0.52</f>
        <v>31.2</v>
      </c>
      <c r="AE205" s="39" t="n">
        <f aca="false">60*0.52</f>
        <v>31.2</v>
      </c>
      <c r="AF205" s="39" t="n">
        <f aca="false">2*28*0.52</f>
        <v>29.12</v>
      </c>
      <c r="AG205" s="39"/>
      <c r="AH205" s="40" t="n">
        <f aca="false">SUM(B205:AG205)</f>
        <v>1591.84</v>
      </c>
      <c r="AI205" s="41" t="n">
        <f aca="false">IFERROR(INDEX(Исходные!$B$21:$B$33,MATCH(10,Исходные!$A$21:$A$33,0)),0)</f>
        <v>0.617</v>
      </c>
      <c r="AJ205" s="40" t="n">
        <f aca="false">AH205*AI205*$AK$2</f>
        <v>1050.9168496</v>
      </c>
      <c r="AK205" s="42" t="n">
        <f aca="false">SUM(B205:D205,F205,H205,J205:M205)</f>
        <v>234.08</v>
      </c>
      <c r="AL205" s="43" t="n">
        <f aca="false">AI205</f>
        <v>0.617</v>
      </c>
      <c r="AM205" s="28" t="n">
        <f aca="false">AK205*AL205*$AK$2</f>
        <v>154.5372752</v>
      </c>
      <c r="AN205" s="42" t="n">
        <f aca="false">SUM(E205,G205,I205,N205:AC205)</f>
        <v>1266.24</v>
      </c>
      <c r="AO205" s="43" t="n">
        <f aca="false">AI205</f>
        <v>0.617</v>
      </c>
      <c r="AP205" s="28" t="n">
        <f aca="false">AN205*AO205*$AK$2</f>
        <v>835.9589856</v>
      </c>
      <c r="AQ205" s="42" t="n">
        <f aca="false">SUM(AD205:AG205)</f>
        <v>91.52</v>
      </c>
      <c r="AR205" s="43" t="n">
        <f aca="false">AI205</f>
        <v>0.617</v>
      </c>
      <c r="AS205" s="28" t="n">
        <f aca="false">AQ205*AR205*$AK$2</f>
        <v>60.4205888</v>
      </c>
    </row>
    <row r="206" customFormat="false" ht="15" hidden="false" customHeight="false" outlineLevel="0" collapsed="false">
      <c r="A206" s="6" t="s">
        <v>186</v>
      </c>
      <c r="B206" s="39" t="n">
        <f aca="false">32*1.56+16*1.76+28*2.44+32*1.96+80*0.53</f>
        <v>251.52</v>
      </c>
      <c r="C206" s="39" t="n">
        <f aca="false">16*1.56+16*1.76+28*2.44+32*1.96+56*0.53</f>
        <v>213.84</v>
      </c>
      <c r="D206" s="39" t="n">
        <f aca="false">3*28*2.44+3*32*1.96</f>
        <v>393.12</v>
      </c>
      <c r="E206" s="39" t="n">
        <f aca="false">134*2.06+109*0.75+70*0.58</f>
        <v>398.39</v>
      </c>
      <c r="F206" s="39" t="n">
        <f aca="false">5*28*2.44+5*32*1.96</f>
        <v>655.2</v>
      </c>
      <c r="G206" s="39" t="n">
        <f aca="false">176*2.06+122*0.75+77*0.58</f>
        <v>498.72</v>
      </c>
      <c r="H206" s="39" t="n">
        <f aca="false">5*28*2.44+5*32*1.96</f>
        <v>655.2</v>
      </c>
      <c r="I206" s="39" t="n">
        <f aca="false">138*2.06+106*0.75+77*0.58</f>
        <v>408.44</v>
      </c>
      <c r="J206" s="39" t="n">
        <f aca="false">2*28*2.44+2*32*1.96</f>
        <v>262.08</v>
      </c>
      <c r="K206" s="39" t="n">
        <f aca="false">32*1.56+16*1.76+28*2.44+32*1.96+72*0.53</f>
        <v>247.28</v>
      </c>
      <c r="L206" s="39" t="n">
        <f aca="false">16*1.76+28*2.44+32*1.96+24*0.53</f>
        <v>171.92</v>
      </c>
      <c r="M206" s="39" t="n">
        <f aca="false">16*1.56+16*1.76+28*2.44+32*1.96+48*0.53</f>
        <v>209.6</v>
      </c>
      <c r="N206" s="39" t="n">
        <f aca="false">125*2.06+106*0.75+67*0.58</f>
        <v>375.86</v>
      </c>
      <c r="O206" s="39" t="n">
        <f aca="false">2*126*2.06+2*99*0.75+2*62*0.58</f>
        <v>739.54</v>
      </c>
      <c r="P206" s="39" t="n">
        <f aca="false">133*2.06+83*0.75+54*0.58</f>
        <v>367.55</v>
      </c>
      <c r="Q206" s="39" t="n">
        <f aca="false">100*2.06+84*0.75+62*0.58</f>
        <v>304.96</v>
      </c>
      <c r="R206" s="39" t="n">
        <f aca="false">76*2.06+69*0.75+54*0.58</f>
        <v>239.63</v>
      </c>
      <c r="S206" s="39"/>
      <c r="T206" s="39" t="n">
        <f aca="false">925*1.24+12*1.24+23*1.44+122*1.04+60*1.44</f>
        <v>1408.28</v>
      </c>
      <c r="U206" s="39"/>
      <c r="V206" s="39"/>
      <c r="W206" s="39" t="n">
        <f aca="false">792*0.22</f>
        <v>174.24</v>
      </c>
      <c r="X206" s="39"/>
      <c r="Y206" s="39"/>
      <c r="Z206" s="39"/>
      <c r="AA206" s="39"/>
      <c r="AB206" s="39"/>
      <c r="AC206" s="39"/>
      <c r="AD206" s="39"/>
      <c r="AE206" s="39"/>
      <c r="AF206" s="39"/>
      <c r="AG206" s="39" t="n">
        <f aca="false">14*1.28+22*1.16</f>
        <v>43.44</v>
      </c>
      <c r="AH206" s="40" t="n">
        <f aca="false">SUM(B206:AG206)</f>
        <v>8018.81</v>
      </c>
      <c r="AI206" s="41" t="n">
        <f aca="false">IFERROR(INDEX(Исходные!$B$21:$B$33,MATCH(8,Исходные!$A$21:$A$33,0)),0)</f>
        <v>0.395</v>
      </c>
      <c r="AJ206" s="40" t="n">
        <f aca="false">AH206*AI206*$AK$2</f>
        <v>3389.1500465</v>
      </c>
      <c r="AK206" s="42" t="n">
        <f aca="false">SUM(B206:D206,F206,H206,J206:M206)</f>
        <v>3059.76</v>
      </c>
      <c r="AL206" s="43" t="n">
        <f aca="false">AI206</f>
        <v>0.395</v>
      </c>
      <c r="AM206" s="28" t="n">
        <f aca="false">AK206*AL206*$AK$2</f>
        <v>1293.207564</v>
      </c>
      <c r="AN206" s="42" t="n">
        <f aca="false">SUM(E206,G206,I206,N206:AC206)</f>
        <v>4915.61</v>
      </c>
      <c r="AO206" s="43" t="n">
        <f aca="false">AI206</f>
        <v>0.395</v>
      </c>
      <c r="AP206" s="28" t="n">
        <f aca="false">AN206*AO206*$AK$2</f>
        <v>2077.5825665</v>
      </c>
      <c r="AQ206" s="42" t="n">
        <f aca="false">SUM(AD206:AG206)</f>
        <v>43.44</v>
      </c>
      <c r="AR206" s="43" t="n">
        <f aca="false">AI206</f>
        <v>0.395</v>
      </c>
      <c r="AS206" s="28" t="n">
        <f aca="false">AQ206*AR206*$AK$2</f>
        <v>18.359916</v>
      </c>
    </row>
    <row r="207" customFormat="false" ht="15" hidden="false" customHeight="false" outlineLevel="0" collapsed="false">
      <c r="A207" s="6" t="s">
        <v>187</v>
      </c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 t="n">
        <f aca="false">38*0.28</f>
        <v>10.64</v>
      </c>
      <c r="AE207" s="39" t="n">
        <f aca="false">38*0.28</f>
        <v>10.64</v>
      </c>
      <c r="AF207" s="39" t="n">
        <f aca="false">28*0.28</f>
        <v>7.84</v>
      </c>
      <c r="AG207" s="39"/>
      <c r="AH207" s="40" t="n">
        <f aca="false">SUM(B207:AG207)</f>
        <v>29.12</v>
      </c>
      <c r="AI207" s="41" t="n">
        <f aca="false">IFERROR(INDEX(Исходные!$B$21:$B$33,MATCH(6,Исходные!$A$21:$A$33,0)),0)</f>
        <v>0.222</v>
      </c>
      <c r="AJ207" s="40" t="n">
        <f aca="false">AH207*AI207*$AK$2</f>
        <v>6.9171648</v>
      </c>
      <c r="AK207" s="42" t="n">
        <f aca="false">SUM(B207:D207,F207,H207,J207:M207)</f>
        <v>0</v>
      </c>
      <c r="AL207" s="43" t="n">
        <f aca="false">AI207</f>
        <v>0.222</v>
      </c>
      <c r="AM207" s="28" t="n">
        <f aca="false">AK207*AL207*$AK$2</f>
        <v>0</v>
      </c>
      <c r="AN207" s="42" t="n">
        <f aca="false">SUM(E207,G207,I207,N207:AC207)</f>
        <v>0</v>
      </c>
      <c r="AO207" s="43" t="n">
        <f aca="false">AI207</f>
        <v>0.222</v>
      </c>
      <c r="AP207" s="28" t="n">
        <f aca="false">AN207*AO207*$AK$2</f>
        <v>0</v>
      </c>
      <c r="AQ207" s="42" t="n">
        <f aca="false">SUM(AD207:AG207)</f>
        <v>29.12</v>
      </c>
      <c r="AR207" s="43" t="n">
        <f aca="false">AI207</f>
        <v>0.222</v>
      </c>
      <c r="AS207" s="28" t="n">
        <f aca="false">AQ207*AR207*$AK$2</f>
        <v>6.9171648</v>
      </c>
    </row>
    <row r="208" customFormat="false" ht="15" hidden="false" customHeight="false" outlineLevel="0" collapsed="false">
      <c r="A208" s="6" t="s">
        <v>188</v>
      </c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  <c r="AB208" s="44"/>
      <c r="AC208" s="44"/>
      <c r="AD208" s="44" t="n">
        <f aca="false">6.38</f>
        <v>6.38</v>
      </c>
      <c r="AE208" s="44" t="n">
        <f aca="false">6.38</f>
        <v>6.38</v>
      </c>
      <c r="AF208" s="44"/>
      <c r="AG208" s="44"/>
      <c r="AH208" s="40" t="n">
        <f aca="false">SUM(B208:AG208)</f>
        <v>12.76</v>
      </c>
      <c r="AI208" s="41" t="n">
        <f aca="false">Исходные!$B$34</f>
        <v>3.08</v>
      </c>
      <c r="AJ208" s="40" t="n">
        <f aca="false">AH208*AI208*$AK$2</f>
        <v>42.051856</v>
      </c>
      <c r="AK208" s="42" t="n">
        <f aca="false">SUM(B208:D208,F208,H208,J208:M208)</f>
        <v>0</v>
      </c>
      <c r="AL208" s="43" t="n">
        <f aca="false">AI208</f>
        <v>3.08</v>
      </c>
      <c r="AM208" s="28" t="n">
        <f aca="false">AK208*AL208*$AK$2</f>
        <v>0</v>
      </c>
      <c r="AN208" s="42" t="n">
        <f aca="false">SUM(E208,G208,I208,N208:AC208)</f>
        <v>0</v>
      </c>
      <c r="AO208" s="43" t="n">
        <f aca="false">AI208</f>
        <v>3.08</v>
      </c>
      <c r="AP208" s="28" t="n">
        <f aca="false">AN208*AO208*$AK$2</f>
        <v>0</v>
      </c>
      <c r="AQ208" s="42" t="n">
        <f aca="false">SUM(AD208:AG208)</f>
        <v>12.76</v>
      </c>
      <c r="AR208" s="43" t="n">
        <f aca="false">AI208</f>
        <v>3.08</v>
      </c>
      <c r="AS208" s="28" t="n">
        <f aca="false">AQ208*AR208*$AK$2</f>
        <v>42.051856</v>
      </c>
    </row>
    <row r="209" customFormat="false" ht="15" hidden="false" customHeight="false" outlineLevel="0" collapsed="false">
      <c r="A209" s="45" t="s">
        <v>189</v>
      </c>
      <c r="B209" s="46" t="n">
        <f aca="false">SUMPRODUCT(B192:B208,$AI$192:$AI$208)</f>
        <v>557.767064</v>
      </c>
      <c r="C209" s="46" t="n">
        <f aca="false">SUMPRODUCT(C192:C208,$AI$192:$AI$208)</f>
        <v>462.808572</v>
      </c>
      <c r="D209" s="46" t="n">
        <f aca="false">SUMPRODUCT(D192:D208,$AI$192:$AI$208)</f>
        <v>477.8424</v>
      </c>
      <c r="E209" s="46" t="n">
        <f aca="false">SUMPRODUCT(E192:E208,$AI$192:$AI$208)</f>
        <v>930.372314</v>
      </c>
      <c r="F209" s="46" t="n">
        <f aca="false">SUMPRODUCT(F192:F208,$AI$192:$AI$208)</f>
        <v>833.384</v>
      </c>
      <c r="G209" s="46" t="n">
        <f aca="false">SUMPRODUCT(G192:G208,$AI$192:$AI$208)</f>
        <v>927.123564</v>
      </c>
      <c r="H209" s="46" t="n">
        <f aca="false">SUMPRODUCT(H192:H208,$AI$192:$AI$208)</f>
        <v>905.22</v>
      </c>
      <c r="I209" s="46" t="n">
        <f aca="false">SUMPRODUCT(I192:I208,$AI$192:$AI$208)</f>
        <v>1080.195284</v>
      </c>
      <c r="J209" s="46" t="n">
        <f aca="false">SUMPRODUCT(J192:J208,$AI$192:$AI$208)</f>
        <v>298.8416</v>
      </c>
      <c r="K209" s="46" t="n">
        <f aca="false">SUMPRODUCT(K192:K208,$AI$192:$AI$208)</f>
        <v>535.549252</v>
      </c>
      <c r="L209" s="46" t="n">
        <f aca="false">SUMPRODUCT(L192:L208,$AI$192:$AI$208)</f>
        <v>295.371764</v>
      </c>
      <c r="M209" s="46" t="n">
        <f aca="false">SUMPRODUCT(M192:M208,$AI$192:$AI$208)</f>
        <v>403.10338</v>
      </c>
      <c r="N209" s="46" t="n">
        <f aca="false">SUMPRODUCT(N192:N208,$AI$192:$AI$208)</f>
        <v>1012.189384</v>
      </c>
      <c r="O209" s="46" t="n">
        <f aca="false">SUMPRODUCT(O192:O208,$AI$192:$AI$208)</f>
        <v>1510.976364</v>
      </c>
      <c r="P209" s="46" t="n">
        <f aca="false">SUMPRODUCT(P192:P208,$AI$192:$AI$208)</f>
        <v>752.807642</v>
      </c>
      <c r="Q209" s="46" t="n">
        <f aca="false">SUMPRODUCT(Q192:Q208,$AI$192:$AI$208)</f>
        <v>882.758872</v>
      </c>
      <c r="R209" s="46" t="n">
        <f aca="false">SUMPRODUCT(R192:R208,$AI$192:$AI$208)</f>
        <v>857.088102</v>
      </c>
      <c r="S209" s="46" t="n">
        <f aca="false">SUMPRODUCT(S192:S208,$AI$192:$AI$208)</f>
        <v>2661.55452</v>
      </c>
      <c r="T209" s="46" t="n">
        <f aca="false">SUMPRODUCT(T192:T208,$AI$192:$AI$208)</f>
        <v>616.95872</v>
      </c>
      <c r="U209" s="46" t="n">
        <f aca="false">SUMPRODUCT(U192:U208,$AI$192:$AI$208)</f>
        <v>0</v>
      </c>
      <c r="V209" s="46" t="n">
        <f aca="false">SUMPRODUCT(V192:V208,$AI$192:$AI$208)</f>
        <v>6423.06872</v>
      </c>
      <c r="W209" s="46" t="n">
        <f aca="false">SUMPRODUCT(W192:W208,$AI$192:$AI$208)</f>
        <v>274.06368</v>
      </c>
      <c r="X209" s="46" t="n">
        <f aca="false">SUMPRODUCT(X192:X208,$AI$192:$AI$208)</f>
        <v>0</v>
      </c>
      <c r="Y209" s="46" t="n">
        <f aca="false">SUMPRODUCT(Y192:Y208,$AI$192:$AI$208)</f>
        <v>0</v>
      </c>
      <c r="Z209" s="46" t="n">
        <f aca="false">SUMPRODUCT(Z192:Z208,$AI$192:$AI$208)</f>
        <v>85.58798</v>
      </c>
      <c r="AA209" s="46" t="n">
        <f aca="false">SUMPRODUCT(AA192:AA208,$AI$192:$AI$208)</f>
        <v>167.29162</v>
      </c>
      <c r="AB209" s="46" t="n">
        <f aca="false">SUMPRODUCT(AB192:AB208,$AI$192:$AI$208)</f>
        <v>176.75456</v>
      </c>
      <c r="AC209" s="46" t="n">
        <f aca="false">SUMPRODUCT(AC192:AC208,$AI$192:$AI$208)</f>
        <v>492.366</v>
      </c>
      <c r="AD209" s="46" t="n">
        <f aca="false">SUMPRODUCT(AD192:AD208,$AI$192:$AI$208)</f>
        <v>305.020756</v>
      </c>
      <c r="AE209" s="46" t="n">
        <f aca="false">SUMPRODUCT(AE192:AE208,$AI$192:$AI$208)</f>
        <v>305.020756</v>
      </c>
      <c r="AF209" s="46" t="n">
        <f aca="false">SUMPRODUCT(AF192:AF208,$AI$192:$AI$208)</f>
        <v>73.55928</v>
      </c>
      <c r="AG209" s="46" t="n">
        <f aca="false">SUMPRODUCT(AG192:AG208,$AI$192:$AI$208)</f>
        <v>99.78262</v>
      </c>
      <c r="AH209" s="45"/>
      <c r="AI209" s="18" t="s">
        <v>36</v>
      </c>
      <c r="AJ209" s="47" t="n">
        <f aca="false">SUMPRODUCT(AH192:AH208,AI192:AI208)</f>
        <v>24404.42877</v>
      </c>
      <c r="AK209" s="45"/>
      <c r="AL209" s="18" t="s">
        <v>36</v>
      </c>
      <c r="AM209" s="47" t="n">
        <f aca="false">SUMPRODUCT(AK192:AK208,AL192:AL208)</f>
        <v>4769.888032</v>
      </c>
      <c r="AN209" s="45"/>
      <c r="AO209" s="18" t="s">
        <v>36</v>
      </c>
      <c r="AP209" s="47" t="n">
        <f aca="false">SUMPRODUCT(AN192:AN208,AO192:AO208)</f>
        <v>18851.157326</v>
      </c>
      <c r="AQ209" s="45"/>
      <c r="AR209" s="18" t="s">
        <v>36</v>
      </c>
      <c r="AS209" s="47" t="n">
        <f aca="false">SUMPRODUCT(AQ192:AQ208,AR192:AR208)</f>
        <v>783.383412</v>
      </c>
    </row>
    <row r="210" customFormat="false" ht="23.85" hidden="false" customHeight="false" outlineLevel="0" collapsed="false">
      <c r="A210" s="4" t="s">
        <v>190</v>
      </c>
      <c r="B210" s="48" t="n">
        <f aca="false">B209*$AK$2</f>
        <v>596.81075848</v>
      </c>
      <c r="C210" s="48" t="n">
        <f aca="false">C209*$AK$2</f>
        <v>495.20517204</v>
      </c>
      <c r="D210" s="48" t="n">
        <f aca="false">D209*$AK$2</f>
        <v>511.291368</v>
      </c>
      <c r="E210" s="48" t="n">
        <f aca="false">E209*$AK$2</f>
        <v>995.49837598</v>
      </c>
      <c r="F210" s="48" t="n">
        <f aca="false">F209*$AK$2</f>
        <v>891.72088</v>
      </c>
      <c r="G210" s="48" t="n">
        <f aca="false">G209*$AK$2</f>
        <v>992.02221348</v>
      </c>
      <c r="H210" s="48" t="n">
        <f aca="false">H209*$AK$2</f>
        <v>968.5854</v>
      </c>
      <c r="I210" s="48" t="n">
        <f aca="false">I209*$AK$2</f>
        <v>1155.80895388</v>
      </c>
      <c r="J210" s="48" t="n">
        <f aca="false">J209*$AK$2</f>
        <v>319.760512</v>
      </c>
      <c r="K210" s="48" t="n">
        <f aca="false">K209*$AK$2</f>
        <v>573.03769964</v>
      </c>
      <c r="L210" s="48" t="n">
        <f aca="false">L209*$AK$2</f>
        <v>316.04778748</v>
      </c>
      <c r="M210" s="48" t="n">
        <f aca="false">M209*$AK$2</f>
        <v>431.3206166</v>
      </c>
      <c r="N210" s="48" t="n">
        <f aca="false">N209*$AK$2</f>
        <v>1083.04264088</v>
      </c>
      <c r="O210" s="48" t="n">
        <f aca="false">O209*$AK$2</f>
        <v>1616.74470948</v>
      </c>
      <c r="P210" s="48" t="n">
        <f aca="false">P209*$AK$2</f>
        <v>805.50417694</v>
      </c>
      <c r="Q210" s="48" t="n">
        <f aca="false">Q209*$AK$2</f>
        <v>944.55199304</v>
      </c>
      <c r="R210" s="48" t="n">
        <f aca="false">R209*$AK$2</f>
        <v>917.08426914</v>
      </c>
      <c r="S210" s="48" t="n">
        <f aca="false">S209*$AK$2</f>
        <v>2847.8633364</v>
      </c>
      <c r="T210" s="48" t="n">
        <f aca="false">T209*$AK$2</f>
        <v>660.1458304</v>
      </c>
      <c r="U210" s="48" t="n">
        <f aca="false">U209*$AK$2</f>
        <v>0</v>
      </c>
      <c r="V210" s="48" t="n">
        <f aca="false">V209*$AK$2</f>
        <v>6872.6835304</v>
      </c>
      <c r="W210" s="48" t="n">
        <f aca="false">W209*$AK$2</f>
        <v>293.2481376</v>
      </c>
      <c r="X210" s="48" t="n">
        <f aca="false">X209*$AK$2</f>
        <v>0</v>
      </c>
      <c r="Y210" s="48" t="n">
        <f aca="false">Y209*$AK$2</f>
        <v>0</v>
      </c>
      <c r="Z210" s="48" t="n">
        <f aca="false">Z209*$AK$2</f>
        <v>91.5791386</v>
      </c>
      <c r="AA210" s="48" t="n">
        <f aca="false">AA209*$AK$2</f>
        <v>179.0020334</v>
      </c>
      <c r="AB210" s="48" t="n">
        <f aca="false">AB209*$AK$2</f>
        <v>189.1273792</v>
      </c>
      <c r="AC210" s="48" t="n">
        <f aca="false">AC209*$AK$2</f>
        <v>526.83162</v>
      </c>
      <c r="AD210" s="48" t="n">
        <f aca="false">AD209*$AK$2</f>
        <v>326.37220892</v>
      </c>
      <c r="AE210" s="48" t="n">
        <f aca="false">AE209*$AK$2</f>
        <v>326.37220892</v>
      </c>
      <c r="AF210" s="48" t="n">
        <f aca="false">AF209*$AK$2</f>
        <v>78.7084296</v>
      </c>
      <c r="AG210" s="48" t="n">
        <f aca="false">AG209*$AK$2</f>
        <v>106.7674034</v>
      </c>
      <c r="AH210" s="4"/>
      <c r="AI210" s="5" t="s">
        <v>191</v>
      </c>
      <c r="AJ210" s="49" t="n">
        <f aca="false">SUM(AJ192:AJ208)</f>
        <v>26112.7387839</v>
      </c>
      <c r="AK210" s="4"/>
      <c r="AL210" s="5" t="s">
        <v>191</v>
      </c>
      <c r="AM210" s="49" t="n">
        <f aca="false">SUM(AM192:AM208)</f>
        <v>5103.78019424</v>
      </c>
      <c r="AN210" s="4"/>
      <c r="AO210" s="5" t="s">
        <v>191</v>
      </c>
      <c r="AP210" s="49" t="n">
        <f aca="false">SUM(AP192:AP208)</f>
        <v>20170.73833882</v>
      </c>
      <c r="AQ210" s="4"/>
      <c r="AR210" s="5" t="s">
        <v>191</v>
      </c>
      <c r="AS210" s="49" t="n">
        <f aca="false">SUM(AS192:AS208)</f>
        <v>838.22025084</v>
      </c>
    </row>
    <row r="211" customFormat="false" ht="15" hidden="false" customHeight="false" outlineLevel="0" collapsed="false">
      <c r="AI211" s="5" t="s">
        <v>192</v>
      </c>
      <c r="AJ211" s="50" t="n">
        <f aca="false">AJ210/1000</f>
        <v>26.1127387839</v>
      </c>
      <c r="AL211" s="5" t="s">
        <v>192</v>
      </c>
      <c r="AM211" s="50" t="n">
        <f aca="false">AM210/1000</f>
        <v>5.10378019424</v>
      </c>
      <c r="AO211" s="5" t="s">
        <v>192</v>
      </c>
      <c r="AP211" s="50" t="n">
        <f aca="false">AP210/1000</f>
        <v>20.17073833882</v>
      </c>
      <c r="AR211" s="5" t="s">
        <v>192</v>
      </c>
      <c r="AS211" s="50" t="n">
        <f aca="false">AS210/1000</f>
        <v>0.83822025084</v>
      </c>
    </row>
    <row r="212" customFormat="false" ht="23.85" hidden="false" customHeight="false" outlineLevel="0" collapsed="false">
      <c r="A212" s="20" t="s">
        <v>245</v>
      </c>
      <c r="AJ212" s="21" t="n">
        <f aca="false">ROUND(AJ209-Ведомость!P2058,1)</f>
        <v>0</v>
      </c>
      <c r="AK212" s="35" t="s">
        <v>40</v>
      </c>
    </row>
    <row r="214" customFormat="false" ht="15" hidden="false" customHeight="false" outlineLevel="0" collapsed="false">
      <c r="A214" s="4" t="s">
        <v>194</v>
      </c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</row>
    <row r="215" customFormat="false" ht="15" hidden="false" customHeight="false" outlineLevel="0" collapsed="false">
      <c r="A215" s="6" t="s">
        <v>195</v>
      </c>
      <c r="B215" s="44" t="n">
        <f aca="false">(0.6*0.6+2*0.7*0.4+1.7*0.4)*(3.6-0.12)</f>
        <v>5.568</v>
      </c>
      <c r="C215" s="44" t="n">
        <f aca="false">(0.6*0.6+0.7*0.4+1.7*0.4)*(3.6-0.12)</f>
        <v>4.5936</v>
      </c>
      <c r="D215" s="44" t="n">
        <f aca="false">3*0.6*0.6*(3.6-0.12)</f>
        <v>3.7584</v>
      </c>
      <c r="E215" s="44" t="n">
        <f aca="false">1*0.45*(0.63-0.12)*20.5</f>
        <v>4.70475</v>
      </c>
      <c r="F215" s="44" t="n">
        <f aca="false">5*0.6*0.6*(3.6-0.12)</f>
        <v>6.264</v>
      </c>
      <c r="G215" s="44" t="n">
        <f aca="false">1*0.45*(0.63-0.12)*22.6</f>
        <v>5.1867</v>
      </c>
      <c r="H215" s="44" t="n">
        <f aca="false">5*0.6*0.6*(3.6-0.12)</f>
        <v>6.264</v>
      </c>
      <c r="I215" s="44" t="n">
        <f aca="false">1*0.45*(0.63-0.12)*22.6</f>
        <v>5.1867</v>
      </c>
      <c r="J215" s="44" t="n">
        <f aca="false">2*0.6*0.6*(3.6-0.12)</f>
        <v>2.5056</v>
      </c>
      <c r="K215" s="44" t="n">
        <f aca="false">(0.6*0.6+2*0.7*0.4+0.9*0.4)*(3.6-0.12)</f>
        <v>4.4544</v>
      </c>
      <c r="L215" s="44" t="n">
        <f aca="false">(0.6*0.6+0.9*0.4)*(3.6-0.12)</f>
        <v>2.5056</v>
      </c>
      <c r="M215" s="44" t="n">
        <f aca="false">(0.6*0.6+0.7*0.4+0.9*0.4)*(3.6-0.12)</f>
        <v>3.48</v>
      </c>
      <c r="N215" s="44" t="n">
        <f aca="false">1*0.45*(0.63-0.12)*19.8</f>
        <v>4.5441</v>
      </c>
      <c r="O215" s="44" t="n">
        <f aca="false">2*0.45*(0.6-0.12)*18.2</f>
        <v>7.8624</v>
      </c>
      <c r="P215" s="44" t="n">
        <f aca="false">1*0.45*(0.6-0.12)*15.8</f>
        <v>3.4128</v>
      </c>
      <c r="Q215" s="44" t="n">
        <f aca="false">1*0.45*(0.6-0.12)*18.2</f>
        <v>3.9312</v>
      </c>
      <c r="R215" s="44" t="n">
        <f aca="false">1*0.45*(0.6-0.12)*15.8</f>
        <v>3.4128</v>
      </c>
      <c r="S215" s="44" t="n">
        <f aca="false">137.85*0.3*(0.3-0.12)+6.05*0.3*(0.4-0.12)+(11.71+3.08+2.885)*0.2*(0.3-0.12)</f>
        <v>8.5884</v>
      </c>
      <c r="T215" s="44"/>
      <c r="U215" s="44"/>
      <c r="V215" s="44" t="n">
        <f aca="false">506.76*0.12</f>
        <v>60.8112</v>
      </c>
      <c r="W215" s="44"/>
      <c r="X215" s="44"/>
      <c r="Y215" s="44"/>
      <c r="Z215" s="44"/>
      <c r="AA215" s="44"/>
      <c r="AB215" s="44"/>
      <c r="AC215" s="44"/>
      <c r="AD215" s="44" t="n">
        <f aca="false">SQRT(3.3^2+1.8^2)*1.25*0.15+12*0.3*0.15/2*1.25</f>
        <v>1.04231047984547</v>
      </c>
      <c r="AE215" s="44" t="n">
        <f aca="false">SQRT(3.3^2+1.8^2)*1.25*0.15+12*0.3*0.15/2*1.25</f>
        <v>1.04231047984547</v>
      </c>
      <c r="AF215" s="44" t="n">
        <f aca="false">1.4*2.89*0.15</f>
        <v>0.6069</v>
      </c>
      <c r="AG215" s="44" t="n">
        <f aca="false">0.3*0.3*(1.7-0.3+0.55)+0.3*0.3*2.255</f>
        <v>0.37845</v>
      </c>
      <c r="AH215" s="51" t="n">
        <f aca="false">SUM(B215:AG215)</f>
        <v>150.104620959691</v>
      </c>
      <c r="AI215" s="20"/>
      <c r="AJ215" s="51" t="n">
        <f aca="false">AH215*$AL$2</f>
        <v>150.104620959691</v>
      </c>
      <c r="AK215" s="52" t="n">
        <f aca="false">SUM(B215:D215,F215,H215,J215:M215)</f>
        <v>39.3936</v>
      </c>
      <c r="AL215" s="6"/>
      <c r="AM215" s="24" t="n">
        <f aca="false">AK215*$AL$2</f>
        <v>39.3936</v>
      </c>
      <c r="AN215" s="52" t="n">
        <f aca="false">SUM(E215,G215,I215,N215:AC215)</f>
        <v>107.64105</v>
      </c>
      <c r="AO215" s="6"/>
      <c r="AP215" s="24" t="n">
        <f aca="false">AN215*$AL$2</f>
        <v>107.64105</v>
      </c>
      <c r="AQ215" s="52" t="n">
        <f aca="false">SUM(AD215:AG215)</f>
        <v>3.06997095969094</v>
      </c>
      <c r="AR215" s="6"/>
      <c r="AS215" s="24" t="n">
        <f aca="false">AQ215*$AL$2</f>
        <v>3.06997095969094</v>
      </c>
    </row>
    <row r="216" customFormat="false" ht="15" hidden="false" customHeight="false" outlineLevel="0" collapsed="false">
      <c r="A216" s="20" t="s">
        <v>196</v>
      </c>
      <c r="AJ216" s="53" t="n">
        <f aca="false">IF(AH215&gt;0,AJ209/AH215,0)</f>
        <v>162.582794679942</v>
      </c>
      <c r="AM216" s="54" t="n">
        <f aca="false">IF(AK215&gt;0,AM209/AK215,0)</f>
        <v>121.082816295033</v>
      </c>
      <c r="AP216" s="54" t="n">
        <f aca="false">IF(AN215&gt;0,AP209/AN215,0)</f>
        <v>175.129816422266</v>
      </c>
      <c r="AS216" s="54" t="n">
        <f aca="false">IF(AQ215&gt;0,AS209/AQ215,0)</f>
        <v>255.176163646468</v>
      </c>
    </row>
    <row r="218" customFormat="false" ht="15" hidden="false" customHeight="false" outlineLevel="0" collapsed="false">
      <c r="A218" s="4" t="s">
        <v>197</v>
      </c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</row>
    <row r="219" customFormat="false" ht="15" hidden="false" customHeight="false" outlineLevel="0" collapsed="false">
      <c r="A219" s="6" t="s">
        <v>198</v>
      </c>
      <c r="B219" s="55" t="n">
        <v>16</v>
      </c>
      <c r="C219" s="55" t="n">
        <v>8</v>
      </c>
      <c r="D219" s="55"/>
      <c r="E219" s="55"/>
      <c r="F219" s="55"/>
      <c r="G219" s="55"/>
      <c r="H219" s="55"/>
      <c r="I219" s="55"/>
      <c r="J219" s="55"/>
      <c r="K219" s="55" t="n">
        <v>8</v>
      </c>
      <c r="L219" s="55"/>
      <c r="M219" s="55" t="n">
        <v>10</v>
      </c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6" t="n">
        <f aca="false">SUM(B219:AG219)</f>
        <v>42</v>
      </c>
      <c r="AK219" s="57" t="n">
        <f aca="false">SUM(B219:D219,F219,H219,J219:M219)</f>
        <v>42</v>
      </c>
      <c r="AN219" s="57" t="n">
        <f aca="false">SUM(E219,G219,I219,N219:AC219)</f>
        <v>0</v>
      </c>
      <c r="AQ219" s="57" t="n">
        <f aca="false">SUM(AD219:AG219)</f>
        <v>0</v>
      </c>
    </row>
    <row r="220" customFormat="false" ht="15" hidden="false" customHeight="false" outlineLevel="0" collapsed="false">
      <c r="A220" s="6" t="s">
        <v>199</v>
      </c>
      <c r="B220" s="55"/>
      <c r="C220" s="55" t="n">
        <v>4</v>
      </c>
      <c r="D220" s="55"/>
      <c r="E220" s="55"/>
      <c r="F220" s="55"/>
      <c r="G220" s="55"/>
      <c r="H220" s="55"/>
      <c r="I220" s="55"/>
      <c r="J220" s="55"/>
      <c r="K220" s="55" t="n">
        <v>6</v>
      </c>
      <c r="L220" s="55" t="n">
        <v>6</v>
      </c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6" t="n">
        <f aca="false">SUM(B220:AG220)</f>
        <v>16</v>
      </c>
      <c r="AK220" s="57" t="n">
        <f aca="false">SUM(B220:D220,F220,H220,J220:M220)</f>
        <v>16</v>
      </c>
      <c r="AN220" s="57" t="n">
        <f aca="false">SUM(E220,G220,I220,N220:AC220)</f>
        <v>0</v>
      </c>
      <c r="AQ220" s="57" t="n">
        <f aca="false">SUM(AD220:AG220)</f>
        <v>0</v>
      </c>
    </row>
    <row r="221" customFormat="false" ht="15" hidden="false" customHeight="false" outlineLevel="0" collapsed="false">
      <c r="A221" s="6" t="s">
        <v>200</v>
      </c>
      <c r="B221" s="55" t="n">
        <v>4</v>
      </c>
      <c r="C221" s="55" t="n">
        <v>4</v>
      </c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6" t="n">
        <f aca="false">SUM(B221:AG221)</f>
        <v>8</v>
      </c>
      <c r="AK221" s="57" t="n">
        <f aca="false">SUM(B221:D221,F221,H221,J221:M221)</f>
        <v>8</v>
      </c>
      <c r="AN221" s="57" t="n">
        <f aca="false">SUM(E221,G221,I221,N221:AC221)</f>
        <v>0</v>
      </c>
      <c r="AQ221" s="57" t="n">
        <f aca="false">SUM(AD221:AG221)</f>
        <v>0</v>
      </c>
    </row>
    <row r="222" customFormat="false" ht="15" hidden="false" customHeight="false" outlineLevel="0" collapsed="false">
      <c r="A222" s="6" t="s">
        <v>201</v>
      </c>
      <c r="B222" s="55" t="n">
        <v>8</v>
      </c>
      <c r="C222" s="55" t="n">
        <v>8</v>
      </c>
      <c r="D222" s="55" t="n">
        <v>24</v>
      </c>
      <c r="E222" s="55"/>
      <c r="F222" s="55" t="n">
        <v>42</v>
      </c>
      <c r="G222" s="55"/>
      <c r="H222" s="55" t="n">
        <v>24</v>
      </c>
      <c r="I222" s="55"/>
      <c r="J222" s="55" t="n">
        <v>16</v>
      </c>
      <c r="K222" s="55" t="n">
        <v>8</v>
      </c>
      <c r="L222" s="55" t="n">
        <v>8</v>
      </c>
      <c r="M222" s="55" t="n">
        <v>8</v>
      </c>
      <c r="N222" s="55"/>
      <c r="O222" s="55"/>
      <c r="P222" s="55"/>
      <c r="Q222" s="55"/>
      <c r="R222" s="55"/>
      <c r="S222" s="55" t="n">
        <v>16</v>
      </c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6" t="n">
        <f aca="false">SUM(B222:AG222)</f>
        <v>162</v>
      </c>
      <c r="AK222" s="57" t="n">
        <f aca="false">SUM(B222:D222,F222,H222,J222:M222)</f>
        <v>146</v>
      </c>
      <c r="AN222" s="57" t="n">
        <f aca="false">SUM(E222,G222,I222,N222:AC222)</f>
        <v>16</v>
      </c>
      <c r="AQ222" s="57" t="n">
        <f aca="false">SUM(AD222:AG222)</f>
        <v>0</v>
      </c>
    </row>
    <row r="223" customFormat="false" ht="15" hidden="false" customHeight="false" outlineLevel="0" collapsed="false">
      <c r="A223" s="6" t="s">
        <v>202</v>
      </c>
      <c r="B223" s="55" t="n">
        <v>12</v>
      </c>
      <c r="C223" s="55" t="n">
        <v>12</v>
      </c>
      <c r="D223" s="55"/>
      <c r="E223" s="55"/>
      <c r="F223" s="55"/>
      <c r="G223" s="55"/>
      <c r="H223" s="55"/>
      <c r="I223" s="55"/>
      <c r="J223" s="55"/>
      <c r="K223" s="55" t="n">
        <v>18</v>
      </c>
      <c r="L223" s="55"/>
      <c r="M223" s="55" t="n">
        <v>12</v>
      </c>
      <c r="N223" s="55"/>
      <c r="O223" s="55"/>
      <c r="P223" s="55" t="n">
        <v>2</v>
      </c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6" t="n">
        <f aca="false">SUM(B223:AG223)</f>
        <v>56</v>
      </c>
      <c r="AK223" s="57" t="n">
        <f aca="false">SUM(B223:D223,F223,H223,J223:M223)</f>
        <v>54</v>
      </c>
      <c r="AN223" s="57" t="n">
        <f aca="false">SUM(E223,G223,I223,N223:AC223)</f>
        <v>2</v>
      </c>
      <c r="AQ223" s="57" t="n">
        <f aca="false">SUM(AD223:AG223)</f>
        <v>0</v>
      </c>
    </row>
    <row r="224" customFormat="false" ht="15" hidden="false" customHeight="false" outlineLevel="0" collapsed="false">
      <c r="A224" s="6" t="s">
        <v>203</v>
      </c>
      <c r="B224" s="55" t="n">
        <v>6</v>
      </c>
      <c r="C224" s="55"/>
      <c r="D224" s="55"/>
      <c r="E224" s="55"/>
      <c r="F224" s="55"/>
      <c r="G224" s="55"/>
      <c r="H224" s="55"/>
      <c r="I224" s="55"/>
      <c r="J224" s="55"/>
      <c r="K224" s="55"/>
      <c r="L224" s="55" t="n">
        <v>6</v>
      </c>
      <c r="M224" s="55"/>
      <c r="N224" s="55"/>
      <c r="O224" s="55"/>
      <c r="P224" s="55"/>
      <c r="Q224" s="55"/>
      <c r="R224" s="55" t="n">
        <v>2</v>
      </c>
      <c r="S224" s="55" t="n">
        <v>72</v>
      </c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 t="n">
        <v>16</v>
      </c>
      <c r="AH224" s="56" t="n">
        <f aca="false">SUM(B224:AG224)</f>
        <v>102</v>
      </c>
      <c r="AK224" s="57" t="n">
        <f aca="false">SUM(B224:D224,F224,H224,J224:M224)</f>
        <v>12</v>
      </c>
      <c r="AN224" s="57" t="n">
        <f aca="false">SUM(E224,G224,I224,N224:AC224)</f>
        <v>74</v>
      </c>
      <c r="AQ224" s="57" t="n">
        <f aca="false">SUM(AD224:AG224)</f>
        <v>16</v>
      </c>
    </row>
    <row r="225" customFormat="false" ht="15" hidden="false" customHeight="false" outlineLevel="0" collapsed="false">
      <c r="A225" s="6" t="s">
        <v>204</v>
      </c>
      <c r="B225" s="55" t="n">
        <v>4</v>
      </c>
      <c r="C225" s="55" t="n">
        <v>4</v>
      </c>
      <c r="D225" s="55" t="n">
        <v>4</v>
      </c>
      <c r="E225" s="55" t="n">
        <v>8</v>
      </c>
      <c r="F225" s="55"/>
      <c r="G225" s="55" t="n">
        <v>8</v>
      </c>
      <c r="H225" s="55" t="n">
        <v>4</v>
      </c>
      <c r="I225" s="55" t="n">
        <v>8</v>
      </c>
      <c r="J225" s="55" t="n">
        <v>8</v>
      </c>
      <c r="K225" s="55" t="n">
        <v>4</v>
      </c>
      <c r="L225" s="55" t="n">
        <v>4</v>
      </c>
      <c r="M225" s="55" t="n">
        <v>4</v>
      </c>
      <c r="N225" s="55" t="n">
        <v>8</v>
      </c>
      <c r="O225" s="55" t="n">
        <v>16</v>
      </c>
      <c r="P225" s="55" t="n">
        <v>8</v>
      </c>
      <c r="Q225" s="55" t="n">
        <v>10</v>
      </c>
      <c r="R225" s="55" t="n">
        <v>8</v>
      </c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6" t="n">
        <f aca="false">SUM(B225:AG225)</f>
        <v>110</v>
      </c>
      <c r="AK225" s="57" t="n">
        <f aca="false">SUM(B225:D225,F225,H225,J225:M225)</f>
        <v>36</v>
      </c>
      <c r="AN225" s="57" t="n">
        <f aca="false">SUM(E225,G225,I225,N225:AC225)</f>
        <v>74</v>
      </c>
      <c r="AQ225" s="57" t="n">
        <f aca="false">SUM(AD225:AG225)</f>
        <v>0</v>
      </c>
    </row>
    <row r="226" customFormat="false" ht="15" hidden="false" customHeight="false" outlineLevel="0" collapsed="false">
      <c r="A226" s="6" t="s">
        <v>205</v>
      </c>
      <c r="B226" s="55"/>
      <c r="C226" s="55"/>
      <c r="D226" s="55" t="n">
        <v>8</v>
      </c>
      <c r="E226" s="55"/>
      <c r="F226" s="55" t="n">
        <v>20</v>
      </c>
      <c r="G226" s="55"/>
      <c r="H226" s="55" t="n">
        <v>8</v>
      </c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6" t="n">
        <f aca="false">SUM(B226:AG226)</f>
        <v>36</v>
      </c>
      <c r="AK226" s="57" t="n">
        <f aca="false">SUM(B226:D226,F226,H226,J226:M226)</f>
        <v>36</v>
      </c>
      <c r="AN226" s="57" t="n">
        <f aca="false">SUM(E226,G226,I226,N226:AC226)</f>
        <v>0</v>
      </c>
      <c r="AQ226" s="57" t="n">
        <f aca="false">SUM(AD226:AG226)</f>
        <v>0</v>
      </c>
    </row>
    <row r="227" customFormat="false" ht="15" hidden="false" customHeight="false" outlineLevel="0" collapsed="false">
      <c r="A227" s="6" t="s">
        <v>206</v>
      </c>
      <c r="B227" s="55"/>
      <c r="C227" s="55"/>
      <c r="D227" s="55" t="n">
        <v>8</v>
      </c>
      <c r="E227" s="55"/>
      <c r="F227" s="55" t="n">
        <v>20</v>
      </c>
      <c r="G227" s="55"/>
      <c r="H227" s="55" t="n">
        <v>16</v>
      </c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6" t="n">
        <f aca="false">SUM(B227:AG227)</f>
        <v>44</v>
      </c>
      <c r="AK227" s="57" t="n">
        <f aca="false">SUM(B227:D227,F227,H227,J227:M227)</f>
        <v>44</v>
      </c>
      <c r="AN227" s="57" t="n">
        <f aca="false">SUM(E227,G227,I227,N227:AC227)</f>
        <v>0</v>
      </c>
      <c r="AQ227" s="57" t="n">
        <f aca="false">SUM(AD227:AG227)</f>
        <v>0</v>
      </c>
    </row>
    <row r="228" customFormat="false" ht="15" hidden="false" customHeight="false" outlineLevel="0" collapsed="false">
      <c r="A228" s="6" t="s">
        <v>207</v>
      </c>
      <c r="B228" s="55" t="n">
        <v>4</v>
      </c>
      <c r="C228" s="55" t="n">
        <v>4</v>
      </c>
      <c r="D228" s="55" t="n">
        <v>4</v>
      </c>
      <c r="E228" s="55" t="n">
        <v>8</v>
      </c>
      <c r="F228" s="55"/>
      <c r="G228" s="55" t="n">
        <v>8</v>
      </c>
      <c r="H228" s="55" t="n">
        <v>4</v>
      </c>
      <c r="I228" s="55" t="n">
        <v>8</v>
      </c>
      <c r="J228" s="55" t="n">
        <v>8</v>
      </c>
      <c r="K228" s="55" t="n">
        <v>4</v>
      </c>
      <c r="L228" s="55" t="n">
        <v>4</v>
      </c>
      <c r="M228" s="55" t="n">
        <v>4</v>
      </c>
      <c r="N228" s="55" t="n">
        <v>8</v>
      </c>
      <c r="O228" s="55" t="n">
        <v>8</v>
      </c>
      <c r="P228" s="55" t="n">
        <v>4</v>
      </c>
      <c r="Q228" s="55" t="n">
        <v>4</v>
      </c>
      <c r="R228" s="55" t="n">
        <v>4</v>
      </c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6" t="n">
        <f aca="false">SUM(B228:AG228)</f>
        <v>88</v>
      </c>
      <c r="AK228" s="57" t="n">
        <f aca="false">SUM(B228:D228,F228,H228,J228:M228)</f>
        <v>36</v>
      </c>
      <c r="AN228" s="57" t="n">
        <f aca="false">SUM(E228,G228,I228,N228:AC228)</f>
        <v>52</v>
      </c>
      <c r="AQ228" s="57" t="n">
        <f aca="false">SUM(AD228:AG228)</f>
        <v>0</v>
      </c>
    </row>
    <row r="229" customFormat="false" ht="15" hidden="false" customHeight="false" outlineLevel="0" collapsed="false">
      <c r="A229" s="6" t="s">
        <v>208</v>
      </c>
      <c r="B229" s="55" t="n">
        <v>6</v>
      </c>
      <c r="C229" s="55"/>
      <c r="D229" s="55"/>
      <c r="E229" s="55"/>
      <c r="F229" s="55"/>
      <c r="G229" s="55"/>
      <c r="H229" s="55"/>
      <c r="I229" s="55"/>
      <c r="J229" s="55"/>
      <c r="K229" s="55"/>
      <c r="L229" s="55" t="n">
        <v>6</v>
      </c>
      <c r="M229" s="55"/>
      <c r="N229" s="55"/>
      <c r="O229" s="55"/>
      <c r="P229" s="55"/>
      <c r="Q229" s="55"/>
      <c r="R229" s="55"/>
      <c r="S229" s="55" t="n">
        <v>40</v>
      </c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6" t="n">
        <f aca="false">SUM(B229:AG229)</f>
        <v>52</v>
      </c>
      <c r="AK229" s="57" t="n">
        <f aca="false">SUM(B229:D229,F229,H229,J229:M229)</f>
        <v>12</v>
      </c>
      <c r="AN229" s="57" t="n">
        <f aca="false">SUM(E229,G229,I229,N229:AC229)</f>
        <v>40</v>
      </c>
      <c r="AQ229" s="57" t="n">
        <f aca="false">SUM(AD229:AG229)</f>
        <v>0</v>
      </c>
    </row>
    <row r="230" customFormat="false" ht="15" hidden="false" customHeight="false" outlineLevel="0" collapsed="false">
      <c r="A230" s="6" t="s">
        <v>209</v>
      </c>
      <c r="B230" s="55" t="n">
        <v>12</v>
      </c>
      <c r="C230" s="55" t="n">
        <v>12</v>
      </c>
      <c r="D230" s="55"/>
      <c r="E230" s="55"/>
      <c r="F230" s="55"/>
      <c r="G230" s="55"/>
      <c r="H230" s="55"/>
      <c r="I230" s="55"/>
      <c r="J230" s="55"/>
      <c r="K230" s="55" t="n">
        <v>18</v>
      </c>
      <c r="L230" s="55"/>
      <c r="M230" s="55" t="n">
        <v>12</v>
      </c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6" t="n">
        <f aca="false">SUM(B230:AG230)</f>
        <v>54</v>
      </c>
      <c r="AK230" s="57" t="n">
        <f aca="false">SUM(B230:D230,F230,H230,J230:M230)</f>
        <v>54</v>
      </c>
      <c r="AN230" s="57" t="n">
        <f aca="false">SUM(E230,G230,I230,N230:AC230)</f>
        <v>0</v>
      </c>
      <c r="AQ230" s="57" t="n">
        <f aca="false">SUM(AD230:AG230)</f>
        <v>0</v>
      </c>
    </row>
    <row r="231" customFormat="false" ht="15" hidden="false" customHeight="false" outlineLevel="0" collapsed="false">
      <c r="A231" s="6" t="s">
        <v>210</v>
      </c>
      <c r="B231" s="55" t="n">
        <v>8</v>
      </c>
      <c r="C231" s="55" t="n">
        <v>8</v>
      </c>
      <c r="D231" s="55" t="n">
        <v>24</v>
      </c>
      <c r="E231" s="55"/>
      <c r="F231" s="55" t="n">
        <v>42</v>
      </c>
      <c r="G231" s="55"/>
      <c r="H231" s="55" t="n">
        <v>40</v>
      </c>
      <c r="I231" s="55"/>
      <c r="J231" s="55" t="n">
        <v>16</v>
      </c>
      <c r="K231" s="55" t="n">
        <v>8</v>
      </c>
      <c r="L231" s="55" t="n">
        <v>8</v>
      </c>
      <c r="M231" s="55" t="n">
        <v>8</v>
      </c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6" t="n">
        <f aca="false">SUM(B231:AG231)</f>
        <v>162</v>
      </c>
      <c r="AK231" s="57" t="n">
        <f aca="false">SUM(B231:D231,F231,H231,J231:M231)</f>
        <v>162</v>
      </c>
      <c r="AN231" s="57" t="n">
        <f aca="false">SUM(E231,G231,I231,N231:AC231)</f>
        <v>0</v>
      </c>
      <c r="AQ231" s="57" t="n">
        <f aca="false">SUM(AD231:AG231)</f>
        <v>0</v>
      </c>
    </row>
    <row r="234" customFormat="false" ht="15" hidden="false" customHeight="false" outlineLevel="0" collapsed="false">
      <c r="A234" s="34" t="s">
        <v>108</v>
      </c>
    </row>
    <row r="235" customFormat="false" ht="15" hidden="false" customHeight="false" outlineLevel="0" collapsed="false">
      <c r="A235" s="35" t="s">
        <v>246</v>
      </c>
    </row>
    <row r="236" customFormat="false" ht="15" hidden="false" customHeight="false" outlineLevel="0" collapsed="false">
      <c r="A236" s="35" t="s">
        <v>247</v>
      </c>
    </row>
    <row r="237" customFormat="false" ht="15" hidden="false" customHeight="false" outlineLevel="0" collapsed="false">
      <c r="A237" s="35" t="s">
        <v>248</v>
      </c>
    </row>
    <row r="238" customFormat="false" ht="15" hidden="false" customHeight="false" outlineLevel="0" collapsed="false">
      <c r="A238" s="35" t="s">
        <v>249</v>
      </c>
    </row>
    <row r="239" customFormat="false" ht="15" hidden="false" customHeight="false" outlineLevel="0" collapsed="false">
      <c r="A239" s="35" t="s">
        <v>250</v>
      </c>
    </row>
  </sheetData>
  <mergeCells count="41">
    <mergeCell ref="A1:AG1"/>
    <mergeCell ref="B4:R4"/>
    <mergeCell ref="S4:U4"/>
    <mergeCell ref="V4:AB4"/>
    <mergeCell ref="AD4:AG4"/>
    <mergeCell ref="AK4:AM4"/>
    <mergeCell ref="AN4:AP4"/>
    <mergeCell ref="AQ4:AS4"/>
    <mergeCell ref="Y5:Z5"/>
    <mergeCell ref="B50:R50"/>
    <mergeCell ref="S50:U50"/>
    <mergeCell ref="V50:AB50"/>
    <mergeCell ref="AD50:AG50"/>
    <mergeCell ref="AK50:AM50"/>
    <mergeCell ref="AN50:AP50"/>
    <mergeCell ref="AQ50:AS50"/>
    <mergeCell ref="Y51:Z51"/>
    <mergeCell ref="B96:R96"/>
    <mergeCell ref="S96:U96"/>
    <mergeCell ref="V96:AB96"/>
    <mergeCell ref="AD96:AG96"/>
    <mergeCell ref="AK96:AM96"/>
    <mergeCell ref="AN96:AP96"/>
    <mergeCell ref="AQ96:AS96"/>
    <mergeCell ref="Y97:Z97"/>
    <mergeCell ref="B142:R142"/>
    <mergeCell ref="S142:U142"/>
    <mergeCell ref="V142:AB142"/>
    <mergeCell ref="AD142:AG142"/>
    <mergeCell ref="AK142:AM142"/>
    <mergeCell ref="AN142:AP142"/>
    <mergeCell ref="AQ142:AS142"/>
    <mergeCell ref="Y143:Z143"/>
    <mergeCell ref="B188:R188"/>
    <mergeCell ref="S188:U188"/>
    <mergeCell ref="V188:AB188"/>
    <mergeCell ref="AD188:AG188"/>
    <mergeCell ref="AK188:AM188"/>
    <mergeCell ref="AN188:AP188"/>
    <mergeCell ref="AQ188:AS188"/>
    <mergeCell ref="Y189:Z18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8" min="7" style="0" width="14"/>
    <col collapsed="false" customWidth="true" hidden="false" outlineLevel="0" max="9" min="9" style="0" width="10"/>
    <col collapsed="false" customWidth="true" hidden="false" outlineLevel="0" max="10" min="10" style="0" width="90"/>
  </cols>
  <sheetData>
    <row r="1" customFormat="false" ht="17.35" hidden="false" customHeight="false" outlineLevel="0" collapsed="false">
      <c r="A1" s="58" t="s">
        <v>251</v>
      </c>
    </row>
    <row r="2" customFormat="false" ht="15" hidden="false" customHeight="false" outlineLevel="0" collapsed="false">
      <c r="A2" s="34" t="s">
        <v>252</v>
      </c>
      <c r="F2" s="59" t="n">
        <v>1.07</v>
      </c>
    </row>
    <row r="3" customFormat="false" ht="15" hidden="false" customHeight="false" outlineLevel="0" collapsed="false">
      <c r="A3" s="35" t="s">
        <v>253</v>
      </c>
    </row>
    <row r="5" customFormat="false" ht="60" hidden="false" customHeight="true" outlineLevel="0" collapsed="false">
      <c r="A5" s="5" t="s">
        <v>2</v>
      </c>
      <c r="B5" s="5" t="s">
        <v>254</v>
      </c>
      <c r="C5" s="5" t="s">
        <v>255</v>
      </c>
      <c r="D5" s="5" t="s">
        <v>256</v>
      </c>
      <c r="E5" s="5" t="s">
        <v>257</v>
      </c>
      <c r="F5" s="5" t="s">
        <v>258</v>
      </c>
      <c r="G5" s="5" t="s">
        <v>259</v>
      </c>
      <c r="H5" s="5" t="s">
        <v>260</v>
      </c>
      <c r="I5" s="5" t="s">
        <v>261</v>
      </c>
      <c r="J5" s="5" t="s">
        <v>262</v>
      </c>
    </row>
    <row r="6" customFormat="false" ht="15" hidden="false" customHeight="false" outlineLevel="0" collapsed="false">
      <c r="A6" s="6" t="s">
        <v>18</v>
      </c>
      <c r="B6" s="60" t="n">
        <v>2066.59</v>
      </c>
      <c r="C6" s="60" t="n">
        <v>691.12</v>
      </c>
      <c r="D6" s="61" t="n">
        <f aca="false">B6+C6</f>
        <v>2757.71</v>
      </c>
      <c r="E6" s="62" t="n">
        <f aca="false">потребность!C5*$F$2</f>
        <v>2161.5712</v>
      </c>
      <c r="F6" s="62" t="n">
        <f aca="false">(потребность!D5+потребность!E5)*$F$2</f>
        <v>688.325329</v>
      </c>
      <c r="G6" s="61" t="n">
        <f aca="false">E6+F6</f>
        <v>2849.896529</v>
      </c>
      <c r="H6" s="63" t="n">
        <f aca="false">D6-G6</f>
        <v>-92.1865290000001</v>
      </c>
      <c r="I6" s="64" t="n">
        <f aca="false">IF(G6&gt;0,H6/G6,0)</f>
        <v>-0.0323473249158093</v>
      </c>
      <c r="J6" s="20"/>
    </row>
    <row r="7" customFormat="false" ht="15" hidden="false" customHeight="false" outlineLevel="0" collapsed="false">
      <c r="A7" s="6" t="s">
        <v>20</v>
      </c>
      <c r="B7" s="60" t="n">
        <v>2699.82</v>
      </c>
      <c r="C7" s="60" t="n">
        <v>5151.56</v>
      </c>
      <c r="D7" s="61" t="n">
        <f aca="false">B7+C7</f>
        <v>7851.38</v>
      </c>
      <c r="E7" s="62" t="n">
        <f aca="false">потребность!C6*$F$2</f>
        <v>2151.71008</v>
      </c>
      <c r="F7" s="62" t="n">
        <f aca="false">(потребность!D6+потребность!E6)*$F$2</f>
        <v>4934.967758</v>
      </c>
      <c r="G7" s="61" t="n">
        <f aca="false">E7+F7</f>
        <v>7086.677838</v>
      </c>
      <c r="H7" s="63" t="n">
        <f aca="false">D7-G7</f>
        <v>764.702162000001</v>
      </c>
      <c r="I7" s="64" t="n">
        <f aca="false">IF(G7&gt;0,H7/G7,0)</f>
        <v>0.107907002333242</v>
      </c>
      <c r="J7" s="20" t="s">
        <v>263</v>
      </c>
    </row>
    <row r="8" customFormat="false" ht="15" hidden="false" customHeight="false" outlineLevel="0" collapsed="false">
      <c r="A8" s="6" t="s">
        <v>21</v>
      </c>
      <c r="B8" s="60" t="n">
        <v>1611.55</v>
      </c>
      <c r="C8" s="60" t="n">
        <v>3251.93</v>
      </c>
      <c r="D8" s="61" t="n">
        <f aca="false">B8+C8</f>
        <v>4863.48</v>
      </c>
      <c r="E8" s="62" t="n">
        <f aca="false">потребность!C7*$F$2</f>
        <v>593.67024</v>
      </c>
      <c r="F8" s="62" t="n">
        <f aca="false">(потребность!D7+потребность!E7)*$F$2</f>
        <v>3207.3859258</v>
      </c>
      <c r="G8" s="61" t="n">
        <f aca="false">E8+F8</f>
        <v>3801.0561658</v>
      </c>
      <c r="H8" s="63" t="n">
        <f aca="false">D8-G8</f>
        <v>1062.4238342</v>
      </c>
      <c r="I8" s="64" t="n">
        <f aca="false">IF(G8&gt;0,H8/G8,0)</f>
        <v>0.279507533658449</v>
      </c>
      <c r="J8" s="20"/>
    </row>
    <row r="9" customFormat="false" ht="15" hidden="false" customHeight="false" outlineLevel="0" collapsed="false">
      <c r="A9" s="6" t="s">
        <v>22</v>
      </c>
      <c r="B9" s="60" t="n">
        <v>422.31</v>
      </c>
      <c r="C9" s="60" t="n">
        <v>668.01</v>
      </c>
      <c r="D9" s="61" t="n">
        <f aca="false">B9+C9</f>
        <v>1090.32</v>
      </c>
      <c r="E9" s="62" t="n">
        <f aca="false">потребность!C8*$F$2</f>
        <v>501.28216</v>
      </c>
      <c r="F9" s="62" t="n">
        <f aca="false">(потребность!D8+потребность!E8)*$F$2</f>
        <v>689.981368</v>
      </c>
      <c r="G9" s="61" t="n">
        <f aca="false">E9+F9</f>
        <v>1191.263528</v>
      </c>
      <c r="H9" s="63" t="n">
        <f aca="false">D9-G9</f>
        <v>-100.943528</v>
      </c>
      <c r="I9" s="64" t="n">
        <f aca="false">IF(G9&gt;0,H9/G9,0)</f>
        <v>-0.08473652187562</v>
      </c>
      <c r="J9" s="20"/>
    </row>
    <row r="10" customFormat="false" ht="15" hidden="false" customHeight="false" outlineLevel="0" collapsed="false">
      <c r="A10" s="6" t="s">
        <v>23</v>
      </c>
      <c r="B10" s="60" t="n">
        <v>2230.61</v>
      </c>
      <c r="C10" s="60" t="n">
        <v>188.17</v>
      </c>
      <c r="D10" s="61" t="n">
        <f aca="false">B10+C10</f>
        <v>2418.78</v>
      </c>
      <c r="E10" s="62" t="n">
        <f aca="false">потребность!C9*$F$2</f>
        <v>1854.158274</v>
      </c>
      <c r="F10" s="62" t="n">
        <f aca="false">(потребность!D9+потребность!E9)*$F$2</f>
        <v>219.3748668</v>
      </c>
      <c r="G10" s="61" t="n">
        <f aca="false">E10+F10</f>
        <v>2073.5331408</v>
      </c>
      <c r="H10" s="63" t="n">
        <f aca="false">D10-G10</f>
        <v>345.2468592</v>
      </c>
      <c r="I10" s="64" t="n">
        <f aca="false">IF(G10&gt;0,H10/G10,0)</f>
        <v>0.166501731950519</v>
      </c>
      <c r="J10" s="20"/>
    </row>
    <row r="11" customFormat="false" ht="15" hidden="false" customHeight="false" outlineLevel="0" collapsed="false">
      <c r="A11" s="6" t="s">
        <v>24</v>
      </c>
      <c r="B11" s="60" t="n">
        <v>896.23</v>
      </c>
      <c r="C11" s="60" t="n">
        <v>912.5</v>
      </c>
      <c r="D11" s="61" t="n">
        <f aca="false">B11+C11</f>
        <v>1808.73</v>
      </c>
      <c r="E11" s="62" t="n">
        <f aca="false">потребность!C10*$F$2</f>
        <v>300.6686304</v>
      </c>
      <c r="F11" s="62" t="n">
        <f aca="false">(потребность!D10+потребность!E10)*$F$2</f>
        <v>1412.33017608</v>
      </c>
      <c r="G11" s="61" t="n">
        <f aca="false">E11+F11</f>
        <v>1712.99880648</v>
      </c>
      <c r="H11" s="63" t="n">
        <f aca="false">D11-G11</f>
        <v>95.7311935199996</v>
      </c>
      <c r="I11" s="64" t="n">
        <f aca="false">IF(G11&gt;0,H11/G11,0)</f>
        <v>0.0558851489901008</v>
      </c>
      <c r="J11" s="20" t="s">
        <v>264</v>
      </c>
    </row>
    <row r="12" customFormat="false" ht="15" hidden="false" customHeight="false" outlineLevel="0" collapsed="false">
      <c r="A12" s="6" t="s">
        <v>25</v>
      </c>
      <c r="B12" s="60" t="n">
        <v>148.77</v>
      </c>
      <c r="C12" s="60" t="n">
        <v>932.2</v>
      </c>
      <c r="D12" s="61" t="n">
        <f aca="false">B12+C12</f>
        <v>1080.97</v>
      </c>
      <c r="E12" s="62" t="n">
        <f aca="false">потребность!C11*$F$2</f>
        <v>741.909324</v>
      </c>
      <c r="F12" s="62" t="n">
        <f aca="false">(потребность!D11+потребность!E11)*$F$2</f>
        <v>904.38645288</v>
      </c>
      <c r="G12" s="61" t="n">
        <f aca="false">E12+F12</f>
        <v>1646.29577688</v>
      </c>
      <c r="H12" s="63" t="n">
        <f aca="false">D12-G12</f>
        <v>-565.32577688</v>
      </c>
      <c r="I12" s="64" t="n">
        <f aca="false">IF(G12&gt;0,H12/G12,0)</f>
        <v>-0.343392593736336</v>
      </c>
      <c r="J12" s="20" t="s">
        <v>265</v>
      </c>
    </row>
    <row r="13" customFormat="false" ht="15" hidden="false" customHeight="false" outlineLevel="0" collapsed="false">
      <c r="A13" s="6" t="s">
        <v>26</v>
      </c>
      <c r="B13" s="60" t="n">
        <v>41.09</v>
      </c>
      <c r="C13" s="60" t="n">
        <v>87.57</v>
      </c>
      <c r="D13" s="61" t="n">
        <f aca="false">B13+C13</f>
        <v>128.66</v>
      </c>
      <c r="E13" s="62" t="n">
        <f aca="false">потребность!C12*$F$2</f>
        <v>78.716904</v>
      </c>
      <c r="F13" s="62" t="n">
        <f aca="false">(потребность!D12+потребность!E12)*$F$2</f>
        <v>232.0920736</v>
      </c>
      <c r="G13" s="61" t="n">
        <f aca="false">E13+F13</f>
        <v>310.8089776</v>
      </c>
      <c r="H13" s="63" t="n">
        <f aca="false">D13-G13</f>
        <v>-182.1489776</v>
      </c>
      <c r="I13" s="64" t="n">
        <f aca="false">IF(G13&gt;0,H13/G13,0)</f>
        <v>-0.58604799322888</v>
      </c>
      <c r="J13" s="20"/>
    </row>
    <row r="14" customFormat="false" ht="15" hidden="false" customHeight="false" outlineLevel="0" collapsed="false">
      <c r="A14" s="6" t="s">
        <v>27</v>
      </c>
      <c r="B14" s="60" t="n">
        <v>0</v>
      </c>
      <c r="C14" s="60" t="n">
        <v>208.66</v>
      </c>
      <c r="D14" s="61" t="n">
        <f aca="false">B14+C14</f>
        <v>208.66</v>
      </c>
      <c r="E14" s="62" t="n">
        <f aca="false">потребность!C13*$F$2</f>
        <v>0</v>
      </c>
      <c r="F14" s="62" t="n">
        <f aca="false">(потребность!D13+потребность!E13)*$F$2</f>
        <v>230.11354944</v>
      </c>
      <c r="G14" s="61" t="n">
        <f aca="false">E14+F14</f>
        <v>230.11354944</v>
      </c>
      <c r="H14" s="63" t="n">
        <f aca="false">D14-G14</f>
        <v>-21.45354944</v>
      </c>
      <c r="I14" s="64" t="n">
        <f aca="false">IF(G14&gt;0,H14/G14,0)</f>
        <v>-0.0932302747587396</v>
      </c>
      <c r="J14" s="20"/>
    </row>
    <row r="15" customFormat="false" ht="15" hidden="false" customHeight="false" outlineLevel="0" collapsed="false">
      <c r="A15" s="6" t="s">
        <v>28</v>
      </c>
      <c r="B15" s="60" t="n">
        <v>0</v>
      </c>
      <c r="C15" s="60" t="n">
        <v>7659.36</v>
      </c>
      <c r="D15" s="61" t="n">
        <f aca="false">B15+C15</f>
        <v>7659.36</v>
      </c>
      <c r="E15" s="62" t="n">
        <f aca="false">потребность!C14*$F$2</f>
        <v>8.120337</v>
      </c>
      <c r="F15" s="62" t="n">
        <f aca="false">(потребность!D14+потребность!E14)*$F$2</f>
        <v>8628.8681532</v>
      </c>
      <c r="G15" s="61" t="n">
        <f aca="false">E15+F15</f>
        <v>8636.9884902</v>
      </c>
      <c r="H15" s="63" t="n">
        <f aca="false">D15-G15</f>
        <v>-977.628490200002</v>
      </c>
      <c r="I15" s="64" t="n">
        <f aca="false">IF(G15&gt;0,H15/G15,0)</f>
        <v>-0.11319089880799</v>
      </c>
      <c r="J15" s="20" t="s">
        <v>266</v>
      </c>
    </row>
    <row r="16" customFormat="false" ht="15" hidden="false" customHeight="false" outlineLevel="0" collapsed="false">
      <c r="A16" s="6" t="s">
        <v>29</v>
      </c>
      <c r="B16" s="60" t="n">
        <v>0</v>
      </c>
      <c r="C16" s="60" t="n">
        <v>0</v>
      </c>
      <c r="D16" s="61" t="n">
        <f aca="false">B16+C16</f>
        <v>0</v>
      </c>
      <c r="E16" s="62" t="n">
        <f aca="false">потребность!C15*$F$2</f>
        <v>0</v>
      </c>
      <c r="F16" s="62" t="n">
        <f aca="false">(потребность!D15+потребность!E15)*$F$2</f>
        <v>0</v>
      </c>
      <c r="G16" s="61" t="n">
        <f aca="false">E16+F16</f>
        <v>0</v>
      </c>
      <c r="H16" s="63" t="n">
        <f aca="false">D16-G16</f>
        <v>0</v>
      </c>
      <c r="I16" s="64" t="n">
        <f aca="false">IF(G16&gt;0,H16/G16,0)</f>
        <v>0</v>
      </c>
      <c r="J16" s="20"/>
    </row>
    <row r="17" customFormat="false" ht="15" hidden="false" customHeight="false" outlineLevel="0" collapsed="false">
      <c r="A17" s="6" t="s">
        <v>30</v>
      </c>
      <c r="B17" s="60" t="n">
        <v>0</v>
      </c>
      <c r="C17" s="60" t="n">
        <v>0</v>
      </c>
      <c r="D17" s="61" t="n">
        <f aca="false">B17+C17</f>
        <v>0</v>
      </c>
      <c r="E17" s="62" t="n">
        <f aca="false">потребность!C16*$F$2</f>
        <v>0</v>
      </c>
      <c r="F17" s="62" t="n">
        <f aca="false">(потребность!D16+потребность!E16)*$F$2</f>
        <v>1.4183064</v>
      </c>
      <c r="G17" s="61" t="n">
        <f aca="false">E17+F17</f>
        <v>1.4183064</v>
      </c>
      <c r="H17" s="63" t="n">
        <f aca="false">D17-G17</f>
        <v>-1.4183064</v>
      </c>
      <c r="I17" s="64" t="n">
        <f aca="false">IF(G17&gt;0,H17/G17,0)</f>
        <v>-1</v>
      </c>
      <c r="J17" s="20"/>
    </row>
    <row r="18" customFormat="false" ht="15" hidden="false" customHeight="false" outlineLevel="0" collapsed="false">
      <c r="A18" s="6" t="s">
        <v>31</v>
      </c>
      <c r="B18" s="60" t="n">
        <v>0</v>
      </c>
      <c r="C18" s="60" t="n">
        <v>0</v>
      </c>
      <c r="D18" s="61" t="n">
        <f aca="false">B18+C18</f>
        <v>0</v>
      </c>
      <c r="E18" s="62" t="n">
        <f aca="false">потребность!C17*$F$2</f>
        <v>0</v>
      </c>
      <c r="F18" s="62" t="n">
        <f aca="false">(потребность!D17+потребность!E17)*$F$2</f>
        <v>0</v>
      </c>
      <c r="G18" s="61" t="n">
        <f aca="false">E18+F18</f>
        <v>0</v>
      </c>
      <c r="H18" s="63" t="n">
        <f aca="false">D18-G18</f>
        <v>0</v>
      </c>
      <c r="I18" s="64" t="n">
        <f aca="false">IF(G18&gt;0,H18/G18,0)</f>
        <v>0</v>
      </c>
      <c r="J18" s="20"/>
    </row>
    <row r="19" customFormat="false" ht="15" hidden="false" customHeight="false" outlineLevel="0" collapsed="false">
      <c r="A19" s="6" t="s">
        <v>32</v>
      </c>
      <c r="B19" s="60" t="n">
        <v>291.39</v>
      </c>
      <c r="C19" s="60" t="n">
        <v>312.23</v>
      </c>
      <c r="D19" s="61" t="n">
        <f aca="false">B19+C19</f>
        <v>603.62</v>
      </c>
      <c r="E19" s="62" t="n">
        <f aca="false">потребность!C18*$F$2</f>
        <v>347.8277034</v>
      </c>
      <c r="F19" s="62" t="n">
        <f aca="false">(потребность!D18+потребность!E18)*$F$2</f>
        <v>1564.2409822</v>
      </c>
      <c r="G19" s="61" t="n">
        <f aca="false">E19+F19</f>
        <v>1912.0686856</v>
      </c>
      <c r="H19" s="63" t="n">
        <f aca="false">D19-G19</f>
        <v>-1308.4486856</v>
      </c>
      <c r="I19" s="64" t="n">
        <f aca="false">IF(G19&gt;0,H19/G19,0)</f>
        <v>-0.684310503829738</v>
      </c>
      <c r="J19" s="20" t="s">
        <v>267</v>
      </c>
    </row>
    <row r="20" customFormat="false" ht="15" hidden="false" customHeight="false" outlineLevel="0" collapsed="false">
      <c r="A20" s="6" t="s">
        <v>33</v>
      </c>
      <c r="B20" s="60" t="n">
        <v>1566.46</v>
      </c>
      <c r="C20" s="60" t="n">
        <v>2695.97</v>
      </c>
      <c r="D20" s="61" t="n">
        <f aca="false">B20+C20</f>
        <v>4262.43</v>
      </c>
      <c r="E20" s="62" t="n">
        <f aca="false">потребность!C19*$F$2</f>
        <v>1314.559842</v>
      </c>
      <c r="F20" s="62" t="n">
        <f aca="false">(потребность!D19+потребность!E19)*$F$2</f>
        <v>1889.9766845</v>
      </c>
      <c r="G20" s="61" t="n">
        <f aca="false">E20+F20</f>
        <v>3204.5365265</v>
      </c>
      <c r="H20" s="63" t="n">
        <f aca="false">D20-G20</f>
        <v>1057.8934735</v>
      </c>
      <c r="I20" s="64" t="n">
        <f aca="false">IF(G20&gt;0,H20/G20,0)</f>
        <v>0.330123705800112</v>
      </c>
      <c r="J20" s="20" t="s">
        <v>268</v>
      </c>
    </row>
    <row r="21" customFormat="false" ht="15" hidden="false" customHeight="false" outlineLevel="0" collapsed="false">
      <c r="A21" s="6" t="s">
        <v>34</v>
      </c>
      <c r="B21" s="60" t="n">
        <v>0</v>
      </c>
      <c r="C21" s="60" t="n">
        <v>0</v>
      </c>
      <c r="D21" s="61" t="n">
        <f aca="false">B21+C21</f>
        <v>0</v>
      </c>
      <c r="E21" s="62" t="n">
        <f aca="false">потребность!C20*$F$2</f>
        <v>0</v>
      </c>
      <c r="F21" s="62" t="n">
        <f aca="false">(потребность!D20+потребность!E20)*$F$2</f>
        <v>7.3827432</v>
      </c>
      <c r="G21" s="61" t="n">
        <f aca="false">E21+F21</f>
        <v>7.3827432</v>
      </c>
      <c r="H21" s="63" t="n">
        <f aca="false">D21-G21</f>
        <v>-7.3827432</v>
      </c>
      <c r="I21" s="64" t="n">
        <f aca="false">IF(G21&gt;0,H21/G21,0)</f>
        <v>-1</v>
      </c>
      <c r="J21" s="20"/>
    </row>
    <row r="22" customFormat="false" ht="15" hidden="false" customHeight="false" outlineLevel="0" collapsed="false">
      <c r="A22" s="6" t="s">
        <v>269</v>
      </c>
      <c r="B22" s="60" t="n">
        <v>0</v>
      </c>
      <c r="C22" s="60" t="n">
        <v>0</v>
      </c>
      <c r="D22" s="61" t="n">
        <f aca="false">B22+C22</f>
        <v>0</v>
      </c>
      <c r="E22" s="62" t="n">
        <f aca="false">потребность!C21*$F$2</f>
        <v>0</v>
      </c>
      <c r="F22" s="62" t="n">
        <f aca="false">(потребность!D21+потребность!E21)*$F$2</f>
        <v>46.1384</v>
      </c>
      <c r="G22" s="61" t="n">
        <f aca="false">E22+F22</f>
        <v>46.1384</v>
      </c>
      <c r="H22" s="63" t="n">
        <f aca="false">D22-G22</f>
        <v>-46.1384</v>
      </c>
      <c r="I22" s="64" t="n">
        <f aca="false">IF(G22&gt;0,H22/G22,0)</f>
        <v>-1</v>
      </c>
      <c r="J22" s="20" t="s">
        <v>270</v>
      </c>
    </row>
    <row r="23" customFormat="false" ht="15" hidden="false" customHeight="false" outlineLevel="0" collapsed="false">
      <c r="A23" s="4" t="s">
        <v>271</v>
      </c>
      <c r="B23" s="65" t="n">
        <f aca="false">SUM(B6:B22)</f>
        <v>11974.82</v>
      </c>
      <c r="C23" s="65" t="n">
        <f aca="false">SUM(C6:C22)</f>
        <v>22759.28</v>
      </c>
      <c r="D23" s="65" t="n">
        <f aca="false">SUM(D6:D22)</f>
        <v>34734.1</v>
      </c>
      <c r="E23" s="65" t="n">
        <f aca="false">SUM(E6:E22)</f>
        <v>10054.1946948</v>
      </c>
      <c r="F23" s="65" t="n">
        <f aca="false">SUM(F6:F22)</f>
        <v>24656.9827691</v>
      </c>
      <c r="G23" s="65" t="n">
        <f aca="false">SUM(G6:G22)</f>
        <v>34711.1774639</v>
      </c>
      <c r="H23" s="66" t="n">
        <f aca="false">SUM(H6:H22)</f>
        <v>22.9225360999969</v>
      </c>
      <c r="I23" s="67" t="n">
        <f aca="false">IF(G23&gt;0,H23/G23,0)</f>
        <v>0.000660379099033348</v>
      </c>
      <c r="J23" s="4" t="s">
        <v>272</v>
      </c>
    </row>
    <row r="25" customFormat="false" ht="23.85" hidden="false" customHeight="false" outlineLevel="0" collapsed="false">
      <c r="A25" s="20" t="s">
        <v>273</v>
      </c>
      <c r="G25" s="68" t="n">
        <f aca="false">SUM(потребность!C22:E22)</f>
        <v>32440.35277</v>
      </c>
    </row>
    <row r="26" customFormat="false" ht="23.85" hidden="false" customHeight="false" outlineLevel="0" collapsed="false">
      <c r="A26" s="20" t="s">
        <v>274</v>
      </c>
      <c r="D26" s="68" t="n">
        <f aca="false">D23/$F$2</f>
        <v>32461.7757009346</v>
      </c>
    </row>
    <row r="28" customFormat="false" ht="15" hidden="false" customHeight="false" outlineLevel="0" collapsed="false">
      <c r="A28" s="69" t="s">
        <v>275</v>
      </c>
      <c r="B28" s="2"/>
      <c r="C28" s="2"/>
      <c r="D28" s="2"/>
      <c r="E28" s="2"/>
      <c r="F28" s="2"/>
      <c r="G28" s="2"/>
      <c r="H28" s="2"/>
      <c r="I28" s="2"/>
      <c r="J28" s="2"/>
    </row>
    <row r="29" customFormat="false" ht="30" hidden="false" customHeight="true" outlineLevel="0" collapsed="false">
      <c r="A29" s="5" t="s">
        <v>276</v>
      </c>
      <c r="B29" s="5" t="s">
        <v>277</v>
      </c>
      <c r="C29" s="5" t="s">
        <v>278</v>
      </c>
      <c r="D29" s="4"/>
      <c r="E29" s="4"/>
      <c r="F29" s="4"/>
      <c r="G29" s="5" t="s">
        <v>279</v>
      </c>
      <c r="H29" s="5" t="s">
        <v>260</v>
      </c>
      <c r="I29" s="4"/>
      <c r="J29" s="5" t="s">
        <v>280</v>
      </c>
    </row>
    <row r="30" customFormat="false" ht="31.5" hidden="false" customHeight="true" outlineLevel="0" collapsed="false">
      <c r="A30" s="6" t="s">
        <v>281</v>
      </c>
      <c r="B30" s="70" t="n">
        <v>2630.3</v>
      </c>
      <c r="C30" s="20" t="s">
        <v>282</v>
      </c>
      <c r="D30" s="20"/>
      <c r="E30" s="20"/>
      <c r="F30" s="20"/>
      <c r="G30" s="62" t="n">
        <f aca="false">SUMIFS(Ведомость!$P$5:$P$2053,Ведомость!$W$5:$W$2053,1,Ведомость!$C$5:$C$2053,"Колонны",Ведомость!$G$5:$G$2053,"Вертикальные*")</f>
        <v>2698.8</v>
      </c>
      <c r="H30" s="63" t="n">
        <f aca="false">B30-G30</f>
        <v>-68.5</v>
      </c>
      <c r="I30" s="20"/>
      <c r="J30" s="20" t="s">
        <v>283</v>
      </c>
    </row>
    <row r="31" customFormat="false" ht="31.5" hidden="false" customHeight="true" outlineLevel="0" collapsed="false">
      <c r="A31" s="6" t="s">
        <v>284</v>
      </c>
      <c r="B31" s="70" t="n">
        <v>846.1</v>
      </c>
      <c r="C31" s="20" t="s">
        <v>285</v>
      </c>
      <c r="D31" s="20"/>
      <c r="E31" s="20"/>
      <c r="F31" s="20"/>
      <c r="G31" s="62" t="n">
        <f aca="false">SUMIFS(Ведомость!$P$5:$P$2053,Ведомость!$W$5:$W$2053,1,Ведомость!$C$5:$C$2053,"Колонны")-SUMIFS(Ведомость!$P$5:$P$2053,Ведомость!$W$5:$W$2053,1,Ведомость!$C$5:$C$2053,"Колонны",Ведомость!$G$5:$G$2053,"Вертикальные*")</f>
        <v>851.778</v>
      </c>
      <c r="H31" s="63" t="n">
        <f aca="false">B31-G31</f>
        <v>-5.67799999999977</v>
      </c>
      <c r="I31" s="20"/>
      <c r="J31" s="20" t="s">
        <v>286</v>
      </c>
    </row>
    <row r="32" customFormat="false" ht="31.5" hidden="false" customHeight="true" outlineLevel="0" collapsed="false">
      <c r="A32" s="6" t="s">
        <v>287</v>
      </c>
      <c r="B32" s="70" t="n">
        <v>312.6</v>
      </c>
      <c r="C32" s="20" t="s">
        <v>288</v>
      </c>
      <c r="D32" s="20"/>
      <c r="E32" s="20"/>
      <c r="F32" s="20"/>
      <c r="G32" s="62" t="n">
        <f aca="false">0</f>
        <v>0</v>
      </c>
      <c r="H32" s="63" t="n">
        <f aca="false">B32-G32</f>
        <v>312.6</v>
      </c>
      <c r="I32" s="20"/>
      <c r="J32" s="20" t="s">
        <v>289</v>
      </c>
    </row>
    <row r="33" customFormat="false" ht="31.5" hidden="false" customHeight="true" outlineLevel="0" collapsed="false">
      <c r="A33" s="6" t="s">
        <v>290</v>
      </c>
      <c r="B33" s="70" t="n">
        <v>3467.8</v>
      </c>
      <c r="C33" s="20" t="s">
        <v>291</v>
      </c>
      <c r="D33" s="20"/>
      <c r="E33" s="20"/>
      <c r="F33" s="20"/>
      <c r="G33" s="62" t="n">
        <f aca="false">SUMIFS(Ведомость!$P$5:$P$2053,Ведомость!$W$5:$W$2053,1,Ведомость!$C$5:$C$2053,"Диафрагмы",Ведомость!$G$5:$G$2053,"Вертикальные*")</f>
        <v>4037.05312</v>
      </c>
      <c r="H33" s="63" t="n">
        <f aca="false">B33-G33</f>
        <v>-569.253119999999</v>
      </c>
      <c r="I33" s="20"/>
      <c r="J33" s="20" t="s">
        <v>292</v>
      </c>
    </row>
    <row r="34" customFormat="false" ht="31.5" hidden="false" customHeight="true" outlineLevel="0" collapsed="false">
      <c r="A34" s="6" t="s">
        <v>293</v>
      </c>
      <c r="B34" s="70" t="n">
        <v>2527.5</v>
      </c>
      <c r="C34" s="20" t="s">
        <v>294</v>
      </c>
      <c r="D34" s="20"/>
      <c r="E34" s="20"/>
      <c r="F34" s="20"/>
      <c r="G34" s="62" t="n">
        <f aca="false">0</f>
        <v>0</v>
      </c>
      <c r="H34" s="63" t="n">
        <f aca="false">B34-G34</f>
        <v>2527.5</v>
      </c>
      <c r="I34" s="20"/>
      <c r="J34" s="20" t="s">
        <v>295</v>
      </c>
    </row>
    <row r="35" customFormat="false" ht="31.5" hidden="false" customHeight="true" outlineLevel="0" collapsed="false">
      <c r="A35" s="6" t="s">
        <v>296</v>
      </c>
      <c r="B35" s="70" t="n">
        <v>516.8</v>
      </c>
      <c r="C35" s="20" t="s">
        <v>297</v>
      </c>
      <c r="D35" s="20"/>
      <c r="E35" s="20"/>
      <c r="F35" s="20"/>
      <c r="G35" s="62" t="n">
        <f aca="false">SUMIFS(Ведомость!$P$5:$P$2053,Ведомость!$W$5:$W$2053,1,Ведомость!$C$5:$C$2053,"Диафрагмы",Ведомость!$F$5:$F$2053,"гор.")</f>
        <v>876.492</v>
      </c>
      <c r="H35" s="63" t="n">
        <f aca="false">B35-G35</f>
        <v>-359.692</v>
      </c>
      <c r="I35" s="20"/>
      <c r="J35" s="20" t="s">
        <v>298</v>
      </c>
    </row>
    <row r="36" customFormat="false" ht="31.5" hidden="false" customHeight="true" outlineLevel="0" collapsed="false">
      <c r="A36" s="6" t="s">
        <v>299</v>
      </c>
      <c r="B36" s="70" t="n">
        <v>0</v>
      </c>
      <c r="C36" s="20" t="s">
        <v>300</v>
      </c>
      <c r="D36" s="20"/>
      <c r="E36" s="20"/>
      <c r="F36" s="20"/>
      <c r="G36" s="62" t="n">
        <f aca="false">SUMIFS(Ведомость!$P$5:$P$2053,Ведомость!$W$5:$W$2053,1,Ведомость!$C$5:$C$2053,"Диафрагмы",Ведомость!$F$5:$F$2053,"доп.")</f>
        <v>230.4653</v>
      </c>
      <c r="H36" s="63" t="n">
        <f aca="false">B36-G36</f>
        <v>-230.4653</v>
      </c>
      <c r="I36" s="20"/>
      <c r="J36" s="20" t="s">
        <v>301</v>
      </c>
    </row>
    <row r="37" customFormat="false" ht="31.5" hidden="false" customHeight="true" outlineLevel="0" collapsed="false">
      <c r="A37" s="6" t="s">
        <v>302</v>
      </c>
      <c r="B37" s="70" t="n">
        <v>890.2</v>
      </c>
      <c r="C37" s="20" t="s">
        <v>291</v>
      </c>
      <c r="D37" s="20"/>
      <c r="E37" s="20"/>
      <c r="F37" s="20"/>
      <c r="G37" s="62" t="n">
        <f aca="false">SUMIFS(Ведомость!$P$5:$P$2053,Ведомость!$W$5:$W$2053,1,Ведомость!$C$5:$C$2053,"Диафрагмы")-SUMIFS(Ведомость!$P$5:$P$2053,Ведомость!$W$5:$W$2053,1,Ведомость!$C$5:$C$2053,"Диафрагмы",Ведомость!$G$5:$G$2053,"Вертикальные*")-SUMIFS(Ведомость!$P$5:$P$2053,Ведомость!$W$5:$W$2053,1,Ведомость!$C$5:$C$2053,"Диафрагмы",Ведомость!$F$5:$F$2053,"гор.")-SUMIFS(Ведомость!$P$5:$P$2053,Ведомость!$W$5:$W$2053,1,Ведомость!$C$5:$C$2053,"Диафрагмы",Ведомость!$F$5:$F$2053,"доп.")</f>
        <v>701.85522</v>
      </c>
      <c r="H37" s="63" t="n">
        <f aca="false">B37-G37</f>
        <v>188.34478</v>
      </c>
      <c r="I37" s="20"/>
      <c r="J37" s="20" t="s">
        <v>303</v>
      </c>
    </row>
    <row r="38" customFormat="false" ht="31.5" hidden="false" customHeight="true" outlineLevel="0" collapsed="false">
      <c r="A38" s="6" t="s">
        <v>304</v>
      </c>
      <c r="B38" s="70" t="n">
        <v>5645.5</v>
      </c>
      <c r="C38" s="20" t="s">
        <v>305</v>
      </c>
      <c r="D38" s="20"/>
      <c r="E38" s="20"/>
      <c r="F38" s="20"/>
      <c r="G38" s="62" t="n">
        <f aca="false">SUMIFS(Ведомость!$P$5:$P$2053,Ведомость!$W$5:$W$2053,1,Ведомость!$C$5:$C$2053,"Ригели",Ведомость!$F$5:$F$2053,"2")+SUMIFS(Ведомость!$P$5:$P$2053,Ведомость!$W$5:$W$2053,1,Ведомость!$C$5:$C$2053,"Ригели",Ведомость!$F$5:$F$2053,"6")+SUMIFS(Ведомость!$P$5:$P$2053,Ведомость!$W$5:$W$2053,1,Ведомость!$C$5:$C$2053,"Ригели",Ведомость!$F$5:$F$2053,"7")+SUMIFS(Ведомость!$P$5:$P$2053,Ведомость!$W$5:$W$2053,1,Ведомость!$C$5:$C$2053,"Ригели",Ведомость!$F$5:$F$2053,"6-нахл")+SUMIFS(Ведомость!$P$5:$P$2053,Ведомость!$W$5:$W$2053,1,Ведомость!$C$5:$C$2053,"Ригели",Ведомость!$F$5:$F$2053,"7-нахл")</f>
        <v>5429.528096</v>
      </c>
      <c r="H38" s="63" t="n">
        <f aca="false">B38-G38</f>
        <v>215.971904</v>
      </c>
      <c r="I38" s="20"/>
      <c r="J38" s="20" t="s">
        <v>306</v>
      </c>
    </row>
    <row r="39" customFormat="false" ht="31.5" hidden="false" customHeight="true" outlineLevel="0" collapsed="false">
      <c r="A39" s="6" t="s">
        <v>307</v>
      </c>
      <c r="B39" s="70" t="n">
        <v>2496.9</v>
      </c>
      <c r="C39" s="20" t="s">
        <v>308</v>
      </c>
      <c r="D39" s="20"/>
      <c r="E39" s="20"/>
      <c r="F39" s="20"/>
      <c r="G39" s="62" t="n">
        <f aca="false">SUMIFS(Ведомость!$P$5:$P$2053,Ведомость!$W$5:$W$2053,1,Ведомость!$C$5:$C$2053,"Ригели",Ведомость!$F$5:$F$2053,"ОС")</f>
        <v>2445.7317</v>
      </c>
      <c r="H39" s="63" t="n">
        <f aca="false">B39-G39</f>
        <v>51.1683000000003</v>
      </c>
      <c r="I39" s="20"/>
      <c r="J39" s="20" t="s">
        <v>309</v>
      </c>
    </row>
    <row r="40" customFormat="false" ht="31.5" hidden="false" customHeight="true" outlineLevel="0" collapsed="false">
      <c r="A40" s="6" t="s">
        <v>310</v>
      </c>
      <c r="B40" s="70" t="n">
        <v>1739.4</v>
      </c>
      <c r="C40" s="20" t="s">
        <v>311</v>
      </c>
      <c r="D40" s="20"/>
      <c r="E40" s="20"/>
      <c r="F40" s="20"/>
      <c r="G40" s="62" t="n">
        <f aca="false">SUMIFS(Ведомость!$P$5:$P$2053,Ведомость!$W$5:$W$2053,1,Ведомость!$C$5:$C$2053,"Ригели")-(SUMIFS(Ведомость!$P$5:$P$2053,Ведомость!$W$5:$W$2053,1,Ведомость!$C$5:$C$2053,"Ригели",Ведомость!$F$5:$F$2053,"2")+SUMIFS(Ведомость!$P$5:$P$2053,Ведомость!$W$5:$W$2053,1,Ведомость!$C$5:$C$2053,"Ригели",Ведомость!$F$5:$F$2053,"6")+SUMIFS(Ведомость!$P$5:$P$2053,Ведомость!$W$5:$W$2053,1,Ведомость!$C$5:$C$2053,"Ригели",Ведомость!$F$5:$F$2053,"7")+SUMIFS(Ведомость!$P$5:$P$2053,Ведомость!$W$5:$W$2053,1,Ведомость!$C$5:$C$2053,"Ригели",Ведомость!$F$5:$F$2053,"6-нахл")+SUMIFS(Ведомость!$P$5:$P$2053,Ведомость!$W$5:$W$2053,1,Ведомость!$C$5:$C$2053,"Ригели",Ведомость!$F$5:$F$2053,"7-нахл")+SUMIFS(Ведомость!$P$5:$P$2053,Ведомость!$W$5:$W$2053,1,Ведомость!$C$5:$C$2053,"Ригели",Ведомость!$F$5:$F$2053,"ОС"))</f>
        <v>2149.757142</v>
      </c>
      <c r="H40" s="63" t="n">
        <f aca="false">B40-G40</f>
        <v>-410.357142</v>
      </c>
      <c r="I40" s="20"/>
      <c r="J40" s="20" t="s">
        <v>312</v>
      </c>
    </row>
    <row r="41" customFormat="false" ht="31.5" hidden="false" customHeight="true" outlineLevel="0" collapsed="false">
      <c r="A41" s="6" t="s">
        <v>313</v>
      </c>
      <c r="B41" s="70" t="n">
        <v>3840.2</v>
      </c>
      <c r="C41" s="20" t="s">
        <v>314</v>
      </c>
      <c r="D41" s="20"/>
      <c r="E41" s="20"/>
      <c r="F41" s="20"/>
      <c r="G41" s="62" t="n">
        <f aca="false">SUMIFS(Ведомость!$P$5:$P$2053,Ведомость!$W$5:$W$2053,1,Ведомость!$C$5:$C$2053,"Плита перекрытия — балки")</f>
        <v>3768.94344</v>
      </c>
      <c r="H41" s="63" t="n">
        <f aca="false">B41-G41</f>
        <v>71.2565599999998</v>
      </c>
      <c r="I41" s="20"/>
      <c r="J41" s="20" t="s">
        <v>315</v>
      </c>
    </row>
    <row r="42" customFormat="false" ht="31.5" hidden="false" customHeight="true" outlineLevel="0" collapsed="false">
      <c r="A42" s="6" t="s">
        <v>316</v>
      </c>
      <c r="B42" s="70" t="n">
        <v>6904.5</v>
      </c>
      <c r="C42" s="20" t="s">
        <v>317</v>
      </c>
      <c r="D42" s="20"/>
      <c r="E42" s="20"/>
      <c r="F42" s="20"/>
      <c r="G42" s="62" t="n">
        <f aca="false">SUMIFS(Ведомость!$P$5:$P$2053,Ведомость!$W$5:$W$2053,1,Ведомость!$C$5:$C$2053,"Плита перекрытия",Ведомость!$G$5:$G$2053,"*осн. сетка*")+SUMIFS(Ведомость!$P$5:$P$2053,Ведомость!$W$5:$W$2053,1,Ведомость!$C$5:$C$2053,"Плита перекрытия",Ведомость!$F$5:$F$2053,"Ф-1")+SUMIFS(Ведомость!$P$5:$P$2053,Ведомость!$W$5:$W$2053,1,Ведомость!$C$5:$C$2053,"Плита перекрытия",Ведомость!$F$5:$F$2053,"шп")</f>
        <v>7149.8539</v>
      </c>
      <c r="H42" s="63" t="n">
        <f aca="false">B42-G42</f>
        <v>-245.3539</v>
      </c>
      <c r="I42" s="20"/>
      <c r="J42" s="20" t="s">
        <v>318</v>
      </c>
    </row>
    <row r="43" customFormat="false" ht="31.5" hidden="false" customHeight="true" outlineLevel="0" collapsed="false">
      <c r="A43" s="6" t="s">
        <v>319</v>
      </c>
      <c r="B43" s="70" t="n">
        <v>643.8</v>
      </c>
      <c r="C43" s="20" t="s">
        <v>320</v>
      </c>
      <c r="D43" s="20"/>
      <c r="E43" s="20"/>
      <c r="F43" s="20"/>
      <c r="G43" s="62" t="n">
        <f aca="false">SUMIFS(Ведомость!$P$5:$P$2053,Ведомость!$W$5:$W$2053,1,Ведомость!$C$5:$C$2053,"Плита перекрытия")-(SUMIFS(Ведомость!$P$5:$P$2053,Ведомость!$W$5:$W$2053,1,Ведомость!$C$5:$C$2053,"Плита перекрытия",Ведомость!$G$5:$G$2053,"*осн. сетка*")+SUMIFS(Ведомость!$P$5:$P$2053,Ведомость!$W$5:$W$2053,1,Ведомость!$C$5:$C$2053,"Плита перекрытия",Ведомость!$F$5:$F$2053,"Ф-1")+SUMIFS(Ведомость!$P$5:$P$2053,Ведомость!$W$5:$W$2053,1,Ведомость!$C$5:$C$2053,"Плита перекрытия",Ведомость!$F$5:$F$2053,"шп"))</f>
        <v>804.26418</v>
      </c>
      <c r="H43" s="63" t="n">
        <f aca="false">B43-G43</f>
        <v>-160.46418</v>
      </c>
      <c r="I43" s="20"/>
      <c r="J43" s="20" t="s">
        <v>321</v>
      </c>
    </row>
    <row r="44" customFormat="false" ht="31.5" hidden="false" customHeight="true" outlineLevel="0" collapsed="false">
      <c r="A44" s="6" t="s">
        <v>322</v>
      </c>
      <c r="B44" s="70" t="n">
        <v>0</v>
      </c>
      <c r="C44" s="20" t="s">
        <v>300</v>
      </c>
      <c r="D44" s="20"/>
      <c r="E44" s="20"/>
      <c r="F44" s="20"/>
      <c r="G44" s="62" t="n">
        <f aca="false">SUMIFS(Ведомость!$P$5:$P$2053,Ведомость!$W$5:$W$2053,1,Ведомость!$C$5:$C$2053,"Сетки-гребёнки С-1")</f>
        <v>492.366</v>
      </c>
      <c r="H44" s="63" t="n">
        <f aca="false">B44-G44</f>
        <v>-492.366</v>
      </c>
      <c r="I44" s="20"/>
      <c r="J44" s="20" t="s">
        <v>323</v>
      </c>
    </row>
    <row r="45" customFormat="false" ht="31.5" hidden="false" customHeight="true" outlineLevel="0" collapsed="false">
      <c r="A45" s="6" t="s">
        <v>324</v>
      </c>
      <c r="B45" s="70" t="n">
        <v>0</v>
      </c>
      <c r="C45" s="20" t="s">
        <v>300</v>
      </c>
      <c r="D45" s="20"/>
      <c r="E45" s="20"/>
      <c r="F45" s="20"/>
      <c r="G45" s="62" t="n">
        <f aca="false">SUMIFS(Ведомость!$P$5:$P$2053,Ведомость!$W$5:$W$2053,1,Ведомость!$C$5:$C$2053,"Лестница ЛВ-1")</f>
        <v>803.464672</v>
      </c>
      <c r="H45" s="63" t="n">
        <f aca="false">B45-G45</f>
        <v>-803.464672</v>
      </c>
      <c r="I45" s="20"/>
      <c r="J45" s="20" t="s">
        <v>325</v>
      </c>
    </row>
    <row r="46" customFormat="false" ht="15" hidden="false" customHeight="false" outlineLevel="0" collapsed="false">
      <c r="A46" s="4" t="s">
        <v>326</v>
      </c>
      <c r="B46" s="65" t="n">
        <f aca="false">SUM(B30:B45)</f>
        <v>32461.6</v>
      </c>
      <c r="C46" s="4"/>
      <c r="D46" s="4"/>
      <c r="E46" s="4"/>
      <c r="F46" s="4"/>
      <c r="G46" s="65" t="n">
        <f aca="false">SUM(G30:G45)</f>
        <v>32440.35277</v>
      </c>
      <c r="H46" s="66" t="n">
        <f aca="false">B46-G46</f>
        <v>21.2472300000009</v>
      </c>
      <c r="I46" s="4"/>
      <c r="J46" s="4" t="s">
        <v>327</v>
      </c>
    </row>
    <row r="47" customFormat="false" ht="23.85" hidden="false" customHeight="false" outlineLevel="0" collapsed="false">
      <c r="A47" s="20" t="s">
        <v>328</v>
      </c>
      <c r="H47" s="21" t="n">
        <f aca="false">ROUND(G46-Ведомость!P2054,1)</f>
        <v>0</v>
      </c>
      <c r="J47" s="71" t="s">
        <v>40</v>
      </c>
    </row>
  </sheetData>
  <mergeCells count="16"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C41:F41"/>
    <mergeCell ref="C42:F42"/>
    <mergeCell ref="C43:F43"/>
    <mergeCell ref="C44:F44"/>
    <mergeCell ref="C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60"/>
    <col collapsed="false" customWidth="true" hidden="false" outlineLevel="0" max="3" min="3" style="0" width="44"/>
    <col collapsed="false" customWidth="true" hidden="false" outlineLevel="0" max="4" min="4" style="0" width="52"/>
    <col collapsed="false" customWidth="true" hidden="false" outlineLevel="0" max="6" min="5" style="0" width="12"/>
  </cols>
  <sheetData>
    <row r="1" customFormat="false" ht="17.35" hidden="false" customHeight="false" outlineLevel="0" collapsed="false">
      <c r="A1" s="58" t="s">
        <v>329</v>
      </c>
    </row>
    <row r="3" customFormat="false" ht="30" hidden="false" customHeight="true" outlineLevel="0" collapsed="false">
      <c r="A3" s="4" t="s">
        <v>330</v>
      </c>
      <c r="B3" s="20" t="s">
        <v>331</v>
      </c>
      <c r="C3" s="20"/>
      <c r="D3" s="20"/>
      <c r="E3" s="20"/>
      <c r="F3" s="20"/>
    </row>
    <row r="4" customFormat="false" ht="30" hidden="false" customHeight="true" outlineLevel="0" collapsed="false">
      <c r="A4" s="4" t="s">
        <v>332</v>
      </c>
      <c r="B4" s="20" t="s">
        <v>333</v>
      </c>
      <c r="C4" s="20"/>
      <c r="D4" s="20"/>
      <c r="E4" s="20"/>
      <c r="F4" s="20"/>
    </row>
    <row r="5" customFormat="false" ht="30" hidden="false" customHeight="true" outlineLevel="0" collapsed="false">
      <c r="A5" s="4" t="s">
        <v>334</v>
      </c>
      <c r="B5" s="20" t="s">
        <v>335</v>
      </c>
      <c r="C5" s="20"/>
      <c r="D5" s="20"/>
      <c r="E5" s="20"/>
      <c r="F5" s="20"/>
    </row>
    <row r="6" customFormat="false" ht="30" hidden="false" customHeight="true" outlineLevel="0" collapsed="false">
      <c r="A6" s="4" t="s">
        <v>336</v>
      </c>
      <c r="B6" s="20" t="s">
        <v>337</v>
      </c>
      <c r="C6" s="20"/>
      <c r="D6" s="20"/>
      <c r="E6" s="20"/>
      <c r="F6" s="20"/>
    </row>
    <row r="7" customFormat="false" ht="30" hidden="false" customHeight="true" outlineLevel="0" collapsed="false">
      <c r="A7" s="4" t="s">
        <v>338</v>
      </c>
      <c r="B7" s="20" t="s">
        <v>339</v>
      </c>
      <c r="C7" s="20"/>
      <c r="D7" s="20"/>
      <c r="E7" s="20"/>
      <c r="F7" s="20"/>
    </row>
    <row r="8" customFormat="false" ht="30" hidden="false" customHeight="true" outlineLevel="0" collapsed="false">
      <c r="A8" s="4" t="s">
        <v>41</v>
      </c>
      <c r="B8" s="20" t="s">
        <v>340</v>
      </c>
      <c r="C8" s="20"/>
      <c r="D8" s="20"/>
      <c r="E8" s="20"/>
      <c r="F8" s="20"/>
    </row>
    <row r="9" customFormat="false" ht="30" hidden="false" customHeight="true" outlineLevel="0" collapsed="false">
      <c r="A9" s="4" t="s">
        <v>341</v>
      </c>
      <c r="B9" s="20" t="s">
        <v>342</v>
      </c>
      <c r="C9" s="20"/>
      <c r="D9" s="20"/>
      <c r="E9" s="20"/>
      <c r="F9" s="20"/>
    </row>
    <row r="10" customFormat="false" ht="30" hidden="false" customHeight="true" outlineLevel="0" collapsed="false">
      <c r="A10" s="4" t="s">
        <v>343</v>
      </c>
      <c r="B10" s="20" t="s">
        <v>344</v>
      </c>
      <c r="C10" s="20"/>
      <c r="D10" s="20"/>
      <c r="E10" s="20"/>
      <c r="F10" s="20"/>
    </row>
    <row r="11" customFormat="false" ht="30" hidden="false" customHeight="true" outlineLevel="0" collapsed="false">
      <c r="A11" s="4" t="s">
        <v>345</v>
      </c>
      <c r="B11" s="20" t="s">
        <v>346</v>
      </c>
      <c r="C11" s="20"/>
      <c r="D11" s="20"/>
      <c r="E11" s="20"/>
      <c r="F11" s="20"/>
    </row>
    <row r="12" customFormat="false" ht="30" hidden="false" customHeight="true" outlineLevel="0" collapsed="false">
      <c r="A12" s="4" t="s">
        <v>347</v>
      </c>
      <c r="B12" s="20" t="s">
        <v>348</v>
      </c>
      <c r="C12" s="20"/>
      <c r="D12" s="20"/>
      <c r="E12" s="20"/>
      <c r="F12" s="20"/>
    </row>
    <row r="14" customFormat="false" ht="15" hidden="false" customHeight="false" outlineLevel="0" collapsed="false">
      <c r="A14" s="34" t="s">
        <v>349</v>
      </c>
    </row>
    <row r="15" customFormat="false" ht="15" hidden="false" customHeight="false" outlineLevel="0" collapsed="false">
      <c r="A15" s="4" t="s">
        <v>350</v>
      </c>
      <c r="B15" s="72" t="n">
        <v>11.7</v>
      </c>
    </row>
    <row r="16" customFormat="false" ht="15" hidden="false" customHeight="false" outlineLevel="0" collapsed="false">
      <c r="A16" s="4" t="s">
        <v>351</v>
      </c>
      <c r="B16" s="72" t="n">
        <v>1.07</v>
      </c>
      <c r="C16" s="22" t="s">
        <v>352</v>
      </c>
    </row>
    <row r="17" customFormat="false" ht="15" hidden="false" customHeight="false" outlineLevel="0" collapsed="false">
      <c r="A17" s="4" t="s">
        <v>353</v>
      </c>
      <c r="B17" s="72" t="n">
        <v>1</v>
      </c>
    </row>
    <row r="19" customFormat="false" ht="15" hidden="false" customHeight="false" outlineLevel="0" collapsed="false">
      <c r="A19" s="34" t="s">
        <v>354</v>
      </c>
    </row>
    <row r="20" customFormat="false" ht="15" hidden="false" customHeight="false" outlineLevel="0" collapsed="false">
      <c r="A20" s="5" t="s">
        <v>355</v>
      </c>
      <c r="B20" s="5" t="s">
        <v>356</v>
      </c>
    </row>
    <row r="21" customFormat="false" ht="15" hidden="false" customHeight="false" outlineLevel="0" collapsed="false">
      <c r="A21" s="53" t="n">
        <v>5</v>
      </c>
      <c r="B21" s="73" t="n">
        <v>0.154</v>
      </c>
    </row>
    <row r="22" customFormat="false" ht="15" hidden="false" customHeight="false" outlineLevel="0" collapsed="false">
      <c r="A22" s="53" t="n">
        <v>6</v>
      </c>
      <c r="B22" s="73" t="n">
        <v>0.222</v>
      </c>
    </row>
    <row r="23" customFormat="false" ht="15" hidden="false" customHeight="false" outlineLevel="0" collapsed="false">
      <c r="A23" s="53" t="n">
        <v>8</v>
      </c>
      <c r="B23" s="73" t="n">
        <v>0.395</v>
      </c>
    </row>
    <row r="24" customFormat="false" ht="15" hidden="false" customHeight="false" outlineLevel="0" collapsed="false">
      <c r="A24" s="53" t="n">
        <v>10</v>
      </c>
      <c r="B24" s="73" t="n">
        <v>0.617</v>
      </c>
    </row>
    <row r="25" customFormat="false" ht="15" hidden="false" customHeight="false" outlineLevel="0" collapsed="false">
      <c r="A25" s="53" t="n">
        <v>12</v>
      </c>
      <c r="B25" s="73" t="n">
        <v>0.888</v>
      </c>
    </row>
    <row r="26" customFormat="false" ht="15" hidden="false" customHeight="false" outlineLevel="0" collapsed="false">
      <c r="A26" s="53" t="n">
        <v>14</v>
      </c>
      <c r="B26" s="73" t="n">
        <v>1.208</v>
      </c>
    </row>
    <row r="27" customFormat="false" ht="15" hidden="false" customHeight="false" outlineLevel="0" collapsed="false">
      <c r="A27" s="53" t="n">
        <v>16</v>
      </c>
      <c r="B27" s="73" t="n">
        <v>1.578</v>
      </c>
    </row>
    <row r="28" customFormat="false" ht="15" hidden="false" customHeight="false" outlineLevel="0" collapsed="false">
      <c r="A28" s="53" t="n">
        <v>18</v>
      </c>
      <c r="B28" s="73" t="n">
        <v>1.998</v>
      </c>
    </row>
    <row r="29" customFormat="false" ht="15" hidden="false" customHeight="false" outlineLevel="0" collapsed="false">
      <c r="A29" s="53" t="n">
        <v>20</v>
      </c>
      <c r="B29" s="73" t="n">
        <v>2.466</v>
      </c>
    </row>
    <row r="30" customFormat="false" ht="15" hidden="false" customHeight="false" outlineLevel="0" collapsed="false">
      <c r="A30" s="53" t="n">
        <v>22</v>
      </c>
      <c r="B30" s="73" t="n">
        <v>2.984</v>
      </c>
    </row>
    <row r="31" customFormat="false" ht="15" hidden="false" customHeight="false" outlineLevel="0" collapsed="false">
      <c r="A31" s="53" t="n">
        <v>25</v>
      </c>
      <c r="B31" s="73" t="n">
        <v>3.853</v>
      </c>
    </row>
    <row r="32" customFormat="false" ht="15" hidden="false" customHeight="false" outlineLevel="0" collapsed="false">
      <c r="A32" s="53" t="n">
        <v>28</v>
      </c>
      <c r="B32" s="73" t="n">
        <v>4.834</v>
      </c>
    </row>
    <row r="33" customFormat="false" ht="15" hidden="false" customHeight="false" outlineLevel="0" collapsed="false">
      <c r="A33" s="53" t="n">
        <v>32</v>
      </c>
      <c r="B33" s="73" t="n">
        <v>6.313</v>
      </c>
    </row>
    <row r="34" customFormat="false" ht="15" hidden="false" customHeight="false" outlineLevel="0" collapsed="false">
      <c r="A34" s="4" t="s">
        <v>357</v>
      </c>
      <c r="B34" s="74" t="n">
        <f aca="false">20*INDEX(Исходные!$B$21:$B$33,MATCH(5,Исходные!$A$21:$A$33,0))</f>
        <v>3.08</v>
      </c>
      <c r="C34" s="22" t="s">
        <v>358</v>
      </c>
    </row>
    <row r="36" customFormat="false" ht="15" hidden="false" customHeight="false" outlineLevel="0" collapsed="false">
      <c r="A36" s="75" t="s">
        <v>359</v>
      </c>
    </row>
    <row r="37" customFormat="false" ht="15" hidden="false" customHeight="true" outlineLevel="0" collapsed="false">
      <c r="A37" s="4" t="s">
        <v>360</v>
      </c>
      <c r="B37" s="20" t="s">
        <v>361</v>
      </c>
      <c r="C37" s="20"/>
      <c r="D37" s="20"/>
      <c r="E37" s="20"/>
      <c r="F37" s="20"/>
    </row>
    <row r="38" customFormat="false" ht="15" hidden="false" customHeight="true" outlineLevel="0" collapsed="false">
      <c r="A38" s="4" t="s">
        <v>362</v>
      </c>
      <c r="B38" s="20" t="s">
        <v>363</v>
      </c>
      <c r="C38" s="20"/>
      <c r="D38" s="20"/>
      <c r="E38" s="20"/>
      <c r="F38" s="20"/>
    </row>
    <row r="39" customFormat="false" ht="23.85" hidden="false" customHeight="true" outlineLevel="0" collapsed="false">
      <c r="A39" s="4" t="s">
        <v>364</v>
      </c>
      <c r="B39" s="20" t="s">
        <v>365</v>
      </c>
      <c r="C39" s="20"/>
      <c r="D39" s="20"/>
      <c r="E39" s="20"/>
      <c r="F39" s="20"/>
    </row>
    <row r="40" customFormat="false" ht="15" hidden="false" customHeight="true" outlineLevel="0" collapsed="false">
      <c r="A40" s="4" t="s">
        <v>366</v>
      </c>
      <c r="B40" s="20" t="s">
        <v>367</v>
      </c>
      <c r="C40" s="20"/>
      <c r="D40" s="20"/>
      <c r="E40" s="20"/>
      <c r="F40" s="20"/>
    </row>
    <row r="41" customFormat="false" ht="15" hidden="false" customHeight="true" outlineLevel="0" collapsed="false">
      <c r="A41" s="4" t="s">
        <v>368</v>
      </c>
      <c r="B41" s="20" t="s">
        <v>369</v>
      </c>
      <c r="C41" s="20"/>
      <c r="D41" s="20"/>
      <c r="E41" s="20"/>
      <c r="F41" s="20"/>
    </row>
    <row r="43" customFormat="false" ht="15" hidden="false" customHeight="false" outlineLevel="0" collapsed="false">
      <c r="A43" s="34" t="s">
        <v>370</v>
      </c>
    </row>
    <row r="44" customFormat="false" ht="15" hidden="false" customHeight="false" outlineLevel="0" collapsed="false">
      <c r="A44" s="5" t="s">
        <v>371</v>
      </c>
      <c r="B44" s="5" t="s">
        <v>372</v>
      </c>
      <c r="C44" s="5" t="s">
        <v>373</v>
      </c>
      <c r="D44" s="5" t="s">
        <v>374</v>
      </c>
    </row>
    <row r="45" customFormat="false" ht="15" hidden="false" customHeight="false" outlineLevel="0" collapsed="false">
      <c r="A45" s="76" t="n">
        <v>2</v>
      </c>
      <c r="B45" s="76" t="s">
        <v>375</v>
      </c>
      <c r="C45" s="20" t="s">
        <v>376</v>
      </c>
      <c r="D45" s="20" t="s">
        <v>377</v>
      </c>
    </row>
    <row r="46" customFormat="false" ht="23.85" hidden="false" customHeight="false" outlineLevel="0" collapsed="false">
      <c r="A46" s="76" t="s">
        <v>378</v>
      </c>
      <c r="B46" s="76" t="s">
        <v>379</v>
      </c>
      <c r="C46" s="20" t="s">
        <v>380</v>
      </c>
      <c r="D46" s="20" t="s">
        <v>381</v>
      </c>
    </row>
    <row r="47" customFormat="false" ht="23.85" hidden="false" customHeight="false" outlineLevel="0" collapsed="false">
      <c r="A47" s="76" t="n">
        <v>11</v>
      </c>
      <c r="B47" s="76" t="s">
        <v>382</v>
      </c>
      <c r="C47" s="20" t="s">
        <v>383</v>
      </c>
      <c r="D47" s="20" t="s">
        <v>384</v>
      </c>
    </row>
    <row r="48" customFormat="false" ht="23.85" hidden="false" customHeight="false" outlineLevel="0" collapsed="false">
      <c r="A48" s="76" t="s">
        <v>385</v>
      </c>
      <c r="B48" s="76" t="s">
        <v>386</v>
      </c>
      <c r="C48" s="20" t="s">
        <v>387</v>
      </c>
      <c r="D48" s="20" t="s">
        <v>388</v>
      </c>
    </row>
    <row r="49" customFormat="false" ht="15" hidden="false" customHeight="false" outlineLevel="0" collapsed="false">
      <c r="A49" s="76" t="n">
        <v>15</v>
      </c>
      <c r="B49" s="76" t="s">
        <v>389</v>
      </c>
      <c r="C49" s="20" t="s">
        <v>390</v>
      </c>
      <c r="D49" s="20" t="s">
        <v>391</v>
      </c>
    </row>
    <row r="50" customFormat="false" ht="15" hidden="false" customHeight="false" outlineLevel="0" collapsed="false">
      <c r="A50" s="76" t="n">
        <v>16</v>
      </c>
      <c r="B50" s="76" t="s">
        <v>392</v>
      </c>
      <c r="C50" s="20" t="s">
        <v>393</v>
      </c>
      <c r="D50" s="20" t="s">
        <v>394</v>
      </c>
    </row>
    <row r="51" customFormat="false" ht="23.85" hidden="false" customHeight="false" outlineLevel="0" collapsed="false">
      <c r="A51" s="76" t="s">
        <v>395</v>
      </c>
      <c r="B51" s="76" t="s">
        <v>396</v>
      </c>
      <c r="C51" s="20" t="s">
        <v>397</v>
      </c>
      <c r="D51" s="20" t="s">
        <v>398</v>
      </c>
    </row>
    <row r="52" customFormat="false" ht="15" hidden="false" customHeight="false" outlineLevel="0" collapsed="false">
      <c r="A52" s="76" t="n">
        <v>29</v>
      </c>
      <c r="B52" s="76" t="s">
        <v>399</v>
      </c>
      <c r="C52" s="20" t="s">
        <v>400</v>
      </c>
      <c r="D52" s="20" t="s">
        <v>401</v>
      </c>
    </row>
    <row r="53" customFormat="false" ht="23.85" hidden="false" customHeight="false" outlineLevel="0" collapsed="false">
      <c r="A53" s="76" t="n">
        <v>30</v>
      </c>
      <c r="B53" s="76" t="s">
        <v>402</v>
      </c>
      <c r="C53" s="20" t="s">
        <v>403</v>
      </c>
      <c r="D53" s="20" t="s">
        <v>404</v>
      </c>
    </row>
    <row r="54" customFormat="false" ht="23.85" hidden="false" customHeight="false" outlineLevel="0" collapsed="false">
      <c r="A54" s="76" t="n">
        <v>31</v>
      </c>
      <c r="B54" s="76" t="s">
        <v>405</v>
      </c>
      <c r="C54" s="20" t="s">
        <v>406</v>
      </c>
      <c r="D54" s="20" t="s">
        <v>407</v>
      </c>
    </row>
    <row r="55" customFormat="false" ht="15" hidden="false" customHeight="false" outlineLevel="0" collapsed="false">
      <c r="A55" s="76" t="n">
        <v>32</v>
      </c>
      <c r="B55" s="76" t="s">
        <v>408</v>
      </c>
      <c r="C55" s="20" t="s">
        <v>409</v>
      </c>
      <c r="D55" s="20" t="s">
        <v>410</v>
      </c>
    </row>
    <row r="56" customFormat="false" ht="23.85" hidden="false" customHeight="false" outlineLevel="0" collapsed="false">
      <c r="A56" s="76" t="n">
        <v>33</v>
      </c>
      <c r="B56" s="76" t="s">
        <v>411</v>
      </c>
      <c r="C56" s="20" t="s">
        <v>412</v>
      </c>
      <c r="D56" s="20" t="s">
        <v>413</v>
      </c>
    </row>
    <row r="57" customFormat="false" ht="23.85" hidden="false" customHeight="false" outlineLevel="0" collapsed="false">
      <c r="A57" s="76" t="n">
        <v>34</v>
      </c>
      <c r="B57" s="76" t="s">
        <v>414</v>
      </c>
      <c r="C57" s="20" t="s">
        <v>415</v>
      </c>
      <c r="D57" s="20" t="s">
        <v>416</v>
      </c>
    </row>
    <row r="58" customFormat="false" ht="15" hidden="false" customHeight="false" outlineLevel="0" collapsed="false">
      <c r="A58" s="76" t="s">
        <v>417</v>
      </c>
      <c r="B58" s="76" t="s">
        <v>418</v>
      </c>
      <c r="C58" s="20" t="s">
        <v>419</v>
      </c>
      <c r="D58" s="20" t="s">
        <v>420</v>
      </c>
    </row>
    <row r="59" customFormat="false" ht="23.85" hidden="false" customHeight="false" outlineLevel="0" collapsed="false">
      <c r="A59" s="76" t="s">
        <v>421</v>
      </c>
      <c r="B59" s="76" t="s">
        <v>422</v>
      </c>
      <c r="C59" s="20" t="s">
        <v>423</v>
      </c>
      <c r="D59" s="20" t="s">
        <v>424</v>
      </c>
    </row>
    <row r="61" customFormat="false" ht="15" hidden="false" customHeight="false" outlineLevel="0" collapsed="false">
      <c r="A61" s="34" t="s">
        <v>425</v>
      </c>
    </row>
    <row r="62" customFormat="false" ht="15" hidden="false" customHeight="false" outlineLevel="0" collapsed="false">
      <c r="A62" s="5" t="s">
        <v>426</v>
      </c>
      <c r="B62" s="5" t="s">
        <v>42</v>
      </c>
      <c r="C62" s="5" t="s">
        <v>427</v>
      </c>
      <c r="D62" s="5" t="s">
        <v>428</v>
      </c>
    </row>
    <row r="63" customFormat="false" ht="15" hidden="false" customHeight="false" outlineLevel="0" collapsed="false">
      <c r="A63" s="53" t="n">
        <v>14</v>
      </c>
      <c r="B63" s="76" t="s">
        <v>429</v>
      </c>
      <c r="C63" s="77" t="n">
        <v>0.19</v>
      </c>
      <c r="D63" s="53" t="n">
        <v>250</v>
      </c>
    </row>
    <row r="64" customFormat="false" ht="15" hidden="false" customHeight="false" outlineLevel="0" collapsed="false">
      <c r="A64" s="53" t="n">
        <v>16</v>
      </c>
      <c r="B64" s="76" t="s">
        <v>430</v>
      </c>
      <c r="C64" s="77" t="n">
        <v>0.19</v>
      </c>
      <c r="D64" s="53" t="n">
        <v>300</v>
      </c>
    </row>
    <row r="65" customFormat="false" ht="15" hidden="false" customHeight="false" outlineLevel="0" collapsed="false">
      <c r="A65" s="53" t="n">
        <v>18</v>
      </c>
      <c r="B65" s="76" t="s">
        <v>431</v>
      </c>
      <c r="C65" s="77" t="n">
        <v>0.26</v>
      </c>
      <c r="D65" s="53" t="n">
        <v>350</v>
      </c>
    </row>
    <row r="66" customFormat="false" ht="15" hidden="false" customHeight="false" outlineLevel="0" collapsed="false">
      <c r="A66" s="53" t="n">
        <v>20</v>
      </c>
      <c r="B66" s="76" t="s">
        <v>432</v>
      </c>
      <c r="C66" s="77" t="n">
        <v>0.4</v>
      </c>
      <c r="D66" s="53" t="n">
        <v>350</v>
      </c>
    </row>
    <row r="67" customFormat="false" ht="15" hidden="false" customHeight="false" outlineLevel="0" collapsed="false">
      <c r="A67" s="53" t="n">
        <v>22</v>
      </c>
      <c r="B67" s="76" t="s">
        <v>433</v>
      </c>
      <c r="C67" s="77" t="n">
        <v>0.6</v>
      </c>
      <c r="D67" s="53" t="n">
        <v>350</v>
      </c>
    </row>
    <row r="68" customFormat="false" ht="15" hidden="false" customHeight="false" outlineLevel="0" collapsed="false">
      <c r="A68" s="53" t="n">
        <v>25</v>
      </c>
      <c r="B68" s="76" t="s">
        <v>434</v>
      </c>
      <c r="C68" s="77" t="n">
        <v>0.77</v>
      </c>
      <c r="D68" s="53" t="n">
        <v>375</v>
      </c>
    </row>
    <row r="69" customFormat="false" ht="15" hidden="false" customHeight="false" outlineLevel="0" collapsed="false">
      <c r="A69" s="53" t="n">
        <v>28</v>
      </c>
      <c r="B69" s="76" t="s">
        <v>435</v>
      </c>
      <c r="C69" s="77" t="n">
        <v>1.1</v>
      </c>
      <c r="D69" s="53" t="n">
        <v>420</v>
      </c>
    </row>
    <row r="70" customFormat="false" ht="15" hidden="false" customHeight="false" outlineLevel="0" collapsed="false">
      <c r="A70" s="53" t="n">
        <v>32</v>
      </c>
      <c r="B70" s="76" t="s">
        <v>436</v>
      </c>
      <c r="C70" s="77" t="n">
        <v>1.59</v>
      </c>
      <c r="D70" s="53" t="n">
        <v>480</v>
      </c>
    </row>
    <row r="72" customFormat="false" ht="15" hidden="false" customHeight="false" outlineLevel="0" collapsed="false">
      <c r="A72" s="34" t="s">
        <v>437</v>
      </c>
    </row>
    <row r="73" customFormat="false" ht="23.85" hidden="false" customHeight="false" outlineLevel="0" collapsed="false">
      <c r="A73" s="4" t="s">
        <v>438</v>
      </c>
      <c r="B73" s="78" t="n">
        <f aca="false">18*18</f>
        <v>324</v>
      </c>
      <c r="D73" s="20" t="s">
        <v>439</v>
      </c>
    </row>
    <row r="74" customFormat="false" ht="23.85" hidden="false" customHeight="false" outlineLevel="0" collapsed="false">
      <c r="A74" s="4" t="s">
        <v>440</v>
      </c>
      <c r="B74" s="78" t="n">
        <v>542.03</v>
      </c>
      <c r="D74" s="20" t="s">
        <v>441</v>
      </c>
    </row>
    <row r="75" customFormat="false" ht="23.85" hidden="false" customHeight="false" outlineLevel="0" collapsed="false">
      <c r="A75" s="4" t="s">
        <v>442</v>
      </c>
      <c r="B75" s="78" t="n">
        <v>541.54</v>
      </c>
      <c r="D75" s="20" t="s">
        <v>443</v>
      </c>
    </row>
    <row r="76" customFormat="false" ht="23.85" hidden="false" customHeight="false" outlineLevel="0" collapsed="false">
      <c r="A76" s="4" t="s">
        <v>444</v>
      </c>
      <c r="B76" s="78" t="n">
        <v>541.54</v>
      </c>
      <c r="D76" s="20" t="s">
        <v>443</v>
      </c>
    </row>
    <row r="77" customFormat="false" ht="23.85" hidden="false" customHeight="false" outlineLevel="0" collapsed="false">
      <c r="A77" s="4" t="s">
        <v>445</v>
      </c>
      <c r="B77" s="78" t="n">
        <v>541.54</v>
      </c>
      <c r="D77" s="20" t="s">
        <v>443</v>
      </c>
    </row>
    <row r="78" customFormat="false" ht="23.85" hidden="false" customHeight="false" outlineLevel="0" collapsed="false">
      <c r="A78" s="4" t="s">
        <v>446</v>
      </c>
      <c r="B78" s="78" t="n">
        <v>506.76</v>
      </c>
      <c r="D78" s="20" t="s">
        <v>447</v>
      </c>
    </row>
    <row r="80" customFormat="false" ht="15" hidden="false" customHeight="false" outlineLevel="0" collapsed="false">
      <c r="A80" s="34" t="s">
        <v>448</v>
      </c>
    </row>
    <row r="81" customFormat="false" ht="15" hidden="false" customHeight="false" outlineLevel="0" collapsed="false">
      <c r="A81" s="5" t="s">
        <v>449</v>
      </c>
      <c r="B81" s="5" t="s">
        <v>450</v>
      </c>
      <c r="C81" s="5" t="s">
        <v>451</v>
      </c>
      <c r="D81" s="5" t="s">
        <v>452</v>
      </c>
    </row>
    <row r="82" customFormat="false" ht="23.85" hidden="false" customHeight="false" outlineLevel="0" collapsed="false">
      <c r="A82" s="4" t="s">
        <v>74</v>
      </c>
      <c r="B82" s="79" t="n">
        <v>7</v>
      </c>
      <c r="C82" s="76" t="s">
        <v>453</v>
      </c>
      <c r="D82" s="20" t="s">
        <v>454</v>
      </c>
    </row>
    <row r="83" customFormat="false" ht="15" hidden="false" customHeight="false" outlineLevel="0" collapsed="false">
      <c r="A83" s="4" t="s">
        <v>76</v>
      </c>
      <c r="B83" s="79" t="n">
        <v>11</v>
      </c>
      <c r="C83" s="76" t="s">
        <v>453</v>
      </c>
      <c r="D83" s="20" t="s">
        <v>455</v>
      </c>
    </row>
    <row r="84" customFormat="false" ht="15" hidden="false" customHeight="false" outlineLevel="0" collapsed="false">
      <c r="A84" s="4" t="s">
        <v>456</v>
      </c>
      <c r="B84" s="79" t="n">
        <v>2</v>
      </c>
      <c r="C84" s="76" t="s">
        <v>457</v>
      </c>
      <c r="D84" s="20" t="s">
        <v>458</v>
      </c>
    </row>
    <row r="85" customFormat="false" ht="46.25" hidden="false" customHeight="false" outlineLevel="0" collapsed="false">
      <c r="A85" s="4" t="s">
        <v>459</v>
      </c>
      <c r="B85" s="79" t="n">
        <v>45</v>
      </c>
      <c r="C85" s="76" t="s">
        <v>460</v>
      </c>
      <c r="D85" s="20" t="s">
        <v>461</v>
      </c>
    </row>
    <row r="86" customFormat="false" ht="23.85" hidden="false" customHeight="false" outlineLevel="0" collapsed="false">
      <c r="A86" s="4" t="s">
        <v>462</v>
      </c>
      <c r="B86" s="79" t="n">
        <v>85.6</v>
      </c>
      <c r="C86" s="76" t="s">
        <v>460</v>
      </c>
      <c r="D86" s="20" t="s">
        <v>463</v>
      </c>
    </row>
    <row r="87" customFormat="false" ht="35.05" hidden="false" customHeight="false" outlineLevel="0" collapsed="false">
      <c r="A87" s="4" t="s">
        <v>464</v>
      </c>
      <c r="B87" s="79" t="n">
        <v>116</v>
      </c>
      <c r="C87" s="76" t="s">
        <v>460</v>
      </c>
      <c r="D87" s="20" t="s">
        <v>465</v>
      </c>
    </row>
    <row r="88" customFormat="false" ht="23.85" hidden="false" customHeight="false" outlineLevel="0" collapsed="false">
      <c r="A88" s="4" t="s">
        <v>466</v>
      </c>
      <c r="B88" s="79" t="n">
        <v>78.4</v>
      </c>
      <c r="C88" s="76" t="s">
        <v>460</v>
      </c>
      <c r="D88" s="20" t="s">
        <v>467</v>
      </c>
    </row>
    <row r="89" customFormat="false" ht="23.85" hidden="false" customHeight="false" outlineLevel="0" collapsed="false">
      <c r="A89" s="4" t="s">
        <v>78</v>
      </c>
      <c r="B89" s="79" t="n">
        <v>250</v>
      </c>
      <c r="C89" s="76" t="s">
        <v>468</v>
      </c>
      <c r="D89" s="20" t="s">
        <v>469</v>
      </c>
    </row>
    <row r="90" customFormat="false" ht="15" hidden="false" customHeight="false" outlineLevel="0" collapsed="false">
      <c r="A90" s="4" t="s">
        <v>80</v>
      </c>
      <c r="B90" s="79" t="n">
        <v>100</v>
      </c>
      <c r="C90" s="76" t="s">
        <v>468</v>
      </c>
      <c r="D90" s="20" t="s">
        <v>470</v>
      </c>
    </row>
    <row r="91" customFormat="false" ht="15" hidden="false" customHeight="false" outlineLevel="0" collapsed="false">
      <c r="A91" s="4" t="s">
        <v>94</v>
      </c>
      <c r="B91" s="79" t="n">
        <v>13</v>
      </c>
      <c r="C91" s="76" t="s">
        <v>471</v>
      </c>
      <c r="D91" s="20" t="s">
        <v>472</v>
      </c>
    </row>
    <row r="92" customFormat="false" ht="15" hidden="false" customHeight="false" outlineLevel="0" collapsed="false">
      <c r="A92" s="4" t="s">
        <v>97</v>
      </c>
      <c r="B92" s="79" t="n">
        <v>250</v>
      </c>
      <c r="C92" s="76" t="s">
        <v>473</v>
      </c>
      <c r="D92" s="20" t="s">
        <v>474</v>
      </c>
    </row>
    <row r="93" customFormat="false" ht="15" hidden="false" customHeight="false" outlineLevel="0" collapsed="false">
      <c r="A93" s="4" t="s">
        <v>99</v>
      </c>
      <c r="B93" s="79" t="n">
        <v>15</v>
      </c>
      <c r="C93" s="76" t="s">
        <v>475</v>
      </c>
      <c r="D93" s="20" t="s">
        <v>476</v>
      </c>
    </row>
    <row r="94" customFormat="false" ht="15" hidden="false" customHeight="false" outlineLevel="0" collapsed="false">
      <c r="A94" s="4" t="s">
        <v>100</v>
      </c>
      <c r="B94" s="79" t="n">
        <v>20</v>
      </c>
      <c r="C94" s="76" t="s">
        <v>475</v>
      </c>
      <c r="D94" s="20" t="s">
        <v>477</v>
      </c>
    </row>
    <row r="95" customFormat="false" ht="15" hidden="false" customHeight="false" outlineLevel="0" collapsed="false">
      <c r="A95" s="4" t="s">
        <v>103</v>
      </c>
      <c r="B95" s="79" t="n">
        <v>15</v>
      </c>
      <c r="C95" s="76" t="s">
        <v>468</v>
      </c>
      <c r="D95" s="20" t="s">
        <v>478</v>
      </c>
    </row>
    <row r="96" customFormat="false" ht="35.05" hidden="false" customHeight="false" outlineLevel="0" collapsed="false">
      <c r="A96" s="4" t="s">
        <v>479</v>
      </c>
      <c r="B96" s="59" t="n">
        <f aca="false">2*0.3*2.89</f>
        <v>1.734</v>
      </c>
      <c r="C96" s="76" t="s">
        <v>480</v>
      </c>
      <c r="D96" s="20" t="s">
        <v>481</v>
      </c>
    </row>
  </sheetData>
  <mergeCells count="15">
    <mergeCell ref="B3:F3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37:F37"/>
    <mergeCell ref="B38:F38"/>
    <mergeCell ref="B39:F39"/>
    <mergeCell ref="B40:F40"/>
    <mergeCell ref="B41:F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205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13"/>
    <col collapsed="false" customWidth="true" hidden="false" outlineLevel="0" max="6" min="6" style="0" width="7"/>
    <col collapsed="false" customWidth="true" hidden="false" outlineLevel="0" max="7" min="7" style="0" width="52"/>
    <col collapsed="false" customWidth="true" hidden="false" outlineLevel="0" max="8" min="8" style="0" width="5"/>
    <col collapsed="false" customWidth="true" hidden="false" outlineLevel="0" max="10" min="9" style="0" width="8"/>
    <col collapsed="false" customWidth="true" hidden="false" outlineLevel="0" max="13" min="11" style="0" width="9"/>
    <col collapsed="false" customWidth="true" hidden="false" outlineLevel="0" max="14" min="14" style="0" width="11"/>
    <col collapsed="false" customWidth="true" hidden="false" outlineLevel="0" max="15" min="15" style="0" width="7"/>
    <col collapsed="false" customWidth="true" hidden="false" outlineLevel="0" max="16" min="16" style="0" width="11"/>
    <col collapsed="false" customWidth="true" hidden="false" outlineLevel="0" max="17" min="17" style="0" width="40"/>
    <col collapsed="false" customWidth="true" hidden="false" outlineLevel="0" max="18" min="18" style="0" width="16"/>
    <col collapsed="false" customWidth="true" hidden="false" outlineLevel="0" max="19" min="19" style="0" width="48"/>
    <col collapsed="false" customWidth="true" hidden="false" outlineLevel="0" max="20" min="20" style="0" width="14"/>
    <col collapsed="false" customWidth="true" hidden="false" outlineLevel="0" max="21" min="21" style="0" width="10"/>
    <col collapsed="false" customWidth="true" hidden="false" outlineLevel="0" max="22" min="22" style="0" width="13"/>
    <col collapsed="false" customWidth="true" hidden="false" outlineLevel="0" max="23" min="23" style="0" width="7"/>
  </cols>
  <sheetData>
    <row r="1" customFormat="false" ht="17.35" hidden="false" customHeight="false" outlineLevel="0" collapsed="false">
      <c r="A1" s="58" t="s">
        <v>482</v>
      </c>
    </row>
    <row r="2" customFormat="false" ht="15" hidden="false" customHeight="false" outlineLevel="0" collapsed="false">
      <c r="A2" s="35" t="s">
        <v>483</v>
      </c>
    </row>
    <row r="4" customFormat="false" ht="45" hidden="false" customHeight="true" outlineLevel="0" collapsed="false">
      <c r="A4" s="5" t="s">
        <v>484</v>
      </c>
      <c r="B4" s="5" t="s">
        <v>485</v>
      </c>
      <c r="C4" s="5" t="s">
        <v>486</v>
      </c>
      <c r="D4" s="5" t="s">
        <v>487</v>
      </c>
      <c r="E4" s="5" t="s">
        <v>488</v>
      </c>
      <c r="F4" s="5" t="s">
        <v>489</v>
      </c>
      <c r="G4" s="5" t="s">
        <v>490</v>
      </c>
      <c r="H4" s="5" t="s">
        <v>491</v>
      </c>
      <c r="I4" s="5" t="s">
        <v>492</v>
      </c>
      <c r="J4" s="5" t="s">
        <v>493</v>
      </c>
      <c r="K4" s="5" t="s">
        <v>494</v>
      </c>
      <c r="L4" s="5" t="s">
        <v>495</v>
      </c>
      <c r="M4" s="5" t="s">
        <v>496</v>
      </c>
      <c r="N4" s="5" t="s">
        <v>497</v>
      </c>
      <c r="O4" s="5" t="s">
        <v>356</v>
      </c>
      <c r="P4" s="5" t="s">
        <v>498</v>
      </c>
      <c r="Q4" s="5" t="s">
        <v>452</v>
      </c>
      <c r="R4" s="5" t="s">
        <v>499</v>
      </c>
      <c r="S4" s="5" t="s">
        <v>500</v>
      </c>
      <c r="T4" s="5" t="s">
        <v>501</v>
      </c>
      <c r="U4" s="5" t="s">
        <v>502</v>
      </c>
      <c r="V4" s="5" t="s">
        <v>503</v>
      </c>
      <c r="W4" s="5" t="s">
        <v>504</v>
      </c>
    </row>
    <row r="5" customFormat="false" ht="15" hidden="false" customHeight="true" outlineLevel="0" collapsed="false">
      <c r="A5" s="80" t="s">
        <v>505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</row>
    <row r="6" customFormat="false" ht="15" hidden="false" customHeight="true" outlineLevel="0" collapsed="false">
      <c r="A6" s="81" t="s">
        <v>506</v>
      </c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</row>
    <row r="7" customFormat="false" ht="23.85" hidden="false" customHeight="false" outlineLevel="0" collapsed="false">
      <c r="A7" s="76" t="n">
        <v>1</v>
      </c>
      <c r="B7" s="20" t="s">
        <v>507</v>
      </c>
      <c r="C7" s="20" t="s">
        <v>508</v>
      </c>
      <c r="D7" s="20" t="s">
        <v>509</v>
      </c>
      <c r="E7" s="20" t="s">
        <v>148</v>
      </c>
      <c r="F7" s="76" t="s">
        <v>510</v>
      </c>
      <c r="G7" s="20" t="s">
        <v>511</v>
      </c>
      <c r="H7" s="55" t="n">
        <v>32</v>
      </c>
      <c r="I7" s="76" t="s">
        <v>512</v>
      </c>
      <c r="J7" s="76" t="s">
        <v>164</v>
      </c>
      <c r="K7" s="82" t="n">
        <v>1</v>
      </c>
      <c r="L7" s="55" t="n">
        <v>4</v>
      </c>
      <c r="M7" s="73" t="n">
        <v>4</v>
      </c>
      <c r="N7" s="74" t="n">
        <f aca="false">K7*L7*M7</f>
        <v>16</v>
      </c>
      <c r="O7" s="41" t="n">
        <f aca="false">IFERROR(INDEX(Исходные!$B$21:$B$33,MATCH(H7,Исходные!$A$21:$A$33,0)),0)</f>
        <v>6.313</v>
      </c>
      <c r="P7" s="83" t="n">
        <f aca="false">N7*O7</f>
        <v>101.008</v>
      </c>
      <c r="Q7" s="20" t="s">
        <v>513</v>
      </c>
      <c r="R7" s="84" t="s">
        <v>514</v>
      </c>
      <c r="S7" s="20" t="s">
        <v>515</v>
      </c>
      <c r="T7" s="20" t="s">
        <v>12</v>
      </c>
      <c r="U7" s="53" t="n">
        <v>0</v>
      </c>
      <c r="V7" s="76" t="s">
        <v>148</v>
      </c>
      <c r="W7" s="53" t="n">
        <v>1</v>
      </c>
    </row>
    <row r="8" customFormat="false" ht="23.85" hidden="false" customHeight="false" outlineLevel="0" collapsed="false">
      <c r="A8" s="76" t="n">
        <v>2</v>
      </c>
      <c r="B8" s="20" t="s">
        <v>507</v>
      </c>
      <c r="C8" s="20" t="s">
        <v>508</v>
      </c>
      <c r="D8" s="20" t="s">
        <v>509</v>
      </c>
      <c r="E8" s="20" t="s">
        <v>148</v>
      </c>
      <c r="F8" s="76" t="s">
        <v>516</v>
      </c>
      <c r="G8" s="20" t="s">
        <v>517</v>
      </c>
      <c r="H8" s="55" t="n">
        <v>20</v>
      </c>
      <c r="I8" s="76" t="s">
        <v>512</v>
      </c>
      <c r="J8" s="76" t="s">
        <v>164</v>
      </c>
      <c r="K8" s="82" t="n">
        <v>1</v>
      </c>
      <c r="L8" s="55" t="n">
        <v>8</v>
      </c>
      <c r="M8" s="73" t="n">
        <v>4</v>
      </c>
      <c r="N8" s="74" t="n">
        <f aca="false">K8*L8*M8</f>
        <v>32</v>
      </c>
      <c r="O8" s="41" t="n">
        <f aca="false">IFERROR(INDEX(Исходные!$B$21:$B$33,MATCH(H8,Исходные!$A$21:$A$33,0)),0)</f>
        <v>2.466</v>
      </c>
      <c r="P8" s="83" t="n">
        <f aca="false">N8*O8</f>
        <v>78.912</v>
      </c>
      <c r="Q8" s="20" t="s">
        <v>513</v>
      </c>
      <c r="R8" s="84" t="s">
        <v>514</v>
      </c>
      <c r="S8" s="20" t="s">
        <v>518</v>
      </c>
      <c r="T8" s="20" t="s">
        <v>12</v>
      </c>
      <c r="U8" s="53" t="n">
        <v>0</v>
      </c>
      <c r="V8" s="76" t="s">
        <v>148</v>
      </c>
      <c r="W8" s="53" t="n">
        <v>1</v>
      </c>
    </row>
    <row r="9" customFormat="false" ht="35.05" hidden="false" customHeight="false" outlineLevel="0" collapsed="false">
      <c r="A9" s="76" t="n">
        <v>3</v>
      </c>
      <c r="B9" s="20" t="s">
        <v>507</v>
      </c>
      <c r="C9" s="20" t="s">
        <v>508</v>
      </c>
      <c r="D9" s="20" t="s">
        <v>509</v>
      </c>
      <c r="E9" s="20" t="s">
        <v>148</v>
      </c>
      <c r="F9" s="76" t="s">
        <v>519</v>
      </c>
      <c r="G9" s="20" t="s">
        <v>520</v>
      </c>
      <c r="H9" s="55" t="n">
        <v>28</v>
      </c>
      <c r="I9" s="76" t="s">
        <v>512</v>
      </c>
      <c r="J9" s="76" t="s">
        <v>164</v>
      </c>
      <c r="K9" s="82" t="n">
        <v>1</v>
      </c>
      <c r="L9" s="55" t="n">
        <v>22</v>
      </c>
      <c r="M9" s="73" t="n">
        <v>4</v>
      </c>
      <c r="N9" s="74" t="n">
        <f aca="false">K9*L9*M9</f>
        <v>88</v>
      </c>
      <c r="O9" s="41" t="n">
        <f aca="false">IFERROR(INDEX(Исходные!$B$21:$B$33,MATCH(H9,Исходные!$A$21:$A$33,0)),0)</f>
        <v>4.834</v>
      </c>
      <c r="P9" s="83" t="n">
        <f aca="false">N9*O9</f>
        <v>425.392</v>
      </c>
      <c r="Q9" s="20" t="s">
        <v>513</v>
      </c>
      <c r="R9" s="84" t="s">
        <v>514</v>
      </c>
      <c r="S9" s="20" t="s">
        <v>521</v>
      </c>
      <c r="T9" s="20" t="s">
        <v>12</v>
      </c>
      <c r="U9" s="53" t="n">
        <v>0</v>
      </c>
      <c r="V9" s="76" t="s">
        <v>148</v>
      </c>
      <c r="W9" s="53" t="n">
        <v>1</v>
      </c>
    </row>
    <row r="10" customFormat="false" ht="23.85" hidden="false" customHeight="false" outlineLevel="0" collapsed="false">
      <c r="A10" s="76" t="n">
        <v>4</v>
      </c>
      <c r="B10" s="20" t="s">
        <v>507</v>
      </c>
      <c r="C10" s="20" t="s">
        <v>508</v>
      </c>
      <c r="D10" s="20" t="s">
        <v>509</v>
      </c>
      <c r="E10" s="20" t="s">
        <v>148</v>
      </c>
      <c r="F10" s="76" t="s">
        <v>522</v>
      </c>
      <c r="G10" s="20" t="s">
        <v>523</v>
      </c>
      <c r="H10" s="55" t="n">
        <v>25</v>
      </c>
      <c r="I10" s="76" t="s">
        <v>512</v>
      </c>
      <c r="J10" s="76" t="s">
        <v>164</v>
      </c>
      <c r="K10" s="82" t="n">
        <v>1</v>
      </c>
      <c r="L10" s="55" t="n">
        <v>8</v>
      </c>
      <c r="M10" s="73" t="n">
        <v>4</v>
      </c>
      <c r="N10" s="74" t="n">
        <f aca="false">K10*L10*M10</f>
        <v>32</v>
      </c>
      <c r="O10" s="41" t="n">
        <f aca="false">IFERROR(INDEX(Исходные!$B$21:$B$33,MATCH(H10,Исходные!$A$21:$A$33,0)),0)</f>
        <v>3.853</v>
      </c>
      <c r="P10" s="83" t="n">
        <f aca="false">N10*O10</f>
        <v>123.296</v>
      </c>
      <c r="Q10" s="20" t="s">
        <v>513</v>
      </c>
      <c r="R10" s="84" t="s">
        <v>514</v>
      </c>
      <c r="S10" s="20" t="s">
        <v>524</v>
      </c>
      <c r="T10" s="20" t="s">
        <v>12</v>
      </c>
      <c r="U10" s="53" t="n">
        <v>0</v>
      </c>
      <c r="V10" s="76" t="s">
        <v>148</v>
      </c>
      <c r="W10" s="53" t="n">
        <v>1</v>
      </c>
    </row>
    <row r="11" customFormat="false" ht="23.85" hidden="false" customHeight="false" outlineLevel="0" collapsed="false">
      <c r="A11" s="76" t="n">
        <v>5</v>
      </c>
      <c r="B11" s="20" t="s">
        <v>507</v>
      </c>
      <c r="C11" s="20" t="s">
        <v>508</v>
      </c>
      <c r="D11" s="20" t="s">
        <v>509</v>
      </c>
      <c r="E11" s="20" t="s">
        <v>148</v>
      </c>
      <c r="F11" s="76" t="s">
        <v>519</v>
      </c>
      <c r="G11" s="20" t="s">
        <v>525</v>
      </c>
      <c r="H11" s="55" t="n">
        <v>28</v>
      </c>
      <c r="I11" s="76" t="s">
        <v>512</v>
      </c>
      <c r="J11" s="76" t="s">
        <v>164</v>
      </c>
      <c r="K11" s="82" t="n">
        <v>1</v>
      </c>
      <c r="L11" s="55" t="n">
        <v>10</v>
      </c>
      <c r="M11" s="73" t="n">
        <v>4</v>
      </c>
      <c r="N11" s="74" t="n">
        <f aca="false">K11*L11*M11</f>
        <v>40</v>
      </c>
      <c r="O11" s="41" t="n">
        <f aca="false">IFERROR(INDEX(Исходные!$B$21:$B$33,MATCH(H11,Исходные!$A$21:$A$33,0)),0)</f>
        <v>4.834</v>
      </c>
      <c r="P11" s="83" t="n">
        <f aca="false">N11*O11</f>
        <v>193.36</v>
      </c>
      <c r="Q11" s="20" t="s">
        <v>513</v>
      </c>
      <c r="R11" s="84" t="s">
        <v>514</v>
      </c>
      <c r="S11" s="20" t="s">
        <v>526</v>
      </c>
      <c r="T11" s="20" t="s">
        <v>12</v>
      </c>
      <c r="U11" s="53" t="n">
        <v>0</v>
      </c>
      <c r="V11" s="76" t="s">
        <v>148</v>
      </c>
      <c r="W11" s="53" t="n">
        <v>1</v>
      </c>
    </row>
    <row r="12" customFormat="false" ht="23.85" hidden="false" customHeight="false" outlineLevel="0" collapsed="false">
      <c r="A12" s="76" t="n">
        <v>6</v>
      </c>
      <c r="B12" s="20" t="s">
        <v>507</v>
      </c>
      <c r="C12" s="20" t="s">
        <v>508</v>
      </c>
      <c r="D12" s="20" t="s">
        <v>509</v>
      </c>
      <c r="E12" s="20" t="s">
        <v>148</v>
      </c>
      <c r="F12" s="76" t="s">
        <v>516</v>
      </c>
      <c r="G12" s="20" t="s">
        <v>527</v>
      </c>
      <c r="H12" s="55" t="n">
        <v>20</v>
      </c>
      <c r="I12" s="76" t="s">
        <v>512</v>
      </c>
      <c r="J12" s="76" t="s">
        <v>164</v>
      </c>
      <c r="K12" s="82" t="n">
        <v>1</v>
      </c>
      <c r="L12" s="55" t="n">
        <v>8</v>
      </c>
      <c r="M12" s="73" t="n">
        <v>4</v>
      </c>
      <c r="N12" s="74" t="n">
        <f aca="false">K12*L12*M12</f>
        <v>32</v>
      </c>
      <c r="O12" s="41" t="n">
        <f aca="false">IFERROR(INDEX(Исходные!$B$21:$B$33,MATCH(H12,Исходные!$A$21:$A$33,0)),0)</f>
        <v>2.466</v>
      </c>
      <c r="P12" s="83" t="n">
        <f aca="false">N12*O12</f>
        <v>78.912</v>
      </c>
      <c r="Q12" s="20" t="s">
        <v>513</v>
      </c>
      <c r="R12" s="84" t="s">
        <v>514</v>
      </c>
      <c r="S12" s="20" t="s">
        <v>528</v>
      </c>
      <c r="T12" s="20" t="s">
        <v>12</v>
      </c>
      <c r="U12" s="53" t="n">
        <v>0</v>
      </c>
      <c r="V12" s="76" t="s">
        <v>148</v>
      </c>
      <c r="W12" s="53" t="n">
        <v>1</v>
      </c>
    </row>
    <row r="13" customFormat="false" ht="23.85" hidden="false" customHeight="false" outlineLevel="0" collapsed="false">
      <c r="A13" s="76" t="n">
        <v>7</v>
      </c>
      <c r="B13" s="20" t="s">
        <v>507</v>
      </c>
      <c r="C13" s="20" t="s">
        <v>508</v>
      </c>
      <c r="D13" s="20" t="s">
        <v>509</v>
      </c>
      <c r="E13" s="20" t="s">
        <v>148</v>
      </c>
      <c r="F13" s="76" t="s">
        <v>529</v>
      </c>
      <c r="G13" s="20" t="s">
        <v>530</v>
      </c>
      <c r="H13" s="55" t="n">
        <v>18</v>
      </c>
      <c r="I13" s="76" t="s">
        <v>512</v>
      </c>
      <c r="J13" s="76" t="s">
        <v>164</v>
      </c>
      <c r="K13" s="82" t="n">
        <v>1</v>
      </c>
      <c r="L13" s="55" t="n">
        <v>9</v>
      </c>
      <c r="M13" s="73" t="n">
        <v>4.144</v>
      </c>
      <c r="N13" s="74" t="n">
        <f aca="false">K13*L13*M13</f>
        <v>37.296</v>
      </c>
      <c r="O13" s="41" t="n">
        <f aca="false">IFERROR(INDEX(Исходные!$B$21:$B$33,MATCH(H13,Исходные!$A$21:$A$33,0)),0)</f>
        <v>1.998</v>
      </c>
      <c r="P13" s="83" t="n">
        <f aca="false">N13*O13</f>
        <v>74.517408</v>
      </c>
      <c r="Q13" s="20" t="s">
        <v>513</v>
      </c>
      <c r="R13" s="84" t="s">
        <v>514</v>
      </c>
      <c r="S13" s="20" t="s">
        <v>531</v>
      </c>
      <c r="T13" s="20" t="s">
        <v>12</v>
      </c>
      <c r="U13" s="53" t="n">
        <v>0</v>
      </c>
      <c r="V13" s="76" t="s">
        <v>148</v>
      </c>
      <c r="W13" s="53" t="n">
        <v>1</v>
      </c>
    </row>
    <row r="14" customFormat="false" ht="23.85" hidden="false" customHeight="false" outlineLevel="0" collapsed="false">
      <c r="A14" s="76" t="n">
        <v>8</v>
      </c>
      <c r="B14" s="20" t="s">
        <v>507</v>
      </c>
      <c r="C14" s="20" t="s">
        <v>508</v>
      </c>
      <c r="D14" s="20" t="s">
        <v>509</v>
      </c>
      <c r="E14" s="20" t="s">
        <v>148</v>
      </c>
      <c r="F14" s="76" t="s">
        <v>532</v>
      </c>
      <c r="G14" s="20" t="s">
        <v>533</v>
      </c>
      <c r="H14" s="55" t="n">
        <v>18</v>
      </c>
      <c r="I14" s="76" t="s">
        <v>512</v>
      </c>
      <c r="J14" s="76" t="n">
        <v>200</v>
      </c>
      <c r="K14" s="82" t="n">
        <v>1</v>
      </c>
      <c r="L14" s="55" t="n">
        <v>36</v>
      </c>
      <c r="M14" s="73" t="n">
        <v>1.95</v>
      </c>
      <c r="N14" s="74" t="n">
        <f aca="false">K14*L14*M14</f>
        <v>70.2</v>
      </c>
      <c r="O14" s="41" t="n">
        <f aca="false">IFERROR(INDEX(Исходные!$B$21:$B$33,MATCH(H14,Исходные!$A$21:$A$33,0)),0)</f>
        <v>1.998</v>
      </c>
      <c r="P14" s="83" t="n">
        <f aca="false">N14*O14</f>
        <v>140.2596</v>
      </c>
      <c r="Q14" s="20" t="s">
        <v>534</v>
      </c>
      <c r="R14" s="85" t="s">
        <v>535</v>
      </c>
      <c r="S14" s="20" t="s">
        <v>536</v>
      </c>
      <c r="T14" s="20" t="s">
        <v>12</v>
      </c>
      <c r="U14" s="53" t="n">
        <v>1</v>
      </c>
      <c r="V14" s="76" t="s">
        <v>148</v>
      </c>
      <c r="W14" s="53" t="n">
        <v>1</v>
      </c>
    </row>
    <row r="15" customFormat="false" ht="23.85" hidden="false" customHeight="false" outlineLevel="0" collapsed="false">
      <c r="A15" s="76" t="n">
        <v>9</v>
      </c>
      <c r="B15" s="20" t="s">
        <v>507</v>
      </c>
      <c r="C15" s="20" t="s">
        <v>508</v>
      </c>
      <c r="D15" s="20" t="s">
        <v>509</v>
      </c>
      <c r="E15" s="20" t="s">
        <v>148</v>
      </c>
      <c r="F15" s="76" t="s">
        <v>532</v>
      </c>
      <c r="G15" s="20" t="s">
        <v>537</v>
      </c>
      <c r="H15" s="55" t="n">
        <v>16</v>
      </c>
      <c r="I15" s="76" t="s">
        <v>512</v>
      </c>
      <c r="J15" s="76" t="n">
        <v>200</v>
      </c>
      <c r="K15" s="82" t="n">
        <v>1</v>
      </c>
      <c r="L15" s="55" t="n">
        <v>36</v>
      </c>
      <c r="M15" s="73" t="n">
        <v>2.25</v>
      </c>
      <c r="N15" s="74" t="n">
        <f aca="false">K15*L15*M15</f>
        <v>81</v>
      </c>
      <c r="O15" s="41" t="n">
        <f aca="false">IFERROR(INDEX(Исходные!$B$21:$B$33,MATCH(H15,Исходные!$A$21:$A$33,0)),0)</f>
        <v>1.578</v>
      </c>
      <c r="P15" s="83" t="n">
        <f aca="false">N15*O15</f>
        <v>127.818</v>
      </c>
      <c r="Q15" s="20" t="s">
        <v>534</v>
      </c>
      <c r="R15" s="85" t="s">
        <v>535</v>
      </c>
      <c r="S15" s="20" t="s">
        <v>538</v>
      </c>
      <c r="T15" s="20" t="s">
        <v>12</v>
      </c>
      <c r="U15" s="53" t="n">
        <v>1</v>
      </c>
      <c r="V15" s="76" t="s">
        <v>148</v>
      </c>
      <c r="W15" s="53" t="n">
        <v>1</v>
      </c>
    </row>
    <row r="16" customFormat="false" ht="23.85" hidden="false" customHeight="false" outlineLevel="0" collapsed="false">
      <c r="A16" s="76" t="n">
        <v>10</v>
      </c>
      <c r="B16" s="20" t="s">
        <v>507</v>
      </c>
      <c r="C16" s="20" t="s">
        <v>508</v>
      </c>
      <c r="D16" s="20" t="s">
        <v>509</v>
      </c>
      <c r="E16" s="20" t="s">
        <v>148</v>
      </c>
      <c r="F16" s="76" t="s">
        <v>539</v>
      </c>
      <c r="G16" s="20" t="s">
        <v>540</v>
      </c>
      <c r="H16" s="55" t="n">
        <v>20</v>
      </c>
      <c r="I16" s="76" t="s">
        <v>512</v>
      </c>
      <c r="J16" s="76" t="n">
        <v>200</v>
      </c>
      <c r="K16" s="82" t="n">
        <v>1</v>
      </c>
      <c r="L16" s="55" t="n">
        <v>10</v>
      </c>
      <c r="M16" s="73" t="n">
        <v>1.95</v>
      </c>
      <c r="N16" s="74" t="n">
        <f aca="false">K16*L16*M16</f>
        <v>19.5</v>
      </c>
      <c r="O16" s="41" t="n">
        <f aca="false">IFERROR(INDEX(Исходные!$B$21:$B$33,MATCH(H16,Исходные!$A$21:$A$33,0)),0)</f>
        <v>2.466</v>
      </c>
      <c r="P16" s="83" t="n">
        <f aca="false">N16*O16</f>
        <v>48.087</v>
      </c>
      <c r="Q16" s="20" t="s">
        <v>541</v>
      </c>
      <c r="R16" s="84" t="s">
        <v>514</v>
      </c>
      <c r="S16" s="20"/>
      <c r="T16" s="20" t="s">
        <v>12</v>
      </c>
      <c r="U16" s="53" t="n">
        <v>0</v>
      </c>
      <c r="V16" s="76" t="s">
        <v>148</v>
      </c>
      <c r="W16" s="53" t="n">
        <v>1</v>
      </c>
    </row>
    <row r="17" customFormat="false" ht="23.85" hidden="false" customHeight="false" outlineLevel="0" collapsed="false">
      <c r="A17" s="76" t="n">
        <v>11</v>
      </c>
      <c r="B17" s="20" t="s">
        <v>507</v>
      </c>
      <c r="C17" s="20" t="s">
        <v>508</v>
      </c>
      <c r="D17" s="20" t="s">
        <v>509</v>
      </c>
      <c r="E17" s="20" t="s">
        <v>148</v>
      </c>
      <c r="F17" s="76" t="s">
        <v>539</v>
      </c>
      <c r="G17" s="20" t="s">
        <v>542</v>
      </c>
      <c r="H17" s="55" t="n">
        <v>20</v>
      </c>
      <c r="I17" s="76" t="s">
        <v>512</v>
      </c>
      <c r="J17" s="76" t="n">
        <v>200</v>
      </c>
      <c r="K17" s="82" t="n">
        <v>1</v>
      </c>
      <c r="L17" s="55" t="n">
        <v>6</v>
      </c>
      <c r="M17" s="73" t="n">
        <v>1.2</v>
      </c>
      <c r="N17" s="74" t="n">
        <f aca="false">K17*L17*M17</f>
        <v>7.2</v>
      </c>
      <c r="O17" s="41" t="n">
        <f aca="false">IFERROR(INDEX(Исходные!$B$21:$B$33,MATCH(H17,Исходные!$A$21:$A$33,0)),0)</f>
        <v>2.466</v>
      </c>
      <c r="P17" s="83" t="n">
        <f aca="false">N17*O17</f>
        <v>17.7552</v>
      </c>
      <c r="Q17" s="20" t="s">
        <v>541</v>
      </c>
      <c r="R17" s="84" t="s">
        <v>514</v>
      </c>
      <c r="S17" s="20"/>
      <c r="T17" s="20" t="s">
        <v>12</v>
      </c>
      <c r="U17" s="53" t="n">
        <v>0</v>
      </c>
      <c r="V17" s="76" t="s">
        <v>148</v>
      </c>
      <c r="W17" s="53" t="n">
        <v>1</v>
      </c>
    </row>
    <row r="18" customFormat="false" ht="23.85" hidden="false" customHeight="false" outlineLevel="0" collapsed="false">
      <c r="A18" s="76" t="n">
        <v>12</v>
      </c>
      <c r="B18" s="20" t="s">
        <v>507</v>
      </c>
      <c r="C18" s="20" t="s">
        <v>508</v>
      </c>
      <c r="D18" s="20" t="s">
        <v>509</v>
      </c>
      <c r="E18" s="20" t="s">
        <v>148</v>
      </c>
      <c r="F18" s="76" t="s">
        <v>539</v>
      </c>
      <c r="G18" s="20" t="s">
        <v>543</v>
      </c>
      <c r="H18" s="55" t="n">
        <v>10</v>
      </c>
      <c r="I18" s="76" t="s">
        <v>512</v>
      </c>
      <c r="J18" s="76" t="n">
        <v>200</v>
      </c>
      <c r="K18" s="82" t="n">
        <v>1</v>
      </c>
      <c r="L18" s="55" t="n">
        <v>4</v>
      </c>
      <c r="M18" s="73" t="n">
        <v>1.2</v>
      </c>
      <c r="N18" s="74" t="n">
        <f aca="false">K18*L18*M18</f>
        <v>4.8</v>
      </c>
      <c r="O18" s="41" t="n">
        <f aca="false">IFERROR(INDEX(Исходные!$B$21:$B$33,MATCH(H18,Исходные!$A$21:$A$33,0)),0)</f>
        <v>0.617</v>
      </c>
      <c r="P18" s="83" t="n">
        <f aca="false">N18*O18</f>
        <v>2.9616</v>
      </c>
      <c r="Q18" s="20" t="s">
        <v>541</v>
      </c>
      <c r="R18" s="84" t="s">
        <v>514</v>
      </c>
      <c r="S18" s="20"/>
      <c r="T18" s="20" t="s">
        <v>12</v>
      </c>
      <c r="U18" s="53" t="n">
        <v>0</v>
      </c>
      <c r="V18" s="76" t="s">
        <v>148</v>
      </c>
      <c r="W18" s="53" t="n">
        <v>1</v>
      </c>
    </row>
    <row r="19" customFormat="false" ht="23.85" hidden="false" customHeight="false" outlineLevel="0" collapsed="false">
      <c r="A19" s="76" t="n">
        <v>13</v>
      </c>
      <c r="B19" s="20" t="s">
        <v>507</v>
      </c>
      <c r="C19" s="20" t="s">
        <v>508</v>
      </c>
      <c r="D19" s="20" t="s">
        <v>509</v>
      </c>
      <c r="E19" s="20" t="s">
        <v>148</v>
      </c>
      <c r="F19" s="76" t="s">
        <v>544</v>
      </c>
      <c r="G19" s="20" t="s">
        <v>545</v>
      </c>
      <c r="H19" s="55" t="n">
        <v>10</v>
      </c>
      <c r="I19" s="76" t="s">
        <v>546</v>
      </c>
      <c r="J19" s="76" t="s">
        <v>547</v>
      </c>
      <c r="K19" s="82" t="n">
        <v>1</v>
      </c>
      <c r="L19" s="55" t="n">
        <v>54</v>
      </c>
      <c r="M19" s="73" t="n">
        <v>1.33</v>
      </c>
      <c r="N19" s="74" t="n">
        <f aca="false">K19*L19*M19</f>
        <v>71.82</v>
      </c>
      <c r="O19" s="41" t="n">
        <f aca="false">IFERROR(INDEX(Исходные!$B$21:$B$33,MATCH(H19,Исходные!$A$21:$A$33,0)),0)</f>
        <v>0.617</v>
      </c>
      <c r="P19" s="83" t="n">
        <f aca="false">N19*O19</f>
        <v>44.31294</v>
      </c>
      <c r="Q19" s="20" t="s">
        <v>548</v>
      </c>
      <c r="R19" s="84" t="s">
        <v>514</v>
      </c>
      <c r="S19" s="20"/>
      <c r="T19" s="20" t="s">
        <v>12</v>
      </c>
      <c r="U19" s="53" t="n">
        <v>0</v>
      </c>
      <c r="V19" s="76" t="s">
        <v>148</v>
      </c>
      <c r="W19" s="53" t="n">
        <v>1</v>
      </c>
    </row>
    <row r="20" customFormat="false" ht="23.85" hidden="false" customHeight="false" outlineLevel="0" collapsed="false">
      <c r="A20" s="76" t="n">
        <v>14</v>
      </c>
      <c r="B20" s="20" t="s">
        <v>507</v>
      </c>
      <c r="C20" s="20" t="s">
        <v>508</v>
      </c>
      <c r="D20" s="20" t="s">
        <v>509</v>
      </c>
      <c r="E20" s="20" t="s">
        <v>148</v>
      </c>
      <c r="F20" s="76" t="s">
        <v>549</v>
      </c>
      <c r="G20" s="20" t="s">
        <v>550</v>
      </c>
      <c r="H20" s="55" t="n">
        <v>10</v>
      </c>
      <c r="I20" s="76" t="s">
        <v>546</v>
      </c>
      <c r="J20" s="76" t="s">
        <v>547</v>
      </c>
      <c r="K20" s="82" t="n">
        <v>1</v>
      </c>
      <c r="L20" s="55" t="n">
        <v>36</v>
      </c>
      <c r="M20" s="73" t="n">
        <v>1.56</v>
      </c>
      <c r="N20" s="74" t="n">
        <f aca="false">K20*L20*M20</f>
        <v>56.16</v>
      </c>
      <c r="O20" s="41" t="n">
        <f aca="false">IFERROR(INDEX(Исходные!$B$21:$B$33,MATCH(H20,Исходные!$A$21:$A$33,0)),0)</f>
        <v>0.617</v>
      </c>
      <c r="P20" s="83" t="n">
        <f aca="false">N20*O20</f>
        <v>34.65072</v>
      </c>
      <c r="Q20" s="20" t="s">
        <v>551</v>
      </c>
      <c r="R20" s="84" t="s">
        <v>514</v>
      </c>
      <c r="S20" s="20"/>
      <c r="T20" s="20" t="s">
        <v>12</v>
      </c>
      <c r="U20" s="53" t="n">
        <v>0</v>
      </c>
      <c r="V20" s="76" t="s">
        <v>148</v>
      </c>
      <c r="W20" s="53" t="n">
        <v>1</v>
      </c>
    </row>
    <row r="21" customFormat="false" ht="23.85" hidden="false" customHeight="false" outlineLevel="0" collapsed="false">
      <c r="A21" s="76" t="n">
        <v>15</v>
      </c>
      <c r="B21" s="20" t="s">
        <v>507</v>
      </c>
      <c r="C21" s="20" t="s">
        <v>508</v>
      </c>
      <c r="D21" s="20" t="s">
        <v>509</v>
      </c>
      <c r="E21" s="20" t="s">
        <v>148</v>
      </c>
      <c r="F21" s="76" t="s">
        <v>552</v>
      </c>
      <c r="G21" s="20" t="s">
        <v>553</v>
      </c>
      <c r="H21" s="55" t="n">
        <v>10</v>
      </c>
      <c r="I21" s="76" t="s">
        <v>546</v>
      </c>
      <c r="J21" s="76" t="s">
        <v>547</v>
      </c>
      <c r="K21" s="82" t="n">
        <v>1</v>
      </c>
      <c r="L21" s="55" t="n">
        <v>18</v>
      </c>
      <c r="M21" s="73" t="n">
        <v>1.76</v>
      </c>
      <c r="N21" s="74" t="n">
        <f aca="false">K21*L21*M21</f>
        <v>31.68</v>
      </c>
      <c r="O21" s="41" t="n">
        <f aca="false">IFERROR(INDEX(Исходные!$B$21:$B$33,MATCH(H21,Исходные!$A$21:$A$33,0)),0)</f>
        <v>0.617</v>
      </c>
      <c r="P21" s="83" t="n">
        <f aca="false">N21*O21</f>
        <v>19.54656</v>
      </c>
      <c r="Q21" s="20" t="s">
        <v>554</v>
      </c>
      <c r="R21" s="84" t="s">
        <v>514</v>
      </c>
      <c r="S21" s="20"/>
      <c r="T21" s="20" t="s">
        <v>12</v>
      </c>
      <c r="U21" s="53" t="n">
        <v>0</v>
      </c>
      <c r="V21" s="76" t="s">
        <v>148</v>
      </c>
      <c r="W21" s="53" t="n">
        <v>1</v>
      </c>
    </row>
    <row r="22" customFormat="false" ht="23.85" hidden="false" customHeight="false" outlineLevel="0" collapsed="false">
      <c r="A22" s="76" t="n">
        <v>16</v>
      </c>
      <c r="B22" s="20" t="s">
        <v>507</v>
      </c>
      <c r="C22" s="20" t="s">
        <v>508</v>
      </c>
      <c r="D22" s="20" t="s">
        <v>509</v>
      </c>
      <c r="E22" s="20" t="s">
        <v>148</v>
      </c>
      <c r="F22" s="76" t="s">
        <v>555</v>
      </c>
      <c r="G22" s="20" t="s">
        <v>556</v>
      </c>
      <c r="H22" s="55" t="n">
        <v>8</v>
      </c>
      <c r="I22" s="76" t="s">
        <v>546</v>
      </c>
      <c r="J22" s="76" t="s">
        <v>547</v>
      </c>
      <c r="K22" s="82" t="n">
        <v>1</v>
      </c>
      <c r="L22" s="55" t="n">
        <v>30</v>
      </c>
      <c r="M22" s="73" t="n">
        <v>2.44</v>
      </c>
      <c r="N22" s="74" t="n">
        <f aca="false">K22*L22*M22</f>
        <v>73.2</v>
      </c>
      <c r="O22" s="41" t="n">
        <f aca="false">IFERROR(INDEX(Исходные!$B$21:$B$33,MATCH(H22,Исходные!$A$21:$A$33,0)),0)</f>
        <v>0.395</v>
      </c>
      <c r="P22" s="83" t="n">
        <f aca="false">N22*O22</f>
        <v>28.914</v>
      </c>
      <c r="Q22" s="20" t="s">
        <v>557</v>
      </c>
      <c r="R22" s="84" t="s">
        <v>514</v>
      </c>
      <c r="S22" s="20"/>
      <c r="T22" s="20" t="s">
        <v>12</v>
      </c>
      <c r="U22" s="53" t="n">
        <v>0</v>
      </c>
      <c r="V22" s="76" t="s">
        <v>148</v>
      </c>
      <c r="W22" s="53" t="n">
        <v>1</v>
      </c>
    </row>
    <row r="23" customFormat="false" ht="23.85" hidden="false" customHeight="false" outlineLevel="0" collapsed="false">
      <c r="A23" s="76" t="n">
        <v>17</v>
      </c>
      <c r="B23" s="20" t="s">
        <v>507</v>
      </c>
      <c r="C23" s="20" t="s">
        <v>508</v>
      </c>
      <c r="D23" s="20" t="s">
        <v>509</v>
      </c>
      <c r="E23" s="20" t="s">
        <v>148</v>
      </c>
      <c r="F23" s="76" t="s">
        <v>558</v>
      </c>
      <c r="G23" s="20" t="s">
        <v>559</v>
      </c>
      <c r="H23" s="55" t="n">
        <v>8</v>
      </c>
      <c r="I23" s="76" t="s">
        <v>546</v>
      </c>
      <c r="J23" s="76" t="s">
        <v>547</v>
      </c>
      <c r="K23" s="82" t="n">
        <v>1</v>
      </c>
      <c r="L23" s="55" t="n">
        <v>36</v>
      </c>
      <c r="M23" s="73" t="n">
        <v>1.96</v>
      </c>
      <c r="N23" s="74" t="n">
        <f aca="false">K23*L23*M23</f>
        <v>70.56</v>
      </c>
      <c r="O23" s="41" t="n">
        <f aca="false">IFERROR(INDEX(Исходные!$B$21:$B$33,MATCH(H23,Исходные!$A$21:$A$33,0)),0)</f>
        <v>0.395</v>
      </c>
      <c r="P23" s="83" t="n">
        <f aca="false">N23*O23</f>
        <v>27.8712</v>
      </c>
      <c r="Q23" s="20" t="s">
        <v>560</v>
      </c>
      <c r="R23" s="84" t="s">
        <v>514</v>
      </c>
      <c r="S23" s="20"/>
      <c r="T23" s="20" t="s">
        <v>12</v>
      </c>
      <c r="U23" s="53" t="n">
        <v>0</v>
      </c>
      <c r="V23" s="76" t="s">
        <v>148</v>
      </c>
      <c r="W23" s="53" t="n">
        <v>1</v>
      </c>
    </row>
    <row r="24" customFormat="false" ht="23.85" hidden="false" customHeight="false" outlineLevel="0" collapsed="false">
      <c r="A24" s="76" t="n">
        <v>18</v>
      </c>
      <c r="B24" s="20" t="s">
        <v>507</v>
      </c>
      <c r="C24" s="20" t="s">
        <v>508</v>
      </c>
      <c r="D24" s="20" t="s">
        <v>509</v>
      </c>
      <c r="E24" s="20" t="s">
        <v>148</v>
      </c>
      <c r="F24" s="76" t="s">
        <v>561</v>
      </c>
      <c r="G24" s="20" t="s">
        <v>562</v>
      </c>
      <c r="H24" s="55" t="n">
        <v>8</v>
      </c>
      <c r="I24" s="76" t="s">
        <v>546</v>
      </c>
      <c r="J24" s="76" t="s">
        <v>547</v>
      </c>
      <c r="K24" s="82" t="n">
        <v>1</v>
      </c>
      <c r="L24" s="55" t="n">
        <v>90</v>
      </c>
      <c r="M24" s="73" t="n">
        <v>0.53</v>
      </c>
      <c r="N24" s="74" t="n">
        <f aca="false">K24*L24*M24</f>
        <v>47.7</v>
      </c>
      <c r="O24" s="41" t="n">
        <f aca="false">IFERROR(INDEX(Исходные!$B$21:$B$33,MATCH(H24,Исходные!$A$21:$A$33,0)),0)</f>
        <v>0.395</v>
      </c>
      <c r="P24" s="83" t="n">
        <f aca="false">N24*O24</f>
        <v>18.8415</v>
      </c>
      <c r="Q24" s="20" t="s">
        <v>563</v>
      </c>
      <c r="R24" s="84" t="s">
        <v>514</v>
      </c>
      <c r="S24" s="20"/>
      <c r="T24" s="20" t="s">
        <v>12</v>
      </c>
      <c r="U24" s="53" t="n">
        <v>0</v>
      </c>
      <c r="V24" s="76" t="s">
        <v>148</v>
      </c>
      <c r="W24" s="53" t="n">
        <v>1</v>
      </c>
    </row>
    <row r="25" customFormat="false" ht="23.85" hidden="false" customHeight="false" outlineLevel="0" collapsed="false">
      <c r="A25" s="76" t="n">
        <v>19</v>
      </c>
      <c r="B25" s="20" t="s">
        <v>507</v>
      </c>
      <c r="C25" s="20" t="s">
        <v>508</v>
      </c>
      <c r="D25" s="20" t="s">
        <v>564</v>
      </c>
      <c r="E25" s="20" t="s">
        <v>149</v>
      </c>
      <c r="F25" s="76" t="s">
        <v>510</v>
      </c>
      <c r="G25" s="20" t="s">
        <v>511</v>
      </c>
      <c r="H25" s="55" t="n">
        <v>32</v>
      </c>
      <c r="I25" s="76" t="s">
        <v>512</v>
      </c>
      <c r="J25" s="76" t="s">
        <v>164</v>
      </c>
      <c r="K25" s="82" t="n">
        <v>1</v>
      </c>
      <c r="L25" s="55" t="n">
        <v>4</v>
      </c>
      <c r="M25" s="73" t="n">
        <v>4</v>
      </c>
      <c r="N25" s="74" t="n">
        <f aca="false">K25*L25*M25</f>
        <v>16</v>
      </c>
      <c r="O25" s="41" t="n">
        <f aca="false">IFERROR(INDEX(Исходные!$B$21:$B$33,MATCH(H25,Исходные!$A$21:$A$33,0)),0)</f>
        <v>6.313</v>
      </c>
      <c r="P25" s="83" t="n">
        <f aca="false">N25*O25</f>
        <v>101.008</v>
      </c>
      <c r="Q25" s="20" t="s">
        <v>565</v>
      </c>
      <c r="R25" s="84" t="s">
        <v>514</v>
      </c>
      <c r="S25" s="20" t="s">
        <v>515</v>
      </c>
      <c r="T25" s="20" t="s">
        <v>12</v>
      </c>
      <c r="U25" s="53" t="n">
        <v>0</v>
      </c>
      <c r="V25" s="76" t="s">
        <v>149</v>
      </c>
      <c r="W25" s="53" t="n">
        <v>1</v>
      </c>
    </row>
    <row r="26" customFormat="false" ht="23.85" hidden="false" customHeight="false" outlineLevel="0" collapsed="false">
      <c r="A26" s="76" t="n">
        <v>20</v>
      </c>
      <c r="B26" s="20" t="s">
        <v>507</v>
      </c>
      <c r="C26" s="20" t="s">
        <v>508</v>
      </c>
      <c r="D26" s="20" t="s">
        <v>564</v>
      </c>
      <c r="E26" s="20" t="s">
        <v>149</v>
      </c>
      <c r="F26" s="76" t="s">
        <v>522</v>
      </c>
      <c r="G26" s="20" t="s">
        <v>566</v>
      </c>
      <c r="H26" s="55" t="n">
        <v>25</v>
      </c>
      <c r="I26" s="76" t="s">
        <v>512</v>
      </c>
      <c r="J26" s="76" t="s">
        <v>164</v>
      </c>
      <c r="K26" s="82" t="n">
        <v>1</v>
      </c>
      <c r="L26" s="55" t="n">
        <v>4</v>
      </c>
      <c r="M26" s="73" t="n">
        <v>4</v>
      </c>
      <c r="N26" s="74" t="n">
        <f aca="false">K26*L26*M26</f>
        <v>16</v>
      </c>
      <c r="O26" s="41" t="n">
        <f aca="false">IFERROR(INDEX(Исходные!$B$21:$B$33,MATCH(H26,Исходные!$A$21:$A$33,0)),0)</f>
        <v>3.853</v>
      </c>
      <c r="P26" s="83" t="n">
        <f aca="false">N26*O26</f>
        <v>61.648</v>
      </c>
      <c r="Q26" s="20" t="s">
        <v>565</v>
      </c>
      <c r="R26" s="84" t="s">
        <v>514</v>
      </c>
      <c r="S26" s="20" t="s">
        <v>567</v>
      </c>
      <c r="T26" s="20" t="s">
        <v>12</v>
      </c>
      <c r="U26" s="53" t="n">
        <v>0</v>
      </c>
      <c r="V26" s="76" t="s">
        <v>149</v>
      </c>
      <c r="W26" s="53" t="n">
        <v>1</v>
      </c>
    </row>
    <row r="27" customFormat="false" ht="23.85" hidden="false" customHeight="false" outlineLevel="0" collapsed="false">
      <c r="A27" s="76" t="n">
        <v>21</v>
      </c>
      <c r="B27" s="20" t="s">
        <v>507</v>
      </c>
      <c r="C27" s="20" t="s">
        <v>508</v>
      </c>
      <c r="D27" s="20" t="s">
        <v>564</v>
      </c>
      <c r="E27" s="20" t="s">
        <v>149</v>
      </c>
      <c r="F27" s="76" t="s">
        <v>516</v>
      </c>
      <c r="G27" s="20" t="s">
        <v>568</v>
      </c>
      <c r="H27" s="55" t="n">
        <v>20</v>
      </c>
      <c r="I27" s="76" t="s">
        <v>512</v>
      </c>
      <c r="J27" s="76" t="s">
        <v>164</v>
      </c>
      <c r="K27" s="82" t="n">
        <v>1</v>
      </c>
      <c r="L27" s="55" t="n">
        <v>4</v>
      </c>
      <c r="M27" s="73" t="n">
        <v>4</v>
      </c>
      <c r="N27" s="74" t="n">
        <f aca="false">K27*L27*M27</f>
        <v>16</v>
      </c>
      <c r="O27" s="41" t="n">
        <f aca="false">IFERROR(INDEX(Исходные!$B$21:$B$33,MATCH(H27,Исходные!$A$21:$A$33,0)),0)</f>
        <v>2.466</v>
      </c>
      <c r="P27" s="83" t="n">
        <f aca="false">N27*O27</f>
        <v>39.456</v>
      </c>
      <c r="Q27" s="20" t="s">
        <v>565</v>
      </c>
      <c r="R27" s="84" t="s">
        <v>514</v>
      </c>
      <c r="S27" s="20" t="s">
        <v>569</v>
      </c>
      <c r="T27" s="20" t="s">
        <v>12</v>
      </c>
      <c r="U27" s="53" t="n">
        <v>0</v>
      </c>
      <c r="V27" s="76" t="s">
        <v>149</v>
      </c>
      <c r="W27" s="53" t="n">
        <v>1</v>
      </c>
    </row>
    <row r="28" customFormat="false" ht="23.85" hidden="false" customHeight="false" outlineLevel="0" collapsed="false">
      <c r="A28" s="76" t="n">
        <v>22</v>
      </c>
      <c r="B28" s="20" t="s">
        <v>507</v>
      </c>
      <c r="C28" s="20" t="s">
        <v>508</v>
      </c>
      <c r="D28" s="20" t="s">
        <v>564</v>
      </c>
      <c r="E28" s="20" t="s">
        <v>149</v>
      </c>
      <c r="F28" s="76" t="s">
        <v>519</v>
      </c>
      <c r="G28" s="20" t="s">
        <v>570</v>
      </c>
      <c r="H28" s="55" t="n">
        <v>28</v>
      </c>
      <c r="I28" s="76" t="s">
        <v>512</v>
      </c>
      <c r="J28" s="76" t="s">
        <v>164</v>
      </c>
      <c r="K28" s="82" t="n">
        <v>1</v>
      </c>
      <c r="L28" s="55" t="n">
        <v>11</v>
      </c>
      <c r="M28" s="73" t="n">
        <v>4</v>
      </c>
      <c r="N28" s="74" t="n">
        <f aca="false">K28*L28*M28</f>
        <v>44</v>
      </c>
      <c r="O28" s="41" t="n">
        <f aca="false">IFERROR(INDEX(Исходные!$B$21:$B$33,MATCH(H28,Исходные!$A$21:$A$33,0)),0)</f>
        <v>4.834</v>
      </c>
      <c r="P28" s="83" t="n">
        <f aca="false">N28*O28</f>
        <v>212.696</v>
      </c>
      <c r="Q28" s="20" t="s">
        <v>565</v>
      </c>
      <c r="R28" s="84" t="s">
        <v>514</v>
      </c>
      <c r="S28" s="20" t="s">
        <v>571</v>
      </c>
      <c r="T28" s="20" t="s">
        <v>12</v>
      </c>
      <c r="U28" s="53" t="n">
        <v>0</v>
      </c>
      <c r="V28" s="76" t="s">
        <v>149</v>
      </c>
      <c r="W28" s="53" t="n">
        <v>1</v>
      </c>
    </row>
    <row r="29" customFormat="false" ht="23.85" hidden="false" customHeight="false" outlineLevel="0" collapsed="false">
      <c r="A29" s="76" t="n">
        <v>23</v>
      </c>
      <c r="B29" s="20" t="s">
        <v>507</v>
      </c>
      <c r="C29" s="20" t="s">
        <v>508</v>
      </c>
      <c r="D29" s="20" t="s">
        <v>564</v>
      </c>
      <c r="E29" s="20" t="s">
        <v>149</v>
      </c>
      <c r="F29" s="76" t="s">
        <v>522</v>
      </c>
      <c r="G29" s="20" t="s">
        <v>572</v>
      </c>
      <c r="H29" s="55" t="n">
        <v>25</v>
      </c>
      <c r="I29" s="76" t="s">
        <v>512</v>
      </c>
      <c r="J29" s="76" t="s">
        <v>164</v>
      </c>
      <c r="K29" s="82" t="n">
        <v>1</v>
      </c>
      <c r="L29" s="55" t="n">
        <v>4</v>
      </c>
      <c r="M29" s="73" t="n">
        <v>4</v>
      </c>
      <c r="N29" s="74" t="n">
        <f aca="false">K29*L29*M29</f>
        <v>16</v>
      </c>
      <c r="O29" s="41" t="n">
        <f aca="false">IFERROR(INDEX(Исходные!$B$21:$B$33,MATCH(H29,Исходные!$A$21:$A$33,0)),0)</f>
        <v>3.853</v>
      </c>
      <c r="P29" s="83" t="n">
        <f aca="false">N29*O29</f>
        <v>61.648</v>
      </c>
      <c r="Q29" s="20" t="s">
        <v>565</v>
      </c>
      <c r="R29" s="84" t="s">
        <v>514</v>
      </c>
      <c r="S29" s="20" t="s">
        <v>573</v>
      </c>
      <c r="T29" s="20" t="s">
        <v>12</v>
      </c>
      <c r="U29" s="53" t="n">
        <v>0</v>
      </c>
      <c r="V29" s="76" t="s">
        <v>149</v>
      </c>
      <c r="W29" s="53" t="n">
        <v>1</v>
      </c>
    </row>
    <row r="30" customFormat="false" ht="23.85" hidden="false" customHeight="false" outlineLevel="0" collapsed="false">
      <c r="A30" s="76" t="n">
        <v>24</v>
      </c>
      <c r="B30" s="20" t="s">
        <v>507</v>
      </c>
      <c r="C30" s="20" t="s">
        <v>508</v>
      </c>
      <c r="D30" s="20" t="s">
        <v>564</v>
      </c>
      <c r="E30" s="20" t="s">
        <v>149</v>
      </c>
      <c r="F30" s="76" t="s">
        <v>519</v>
      </c>
      <c r="G30" s="20" t="s">
        <v>574</v>
      </c>
      <c r="H30" s="55" t="n">
        <v>28</v>
      </c>
      <c r="I30" s="76" t="s">
        <v>512</v>
      </c>
      <c r="J30" s="76" t="s">
        <v>164</v>
      </c>
      <c r="K30" s="82" t="n">
        <v>1</v>
      </c>
      <c r="L30" s="55" t="n">
        <v>11</v>
      </c>
      <c r="M30" s="73" t="n">
        <v>4</v>
      </c>
      <c r="N30" s="74" t="n">
        <f aca="false">K30*L30*M30</f>
        <v>44</v>
      </c>
      <c r="O30" s="41" t="n">
        <f aca="false">IFERROR(INDEX(Исходные!$B$21:$B$33,MATCH(H30,Исходные!$A$21:$A$33,0)),0)</f>
        <v>4.834</v>
      </c>
      <c r="P30" s="83" t="n">
        <f aca="false">N30*O30</f>
        <v>212.696</v>
      </c>
      <c r="Q30" s="20" t="s">
        <v>565</v>
      </c>
      <c r="R30" s="84" t="s">
        <v>514</v>
      </c>
      <c r="S30" s="20" t="s">
        <v>571</v>
      </c>
      <c r="T30" s="20" t="s">
        <v>12</v>
      </c>
      <c r="U30" s="53" t="n">
        <v>0</v>
      </c>
      <c r="V30" s="76" t="s">
        <v>149</v>
      </c>
      <c r="W30" s="53" t="n">
        <v>1</v>
      </c>
    </row>
    <row r="31" customFormat="false" ht="23.85" hidden="false" customHeight="false" outlineLevel="0" collapsed="false">
      <c r="A31" s="76" t="n">
        <v>25</v>
      </c>
      <c r="B31" s="20" t="s">
        <v>507</v>
      </c>
      <c r="C31" s="20" t="s">
        <v>508</v>
      </c>
      <c r="D31" s="20" t="s">
        <v>564</v>
      </c>
      <c r="E31" s="20" t="s">
        <v>149</v>
      </c>
      <c r="F31" s="76" t="s">
        <v>575</v>
      </c>
      <c r="G31" s="20" t="s">
        <v>527</v>
      </c>
      <c r="H31" s="55" t="n">
        <v>22</v>
      </c>
      <c r="I31" s="76" t="s">
        <v>512</v>
      </c>
      <c r="J31" s="76" t="s">
        <v>164</v>
      </c>
      <c r="K31" s="82" t="n">
        <v>1</v>
      </c>
      <c r="L31" s="55" t="n">
        <v>16</v>
      </c>
      <c r="M31" s="73" t="n">
        <v>4</v>
      </c>
      <c r="N31" s="74" t="n">
        <f aca="false">K31*L31*M31</f>
        <v>64</v>
      </c>
      <c r="O31" s="41" t="n">
        <f aca="false">IFERROR(INDEX(Исходные!$B$21:$B$33,MATCH(H31,Исходные!$A$21:$A$33,0)),0)</f>
        <v>2.984</v>
      </c>
      <c r="P31" s="83" t="n">
        <f aca="false">N31*O31</f>
        <v>190.976</v>
      </c>
      <c r="Q31" s="20" t="s">
        <v>565</v>
      </c>
      <c r="R31" s="84" t="s">
        <v>514</v>
      </c>
      <c r="S31" s="20" t="s">
        <v>576</v>
      </c>
      <c r="T31" s="20" t="s">
        <v>12</v>
      </c>
      <c r="U31" s="53" t="n">
        <v>0</v>
      </c>
      <c r="V31" s="76" t="s">
        <v>149</v>
      </c>
      <c r="W31" s="53" t="n">
        <v>1</v>
      </c>
    </row>
    <row r="32" customFormat="false" ht="23.85" hidden="false" customHeight="false" outlineLevel="0" collapsed="false">
      <c r="A32" s="76" t="n">
        <v>26</v>
      </c>
      <c r="B32" s="20" t="s">
        <v>507</v>
      </c>
      <c r="C32" s="20" t="s">
        <v>508</v>
      </c>
      <c r="D32" s="20" t="s">
        <v>564</v>
      </c>
      <c r="E32" s="20" t="s">
        <v>149</v>
      </c>
      <c r="F32" s="76" t="s">
        <v>532</v>
      </c>
      <c r="G32" s="20" t="s">
        <v>577</v>
      </c>
      <c r="H32" s="55" t="n">
        <v>16</v>
      </c>
      <c r="I32" s="76" t="s">
        <v>512</v>
      </c>
      <c r="J32" s="76" t="n">
        <v>200</v>
      </c>
      <c r="K32" s="82" t="n">
        <v>1</v>
      </c>
      <c r="L32" s="55" t="n">
        <v>36</v>
      </c>
      <c r="M32" s="73" t="n">
        <v>1.25</v>
      </c>
      <c r="N32" s="74" t="n">
        <f aca="false">K32*L32*M32</f>
        <v>45</v>
      </c>
      <c r="O32" s="41" t="n">
        <f aca="false">IFERROR(INDEX(Исходные!$B$21:$B$33,MATCH(H32,Исходные!$A$21:$A$33,0)),0)</f>
        <v>1.578</v>
      </c>
      <c r="P32" s="83" t="n">
        <f aca="false">N32*O32</f>
        <v>71.01</v>
      </c>
      <c r="Q32" s="20" t="s">
        <v>578</v>
      </c>
      <c r="R32" s="85" t="s">
        <v>535</v>
      </c>
      <c r="S32" s="20" t="s">
        <v>579</v>
      </c>
      <c r="T32" s="20" t="s">
        <v>12</v>
      </c>
      <c r="U32" s="53" t="n">
        <v>1</v>
      </c>
      <c r="V32" s="76" t="s">
        <v>149</v>
      </c>
      <c r="W32" s="53" t="n">
        <v>1</v>
      </c>
    </row>
    <row r="33" customFormat="false" ht="23.85" hidden="false" customHeight="false" outlineLevel="0" collapsed="false">
      <c r="A33" s="76" t="n">
        <v>27</v>
      </c>
      <c r="B33" s="20" t="s">
        <v>507</v>
      </c>
      <c r="C33" s="20" t="s">
        <v>508</v>
      </c>
      <c r="D33" s="20" t="s">
        <v>564</v>
      </c>
      <c r="E33" s="20" t="s">
        <v>149</v>
      </c>
      <c r="F33" s="76" t="s">
        <v>532</v>
      </c>
      <c r="G33" s="20" t="s">
        <v>580</v>
      </c>
      <c r="H33" s="55" t="n">
        <v>16</v>
      </c>
      <c r="I33" s="76" t="s">
        <v>512</v>
      </c>
      <c r="J33" s="76" t="n">
        <v>200</v>
      </c>
      <c r="K33" s="82" t="n">
        <v>1</v>
      </c>
      <c r="L33" s="55" t="n">
        <v>36</v>
      </c>
      <c r="M33" s="73" t="n">
        <v>2.25</v>
      </c>
      <c r="N33" s="74" t="n">
        <f aca="false">K33*L33*M33</f>
        <v>81</v>
      </c>
      <c r="O33" s="41" t="n">
        <f aca="false">IFERROR(INDEX(Исходные!$B$21:$B$33,MATCH(H33,Исходные!$A$21:$A$33,0)),0)</f>
        <v>1.578</v>
      </c>
      <c r="P33" s="83" t="n">
        <f aca="false">N33*O33</f>
        <v>127.818</v>
      </c>
      <c r="Q33" s="20" t="s">
        <v>578</v>
      </c>
      <c r="R33" s="85" t="s">
        <v>535</v>
      </c>
      <c r="S33" s="20"/>
      <c r="T33" s="20" t="s">
        <v>12</v>
      </c>
      <c r="U33" s="53" t="n">
        <v>1</v>
      </c>
      <c r="V33" s="76" t="s">
        <v>149</v>
      </c>
      <c r="W33" s="53" t="n">
        <v>1</v>
      </c>
    </row>
    <row r="34" customFormat="false" ht="23.85" hidden="false" customHeight="false" outlineLevel="0" collapsed="false">
      <c r="A34" s="76" t="n">
        <v>28</v>
      </c>
      <c r="B34" s="20" t="s">
        <v>507</v>
      </c>
      <c r="C34" s="20" t="s">
        <v>508</v>
      </c>
      <c r="D34" s="20" t="s">
        <v>564</v>
      </c>
      <c r="E34" s="20" t="s">
        <v>149</v>
      </c>
      <c r="F34" s="76" t="s">
        <v>539</v>
      </c>
      <c r="G34" s="20" t="s">
        <v>581</v>
      </c>
      <c r="H34" s="55" t="n">
        <v>20</v>
      </c>
      <c r="I34" s="76" t="s">
        <v>512</v>
      </c>
      <c r="J34" s="76" t="n">
        <v>200</v>
      </c>
      <c r="K34" s="82" t="n">
        <v>1</v>
      </c>
      <c r="L34" s="55" t="n">
        <v>10</v>
      </c>
      <c r="M34" s="73" t="n">
        <v>1.2</v>
      </c>
      <c r="N34" s="74" t="n">
        <f aca="false">K34*L34*M34</f>
        <v>12</v>
      </c>
      <c r="O34" s="41" t="n">
        <f aca="false">IFERROR(INDEX(Исходные!$B$21:$B$33,MATCH(H34,Исходные!$A$21:$A$33,0)),0)</f>
        <v>2.466</v>
      </c>
      <c r="P34" s="83" t="n">
        <f aca="false">N34*O34</f>
        <v>29.592</v>
      </c>
      <c r="Q34" s="20" t="s">
        <v>582</v>
      </c>
      <c r="R34" s="84" t="s">
        <v>514</v>
      </c>
      <c r="S34" s="20"/>
      <c r="T34" s="20" t="s">
        <v>12</v>
      </c>
      <c r="U34" s="53" t="n">
        <v>0</v>
      </c>
      <c r="V34" s="76" t="s">
        <v>149</v>
      </c>
      <c r="W34" s="53" t="n">
        <v>1</v>
      </c>
    </row>
    <row r="35" customFormat="false" ht="23.85" hidden="false" customHeight="false" outlineLevel="0" collapsed="false">
      <c r="A35" s="76" t="n">
        <v>29</v>
      </c>
      <c r="B35" s="20" t="s">
        <v>507</v>
      </c>
      <c r="C35" s="20" t="s">
        <v>508</v>
      </c>
      <c r="D35" s="20" t="s">
        <v>564</v>
      </c>
      <c r="E35" s="20" t="s">
        <v>149</v>
      </c>
      <c r="F35" s="76" t="s">
        <v>544</v>
      </c>
      <c r="G35" s="20" t="s">
        <v>583</v>
      </c>
      <c r="H35" s="55" t="n">
        <v>10</v>
      </c>
      <c r="I35" s="76" t="s">
        <v>546</v>
      </c>
      <c r="J35" s="76" t="s">
        <v>547</v>
      </c>
      <c r="K35" s="82" t="n">
        <v>1</v>
      </c>
      <c r="L35" s="55" t="n">
        <v>36</v>
      </c>
      <c r="M35" s="73" t="n">
        <v>1.33</v>
      </c>
      <c r="N35" s="74" t="n">
        <f aca="false">K35*L35*M35</f>
        <v>47.88</v>
      </c>
      <c r="O35" s="41" t="n">
        <f aca="false">IFERROR(INDEX(Исходные!$B$21:$B$33,MATCH(H35,Исходные!$A$21:$A$33,0)),0)</f>
        <v>0.617</v>
      </c>
      <c r="P35" s="83" t="n">
        <f aca="false">N35*O35</f>
        <v>29.54196</v>
      </c>
      <c r="Q35" s="20" t="s">
        <v>548</v>
      </c>
      <c r="R35" s="84" t="s">
        <v>514</v>
      </c>
      <c r="S35" s="20"/>
      <c r="T35" s="20" t="s">
        <v>12</v>
      </c>
      <c r="U35" s="53" t="n">
        <v>0</v>
      </c>
      <c r="V35" s="76" t="s">
        <v>149</v>
      </c>
      <c r="W35" s="53" t="n">
        <v>1</v>
      </c>
    </row>
    <row r="36" customFormat="false" ht="23.85" hidden="false" customHeight="false" outlineLevel="0" collapsed="false">
      <c r="A36" s="76" t="n">
        <v>30</v>
      </c>
      <c r="B36" s="20" t="s">
        <v>507</v>
      </c>
      <c r="C36" s="20" t="s">
        <v>508</v>
      </c>
      <c r="D36" s="20" t="s">
        <v>564</v>
      </c>
      <c r="E36" s="20" t="s">
        <v>149</v>
      </c>
      <c r="F36" s="76" t="s">
        <v>549</v>
      </c>
      <c r="G36" s="20" t="s">
        <v>584</v>
      </c>
      <c r="H36" s="55" t="n">
        <v>10</v>
      </c>
      <c r="I36" s="76" t="s">
        <v>546</v>
      </c>
      <c r="J36" s="76" t="s">
        <v>547</v>
      </c>
      <c r="K36" s="82" t="n">
        <v>1</v>
      </c>
      <c r="L36" s="55" t="n">
        <v>18</v>
      </c>
      <c r="M36" s="73" t="n">
        <v>1.56</v>
      </c>
      <c r="N36" s="74" t="n">
        <f aca="false">K36*L36*M36</f>
        <v>28.08</v>
      </c>
      <c r="O36" s="41" t="n">
        <f aca="false">IFERROR(INDEX(Исходные!$B$21:$B$33,MATCH(H36,Исходные!$A$21:$A$33,0)),0)</f>
        <v>0.617</v>
      </c>
      <c r="P36" s="83" t="n">
        <f aca="false">N36*O36</f>
        <v>17.32536</v>
      </c>
      <c r="Q36" s="20" t="s">
        <v>551</v>
      </c>
      <c r="R36" s="84" t="s">
        <v>514</v>
      </c>
      <c r="S36" s="20"/>
      <c r="T36" s="20" t="s">
        <v>12</v>
      </c>
      <c r="U36" s="53" t="n">
        <v>0</v>
      </c>
      <c r="V36" s="76" t="s">
        <v>149</v>
      </c>
      <c r="W36" s="53" t="n">
        <v>1</v>
      </c>
    </row>
    <row r="37" customFormat="false" ht="23.85" hidden="false" customHeight="false" outlineLevel="0" collapsed="false">
      <c r="A37" s="76" t="n">
        <v>31</v>
      </c>
      <c r="B37" s="20" t="s">
        <v>507</v>
      </c>
      <c r="C37" s="20" t="s">
        <v>508</v>
      </c>
      <c r="D37" s="20" t="s">
        <v>564</v>
      </c>
      <c r="E37" s="20" t="s">
        <v>149</v>
      </c>
      <c r="F37" s="76" t="s">
        <v>552</v>
      </c>
      <c r="G37" s="20" t="s">
        <v>553</v>
      </c>
      <c r="H37" s="55" t="n">
        <v>10</v>
      </c>
      <c r="I37" s="76" t="s">
        <v>546</v>
      </c>
      <c r="J37" s="76" t="s">
        <v>547</v>
      </c>
      <c r="K37" s="82" t="n">
        <v>1</v>
      </c>
      <c r="L37" s="55" t="n">
        <v>18</v>
      </c>
      <c r="M37" s="73" t="n">
        <v>1.76</v>
      </c>
      <c r="N37" s="74" t="n">
        <f aca="false">K37*L37*M37</f>
        <v>31.68</v>
      </c>
      <c r="O37" s="41" t="n">
        <f aca="false">IFERROR(INDEX(Исходные!$B$21:$B$33,MATCH(H37,Исходные!$A$21:$A$33,0)),0)</f>
        <v>0.617</v>
      </c>
      <c r="P37" s="83" t="n">
        <f aca="false">N37*O37</f>
        <v>19.54656</v>
      </c>
      <c r="Q37" s="20" t="s">
        <v>554</v>
      </c>
      <c r="R37" s="84" t="s">
        <v>514</v>
      </c>
      <c r="S37" s="20"/>
      <c r="T37" s="20" t="s">
        <v>12</v>
      </c>
      <c r="U37" s="53" t="n">
        <v>0</v>
      </c>
      <c r="V37" s="76" t="s">
        <v>149</v>
      </c>
      <c r="W37" s="53" t="n">
        <v>1</v>
      </c>
    </row>
    <row r="38" customFormat="false" ht="23.85" hidden="false" customHeight="false" outlineLevel="0" collapsed="false">
      <c r="A38" s="76" t="n">
        <v>32</v>
      </c>
      <c r="B38" s="20" t="s">
        <v>507</v>
      </c>
      <c r="C38" s="20" t="s">
        <v>508</v>
      </c>
      <c r="D38" s="20" t="s">
        <v>564</v>
      </c>
      <c r="E38" s="20" t="s">
        <v>149</v>
      </c>
      <c r="F38" s="76" t="s">
        <v>555</v>
      </c>
      <c r="G38" s="20" t="s">
        <v>556</v>
      </c>
      <c r="H38" s="55" t="n">
        <v>8</v>
      </c>
      <c r="I38" s="76" t="s">
        <v>546</v>
      </c>
      <c r="J38" s="76" t="s">
        <v>547</v>
      </c>
      <c r="K38" s="82" t="n">
        <v>1</v>
      </c>
      <c r="L38" s="55" t="n">
        <v>30</v>
      </c>
      <c r="M38" s="73" t="n">
        <v>2.44</v>
      </c>
      <c r="N38" s="74" t="n">
        <f aca="false">K38*L38*M38</f>
        <v>73.2</v>
      </c>
      <c r="O38" s="41" t="n">
        <f aca="false">IFERROR(INDEX(Исходные!$B$21:$B$33,MATCH(H38,Исходные!$A$21:$A$33,0)),0)</f>
        <v>0.395</v>
      </c>
      <c r="P38" s="83" t="n">
        <f aca="false">N38*O38</f>
        <v>28.914</v>
      </c>
      <c r="Q38" s="20" t="s">
        <v>557</v>
      </c>
      <c r="R38" s="84" t="s">
        <v>514</v>
      </c>
      <c r="S38" s="20"/>
      <c r="T38" s="20" t="s">
        <v>12</v>
      </c>
      <c r="U38" s="53" t="n">
        <v>0</v>
      </c>
      <c r="V38" s="76" t="s">
        <v>149</v>
      </c>
      <c r="W38" s="53" t="n">
        <v>1</v>
      </c>
    </row>
    <row r="39" customFormat="false" ht="23.85" hidden="false" customHeight="false" outlineLevel="0" collapsed="false">
      <c r="A39" s="76" t="n">
        <v>33</v>
      </c>
      <c r="B39" s="20" t="s">
        <v>507</v>
      </c>
      <c r="C39" s="20" t="s">
        <v>508</v>
      </c>
      <c r="D39" s="20" t="s">
        <v>564</v>
      </c>
      <c r="E39" s="20" t="s">
        <v>149</v>
      </c>
      <c r="F39" s="76" t="s">
        <v>558</v>
      </c>
      <c r="G39" s="20" t="s">
        <v>559</v>
      </c>
      <c r="H39" s="55" t="n">
        <v>8</v>
      </c>
      <c r="I39" s="76" t="s">
        <v>546</v>
      </c>
      <c r="J39" s="76" t="s">
        <v>547</v>
      </c>
      <c r="K39" s="82" t="n">
        <v>1</v>
      </c>
      <c r="L39" s="55" t="n">
        <v>36</v>
      </c>
      <c r="M39" s="73" t="n">
        <v>1.96</v>
      </c>
      <c r="N39" s="74" t="n">
        <f aca="false">K39*L39*M39</f>
        <v>70.56</v>
      </c>
      <c r="O39" s="41" t="n">
        <f aca="false">IFERROR(INDEX(Исходные!$B$21:$B$33,MATCH(H39,Исходные!$A$21:$A$33,0)),0)</f>
        <v>0.395</v>
      </c>
      <c r="P39" s="83" t="n">
        <f aca="false">N39*O39</f>
        <v>27.8712</v>
      </c>
      <c r="Q39" s="20" t="s">
        <v>560</v>
      </c>
      <c r="R39" s="84" t="s">
        <v>514</v>
      </c>
      <c r="S39" s="20"/>
      <c r="T39" s="20" t="s">
        <v>12</v>
      </c>
      <c r="U39" s="53" t="n">
        <v>0</v>
      </c>
      <c r="V39" s="76" t="s">
        <v>149</v>
      </c>
      <c r="W39" s="53" t="n">
        <v>1</v>
      </c>
    </row>
    <row r="40" customFormat="false" ht="23.85" hidden="false" customHeight="false" outlineLevel="0" collapsed="false">
      <c r="A40" s="76" t="n">
        <v>34</v>
      </c>
      <c r="B40" s="20" t="s">
        <v>507</v>
      </c>
      <c r="C40" s="20" t="s">
        <v>508</v>
      </c>
      <c r="D40" s="20" t="s">
        <v>564</v>
      </c>
      <c r="E40" s="20" t="s">
        <v>149</v>
      </c>
      <c r="F40" s="76" t="s">
        <v>561</v>
      </c>
      <c r="G40" s="20" t="s">
        <v>585</v>
      </c>
      <c r="H40" s="55" t="n">
        <v>8</v>
      </c>
      <c r="I40" s="76" t="s">
        <v>546</v>
      </c>
      <c r="J40" s="76" t="s">
        <v>547</v>
      </c>
      <c r="K40" s="82" t="n">
        <v>1</v>
      </c>
      <c r="L40" s="55" t="n">
        <v>63</v>
      </c>
      <c r="M40" s="73" t="n">
        <v>0.53</v>
      </c>
      <c r="N40" s="74" t="n">
        <f aca="false">K40*L40*M40</f>
        <v>33.39</v>
      </c>
      <c r="O40" s="41" t="n">
        <f aca="false">IFERROR(INDEX(Исходные!$B$21:$B$33,MATCH(H40,Исходные!$A$21:$A$33,0)),0)</f>
        <v>0.395</v>
      </c>
      <c r="P40" s="83" t="n">
        <f aca="false">N40*O40</f>
        <v>13.18905</v>
      </c>
      <c r="Q40" s="20" t="s">
        <v>563</v>
      </c>
      <c r="R40" s="84" t="s">
        <v>514</v>
      </c>
      <c r="S40" s="20"/>
      <c r="T40" s="20" t="s">
        <v>12</v>
      </c>
      <c r="U40" s="53" t="n">
        <v>0</v>
      </c>
      <c r="V40" s="76" t="s">
        <v>149</v>
      </c>
      <c r="W40" s="53" t="n">
        <v>1</v>
      </c>
    </row>
    <row r="41" customFormat="false" ht="23.85" hidden="false" customHeight="false" outlineLevel="0" collapsed="false">
      <c r="A41" s="76" t="n">
        <v>35</v>
      </c>
      <c r="B41" s="20" t="s">
        <v>507</v>
      </c>
      <c r="C41" s="20" t="s">
        <v>508</v>
      </c>
      <c r="D41" s="20" t="s">
        <v>586</v>
      </c>
      <c r="E41" s="20" t="s">
        <v>154</v>
      </c>
      <c r="F41" s="76" t="s">
        <v>510</v>
      </c>
      <c r="G41" s="20" t="s">
        <v>511</v>
      </c>
      <c r="H41" s="55" t="n">
        <v>32</v>
      </c>
      <c r="I41" s="76" t="s">
        <v>512</v>
      </c>
      <c r="J41" s="76" t="s">
        <v>164</v>
      </c>
      <c r="K41" s="82" t="n">
        <v>1</v>
      </c>
      <c r="L41" s="55" t="n">
        <v>4</v>
      </c>
      <c r="M41" s="73" t="n">
        <v>4</v>
      </c>
      <c r="N41" s="74" t="n">
        <f aca="false">K41*L41*M41</f>
        <v>16</v>
      </c>
      <c r="O41" s="41" t="n">
        <f aca="false">IFERROR(INDEX(Исходные!$B$21:$B$33,MATCH(H41,Исходные!$A$21:$A$33,0)),0)</f>
        <v>6.313</v>
      </c>
      <c r="P41" s="83" t="n">
        <f aca="false">N41*O41</f>
        <v>101.008</v>
      </c>
      <c r="Q41" s="20" t="s">
        <v>587</v>
      </c>
      <c r="R41" s="84" t="s">
        <v>514</v>
      </c>
      <c r="S41" s="20" t="s">
        <v>588</v>
      </c>
      <c r="T41" s="20" t="s">
        <v>12</v>
      </c>
      <c r="U41" s="53" t="n">
        <v>0</v>
      </c>
      <c r="V41" s="76" t="s">
        <v>154</v>
      </c>
      <c r="W41" s="53" t="n">
        <v>1</v>
      </c>
    </row>
    <row r="42" customFormat="false" ht="23.85" hidden="false" customHeight="false" outlineLevel="0" collapsed="false">
      <c r="A42" s="76" t="n">
        <v>36</v>
      </c>
      <c r="B42" s="20" t="s">
        <v>507</v>
      </c>
      <c r="C42" s="20" t="s">
        <v>508</v>
      </c>
      <c r="D42" s="20" t="s">
        <v>586</v>
      </c>
      <c r="E42" s="20" t="s">
        <v>154</v>
      </c>
      <c r="F42" s="76" t="s">
        <v>516</v>
      </c>
      <c r="G42" s="20" t="s">
        <v>517</v>
      </c>
      <c r="H42" s="55" t="n">
        <v>20</v>
      </c>
      <c r="I42" s="76" t="s">
        <v>512</v>
      </c>
      <c r="J42" s="76" t="s">
        <v>164</v>
      </c>
      <c r="K42" s="82" t="n">
        <v>1</v>
      </c>
      <c r="L42" s="55" t="n">
        <v>8</v>
      </c>
      <c r="M42" s="73" t="n">
        <v>4</v>
      </c>
      <c r="N42" s="74" t="n">
        <f aca="false">K42*L42*M42</f>
        <v>32</v>
      </c>
      <c r="O42" s="41" t="n">
        <f aca="false">IFERROR(INDEX(Исходные!$B$21:$B$33,MATCH(H42,Исходные!$A$21:$A$33,0)),0)</f>
        <v>2.466</v>
      </c>
      <c r="P42" s="83" t="n">
        <f aca="false">N42*O42</f>
        <v>78.912</v>
      </c>
      <c r="Q42" s="20" t="s">
        <v>587</v>
      </c>
      <c r="R42" s="84" t="s">
        <v>514</v>
      </c>
      <c r="S42" s="20" t="s">
        <v>518</v>
      </c>
      <c r="T42" s="20" t="s">
        <v>12</v>
      </c>
      <c r="U42" s="53" t="n">
        <v>0</v>
      </c>
      <c r="V42" s="76" t="s">
        <v>154</v>
      </c>
      <c r="W42" s="53" t="n">
        <v>1</v>
      </c>
    </row>
    <row r="43" customFormat="false" ht="23.85" hidden="false" customHeight="false" outlineLevel="0" collapsed="false">
      <c r="A43" s="76" t="n">
        <v>37</v>
      </c>
      <c r="B43" s="20" t="s">
        <v>507</v>
      </c>
      <c r="C43" s="20" t="s">
        <v>508</v>
      </c>
      <c r="D43" s="20" t="s">
        <v>586</v>
      </c>
      <c r="E43" s="20" t="s">
        <v>154</v>
      </c>
      <c r="F43" s="76" t="s">
        <v>519</v>
      </c>
      <c r="G43" s="20" t="s">
        <v>520</v>
      </c>
      <c r="H43" s="55" t="n">
        <v>28</v>
      </c>
      <c r="I43" s="76" t="s">
        <v>512</v>
      </c>
      <c r="J43" s="76" t="s">
        <v>164</v>
      </c>
      <c r="K43" s="82" t="n">
        <v>1</v>
      </c>
      <c r="L43" s="55" t="n">
        <v>22</v>
      </c>
      <c r="M43" s="73" t="n">
        <v>4</v>
      </c>
      <c r="N43" s="74" t="n">
        <f aca="false">K43*L43*M43</f>
        <v>88</v>
      </c>
      <c r="O43" s="41" t="n">
        <f aca="false">IFERROR(INDEX(Исходные!$B$21:$B$33,MATCH(H43,Исходные!$A$21:$A$33,0)),0)</f>
        <v>4.834</v>
      </c>
      <c r="P43" s="83" t="n">
        <f aca="false">N43*O43</f>
        <v>425.392</v>
      </c>
      <c r="Q43" s="20" t="s">
        <v>587</v>
      </c>
      <c r="R43" s="84" t="s">
        <v>514</v>
      </c>
      <c r="S43" s="20" t="s">
        <v>589</v>
      </c>
      <c r="T43" s="20" t="s">
        <v>12</v>
      </c>
      <c r="U43" s="53" t="n">
        <v>0</v>
      </c>
      <c r="V43" s="76" t="s">
        <v>154</v>
      </c>
      <c r="W43" s="53" t="n">
        <v>1</v>
      </c>
    </row>
    <row r="44" customFormat="false" ht="23.85" hidden="false" customHeight="false" outlineLevel="0" collapsed="false">
      <c r="A44" s="76" t="n">
        <v>38</v>
      </c>
      <c r="B44" s="20" t="s">
        <v>507</v>
      </c>
      <c r="C44" s="20" t="s">
        <v>508</v>
      </c>
      <c r="D44" s="20" t="s">
        <v>586</v>
      </c>
      <c r="E44" s="20" t="s">
        <v>154</v>
      </c>
      <c r="F44" s="76" t="s">
        <v>575</v>
      </c>
      <c r="G44" s="20" t="s">
        <v>523</v>
      </c>
      <c r="H44" s="55" t="n">
        <v>22</v>
      </c>
      <c r="I44" s="76" t="s">
        <v>512</v>
      </c>
      <c r="J44" s="76" t="s">
        <v>164</v>
      </c>
      <c r="K44" s="82" t="n">
        <v>1</v>
      </c>
      <c r="L44" s="55" t="n">
        <v>8</v>
      </c>
      <c r="M44" s="73" t="n">
        <v>4</v>
      </c>
      <c r="N44" s="74" t="n">
        <f aca="false">K44*L44*M44</f>
        <v>32</v>
      </c>
      <c r="O44" s="41" t="n">
        <f aca="false">IFERROR(INDEX(Исходные!$B$21:$B$33,MATCH(H44,Исходные!$A$21:$A$33,0)),0)</f>
        <v>2.984</v>
      </c>
      <c r="P44" s="83" t="n">
        <f aca="false">N44*O44</f>
        <v>95.488</v>
      </c>
      <c r="Q44" s="20" t="s">
        <v>587</v>
      </c>
      <c r="R44" s="84" t="s">
        <v>514</v>
      </c>
      <c r="S44" s="20" t="s">
        <v>590</v>
      </c>
      <c r="T44" s="20" t="s">
        <v>12</v>
      </c>
      <c r="U44" s="53" t="n">
        <v>0</v>
      </c>
      <c r="V44" s="76" t="s">
        <v>154</v>
      </c>
      <c r="W44" s="53" t="n">
        <v>1</v>
      </c>
    </row>
    <row r="45" customFormat="false" ht="23.85" hidden="false" customHeight="false" outlineLevel="0" collapsed="false">
      <c r="A45" s="76" t="n">
        <v>39</v>
      </c>
      <c r="B45" s="20" t="s">
        <v>507</v>
      </c>
      <c r="C45" s="20" t="s">
        <v>508</v>
      </c>
      <c r="D45" s="20" t="s">
        <v>586</v>
      </c>
      <c r="E45" s="20" t="s">
        <v>154</v>
      </c>
      <c r="F45" s="76" t="s">
        <v>575</v>
      </c>
      <c r="G45" s="20" t="s">
        <v>527</v>
      </c>
      <c r="H45" s="55" t="n">
        <v>22</v>
      </c>
      <c r="I45" s="76" t="s">
        <v>512</v>
      </c>
      <c r="J45" s="76" t="s">
        <v>164</v>
      </c>
      <c r="K45" s="82" t="n">
        <v>1</v>
      </c>
      <c r="L45" s="55" t="n">
        <v>6</v>
      </c>
      <c r="M45" s="73" t="n">
        <v>4</v>
      </c>
      <c r="N45" s="74" t="n">
        <f aca="false">K45*L45*M45</f>
        <v>24</v>
      </c>
      <c r="O45" s="41" t="n">
        <f aca="false">IFERROR(INDEX(Исходные!$B$21:$B$33,MATCH(H45,Исходные!$A$21:$A$33,0)),0)</f>
        <v>2.984</v>
      </c>
      <c r="P45" s="83" t="n">
        <f aca="false">N45*O45</f>
        <v>71.616</v>
      </c>
      <c r="Q45" s="20" t="s">
        <v>587</v>
      </c>
      <c r="R45" s="84" t="s">
        <v>514</v>
      </c>
      <c r="S45" s="20" t="s">
        <v>591</v>
      </c>
      <c r="T45" s="20" t="s">
        <v>12</v>
      </c>
      <c r="U45" s="53" t="n">
        <v>0</v>
      </c>
      <c r="V45" s="76" t="s">
        <v>154</v>
      </c>
      <c r="W45" s="53" t="n">
        <v>1</v>
      </c>
    </row>
    <row r="46" customFormat="false" ht="23.85" hidden="false" customHeight="false" outlineLevel="0" collapsed="false">
      <c r="A46" s="76" t="n">
        <v>40</v>
      </c>
      <c r="B46" s="20" t="s">
        <v>507</v>
      </c>
      <c r="C46" s="20" t="s">
        <v>508</v>
      </c>
      <c r="D46" s="20" t="s">
        <v>586</v>
      </c>
      <c r="E46" s="20" t="s">
        <v>154</v>
      </c>
      <c r="F46" s="76" t="s">
        <v>522</v>
      </c>
      <c r="G46" s="20" t="s">
        <v>574</v>
      </c>
      <c r="H46" s="55" t="n">
        <v>25</v>
      </c>
      <c r="I46" s="76" t="s">
        <v>512</v>
      </c>
      <c r="J46" s="76" t="s">
        <v>164</v>
      </c>
      <c r="K46" s="82" t="n">
        <v>1</v>
      </c>
      <c r="L46" s="55" t="n">
        <v>10</v>
      </c>
      <c r="M46" s="73" t="n">
        <v>4</v>
      </c>
      <c r="N46" s="74" t="n">
        <f aca="false">K46*L46*M46</f>
        <v>40</v>
      </c>
      <c r="O46" s="41" t="n">
        <f aca="false">IFERROR(INDEX(Исходные!$B$21:$B$33,MATCH(H46,Исходные!$A$21:$A$33,0)),0)</f>
        <v>3.853</v>
      </c>
      <c r="P46" s="83" t="n">
        <f aca="false">N46*O46</f>
        <v>154.12</v>
      </c>
      <c r="Q46" s="20" t="s">
        <v>587</v>
      </c>
      <c r="R46" s="84" t="s">
        <v>514</v>
      </c>
      <c r="S46" s="20" t="s">
        <v>592</v>
      </c>
      <c r="T46" s="20" t="s">
        <v>12</v>
      </c>
      <c r="U46" s="53" t="n">
        <v>0</v>
      </c>
      <c r="V46" s="76" t="s">
        <v>154</v>
      </c>
      <c r="W46" s="53" t="n">
        <v>1</v>
      </c>
    </row>
    <row r="47" customFormat="false" ht="23.85" hidden="false" customHeight="false" outlineLevel="0" collapsed="false">
      <c r="A47" s="76" t="n">
        <v>41</v>
      </c>
      <c r="B47" s="20" t="s">
        <v>507</v>
      </c>
      <c r="C47" s="20" t="s">
        <v>508</v>
      </c>
      <c r="D47" s="20" t="s">
        <v>586</v>
      </c>
      <c r="E47" s="20" t="s">
        <v>154</v>
      </c>
      <c r="F47" s="76" t="s">
        <v>529</v>
      </c>
      <c r="G47" s="20" t="s">
        <v>593</v>
      </c>
      <c r="H47" s="55" t="n">
        <v>18</v>
      </c>
      <c r="I47" s="76" t="s">
        <v>512</v>
      </c>
      <c r="J47" s="76" t="s">
        <v>164</v>
      </c>
      <c r="K47" s="82" t="n">
        <v>1</v>
      </c>
      <c r="L47" s="55" t="n">
        <v>1</v>
      </c>
      <c r="M47" s="73" t="n">
        <v>4.144</v>
      </c>
      <c r="N47" s="74" t="n">
        <f aca="false">K47*L47*M47</f>
        <v>4.144</v>
      </c>
      <c r="O47" s="41" t="n">
        <f aca="false">IFERROR(INDEX(Исходные!$B$21:$B$33,MATCH(H47,Исходные!$A$21:$A$33,0)),0)</f>
        <v>1.998</v>
      </c>
      <c r="P47" s="83" t="n">
        <f aca="false">N47*O47</f>
        <v>8.279712</v>
      </c>
      <c r="Q47" s="20" t="s">
        <v>587</v>
      </c>
      <c r="R47" s="84" t="s">
        <v>514</v>
      </c>
      <c r="S47" s="20" t="s">
        <v>594</v>
      </c>
      <c r="T47" s="20" t="s">
        <v>12</v>
      </c>
      <c r="U47" s="53" t="n">
        <v>0</v>
      </c>
      <c r="V47" s="76" t="s">
        <v>154</v>
      </c>
      <c r="W47" s="53" t="n">
        <v>1</v>
      </c>
    </row>
    <row r="48" customFormat="false" ht="23.85" hidden="false" customHeight="false" outlineLevel="0" collapsed="false">
      <c r="A48" s="76" t="n">
        <v>42</v>
      </c>
      <c r="B48" s="20" t="s">
        <v>507</v>
      </c>
      <c r="C48" s="20" t="s">
        <v>508</v>
      </c>
      <c r="D48" s="20" t="s">
        <v>586</v>
      </c>
      <c r="E48" s="20" t="s">
        <v>154</v>
      </c>
      <c r="F48" s="76" t="s">
        <v>532</v>
      </c>
      <c r="G48" s="20" t="s">
        <v>595</v>
      </c>
      <c r="H48" s="55" t="n">
        <v>16</v>
      </c>
      <c r="I48" s="76" t="s">
        <v>512</v>
      </c>
      <c r="J48" s="76" t="n">
        <v>200</v>
      </c>
      <c r="K48" s="82" t="n">
        <v>1</v>
      </c>
      <c r="L48" s="55" t="n">
        <v>36</v>
      </c>
      <c r="M48" s="73" t="n">
        <v>1.95</v>
      </c>
      <c r="N48" s="74" t="n">
        <f aca="false">K48*L48*M48</f>
        <v>70.2</v>
      </c>
      <c r="O48" s="41" t="n">
        <f aca="false">IFERROR(INDEX(Исходные!$B$21:$B$33,MATCH(H48,Исходные!$A$21:$A$33,0)),0)</f>
        <v>1.578</v>
      </c>
      <c r="P48" s="83" t="n">
        <f aca="false">N48*O48</f>
        <v>110.7756</v>
      </c>
      <c r="Q48" s="20" t="s">
        <v>596</v>
      </c>
      <c r="R48" s="85" t="s">
        <v>535</v>
      </c>
      <c r="S48" s="20"/>
      <c r="T48" s="20" t="s">
        <v>12</v>
      </c>
      <c r="U48" s="53" t="n">
        <v>1</v>
      </c>
      <c r="V48" s="76" t="s">
        <v>154</v>
      </c>
      <c r="W48" s="53" t="n">
        <v>1</v>
      </c>
    </row>
    <row r="49" customFormat="false" ht="23.85" hidden="false" customHeight="false" outlineLevel="0" collapsed="false">
      <c r="A49" s="76" t="n">
        <v>43</v>
      </c>
      <c r="B49" s="20" t="s">
        <v>507</v>
      </c>
      <c r="C49" s="20" t="s">
        <v>508</v>
      </c>
      <c r="D49" s="20" t="s">
        <v>586</v>
      </c>
      <c r="E49" s="20" t="s">
        <v>154</v>
      </c>
      <c r="F49" s="76" t="s">
        <v>532</v>
      </c>
      <c r="G49" s="20" t="s">
        <v>597</v>
      </c>
      <c r="H49" s="55" t="n">
        <v>14</v>
      </c>
      <c r="I49" s="76" t="s">
        <v>512</v>
      </c>
      <c r="J49" s="76" t="n">
        <v>200</v>
      </c>
      <c r="K49" s="82" t="n">
        <v>1</v>
      </c>
      <c r="L49" s="55" t="n">
        <v>36</v>
      </c>
      <c r="M49" s="73" t="n">
        <v>1.45</v>
      </c>
      <c r="N49" s="74" t="n">
        <f aca="false">K49*L49*M49</f>
        <v>52.2</v>
      </c>
      <c r="O49" s="41" t="n">
        <f aca="false">IFERROR(INDEX(Исходные!$B$21:$B$33,MATCH(H49,Исходные!$A$21:$A$33,0)),0)</f>
        <v>1.208</v>
      </c>
      <c r="P49" s="83" t="n">
        <f aca="false">N49*O49</f>
        <v>63.0576</v>
      </c>
      <c r="Q49" s="20" t="s">
        <v>596</v>
      </c>
      <c r="R49" s="85" t="s">
        <v>535</v>
      </c>
      <c r="S49" s="20" t="s">
        <v>598</v>
      </c>
      <c r="T49" s="20" t="s">
        <v>12</v>
      </c>
      <c r="U49" s="53" t="n">
        <v>1</v>
      </c>
      <c r="V49" s="76" t="s">
        <v>154</v>
      </c>
      <c r="W49" s="53" t="n">
        <v>1</v>
      </c>
    </row>
    <row r="50" customFormat="false" ht="23.85" hidden="false" customHeight="false" outlineLevel="0" collapsed="false">
      <c r="A50" s="76" t="n">
        <v>44</v>
      </c>
      <c r="B50" s="20" t="s">
        <v>507</v>
      </c>
      <c r="C50" s="20" t="s">
        <v>508</v>
      </c>
      <c r="D50" s="20" t="s">
        <v>586</v>
      </c>
      <c r="E50" s="20" t="s">
        <v>154</v>
      </c>
      <c r="F50" s="76" t="s">
        <v>539</v>
      </c>
      <c r="G50" s="20" t="s">
        <v>599</v>
      </c>
      <c r="H50" s="55" t="n">
        <v>22</v>
      </c>
      <c r="I50" s="76" t="s">
        <v>512</v>
      </c>
      <c r="J50" s="76" t="n">
        <v>200</v>
      </c>
      <c r="K50" s="82" t="n">
        <v>1</v>
      </c>
      <c r="L50" s="55" t="n">
        <v>10</v>
      </c>
      <c r="M50" s="73" t="n">
        <v>1.3</v>
      </c>
      <c r="N50" s="74" t="n">
        <f aca="false">K50*L50*M50</f>
        <v>13</v>
      </c>
      <c r="O50" s="41" t="n">
        <f aca="false">IFERROR(INDEX(Исходные!$B$21:$B$33,MATCH(H50,Исходные!$A$21:$A$33,0)),0)</f>
        <v>2.984</v>
      </c>
      <c r="P50" s="83" t="n">
        <f aca="false">N50*O50</f>
        <v>38.792</v>
      </c>
      <c r="Q50" s="20" t="s">
        <v>600</v>
      </c>
      <c r="R50" s="84" t="s">
        <v>514</v>
      </c>
      <c r="S50" s="20"/>
      <c r="T50" s="20" t="s">
        <v>12</v>
      </c>
      <c r="U50" s="53" t="n">
        <v>0</v>
      </c>
      <c r="V50" s="76" t="s">
        <v>154</v>
      </c>
      <c r="W50" s="53" t="n">
        <v>1</v>
      </c>
    </row>
    <row r="51" customFormat="false" ht="23.85" hidden="false" customHeight="false" outlineLevel="0" collapsed="false">
      <c r="A51" s="76" t="n">
        <v>45</v>
      </c>
      <c r="B51" s="20" t="s">
        <v>507</v>
      </c>
      <c r="C51" s="20" t="s">
        <v>508</v>
      </c>
      <c r="D51" s="20" t="s">
        <v>586</v>
      </c>
      <c r="E51" s="20" t="s">
        <v>154</v>
      </c>
      <c r="F51" s="76" t="s">
        <v>539</v>
      </c>
      <c r="G51" s="20" t="s">
        <v>601</v>
      </c>
      <c r="H51" s="55" t="n">
        <v>18</v>
      </c>
      <c r="I51" s="76" t="s">
        <v>512</v>
      </c>
      <c r="J51" s="76" t="n">
        <v>200</v>
      </c>
      <c r="K51" s="82" t="n">
        <v>1</v>
      </c>
      <c r="L51" s="55" t="n">
        <v>10</v>
      </c>
      <c r="M51" s="73" t="n">
        <v>1.45</v>
      </c>
      <c r="N51" s="74" t="n">
        <f aca="false">K51*L51*M51</f>
        <v>14.5</v>
      </c>
      <c r="O51" s="41" t="n">
        <f aca="false">IFERROR(INDEX(Исходные!$B$21:$B$33,MATCH(H51,Исходные!$A$21:$A$33,0)),0)</f>
        <v>1.998</v>
      </c>
      <c r="P51" s="83" t="n">
        <f aca="false">N51*O51</f>
        <v>28.971</v>
      </c>
      <c r="Q51" s="20" t="s">
        <v>600</v>
      </c>
      <c r="R51" s="84" t="s">
        <v>514</v>
      </c>
      <c r="S51" s="20"/>
      <c r="T51" s="20" t="s">
        <v>12</v>
      </c>
      <c r="U51" s="53" t="n">
        <v>0</v>
      </c>
      <c r="V51" s="76" t="s">
        <v>154</v>
      </c>
      <c r="W51" s="53" t="n">
        <v>1</v>
      </c>
    </row>
    <row r="52" customFormat="false" ht="23.85" hidden="false" customHeight="false" outlineLevel="0" collapsed="false">
      <c r="A52" s="76" t="n">
        <v>46</v>
      </c>
      <c r="B52" s="20" t="s">
        <v>507</v>
      </c>
      <c r="C52" s="20" t="s">
        <v>508</v>
      </c>
      <c r="D52" s="20" t="s">
        <v>586</v>
      </c>
      <c r="E52" s="20" t="s">
        <v>154</v>
      </c>
      <c r="F52" s="76" t="s">
        <v>539</v>
      </c>
      <c r="G52" s="20" t="s">
        <v>602</v>
      </c>
      <c r="H52" s="55" t="n">
        <v>16</v>
      </c>
      <c r="I52" s="76" t="s">
        <v>512</v>
      </c>
      <c r="J52" s="76" t="n">
        <v>200</v>
      </c>
      <c r="K52" s="82" t="n">
        <v>1</v>
      </c>
      <c r="L52" s="55" t="n">
        <v>8</v>
      </c>
      <c r="M52" s="73" t="n">
        <v>1.6</v>
      </c>
      <c r="N52" s="74" t="n">
        <f aca="false">K52*L52*M52</f>
        <v>12.8</v>
      </c>
      <c r="O52" s="41" t="n">
        <f aca="false">IFERROR(INDEX(Исходные!$B$21:$B$33,MATCH(H52,Исходные!$A$21:$A$33,0)),0)</f>
        <v>1.578</v>
      </c>
      <c r="P52" s="83" t="n">
        <f aca="false">N52*O52</f>
        <v>20.1984</v>
      </c>
      <c r="Q52" s="20" t="s">
        <v>600</v>
      </c>
      <c r="R52" s="84" t="s">
        <v>514</v>
      </c>
      <c r="S52" s="20"/>
      <c r="T52" s="20" t="s">
        <v>12</v>
      </c>
      <c r="U52" s="53" t="n">
        <v>0</v>
      </c>
      <c r="V52" s="76" t="s">
        <v>154</v>
      </c>
      <c r="W52" s="53" t="n">
        <v>1</v>
      </c>
    </row>
    <row r="53" customFormat="false" ht="23.85" hidden="false" customHeight="false" outlineLevel="0" collapsed="false">
      <c r="A53" s="76" t="n">
        <v>47</v>
      </c>
      <c r="B53" s="20" t="s">
        <v>507</v>
      </c>
      <c r="C53" s="20" t="s">
        <v>508</v>
      </c>
      <c r="D53" s="20" t="s">
        <v>586</v>
      </c>
      <c r="E53" s="20" t="s">
        <v>154</v>
      </c>
      <c r="F53" s="76" t="s">
        <v>544</v>
      </c>
      <c r="G53" s="20" t="s">
        <v>545</v>
      </c>
      <c r="H53" s="55" t="n">
        <v>10</v>
      </c>
      <c r="I53" s="76" t="s">
        <v>546</v>
      </c>
      <c r="J53" s="76" t="s">
        <v>547</v>
      </c>
      <c r="K53" s="82" t="n">
        <v>1</v>
      </c>
      <c r="L53" s="55" t="n">
        <v>54</v>
      </c>
      <c r="M53" s="73" t="n">
        <v>1.33</v>
      </c>
      <c r="N53" s="74" t="n">
        <f aca="false">K53*L53*M53</f>
        <v>71.82</v>
      </c>
      <c r="O53" s="41" t="n">
        <f aca="false">IFERROR(INDEX(Исходные!$B$21:$B$33,MATCH(H53,Исходные!$A$21:$A$33,0)),0)</f>
        <v>0.617</v>
      </c>
      <c r="P53" s="83" t="n">
        <f aca="false">N53*O53</f>
        <v>44.31294</v>
      </c>
      <c r="Q53" s="20" t="s">
        <v>548</v>
      </c>
      <c r="R53" s="84" t="s">
        <v>514</v>
      </c>
      <c r="S53" s="20"/>
      <c r="T53" s="20" t="s">
        <v>12</v>
      </c>
      <c r="U53" s="53" t="n">
        <v>0</v>
      </c>
      <c r="V53" s="76" t="s">
        <v>154</v>
      </c>
      <c r="W53" s="53" t="n">
        <v>1</v>
      </c>
    </row>
    <row r="54" customFormat="false" ht="23.85" hidden="false" customHeight="false" outlineLevel="0" collapsed="false">
      <c r="A54" s="76" t="n">
        <v>48</v>
      </c>
      <c r="B54" s="20" t="s">
        <v>507</v>
      </c>
      <c r="C54" s="20" t="s">
        <v>508</v>
      </c>
      <c r="D54" s="20" t="s">
        <v>586</v>
      </c>
      <c r="E54" s="20" t="s">
        <v>154</v>
      </c>
      <c r="F54" s="76" t="s">
        <v>549</v>
      </c>
      <c r="G54" s="20" t="s">
        <v>550</v>
      </c>
      <c r="H54" s="55" t="n">
        <v>10</v>
      </c>
      <c r="I54" s="76" t="s">
        <v>546</v>
      </c>
      <c r="J54" s="76" t="s">
        <v>547</v>
      </c>
      <c r="K54" s="82" t="n">
        <v>1</v>
      </c>
      <c r="L54" s="55" t="n">
        <v>36</v>
      </c>
      <c r="M54" s="73" t="n">
        <v>1.56</v>
      </c>
      <c r="N54" s="74" t="n">
        <f aca="false">K54*L54*M54</f>
        <v>56.16</v>
      </c>
      <c r="O54" s="41" t="n">
        <f aca="false">IFERROR(INDEX(Исходные!$B$21:$B$33,MATCH(H54,Исходные!$A$21:$A$33,0)),0)</f>
        <v>0.617</v>
      </c>
      <c r="P54" s="83" t="n">
        <f aca="false">N54*O54</f>
        <v>34.65072</v>
      </c>
      <c r="Q54" s="20" t="s">
        <v>551</v>
      </c>
      <c r="R54" s="84" t="s">
        <v>514</v>
      </c>
      <c r="S54" s="20"/>
      <c r="T54" s="20" t="s">
        <v>12</v>
      </c>
      <c r="U54" s="53" t="n">
        <v>0</v>
      </c>
      <c r="V54" s="76" t="s">
        <v>154</v>
      </c>
      <c r="W54" s="53" t="n">
        <v>1</v>
      </c>
    </row>
    <row r="55" customFormat="false" ht="23.85" hidden="false" customHeight="false" outlineLevel="0" collapsed="false">
      <c r="A55" s="76" t="n">
        <v>49</v>
      </c>
      <c r="B55" s="20" t="s">
        <v>507</v>
      </c>
      <c r="C55" s="20" t="s">
        <v>508</v>
      </c>
      <c r="D55" s="20" t="s">
        <v>586</v>
      </c>
      <c r="E55" s="20" t="s">
        <v>154</v>
      </c>
      <c r="F55" s="76" t="s">
        <v>603</v>
      </c>
      <c r="G55" s="20" t="s">
        <v>553</v>
      </c>
      <c r="H55" s="55" t="n">
        <v>8</v>
      </c>
      <c r="I55" s="76" t="s">
        <v>546</v>
      </c>
      <c r="J55" s="76" t="s">
        <v>547</v>
      </c>
      <c r="K55" s="82" t="n">
        <v>1</v>
      </c>
      <c r="L55" s="55" t="n">
        <v>18</v>
      </c>
      <c r="M55" s="73" t="n">
        <v>1.76</v>
      </c>
      <c r="N55" s="74" t="n">
        <f aca="false">K55*L55*M55</f>
        <v>31.68</v>
      </c>
      <c r="O55" s="41" t="n">
        <f aca="false">IFERROR(INDEX(Исходные!$B$21:$B$33,MATCH(H55,Исходные!$A$21:$A$33,0)),0)</f>
        <v>0.395</v>
      </c>
      <c r="P55" s="83" t="n">
        <f aca="false">N55*O55</f>
        <v>12.5136</v>
      </c>
      <c r="Q55" s="20" t="s">
        <v>554</v>
      </c>
      <c r="R55" s="84" t="s">
        <v>514</v>
      </c>
      <c r="S55" s="20"/>
      <c r="T55" s="20" t="s">
        <v>12</v>
      </c>
      <c r="U55" s="53" t="n">
        <v>0</v>
      </c>
      <c r="V55" s="76" t="s">
        <v>154</v>
      </c>
      <c r="W55" s="53" t="n">
        <v>1</v>
      </c>
    </row>
    <row r="56" customFormat="false" ht="23.85" hidden="false" customHeight="false" outlineLevel="0" collapsed="false">
      <c r="A56" s="76" t="n">
        <v>50</v>
      </c>
      <c r="B56" s="20" t="s">
        <v>507</v>
      </c>
      <c r="C56" s="20" t="s">
        <v>508</v>
      </c>
      <c r="D56" s="20" t="s">
        <v>586</v>
      </c>
      <c r="E56" s="20" t="s">
        <v>154</v>
      </c>
      <c r="F56" s="76" t="s">
        <v>555</v>
      </c>
      <c r="G56" s="20" t="s">
        <v>556</v>
      </c>
      <c r="H56" s="55" t="n">
        <v>8</v>
      </c>
      <c r="I56" s="76" t="s">
        <v>546</v>
      </c>
      <c r="J56" s="76" t="s">
        <v>547</v>
      </c>
      <c r="K56" s="82" t="n">
        <v>1</v>
      </c>
      <c r="L56" s="55" t="n">
        <v>30</v>
      </c>
      <c r="M56" s="73" t="n">
        <v>2.44</v>
      </c>
      <c r="N56" s="74" t="n">
        <f aca="false">K56*L56*M56</f>
        <v>73.2</v>
      </c>
      <c r="O56" s="41" t="n">
        <f aca="false">IFERROR(INDEX(Исходные!$B$21:$B$33,MATCH(H56,Исходные!$A$21:$A$33,0)),0)</f>
        <v>0.395</v>
      </c>
      <c r="P56" s="83" t="n">
        <f aca="false">N56*O56</f>
        <v>28.914</v>
      </c>
      <c r="Q56" s="20" t="s">
        <v>557</v>
      </c>
      <c r="R56" s="84" t="s">
        <v>514</v>
      </c>
      <c r="S56" s="20"/>
      <c r="T56" s="20" t="s">
        <v>12</v>
      </c>
      <c r="U56" s="53" t="n">
        <v>0</v>
      </c>
      <c r="V56" s="76" t="s">
        <v>154</v>
      </c>
      <c r="W56" s="53" t="n">
        <v>1</v>
      </c>
    </row>
    <row r="57" customFormat="false" ht="23.85" hidden="false" customHeight="false" outlineLevel="0" collapsed="false">
      <c r="A57" s="76" t="n">
        <v>51</v>
      </c>
      <c r="B57" s="20" t="s">
        <v>507</v>
      </c>
      <c r="C57" s="20" t="s">
        <v>508</v>
      </c>
      <c r="D57" s="20" t="s">
        <v>586</v>
      </c>
      <c r="E57" s="20" t="s">
        <v>154</v>
      </c>
      <c r="F57" s="76" t="s">
        <v>558</v>
      </c>
      <c r="G57" s="20" t="s">
        <v>559</v>
      </c>
      <c r="H57" s="55" t="n">
        <v>8</v>
      </c>
      <c r="I57" s="76" t="s">
        <v>546</v>
      </c>
      <c r="J57" s="76" t="s">
        <v>547</v>
      </c>
      <c r="K57" s="82" t="n">
        <v>1</v>
      </c>
      <c r="L57" s="55" t="n">
        <v>36</v>
      </c>
      <c r="M57" s="73" t="n">
        <v>1.96</v>
      </c>
      <c r="N57" s="74" t="n">
        <f aca="false">K57*L57*M57</f>
        <v>70.56</v>
      </c>
      <c r="O57" s="41" t="n">
        <f aca="false">IFERROR(INDEX(Исходные!$B$21:$B$33,MATCH(H57,Исходные!$A$21:$A$33,0)),0)</f>
        <v>0.395</v>
      </c>
      <c r="P57" s="83" t="n">
        <f aca="false">N57*O57</f>
        <v>27.8712</v>
      </c>
      <c r="Q57" s="20" t="s">
        <v>560</v>
      </c>
      <c r="R57" s="84" t="s">
        <v>514</v>
      </c>
      <c r="S57" s="20"/>
      <c r="T57" s="20" t="s">
        <v>12</v>
      </c>
      <c r="U57" s="53" t="n">
        <v>0</v>
      </c>
      <c r="V57" s="76" t="s">
        <v>154</v>
      </c>
      <c r="W57" s="53" t="n">
        <v>1</v>
      </c>
    </row>
    <row r="58" customFormat="false" ht="23.85" hidden="false" customHeight="false" outlineLevel="0" collapsed="false">
      <c r="A58" s="76" t="n">
        <v>52</v>
      </c>
      <c r="B58" s="20" t="s">
        <v>507</v>
      </c>
      <c r="C58" s="20" t="s">
        <v>508</v>
      </c>
      <c r="D58" s="20" t="s">
        <v>586</v>
      </c>
      <c r="E58" s="20" t="s">
        <v>154</v>
      </c>
      <c r="F58" s="76" t="s">
        <v>561</v>
      </c>
      <c r="G58" s="20" t="s">
        <v>604</v>
      </c>
      <c r="H58" s="55" t="n">
        <v>8</v>
      </c>
      <c r="I58" s="76" t="s">
        <v>546</v>
      </c>
      <c r="J58" s="76" t="s">
        <v>547</v>
      </c>
      <c r="K58" s="82" t="n">
        <v>1</v>
      </c>
      <c r="L58" s="55" t="n">
        <v>81</v>
      </c>
      <c r="M58" s="73" t="n">
        <v>0.53</v>
      </c>
      <c r="N58" s="74" t="n">
        <f aca="false">K58*L58*M58</f>
        <v>42.93</v>
      </c>
      <c r="O58" s="41" t="n">
        <f aca="false">IFERROR(INDEX(Исходные!$B$21:$B$33,MATCH(H58,Исходные!$A$21:$A$33,0)),0)</f>
        <v>0.395</v>
      </c>
      <c r="P58" s="83" t="n">
        <f aca="false">N58*O58</f>
        <v>16.95735</v>
      </c>
      <c r="Q58" s="20" t="s">
        <v>563</v>
      </c>
      <c r="R58" s="84" t="s">
        <v>514</v>
      </c>
      <c r="S58" s="20"/>
      <c r="T58" s="20" t="s">
        <v>12</v>
      </c>
      <c r="U58" s="53" t="n">
        <v>0</v>
      </c>
      <c r="V58" s="76" t="s">
        <v>154</v>
      </c>
      <c r="W58" s="53" t="n">
        <v>1</v>
      </c>
    </row>
    <row r="59" customFormat="false" ht="23.85" hidden="false" customHeight="false" outlineLevel="0" collapsed="false">
      <c r="A59" s="76" t="n">
        <v>53</v>
      </c>
      <c r="B59" s="20" t="s">
        <v>507</v>
      </c>
      <c r="C59" s="20" t="s">
        <v>508</v>
      </c>
      <c r="D59" s="20" t="s">
        <v>605</v>
      </c>
      <c r="E59" s="20" t="s">
        <v>155</v>
      </c>
      <c r="F59" s="76" t="s">
        <v>510</v>
      </c>
      <c r="G59" s="20" t="s">
        <v>511</v>
      </c>
      <c r="H59" s="55" t="n">
        <v>32</v>
      </c>
      <c r="I59" s="76" t="s">
        <v>512</v>
      </c>
      <c r="J59" s="76" t="s">
        <v>164</v>
      </c>
      <c r="K59" s="82" t="n">
        <v>1</v>
      </c>
      <c r="L59" s="55" t="n">
        <v>4</v>
      </c>
      <c r="M59" s="73" t="n">
        <v>4</v>
      </c>
      <c r="N59" s="74" t="n">
        <f aca="false">K59*L59*M59</f>
        <v>16</v>
      </c>
      <c r="O59" s="41" t="n">
        <f aca="false">IFERROR(INDEX(Исходные!$B$21:$B$33,MATCH(H59,Исходные!$A$21:$A$33,0)),0)</f>
        <v>6.313</v>
      </c>
      <c r="P59" s="83" t="n">
        <f aca="false">N59*O59</f>
        <v>101.008</v>
      </c>
      <c r="Q59" s="20" t="s">
        <v>606</v>
      </c>
      <c r="R59" s="84" t="s">
        <v>514</v>
      </c>
      <c r="S59" s="20" t="s">
        <v>588</v>
      </c>
      <c r="T59" s="20" t="s">
        <v>12</v>
      </c>
      <c r="U59" s="53" t="n">
        <v>0</v>
      </c>
      <c r="V59" s="76" t="s">
        <v>155</v>
      </c>
      <c r="W59" s="53" t="n">
        <v>1</v>
      </c>
    </row>
    <row r="60" customFormat="false" ht="23.85" hidden="false" customHeight="false" outlineLevel="0" collapsed="false">
      <c r="A60" s="76" t="n">
        <v>54</v>
      </c>
      <c r="B60" s="20" t="s">
        <v>507</v>
      </c>
      <c r="C60" s="20" t="s">
        <v>508</v>
      </c>
      <c r="D60" s="20" t="s">
        <v>605</v>
      </c>
      <c r="E60" s="20" t="s">
        <v>155</v>
      </c>
      <c r="F60" s="76" t="s">
        <v>519</v>
      </c>
      <c r="G60" s="20" t="s">
        <v>607</v>
      </c>
      <c r="H60" s="55" t="n">
        <v>28</v>
      </c>
      <c r="I60" s="76" t="s">
        <v>512</v>
      </c>
      <c r="J60" s="76" t="s">
        <v>164</v>
      </c>
      <c r="K60" s="82" t="n">
        <v>1</v>
      </c>
      <c r="L60" s="55" t="n">
        <v>4</v>
      </c>
      <c r="M60" s="73" t="n">
        <v>4</v>
      </c>
      <c r="N60" s="74" t="n">
        <f aca="false">K60*L60*M60</f>
        <v>16</v>
      </c>
      <c r="O60" s="41" t="n">
        <f aca="false">IFERROR(INDEX(Исходные!$B$21:$B$33,MATCH(H60,Исходные!$A$21:$A$33,0)),0)</f>
        <v>4.834</v>
      </c>
      <c r="P60" s="83" t="n">
        <f aca="false">N60*O60</f>
        <v>77.344</v>
      </c>
      <c r="Q60" s="20" t="s">
        <v>606</v>
      </c>
      <c r="R60" s="84" t="s">
        <v>514</v>
      </c>
      <c r="S60" s="20" t="s">
        <v>608</v>
      </c>
      <c r="T60" s="20" t="s">
        <v>12</v>
      </c>
      <c r="U60" s="53" t="n">
        <v>0</v>
      </c>
      <c r="V60" s="76" t="s">
        <v>155</v>
      </c>
      <c r="W60" s="53" t="n">
        <v>1</v>
      </c>
    </row>
    <row r="61" customFormat="false" ht="23.85" hidden="false" customHeight="false" outlineLevel="0" collapsed="false">
      <c r="A61" s="76" t="n">
        <v>55</v>
      </c>
      <c r="B61" s="20" t="s">
        <v>507</v>
      </c>
      <c r="C61" s="20" t="s">
        <v>508</v>
      </c>
      <c r="D61" s="20" t="s">
        <v>605</v>
      </c>
      <c r="E61" s="20" t="s">
        <v>155</v>
      </c>
      <c r="F61" s="76" t="s">
        <v>516</v>
      </c>
      <c r="G61" s="20" t="s">
        <v>568</v>
      </c>
      <c r="H61" s="55" t="n">
        <v>20</v>
      </c>
      <c r="I61" s="76" t="s">
        <v>512</v>
      </c>
      <c r="J61" s="76" t="s">
        <v>164</v>
      </c>
      <c r="K61" s="82" t="n">
        <v>1</v>
      </c>
      <c r="L61" s="55" t="n">
        <v>4</v>
      </c>
      <c r="M61" s="73" t="n">
        <v>4</v>
      </c>
      <c r="N61" s="74" t="n">
        <f aca="false">K61*L61*M61</f>
        <v>16</v>
      </c>
      <c r="O61" s="41" t="n">
        <f aca="false">IFERROR(INDEX(Исходные!$B$21:$B$33,MATCH(H61,Исходные!$A$21:$A$33,0)),0)</f>
        <v>2.466</v>
      </c>
      <c r="P61" s="83" t="n">
        <f aca="false">N61*O61</f>
        <v>39.456</v>
      </c>
      <c r="Q61" s="20" t="s">
        <v>606</v>
      </c>
      <c r="R61" s="84" t="s">
        <v>514</v>
      </c>
      <c r="S61" s="20" t="s">
        <v>569</v>
      </c>
      <c r="T61" s="20" t="s">
        <v>12</v>
      </c>
      <c r="U61" s="53" t="n">
        <v>0</v>
      </c>
      <c r="V61" s="76" t="s">
        <v>155</v>
      </c>
      <c r="W61" s="53" t="n">
        <v>1</v>
      </c>
    </row>
    <row r="62" customFormat="false" ht="23.85" hidden="false" customHeight="false" outlineLevel="0" collapsed="false">
      <c r="A62" s="76" t="n">
        <v>56</v>
      </c>
      <c r="B62" s="20" t="s">
        <v>507</v>
      </c>
      <c r="C62" s="20" t="s">
        <v>508</v>
      </c>
      <c r="D62" s="20" t="s">
        <v>605</v>
      </c>
      <c r="E62" s="20" t="s">
        <v>155</v>
      </c>
      <c r="F62" s="76" t="s">
        <v>516</v>
      </c>
      <c r="G62" s="20" t="s">
        <v>609</v>
      </c>
      <c r="H62" s="55" t="n">
        <v>20</v>
      </c>
      <c r="I62" s="76" t="s">
        <v>512</v>
      </c>
      <c r="J62" s="76" t="s">
        <v>164</v>
      </c>
      <c r="K62" s="82" t="n">
        <v>1</v>
      </c>
      <c r="L62" s="55" t="n">
        <v>6</v>
      </c>
      <c r="M62" s="73" t="n">
        <v>4</v>
      </c>
      <c r="N62" s="74" t="n">
        <f aca="false">K62*L62*M62</f>
        <v>24</v>
      </c>
      <c r="O62" s="41" t="n">
        <f aca="false">IFERROR(INDEX(Исходные!$B$21:$B$33,MATCH(H62,Исходные!$A$21:$A$33,0)),0)</f>
        <v>2.466</v>
      </c>
      <c r="P62" s="83" t="n">
        <f aca="false">N62*O62</f>
        <v>59.184</v>
      </c>
      <c r="Q62" s="20" t="s">
        <v>606</v>
      </c>
      <c r="R62" s="84" t="s">
        <v>514</v>
      </c>
      <c r="S62" s="20" t="s">
        <v>610</v>
      </c>
      <c r="T62" s="20" t="s">
        <v>12</v>
      </c>
      <c r="U62" s="53" t="n">
        <v>0</v>
      </c>
      <c r="V62" s="76" t="s">
        <v>155</v>
      </c>
      <c r="W62" s="53" t="n">
        <v>1</v>
      </c>
    </row>
    <row r="63" customFormat="false" ht="23.85" hidden="false" customHeight="false" outlineLevel="0" collapsed="false">
      <c r="A63" s="76" t="n">
        <v>57</v>
      </c>
      <c r="B63" s="20" t="s">
        <v>507</v>
      </c>
      <c r="C63" s="20" t="s">
        <v>508</v>
      </c>
      <c r="D63" s="20" t="s">
        <v>605</v>
      </c>
      <c r="E63" s="20" t="s">
        <v>155</v>
      </c>
      <c r="F63" s="76" t="s">
        <v>519</v>
      </c>
      <c r="G63" s="20" t="s">
        <v>611</v>
      </c>
      <c r="H63" s="55" t="n">
        <v>28</v>
      </c>
      <c r="I63" s="76" t="s">
        <v>512</v>
      </c>
      <c r="J63" s="76" t="s">
        <v>164</v>
      </c>
      <c r="K63" s="82" t="n">
        <v>1</v>
      </c>
      <c r="L63" s="55" t="n">
        <v>10</v>
      </c>
      <c r="M63" s="73" t="n">
        <v>4</v>
      </c>
      <c r="N63" s="74" t="n">
        <f aca="false">K63*L63*M63</f>
        <v>40</v>
      </c>
      <c r="O63" s="41" t="n">
        <f aca="false">IFERROR(INDEX(Исходные!$B$21:$B$33,MATCH(H63,Исходные!$A$21:$A$33,0)),0)</f>
        <v>4.834</v>
      </c>
      <c r="P63" s="83" t="n">
        <f aca="false">N63*O63</f>
        <v>193.36</v>
      </c>
      <c r="Q63" s="20" t="s">
        <v>606</v>
      </c>
      <c r="R63" s="84" t="s">
        <v>514</v>
      </c>
      <c r="S63" s="20" t="s">
        <v>612</v>
      </c>
      <c r="T63" s="20" t="s">
        <v>12</v>
      </c>
      <c r="U63" s="53" t="n">
        <v>0</v>
      </c>
      <c r="V63" s="76" t="s">
        <v>155</v>
      </c>
      <c r="W63" s="53" t="n">
        <v>1</v>
      </c>
    </row>
    <row r="64" customFormat="false" ht="23.85" hidden="false" customHeight="false" outlineLevel="0" collapsed="false">
      <c r="A64" s="76" t="n">
        <v>58</v>
      </c>
      <c r="B64" s="20" t="s">
        <v>507</v>
      </c>
      <c r="C64" s="20" t="s">
        <v>508</v>
      </c>
      <c r="D64" s="20" t="s">
        <v>605</v>
      </c>
      <c r="E64" s="20" t="s">
        <v>155</v>
      </c>
      <c r="F64" s="76" t="s">
        <v>532</v>
      </c>
      <c r="G64" s="20" t="s">
        <v>613</v>
      </c>
      <c r="H64" s="55" t="n">
        <v>16</v>
      </c>
      <c r="I64" s="76" t="s">
        <v>512</v>
      </c>
      <c r="J64" s="76" t="n">
        <v>200</v>
      </c>
      <c r="K64" s="82" t="n">
        <v>1</v>
      </c>
      <c r="L64" s="55" t="n">
        <v>36</v>
      </c>
      <c r="M64" s="73" t="n">
        <v>1.45</v>
      </c>
      <c r="N64" s="74" t="n">
        <f aca="false">K64*L64*M64</f>
        <v>52.2</v>
      </c>
      <c r="O64" s="41" t="n">
        <f aca="false">IFERROR(INDEX(Исходные!$B$21:$B$33,MATCH(H64,Исходные!$A$21:$A$33,0)),0)</f>
        <v>1.578</v>
      </c>
      <c r="P64" s="83" t="n">
        <f aca="false">N64*O64</f>
        <v>82.3716</v>
      </c>
      <c r="Q64" s="20" t="s">
        <v>614</v>
      </c>
      <c r="R64" s="85" t="s">
        <v>535</v>
      </c>
      <c r="S64" s="20"/>
      <c r="T64" s="20" t="s">
        <v>12</v>
      </c>
      <c r="U64" s="53" t="n">
        <v>1</v>
      </c>
      <c r="V64" s="76" t="s">
        <v>155</v>
      </c>
      <c r="W64" s="53" t="n">
        <v>1</v>
      </c>
    </row>
    <row r="65" customFormat="false" ht="23.85" hidden="false" customHeight="false" outlineLevel="0" collapsed="false">
      <c r="A65" s="76" t="n">
        <v>59</v>
      </c>
      <c r="B65" s="20" t="s">
        <v>507</v>
      </c>
      <c r="C65" s="20" t="s">
        <v>508</v>
      </c>
      <c r="D65" s="20" t="s">
        <v>605</v>
      </c>
      <c r="E65" s="20" t="s">
        <v>155</v>
      </c>
      <c r="F65" s="76" t="s">
        <v>539</v>
      </c>
      <c r="G65" s="20" t="s">
        <v>615</v>
      </c>
      <c r="H65" s="55" t="n">
        <v>18</v>
      </c>
      <c r="I65" s="76" t="s">
        <v>512</v>
      </c>
      <c r="J65" s="76" t="n">
        <v>200</v>
      </c>
      <c r="K65" s="82" t="n">
        <v>1</v>
      </c>
      <c r="L65" s="55" t="n">
        <v>10</v>
      </c>
      <c r="M65" s="73" t="n">
        <v>1.45</v>
      </c>
      <c r="N65" s="74" t="n">
        <f aca="false">K65*L65*M65</f>
        <v>14.5</v>
      </c>
      <c r="O65" s="41" t="n">
        <f aca="false">IFERROR(INDEX(Исходные!$B$21:$B$33,MATCH(H65,Исходные!$A$21:$A$33,0)),0)</f>
        <v>1.998</v>
      </c>
      <c r="P65" s="83" t="n">
        <f aca="false">N65*O65</f>
        <v>28.971</v>
      </c>
      <c r="Q65" s="20" t="s">
        <v>616</v>
      </c>
      <c r="R65" s="84" t="s">
        <v>514</v>
      </c>
      <c r="S65" s="20"/>
      <c r="T65" s="20" t="s">
        <v>12</v>
      </c>
      <c r="U65" s="53" t="n">
        <v>0</v>
      </c>
      <c r="V65" s="76" t="s">
        <v>155</v>
      </c>
      <c r="W65" s="53" t="n">
        <v>1</v>
      </c>
    </row>
    <row r="66" customFormat="false" ht="23.85" hidden="false" customHeight="false" outlineLevel="0" collapsed="false">
      <c r="A66" s="76" t="n">
        <v>60</v>
      </c>
      <c r="B66" s="20" t="s">
        <v>507</v>
      </c>
      <c r="C66" s="20" t="s">
        <v>508</v>
      </c>
      <c r="D66" s="20" t="s">
        <v>605</v>
      </c>
      <c r="E66" s="20" t="s">
        <v>155</v>
      </c>
      <c r="F66" s="76" t="s">
        <v>544</v>
      </c>
      <c r="G66" s="20" t="s">
        <v>617</v>
      </c>
      <c r="H66" s="55" t="n">
        <v>10</v>
      </c>
      <c r="I66" s="76" t="s">
        <v>546</v>
      </c>
      <c r="J66" s="76" t="s">
        <v>547</v>
      </c>
      <c r="K66" s="82" t="n">
        <v>1</v>
      </c>
      <c r="L66" s="55" t="n">
        <v>18</v>
      </c>
      <c r="M66" s="73" t="n">
        <v>1.33</v>
      </c>
      <c r="N66" s="74" t="n">
        <f aca="false">K66*L66*M66</f>
        <v>23.94</v>
      </c>
      <c r="O66" s="41" t="n">
        <f aca="false">IFERROR(INDEX(Исходные!$B$21:$B$33,MATCH(H66,Исходные!$A$21:$A$33,0)),0)</f>
        <v>0.617</v>
      </c>
      <c r="P66" s="83" t="n">
        <f aca="false">N66*O66</f>
        <v>14.77098</v>
      </c>
      <c r="Q66" s="20" t="s">
        <v>548</v>
      </c>
      <c r="R66" s="84" t="s">
        <v>514</v>
      </c>
      <c r="S66" s="20"/>
      <c r="T66" s="20" t="s">
        <v>12</v>
      </c>
      <c r="U66" s="53" t="n">
        <v>0</v>
      </c>
      <c r="V66" s="76" t="s">
        <v>155</v>
      </c>
      <c r="W66" s="53" t="n">
        <v>1</v>
      </c>
    </row>
    <row r="67" customFormat="false" ht="23.85" hidden="false" customHeight="false" outlineLevel="0" collapsed="false">
      <c r="A67" s="76" t="n">
        <v>61</v>
      </c>
      <c r="B67" s="20" t="s">
        <v>507</v>
      </c>
      <c r="C67" s="20" t="s">
        <v>508</v>
      </c>
      <c r="D67" s="20" t="s">
        <v>605</v>
      </c>
      <c r="E67" s="20" t="s">
        <v>155</v>
      </c>
      <c r="F67" s="76" t="s">
        <v>552</v>
      </c>
      <c r="G67" s="20" t="s">
        <v>553</v>
      </c>
      <c r="H67" s="55" t="n">
        <v>10</v>
      </c>
      <c r="I67" s="76" t="s">
        <v>546</v>
      </c>
      <c r="J67" s="76" t="s">
        <v>547</v>
      </c>
      <c r="K67" s="82" t="n">
        <v>1</v>
      </c>
      <c r="L67" s="55" t="n">
        <v>18</v>
      </c>
      <c r="M67" s="73" t="n">
        <v>1.76</v>
      </c>
      <c r="N67" s="74" t="n">
        <f aca="false">K67*L67*M67</f>
        <v>31.68</v>
      </c>
      <c r="O67" s="41" t="n">
        <f aca="false">IFERROR(INDEX(Исходные!$B$21:$B$33,MATCH(H67,Исходные!$A$21:$A$33,0)),0)</f>
        <v>0.617</v>
      </c>
      <c r="P67" s="83" t="n">
        <f aca="false">N67*O67</f>
        <v>19.54656</v>
      </c>
      <c r="Q67" s="20" t="s">
        <v>554</v>
      </c>
      <c r="R67" s="84" t="s">
        <v>514</v>
      </c>
      <c r="S67" s="20"/>
      <c r="T67" s="20" t="s">
        <v>12</v>
      </c>
      <c r="U67" s="53" t="n">
        <v>0</v>
      </c>
      <c r="V67" s="76" t="s">
        <v>155</v>
      </c>
      <c r="W67" s="53" t="n">
        <v>1</v>
      </c>
    </row>
    <row r="68" customFormat="false" ht="23.85" hidden="false" customHeight="false" outlineLevel="0" collapsed="false">
      <c r="A68" s="76" t="n">
        <v>62</v>
      </c>
      <c r="B68" s="20" t="s">
        <v>507</v>
      </c>
      <c r="C68" s="20" t="s">
        <v>508</v>
      </c>
      <c r="D68" s="20" t="s">
        <v>605</v>
      </c>
      <c r="E68" s="20" t="s">
        <v>155</v>
      </c>
      <c r="F68" s="76" t="s">
        <v>555</v>
      </c>
      <c r="G68" s="20" t="s">
        <v>556</v>
      </c>
      <c r="H68" s="55" t="n">
        <v>8</v>
      </c>
      <c r="I68" s="76" t="s">
        <v>546</v>
      </c>
      <c r="J68" s="76" t="s">
        <v>547</v>
      </c>
      <c r="K68" s="82" t="n">
        <v>1</v>
      </c>
      <c r="L68" s="55" t="n">
        <v>30</v>
      </c>
      <c r="M68" s="73" t="n">
        <v>2.44</v>
      </c>
      <c r="N68" s="74" t="n">
        <f aca="false">K68*L68*M68</f>
        <v>73.2</v>
      </c>
      <c r="O68" s="41" t="n">
        <f aca="false">IFERROR(INDEX(Исходные!$B$21:$B$33,MATCH(H68,Исходные!$A$21:$A$33,0)),0)</f>
        <v>0.395</v>
      </c>
      <c r="P68" s="83" t="n">
        <f aca="false">N68*O68</f>
        <v>28.914</v>
      </c>
      <c r="Q68" s="20" t="s">
        <v>557</v>
      </c>
      <c r="R68" s="84" t="s">
        <v>514</v>
      </c>
      <c r="S68" s="20"/>
      <c r="T68" s="20" t="s">
        <v>12</v>
      </c>
      <c r="U68" s="53" t="n">
        <v>0</v>
      </c>
      <c r="V68" s="76" t="s">
        <v>155</v>
      </c>
      <c r="W68" s="53" t="n">
        <v>1</v>
      </c>
    </row>
    <row r="69" customFormat="false" ht="23.85" hidden="false" customHeight="false" outlineLevel="0" collapsed="false">
      <c r="A69" s="76" t="n">
        <v>63</v>
      </c>
      <c r="B69" s="20" t="s">
        <v>507</v>
      </c>
      <c r="C69" s="20" t="s">
        <v>508</v>
      </c>
      <c r="D69" s="20" t="s">
        <v>605</v>
      </c>
      <c r="E69" s="20" t="s">
        <v>155</v>
      </c>
      <c r="F69" s="76" t="s">
        <v>558</v>
      </c>
      <c r="G69" s="20" t="s">
        <v>559</v>
      </c>
      <c r="H69" s="55" t="n">
        <v>8</v>
      </c>
      <c r="I69" s="76" t="s">
        <v>546</v>
      </c>
      <c r="J69" s="76" t="s">
        <v>547</v>
      </c>
      <c r="K69" s="82" t="n">
        <v>1</v>
      </c>
      <c r="L69" s="55" t="n">
        <v>36</v>
      </c>
      <c r="M69" s="73" t="n">
        <v>1.96</v>
      </c>
      <c r="N69" s="74" t="n">
        <f aca="false">K69*L69*M69</f>
        <v>70.56</v>
      </c>
      <c r="O69" s="41" t="n">
        <f aca="false">IFERROR(INDEX(Исходные!$B$21:$B$33,MATCH(H69,Исходные!$A$21:$A$33,0)),0)</f>
        <v>0.395</v>
      </c>
      <c r="P69" s="83" t="n">
        <f aca="false">N69*O69</f>
        <v>27.8712</v>
      </c>
      <c r="Q69" s="20" t="s">
        <v>560</v>
      </c>
      <c r="R69" s="84" t="s">
        <v>514</v>
      </c>
      <c r="S69" s="20"/>
      <c r="T69" s="20" t="s">
        <v>12</v>
      </c>
      <c r="U69" s="53" t="n">
        <v>0</v>
      </c>
      <c r="V69" s="76" t="s">
        <v>155</v>
      </c>
      <c r="W69" s="53" t="n">
        <v>1</v>
      </c>
    </row>
    <row r="70" customFormat="false" ht="23.85" hidden="false" customHeight="false" outlineLevel="0" collapsed="false">
      <c r="A70" s="76" t="n">
        <v>64</v>
      </c>
      <c r="B70" s="20" t="s">
        <v>507</v>
      </c>
      <c r="C70" s="20" t="s">
        <v>508</v>
      </c>
      <c r="D70" s="20" t="s">
        <v>605</v>
      </c>
      <c r="E70" s="20" t="s">
        <v>155</v>
      </c>
      <c r="F70" s="76" t="s">
        <v>561</v>
      </c>
      <c r="G70" s="20" t="s">
        <v>618</v>
      </c>
      <c r="H70" s="55" t="n">
        <v>8</v>
      </c>
      <c r="I70" s="76" t="s">
        <v>546</v>
      </c>
      <c r="J70" s="76" t="s">
        <v>547</v>
      </c>
      <c r="K70" s="82" t="n">
        <v>1</v>
      </c>
      <c r="L70" s="55" t="n">
        <v>36</v>
      </c>
      <c r="M70" s="73" t="n">
        <v>0.53</v>
      </c>
      <c r="N70" s="74" t="n">
        <f aca="false">K70*L70*M70</f>
        <v>19.08</v>
      </c>
      <c r="O70" s="41" t="n">
        <f aca="false">IFERROR(INDEX(Исходные!$B$21:$B$33,MATCH(H70,Исходные!$A$21:$A$33,0)),0)</f>
        <v>0.395</v>
      </c>
      <c r="P70" s="83" t="n">
        <f aca="false">N70*O70</f>
        <v>7.5366</v>
      </c>
      <c r="Q70" s="20" t="s">
        <v>563</v>
      </c>
      <c r="R70" s="84" t="s">
        <v>514</v>
      </c>
      <c r="S70" s="20"/>
      <c r="T70" s="20" t="s">
        <v>12</v>
      </c>
      <c r="U70" s="53" t="n">
        <v>0</v>
      </c>
      <c r="V70" s="76" t="s">
        <v>155</v>
      </c>
      <c r="W70" s="53" t="n">
        <v>1</v>
      </c>
    </row>
    <row r="71" customFormat="false" ht="23.85" hidden="false" customHeight="false" outlineLevel="0" collapsed="false">
      <c r="A71" s="76" t="n">
        <v>65</v>
      </c>
      <c r="B71" s="20" t="s">
        <v>507</v>
      </c>
      <c r="C71" s="20" t="s">
        <v>508</v>
      </c>
      <c r="D71" s="20" t="s">
        <v>619</v>
      </c>
      <c r="E71" s="20" t="s">
        <v>156</v>
      </c>
      <c r="F71" s="76" t="s">
        <v>510</v>
      </c>
      <c r="G71" s="20" t="s">
        <v>511</v>
      </c>
      <c r="H71" s="55" t="n">
        <v>32</v>
      </c>
      <c r="I71" s="76" t="s">
        <v>512</v>
      </c>
      <c r="J71" s="76" t="s">
        <v>164</v>
      </c>
      <c r="K71" s="82" t="n">
        <v>1</v>
      </c>
      <c r="L71" s="55" t="n">
        <v>4</v>
      </c>
      <c r="M71" s="73" t="n">
        <v>4</v>
      </c>
      <c r="N71" s="74" t="n">
        <f aca="false">K71*L71*M71</f>
        <v>16</v>
      </c>
      <c r="O71" s="41" t="n">
        <f aca="false">IFERROR(INDEX(Исходные!$B$21:$B$33,MATCH(H71,Исходные!$A$21:$A$33,0)),0)</f>
        <v>6.313</v>
      </c>
      <c r="P71" s="83" t="n">
        <f aca="false">N71*O71</f>
        <v>101.008</v>
      </c>
      <c r="Q71" s="20" t="s">
        <v>620</v>
      </c>
      <c r="R71" s="84" t="s">
        <v>514</v>
      </c>
      <c r="S71" s="20" t="s">
        <v>588</v>
      </c>
      <c r="T71" s="20" t="s">
        <v>12</v>
      </c>
      <c r="U71" s="53" t="n">
        <v>0</v>
      </c>
      <c r="V71" s="76" t="s">
        <v>156</v>
      </c>
      <c r="W71" s="53" t="n">
        <v>1</v>
      </c>
    </row>
    <row r="72" customFormat="false" ht="23.85" hidden="false" customHeight="false" outlineLevel="0" collapsed="false">
      <c r="A72" s="76" t="n">
        <v>66</v>
      </c>
      <c r="B72" s="20" t="s">
        <v>507</v>
      </c>
      <c r="C72" s="20" t="s">
        <v>508</v>
      </c>
      <c r="D72" s="20" t="s">
        <v>619</v>
      </c>
      <c r="E72" s="20" t="s">
        <v>156</v>
      </c>
      <c r="F72" s="76" t="s">
        <v>519</v>
      </c>
      <c r="G72" s="20" t="s">
        <v>607</v>
      </c>
      <c r="H72" s="55" t="n">
        <v>28</v>
      </c>
      <c r="I72" s="76" t="s">
        <v>512</v>
      </c>
      <c r="J72" s="76" t="s">
        <v>164</v>
      </c>
      <c r="K72" s="82" t="n">
        <v>1</v>
      </c>
      <c r="L72" s="55" t="n">
        <v>4</v>
      </c>
      <c r="M72" s="73" t="n">
        <v>4</v>
      </c>
      <c r="N72" s="74" t="n">
        <f aca="false">K72*L72*M72</f>
        <v>16</v>
      </c>
      <c r="O72" s="41" t="n">
        <f aca="false">IFERROR(INDEX(Исходные!$B$21:$B$33,MATCH(H72,Исходные!$A$21:$A$33,0)),0)</f>
        <v>4.834</v>
      </c>
      <c r="P72" s="83" t="n">
        <f aca="false">N72*O72</f>
        <v>77.344</v>
      </c>
      <c r="Q72" s="20" t="s">
        <v>620</v>
      </c>
      <c r="R72" s="84" t="s">
        <v>514</v>
      </c>
      <c r="S72" s="20" t="s">
        <v>621</v>
      </c>
      <c r="T72" s="20" t="s">
        <v>12</v>
      </c>
      <c r="U72" s="53" t="n">
        <v>0</v>
      </c>
      <c r="V72" s="76" t="s">
        <v>156</v>
      </c>
      <c r="W72" s="53" t="n">
        <v>1</v>
      </c>
    </row>
    <row r="73" customFormat="false" ht="23.85" hidden="false" customHeight="false" outlineLevel="0" collapsed="false">
      <c r="A73" s="76" t="n">
        <v>67</v>
      </c>
      <c r="B73" s="20" t="s">
        <v>507</v>
      </c>
      <c r="C73" s="20" t="s">
        <v>508</v>
      </c>
      <c r="D73" s="20" t="s">
        <v>619</v>
      </c>
      <c r="E73" s="20" t="s">
        <v>156</v>
      </c>
      <c r="F73" s="76" t="s">
        <v>516</v>
      </c>
      <c r="G73" s="20" t="s">
        <v>568</v>
      </c>
      <c r="H73" s="55" t="n">
        <v>20</v>
      </c>
      <c r="I73" s="76" t="s">
        <v>512</v>
      </c>
      <c r="J73" s="76" t="s">
        <v>164</v>
      </c>
      <c r="K73" s="82" t="n">
        <v>1</v>
      </c>
      <c r="L73" s="55" t="n">
        <v>4</v>
      </c>
      <c r="M73" s="73" t="n">
        <v>4</v>
      </c>
      <c r="N73" s="74" t="n">
        <f aca="false">K73*L73*M73</f>
        <v>16</v>
      </c>
      <c r="O73" s="41" t="n">
        <f aca="false">IFERROR(INDEX(Исходные!$B$21:$B$33,MATCH(H73,Исходные!$A$21:$A$33,0)),0)</f>
        <v>2.466</v>
      </c>
      <c r="P73" s="83" t="n">
        <f aca="false">N73*O73</f>
        <v>39.456</v>
      </c>
      <c r="Q73" s="20" t="s">
        <v>620</v>
      </c>
      <c r="R73" s="84" t="s">
        <v>514</v>
      </c>
      <c r="S73" s="20" t="s">
        <v>622</v>
      </c>
      <c r="T73" s="20" t="s">
        <v>12</v>
      </c>
      <c r="U73" s="53" t="n">
        <v>0</v>
      </c>
      <c r="V73" s="76" t="s">
        <v>156</v>
      </c>
      <c r="W73" s="53" t="n">
        <v>1</v>
      </c>
    </row>
    <row r="74" customFormat="false" ht="23.85" hidden="false" customHeight="false" outlineLevel="0" collapsed="false">
      <c r="A74" s="76" t="n">
        <v>68</v>
      </c>
      <c r="B74" s="20" t="s">
        <v>507</v>
      </c>
      <c r="C74" s="20" t="s">
        <v>508</v>
      </c>
      <c r="D74" s="20" t="s">
        <v>619</v>
      </c>
      <c r="E74" s="20" t="s">
        <v>156</v>
      </c>
      <c r="F74" s="76" t="s">
        <v>519</v>
      </c>
      <c r="G74" s="20" t="s">
        <v>570</v>
      </c>
      <c r="H74" s="55" t="n">
        <v>28</v>
      </c>
      <c r="I74" s="76" t="s">
        <v>512</v>
      </c>
      <c r="J74" s="76" t="s">
        <v>164</v>
      </c>
      <c r="K74" s="82" t="n">
        <v>1</v>
      </c>
      <c r="L74" s="55" t="n">
        <v>10</v>
      </c>
      <c r="M74" s="73" t="n">
        <v>4</v>
      </c>
      <c r="N74" s="74" t="n">
        <f aca="false">K74*L74*M74</f>
        <v>40</v>
      </c>
      <c r="O74" s="41" t="n">
        <f aca="false">IFERROR(INDEX(Исходные!$B$21:$B$33,MATCH(H74,Исходные!$A$21:$A$33,0)),0)</f>
        <v>4.834</v>
      </c>
      <c r="P74" s="83" t="n">
        <f aca="false">N74*O74</f>
        <v>193.36</v>
      </c>
      <c r="Q74" s="20" t="s">
        <v>620</v>
      </c>
      <c r="R74" s="84" t="s">
        <v>514</v>
      </c>
      <c r="S74" s="20" t="s">
        <v>612</v>
      </c>
      <c r="T74" s="20" t="s">
        <v>12</v>
      </c>
      <c r="U74" s="53" t="n">
        <v>0</v>
      </c>
      <c r="V74" s="76" t="s">
        <v>156</v>
      </c>
      <c r="W74" s="53" t="n">
        <v>1</v>
      </c>
    </row>
    <row r="75" customFormat="false" ht="23.85" hidden="false" customHeight="false" outlineLevel="0" collapsed="false">
      <c r="A75" s="76" t="n">
        <v>69</v>
      </c>
      <c r="B75" s="20" t="s">
        <v>507</v>
      </c>
      <c r="C75" s="20" t="s">
        <v>508</v>
      </c>
      <c r="D75" s="20" t="s">
        <v>619</v>
      </c>
      <c r="E75" s="20" t="s">
        <v>156</v>
      </c>
      <c r="F75" s="76" t="s">
        <v>516</v>
      </c>
      <c r="G75" s="20" t="s">
        <v>572</v>
      </c>
      <c r="H75" s="55" t="n">
        <v>20</v>
      </c>
      <c r="I75" s="76" t="s">
        <v>512</v>
      </c>
      <c r="J75" s="76" t="s">
        <v>164</v>
      </c>
      <c r="K75" s="82" t="n">
        <v>1</v>
      </c>
      <c r="L75" s="55" t="n">
        <v>4</v>
      </c>
      <c r="M75" s="73" t="n">
        <v>4</v>
      </c>
      <c r="N75" s="74" t="n">
        <f aca="false">K75*L75*M75</f>
        <v>16</v>
      </c>
      <c r="O75" s="41" t="n">
        <f aca="false">IFERROR(INDEX(Исходные!$B$21:$B$33,MATCH(H75,Исходные!$A$21:$A$33,0)),0)</f>
        <v>2.466</v>
      </c>
      <c r="P75" s="83" t="n">
        <f aca="false">N75*O75</f>
        <v>39.456</v>
      </c>
      <c r="Q75" s="20" t="s">
        <v>620</v>
      </c>
      <c r="R75" s="84" t="s">
        <v>514</v>
      </c>
      <c r="S75" s="20" t="s">
        <v>623</v>
      </c>
      <c r="T75" s="20" t="s">
        <v>12</v>
      </c>
      <c r="U75" s="53" t="n">
        <v>0</v>
      </c>
      <c r="V75" s="76" t="s">
        <v>156</v>
      </c>
      <c r="W75" s="53" t="n">
        <v>1</v>
      </c>
    </row>
    <row r="76" customFormat="false" ht="23.85" hidden="false" customHeight="false" outlineLevel="0" collapsed="false">
      <c r="A76" s="76" t="n">
        <v>70</v>
      </c>
      <c r="B76" s="20" t="s">
        <v>507</v>
      </c>
      <c r="C76" s="20" t="s">
        <v>508</v>
      </c>
      <c r="D76" s="20" t="s">
        <v>619</v>
      </c>
      <c r="E76" s="20" t="s">
        <v>156</v>
      </c>
      <c r="F76" s="76" t="s">
        <v>575</v>
      </c>
      <c r="G76" s="20" t="s">
        <v>527</v>
      </c>
      <c r="H76" s="55" t="n">
        <v>22</v>
      </c>
      <c r="I76" s="76" t="s">
        <v>512</v>
      </c>
      <c r="J76" s="76" t="s">
        <v>164</v>
      </c>
      <c r="K76" s="82" t="n">
        <v>1</v>
      </c>
      <c r="L76" s="55" t="n">
        <v>6</v>
      </c>
      <c r="M76" s="73" t="n">
        <v>4</v>
      </c>
      <c r="N76" s="74" t="n">
        <f aca="false">K76*L76*M76</f>
        <v>24</v>
      </c>
      <c r="O76" s="41" t="n">
        <f aca="false">IFERROR(INDEX(Исходные!$B$21:$B$33,MATCH(H76,Исходные!$A$21:$A$33,0)),0)</f>
        <v>2.984</v>
      </c>
      <c r="P76" s="83" t="n">
        <f aca="false">N76*O76</f>
        <v>71.616</v>
      </c>
      <c r="Q76" s="20" t="s">
        <v>620</v>
      </c>
      <c r="R76" s="84" t="s">
        <v>514</v>
      </c>
      <c r="S76" s="20" t="s">
        <v>591</v>
      </c>
      <c r="T76" s="20" t="s">
        <v>12</v>
      </c>
      <c r="U76" s="53" t="n">
        <v>0</v>
      </c>
      <c r="V76" s="76" t="s">
        <v>156</v>
      </c>
      <c r="W76" s="53" t="n">
        <v>1</v>
      </c>
    </row>
    <row r="77" customFormat="false" ht="23.85" hidden="false" customHeight="false" outlineLevel="0" collapsed="false">
      <c r="A77" s="76" t="n">
        <v>71</v>
      </c>
      <c r="B77" s="20" t="s">
        <v>507</v>
      </c>
      <c r="C77" s="20" t="s">
        <v>508</v>
      </c>
      <c r="D77" s="20" t="s">
        <v>619</v>
      </c>
      <c r="E77" s="20" t="s">
        <v>156</v>
      </c>
      <c r="F77" s="76" t="s">
        <v>522</v>
      </c>
      <c r="G77" s="20" t="s">
        <v>574</v>
      </c>
      <c r="H77" s="55" t="n">
        <v>25</v>
      </c>
      <c r="I77" s="76" t="s">
        <v>512</v>
      </c>
      <c r="J77" s="76" t="s">
        <v>164</v>
      </c>
      <c r="K77" s="82" t="n">
        <v>1</v>
      </c>
      <c r="L77" s="55" t="n">
        <v>10</v>
      </c>
      <c r="M77" s="73" t="n">
        <v>4</v>
      </c>
      <c r="N77" s="74" t="n">
        <f aca="false">K77*L77*M77</f>
        <v>40</v>
      </c>
      <c r="O77" s="41" t="n">
        <f aca="false">IFERROR(INDEX(Исходные!$B$21:$B$33,MATCH(H77,Исходные!$A$21:$A$33,0)),0)</f>
        <v>3.853</v>
      </c>
      <c r="P77" s="83" t="n">
        <f aca="false">N77*O77</f>
        <v>154.12</v>
      </c>
      <c r="Q77" s="20" t="s">
        <v>620</v>
      </c>
      <c r="R77" s="84" t="s">
        <v>514</v>
      </c>
      <c r="S77" s="20" t="s">
        <v>592</v>
      </c>
      <c r="T77" s="20" t="s">
        <v>12</v>
      </c>
      <c r="U77" s="53" t="n">
        <v>0</v>
      </c>
      <c r="V77" s="76" t="s">
        <v>156</v>
      </c>
      <c r="W77" s="53" t="n">
        <v>1</v>
      </c>
    </row>
    <row r="78" customFormat="false" ht="23.85" hidden="false" customHeight="false" outlineLevel="0" collapsed="false">
      <c r="A78" s="76" t="n">
        <v>72</v>
      </c>
      <c r="B78" s="20" t="s">
        <v>507</v>
      </c>
      <c r="C78" s="20" t="s">
        <v>508</v>
      </c>
      <c r="D78" s="20" t="s">
        <v>619</v>
      </c>
      <c r="E78" s="20" t="s">
        <v>156</v>
      </c>
      <c r="F78" s="76" t="s">
        <v>532</v>
      </c>
      <c r="G78" s="20" t="s">
        <v>624</v>
      </c>
      <c r="H78" s="55" t="n">
        <v>16</v>
      </c>
      <c r="I78" s="76" t="s">
        <v>512</v>
      </c>
      <c r="J78" s="76" t="n">
        <v>200</v>
      </c>
      <c r="K78" s="82" t="n">
        <v>1</v>
      </c>
      <c r="L78" s="55" t="n">
        <v>36</v>
      </c>
      <c r="M78" s="73" t="n">
        <v>1.25</v>
      </c>
      <c r="N78" s="74" t="n">
        <f aca="false">K78*L78*M78</f>
        <v>45</v>
      </c>
      <c r="O78" s="41" t="n">
        <f aca="false">IFERROR(INDEX(Исходные!$B$21:$B$33,MATCH(H78,Исходные!$A$21:$A$33,0)),0)</f>
        <v>1.578</v>
      </c>
      <c r="P78" s="83" t="n">
        <f aca="false">N78*O78</f>
        <v>71.01</v>
      </c>
      <c r="Q78" s="20" t="s">
        <v>625</v>
      </c>
      <c r="R78" s="85" t="s">
        <v>535</v>
      </c>
      <c r="S78" s="20" t="s">
        <v>626</v>
      </c>
      <c r="T78" s="20" t="s">
        <v>12</v>
      </c>
      <c r="U78" s="53" t="n">
        <v>1</v>
      </c>
      <c r="V78" s="76" t="s">
        <v>156</v>
      </c>
      <c r="W78" s="53" t="n">
        <v>1</v>
      </c>
    </row>
    <row r="79" customFormat="false" ht="23.85" hidden="false" customHeight="false" outlineLevel="0" collapsed="false">
      <c r="A79" s="76" t="n">
        <v>73</v>
      </c>
      <c r="B79" s="20" t="s">
        <v>507</v>
      </c>
      <c r="C79" s="20" t="s">
        <v>508</v>
      </c>
      <c r="D79" s="20" t="s">
        <v>619</v>
      </c>
      <c r="E79" s="20" t="s">
        <v>156</v>
      </c>
      <c r="F79" s="76" t="s">
        <v>532</v>
      </c>
      <c r="G79" s="20" t="s">
        <v>627</v>
      </c>
      <c r="H79" s="55" t="n">
        <v>16</v>
      </c>
      <c r="I79" s="76" t="s">
        <v>512</v>
      </c>
      <c r="J79" s="76" t="n">
        <v>200</v>
      </c>
      <c r="K79" s="82" t="n">
        <v>1</v>
      </c>
      <c r="L79" s="55" t="n">
        <v>36</v>
      </c>
      <c r="M79" s="73" t="n">
        <v>1.45</v>
      </c>
      <c r="N79" s="74" t="n">
        <f aca="false">K79*L79*M79</f>
        <v>52.2</v>
      </c>
      <c r="O79" s="41" t="n">
        <f aca="false">IFERROR(INDEX(Исходные!$B$21:$B$33,MATCH(H79,Исходные!$A$21:$A$33,0)),0)</f>
        <v>1.578</v>
      </c>
      <c r="P79" s="83" t="n">
        <f aca="false">N79*O79</f>
        <v>82.3716</v>
      </c>
      <c r="Q79" s="20" t="s">
        <v>625</v>
      </c>
      <c r="R79" s="85" t="s">
        <v>535</v>
      </c>
      <c r="S79" s="20"/>
      <c r="T79" s="20" t="s">
        <v>12</v>
      </c>
      <c r="U79" s="53" t="n">
        <v>1</v>
      </c>
      <c r="V79" s="76" t="s">
        <v>156</v>
      </c>
      <c r="W79" s="53" t="n">
        <v>1</v>
      </c>
    </row>
    <row r="80" customFormat="false" ht="23.85" hidden="false" customHeight="false" outlineLevel="0" collapsed="false">
      <c r="A80" s="76" t="n">
        <v>74</v>
      </c>
      <c r="B80" s="20" t="s">
        <v>507</v>
      </c>
      <c r="C80" s="20" t="s">
        <v>508</v>
      </c>
      <c r="D80" s="20" t="s">
        <v>619</v>
      </c>
      <c r="E80" s="20" t="s">
        <v>156</v>
      </c>
      <c r="F80" s="76" t="s">
        <v>539</v>
      </c>
      <c r="G80" s="20" t="s">
        <v>628</v>
      </c>
      <c r="H80" s="55" t="n">
        <v>10</v>
      </c>
      <c r="I80" s="76" t="s">
        <v>512</v>
      </c>
      <c r="J80" s="76" t="n">
        <v>200</v>
      </c>
      <c r="K80" s="82" t="n">
        <v>1</v>
      </c>
      <c r="L80" s="55" t="n">
        <v>6</v>
      </c>
      <c r="M80" s="73" t="n">
        <v>1.25</v>
      </c>
      <c r="N80" s="74" t="n">
        <f aca="false">K80*L80*M80</f>
        <v>7.5</v>
      </c>
      <c r="O80" s="41" t="n">
        <f aca="false">IFERROR(INDEX(Исходные!$B$21:$B$33,MATCH(H80,Исходные!$A$21:$A$33,0)),0)</f>
        <v>0.617</v>
      </c>
      <c r="P80" s="83" t="n">
        <f aca="false">N80*O80</f>
        <v>4.6275</v>
      </c>
      <c r="Q80" s="20" t="s">
        <v>629</v>
      </c>
      <c r="R80" s="84" t="s">
        <v>514</v>
      </c>
      <c r="S80" s="20"/>
      <c r="T80" s="20" t="s">
        <v>12</v>
      </c>
      <c r="U80" s="53" t="n">
        <v>0</v>
      </c>
      <c r="V80" s="76" t="s">
        <v>156</v>
      </c>
      <c r="W80" s="53" t="n">
        <v>1</v>
      </c>
    </row>
    <row r="81" customFormat="false" ht="23.85" hidden="false" customHeight="false" outlineLevel="0" collapsed="false">
      <c r="A81" s="76" t="n">
        <v>75</v>
      </c>
      <c r="B81" s="20" t="s">
        <v>507</v>
      </c>
      <c r="C81" s="20" t="s">
        <v>508</v>
      </c>
      <c r="D81" s="20" t="s">
        <v>619</v>
      </c>
      <c r="E81" s="20" t="s">
        <v>156</v>
      </c>
      <c r="F81" s="76" t="s">
        <v>539</v>
      </c>
      <c r="G81" s="20" t="s">
        <v>630</v>
      </c>
      <c r="H81" s="55" t="n">
        <v>14</v>
      </c>
      <c r="I81" s="76" t="s">
        <v>512</v>
      </c>
      <c r="J81" s="76" t="n">
        <v>200</v>
      </c>
      <c r="K81" s="82" t="n">
        <v>1</v>
      </c>
      <c r="L81" s="55" t="n">
        <v>6</v>
      </c>
      <c r="M81" s="73" t="n">
        <v>1.45</v>
      </c>
      <c r="N81" s="74" t="n">
        <f aca="false">K81*L81*M81</f>
        <v>8.7</v>
      </c>
      <c r="O81" s="41" t="n">
        <f aca="false">IFERROR(INDEX(Исходные!$B$21:$B$33,MATCH(H81,Исходные!$A$21:$A$33,0)),0)</f>
        <v>1.208</v>
      </c>
      <c r="P81" s="83" t="n">
        <f aca="false">N81*O81</f>
        <v>10.5096</v>
      </c>
      <c r="Q81" s="20" t="s">
        <v>629</v>
      </c>
      <c r="R81" s="84" t="s">
        <v>514</v>
      </c>
      <c r="S81" s="20"/>
      <c r="T81" s="20" t="s">
        <v>12</v>
      </c>
      <c r="U81" s="53" t="n">
        <v>0</v>
      </c>
      <c r="V81" s="76" t="s">
        <v>156</v>
      </c>
      <c r="W81" s="53" t="n">
        <v>1</v>
      </c>
    </row>
    <row r="82" customFormat="false" ht="23.85" hidden="false" customHeight="false" outlineLevel="0" collapsed="false">
      <c r="A82" s="76" t="n">
        <v>76</v>
      </c>
      <c r="B82" s="20" t="s">
        <v>507</v>
      </c>
      <c r="C82" s="20" t="s">
        <v>508</v>
      </c>
      <c r="D82" s="20" t="s">
        <v>619</v>
      </c>
      <c r="E82" s="20" t="s">
        <v>156</v>
      </c>
      <c r="F82" s="76" t="s">
        <v>544</v>
      </c>
      <c r="G82" s="20" t="s">
        <v>583</v>
      </c>
      <c r="H82" s="55" t="n">
        <v>10</v>
      </c>
      <c r="I82" s="76" t="s">
        <v>546</v>
      </c>
      <c r="J82" s="76" t="s">
        <v>547</v>
      </c>
      <c r="K82" s="82" t="n">
        <v>1</v>
      </c>
      <c r="L82" s="55" t="n">
        <v>36</v>
      </c>
      <c r="M82" s="73" t="n">
        <v>1.33</v>
      </c>
      <c r="N82" s="74" t="n">
        <f aca="false">K82*L82*M82</f>
        <v>47.88</v>
      </c>
      <c r="O82" s="41" t="n">
        <f aca="false">IFERROR(INDEX(Исходные!$B$21:$B$33,MATCH(H82,Исходные!$A$21:$A$33,0)),0)</f>
        <v>0.617</v>
      </c>
      <c r="P82" s="83" t="n">
        <f aca="false">N82*O82</f>
        <v>29.54196</v>
      </c>
      <c r="Q82" s="20" t="s">
        <v>548</v>
      </c>
      <c r="R82" s="84" t="s">
        <v>514</v>
      </c>
      <c r="S82" s="20"/>
      <c r="T82" s="20" t="s">
        <v>12</v>
      </c>
      <c r="U82" s="53" t="n">
        <v>0</v>
      </c>
      <c r="V82" s="76" t="s">
        <v>156</v>
      </c>
      <c r="W82" s="53" t="n">
        <v>1</v>
      </c>
    </row>
    <row r="83" customFormat="false" ht="23.85" hidden="false" customHeight="false" outlineLevel="0" collapsed="false">
      <c r="A83" s="76" t="n">
        <v>77</v>
      </c>
      <c r="B83" s="20" t="s">
        <v>507</v>
      </c>
      <c r="C83" s="20" t="s">
        <v>508</v>
      </c>
      <c r="D83" s="20" t="s">
        <v>619</v>
      </c>
      <c r="E83" s="20" t="s">
        <v>156</v>
      </c>
      <c r="F83" s="76" t="s">
        <v>549</v>
      </c>
      <c r="G83" s="20" t="s">
        <v>584</v>
      </c>
      <c r="H83" s="55" t="n">
        <v>10</v>
      </c>
      <c r="I83" s="76" t="s">
        <v>546</v>
      </c>
      <c r="J83" s="76" t="s">
        <v>547</v>
      </c>
      <c r="K83" s="82" t="n">
        <v>1</v>
      </c>
      <c r="L83" s="55" t="n">
        <v>18</v>
      </c>
      <c r="M83" s="73" t="n">
        <v>1.56</v>
      </c>
      <c r="N83" s="74" t="n">
        <f aca="false">K83*L83*M83</f>
        <v>28.08</v>
      </c>
      <c r="O83" s="41" t="n">
        <f aca="false">IFERROR(INDEX(Исходные!$B$21:$B$33,MATCH(H83,Исходные!$A$21:$A$33,0)),0)</f>
        <v>0.617</v>
      </c>
      <c r="P83" s="83" t="n">
        <f aca="false">N83*O83</f>
        <v>17.32536</v>
      </c>
      <c r="Q83" s="20" t="s">
        <v>551</v>
      </c>
      <c r="R83" s="84" t="s">
        <v>514</v>
      </c>
      <c r="S83" s="20"/>
      <c r="T83" s="20" t="s">
        <v>12</v>
      </c>
      <c r="U83" s="53" t="n">
        <v>0</v>
      </c>
      <c r="V83" s="76" t="s">
        <v>156</v>
      </c>
      <c r="W83" s="53" t="n">
        <v>1</v>
      </c>
    </row>
    <row r="84" customFormat="false" ht="23.85" hidden="false" customHeight="false" outlineLevel="0" collapsed="false">
      <c r="A84" s="76" t="n">
        <v>78</v>
      </c>
      <c r="B84" s="20" t="s">
        <v>507</v>
      </c>
      <c r="C84" s="20" t="s">
        <v>508</v>
      </c>
      <c r="D84" s="20" t="s">
        <v>619</v>
      </c>
      <c r="E84" s="20" t="s">
        <v>156</v>
      </c>
      <c r="F84" s="76" t="s">
        <v>603</v>
      </c>
      <c r="G84" s="20" t="s">
        <v>553</v>
      </c>
      <c r="H84" s="55" t="n">
        <v>8</v>
      </c>
      <c r="I84" s="76" t="s">
        <v>546</v>
      </c>
      <c r="J84" s="76" t="s">
        <v>547</v>
      </c>
      <c r="K84" s="82" t="n">
        <v>1</v>
      </c>
      <c r="L84" s="55" t="n">
        <v>18</v>
      </c>
      <c r="M84" s="73" t="n">
        <v>1.76</v>
      </c>
      <c r="N84" s="74" t="n">
        <f aca="false">K84*L84*M84</f>
        <v>31.68</v>
      </c>
      <c r="O84" s="41" t="n">
        <f aca="false">IFERROR(INDEX(Исходные!$B$21:$B$33,MATCH(H84,Исходные!$A$21:$A$33,0)),0)</f>
        <v>0.395</v>
      </c>
      <c r="P84" s="83" t="n">
        <f aca="false">N84*O84</f>
        <v>12.5136</v>
      </c>
      <c r="Q84" s="20" t="s">
        <v>554</v>
      </c>
      <c r="R84" s="84" t="s">
        <v>514</v>
      </c>
      <c r="S84" s="20"/>
      <c r="T84" s="20" t="s">
        <v>12</v>
      </c>
      <c r="U84" s="53" t="n">
        <v>0</v>
      </c>
      <c r="V84" s="76" t="s">
        <v>156</v>
      </c>
      <c r="W84" s="53" t="n">
        <v>1</v>
      </c>
    </row>
    <row r="85" customFormat="false" ht="23.85" hidden="false" customHeight="false" outlineLevel="0" collapsed="false">
      <c r="A85" s="76" t="n">
        <v>79</v>
      </c>
      <c r="B85" s="20" t="s">
        <v>507</v>
      </c>
      <c r="C85" s="20" t="s">
        <v>508</v>
      </c>
      <c r="D85" s="20" t="s">
        <v>619</v>
      </c>
      <c r="E85" s="20" t="s">
        <v>156</v>
      </c>
      <c r="F85" s="76" t="s">
        <v>555</v>
      </c>
      <c r="G85" s="20" t="s">
        <v>556</v>
      </c>
      <c r="H85" s="55" t="n">
        <v>8</v>
      </c>
      <c r="I85" s="76" t="s">
        <v>546</v>
      </c>
      <c r="J85" s="76" t="s">
        <v>547</v>
      </c>
      <c r="K85" s="82" t="n">
        <v>1</v>
      </c>
      <c r="L85" s="55" t="n">
        <v>30</v>
      </c>
      <c r="M85" s="73" t="n">
        <v>2.44</v>
      </c>
      <c r="N85" s="74" t="n">
        <f aca="false">K85*L85*M85</f>
        <v>73.2</v>
      </c>
      <c r="O85" s="41" t="n">
        <f aca="false">IFERROR(INDEX(Исходные!$B$21:$B$33,MATCH(H85,Исходные!$A$21:$A$33,0)),0)</f>
        <v>0.395</v>
      </c>
      <c r="P85" s="83" t="n">
        <f aca="false">N85*O85</f>
        <v>28.914</v>
      </c>
      <c r="Q85" s="20" t="s">
        <v>557</v>
      </c>
      <c r="R85" s="84" t="s">
        <v>514</v>
      </c>
      <c r="S85" s="20"/>
      <c r="T85" s="20" t="s">
        <v>12</v>
      </c>
      <c r="U85" s="53" t="n">
        <v>0</v>
      </c>
      <c r="V85" s="76" t="s">
        <v>156</v>
      </c>
      <c r="W85" s="53" t="n">
        <v>1</v>
      </c>
    </row>
    <row r="86" customFormat="false" ht="23.85" hidden="false" customHeight="false" outlineLevel="0" collapsed="false">
      <c r="A86" s="76" t="n">
        <v>80</v>
      </c>
      <c r="B86" s="20" t="s">
        <v>507</v>
      </c>
      <c r="C86" s="20" t="s">
        <v>508</v>
      </c>
      <c r="D86" s="20" t="s">
        <v>619</v>
      </c>
      <c r="E86" s="20" t="s">
        <v>156</v>
      </c>
      <c r="F86" s="76" t="s">
        <v>558</v>
      </c>
      <c r="G86" s="20" t="s">
        <v>559</v>
      </c>
      <c r="H86" s="55" t="n">
        <v>8</v>
      </c>
      <c r="I86" s="76" t="s">
        <v>546</v>
      </c>
      <c r="J86" s="76" t="s">
        <v>547</v>
      </c>
      <c r="K86" s="82" t="n">
        <v>1</v>
      </c>
      <c r="L86" s="55" t="n">
        <v>36</v>
      </c>
      <c r="M86" s="73" t="n">
        <v>1.96</v>
      </c>
      <c r="N86" s="74" t="n">
        <f aca="false">K86*L86*M86</f>
        <v>70.56</v>
      </c>
      <c r="O86" s="41" t="n">
        <f aca="false">IFERROR(INDEX(Исходные!$B$21:$B$33,MATCH(H86,Исходные!$A$21:$A$33,0)),0)</f>
        <v>0.395</v>
      </c>
      <c r="P86" s="83" t="n">
        <f aca="false">N86*O86</f>
        <v>27.8712</v>
      </c>
      <c r="Q86" s="20" t="s">
        <v>560</v>
      </c>
      <c r="R86" s="84" t="s">
        <v>514</v>
      </c>
      <c r="S86" s="20"/>
      <c r="T86" s="20" t="s">
        <v>12</v>
      </c>
      <c r="U86" s="53" t="n">
        <v>0</v>
      </c>
      <c r="V86" s="76" t="s">
        <v>156</v>
      </c>
      <c r="W86" s="53" t="n">
        <v>1</v>
      </c>
    </row>
    <row r="87" customFormat="false" ht="23.85" hidden="false" customHeight="false" outlineLevel="0" collapsed="false">
      <c r="A87" s="76" t="n">
        <v>81</v>
      </c>
      <c r="B87" s="20" t="s">
        <v>507</v>
      </c>
      <c r="C87" s="20" t="s">
        <v>508</v>
      </c>
      <c r="D87" s="20" t="s">
        <v>619</v>
      </c>
      <c r="E87" s="20" t="s">
        <v>156</v>
      </c>
      <c r="F87" s="76" t="s">
        <v>561</v>
      </c>
      <c r="G87" s="20" t="s">
        <v>631</v>
      </c>
      <c r="H87" s="55" t="n">
        <v>8</v>
      </c>
      <c r="I87" s="76" t="s">
        <v>546</v>
      </c>
      <c r="J87" s="76" t="s">
        <v>547</v>
      </c>
      <c r="K87" s="82" t="n">
        <v>1</v>
      </c>
      <c r="L87" s="55" t="n">
        <v>54</v>
      </c>
      <c r="M87" s="73" t="n">
        <v>0.53</v>
      </c>
      <c r="N87" s="74" t="n">
        <f aca="false">K87*L87*M87</f>
        <v>28.62</v>
      </c>
      <c r="O87" s="41" t="n">
        <f aca="false">IFERROR(INDEX(Исходные!$B$21:$B$33,MATCH(H87,Исходные!$A$21:$A$33,0)),0)</f>
        <v>0.395</v>
      </c>
      <c r="P87" s="83" t="n">
        <f aca="false">N87*O87</f>
        <v>11.3049</v>
      </c>
      <c r="Q87" s="20" t="s">
        <v>563</v>
      </c>
      <c r="R87" s="84" t="s">
        <v>514</v>
      </c>
      <c r="S87" s="20"/>
      <c r="T87" s="20" t="s">
        <v>12</v>
      </c>
      <c r="U87" s="53" t="n">
        <v>0</v>
      </c>
      <c r="V87" s="76" t="s">
        <v>156</v>
      </c>
      <c r="W87" s="53" t="n">
        <v>1</v>
      </c>
    </row>
    <row r="88" customFormat="false" ht="15" hidden="false" customHeight="true" outlineLevel="0" collapsed="false">
      <c r="A88" s="81" t="s">
        <v>632</v>
      </c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</row>
    <row r="89" customFormat="false" ht="35.05" hidden="false" customHeight="false" outlineLevel="0" collapsed="false">
      <c r="A89" s="76" t="n">
        <v>82</v>
      </c>
      <c r="B89" s="20" t="s">
        <v>507</v>
      </c>
      <c r="C89" s="20" t="s">
        <v>633</v>
      </c>
      <c r="D89" s="20" t="s">
        <v>634</v>
      </c>
      <c r="E89" s="20" t="s">
        <v>635</v>
      </c>
      <c r="F89" s="76" t="s">
        <v>510</v>
      </c>
      <c r="G89" s="20" t="s">
        <v>636</v>
      </c>
      <c r="H89" s="55" t="n">
        <v>32</v>
      </c>
      <c r="I89" s="76" t="s">
        <v>512</v>
      </c>
      <c r="J89" s="76" t="s">
        <v>164</v>
      </c>
      <c r="K89" s="82" t="n">
        <v>3</v>
      </c>
      <c r="L89" s="55" t="n">
        <v>4</v>
      </c>
      <c r="M89" s="73" t="n">
        <v>4</v>
      </c>
      <c r="N89" s="74" t="n">
        <f aca="false">K89*L89*M89</f>
        <v>48</v>
      </c>
      <c r="O89" s="41" t="n">
        <f aca="false">IFERROR(INDEX(Исходные!$B$21:$B$33,MATCH(H89,Исходные!$A$21:$A$33,0)),0)</f>
        <v>6.313</v>
      </c>
      <c r="P89" s="83" t="n">
        <f aca="false">N89*O89</f>
        <v>303.024</v>
      </c>
      <c r="Q89" s="20" t="s">
        <v>637</v>
      </c>
      <c r="R89" s="85" t="s">
        <v>638</v>
      </c>
      <c r="S89" s="20" t="s">
        <v>639</v>
      </c>
      <c r="T89" s="20" t="s">
        <v>12</v>
      </c>
      <c r="U89" s="53" t="n">
        <v>1</v>
      </c>
      <c r="V89" s="76" t="s">
        <v>635</v>
      </c>
      <c r="W89" s="53" t="n">
        <v>1</v>
      </c>
    </row>
    <row r="90" customFormat="false" ht="23.85" hidden="false" customHeight="false" outlineLevel="0" collapsed="false">
      <c r="A90" s="76" t="n">
        <v>83</v>
      </c>
      <c r="B90" s="20" t="s">
        <v>507</v>
      </c>
      <c r="C90" s="20" t="s">
        <v>633</v>
      </c>
      <c r="D90" s="20" t="s">
        <v>634</v>
      </c>
      <c r="E90" s="20" t="s">
        <v>635</v>
      </c>
      <c r="F90" s="76" t="s">
        <v>516</v>
      </c>
      <c r="G90" s="20" t="s">
        <v>640</v>
      </c>
      <c r="H90" s="55" t="n">
        <v>20</v>
      </c>
      <c r="I90" s="76" t="s">
        <v>512</v>
      </c>
      <c r="J90" s="76" t="s">
        <v>164</v>
      </c>
      <c r="K90" s="82" t="n">
        <v>3</v>
      </c>
      <c r="L90" s="55" t="n">
        <v>8</v>
      </c>
      <c r="M90" s="73" t="n">
        <v>4</v>
      </c>
      <c r="N90" s="74" t="n">
        <f aca="false">K90*L90*M90</f>
        <v>96</v>
      </c>
      <c r="O90" s="41" t="n">
        <f aca="false">IFERROR(INDEX(Исходные!$B$21:$B$33,MATCH(H90,Исходные!$A$21:$A$33,0)),0)</f>
        <v>2.466</v>
      </c>
      <c r="P90" s="83" t="n">
        <f aca="false">N90*O90</f>
        <v>236.736</v>
      </c>
      <c r="Q90" s="20" t="s">
        <v>641</v>
      </c>
      <c r="R90" s="85" t="s">
        <v>638</v>
      </c>
      <c r="S90" s="20" t="s">
        <v>642</v>
      </c>
      <c r="T90" s="20" t="s">
        <v>12</v>
      </c>
      <c r="U90" s="53" t="n">
        <v>1</v>
      </c>
      <c r="V90" s="76" t="s">
        <v>635</v>
      </c>
      <c r="W90" s="53" t="n">
        <v>1</v>
      </c>
    </row>
    <row r="91" customFormat="false" ht="35.05" hidden="false" customHeight="false" outlineLevel="0" collapsed="false">
      <c r="A91" s="76" t="n">
        <v>84</v>
      </c>
      <c r="B91" s="20" t="s">
        <v>507</v>
      </c>
      <c r="C91" s="20" t="s">
        <v>633</v>
      </c>
      <c r="D91" s="20" t="s">
        <v>634</v>
      </c>
      <c r="E91" s="20" t="s">
        <v>635</v>
      </c>
      <c r="F91" s="76" t="s">
        <v>555</v>
      </c>
      <c r="G91" s="20" t="s">
        <v>643</v>
      </c>
      <c r="H91" s="55" t="n">
        <v>8</v>
      </c>
      <c r="I91" s="76" t="s">
        <v>546</v>
      </c>
      <c r="J91" s="76" t="s">
        <v>644</v>
      </c>
      <c r="K91" s="82" t="n">
        <v>3</v>
      </c>
      <c r="L91" s="55" t="n">
        <v>30</v>
      </c>
      <c r="M91" s="73" t="n">
        <v>2.44</v>
      </c>
      <c r="N91" s="74" t="n">
        <f aca="false">K91*L91*M91</f>
        <v>219.6</v>
      </c>
      <c r="O91" s="41" t="n">
        <f aca="false">IFERROR(INDEX(Исходные!$B$21:$B$33,MATCH(H91,Исходные!$A$21:$A$33,0)),0)</f>
        <v>0.395</v>
      </c>
      <c r="P91" s="83" t="n">
        <f aca="false">N91*O91</f>
        <v>86.742</v>
      </c>
      <c r="Q91" s="20" t="s">
        <v>645</v>
      </c>
      <c r="R91" s="84" t="s">
        <v>514</v>
      </c>
      <c r="S91" s="20"/>
      <c r="T91" s="20" t="s">
        <v>12</v>
      </c>
      <c r="U91" s="53" t="n">
        <v>0</v>
      </c>
      <c r="V91" s="76" t="s">
        <v>635</v>
      </c>
      <c r="W91" s="53" t="n">
        <v>1</v>
      </c>
    </row>
    <row r="92" customFormat="false" ht="23.85" hidden="false" customHeight="false" outlineLevel="0" collapsed="false">
      <c r="A92" s="76" t="n">
        <v>85</v>
      </c>
      <c r="B92" s="20" t="s">
        <v>507</v>
      </c>
      <c r="C92" s="20" t="s">
        <v>633</v>
      </c>
      <c r="D92" s="20" t="s">
        <v>634</v>
      </c>
      <c r="E92" s="20" t="s">
        <v>635</v>
      </c>
      <c r="F92" s="76" t="s">
        <v>558</v>
      </c>
      <c r="G92" s="20" t="s">
        <v>646</v>
      </c>
      <c r="H92" s="55" t="n">
        <v>8</v>
      </c>
      <c r="I92" s="76" t="s">
        <v>546</v>
      </c>
      <c r="J92" s="76" t="n">
        <v>200</v>
      </c>
      <c r="K92" s="82" t="n">
        <v>3</v>
      </c>
      <c r="L92" s="55" t="n">
        <v>36</v>
      </c>
      <c r="M92" s="73" t="n">
        <v>1.96</v>
      </c>
      <c r="N92" s="74" t="n">
        <f aca="false">K92*L92*M92</f>
        <v>211.68</v>
      </c>
      <c r="O92" s="41" t="n">
        <f aca="false">IFERROR(INDEX(Исходные!$B$21:$B$33,MATCH(H92,Исходные!$A$21:$A$33,0)),0)</f>
        <v>0.395</v>
      </c>
      <c r="P92" s="83" t="n">
        <f aca="false">N92*O92</f>
        <v>83.6136</v>
      </c>
      <c r="Q92" s="20" t="s">
        <v>647</v>
      </c>
      <c r="R92" s="84" t="s">
        <v>514</v>
      </c>
      <c r="S92" s="20"/>
      <c r="T92" s="20" t="s">
        <v>12</v>
      </c>
      <c r="U92" s="53" t="n">
        <v>0</v>
      </c>
      <c r="V92" s="76" t="s">
        <v>635</v>
      </c>
      <c r="W92" s="53" t="n">
        <v>1</v>
      </c>
    </row>
    <row r="93" customFormat="false" ht="35.05" hidden="false" customHeight="false" outlineLevel="0" collapsed="false">
      <c r="A93" s="76" t="n">
        <v>86</v>
      </c>
      <c r="B93" s="20" t="s">
        <v>507</v>
      </c>
      <c r="C93" s="20" t="s">
        <v>633</v>
      </c>
      <c r="D93" s="20" t="s">
        <v>648</v>
      </c>
      <c r="E93" s="20" t="s">
        <v>649</v>
      </c>
      <c r="F93" s="76" t="s">
        <v>510</v>
      </c>
      <c r="G93" s="20" t="s">
        <v>636</v>
      </c>
      <c r="H93" s="55" t="n">
        <v>32</v>
      </c>
      <c r="I93" s="76" t="s">
        <v>512</v>
      </c>
      <c r="J93" s="76" t="s">
        <v>164</v>
      </c>
      <c r="K93" s="82" t="n">
        <v>5</v>
      </c>
      <c r="L93" s="55" t="n">
        <v>4</v>
      </c>
      <c r="M93" s="73" t="n">
        <v>4</v>
      </c>
      <c r="N93" s="74" t="n">
        <f aca="false">K93*L93*M93</f>
        <v>80</v>
      </c>
      <c r="O93" s="41" t="n">
        <f aca="false">IFERROR(INDEX(Исходные!$B$21:$B$33,MATCH(H93,Исходные!$A$21:$A$33,0)),0)</f>
        <v>6.313</v>
      </c>
      <c r="P93" s="83" t="n">
        <f aca="false">N93*O93</f>
        <v>505.04</v>
      </c>
      <c r="Q93" s="20" t="s">
        <v>637</v>
      </c>
      <c r="R93" s="85" t="s">
        <v>638</v>
      </c>
      <c r="S93" s="20" t="s">
        <v>639</v>
      </c>
      <c r="T93" s="20" t="s">
        <v>12</v>
      </c>
      <c r="U93" s="53" t="n">
        <v>1</v>
      </c>
      <c r="V93" s="76" t="s">
        <v>649</v>
      </c>
      <c r="W93" s="53" t="n">
        <v>1</v>
      </c>
    </row>
    <row r="94" customFormat="false" ht="23.85" hidden="false" customHeight="false" outlineLevel="0" collapsed="false">
      <c r="A94" s="76" t="n">
        <v>87</v>
      </c>
      <c r="B94" s="20" t="s">
        <v>507</v>
      </c>
      <c r="C94" s="20" t="s">
        <v>633</v>
      </c>
      <c r="D94" s="20" t="s">
        <v>648</v>
      </c>
      <c r="E94" s="20" t="s">
        <v>649</v>
      </c>
      <c r="F94" s="76" t="s">
        <v>516</v>
      </c>
      <c r="G94" s="20" t="s">
        <v>640</v>
      </c>
      <c r="H94" s="55" t="n">
        <v>20</v>
      </c>
      <c r="I94" s="76" t="s">
        <v>512</v>
      </c>
      <c r="J94" s="76" t="s">
        <v>164</v>
      </c>
      <c r="K94" s="82" t="n">
        <v>5</v>
      </c>
      <c r="L94" s="55" t="n">
        <v>8</v>
      </c>
      <c r="M94" s="73" t="n">
        <v>4</v>
      </c>
      <c r="N94" s="74" t="n">
        <f aca="false">K94*L94*M94</f>
        <v>160</v>
      </c>
      <c r="O94" s="41" t="n">
        <f aca="false">IFERROR(INDEX(Исходные!$B$21:$B$33,MATCH(H94,Исходные!$A$21:$A$33,0)),0)</f>
        <v>2.466</v>
      </c>
      <c r="P94" s="83" t="n">
        <f aca="false">N94*O94</f>
        <v>394.56</v>
      </c>
      <c r="Q94" s="20" t="s">
        <v>641</v>
      </c>
      <c r="R94" s="85" t="s">
        <v>638</v>
      </c>
      <c r="S94" s="20" t="s">
        <v>642</v>
      </c>
      <c r="T94" s="20" t="s">
        <v>12</v>
      </c>
      <c r="U94" s="53" t="n">
        <v>1</v>
      </c>
      <c r="V94" s="76" t="s">
        <v>649</v>
      </c>
      <c r="W94" s="53" t="n">
        <v>1</v>
      </c>
    </row>
    <row r="95" customFormat="false" ht="35.05" hidden="false" customHeight="false" outlineLevel="0" collapsed="false">
      <c r="A95" s="76" t="n">
        <v>88</v>
      </c>
      <c r="B95" s="20" t="s">
        <v>507</v>
      </c>
      <c r="C95" s="20" t="s">
        <v>633</v>
      </c>
      <c r="D95" s="20" t="s">
        <v>648</v>
      </c>
      <c r="E95" s="20" t="s">
        <v>649</v>
      </c>
      <c r="F95" s="76" t="s">
        <v>555</v>
      </c>
      <c r="G95" s="20" t="s">
        <v>643</v>
      </c>
      <c r="H95" s="55" t="n">
        <v>8</v>
      </c>
      <c r="I95" s="76" t="s">
        <v>546</v>
      </c>
      <c r="J95" s="76" t="s">
        <v>644</v>
      </c>
      <c r="K95" s="82" t="n">
        <v>5</v>
      </c>
      <c r="L95" s="55" t="n">
        <v>30</v>
      </c>
      <c r="M95" s="73" t="n">
        <v>2.44</v>
      </c>
      <c r="N95" s="74" t="n">
        <f aca="false">K95*L95*M95</f>
        <v>366</v>
      </c>
      <c r="O95" s="41" t="n">
        <f aca="false">IFERROR(INDEX(Исходные!$B$21:$B$33,MATCH(H95,Исходные!$A$21:$A$33,0)),0)</f>
        <v>0.395</v>
      </c>
      <c r="P95" s="83" t="n">
        <f aca="false">N95*O95</f>
        <v>144.57</v>
      </c>
      <c r="Q95" s="20" t="s">
        <v>645</v>
      </c>
      <c r="R95" s="84" t="s">
        <v>514</v>
      </c>
      <c r="S95" s="20"/>
      <c r="T95" s="20" t="s">
        <v>12</v>
      </c>
      <c r="U95" s="53" t="n">
        <v>0</v>
      </c>
      <c r="V95" s="76" t="s">
        <v>649</v>
      </c>
      <c r="W95" s="53" t="n">
        <v>1</v>
      </c>
    </row>
    <row r="96" customFormat="false" ht="23.85" hidden="false" customHeight="false" outlineLevel="0" collapsed="false">
      <c r="A96" s="76" t="n">
        <v>89</v>
      </c>
      <c r="B96" s="20" t="s">
        <v>507</v>
      </c>
      <c r="C96" s="20" t="s">
        <v>633</v>
      </c>
      <c r="D96" s="20" t="s">
        <v>648</v>
      </c>
      <c r="E96" s="20" t="s">
        <v>649</v>
      </c>
      <c r="F96" s="76" t="s">
        <v>558</v>
      </c>
      <c r="G96" s="20" t="s">
        <v>646</v>
      </c>
      <c r="H96" s="55" t="n">
        <v>8</v>
      </c>
      <c r="I96" s="76" t="s">
        <v>546</v>
      </c>
      <c r="J96" s="76" t="n">
        <v>200</v>
      </c>
      <c r="K96" s="82" t="n">
        <v>5</v>
      </c>
      <c r="L96" s="55" t="n">
        <v>36</v>
      </c>
      <c r="M96" s="73" t="n">
        <v>1.96</v>
      </c>
      <c r="N96" s="74" t="n">
        <f aca="false">K96*L96*M96</f>
        <v>352.8</v>
      </c>
      <c r="O96" s="41" t="n">
        <f aca="false">IFERROR(INDEX(Исходные!$B$21:$B$33,MATCH(H96,Исходные!$A$21:$A$33,0)),0)</f>
        <v>0.395</v>
      </c>
      <c r="P96" s="83" t="n">
        <f aca="false">N96*O96</f>
        <v>139.356</v>
      </c>
      <c r="Q96" s="20" t="s">
        <v>647</v>
      </c>
      <c r="R96" s="84" t="s">
        <v>514</v>
      </c>
      <c r="S96" s="20"/>
      <c r="T96" s="20" t="s">
        <v>12</v>
      </c>
      <c r="U96" s="53" t="n">
        <v>0</v>
      </c>
      <c r="V96" s="76" t="s">
        <v>649</v>
      </c>
      <c r="W96" s="53" t="n">
        <v>1</v>
      </c>
    </row>
    <row r="97" customFormat="false" ht="35.05" hidden="false" customHeight="false" outlineLevel="0" collapsed="false">
      <c r="A97" s="76" t="n">
        <v>90</v>
      </c>
      <c r="B97" s="20" t="s">
        <v>507</v>
      </c>
      <c r="C97" s="20" t="s">
        <v>633</v>
      </c>
      <c r="D97" s="20" t="s">
        <v>650</v>
      </c>
      <c r="E97" s="20" t="s">
        <v>651</v>
      </c>
      <c r="F97" s="76" t="s">
        <v>510</v>
      </c>
      <c r="G97" s="20" t="s">
        <v>636</v>
      </c>
      <c r="H97" s="55" t="n">
        <v>32</v>
      </c>
      <c r="I97" s="76" t="s">
        <v>512</v>
      </c>
      <c r="J97" s="76" t="s">
        <v>164</v>
      </c>
      <c r="K97" s="82" t="n">
        <v>5</v>
      </c>
      <c r="L97" s="55" t="n">
        <v>4</v>
      </c>
      <c r="M97" s="73" t="n">
        <v>4</v>
      </c>
      <c r="N97" s="74" t="n">
        <f aca="false">K97*L97*M97</f>
        <v>80</v>
      </c>
      <c r="O97" s="41" t="n">
        <f aca="false">IFERROR(INDEX(Исходные!$B$21:$B$33,MATCH(H97,Исходные!$A$21:$A$33,0)),0)</f>
        <v>6.313</v>
      </c>
      <c r="P97" s="83" t="n">
        <f aca="false">N97*O97</f>
        <v>505.04</v>
      </c>
      <c r="Q97" s="20" t="s">
        <v>637</v>
      </c>
      <c r="R97" s="85" t="s">
        <v>638</v>
      </c>
      <c r="S97" s="20" t="s">
        <v>639</v>
      </c>
      <c r="T97" s="20" t="s">
        <v>12</v>
      </c>
      <c r="U97" s="53" t="n">
        <v>1</v>
      </c>
      <c r="V97" s="76" t="s">
        <v>651</v>
      </c>
      <c r="W97" s="53" t="n">
        <v>1</v>
      </c>
    </row>
    <row r="98" customFormat="false" ht="23.85" hidden="false" customHeight="false" outlineLevel="0" collapsed="false">
      <c r="A98" s="76" t="n">
        <v>91</v>
      </c>
      <c r="B98" s="20" t="s">
        <v>507</v>
      </c>
      <c r="C98" s="20" t="s">
        <v>633</v>
      </c>
      <c r="D98" s="20" t="s">
        <v>650</v>
      </c>
      <c r="E98" s="20" t="s">
        <v>651</v>
      </c>
      <c r="F98" s="76" t="s">
        <v>516</v>
      </c>
      <c r="G98" s="20" t="s">
        <v>640</v>
      </c>
      <c r="H98" s="55" t="n">
        <v>20</v>
      </c>
      <c r="I98" s="76" t="s">
        <v>512</v>
      </c>
      <c r="J98" s="76" t="s">
        <v>164</v>
      </c>
      <c r="K98" s="82" t="n">
        <v>5</v>
      </c>
      <c r="L98" s="55" t="n">
        <v>8</v>
      </c>
      <c r="M98" s="73" t="n">
        <v>4</v>
      </c>
      <c r="N98" s="74" t="n">
        <f aca="false">K98*L98*M98</f>
        <v>160</v>
      </c>
      <c r="O98" s="41" t="n">
        <f aca="false">IFERROR(INDEX(Исходные!$B$21:$B$33,MATCH(H98,Исходные!$A$21:$A$33,0)),0)</f>
        <v>2.466</v>
      </c>
      <c r="P98" s="83" t="n">
        <f aca="false">N98*O98</f>
        <v>394.56</v>
      </c>
      <c r="Q98" s="20" t="s">
        <v>641</v>
      </c>
      <c r="R98" s="85" t="s">
        <v>638</v>
      </c>
      <c r="S98" s="20" t="s">
        <v>642</v>
      </c>
      <c r="T98" s="20" t="s">
        <v>12</v>
      </c>
      <c r="U98" s="53" t="n">
        <v>1</v>
      </c>
      <c r="V98" s="76" t="s">
        <v>651</v>
      </c>
      <c r="W98" s="53" t="n">
        <v>1</v>
      </c>
    </row>
    <row r="99" customFormat="false" ht="35.05" hidden="false" customHeight="false" outlineLevel="0" collapsed="false">
      <c r="A99" s="76" t="n">
        <v>92</v>
      </c>
      <c r="B99" s="20" t="s">
        <v>507</v>
      </c>
      <c r="C99" s="20" t="s">
        <v>633</v>
      </c>
      <c r="D99" s="20" t="s">
        <v>650</v>
      </c>
      <c r="E99" s="20" t="s">
        <v>651</v>
      </c>
      <c r="F99" s="76" t="s">
        <v>555</v>
      </c>
      <c r="G99" s="20" t="s">
        <v>643</v>
      </c>
      <c r="H99" s="55" t="n">
        <v>8</v>
      </c>
      <c r="I99" s="76" t="s">
        <v>546</v>
      </c>
      <c r="J99" s="76" t="s">
        <v>644</v>
      </c>
      <c r="K99" s="82" t="n">
        <v>5</v>
      </c>
      <c r="L99" s="55" t="n">
        <v>30</v>
      </c>
      <c r="M99" s="73" t="n">
        <v>2.44</v>
      </c>
      <c r="N99" s="74" t="n">
        <f aca="false">K99*L99*M99</f>
        <v>366</v>
      </c>
      <c r="O99" s="41" t="n">
        <f aca="false">IFERROR(INDEX(Исходные!$B$21:$B$33,MATCH(H99,Исходные!$A$21:$A$33,0)),0)</f>
        <v>0.395</v>
      </c>
      <c r="P99" s="83" t="n">
        <f aca="false">N99*O99</f>
        <v>144.57</v>
      </c>
      <c r="Q99" s="20" t="s">
        <v>645</v>
      </c>
      <c r="R99" s="84" t="s">
        <v>514</v>
      </c>
      <c r="S99" s="20"/>
      <c r="T99" s="20" t="s">
        <v>12</v>
      </c>
      <c r="U99" s="53" t="n">
        <v>0</v>
      </c>
      <c r="V99" s="76" t="s">
        <v>651</v>
      </c>
      <c r="W99" s="53" t="n">
        <v>1</v>
      </c>
    </row>
    <row r="100" customFormat="false" ht="23.85" hidden="false" customHeight="false" outlineLevel="0" collapsed="false">
      <c r="A100" s="76" t="n">
        <v>93</v>
      </c>
      <c r="B100" s="20" t="s">
        <v>507</v>
      </c>
      <c r="C100" s="20" t="s">
        <v>633</v>
      </c>
      <c r="D100" s="20" t="s">
        <v>650</v>
      </c>
      <c r="E100" s="20" t="s">
        <v>651</v>
      </c>
      <c r="F100" s="76" t="s">
        <v>558</v>
      </c>
      <c r="G100" s="20" t="s">
        <v>646</v>
      </c>
      <c r="H100" s="55" t="n">
        <v>8</v>
      </c>
      <c r="I100" s="76" t="s">
        <v>546</v>
      </c>
      <c r="J100" s="76" t="n">
        <v>200</v>
      </c>
      <c r="K100" s="82" t="n">
        <v>5</v>
      </c>
      <c r="L100" s="55" t="n">
        <v>36</v>
      </c>
      <c r="M100" s="73" t="n">
        <v>1.96</v>
      </c>
      <c r="N100" s="74" t="n">
        <f aca="false">K100*L100*M100</f>
        <v>352.8</v>
      </c>
      <c r="O100" s="41" t="n">
        <f aca="false">IFERROR(INDEX(Исходные!$B$21:$B$33,MATCH(H100,Исходные!$A$21:$A$33,0)),0)</f>
        <v>0.395</v>
      </c>
      <c r="P100" s="83" t="n">
        <f aca="false">N100*O100</f>
        <v>139.356</v>
      </c>
      <c r="Q100" s="20" t="s">
        <v>647</v>
      </c>
      <c r="R100" s="84" t="s">
        <v>514</v>
      </c>
      <c r="S100" s="20"/>
      <c r="T100" s="20" t="s">
        <v>12</v>
      </c>
      <c r="U100" s="53" t="n">
        <v>0</v>
      </c>
      <c r="V100" s="76" t="s">
        <v>651</v>
      </c>
      <c r="W100" s="53" t="n">
        <v>1</v>
      </c>
    </row>
    <row r="101" customFormat="false" ht="35.05" hidden="false" customHeight="false" outlineLevel="0" collapsed="false">
      <c r="A101" s="76" t="n">
        <v>94</v>
      </c>
      <c r="B101" s="20" t="s">
        <v>507</v>
      </c>
      <c r="C101" s="20" t="s">
        <v>633</v>
      </c>
      <c r="D101" s="20" t="s">
        <v>652</v>
      </c>
      <c r="E101" s="20" t="s">
        <v>653</v>
      </c>
      <c r="F101" s="76" t="s">
        <v>510</v>
      </c>
      <c r="G101" s="20" t="s">
        <v>636</v>
      </c>
      <c r="H101" s="55" t="n">
        <v>32</v>
      </c>
      <c r="I101" s="76" t="s">
        <v>512</v>
      </c>
      <c r="J101" s="76" t="s">
        <v>164</v>
      </c>
      <c r="K101" s="82" t="n">
        <v>2</v>
      </c>
      <c r="L101" s="55" t="n">
        <v>4</v>
      </c>
      <c r="M101" s="73" t="n">
        <v>4</v>
      </c>
      <c r="N101" s="74" t="n">
        <f aca="false">K101*L101*M101</f>
        <v>32</v>
      </c>
      <c r="O101" s="41" t="n">
        <f aca="false">IFERROR(INDEX(Исходные!$B$21:$B$33,MATCH(H101,Исходные!$A$21:$A$33,0)),0)</f>
        <v>6.313</v>
      </c>
      <c r="P101" s="83" t="n">
        <f aca="false">N101*O101</f>
        <v>202.016</v>
      </c>
      <c r="Q101" s="20" t="s">
        <v>637</v>
      </c>
      <c r="R101" s="85" t="s">
        <v>638</v>
      </c>
      <c r="S101" s="20" t="s">
        <v>639</v>
      </c>
      <c r="T101" s="20" t="s">
        <v>12</v>
      </c>
      <c r="U101" s="53" t="n">
        <v>1</v>
      </c>
      <c r="V101" s="76" t="s">
        <v>653</v>
      </c>
      <c r="W101" s="53" t="n">
        <v>1</v>
      </c>
    </row>
    <row r="102" customFormat="false" ht="23.85" hidden="false" customHeight="false" outlineLevel="0" collapsed="false">
      <c r="A102" s="76" t="n">
        <v>95</v>
      </c>
      <c r="B102" s="20" t="s">
        <v>507</v>
      </c>
      <c r="C102" s="20" t="s">
        <v>633</v>
      </c>
      <c r="D102" s="20" t="s">
        <v>652</v>
      </c>
      <c r="E102" s="20" t="s">
        <v>653</v>
      </c>
      <c r="F102" s="76" t="s">
        <v>516</v>
      </c>
      <c r="G102" s="20" t="s">
        <v>640</v>
      </c>
      <c r="H102" s="55" t="n">
        <v>20</v>
      </c>
      <c r="I102" s="76" t="s">
        <v>512</v>
      </c>
      <c r="J102" s="76" t="s">
        <v>164</v>
      </c>
      <c r="K102" s="82" t="n">
        <v>2</v>
      </c>
      <c r="L102" s="55" t="n">
        <v>8</v>
      </c>
      <c r="M102" s="73" t="n">
        <v>4</v>
      </c>
      <c r="N102" s="74" t="n">
        <f aca="false">K102*L102*M102</f>
        <v>64</v>
      </c>
      <c r="O102" s="41" t="n">
        <f aca="false">IFERROR(INDEX(Исходные!$B$21:$B$33,MATCH(H102,Исходные!$A$21:$A$33,0)),0)</f>
        <v>2.466</v>
      </c>
      <c r="P102" s="83" t="n">
        <f aca="false">N102*O102</f>
        <v>157.824</v>
      </c>
      <c r="Q102" s="20" t="s">
        <v>641</v>
      </c>
      <c r="R102" s="85" t="s">
        <v>638</v>
      </c>
      <c r="S102" s="20" t="s">
        <v>642</v>
      </c>
      <c r="T102" s="20" t="s">
        <v>12</v>
      </c>
      <c r="U102" s="53" t="n">
        <v>1</v>
      </c>
      <c r="V102" s="76" t="s">
        <v>653</v>
      </c>
      <c r="W102" s="53" t="n">
        <v>1</v>
      </c>
    </row>
    <row r="103" customFormat="false" ht="35.05" hidden="false" customHeight="false" outlineLevel="0" collapsed="false">
      <c r="A103" s="76" t="n">
        <v>96</v>
      </c>
      <c r="B103" s="20" t="s">
        <v>507</v>
      </c>
      <c r="C103" s="20" t="s">
        <v>633</v>
      </c>
      <c r="D103" s="20" t="s">
        <v>652</v>
      </c>
      <c r="E103" s="20" t="s">
        <v>653</v>
      </c>
      <c r="F103" s="76" t="s">
        <v>555</v>
      </c>
      <c r="G103" s="20" t="s">
        <v>643</v>
      </c>
      <c r="H103" s="55" t="n">
        <v>8</v>
      </c>
      <c r="I103" s="76" t="s">
        <v>546</v>
      </c>
      <c r="J103" s="76" t="s">
        <v>644</v>
      </c>
      <c r="K103" s="82" t="n">
        <v>2</v>
      </c>
      <c r="L103" s="55" t="n">
        <v>30</v>
      </c>
      <c r="M103" s="73" t="n">
        <v>2.44</v>
      </c>
      <c r="N103" s="74" t="n">
        <f aca="false">K103*L103*M103</f>
        <v>146.4</v>
      </c>
      <c r="O103" s="41" t="n">
        <f aca="false">IFERROR(INDEX(Исходные!$B$21:$B$33,MATCH(H103,Исходные!$A$21:$A$33,0)),0)</f>
        <v>0.395</v>
      </c>
      <c r="P103" s="83" t="n">
        <f aca="false">N103*O103</f>
        <v>57.828</v>
      </c>
      <c r="Q103" s="20" t="s">
        <v>645</v>
      </c>
      <c r="R103" s="84" t="s">
        <v>514</v>
      </c>
      <c r="S103" s="20"/>
      <c r="T103" s="20" t="s">
        <v>12</v>
      </c>
      <c r="U103" s="53" t="n">
        <v>0</v>
      </c>
      <c r="V103" s="76" t="s">
        <v>653</v>
      </c>
      <c r="W103" s="53" t="n">
        <v>1</v>
      </c>
    </row>
    <row r="104" customFormat="false" ht="23.85" hidden="false" customHeight="false" outlineLevel="0" collapsed="false">
      <c r="A104" s="76" t="n">
        <v>97</v>
      </c>
      <c r="B104" s="20" t="s">
        <v>507</v>
      </c>
      <c r="C104" s="20" t="s">
        <v>633</v>
      </c>
      <c r="D104" s="20" t="s">
        <v>652</v>
      </c>
      <c r="E104" s="20" t="s">
        <v>653</v>
      </c>
      <c r="F104" s="76" t="s">
        <v>558</v>
      </c>
      <c r="G104" s="20" t="s">
        <v>646</v>
      </c>
      <c r="H104" s="55" t="n">
        <v>8</v>
      </c>
      <c r="I104" s="76" t="s">
        <v>546</v>
      </c>
      <c r="J104" s="76" t="n">
        <v>200</v>
      </c>
      <c r="K104" s="82" t="n">
        <v>2</v>
      </c>
      <c r="L104" s="55" t="n">
        <v>36</v>
      </c>
      <c r="M104" s="73" t="n">
        <v>1.96</v>
      </c>
      <c r="N104" s="74" t="n">
        <f aca="false">K104*L104*M104</f>
        <v>141.12</v>
      </c>
      <c r="O104" s="41" t="n">
        <f aca="false">IFERROR(INDEX(Исходные!$B$21:$B$33,MATCH(H104,Исходные!$A$21:$A$33,0)),0)</f>
        <v>0.395</v>
      </c>
      <c r="P104" s="83" t="n">
        <f aca="false">N104*O104</f>
        <v>55.7424</v>
      </c>
      <c r="Q104" s="20" t="s">
        <v>647</v>
      </c>
      <c r="R104" s="84" t="s">
        <v>514</v>
      </c>
      <c r="S104" s="20"/>
      <c r="T104" s="20" t="s">
        <v>12</v>
      </c>
      <c r="U104" s="53" t="n">
        <v>0</v>
      </c>
      <c r="V104" s="76" t="s">
        <v>653</v>
      </c>
      <c r="W104" s="53" t="n">
        <v>1</v>
      </c>
    </row>
    <row r="105" customFormat="false" ht="15" hidden="false" customHeight="true" outlineLevel="0" collapsed="false">
      <c r="A105" s="81" t="s">
        <v>654</v>
      </c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</row>
    <row r="106" customFormat="false" ht="35.05" hidden="false" customHeight="false" outlineLevel="0" collapsed="false">
      <c r="A106" s="76" t="n">
        <v>98</v>
      </c>
      <c r="B106" s="20" t="s">
        <v>507</v>
      </c>
      <c r="C106" s="20" t="s">
        <v>655</v>
      </c>
      <c r="D106" s="20" t="s">
        <v>656</v>
      </c>
      <c r="E106" s="20" t="s">
        <v>657</v>
      </c>
      <c r="F106" s="76" t="s">
        <v>519</v>
      </c>
      <c r="G106" s="20" t="s">
        <v>658</v>
      </c>
      <c r="H106" s="55" t="n">
        <v>28</v>
      </c>
      <c r="I106" s="76" t="s">
        <v>512</v>
      </c>
      <c r="J106" s="76" t="s">
        <v>164</v>
      </c>
      <c r="K106" s="82" t="n">
        <v>1</v>
      </c>
      <c r="L106" s="55" t="n">
        <v>4</v>
      </c>
      <c r="M106" s="73" t="n">
        <v>25.5</v>
      </c>
      <c r="N106" s="74" t="n">
        <f aca="false">K106*L106*M106</f>
        <v>102</v>
      </c>
      <c r="O106" s="41" t="n">
        <f aca="false">IFERROR(INDEX(Исходные!$B$21:$B$33,MATCH(H106,Исходные!$A$21:$A$33,0)),0)</f>
        <v>4.834</v>
      </c>
      <c r="P106" s="83" t="n">
        <f aca="false">N106*O106</f>
        <v>493.068</v>
      </c>
      <c r="Q106" s="20" t="s">
        <v>659</v>
      </c>
      <c r="R106" s="84" t="s">
        <v>660</v>
      </c>
      <c r="S106" s="20" t="s">
        <v>661</v>
      </c>
      <c r="T106" s="20" t="s">
        <v>123</v>
      </c>
      <c r="U106" s="53" t="n">
        <v>0</v>
      </c>
      <c r="V106" s="76" t="s">
        <v>657</v>
      </c>
      <c r="W106" s="53" t="n">
        <v>1</v>
      </c>
    </row>
    <row r="107" customFormat="false" ht="23.85" hidden="false" customHeight="false" outlineLevel="0" collapsed="false">
      <c r="A107" s="76" t="n">
        <v>99</v>
      </c>
      <c r="B107" s="20" t="s">
        <v>507</v>
      </c>
      <c r="C107" s="20" t="s">
        <v>655</v>
      </c>
      <c r="D107" s="20" t="s">
        <v>656</v>
      </c>
      <c r="E107" s="20" t="s">
        <v>657</v>
      </c>
      <c r="F107" s="76" t="s">
        <v>529</v>
      </c>
      <c r="G107" s="20" t="s">
        <v>662</v>
      </c>
      <c r="H107" s="55" t="n">
        <v>18</v>
      </c>
      <c r="I107" s="76" t="s">
        <v>512</v>
      </c>
      <c r="J107" s="76" t="s">
        <v>164</v>
      </c>
      <c r="K107" s="82" t="n">
        <v>1</v>
      </c>
      <c r="L107" s="55" t="n">
        <v>2</v>
      </c>
      <c r="M107" s="73" t="n">
        <v>25.5</v>
      </c>
      <c r="N107" s="74" t="n">
        <f aca="false">K107*L107*M107</f>
        <v>51</v>
      </c>
      <c r="O107" s="41" t="n">
        <f aca="false">IFERROR(INDEX(Исходные!$B$21:$B$33,MATCH(H107,Исходные!$A$21:$A$33,0)),0)</f>
        <v>1.998</v>
      </c>
      <c r="P107" s="83" t="n">
        <f aca="false">N107*O107</f>
        <v>101.898</v>
      </c>
      <c r="Q107" s="20" t="s">
        <v>663</v>
      </c>
      <c r="R107" s="84" t="s">
        <v>660</v>
      </c>
      <c r="S107" s="20"/>
      <c r="T107" s="20" t="s">
        <v>123</v>
      </c>
      <c r="U107" s="53" t="n">
        <v>0</v>
      </c>
      <c r="V107" s="76" t="s">
        <v>657</v>
      </c>
      <c r="W107" s="53" t="n">
        <v>1</v>
      </c>
    </row>
    <row r="108" customFormat="false" ht="35.05" hidden="false" customHeight="false" outlineLevel="0" collapsed="false">
      <c r="A108" s="76" t="n">
        <v>100</v>
      </c>
      <c r="B108" s="20" t="s">
        <v>507</v>
      </c>
      <c r="C108" s="20" t="s">
        <v>655</v>
      </c>
      <c r="D108" s="20" t="s">
        <v>656</v>
      </c>
      <c r="E108" s="20" t="s">
        <v>657</v>
      </c>
      <c r="F108" s="76" t="s">
        <v>664</v>
      </c>
      <c r="G108" s="20" t="s">
        <v>665</v>
      </c>
      <c r="H108" s="55" t="n">
        <v>18</v>
      </c>
      <c r="I108" s="76" t="s">
        <v>512</v>
      </c>
      <c r="J108" s="76" t="s">
        <v>164</v>
      </c>
      <c r="K108" s="82" t="n">
        <v>2</v>
      </c>
      <c r="L108" s="55" t="n">
        <v>2</v>
      </c>
      <c r="M108" s="73" t="n">
        <v>0.144</v>
      </c>
      <c r="N108" s="74" t="n">
        <f aca="false">K108*L108*M108</f>
        <v>0.576</v>
      </c>
      <c r="O108" s="41" t="n">
        <f aca="false">IFERROR(INDEX(Исходные!$B$21:$B$33,MATCH(H108,Исходные!$A$21:$A$33,0)),0)</f>
        <v>1.998</v>
      </c>
      <c r="P108" s="83" t="n">
        <f aca="false">N108*O108</f>
        <v>1.150848</v>
      </c>
      <c r="Q108" s="20" t="s">
        <v>666</v>
      </c>
      <c r="R108" s="84" t="s">
        <v>667</v>
      </c>
      <c r="S108" s="20" t="s">
        <v>668</v>
      </c>
      <c r="T108" s="20" t="s">
        <v>123</v>
      </c>
      <c r="U108" s="53" t="n">
        <v>0</v>
      </c>
      <c r="V108" s="76" t="s">
        <v>657</v>
      </c>
      <c r="W108" s="53" t="n">
        <v>1</v>
      </c>
    </row>
    <row r="109" customFormat="false" ht="23.85" hidden="false" customHeight="false" outlineLevel="0" collapsed="false">
      <c r="A109" s="76" t="n">
        <v>101</v>
      </c>
      <c r="B109" s="20" t="s">
        <v>507</v>
      </c>
      <c r="C109" s="20" t="s">
        <v>655</v>
      </c>
      <c r="D109" s="20" t="s">
        <v>656</v>
      </c>
      <c r="E109" s="20" t="s">
        <v>657</v>
      </c>
      <c r="F109" s="76" t="s">
        <v>669</v>
      </c>
      <c r="G109" s="20" t="s">
        <v>670</v>
      </c>
      <c r="H109" s="55" t="n">
        <v>16</v>
      </c>
      <c r="I109" s="76" t="s">
        <v>512</v>
      </c>
      <c r="J109" s="76" t="s">
        <v>164</v>
      </c>
      <c r="K109" s="82" t="n">
        <v>1</v>
      </c>
      <c r="L109" s="55" t="n">
        <v>2</v>
      </c>
      <c r="M109" s="73" t="n">
        <v>25.5</v>
      </c>
      <c r="N109" s="74" t="n">
        <f aca="false">K109*L109*M109</f>
        <v>51</v>
      </c>
      <c r="O109" s="41" t="n">
        <f aca="false">IFERROR(INDEX(Исходные!$B$21:$B$33,MATCH(H109,Исходные!$A$21:$A$33,0)),0)</f>
        <v>1.578</v>
      </c>
      <c r="P109" s="83" t="n">
        <f aca="false">N109*O109</f>
        <v>80.478</v>
      </c>
      <c r="Q109" s="20" t="s">
        <v>671</v>
      </c>
      <c r="R109" s="84" t="s">
        <v>660</v>
      </c>
      <c r="S109" s="20"/>
      <c r="T109" s="20" t="s">
        <v>123</v>
      </c>
      <c r="U109" s="53" t="n">
        <v>0</v>
      </c>
      <c r="V109" s="76" t="s">
        <v>657</v>
      </c>
      <c r="W109" s="53" t="n">
        <v>1</v>
      </c>
    </row>
    <row r="110" customFormat="false" ht="35.05" hidden="false" customHeight="false" outlineLevel="0" collapsed="false">
      <c r="A110" s="76" t="n">
        <v>102</v>
      </c>
      <c r="B110" s="20" t="s">
        <v>507</v>
      </c>
      <c r="C110" s="20" t="s">
        <v>655</v>
      </c>
      <c r="D110" s="20" t="s">
        <v>656</v>
      </c>
      <c r="E110" s="20" t="s">
        <v>657</v>
      </c>
      <c r="F110" s="76" t="s">
        <v>672</v>
      </c>
      <c r="G110" s="20" t="s">
        <v>673</v>
      </c>
      <c r="H110" s="55" t="n">
        <v>16</v>
      </c>
      <c r="I110" s="76" t="s">
        <v>512</v>
      </c>
      <c r="J110" s="76" t="s">
        <v>164</v>
      </c>
      <c r="K110" s="82" t="n">
        <v>2</v>
      </c>
      <c r="L110" s="55" t="n">
        <v>2</v>
      </c>
      <c r="M110" s="73" t="n">
        <v>0.128</v>
      </c>
      <c r="N110" s="74" t="n">
        <f aca="false">K110*L110*M110</f>
        <v>0.512</v>
      </c>
      <c r="O110" s="41" t="n">
        <f aca="false">IFERROR(INDEX(Исходные!$B$21:$B$33,MATCH(H110,Исходные!$A$21:$A$33,0)),0)</f>
        <v>1.578</v>
      </c>
      <c r="P110" s="83" t="n">
        <f aca="false">N110*O110</f>
        <v>0.807936</v>
      </c>
      <c r="Q110" s="20" t="s">
        <v>674</v>
      </c>
      <c r="R110" s="84" t="s">
        <v>667</v>
      </c>
      <c r="S110" s="20" t="s">
        <v>675</v>
      </c>
      <c r="T110" s="20" t="s">
        <v>123</v>
      </c>
      <c r="U110" s="53" t="n">
        <v>0</v>
      </c>
      <c r="V110" s="76" t="s">
        <v>657</v>
      </c>
      <c r="W110" s="53" t="n">
        <v>1</v>
      </c>
    </row>
    <row r="111" customFormat="false" ht="23.85" hidden="false" customHeight="false" outlineLevel="0" collapsed="false">
      <c r="A111" s="76" t="n">
        <v>103</v>
      </c>
      <c r="B111" s="20" t="s">
        <v>507</v>
      </c>
      <c r="C111" s="20" t="s">
        <v>655</v>
      </c>
      <c r="D111" s="20" t="s">
        <v>656</v>
      </c>
      <c r="E111" s="20" t="s">
        <v>657</v>
      </c>
      <c r="F111" s="76" t="s">
        <v>676</v>
      </c>
      <c r="G111" s="20" t="s">
        <v>677</v>
      </c>
      <c r="H111" s="55" t="n">
        <v>28</v>
      </c>
      <c r="I111" s="76" t="s">
        <v>512</v>
      </c>
      <c r="J111" s="76" t="s">
        <v>164</v>
      </c>
      <c r="K111" s="82" t="n">
        <v>1</v>
      </c>
      <c r="L111" s="55" t="n">
        <v>2</v>
      </c>
      <c r="M111" s="73" t="n">
        <v>2.05</v>
      </c>
      <c r="N111" s="74" t="n">
        <f aca="false">K111*L111*M111</f>
        <v>4.1</v>
      </c>
      <c r="O111" s="41" t="n">
        <f aca="false">IFERROR(INDEX(Исходные!$B$21:$B$33,MATCH(H111,Исходные!$A$21:$A$33,0)),0)</f>
        <v>4.834</v>
      </c>
      <c r="P111" s="83" t="n">
        <f aca="false">N111*O111</f>
        <v>19.8194</v>
      </c>
      <c r="Q111" s="20" t="s">
        <v>678</v>
      </c>
      <c r="R111" s="84" t="s">
        <v>660</v>
      </c>
      <c r="S111" s="20" t="s">
        <v>679</v>
      </c>
      <c r="T111" s="20" t="s">
        <v>123</v>
      </c>
      <c r="U111" s="53" t="n">
        <v>0</v>
      </c>
      <c r="V111" s="76" t="s">
        <v>657</v>
      </c>
      <c r="W111" s="53" t="n">
        <v>1</v>
      </c>
    </row>
    <row r="112" customFormat="false" ht="23.85" hidden="false" customHeight="false" outlineLevel="0" collapsed="false">
      <c r="A112" s="76" t="n">
        <v>104</v>
      </c>
      <c r="B112" s="20" t="s">
        <v>507</v>
      </c>
      <c r="C112" s="20" t="s">
        <v>655</v>
      </c>
      <c r="D112" s="20" t="s">
        <v>656</v>
      </c>
      <c r="E112" s="20" t="s">
        <v>657</v>
      </c>
      <c r="F112" s="76" t="s">
        <v>676</v>
      </c>
      <c r="G112" s="20" t="s">
        <v>680</v>
      </c>
      <c r="H112" s="55" t="n">
        <v>25</v>
      </c>
      <c r="I112" s="76" t="s">
        <v>512</v>
      </c>
      <c r="J112" s="76" t="s">
        <v>164</v>
      </c>
      <c r="K112" s="82" t="n">
        <v>1</v>
      </c>
      <c r="L112" s="55" t="n">
        <v>2</v>
      </c>
      <c r="M112" s="73" t="n">
        <v>4.5</v>
      </c>
      <c r="N112" s="74" t="n">
        <f aca="false">K112*L112*M112</f>
        <v>9</v>
      </c>
      <c r="O112" s="41" t="n">
        <f aca="false">IFERROR(INDEX(Исходные!$B$21:$B$33,MATCH(H112,Исходные!$A$21:$A$33,0)),0)</f>
        <v>3.853</v>
      </c>
      <c r="P112" s="83" t="n">
        <f aca="false">N112*O112</f>
        <v>34.677</v>
      </c>
      <c r="Q112" s="20" t="s">
        <v>681</v>
      </c>
      <c r="R112" s="84" t="s">
        <v>660</v>
      </c>
      <c r="S112" s="20" t="s">
        <v>682</v>
      </c>
      <c r="T112" s="20" t="s">
        <v>123</v>
      </c>
      <c r="U112" s="53" t="n">
        <v>0</v>
      </c>
      <c r="V112" s="76" t="s">
        <v>657</v>
      </c>
      <c r="W112" s="53" t="n">
        <v>1</v>
      </c>
    </row>
    <row r="113" customFormat="false" ht="23.85" hidden="false" customHeight="false" outlineLevel="0" collapsed="false">
      <c r="A113" s="76" t="n">
        <v>105</v>
      </c>
      <c r="B113" s="20" t="s">
        <v>507</v>
      </c>
      <c r="C113" s="20" t="s">
        <v>655</v>
      </c>
      <c r="D113" s="20" t="s">
        <v>656</v>
      </c>
      <c r="E113" s="20" t="s">
        <v>657</v>
      </c>
      <c r="F113" s="76" t="s">
        <v>676</v>
      </c>
      <c r="G113" s="20" t="s">
        <v>683</v>
      </c>
      <c r="H113" s="55" t="n">
        <v>22</v>
      </c>
      <c r="I113" s="76" t="s">
        <v>512</v>
      </c>
      <c r="J113" s="76" t="s">
        <v>164</v>
      </c>
      <c r="K113" s="82" t="n">
        <v>1</v>
      </c>
      <c r="L113" s="55" t="n">
        <v>2</v>
      </c>
      <c r="M113" s="73" t="n">
        <v>4.5</v>
      </c>
      <c r="N113" s="74" t="n">
        <f aca="false">K113*L113*M113</f>
        <v>9</v>
      </c>
      <c r="O113" s="41" t="n">
        <f aca="false">IFERROR(INDEX(Исходные!$B$21:$B$33,MATCH(H113,Исходные!$A$21:$A$33,0)),0)</f>
        <v>2.984</v>
      </c>
      <c r="P113" s="83" t="n">
        <f aca="false">N113*O113</f>
        <v>26.856</v>
      </c>
      <c r="Q113" s="20" t="s">
        <v>684</v>
      </c>
      <c r="R113" s="84" t="s">
        <v>660</v>
      </c>
      <c r="S113" s="20" t="s">
        <v>682</v>
      </c>
      <c r="T113" s="20" t="s">
        <v>123</v>
      </c>
      <c r="U113" s="53" t="n">
        <v>0</v>
      </c>
      <c r="V113" s="76" t="s">
        <v>657</v>
      </c>
      <c r="W113" s="53" t="n">
        <v>1</v>
      </c>
    </row>
    <row r="114" customFormat="false" ht="23.85" hidden="false" customHeight="false" outlineLevel="0" collapsed="false">
      <c r="A114" s="76" t="n">
        <v>106</v>
      </c>
      <c r="B114" s="20" t="s">
        <v>507</v>
      </c>
      <c r="C114" s="20" t="s">
        <v>655</v>
      </c>
      <c r="D114" s="20" t="s">
        <v>656</v>
      </c>
      <c r="E114" s="20" t="s">
        <v>657</v>
      </c>
      <c r="F114" s="76" t="s">
        <v>676</v>
      </c>
      <c r="G114" s="20" t="s">
        <v>685</v>
      </c>
      <c r="H114" s="55" t="n">
        <v>32</v>
      </c>
      <c r="I114" s="76" t="s">
        <v>512</v>
      </c>
      <c r="J114" s="76" t="s">
        <v>164</v>
      </c>
      <c r="K114" s="82" t="n">
        <v>1</v>
      </c>
      <c r="L114" s="55" t="n">
        <v>2</v>
      </c>
      <c r="M114" s="73" t="n">
        <v>3.3</v>
      </c>
      <c r="N114" s="74" t="n">
        <f aca="false">K114*L114*M114</f>
        <v>6.6</v>
      </c>
      <c r="O114" s="41" t="n">
        <f aca="false">IFERROR(INDEX(Исходные!$B$21:$B$33,MATCH(H114,Исходные!$A$21:$A$33,0)),0)</f>
        <v>6.313</v>
      </c>
      <c r="P114" s="83" t="n">
        <f aca="false">N114*O114</f>
        <v>41.6658</v>
      </c>
      <c r="Q114" s="20" t="s">
        <v>686</v>
      </c>
      <c r="R114" s="84" t="s">
        <v>660</v>
      </c>
      <c r="S114" s="20" t="s">
        <v>687</v>
      </c>
      <c r="T114" s="20" t="s">
        <v>123</v>
      </c>
      <c r="U114" s="53" t="n">
        <v>0</v>
      </c>
      <c r="V114" s="76" t="s">
        <v>657</v>
      </c>
      <c r="W114" s="53" t="n">
        <v>1</v>
      </c>
    </row>
    <row r="115" customFormat="false" ht="23.85" hidden="false" customHeight="false" outlineLevel="0" collapsed="false">
      <c r="A115" s="76" t="n">
        <v>107</v>
      </c>
      <c r="B115" s="20" t="s">
        <v>507</v>
      </c>
      <c r="C115" s="20" t="s">
        <v>655</v>
      </c>
      <c r="D115" s="20" t="s">
        <v>656</v>
      </c>
      <c r="E115" s="20" t="s">
        <v>657</v>
      </c>
      <c r="F115" s="76" t="s">
        <v>676</v>
      </c>
      <c r="G115" s="20" t="s">
        <v>688</v>
      </c>
      <c r="H115" s="55" t="n">
        <v>25</v>
      </c>
      <c r="I115" s="76" t="s">
        <v>512</v>
      </c>
      <c r="J115" s="76" t="s">
        <v>164</v>
      </c>
      <c r="K115" s="82" t="n">
        <v>1</v>
      </c>
      <c r="L115" s="55" t="n">
        <v>2</v>
      </c>
      <c r="M115" s="73" t="n">
        <v>7.85</v>
      </c>
      <c r="N115" s="74" t="n">
        <f aca="false">K115*L115*M115</f>
        <v>15.7</v>
      </c>
      <c r="O115" s="41" t="n">
        <f aca="false">IFERROR(INDEX(Исходные!$B$21:$B$33,MATCH(H115,Исходные!$A$21:$A$33,0)),0)</f>
        <v>3.853</v>
      </c>
      <c r="P115" s="83" t="n">
        <f aca="false">N115*O115</f>
        <v>60.4921</v>
      </c>
      <c r="Q115" s="20" t="s">
        <v>681</v>
      </c>
      <c r="R115" s="84" t="s">
        <v>660</v>
      </c>
      <c r="S115" s="20" t="s">
        <v>689</v>
      </c>
      <c r="T115" s="20" t="s">
        <v>123</v>
      </c>
      <c r="U115" s="53" t="n">
        <v>0</v>
      </c>
      <c r="V115" s="76" t="s">
        <v>657</v>
      </c>
      <c r="W115" s="53" t="n">
        <v>1</v>
      </c>
    </row>
    <row r="116" customFormat="false" ht="23.85" hidden="false" customHeight="false" outlineLevel="0" collapsed="false">
      <c r="A116" s="76" t="n">
        <v>108</v>
      </c>
      <c r="B116" s="20" t="s">
        <v>507</v>
      </c>
      <c r="C116" s="20" t="s">
        <v>655</v>
      </c>
      <c r="D116" s="20" t="s">
        <v>656</v>
      </c>
      <c r="E116" s="20" t="s">
        <v>657</v>
      </c>
      <c r="F116" s="76" t="s">
        <v>676</v>
      </c>
      <c r="G116" s="20" t="s">
        <v>690</v>
      </c>
      <c r="H116" s="55" t="n">
        <v>25</v>
      </c>
      <c r="I116" s="76" t="s">
        <v>512</v>
      </c>
      <c r="J116" s="76" t="s">
        <v>164</v>
      </c>
      <c r="K116" s="82" t="n">
        <v>1</v>
      </c>
      <c r="L116" s="55" t="n">
        <v>2</v>
      </c>
      <c r="M116" s="73" t="n">
        <v>7.85</v>
      </c>
      <c r="N116" s="74" t="n">
        <f aca="false">K116*L116*M116</f>
        <v>15.7</v>
      </c>
      <c r="O116" s="41" t="n">
        <f aca="false">IFERROR(INDEX(Исходные!$B$21:$B$33,MATCH(H116,Исходные!$A$21:$A$33,0)),0)</f>
        <v>3.853</v>
      </c>
      <c r="P116" s="83" t="n">
        <f aca="false">N116*O116</f>
        <v>60.4921</v>
      </c>
      <c r="Q116" s="20" t="s">
        <v>681</v>
      </c>
      <c r="R116" s="84" t="s">
        <v>660</v>
      </c>
      <c r="S116" s="20" t="s">
        <v>689</v>
      </c>
      <c r="T116" s="20" t="s">
        <v>123</v>
      </c>
      <c r="U116" s="53" t="n">
        <v>0</v>
      </c>
      <c r="V116" s="76" t="s">
        <v>657</v>
      </c>
      <c r="W116" s="53" t="n">
        <v>1</v>
      </c>
    </row>
    <row r="117" customFormat="false" ht="23.85" hidden="false" customHeight="false" outlineLevel="0" collapsed="false">
      <c r="A117" s="76" t="n">
        <v>109</v>
      </c>
      <c r="B117" s="20" t="s">
        <v>507</v>
      </c>
      <c r="C117" s="20" t="s">
        <v>655</v>
      </c>
      <c r="D117" s="20" t="s">
        <v>656</v>
      </c>
      <c r="E117" s="20" t="s">
        <v>657</v>
      </c>
      <c r="F117" s="76" t="s">
        <v>676</v>
      </c>
      <c r="G117" s="20" t="s">
        <v>691</v>
      </c>
      <c r="H117" s="55" t="n">
        <v>16</v>
      </c>
      <c r="I117" s="76" t="s">
        <v>512</v>
      </c>
      <c r="J117" s="76" t="s">
        <v>164</v>
      </c>
      <c r="K117" s="82" t="n">
        <v>1</v>
      </c>
      <c r="L117" s="55" t="n">
        <v>2</v>
      </c>
      <c r="M117" s="73" t="n">
        <v>9.45</v>
      </c>
      <c r="N117" s="74" t="n">
        <f aca="false">K117*L117*M117</f>
        <v>18.9</v>
      </c>
      <c r="O117" s="41" t="n">
        <f aca="false">IFERROR(INDEX(Исходные!$B$21:$B$33,MATCH(H117,Исходные!$A$21:$A$33,0)),0)</f>
        <v>1.578</v>
      </c>
      <c r="P117" s="83" t="n">
        <f aca="false">N117*O117</f>
        <v>29.8242</v>
      </c>
      <c r="Q117" s="20" t="s">
        <v>692</v>
      </c>
      <c r="R117" s="84" t="s">
        <v>660</v>
      </c>
      <c r="S117" s="20" t="s">
        <v>693</v>
      </c>
      <c r="T117" s="20" t="s">
        <v>123</v>
      </c>
      <c r="U117" s="53" t="n">
        <v>0</v>
      </c>
      <c r="V117" s="76" t="s">
        <v>657</v>
      </c>
      <c r="W117" s="53" t="n">
        <v>1</v>
      </c>
    </row>
    <row r="118" customFormat="false" ht="23.85" hidden="false" customHeight="false" outlineLevel="0" collapsed="false">
      <c r="A118" s="76" t="n">
        <v>110</v>
      </c>
      <c r="B118" s="20" t="s">
        <v>507</v>
      </c>
      <c r="C118" s="20" t="s">
        <v>655</v>
      </c>
      <c r="D118" s="20" t="s">
        <v>656</v>
      </c>
      <c r="E118" s="20" t="s">
        <v>657</v>
      </c>
      <c r="F118" s="76" t="s">
        <v>676</v>
      </c>
      <c r="G118" s="20" t="s">
        <v>694</v>
      </c>
      <c r="H118" s="55" t="n">
        <v>16</v>
      </c>
      <c r="I118" s="76" t="s">
        <v>512</v>
      </c>
      <c r="J118" s="76" t="s">
        <v>164</v>
      </c>
      <c r="K118" s="82" t="n">
        <v>1</v>
      </c>
      <c r="L118" s="55" t="n">
        <v>2</v>
      </c>
      <c r="M118" s="73" t="n">
        <v>3.3</v>
      </c>
      <c r="N118" s="74" t="n">
        <f aca="false">K118*L118*M118</f>
        <v>6.6</v>
      </c>
      <c r="O118" s="41" t="n">
        <f aca="false">IFERROR(INDEX(Исходные!$B$21:$B$33,MATCH(H118,Исходные!$A$21:$A$33,0)),0)</f>
        <v>1.578</v>
      </c>
      <c r="P118" s="83" t="n">
        <f aca="false">N118*O118</f>
        <v>10.4148</v>
      </c>
      <c r="Q118" s="20" t="s">
        <v>692</v>
      </c>
      <c r="R118" s="84" t="s">
        <v>660</v>
      </c>
      <c r="S118" s="20" t="s">
        <v>687</v>
      </c>
      <c r="T118" s="20" t="s">
        <v>123</v>
      </c>
      <c r="U118" s="53" t="n">
        <v>0</v>
      </c>
      <c r="V118" s="76" t="s">
        <v>657</v>
      </c>
      <c r="W118" s="53" t="n">
        <v>1</v>
      </c>
    </row>
    <row r="119" customFormat="false" ht="23.85" hidden="false" customHeight="false" outlineLevel="0" collapsed="false">
      <c r="A119" s="76" t="n">
        <v>111</v>
      </c>
      <c r="B119" s="20" t="s">
        <v>507</v>
      </c>
      <c r="C119" s="20" t="s">
        <v>655</v>
      </c>
      <c r="D119" s="20" t="s">
        <v>656</v>
      </c>
      <c r="E119" s="20" t="s">
        <v>657</v>
      </c>
      <c r="F119" s="76" t="s">
        <v>676</v>
      </c>
      <c r="G119" s="20" t="s">
        <v>695</v>
      </c>
      <c r="H119" s="55" t="n">
        <v>28</v>
      </c>
      <c r="I119" s="76" t="s">
        <v>512</v>
      </c>
      <c r="J119" s="76" t="s">
        <v>164</v>
      </c>
      <c r="K119" s="82" t="n">
        <v>1</v>
      </c>
      <c r="L119" s="55" t="n">
        <v>2</v>
      </c>
      <c r="M119" s="73" t="n">
        <v>7.85</v>
      </c>
      <c r="N119" s="74" t="n">
        <f aca="false">K119*L119*M119</f>
        <v>15.7</v>
      </c>
      <c r="O119" s="41" t="n">
        <f aca="false">IFERROR(INDEX(Исходные!$B$21:$B$33,MATCH(H119,Исходные!$A$21:$A$33,0)),0)</f>
        <v>4.834</v>
      </c>
      <c r="P119" s="83" t="n">
        <f aca="false">N119*O119</f>
        <v>75.8938</v>
      </c>
      <c r="Q119" s="20" t="s">
        <v>678</v>
      </c>
      <c r="R119" s="84" t="s">
        <v>660</v>
      </c>
      <c r="S119" s="20" t="s">
        <v>689</v>
      </c>
      <c r="T119" s="20" t="s">
        <v>123</v>
      </c>
      <c r="U119" s="53" t="n">
        <v>0</v>
      </c>
      <c r="V119" s="76" t="s">
        <v>657</v>
      </c>
      <c r="W119" s="53" t="n">
        <v>1</v>
      </c>
    </row>
    <row r="120" customFormat="false" ht="23.85" hidden="false" customHeight="false" outlineLevel="0" collapsed="false">
      <c r="A120" s="76" t="n">
        <v>112</v>
      </c>
      <c r="B120" s="20" t="s">
        <v>507</v>
      </c>
      <c r="C120" s="20" t="s">
        <v>655</v>
      </c>
      <c r="D120" s="20" t="s">
        <v>656</v>
      </c>
      <c r="E120" s="20" t="s">
        <v>657</v>
      </c>
      <c r="F120" s="76" t="s">
        <v>696</v>
      </c>
      <c r="G120" s="20" t="s">
        <v>697</v>
      </c>
      <c r="H120" s="55" t="n">
        <v>8</v>
      </c>
      <c r="I120" s="76" t="s">
        <v>546</v>
      </c>
      <c r="J120" s="76" t="s">
        <v>698</v>
      </c>
      <c r="K120" s="82" t="n">
        <v>1</v>
      </c>
      <c r="L120" s="55" t="n">
        <v>134</v>
      </c>
      <c r="M120" s="73" t="n">
        <v>2.06</v>
      </c>
      <c r="N120" s="74" t="n">
        <f aca="false">K120*L120*M120</f>
        <v>276.04</v>
      </c>
      <c r="O120" s="41" t="n">
        <f aca="false">IFERROR(INDEX(Исходные!$B$21:$B$33,MATCH(H120,Исходные!$A$21:$A$33,0)),0)</f>
        <v>0.395</v>
      </c>
      <c r="P120" s="83" t="n">
        <f aca="false">N120*O120</f>
        <v>109.0358</v>
      </c>
      <c r="Q120" s="20" t="s">
        <v>699</v>
      </c>
      <c r="R120" s="84" t="s">
        <v>514</v>
      </c>
      <c r="S120" s="20" t="s">
        <v>700</v>
      </c>
      <c r="T120" s="20" t="s">
        <v>123</v>
      </c>
      <c r="U120" s="53" t="n">
        <v>0</v>
      </c>
      <c r="V120" s="76" t="s">
        <v>657</v>
      </c>
      <c r="W120" s="53" t="n">
        <v>1</v>
      </c>
    </row>
    <row r="121" customFormat="false" ht="23.85" hidden="false" customHeight="false" outlineLevel="0" collapsed="false">
      <c r="A121" s="76" t="n">
        <v>113</v>
      </c>
      <c r="B121" s="20" t="s">
        <v>507</v>
      </c>
      <c r="C121" s="20" t="s">
        <v>655</v>
      </c>
      <c r="D121" s="20" t="s">
        <v>656</v>
      </c>
      <c r="E121" s="20" t="s">
        <v>657</v>
      </c>
      <c r="F121" s="76" t="s">
        <v>561</v>
      </c>
      <c r="G121" s="20" t="s">
        <v>701</v>
      </c>
      <c r="H121" s="55" t="n">
        <v>10</v>
      </c>
      <c r="I121" s="76" t="s">
        <v>546</v>
      </c>
      <c r="J121" s="76" t="n">
        <v>100</v>
      </c>
      <c r="K121" s="82" t="n">
        <v>1</v>
      </c>
      <c r="L121" s="55" t="n">
        <v>35</v>
      </c>
      <c r="M121" s="73" t="n">
        <v>2.06</v>
      </c>
      <c r="N121" s="74" t="n">
        <f aca="false">K121*L121*M121</f>
        <v>72.1</v>
      </c>
      <c r="O121" s="41" t="n">
        <f aca="false">IFERROR(INDEX(Исходные!$B$21:$B$33,MATCH(H121,Исходные!$A$21:$A$33,0)),0)</f>
        <v>0.617</v>
      </c>
      <c r="P121" s="83" t="n">
        <f aca="false">N121*O121</f>
        <v>44.4857</v>
      </c>
      <c r="Q121" s="20" t="s">
        <v>702</v>
      </c>
      <c r="R121" s="84" t="s">
        <v>514</v>
      </c>
      <c r="S121" s="20" t="s">
        <v>703</v>
      </c>
      <c r="T121" s="20" t="s">
        <v>123</v>
      </c>
      <c r="U121" s="53" t="n">
        <v>0</v>
      </c>
      <c r="V121" s="76" t="s">
        <v>657</v>
      </c>
      <c r="W121" s="53" t="n">
        <v>1</v>
      </c>
    </row>
    <row r="122" customFormat="false" ht="23.85" hidden="false" customHeight="false" outlineLevel="0" collapsed="false">
      <c r="A122" s="76" t="n">
        <v>114</v>
      </c>
      <c r="B122" s="20" t="s">
        <v>507</v>
      </c>
      <c r="C122" s="20" t="s">
        <v>655</v>
      </c>
      <c r="D122" s="20" t="s">
        <v>656</v>
      </c>
      <c r="E122" s="20" t="s">
        <v>657</v>
      </c>
      <c r="F122" s="76" t="s">
        <v>603</v>
      </c>
      <c r="G122" s="20" t="s">
        <v>704</v>
      </c>
      <c r="H122" s="55" t="n">
        <v>10</v>
      </c>
      <c r="I122" s="76" t="s">
        <v>546</v>
      </c>
      <c r="J122" s="76" t="n">
        <v>100</v>
      </c>
      <c r="K122" s="82" t="n">
        <v>1</v>
      </c>
      <c r="L122" s="55" t="n">
        <v>8</v>
      </c>
      <c r="M122" s="73" t="n">
        <v>1.6</v>
      </c>
      <c r="N122" s="74" t="n">
        <f aca="false">K122*L122*M122</f>
        <v>12.8</v>
      </c>
      <c r="O122" s="41" t="n">
        <f aca="false">IFERROR(INDEX(Исходные!$B$21:$B$33,MATCH(H122,Исходные!$A$21:$A$33,0)),0)</f>
        <v>0.617</v>
      </c>
      <c r="P122" s="83" t="n">
        <f aca="false">N122*O122</f>
        <v>7.8976</v>
      </c>
      <c r="Q122" s="20" t="s">
        <v>705</v>
      </c>
      <c r="R122" s="84" t="s">
        <v>514</v>
      </c>
      <c r="S122" s="20"/>
      <c r="T122" s="20" t="s">
        <v>123</v>
      </c>
      <c r="U122" s="53" t="n">
        <v>0</v>
      </c>
      <c r="V122" s="76" t="s">
        <v>657</v>
      </c>
      <c r="W122" s="53" t="n">
        <v>1</v>
      </c>
    </row>
    <row r="123" customFormat="false" ht="23.85" hidden="false" customHeight="false" outlineLevel="0" collapsed="false">
      <c r="A123" s="76" t="n">
        <v>115</v>
      </c>
      <c r="B123" s="20" t="s">
        <v>507</v>
      </c>
      <c r="C123" s="20" t="s">
        <v>655</v>
      </c>
      <c r="D123" s="20" t="s">
        <v>656</v>
      </c>
      <c r="E123" s="20" t="s">
        <v>657</v>
      </c>
      <c r="F123" s="76" t="s">
        <v>706</v>
      </c>
      <c r="G123" s="20" t="s">
        <v>707</v>
      </c>
      <c r="H123" s="55" t="n">
        <v>8</v>
      </c>
      <c r="I123" s="76" t="s">
        <v>546</v>
      </c>
      <c r="J123" s="76" t="s">
        <v>708</v>
      </c>
      <c r="K123" s="82" t="n">
        <v>1</v>
      </c>
      <c r="L123" s="55" t="n">
        <v>105</v>
      </c>
      <c r="M123" s="73" t="n">
        <v>0.75</v>
      </c>
      <c r="N123" s="74" t="n">
        <f aca="false">K123*L123*M123</f>
        <v>78.75</v>
      </c>
      <c r="O123" s="41" t="n">
        <f aca="false">IFERROR(INDEX(Исходные!$B$21:$B$33,MATCH(H123,Исходные!$A$21:$A$33,0)),0)</f>
        <v>0.395</v>
      </c>
      <c r="P123" s="83" t="n">
        <f aca="false">N123*O123</f>
        <v>31.10625</v>
      </c>
      <c r="Q123" s="20" t="s">
        <v>709</v>
      </c>
      <c r="R123" s="84" t="s">
        <v>514</v>
      </c>
      <c r="S123" s="20"/>
      <c r="T123" s="20" t="s">
        <v>123</v>
      </c>
      <c r="U123" s="53" t="n">
        <v>0</v>
      </c>
      <c r="V123" s="76" t="s">
        <v>657</v>
      </c>
      <c r="W123" s="53" t="n">
        <v>1</v>
      </c>
    </row>
    <row r="124" customFormat="false" ht="23.85" hidden="false" customHeight="false" outlineLevel="0" collapsed="false">
      <c r="A124" s="76" t="n">
        <v>116</v>
      </c>
      <c r="B124" s="20" t="s">
        <v>507</v>
      </c>
      <c r="C124" s="20" t="s">
        <v>655</v>
      </c>
      <c r="D124" s="20" t="s">
        <v>656</v>
      </c>
      <c r="E124" s="20" t="s">
        <v>657</v>
      </c>
      <c r="F124" s="76" t="s">
        <v>710</v>
      </c>
      <c r="G124" s="20" t="s">
        <v>711</v>
      </c>
      <c r="H124" s="55" t="n">
        <v>8</v>
      </c>
      <c r="I124" s="76" t="s">
        <v>546</v>
      </c>
      <c r="J124" s="76" t="n">
        <v>300</v>
      </c>
      <c r="K124" s="82" t="n">
        <v>1</v>
      </c>
      <c r="L124" s="55" t="n">
        <v>70</v>
      </c>
      <c r="M124" s="73" t="n">
        <v>0.58</v>
      </c>
      <c r="N124" s="74" t="n">
        <f aca="false">K124*L124*M124</f>
        <v>40.6</v>
      </c>
      <c r="O124" s="41" t="n">
        <f aca="false">IFERROR(INDEX(Исходные!$B$21:$B$33,MATCH(H124,Исходные!$A$21:$A$33,0)),0)</f>
        <v>0.395</v>
      </c>
      <c r="P124" s="83" t="n">
        <f aca="false">N124*O124</f>
        <v>16.037</v>
      </c>
      <c r="Q124" s="20" t="s">
        <v>712</v>
      </c>
      <c r="R124" s="85" t="s">
        <v>638</v>
      </c>
      <c r="S124" s="20" t="s">
        <v>713</v>
      </c>
      <c r="T124" s="20" t="s">
        <v>123</v>
      </c>
      <c r="U124" s="53" t="n">
        <v>1</v>
      </c>
      <c r="V124" s="76" t="s">
        <v>657</v>
      </c>
      <c r="W124" s="53" t="n">
        <v>1</v>
      </c>
    </row>
    <row r="125" customFormat="false" ht="35.05" hidden="false" customHeight="false" outlineLevel="0" collapsed="false">
      <c r="A125" s="76" t="n">
        <v>117</v>
      </c>
      <c r="B125" s="20" t="s">
        <v>507</v>
      </c>
      <c r="C125" s="20" t="s">
        <v>655</v>
      </c>
      <c r="D125" s="20" t="s">
        <v>714</v>
      </c>
      <c r="E125" s="20" t="s">
        <v>715</v>
      </c>
      <c r="F125" s="76" t="s">
        <v>519</v>
      </c>
      <c r="G125" s="20" t="s">
        <v>658</v>
      </c>
      <c r="H125" s="55" t="n">
        <v>28</v>
      </c>
      <c r="I125" s="76" t="s">
        <v>512</v>
      </c>
      <c r="J125" s="76" t="s">
        <v>164</v>
      </c>
      <c r="K125" s="82" t="n">
        <v>1</v>
      </c>
      <c r="L125" s="55" t="n">
        <v>4</v>
      </c>
      <c r="M125" s="73" t="n">
        <v>25.5</v>
      </c>
      <c r="N125" s="74" t="n">
        <f aca="false">K125*L125*M125</f>
        <v>102</v>
      </c>
      <c r="O125" s="41" t="n">
        <f aca="false">IFERROR(INDEX(Исходные!$B$21:$B$33,MATCH(H125,Исходные!$A$21:$A$33,0)),0)</f>
        <v>4.834</v>
      </c>
      <c r="P125" s="83" t="n">
        <f aca="false">N125*O125</f>
        <v>493.068</v>
      </c>
      <c r="Q125" s="20" t="s">
        <v>716</v>
      </c>
      <c r="R125" s="84" t="s">
        <v>660</v>
      </c>
      <c r="S125" s="20" t="s">
        <v>661</v>
      </c>
      <c r="T125" s="20" t="s">
        <v>123</v>
      </c>
      <c r="U125" s="53" t="n">
        <v>0</v>
      </c>
      <c r="V125" s="76" t="s">
        <v>715</v>
      </c>
      <c r="W125" s="53" t="n">
        <v>1</v>
      </c>
    </row>
    <row r="126" customFormat="false" ht="23.85" hidden="false" customHeight="false" outlineLevel="0" collapsed="false">
      <c r="A126" s="76" t="n">
        <v>118</v>
      </c>
      <c r="B126" s="20" t="s">
        <v>507</v>
      </c>
      <c r="C126" s="20" t="s">
        <v>655</v>
      </c>
      <c r="D126" s="20" t="s">
        <v>714</v>
      </c>
      <c r="E126" s="20" t="s">
        <v>715</v>
      </c>
      <c r="F126" s="76" t="s">
        <v>529</v>
      </c>
      <c r="G126" s="20" t="s">
        <v>662</v>
      </c>
      <c r="H126" s="55" t="n">
        <v>18</v>
      </c>
      <c r="I126" s="76" t="s">
        <v>512</v>
      </c>
      <c r="J126" s="76" t="s">
        <v>164</v>
      </c>
      <c r="K126" s="82" t="n">
        <v>1</v>
      </c>
      <c r="L126" s="55" t="n">
        <v>2</v>
      </c>
      <c r="M126" s="73" t="n">
        <v>25.5</v>
      </c>
      <c r="N126" s="74" t="n">
        <f aca="false">K126*L126*M126</f>
        <v>51</v>
      </c>
      <c r="O126" s="41" t="n">
        <f aca="false">IFERROR(INDEX(Исходные!$B$21:$B$33,MATCH(H126,Исходные!$A$21:$A$33,0)),0)</f>
        <v>1.998</v>
      </c>
      <c r="P126" s="83" t="n">
        <f aca="false">N126*O126</f>
        <v>101.898</v>
      </c>
      <c r="Q126" s="20" t="s">
        <v>663</v>
      </c>
      <c r="R126" s="84" t="s">
        <v>660</v>
      </c>
      <c r="S126" s="20"/>
      <c r="T126" s="20" t="s">
        <v>123</v>
      </c>
      <c r="U126" s="53" t="n">
        <v>0</v>
      </c>
      <c r="V126" s="76" t="s">
        <v>715</v>
      </c>
      <c r="W126" s="53" t="n">
        <v>1</v>
      </c>
    </row>
    <row r="127" customFormat="false" ht="35.05" hidden="false" customHeight="false" outlineLevel="0" collapsed="false">
      <c r="A127" s="76" t="n">
        <v>119</v>
      </c>
      <c r="B127" s="20" t="s">
        <v>507</v>
      </c>
      <c r="C127" s="20" t="s">
        <v>655</v>
      </c>
      <c r="D127" s="20" t="s">
        <v>714</v>
      </c>
      <c r="E127" s="20" t="s">
        <v>715</v>
      </c>
      <c r="F127" s="76" t="s">
        <v>664</v>
      </c>
      <c r="G127" s="20" t="s">
        <v>665</v>
      </c>
      <c r="H127" s="55" t="n">
        <v>18</v>
      </c>
      <c r="I127" s="76" t="s">
        <v>512</v>
      </c>
      <c r="J127" s="76" t="s">
        <v>164</v>
      </c>
      <c r="K127" s="82" t="n">
        <v>2</v>
      </c>
      <c r="L127" s="55" t="n">
        <v>2</v>
      </c>
      <c r="M127" s="73" t="n">
        <v>0.144</v>
      </c>
      <c r="N127" s="74" t="n">
        <f aca="false">K127*L127*M127</f>
        <v>0.576</v>
      </c>
      <c r="O127" s="41" t="n">
        <f aca="false">IFERROR(INDEX(Исходные!$B$21:$B$33,MATCH(H127,Исходные!$A$21:$A$33,0)),0)</f>
        <v>1.998</v>
      </c>
      <c r="P127" s="83" t="n">
        <f aca="false">N127*O127</f>
        <v>1.150848</v>
      </c>
      <c r="Q127" s="20" t="s">
        <v>666</v>
      </c>
      <c r="R127" s="84" t="s">
        <v>667</v>
      </c>
      <c r="S127" s="20" t="s">
        <v>668</v>
      </c>
      <c r="T127" s="20" t="s">
        <v>123</v>
      </c>
      <c r="U127" s="53" t="n">
        <v>0</v>
      </c>
      <c r="V127" s="76" t="s">
        <v>715</v>
      </c>
      <c r="W127" s="53" t="n">
        <v>1</v>
      </c>
    </row>
    <row r="128" customFormat="false" ht="23.85" hidden="false" customHeight="false" outlineLevel="0" collapsed="false">
      <c r="A128" s="76" t="n">
        <v>120</v>
      </c>
      <c r="B128" s="20" t="s">
        <v>507</v>
      </c>
      <c r="C128" s="20" t="s">
        <v>655</v>
      </c>
      <c r="D128" s="20" t="s">
        <v>714</v>
      </c>
      <c r="E128" s="20" t="s">
        <v>715</v>
      </c>
      <c r="F128" s="76" t="s">
        <v>669</v>
      </c>
      <c r="G128" s="20" t="s">
        <v>670</v>
      </c>
      <c r="H128" s="55" t="n">
        <v>16</v>
      </c>
      <c r="I128" s="76" t="s">
        <v>512</v>
      </c>
      <c r="J128" s="76" t="s">
        <v>164</v>
      </c>
      <c r="K128" s="82" t="n">
        <v>1</v>
      </c>
      <c r="L128" s="55" t="n">
        <v>2</v>
      </c>
      <c r="M128" s="73" t="n">
        <v>25.5</v>
      </c>
      <c r="N128" s="74" t="n">
        <f aca="false">K128*L128*M128</f>
        <v>51</v>
      </c>
      <c r="O128" s="41" t="n">
        <f aca="false">IFERROR(INDEX(Исходные!$B$21:$B$33,MATCH(H128,Исходные!$A$21:$A$33,0)),0)</f>
        <v>1.578</v>
      </c>
      <c r="P128" s="83" t="n">
        <f aca="false">N128*O128</f>
        <v>80.478</v>
      </c>
      <c r="Q128" s="20" t="s">
        <v>671</v>
      </c>
      <c r="R128" s="84" t="s">
        <v>660</v>
      </c>
      <c r="S128" s="20"/>
      <c r="T128" s="20" t="s">
        <v>123</v>
      </c>
      <c r="U128" s="53" t="n">
        <v>0</v>
      </c>
      <c r="V128" s="76" t="s">
        <v>715</v>
      </c>
      <c r="W128" s="53" t="n">
        <v>1</v>
      </c>
    </row>
    <row r="129" customFormat="false" ht="35.05" hidden="false" customHeight="false" outlineLevel="0" collapsed="false">
      <c r="A129" s="76" t="n">
        <v>121</v>
      </c>
      <c r="B129" s="20" t="s">
        <v>507</v>
      </c>
      <c r="C129" s="20" t="s">
        <v>655</v>
      </c>
      <c r="D129" s="20" t="s">
        <v>714</v>
      </c>
      <c r="E129" s="20" t="s">
        <v>715</v>
      </c>
      <c r="F129" s="76" t="s">
        <v>672</v>
      </c>
      <c r="G129" s="20" t="s">
        <v>673</v>
      </c>
      <c r="H129" s="55" t="n">
        <v>16</v>
      </c>
      <c r="I129" s="76" t="s">
        <v>512</v>
      </c>
      <c r="J129" s="76" t="s">
        <v>164</v>
      </c>
      <c r="K129" s="82" t="n">
        <v>2</v>
      </c>
      <c r="L129" s="55" t="n">
        <v>2</v>
      </c>
      <c r="M129" s="73" t="n">
        <v>0.128</v>
      </c>
      <c r="N129" s="74" t="n">
        <f aca="false">K129*L129*M129</f>
        <v>0.512</v>
      </c>
      <c r="O129" s="41" t="n">
        <f aca="false">IFERROR(INDEX(Исходные!$B$21:$B$33,MATCH(H129,Исходные!$A$21:$A$33,0)),0)</f>
        <v>1.578</v>
      </c>
      <c r="P129" s="83" t="n">
        <f aca="false">N129*O129</f>
        <v>0.807936</v>
      </c>
      <c r="Q129" s="20" t="s">
        <v>674</v>
      </c>
      <c r="R129" s="84" t="s">
        <v>667</v>
      </c>
      <c r="S129" s="20" t="s">
        <v>675</v>
      </c>
      <c r="T129" s="20" t="s">
        <v>123</v>
      </c>
      <c r="U129" s="53" t="n">
        <v>0</v>
      </c>
      <c r="V129" s="76" t="s">
        <v>715</v>
      </c>
      <c r="W129" s="53" t="n">
        <v>1</v>
      </c>
    </row>
    <row r="130" customFormat="false" ht="23.85" hidden="false" customHeight="false" outlineLevel="0" collapsed="false">
      <c r="A130" s="76" t="n">
        <v>122</v>
      </c>
      <c r="B130" s="20" t="s">
        <v>507</v>
      </c>
      <c r="C130" s="20" t="s">
        <v>655</v>
      </c>
      <c r="D130" s="20" t="s">
        <v>714</v>
      </c>
      <c r="E130" s="20" t="s">
        <v>715</v>
      </c>
      <c r="F130" s="76" t="s">
        <v>676</v>
      </c>
      <c r="G130" s="20" t="s">
        <v>717</v>
      </c>
      <c r="H130" s="55" t="n">
        <v>25</v>
      </c>
      <c r="I130" s="76" t="s">
        <v>512</v>
      </c>
      <c r="J130" s="76" t="s">
        <v>164</v>
      </c>
      <c r="K130" s="82" t="n">
        <v>1</v>
      </c>
      <c r="L130" s="55" t="n">
        <v>2</v>
      </c>
      <c r="M130" s="73" t="n">
        <v>2.05</v>
      </c>
      <c r="N130" s="74" t="n">
        <f aca="false">K130*L130*M130</f>
        <v>4.1</v>
      </c>
      <c r="O130" s="41" t="n">
        <f aca="false">IFERROR(INDEX(Исходные!$B$21:$B$33,MATCH(H130,Исходные!$A$21:$A$33,0)),0)</f>
        <v>3.853</v>
      </c>
      <c r="P130" s="83" t="n">
        <f aca="false">N130*O130</f>
        <v>15.7973</v>
      </c>
      <c r="Q130" s="20" t="s">
        <v>718</v>
      </c>
      <c r="R130" s="84" t="s">
        <v>660</v>
      </c>
      <c r="S130" s="20" t="s">
        <v>679</v>
      </c>
      <c r="T130" s="20" t="s">
        <v>123</v>
      </c>
      <c r="U130" s="53" t="n">
        <v>0</v>
      </c>
      <c r="V130" s="76" t="s">
        <v>715</v>
      </c>
      <c r="W130" s="53" t="n">
        <v>1</v>
      </c>
    </row>
    <row r="131" customFormat="false" ht="23.85" hidden="false" customHeight="false" outlineLevel="0" collapsed="false">
      <c r="A131" s="76" t="n">
        <v>123</v>
      </c>
      <c r="B131" s="20" t="s">
        <v>507</v>
      </c>
      <c r="C131" s="20" t="s">
        <v>655</v>
      </c>
      <c r="D131" s="20" t="s">
        <v>714</v>
      </c>
      <c r="E131" s="20" t="s">
        <v>715</v>
      </c>
      <c r="F131" s="76" t="s">
        <v>676</v>
      </c>
      <c r="G131" s="20" t="s">
        <v>719</v>
      </c>
      <c r="H131" s="55" t="n">
        <v>32</v>
      </c>
      <c r="I131" s="76" t="s">
        <v>512</v>
      </c>
      <c r="J131" s="76" t="s">
        <v>164</v>
      </c>
      <c r="K131" s="82" t="n">
        <v>1</v>
      </c>
      <c r="L131" s="55" t="n">
        <v>2</v>
      </c>
      <c r="M131" s="73" t="n">
        <v>3.7</v>
      </c>
      <c r="N131" s="74" t="n">
        <f aca="false">K131*L131*M131</f>
        <v>7.4</v>
      </c>
      <c r="O131" s="41" t="n">
        <f aca="false">IFERROR(INDEX(Исходные!$B$21:$B$33,MATCH(H131,Исходные!$A$21:$A$33,0)),0)</f>
        <v>6.313</v>
      </c>
      <c r="P131" s="83" t="n">
        <f aca="false">N131*O131</f>
        <v>46.7162</v>
      </c>
      <c r="Q131" s="20" t="s">
        <v>720</v>
      </c>
      <c r="R131" s="84" t="s">
        <v>660</v>
      </c>
      <c r="S131" s="20" t="s">
        <v>721</v>
      </c>
      <c r="T131" s="20" t="s">
        <v>123</v>
      </c>
      <c r="U131" s="53" t="n">
        <v>0</v>
      </c>
      <c r="V131" s="76" t="s">
        <v>715</v>
      </c>
      <c r="W131" s="53" t="n">
        <v>1</v>
      </c>
    </row>
    <row r="132" customFormat="false" ht="23.85" hidden="false" customHeight="false" outlineLevel="0" collapsed="false">
      <c r="A132" s="76" t="n">
        <v>124</v>
      </c>
      <c r="B132" s="20" t="s">
        <v>507</v>
      </c>
      <c r="C132" s="20" t="s">
        <v>655</v>
      </c>
      <c r="D132" s="20" t="s">
        <v>714</v>
      </c>
      <c r="E132" s="20" t="s">
        <v>715</v>
      </c>
      <c r="F132" s="76" t="s">
        <v>676</v>
      </c>
      <c r="G132" s="20" t="s">
        <v>722</v>
      </c>
      <c r="H132" s="55" t="n">
        <v>28</v>
      </c>
      <c r="I132" s="76" t="s">
        <v>512</v>
      </c>
      <c r="J132" s="76" t="s">
        <v>164</v>
      </c>
      <c r="K132" s="82" t="n">
        <v>1</v>
      </c>
      <c r="L132" s="55" t="n">
        <v>2</v>
      </c>
      <c r="M132" s="73" t="n">
        <v>3.7</v>
      </c>
      <c r="N132" s="74" t="n">
        <f aca="false">K132*L132*M132</f>
        <v>7.4</v>
      </c>
      <c r="O132" s="41" t="n">
        <f aca="false">IFERROR(INDEX(Исходные!$B$21:$B$33,MATCH(H132,Исходные!$A$21:$A$33,0)),0)</f>
        <v>4.834</v>
      </c>
      <c r="P132" s="83" t="n">
        <f aca="false">N132*O132</f>
        <v>35.7716</v>
      </c>
      <c r="Q132" s="20" t="s">
        <v>723</v>
      </c>
      <c r="R132" s="84" t="s">
        <v>660</v>
      </c>
      <c r="S132" s="20" t="s">
        <v>724</v>
      </c>
      <c r="T132" s="20" t="s">
        <v>123</v>
      </c>
      <c r="U132" s="53" t="n">
        <v>0</v>
      </c>
      <c r="V132" s="76" t="s">
        <v>715</v>
      </c>
      <c r="W132" s="53" t="n">
        <v>1</v>
      </c>
    </row>
    <row r="133" customFormat="false" ht="23.85" hidden="false" customHeight="false" outlineLevel="0" collapsed="false">
      <c r="A133" s="76" t="n">
        <v>125</v>
      </c>
      <c r="B133" s="20" t="s">
        <v>507</v>
      </c>
      <c r="C133" s="20" t="s">
        <v>655</v>
      </c>
      <c r="D133" s="20" t="s">
        <v>714</v>
      </c>
      <c r="E133" s="20" t="s">
        <v>715</v>
      </c>
      <c r="F133" s="76" t="s">
        <v>676</v>
      </c>
      <c r="G133" s="20" t="s">
        <v>725</v>
      </c>
      <c r="H133" s="55" t="n">
        <v>28</v>
      </c>
      <c r="I133" s="76" t="s">
        <v>512</v>
      </c>
      <c r="J133" s="76" t="s">
        <v>164</v>
      </c>
      <c r="K133" s="82" t="n">
        <v>1</v>
      </c>
      <c r="L133" s="55" t="n">
        <v>2</v>
      </c>
      <c r="M133" s="73" t="n">
        <v>3.6</v>
      </c>
      <c r="N133" s="74" t="n">
        <f aca="false">K133*L133*M133</f>
        <v>7.2</v>
      </c>
      <c r="O133" s="41" t="n">
        <f aca="false">IFERROR(INDEX(Исходные!$B$21:$B$33,MATCH(H133,Исходные!$A$21:$A$33,0)),0)</f>
        <v>4.834</v>
      </c>
      <c r="P133" s="83" t="n">
        <f aca="false">N133*O133</f>
        <v>34.8048</v>
      </c>
      <c r="Q133" s="20" t="s">
        <v>723</v>
      </c>
      <c r="R133" s="84" t="s">
        <v>660</v>
      </c>
      <c r="S133" s="20" t="s">
        <v>726</v>
      </c>
      <c r="T133" s="20" t="s">
        <v>123</v>
      </c>
      <c r="U133" s="53" t="n">
        <v>0</v>
      </c>
      <c r="V133" s="76" t="s">
        <v>715</v>
      </c>
      <c r="W133" s="53" t="n">
        <v>1</v>
      </c>
    </row>
    <row r="134" customFormat="false" ht="23.85" hidden="false" customHeight="false" outlineLevel="0" collapsed="false">
      <c r="A134" s="76" t="n">
        <v>126</v>
      </c>
      <c r="B134" s="20" t="s">
        <v>507</v>
      </c>
      <c r="C134" s="20" t="s">
        <v>655</v>
      </c>
      <c r="D134" s="20" t="s">
        <v>714</v>
      </c>
      <c r="E134" s="20" t="s">
        <v>715</v>
      </c>
      <c r="F134" s="76" t="s">
        <v>676</v>
      </c>
      <c r="G134" s="20" t="s">
        <v>727</v>
      </c>
      <c r="H134" s="55" t="n">
        <v>25</v>
      </c>
      <c r="I134" s="76" t="s">
        <v>512</v>
      </c>
      <c r="J134" s="76" t="s">
        <v>164</v>
      </c>
      <c r="K134" s="82" t="n">
        <v>1</v>
      </c>
      <c r="L134" s="55" t="n">
        <v>2</v>
      </c>
      <c r="M134" s="73" t="n">
        <v>2.05</v>
      </c>
      <c r="N134" s="74" t="n">
        <f aca="false">K134*L134*M134</f>
        <v>4.1</v>
      </c>
      <c r="O134" s="41" t="n">
        <f aca="false">IFERROR(INDEX(Исходные!$B$21:$B$33,MATCH(H134,Исходные!$A$21:$A$33,0)),0)</f>
        <v>3.853</v>
      </c>
      <c r="P134" s="83" t="n">
        <f aca="false">N134*O134</f>
        <v>15.7973</v>
      </c>
      <c r="Q134" s="20" t="s">
        <v>718</v>
      </c>
      <c r="R134" s="84" t="s">
        <v>660</v>
      </c>
      <c r="S134" s="20" t="s">
        <v>728</v>
      </c>
      <c r="T134" s="20" t="s">
        <v>123</v>
      </c>
      <c r="U134" s="53" t="n">
        <v>0</v>
      </c>
      <c r="V134" s="76" t="s">
        <v>715</v>
      </c>
      <c r="W134" s="53" t="n">
        <v>1</v>
      </c>
    </row>
    <row r="135" customFormat="false" ht="23.85" hidden="false" customHeight="false" outlineLevel="0" collapsed="false">
      <c r="A135" s="76" t="n">
        <v>127</v>
      </c>
      <c r="B135" s="20" t="s">
        <v>507</v>
      </c>
      <c r="C135" s="20" t="s">
        <v>655</v>
      </c>
      <c r="D135" s="20" t="s">
        <v>714</v>
      </c>
      <c r="E135" s="20" t="s">
        <v>715</v>
      </c>
      <c r="F135" s="76" t="s">
        <v>676</v>
      </c>
      <c r="G135" s="20" t="s">
        <v>729</v>
      </c>
      <c r="H135" s="55" t="n">
        <v>16</v>
      </c>
      <c r="I135" s="76" t="s">
        <v>512</v>
      </c>
      <c r="J135" s="76" t="s">
        <v>164</v>
      </c>
      <c r="K135" s="82" t="n">
        <v>1</v>
      </c>
      <c r="L135" s="55" t="n">
        <v>2</v>
      </c>
      <c r="M135" s="73" t="n">
        <v>2.9</v>
      </c>
      <c r="N135" s="74" t="n">
        <f aca="false">K135*L135*M135</f>
        <v>5.8</v>
      </c>
      <c r="O135" s="41" t="n">
        <f aca="false">IFERROR(INDEX(Исходные!$B$21:$B$33,MATCH(H135,Исходные!$A$21:$A$33,0)),0)</f>
        <v>1.578</v>
      </c>
      <c r="P135" s="83" t="n">
        <f aca="false">N135*O135</f>
        <v>9.1524</v>
      </c>
      <c r="Q135" s="20" t="s">
        <v>730</v>
      </c>
      <c r="R135" s="84" t="s">
        <v>660</v>
      </c>
      <c r="S135" s="20" t="s">
        <v>731</v>
      </c>
      <c r="T135" s="20" t="s">
        <v>123</v>
      </c>
      <c r="U135" s="53" t="n">
        <v>0</v>
      </c>
      <c r="V135" s="76" t="s">
        <v>715</v>
      </c>
      <c r="W135" s="53" t="n">
        <v>1</v>
      </c>
    </row>
    <row r="136" customFormat="false" ht="23.85" hidden="false" customHeight="false" outlineLevel="0" collapsed="false">
      <c r="A136" s="76" t="n">
        <v>128</v>
      </c>
      <c r="B136" s="20" t="s">
        <v>507</v>
      </c>
      <c r="C136" s="20" t="s">
        <v>655</v>
      </c>
      <c r="D136" s="20" t="s">
        <v>714</v>
      </c>
      <c r="E136" s="20" t="s">
        <v>715</v>
      </c>
      <c r="F136" s="76" t="s">
        <v>676</v>
      </c>
      <c r="G136" s="20" t="s">
        <v>732</v>
      </c>
      <c r="H136" s="55" t="n">
        <v>22</v>
      </c>
      <c r="I136" s="76" t="s">
        <v>512</v>
      </c>
      <c r="J136" s="76" t="s">
        <v>164</v>
      </c>
      <c r="K136" s="82" t="n">
        <v>1</v>
      </c>
      <c r="L136" s="55" t="n">
        <v>2</v>
      </c>
      <c r="M136" s="73" t="n">
        <v>3.2</v>
      </c>
      <c r="N136" s="74" t="n">
        <f aca="false">K136*L136*M136</f>
        <v>6.4</v>
      </c>
      <c r="O136" s="41" t="n">
        <f aca="false">IFERROR(INDEX(Исходные!$B$21:$B$33,MATCH(H136,Исходные!$A$21:$A$33,0)),0)</f>
        <v>2.984</v>
      </c>
      <c r="P136" s="83" t="n">
        <f aca="false">N136*O136</f>
        <v>19.0976</v>
      </c>
      <c r="Q136" s="20" t="s">
        <v>733</v>
      </c>
      <c r="R136" s="84" t="s">
        <v>660</v>
      </c>
      <c r="S136" s="20" t="s">
        <v>734</v>
      </c>
      <c r="T136" s="20" t="s">
        <v>123</v>
      </c>
      <c r="U136" s="53" t="n">
        <v>0</v>
      </c>
      <c r="V136" s="76" t="s">
        <v>715</v>
      </c>
      <c r="W136" s="53" t="n">
        <v>1</v>
      </c>
    </row>
    <row r="137" customFormat="false" ht="23.85" hidden="false" customHeight="false" outlineLevel="0" collapsed="false">
      <c r="A137" s="76" t="n">
        <v>129</v>
      </c>
      <c r="B137" s="20" t="s">
        <v>507</v>
      </c>
      <c r="C137" s="20" t="s">
        <v>655</v>
      </c>
      <c r="D137" s="20" t="s">
        <v>714</v>
      </c>
      <c r="E137" s="20" t="s">
        <v>715</v>
      </c>
      <c r="F137" s="76" t="s">
        <v>676</v>
      </c>
      <c r="G137" s="20" t="s">
        <v>735</v>
      </c>
      <c r="H137" s="55" t="n">
        <v>16</v>
      </c>
      <c r="I137" s="76" t="s">
        <v>512</v>
      </c>
      <c r="J137" s="76" t="s">
        <v>164</v>
      </c>
      <c r="K137" s="82" t="n">
        <v>1</v>
      </c>
      <c r="L137" s="55" t="n">
        <v>2</v>
      </c>
      <c r="M137" s="73" t="n">
        <v>2.9</v>
      </c>
      <c r="N137" s="74" t="n">
        <f aca="false">K137*L137*M137</f>
        <v>5.8</v>
      </c>
      <c r="O137" s="41" t="n">
        <f aca="false">IFERROR(INDEX(Исходные!$B$21:$B$33,MATCH(H137,Исходные!$A$21:$A$33,0)),0)</f>
        <v>1.578</v>
      </c>
      <c r="P137" s="83" t="n">
        <f aca="false">N137*O137</f>
        <v>9.1524</v>
      </c>
      <c r="Q137" s="20" t="s">
        <v>730</v>
      </c>
      <c r="R137" s="84" t="s">
        <v>660</v>
      </c>
      <c r="S137" s="20" t="s">
        <v>736</v>
      </c>
      <c r="T137" s="20" t="s">
        <v>123</v>
      </c>
      <c r="U137" s="53" t="n">
        <v>0</v>
      </c>
      <c r="V137" s="76" t="s">
        <v>715</v>
      </c>
      <c r="W137" s="53" t="n">
        <v>1</v>
      </c>
    </row>
    <row r="138" customFormat="false" ht="23.85" hidden="false" customHeight="false" outlineLevel="0" collapsed="false">
      <c r="A138" s="76" t="n">
        <v>130</v>
      </c>
      <c r="B138" s="20" t="s">
        <v>507</v>
      </c>
      <c r="C138" s="20" t="s">
        <v>655</v>
      </c>
      <c r="D138" s="20" t="s">
        <v>714</v>
      </c>
      <c r="E138" s="20" t="s">
        <v>715</v>
      </c>
      <c r="F138" s="76" t="s">
        <v>676</v>
      </c>
      <c r="G138" s="20" t="s">
        <v>737</v>
      </c>
      <c r="H138" s="55" t="n">
        <v>14</v>
      </c>
      <c r="I138" s="76" t="s">
        <v>512</v>
      </c>
      <c r="J138" s="76" t="s">
        <v>164</v>
      </c>
      <c r="K138" s="82" t="n">
        <v>1</v>
      </c>
      <c r="L138" s="55" t="n">
        <v>2</v>
      </c>
      <c r="M138" s="73" t="n">
        <v>3.7</v>
      </c>
      <c r="N138" s="74" t="n">
        <f aca="false">K138*L138*M138</f>
        <v>7.4</v>
      </c>
      <c r="O138" s="41" t="n">
        <f aca="false">IFERROR(INDEX(Исходные!$B$21:$B$33,MATCH(H138,Исходные!$A$21:$A$33,0)),0)</f>
        <v>1.208</v>
      </c>
      <c r="P138" s="83" t="n">
        <f aca="false">N138*O138</f>
        <v>8.9392</v>
      </c>
      <c r="Q138" s="20" t="s">
        <v>738</v>
      </c>
      <c r="R138" s="84" t="s">
        <v>660</v>
      </c>
      <c r="S138" s="20" t="s">
        <v>721</v>
      </c>
      <c r="T138" s="20" t="s">
        <v>123</v>
      </c>
      <c r="U138" s="53" t="n">
        <v>0</v>
      </c>
      <c r="V138" s="76" t="s">
        <v>715</v>
      </c>
      <c r="W138" s="53" t="n">
        <v>1</v>
      </c>
    </row>
    <row r="139" customFormat="false" ht="23.85" hidden="false" customHeight="false" outlineLevel="0" collapsed="false">
      <c r="A139" s="76" t="n">
        <v>131</v>
      </c>
      <c r="B139" s="20" t="s">
        <v>507</v>
      </c>
      <c r="C139" s="20" t="s">
        <v>655</v>
      </c>
      <c r="D139" s="20" t="s">
        <v>714</v>
      </c>
      <c r="E139" s="20" t="s">
        <v>715</v>
      </c>
      <c r="F139" s="76" t="s">
        <v>676</v>
      </c>
      <c r="G139" s="20" t="s">
        <v>739</v>
      </c>
      <c r="H139" s="55" t="n">
        <v>14</v>
      </c>
      <c r="I139" s="76" t="s">
        <v>512</v>
      </c>
      <c r="J139" s="76" t="s">
        <v>164</v>
      </c>
      <c r="K139" s="82" t="n">
        <v>1</v>
      </c>
      <c r="L139" s="55" t="n">
        <v>2</v>
      </c>
      <c r="M139" s="73" t="n">
        <v>3.7</v>
      </c>
      <c r="N139" s="74" t="n">
        <f aca="false">K139*L139*M139</f>
        <v>7.4</v>
      </c>
      <c r="O139" s="41" t="n">
        <f aca="false">IFERROR(INDEX(Исходные!$B$21:$B$33,MATCH(H139,Исходные!$A$21:$A$33,0)),0)</f>
        <v>1.208</v>
      </c>
      <c r="P139" s="83" t="n">
        <f aca="false">N139*O139</f>
        <v>8.9392</v>
      </c>
      <c r="Q139" s="20" t="s">
        <v>738</v>
      </c>
      <c r="R139" s="84" t="s">
        <v>660</v>
      </c>
      <c r="S139" s="20" t="s">
        <v>724</v>
      </c>
      <c r="T139" s="20" t="s">
        <v>123</v>
      </c>
      <c r="U139" s="53" t="n">
        <v>0</v>
      </c>
      <c r="V139" s="76" t="s">
        <v>715</v>
      </c>
      <c r="W139" s="53" t="n">
        <v>1</v>
      </c>
    </row>
    <row r="140" customFormat="false" ht="23.85" hidden="false" customHeight="false" outlineLevel="0" collapsed="false">
      <c r="A140" s="76" t="n">
        <v>132</v>
      </c>
      <c r="B140" s="20" t="s">
        <v>507</v>
      </c>
      <c r="C140" s="20" t="s">
        <v>655</v>
      </c>
      <c r="D140" s="20" t="s">
        <v>714</v>
      </c>
      <c r="E140" s="20" t="s">
        <v>715</v>
      </c>
      <c r="F140" s="76" t="s">
        <v>676</v>
      </c>
      <c r="G140" s="20" t="s">
        <v>740</v>
      </c>
      <c r="H140" s="55" t="n">
        <v>12</v>
      </c>
      <c r="I140" s="76" t="s">
        <v>512</v>
      </c>
      <c r="J140" s="76" t="s">
        <v>164</v>
      </c>
      <c r="K140" s="82" t="n">
        <v>1</v>
      </c>
      <c r="L140" s="55" t="n">
        <v>2</v>
      </c>
      <c r="M140" s="73" t="n">
        <v>10.6</v>
      </c>
      <c r="N140" s="74" t="n">
        <f aca="false">K140*L140*M140</f>
        <v>21.2</v>
      </c>
      <c r="O140" s="41" t="n">
        <f aca="false">IFERROR(INDEX(Исходные!$B$21:$B$33,MATCH(H140,Исходные!$A$21:$A$33,0)),0)</f>
        <v>0.888</v>
      </c>
      <c r="P140" s="83" t="n">
        <f aca="false">N140*O140</f>
        <v>18.8256</v>
      </c>
      <c r="Q140" s="20" t="s">
        <v>741</v>
      </c>
      <c r="R140" s="84" t="s">
        <v>660</v>
      </c>
      <c r="S140" s="20" t="s">
        <v>742</v>
      </c>
      <c r="T140" s="20" t="s">
        <v>123</v>
      </c>
      <c r="U140" s="53" t="n">
        <v>0</v>
      </c>
      <c r="V140" s="76" t="s">
        <v>715</v>
      </c>
      <c r="W140" s="53" t="n">
        <v>1</v>
      </c>
    </row>
    <row r="141" customFormat="false" ht="23.85" hidden="false" customHeight="false" outlineLevel="0" collapsed="false">
      <c r="A141" s="76" t="n">
        <v>133</v>
      </c>
      <c r="B141" s="20" t="s">
        <v>507</v>
      </c>
      <c r="C141" s="20" t="s">
        <v>655</v>
      </c>
      <c r="D141" s="20" t="s">
        <v>714</v>
      </c>
      <c r="E141" s="20" t="s">
        <v>715</v>
      </c>
      <c r="F141" s="76" t="s">
        <v>676</v>
      </c>
      <c r="G141" s="20" t="s">
        <v>743</v>
      </c>
      <c r="H141" s="55" t="n">
        <v>12</v>
      </c>
      <c r="I141" s="76" t="s">
        <v>512</v>
      </c>
      <c r="J141" s="76" t="s">
        <v>164</v>
      </c>
      <c r="K141" s="82" t="n">
        <v>1</v>
      </c>
      <c r="L141" s="55" t="n">
        <v>2</v>
      </c>
      <c r="M141" s="73" t="n">
        <v>3.6</v>
      </c>
      <c r="N141" s="74" t="n">
        <f aca="false">K141*L141*M141</f>
        <v>7.2</v>
      </c>
      <c r="O141" s="41" t="n">
        <f aca="false">IFERROR(INDEX(Исходные!$B$21:$B$33,MATCH(H141,Исходные!$A$21:$A$33,0)),0)</f>
        <v>0.888</v>
      </c>
      <c r="P141" s="83" t="n">
        <f aca="false">N141*O141</f>
        <v>6.3936</v>
      </c>
      <c r="Q141" s="20" t="s">
        <v>741</v>
      </c>
      <c r="R141" s="84" t="s">
        <v>660</v>
      </c>
      <c r="S141" s="20" t="s">
        <v>726</v>
      </c>
      <c r="T141" s="20" t="s">
        <v>123</v>
      </c>
      <c r="U141" s="53" t="n">
        <v>0</v>
      </c>
      <c r="V141" s="76" t="s">
        <v>715</v>
      </c>
      <c r="W141" s="53" t="n">
        <v>1</v>
      </c>
    </row>
    <row r="142" customFormat="false" ht="23.85" hidden="false" customHeight="false" outlineLevel="0" collapsed="false">
      <c r="A142" s="76" t="n">
        <v>134</v>
      </c>
      <c r="B142" s="20" t="s">
        <v>507</v>
      </c>
      <c r="C142" s="20" t="s">
        <v>655</v>
      </c>
      <c r="D142" s="20" t="s">
        <v>714</v>
      </c>
      <c r="E142" s="20" t="s">
        <v>715</v>
      </c>
      <c r="F142" s="76" t="s">
        <v>696</v>
      </c>
      <c r="G142" s="20" t="s">
        <v>697</v>
      </c>
      <c r="H142" s="55" t="n">
        <v>8</v>
      </c>
      <c r="I142" s="76" t="s">
        <v>546</v>
      </c>
      <c r="J142" s="76" t="s">
        <v>698</v>
      </c>
      <c r="K142" s="82" t="n">
        <v>1</v>
      </c>
      <c r="L142" s="55" t="n">
        <v>99</v>
      </c>
      <c r="M142" s="73" t="n">
        <v>2.06</v>
      </c>
      <c r="N142" s="74" t="n">
        <f aca="false">K142*L142*M142</f>
        <v>203.94</v>
      </c>
      <c r="O142" s="41" t="n">
        <f aca="false">IFERROR(INDEX(Исходные!$B$21:$B$33,MATCH(H142,Исходные!$A$21:$A$33,0)),0)</f>
        <v>0.395</v>
      </c>
      <c r="P142" s="83" t="n">
        <f aca="false">N142*O142</f>
        <v>80.5563</v>
      </c>
      <c r="Q142" s="20" t="s">
        <v>699</v>
      </c>
      <c r="R142" s="84" t="s">
        <v>514</v>
      </c>
      <c r="S142" s="20" t="s">
        <v>744</v>
      </c>
      <c r="T142" s="20" t="s">
        <v>123</v>
      </c>
      <c r="U142" s="53" t="n">
        <v>0</v>
      </c>
      <c r="V142" s="76" t="s">
        <v>715</v>
      </c>
      <c r="W142" s="53" t="n">
        <v>1</v>
      </c>
    </row>
    <row r="143" customFormat="false" ht="35.05" hidden="false" customHeight="false" outlineLevel="0" collapsed="false">
      <c r="A143" s="76" t="n">
        <v>135</v>
      </c>
      <c r="B143" s="20" t="s">
        <v>507</v>
      </c>
      <c r="C143" s="20" t="s">
        <v>655</v>
      </c>
      <c r="D143" s="20" t="s">
        <v>714</v>
      </c>
      <c r="E143" s="20" t="s">
        <v>715</v>
      </c>
      <c r="F143" s="76" t="s">
        <v>561</v>
      </c>
      <c r="G143" s="20" t="s">
        <v>701</v>
      </c>
      <c r="H143" s="55" t="n">
        <v>10</v>
      </c>
      <c r="I143" s="76" t="s">
        <v>546</v>
      </c>
      <c r="J143" s="76" t="n">
        <v>100</v>
      </c>
      <c r="K143" s="82" t="n">
        <v>1</v>
      </c>
      <c r="L143" s="55" t="n">
        <v>95</v>
      </c>
      <c r="M143" s="73" t="n">
        <v>2.06</v>
      </c>
      <c r="N143" s="74" t="n">
        <f aca="false">K143*L143*M143</f>
        <v>195.7</v>
      </c>
      <c r="O143" s="41" t="n">
        <f aca="false">IFERROR(INDEX(Исходные!$B$21:$B$33,MATCH(H143,Исходные!$A$21:$A$33,0)),0)</f>
        <v>0.617</v>
      </c>
      <c r="P143" s="83" t="n">
        <f aca="false">N143*O143</f>
        <v>120.7469</v>
      </c>
      <c r="Q143" s="20" t="s">
        <v>745</v>
      </c>
      <c r="R143" s="84" t="s">
        <v>514</v>
      </c>
      <c r="S143" s="20" t="s">
        <v>746</v>
      </c>
      <c r="T143" s="20" t="s">
        <v>123</v>
      </c>
      <c r="U143" s="53" t="n">
        <v>0</v>
      </c>
      <c r="V143" s="76" t="s">
        <v>715</v>
      </c>
      <c r="W143" s="53" t="n">
        <v>1</v>
      </c>
    </row>
    <row r="144" customFormat="false" ht="23.85" hidden="false" customHeight="false" outlineLevel="0" collapsed="false">
      <c r="A144" s="76" t="n">
        <v>136</v>
      </c>
      <c r="B144" s="20" t="s">
        <v>507</v>
      </c>
      <c r="C144" s="20" t="s">
        <v>655</v>
      </c>
      <c r="D144" s="20" t="s">
        <v>714</v>
      </c>
      <c r="E144" s="20" t="s">
        <v>715</v>
      </c>
      <c r="F144" s="76" t="s">
        <v>603</v>
      </c>
      <c r="G144" s="20" t="s">
        <v>704</v>
      </c>
      <c r="H144" s="55" t="n">
        <v>10</v>
      </c>
      <c r="I144" s="76" t="s">
        <v>546</v>
      </c>
      <c r="J144" s="76" t="n">
        <v>100</v>
      </c>
      <c r="K144" s="82" t="n">
        <v>1</v>
      </c>
      <c r="L144" s="55" t="n">
        <v>19</v>
      </c>
      <c r="M144" s="73" t="n">
        <v>1.6</v>
      </c>
      <c r="N144" s="74" t="n">
        <f aca="false">K144*L144*M144</f>
        <v>30.4</v>
      </c>
      <c r="O144" s="41" t="n">
        <f aca="false">IFERROR(INDEX(Исходные!$B$21:$B$33,MATCH(H144,Исходные!$A$21:$A$33,0)),0)</f>
        <v>0.617</v>
      </c>
      <c r="P144" s="83" t="n">
        <f aca="false">N144*O144</f>
        <v>18.7568</v>
      </c>
      <c r="Q144" s="20" t="s">
        <v>747</v>
      </c>
      <c r="R144" s="84" t="s">
        <v>514</v>
      </c>
      <c r="S144" s="20"/>
      <c r="T144" s="20" t="s">
        <v>123</v>
      </c>
      <c r="U144" s="53" t="n">
        <v>0</v>
      </c>
      <c r="V144" s="76" t="s">
        <v>715</v>
      </c>
      <c r="W144" s="53" t="n">
        <v>1</v>
      </c>
    </row>
    <row r="145" customFormat="false" ht="23.85" hidden="false" customHeight="false" outlineLevel="0" collapsed="false">
      <c r="A145" s="76" t="n">
        <v>137</v>
      </c>
      <c r="B145" s="20" t="s">
        <v>507</v>
      </c>
      <c r="C145" s="20" t="s">
        <v>655</v>
      </c>
      <c r="D145" s="20" t="s">
        <v>714</v>
      </c>
      <c r="E145" s="20" t="s">
        <v>715</v>
      </c>
      <c r="F145" s="76" t="s">
        <v>706</v>
      </c>
      <c r="G145" s="20" t="s">
        <v>707</v>
      </c>
      <c r="H145" s="55" t="n">
        <v>8</v>
      </c>
      <c r="I145" s="76" t="s">
        <v>546</v>
      </c>
      <c r="J145" s="76" t="s">
        <v>708</v>
      </c>
      <c r="K145" s="82" t="n">
        <v>1</v>
      </c>
      <c r="L145" s="55" t="n">
        <v>113</v>
      </c>
      <c r="M145" s="73" t="n">
        <v>0.75</v>
      </c>
      <c r="N145" s="74" t="n">
        <f aca="false">K145*L145*M145</f>
        <v>84.75</v>
      </c>
      <c r="O145" s="41" t="n">
        <f aca="false">IFERROR(INDEX(Исходные!$B$21:$B$33,MATCH(H145,Исходные!$A$21:$A$33,0)),0)</f>
        <v>0.395</v>
      </c>
      <c r="P145" s="83" t="n">
        <f aca="false">N145*O145</f>
        <v>33.47625</v>
      </c>
      <c r="Q145" s="20" t="s">
        <v>709</v>
      </c>
      <c r="R145" s="84" t="s">
        <v>514</v>
      </c>
      <c r="S145" s="20"/>
      <c r="T145" s="20" t="s">
        <v>123</v>
      </c>
      <c r="U145" s="53" t="n">
        <v>0</v>
      </c>
      <c r="V145" s="76" t="s">
        <v>715</v>
      </c>
      <c r="W145" s="53" t="n">
        <v>1</v>
      </c>
    </row>
    <row r="146" customFormat="false" ht="23.85" hidden="false" customHeight="false" outlineLevel="0" collapsed="false">
      <c r="A146" s="76" t="n">
        <v>138</v>
      </c>
      <c r="B146" s="20" t="s">
        <v>507</v>
      </c>
      <c r="C146" s="20" t="s">
        <v>655</v>
      </c>
      <c r="D146" s="20" t="s">
        <v>714</v>
      </c>
      <c r="E146" s="20" t="s">
        <v>715</v>
      </c>
      <c r="F146" s="76" t="s">
        <v>710</v>
      </c>
      <c r="G146" s="20" t="s">
        <v>711</v>
      </c>
      <c r="H146" s="55" t="n">
        <v>8</v>
      </c>
      <c r="I146" s="76" t="s">
        <v>546</v>
      </c>
      <c r="J146" s="76" t="n">
        <v>300</v>
      </c>
      <c r="K146" s="82" t="n">
        <v>1</v>
      </c>
      <c r="L146" s="55" t="n">
        <v>77</v>
      </c>
      <c r="M146" s="73" t="n">
        <v>0.58</v>
      </c>
      <c r="N146" s="74" t="n">
        <f aca="false">K146*L146*M146</f>
        <v>44.66</v>
      </c>
      <c r="O146" s="41" t="n">
        <f aca="false">IFERROR(INDEX(Исходные!$B$21:$B$33,MATCH(H146,Исходные!$A$21:$A$33,0)),0)</f>
        <v>0.395</v>
      </c>
      <c r="P146" s="83" t="n">
        <f aca="false">N146*O146</f>
        <v>17.6407</v>
      </c>
      <c r="Q146" s="20" t="s">
        <v>712</v>
      </c>
      <c r="R146" s="85" t="s">
        <v>638</v>
      </c>
      <c r="S146" s="20" t="s">
        <v>713</v>
      </c>
      <c r="T146" s="20" t="s">
        <v>123</v>
      </c>
      <c r="U146" s="53" t="n">
        <v>1</v>
      </c>
      <c r="V146" s="76" t="s">
        <v>715</v>
      </c>
      <c r="W146" s="53" t="n">
        <v>1</v>
      </c>
    </row>
    <row r="147" customFormat="false" ht="35.05" hidden="false" customHeight="false" outlineLevel="0" collapsed="false">
      <c r="A147" s="76" t="n">
        <v>139</v>
      </c>
      <c r="B147" s="20" t="s">
        <v>507</v>
      </c>
      <c r="C147" s="20" t="s">
        <v>655</v>
      </c>
      <c r="D147" s="20" t="s">
        <v>748</v>
      </c>
      <c r="E147" s="20" t="s">
        <v>749</v>
      </c>
      <c r="F147" s="76" t="s">
        <v>519</v>
      </c>
      <c r="G147" s="20" t="s">
        <v>658</v>
      </c>
      <c r="H147" s="55" t="n">
        <v>28</v>
      </c>
      <c r="I147" s="76" t="s">
        <v>512</v>
      </c>
      <c r="J147" s="76" t="s">
        <v>164</v>
      </c>
      <c r="K147" s="82" t="n">
        <v>1</v>
      </c>
      <c r="L147" s="55" t="n">
        <v>4</v>
      </c>
      <c r="M147" s="73" t="n">
        <v>25.5</v>
      </c>
      <c r="N147" s="74" t="n">
        <f aca="false">K147*L147*M147</f>
        <v>102</v>
      </c>
      <c r="O147" s="41" t="n">
        <f aca="false">IFERROR(INDEX(Исходные!$B$21:$B$33,MATCH(H147,Исходные!$A$21:$A$33,0)),0)</f>
        <v>4.834</v>
      </c>
      <c r="P147" s="83" t="n">
        <f aca="false">N147*O147</f>
        <v>493.068</v>
      </c>
      <c r="Q147" s="20" t="s">
        <v>750</v>
      </c>
      <c r="R147" s="84" t="s">
        <v>660</v>
      </c>
      <c r="S147" s="20" t="s">
        <v>661</v>
      </c>
      <c r="T147" s="20" t="s">
        <v>123</v>
      </c>
      <c r="U147" s="53" t="n">
        <v>0</v>
      </c>
      <c r="V147" s="76" t="s">
        <v>749</v>
      </c>
      <c r="W147" s="53" t="n">
        <v>1</v>
      </c>
    </row>
    <row r="148" customFormat="false" ht="23.85" hidden="false" customHeight="false" outlineLevel="0" collapsed="false">
      <c r="A148" s="76" t="n">
        <v>140</v>
      </c>
      <c r="B148" s="20" t="s">
        <v>507</v>
      </c>
      <c r="C148" s="20" t="s">
        <v>655</v>
      </c>
      <c r="D148" s="20" t="s">
        <v>748</v>
      </c>
      <c r="E148" s="20" t="s">
        <v>749</v>
      </c>
      <c r="F148" s="76" t="s">
        <v>529</v>
      </c>
      <c r="G148" s="20" t="s">
        <v>662</v>
      </c>
      <c r="H148" s="55" t="n">
        <v>18</v>
      </c>
      <c r="I148" s="76" t="s">
        <v>512</v>
      </c>
      <c r="J148" s="76" t="s">
        <v>164</v>
      </c>
      <c r="K148" s="82" t="n">
        <v>1</v>
      </c>
      <c r="L148" s="55" t="n">
        <v>2</v>
      </c>
      <c r="M148" s="73" t="n">
        <v>25.5</v>
      </c>
      <c r="N148" s="74" t="n">
        <f aca="false">K148*L148*M148</f>
        <v>51</v>
      </c>
      <c r="O148" s="41" t="n">
        <f aca="false">IFERROR(INDEX(Исходные!$B$21:$B$33,MATCH(H148,Исходные!$A$21:$A$33,0)),0)</f>
        <v>1.998</v>
      </c>
      <c r="P148" s="83" t="n">
        <f aca="false">N148*O148</f>
        <v>101.898</v>
      </c>
      <c r="Q148" s="20" t="s">
        <v>663</v>
      </c>
      <c r="R148" s="84" t="s">
        <v>660</v>
      </c>
      <c r="S148" s="20"/>
      <c r="T148" s="20" t="s">
        <v>123</v>
      </c>
      <c r="U148" s="53" t="n">
        <v>0</v>
      </c>
      <c r="V148" s="76" t="s">
        <v>749</v>
      </c>
      <c r="W148" s="53" t="n">
        <v>1</v>
      </c>
    </row>
    <row r="149" customFormat="false" ht="35.05" hidden="false" customHeight="false" outlineLevel="0" collapsed="false">
      <c r="A149" s="76" t="n">
        <v>141</v>
      </c>
      <c r="B149" s="20" t="s">
        <v>507</v>
      </c>
      <c r="C149" s="20" t="s">
        <v>655</v>
      </c>
      <c r="D149" s="20" t="s">
        <v>748</v>
      </c>
      <c r="E149" s="20" t="s">
        <v>749</v>
      </c>
      <c r="F149" s="76" t="s">
        <v>664</v>
      </c>
      <c r="G149" s="20" t="s">
        <v>665</v>
      </c>
      <c r="H149" s="55" t="n">
        <v>18</v>
      </c>
      <c r="I149" s="76" t="s">
        <v>512</v>
      </c>
      <c r="J149" s="76" t="s">
        <v>164</v>
      </c>
      <c r="K149" s="82" t="n">
        <v>2</v>
      </c>
      <c r="L149" s="55" t="n">
        <v>2</v>
      </c>
      <c r="M149" s="73" t="n">
        <v>0.144</v>
      </c>
      <c r="N149" s="74" t="n">
        <f aca="false">K149*L149*M149</f>
        <v>0.576</v>
      </c>
      <c r="O149" s="41" t="n">
        <f aca="false">IFERROR(INDEX(Исходные!$B$21:$B$33,MATCH(H149,Исходные!$A$21:$A$33,0)),0)</f>
        <v>1.998</v>
      </c>
      <c r="P149" s="83" t="n">
        <f aca="false">N149*O149</f>
        <v>1.150848</v>
      </c>
      <c r="Q149" s="20" t="s">
        <v>666</v>
      </c>
      <c r="R149" s="84" t="s">
        <v>667</v>
      </c>
      <c r="S149" s="20" t="s">
        <v>668</v>
      </c>
      <c r="T149" s="20" t="s">
        <v>123</v>
      </c>
      <c r="U149" s="53" t="n">
        <v>0</v>
      </c>
      <c r="V149" s="76" t="s">
        <v>749</v>
      </c>
      <c r="W149" s="53" t="n">
        <v>1</v>
      </c>
    </row>
    <row r="150" customFormat="false" ht="23.85" hidden="false" customHeight="false" outlineLevel="0" collapsed="false">
      <c r="A150" s="76" t="n">
        <v>142</v>
      </c>
      <c r="B150" s="20" t="s">
        <v>507</v>
      </c>
      <c r="C150" s="20" t="s">
        <v>655</v>
      </c>
      <c r="D150" s="20" t="s">
        <v>748</v>
      </c>
      <c r="E150" s="20" t="s">
        <v>749</v>
      </c>
      <c r="F150" s="76" t="s">
        <v>669</v>
      </c>
      <c r="G150" s="20" t="s">
        <v>670</v>
      </c>
      <c r="H150" s="55" t="n">
        <v>16</v>
      </c>
      <c r="I150" s="76" t="s">
        <v>512</v>
      </c>
      <c r="J150" s="76" t="s">
        <v>164</v>
      </c>
      <c r="K150" s="82" t="n">
        <v>1</v>
      </c>
      <c r="L150" s="55" t="n">
        <v>2</v>
      </c>
      <c r="M150" s="73" t="n">
        <v>25.5</v>
      </c>
      <c r="N150" s="74" t="n">
        <f aca="false">K150*L150*M150</f>
        <v>51</v>
      </c>
      <c r="O150" s="41" t="n">
        <f aca="false">IFERROR(INDEX(Исходные!$B$21:$B$33,MATCH(H150,Исходные!$A$21:$A$33,0)),0)</f>
        <v>1.578</v>
      </c>
      <c r="P150" s="83" t="n">
        <f aca="false">N150*O150</f>
        <v>80.478</v>
      </c>
      <c r="Q150" s="20" t="s">
        <v>671</v>
      </c>
      <c r="R150" s="84" t="s">
        <v>660</v>
      </c>
      <c r="S150" s="20"/>
      <c r="T150" s="20" t="s">
        <v>123</v>
      </c>
      <c r="U150" s="53" t="n">
        <v>0</v>
      </c>
      <c r="V150" s="76" t="s">
        <v>749</v>
      </c>
      <c r="W150" s="53" t="n">
        <v>1</v>
      </c>
    </row>
    <row r="151" customFormat="false" ht="35.05" hidden="false" customHeight="false" outlineLevel="0" collapsed="false">
      <c r="A151" s="76" t="n">
        <v>143</v>
      </c>
      <c r="B151" s="20" t="s">
        <v>507</v>
      </c>
      <c r="C151" s="20" t="s">
        <v>655</v>
      </c>
      <c r="D151" s="20" t="s">
        <v>748</v>
      </c>
      <c r="E151" s="20" t="s">
        <v>749</v>
      </c>
      <c r="F151" s="76" t="s">
        <v>672</v>
      </c>
      <c r="G151" s="20" t="s">
        <v>673</v>
      </c>
      <c r="H151" s="55" t="n">
        <v>16</v>
      </c>
      <c r="I151" s="76" t="s">
        <v>512</v>
      </c>
      <c r="J151" s="76" t="s">
        <v>164</v>
      </c>
      <c r="K151" s="82" t="n">
        <v>2</v>
      </c>
      <c r="L151" s="55" t="n">
        <v>2</v>
      </c>
      <c r="M151" s="73" t="n">
        <v>0.128</v>
      </c>
      <c r="N151" s="74" t="n">
        <f aca="false">K151*L151*M151</f>
        <v>0.512</v>
      </c>
      <c r="O151" s="41" t="n">
        <f aca="false">IFERROR(INDEX(Исходные!$B$21:$B$33,MATCH(H151,Исходные!$A$21:$A$33,0)),0)</f>
        <v>1.578</v>
      </c>
      <c r="P151" s="83" t="n">
        <f aca="false">N151*O151</f>
        <v>0.807936</v>
      </c>
      <c r="Q151" s="20" t="s">
        <v>674</v>
      </c>
      <c r="R151" s="84" t="s">
        <v>667</v>
      </c>
      <c r="S151" s="20" t="s">
        <v>675</v>
      </c>
      <c r="T151" s="20" t="s">
        <v>123</v>
      </c>
      <c r="U151" s="53" t="n">
        <v>0</v>
      </c>
      <c r="V151" s="76" t="s">
        <v>749</v>
      </c>
      <c r="W151" s="53" t="n">
        <v>1</v>
      </c>
    </row>
    <row r="152" customFormat="false" ht="23.85" hidden="false" customHeight="false" outlineLevel="0" collapsed="false">
      <c r="A152" s="76" t="n">
        <v>144</v>
      </c>
      <c r="B152" s="20" t="s">
        <v>507</v>
      </c>
      <c r="C152" s="20" t="s">
        <v>655</v>
      </c>
      <c r="D152" s="20" t="s">
        <v>748</v>
      </c>
      <c r="E152" s="20" t="s">
        <v>749</v>
      </c>
      <c r="F152" s="76" t="s">
        <v>676</v>
      </c>
      <c r="G152" s="20" t="s">
        <v>677</v>
      </c>
      <c r="H152" s="55" t="n">
        <v>28</v>
      </c>
      <c r="I152" s="76" t="s">
        <v>512</v>
      </c>
      <c r="J152" s="76" t="s">
        <v>164</v>
      </c>
      <c r="K152" s="82" t="n">
        <v>1</v>
      </c>
      <c r="L152" s="55" t="n">
        <v>2</v>
      </c>
      <c r="M152" s="73" t="n">
        <v>2.05</v>
      </c>
      <c r="N152" s="74" t="n">
        <f aca="false">K152*L152*M152</f>
        <v>4.1</v>
      </c>
      <c r="O152" s="41" t="n">
        <f aca="false">IFERROR(INDEX(Исходные!$B$21:$B$33,MATCH(H152,Исходные!$A$21:$A$33,0)),0)</f>
        <v>4.834</v>
      </c>
      <c r="P152" s="83" t="n">
        <f aca="false">N152*O152</f>
        <v>19.8194</v>
      </c>
      <c r="Q152" s="20" t="s">
        <v>751</v>
      </c>
      <c r="R152" s="84" t="s">
        <v>660</v>
      </c>
      <c r="S152" s="20" t="s">
        <v>679</v>
      </c>
      <c r="T152" s="20" t="s">
        <v>123</v>
      </c>
      <c r="U152" s="53" t="n">
        <v>0</v>
      </c>
      <c r="V152" s="76" t="s">
        <v>749</v>
      </c>
      <c r="W152" s="53" t="n">
        <v>1</v>
      </c>
    </row>
    <row r="153" customFormat="false" ht="23.85" hidden="false" customHeight="false" outlineLevel="0" collapsed="false">
      <c r="A153" s="76" t="n">
        <v>145</v>
      </c>
      <c r="B153" s="20" t="s">
        <v>507</v>
      </c>
      <c r="C153" s="20" t="s">
        <v>655</v>
      </c>
      <c r="D153" s="20" t="s">
        <v>748</v>
      </c>
      <c r="E153" s="20" t="s">
        <v>749</v>
      </c>
      <c r="F153" s="76" t="s">
        <v>676</v>
      </c>
      <c r="G153" s="20" t="s">
        <v>719</v>
      </c>
      <c r="H153" s="55" t="n">
        <v>32</v>
      </c>
      <c r="I153" s="76" t="s">
        <v>512</v>
      </c>
      <c r="J153" s="76" t="s">
        <v>164</v>
      </c>
      <c r="K153" s="82" t="n">
        <v>1</v>
      </c>
      <c r="L153" s="55" t="n">
        <v>2</v>
      </c>
      <c r="M153" s="73" t="n">
        <v>3.7</v>
      </c>
      <c r="N153" s="74" t="n">
        <f aca="false">K153*L153*M153</f>
        <v>7.4</v>
      </c>
      <c r="O153" s="41" t="n">
        <f aca="false">IFERROR(INDEX(Исходные!$B$21:$B$33,MATCH(H153,Исходные!$A$21:$A$33,0)),0)</f>
        <v>6.313</v>
      </c>
      <c r="P153" s="83" t="n">
        <f aca="false">N153*O153</f>
        <v>46.7162</v>
      </c>
      <c r="Q153" s="20" t="s">
        <v>752</v>
      </c>
      <c r="R153" s="84" t="s">
        <v>660</v>
      </c>
      <c r="S153" s="20" t="s">
        <v>721</v>
      </c>
      <c r="T153" s="20" t="s">
        <v>123</v>
      </c>
      <c r="U153" s="53" t="n">
        <v>0</v>
      </c>
      <c r="V153" s="76" t="s">
        <v>749</v>
      </c>
      <c r="W153" s="53" t="n">
        <v>1</v>
      </c>
    </row>
    <row r="154" customFormat="false" ht="23.85" hidden="false" customHeight="false" outlineLevel="0" collapsed="false">
      <c r="A154" s="76" t="n">
        <v>146</v>
      </c>
      <c r="B154" s="20" t="s">
        <v>507</v>
      </c>
      <c r="C154" s="20" t="s">
        <v>655</v>
      </c>
      <c r="D154" s="20" t="s">
        <v>748</v>
      </c>
      <c r="E154" s="20" t="s">
        <v>749</v>
      </c>
      <c r="F154" s="76" t="s">
        <v>676</v>
      </c>
      <c r="G154" s="20" t="s">
        <v>753</v>
      </c>
      <c r="H154" s="55" t="n">
        <v>32</v>
      </c>
      <c r="I154" s="76" t="s">
        <v>512</v>
      </c>
      <c r="J154" s="76" t="s">
        <v>164</v>
      </c>
      <c r="K154" s="82" t="n">
        <v>1</v>
      </c>
      <c r="L154" s="55" t="n">
        <v>2</v>
      </c>
      <c r="M154" s="73" t="n">
        <v>3.7</v>
      </c>
      <c r="N154" s="74" t="n">
        <f aca="false">K154*L154*M154</f>
        <v>7.4</v>
      </c>
      <c r="O154" s="41" t="n">
        <f aca="false">IFERROR(INDEX(Исходные!$B$21:$B$33,MATCH(H154,Исходные!$A$21:$A$33,0)),0)</f>
        <v>6.313</v>
      </c>
      <c r="P154" s="83" t="n">
        <f aca="false">N154*O154</f>
        <v>46.7162</v>
      </c>
      <c r="Q154" s="20" t="s">
        <v>752</v>
      </c>
      <c r="R154" s="84" t="s">
        <v>660</v>
      </c>
      <c r="S154" s="20" t="s">
        <v>724</v>
      </c>
      <c r="T154" s="20" t="s">
        <v>123</v>
      </c>
      <c r="U154" s="53" t="n">
        <v>0</v>
      </c>
      <c r="V154" s="76" t="s">
        <v>749</v>
      </c>
      <c r="W154" s="53" t="n">
        <v>1</v>
      </c>
    </row>
    <row r="155" customFormat="false" ht="23.85" hidden="false" customHeight="false" outlineLevel="0" collapsed="false">
      <c r="A155" s="76" t="n">
        <v>147</v>
      </c>
      <c r="B155" s="20" t="s">
        <v>507</v>
      </c>
      <c r="C155" s="20" t="s">
        <v>655</v>
      </c>
      <c r="D155" s="20" t="s">
        <v>748</v>
      </c>
      <c r="E155" s="20" t="s">
        <v>749</v>
      </c>
      <c r="F155" s="76" t="s">
        <v>676</v>
      </c>
      <c r="G155" s="20" t="s">
        <v>725</v>
      </c>
      <c r="H155" s="55" t="n">
        <v>28</v>
      </c>
      <c r="I155" s="76" t="s">
        <v>512</v>
      </c>
      <c r="J155" s="76" t="s">
        <v>164</v>
      </c>
      <c r="K155" s="82" t="n">
        <v>1</v>
      </c>
      <c r="L155" s="55" t="n">
        <v>2</v>
      </c>
      <c r="M155" s="73" t="n">
        <v>3.6</v>
      </c>
      <c r="N155" s="74" t="n">
        <f aca="false">K155*L155*M155</f>
        <v>7.2</v>
      </c>
      <c r="O155" s="41" t="n">
        <f aca="false">IFERROR(INDEX(Исходные!$B$21:$B$33,MATCH(H155,Исходные!$A$21:$A$33,0)),0)</f>
        <v>4.834</v>
      </c>
      <c r="P155" s="83" t="n">
        <f aca="false">N155*O155</f>
        <v>34.8048</v>
      </c>
      <c r="Q155" s="20" t="s">
        <v>751</v>
      </c>
      <c r="R155" s="84" t="s">
        <v>660</v>
      </c>
      <c r="S155" s="20" t="s">
        <v>726</v>
      </c>
      <c r="T155" s="20" t="s">
        <v>123</v>
      </c>
      <c r="U155" s="53" t="n">
        <v>0</v>
      </c>
      <c r="V155" s="76" t="s">
        <v>749</v>
      </c>
      <c r="W155" s="53" t="n">
        <v>1</v>
      </c>
    </row>
    <row r="156" customFormat="false" ht="23.85" hidden="false" customHeight="false" outlineLevel="0" collapsed="false">
      <c r="A156" s="76" t="n">
        <v>148</v>
      </c>
      <c r="B156" s="20" t="s">
        <v>507</v>
      </c>
      <c r="C156" s="20" t="s">
        <v>655</v>
      </c>
      <c r="D156" s="20" t="s">
        <v>748</v>
      </c>
      <c r="E156" s="20" t="s">
        <v>749</v>
      </c>
      <c r="F156" s="76" t="s">
        <v>676</v>
      </c>
      <c r="G156" s="20" t="s">
        <v>727</v>
      </c>
      <c r="H156" s="55" t="n">
        <v>25</v>
      </c>
      <c r="I156" s="76" t="s">
        <v>512</v>
      </c>
      <c r="J156" s="76" t="s">
        <v>164</v>
      </c>
      <c r="K156" s="82" t="n">
        <v>1</v>
      </c>
      <c r="L156" s="55" t="n">
        <v>2</v>
      </c>
      <c r="M156" s="73" t="n">
        <v>2.05</v>
      </c>
      <c r="N156" s="74" t="n">
        <f aca="false">K156*L156*M156</f>
        <v>4.1</v>
      </c>
      <c r="O156" s="41" t="n">
        <f aca="false">IFERROR(INDEX(Исходные!$B$21:$B$33,MATCH(H156,Исходные!$A$21:$A$33,0)),0)</f>
        <v>3.853</v>
      </c>
      <c r="P156" s="83" t="n">
        <f aca="false">N156*O156</f>
        <v>15.7973</v>
      </c>
      <c r="Q156" s="20" t="s">
        <v>754</v>
      </c>
      <c r="R156" s="84" t="s">
        <v>660</v>
      </c>
      <c r="S156" s="20" t="s">
        <v>728</v>
      </c>
      <c r="T156" s="20" t="s">
        <v>123</v>
      </c>
      <c r="U156" s="53" t="n">
        <v>0</v>
      </c>
      <c r="V156" s="76" t="s">
        <v>749</v>
      </c>
      <c r="W156" s="53" t="n">
        <v>1</v>
      </c>
    </row>
    <row r="157" customFormat="false" ht="23.85" hidden="false" customHeight="false" outlineLevel="0" collapsed="false">
      <c r="A157" s="76" t="n">
        <v>149</v>
      </c>
      <c r="B157" s="20" t="s">
        <v>507</v>
      </c>
      <c r="C157" s="20" t="s">
        <v>655</v>
      </c>
      <c r="D157" s="20" t="s">
        <v>748</v>
      </c>
      <c r="E157" s="20" t="s">
        <v>749</v>
      </c>
      <c r="F157" s="76" t="s">
        <v>676</v>
      </c>
      <c r="G157" s="20" t="s">
        <v>755</v>
      </c>
      <c r="H157" s="55" t="n">
        <v>14</v>
      </c>
      <c r="I157" s="76" t="s">
        <v>512</v>
      </c>
      <c r="J157" s="76" t="s">
        <v>164</v>
      </c>
      <c r="K157" s="82" t="n">
        <v>1</v>
      </c>
      <c r="L157" s="55" t="n">
        <v>2</v>
      </c>
      <c r="M157" s="73" t="n">
        <v>4.2</v>
      </c>
      <c r="N157" s="74" t="n">
        <f aca="false">K157*L157*M157</f>
        <v>8.4</v>
      </c>
      <c r="O157" s="41" t="n">
        <f aca="false">IFERROR(INDEX(Исходные!$B$21:$B$33,MATCH(H157,Исходные!$A$21:$A$33,0)),0)</f>
        <v>1.208</v>
      </c>
      <c r="P157" s="83" t="n">
        <f aca="false">N157*O157</f>
        <v>10.1472</v>
      </c>
      <c r="Q157" s="20" t="s">
        <v>756</v>
      </c>
      <c r="R157" s="84" t="s">
        <v>660</v>
      </c>
      <c r="S157" s="20" t="s">
        <v>757</v>
      </c>
      <c r="T157" s="20" t="s">
        <v>123</v>
      </c>
      <c r="U157" s="53" t="n">
        <v>0</v>
      </c>
      <c r="V157" s="76" t="s">
        <v>749</v>
      </c>
      <c r="W157" s="53" t="n">
        <v>1</v>
      </c>
    </row>
    <row r="158" customFormat="false" ht="23.85" hidden="false" customHeight="false" outlineLevel="0" collapsed="false">
      <c r="A158" s="76" t="n">
        <v>150</v>
      </c>
      <c r="B158" s="20" t="s">
        <v>507</v>
      </c>
      <c r="C158" s="20" t="s">
        <v>655</v>
      </c>
      <c r="D158" s="20" t="s">
        <v>748</v>
      </c>
      <c r="E158" s="20" t="s">
        <v>749</v>
      </c>
      <c r="F158" s="76" t="s">
        <v>676</v>
      </c>
      <c r="G158" s="20" t="s">
        <v>758</v>
      </c>
      <c r="H158" s="55" t="n">
        <v>14</v>
      </c>
      <c r="I158" s="76" t="s">
        <v>512</v>
      </c>
      <c r="J158" s="76" t="s">
        <v>164</v>
      </c>
      <c r="K158" s="82" t="n">
        <v>1</v>
      </c>
      <c r="L158" s="55" t="n">
        <v>2</v>
      </c>
      <c r="M158" s="73" t="n">
        <v>3.9</v>
      </c>
      <c r="N158" s="74" t="n">
        <f aca="false">K158*L158*M158</f>
        <v>7.8</v>
      </c>
      <c r="O158" s="41" t="n">
        <f aca="false">IFERROR(INDEX(Исходные!$B$21:$B$33,MATCH(H158,Исходные!$A$21:$A$33,0)),0)</f>
        <v>1.208</v>
      </c>
      <c r="P158" s="83" t="n">
        <f aca="false">N158*O158</f>
        <v>9.4224</v>
      </c>
      <c r="Q158" s="20" t="s">
        <v>756</v>
      </c>
      <c r="R158" s="84" t="s">
        <v>660</v>
      </c>
      <c r="S158" s="20" t="s">
        <v>759</v>
      </c>
      <c r="T158" s="20" t="s">
        <v>123</v>
      </c>
      <c r="U158" s="53" t="n">
        <v>0</v>
      </c>
      <c r="V158" s="76" t="s">
        <v>749</v>
      </c>
      <c r="W158" s="53" t="n">
        <v>1</v>
      </c>
    </row>
    <row r="159" customFormat="false" ht="23.85" hidden="false" customHeight="false" outlineLevel="0" collapsed="false">
      <c r="A159" s="76" t="n">
        <v>151</v>
      </c>
      <c r="B159" s="20" t="s">
        <v>507</v>
      </c>
      <c r="C159" s="20" t="s">
        <v>655</v>
      </c>
      <c r="D159" s="20" t="s">
        <v>748</v>
      </c>
      <c r="E159" s="20" t="s">
        <v>749</v>
      </c>
      <c r="F159" s="76" t="s">
        <v>676</v>
      </c>
      <c r="G159" s="20" t="s">
        <v>729</v>
      </c>
      <c r="H159" s="55" t="n">
        <v>16</v>
      </c>
      <c r="I159" s="76" t="s">
        <v>512</v>
      </c>
      <c r="J159" s="76" t="s">
        <v>164</v>
      </c>
      <c r="K159" s="82" t="n">
        <v>1</v>
      </c>
      <c r="L159" s="55" t="n">
        <v>2</v>
      </c>
      <c r="M159" s="73" t="n">
        <v>2.9</v>
      </c>
      <c r="N159" s="74" t="n">
        <f aca="false">K159*L159*M159</f>
        <v>5.8</v>
      </c>
      <c r="O159" s="41" t="n">
        <f aca="false">IFERROR(INDEX(Исходные!$B$21:$B$33,MATCH(H159,Исходные!$A$21:$A$33,0)),0)</f>
        <v>1.578</v>
      </c>
      <c r="P159" s="83" t="n">
        <f aca="false">N159*O159</f>
        <v>9.1524</v>
      </c>
      <c r="Q159" s="20" t="s">
        <v>760</v>
      </c>
      <c r="R159" s="84" t="s">
        <v>660</v>
      </c>
      <c r="S159" s="20" t="s">
        <v>731</v>
      </c>
      <c r="T159" s="20" t="s">
        <v>123</v>
      </c>
      <c r="U159" s="53" t="n">
        <v>0</v>
      </c>
      <c r="V159" s="76" t="s">
        <v>749</v>
      </c>
      <c r="W159" s="53" t="n">
        <v>1</v>
      </c>
    </row>
    <row r="160" customFormat="false" ht="23.85" hidden="false" customHeight="false" outlineLevel="0" collapsed="false">
      <c r="A160" s="76" t="n">
        <v>152</v>
      </c>
      <c r="B160" s="20" t="s">
        <v>507</v>
      </c>
      <c r="C160" s="20" t="s">
        <v>655</v>
      </c>
      <c r="D160" s="20" t="s">
        <v>748</v>
      </c>
      <c r="E160" s="20" t="s">
        <v>749</v>
      </c>
      <c r="F160" s="76" t="s">
        <v>676</v>
      </c>
      <c r="G160" s="20" t="s">
        <v>732</v>
      </c>
      <c r="H160" s="55" t="n">
        <v>22</v>
      </c>
      <c r="I160" s="76" t="s">
        <v>512</v>
      </c>
      <c r="J160" s="76" t="s">
        <v>164</v>
      </c>
      <c r="K160" s="82" t="n">
        <v>1</v>
      </c>
      <c r="L160" s="55" t="n">
        <v>2</v>
      </c>
      <c r="M160" s="73" t="n">
        <v>3.2</v>
      </c>
      <c r="N160" s="74" t="n">
        <f aca="false">K160*L160*M160</f>
        <v>6.4</v>
      </c>
      <c r="O160" s="41" t="n">
        <f aca="false">IFERROR(INDEX(Исходные!$B$21:$B$33,MATCH(H160,Исходные!$A$21:$A$33,0)),0)</f>
        <v>2.984</v>
      </c>
      <c r="P160" s="83" t="n">
        <f aca="false">N160*O160</f>
        <v>19.0976</v>
      </c>
      <c r="Q160" s="20" t="s">
        <v>761</v>
      </c>
      <c r="R160" s="84" t="s">
        <v>660</v>
      </c>
      <c r="S160" s="20" t="s">
        <v>734</v>
      </c>
      <c r="T160" s="20" t="s">
        <v>123</v>
      </c>
      <c r="U160" s="53" t="n">
        <v>0</v>
      </c>
      <c r="V160" s="76" t="s">
        <v>749</v>
      </c>
      <c r="W160" s="53" t="n">
        <v>1</v>
      </c>
    </row>
    <row r="161" customFormat="false" ht="23.85" hidden="false" customHeight="false" outlineLevel="0" collapsed="false">
      <c r="A161" s="76" t="n">
        <v>153</v>
      </c>
      <c r="B161" s="20" t="s">
        <v>507</v>
      </c>
      <c r="C161" s="20" t="s">
        <v>655</v>
      </c>
      <c r="D161" s="20" t="s">
        <v>748</v>
      </c>
      <c r="E161" s="20" t="s">
        <v>749</v>
      </c>
      <c r="F161" s="76" t="s">
        <v>676</v>
      </c>
      <c r="G161" s="20" t="s">
        <v>735</v>
      </c>
      <c r="H161" s="55" t="n">
        <v>16</v>
      </c>
      <c r="I161" s="76" t="s">
        <v>512</v>
      </c>
      <c r="J161" s="76" t="s">
        <v>164</v>
      </c>
      <c r="K161" s="82" t="n">
        <v>1</v>
      </c>
      <c r="L161" s="55" t="n">
        <v>2</v>
      </c>
      <c r="M161" s="73" t="n">
        <v>2.9</v>
      </c>
      <c r="N161" s="74" t="n">
        <f aca="false">K161*L161*M161</f>
        <v>5.8</v>
      </c>
      <c r="O161" s="41" t="n">
        <f aca="false">IFERROR(INDEX(Исходные!$B$21:$B$33,MATCH(H161,Исходные!$A$21:$A$33,0)),0)</f>
        <v>1.578</v>
      </c>
      <c r="P161" s="83" t="n">
        <f aca="false">N161*O161</f>
        <v>9.1524</v>
      </c>
      <c r="Q161" s="20" t="s">
        <v>760</v>
      </c>
      <c r="R161" s="84" t="s">
        <v>660</v>
      </c>
      <c r="S161" s="20" t="s">
        <v>736</v>
      </c>
      <c r="T161" s="20" t="s">
        <v>123</v>
      </c>
      <c r="U161" s="53" t="n">
        <v>0</v>
      </c>
      <c r="V161" s="76" t="s">
        <v>749</v>
      </c>
      <c r="W161" s="53" t="n">
        <v>1</v>
      </c>
    </row>
    <row r="162" customFormat="false" ht="23.85" hidden="false" customHeight="false" outlineLevel="0" collapsed="false">
      <c r="A162" s="76" t="n">
        <v>154</v>
      </c>
      <c r="B162" s="20" t="s">
        <v>507</v>
      </c>
      <c r="C162" s="20" t="s">
        <v>655</v>
      </c>
      <c r="D162" s="20" t="s">
        <v>748</v>
      </c>
      <c r="E162" s="20" t="s">
        <v>749</v>
      </c>
      <c r="F162" s="76" t="s">
        <v>676</v>
      </c>
      <c r="G162" s="20" t="s">
        <v>737</v>
      </c>
      <c r="H162" s="55" t="n">
        <v>14</v>
      </c>
      <c r="I162" s="76" t="s">
        <v>512</v>
      </c>
      <c r="J162" s="76" t="s">
        <v>164</v>
      </c>
      <c r="K162" s="82" t="n">
        <v>1</v>
      </c>
      <c r="L162" s="55" t="n">
        <v>2</v>
      </c>
      <c r="M162" s="73" t="n">
        <v>3.7</v>
      </c>
      <c r="N162" s="74" t="n">
        <f aca="false">K162*L162*M162</f>
        <v>7.4</v>
      </c>
      <c r="O162" s="41" t="n">
        <f aca="false">IFERROR(INDEX(Исходные!$B$21:$B$33,MATCH(H162,Исходные!$A$21:$A$33,0)),0)</f>
        <v>1.208</v>
      </c>
      <c r="P162" s="83" t="n">
        <f aca="false">N162*O162</f>
        <v>8.9392</v>
      </c>
      <c r="Q162" s="20" t="s">
        <v>756</v>
      </c>
      <c r="R162" s="84" t="s">
        <v>660</v>
      </c>
      <c r="S162" s="20" t="s">
        <v>721</v>
      </c>
      <c r="T162" s="20" t="s">
        <v>123</v>
      </c>
      <c r="U162" s="53" t="n">
        <v>0</v>
      </c>
      <c r="V162" s="76" t="s">
        <v>749</v>
      </c>
      <c r="W162" s="53" t="n">
        <v>1</v>
      </c>
    </row>
    <row r="163" customFormat="false" ht="23.85" hidden="false" customHeight="false" outlineLevel="0" collapsed="false">
      <c r="A163" s="76" t="n">
        <v>155</v>
      </c>
      <c r="B163" s="20" t="s">
        <v>507</v>
      </c>
      <c r="C163" s="20" t="s">
        <v>655</v>
      </c>
      <c r="D163" s="20" t="s">
        <v>748</v>
      </c>
      <c r="E163" s="20" t="s">
        <v>749</v>
      </c>
      <c r="F163" s="76" t="s">
        <v>676</v>
      </c>
      <c r="G163" s="20" t="s">
        <v>762</v>
      </c>
      <c r="H163" s="55" t="n">
        <v>14</v>
      </c>
      <c r="I163" s="76" t="s">
        <v>512</v>
      </c>
      <c r="J163" s="76" t="s">
        <v>164</v>
      </c>
      <c r="K163" s="82" t="n">
        <v>1</v>
      </c>
      <c r="L163" s="55" t="n">
        <v>2</v>
      </c>
      <c r="M163" s="73" t="n">
        <v>4.2</v>
      </c>
      <c r="N163" s="74" t="n">
        <f aca="false">K163*L163*M163</f>
        <v>8.4</v>
      </c>
      <c r="O163" s="41" t="n">
        <f aca="false">IFERROR(INDEX(Исходные!$B$21:$B$33,MATCH(H163,Исходные!$A$21:$A$33,0)),0)</f>
        <v>1.208</v>
      </c>
      <c r="P163" s="83" t="n">
        <f aca="false">N163*O163</f>
        <v>10.1472</v>
      </c>
      <c r="Q163" s="20" t="s">
        <v>756</v>
      </c>
      <c r="R163" s="84" t="s">
        <v>660</v>
      </c>
      <c r="S163" s="20" t="s">
        <v>763</v>
      </c>
      <c r="T163" s="20" t="s">
        <v>123</v>
      </c>
      <c r="U163" s="53" t="n">
        <v>0</v>
      </c>
      <c r="V163" s="76" t="s">
        <v>749</v>
      </c>
      <c r="W163" s="53" t="n">
        <v>1</v>
      </c>
    </row>
    <row r="164" customFormat="false" ht="23.85" hidden="false" customHeight="false" outlineLevel="0" collapsed="false">
      <c r="A164" s="76" t="n">
        <v>156</v>
      </c>
      <c r="B164" s="20" t="s">
        <v>507</v>
      </c>
      <c r="C164" s="20" t="s">
        <v>655</v>
      </c>
      <c r="D164" s="20" t="s">
        <v>748</v>
      </c>
      <c r="E164" s="20" t="s">
        <v>749</v>
      </c>
      <c r="F164" s="76" t="s">
        <v>676</v>
      </c>
      <c r="G164" s="20" t="s">
        <v>764</v>
      </c>
      <c r="H164" s="55" t="n">
        <v>12</v>
      </c>
      <c r="I164" s="76" t="s">
        <v>512</v>
      </c>
      <c r="J164" s="76" t="s">
        <v>164</v>
      </c>
      <c r="K164" s="82" t="n">
        <v>1</v>
      </c>
      <c r="L164" s="55" t="n">
        <v>4</v>
      </c>
      <c r="M164" s="73" t="n">
        <v>17.1</v>
      </c>
      <c r="N164" s="74" t="n">
        <f aca="false">K164*L164*M164</f>
        <v>68.4</v>
      </c>
      <c r="O164" s="41" t="n">
        <f aca="false">IFERROR(INDEX(Исходные!$B$21:$B$33,MATCH(H164,Исходные!$A$21:$A$33,0)),0)</f>
        <v>0.888</v>
      </c>
      <c r="P164" s="83" t="n">
        <f aca="false">N164*O164</f>
        <v>60.7392</v>
      </c>
      <c r="Q164" s="20" t="s">
        <v>765</v>
      </c>
      <c r="R164" s="84" t="s">
        <v>660</v>
      </c>
      <c r="S164" s="20" t="s">
        <v>766</v>
      </c>
      <c r="T164" s="20" t="s">
        <v>123</v>
      </c>
      <c r="U164" s="53" t="n">
        <v>0</v>
      </c>
      <c r="V164" s="76" t="s">
        <v>749</v>
      </c>
      <c r="W164" s="53" t="n">
        <v>1</v>
      </c>
    </row>
    <row r="165" customFormat="false" ht="35.05" hidden="false" customHeight="false" outlineLevel="0" collapsed="false">
      <c r="A165" s="76" t="n">
        <v>157</v>
      </c>
      <c r="B165" s="20" t="s">
        <v>507</v>
      </c>
      <c r="C165" s="20" t="s">
        <v>655</v>
      </c>
      <c r="D165" s="20" t="s">
        <v>748</v>
      </c>
      <c r="E165" s="20" t="s">
        <v>749</v>
      </c>
      <c r="F165" s="76" t="s">
        <v>767</v>
      </c>
      <c r="G165" s="20" t="s">
        <v>768</v>
      </c>
      <c r="H165" s="55" t="n">
        <v>12</v>
      </c>
      <c r="I165" s="76" t="s">
        <v>512</v>
      </c>
      <c r="J165" s="76" t="s">
        <v>164</v>
      </c>
      <c r="K165" s="82" t="n">
        <v>4</v>
      </c>
      <c r="L165" s="55" t="n">
        <v>1</v>
      </c>
      <c r="M165" s="73" t="n">
        <v>0.096</v>
      </c>
      <c r="N165" s="74" t="n">
        <f aca="false">K165*L165*M165</f>
        <v>0.384</v>
      </c>
      <c r="O165" s="41" t="n">
        <f aca="false">IFERROR(INDEX(Исходные!$B$21:$B$33,MATCH(H165,Исходные!$A$21:$A$33,0)),0)</f>
        <v>0.888</v>
      </c>
      <c r="P165" s="83" t="n">
        <f aca="false">N165*O165</f>
        <v>0.340992</v>
      </c>
      <c r="Q165" s="20" t="s">
        <v>769</v>
      </c>
      <c r="R165" s="84" t="s">
        <v>667</v>
      </c>
      <c r="S165" s="20" t="s">
        <v>770</v>
      </c>
      <c r="T165" s="20" t="s">
        <v>123</v>
      </c>
      <c r="U165" s="53" t="n">
        <v>0</v>
      </c>
      <c r="V165" s="76" t="s">
        <v>749</v>
      </c>
      <c r="W165" s="53" t="n">
        <v>1</v>
      </c>
    </row>
    <row r="166" customFormat="false" ht="23.85" hidden="false" customHeight="false" outlineLevel="0" collapsed="false">
      <c r="A166" s="76" t="n">
        <v>158</v>
      </c>
      <c r="B166" s="20" t="s">
        <v>507</v>
      </c>
      <c r="C166" s="20" t="s">
        <v>655</v>
      </c>
      <c r="D166" s="20" t="s">
        <v>748</v>
      </c>
      <c r="E166" s="20" t="s">
        <v>749</v>
      </c>
      <c r="F166" s="76" t="s">
        <v>696</v>
      </c>
      <c r="G166" s="20" t="s">
        <v>697</v>
      </c>
      <c r="H166" s="55" t="n">
        <v>8</v>
      </c>
      <c r="I166" s="76" t="s">
        <v>546</v>
      </c>
      <c r="J166" s="76" t="s">
        <v>698</v>
      </c>
      <c r="K166" s="82" t="n">
        <v>1</v>
      </c>
      <c r="L166" s="55" t="n">
        <v>78</v>
      </c>
      <c r="M166" s="73" t="n">
        <v>2.06</v>
      </c>
      <c r="N166" s="74" t="n">
        <f aca="false">K166*L166*M166</f>
        <v>160.68</v>
      </c>
      <c r="O166" s="41" t="n">
        <f aca="false">IFERROR(INDEX(Исходные!$B$21:$B$33,MATCH(H166,Исходные!$A$21:$A$33,0)),0)</f>
        <v>0.395</v>
      </c>
      <c r="P166" s="83" t="n">
        <f aca="false">N166*O166</f>
        <v>63.4686</v>
      </c>
      <c r="Q166" s="20" t="s">
        <v>699</v>
      </c>
      <c r="R166" s="84" t="s">
        <v>514</v>
      </c>
      <c r="S166" s="20" t="s">
        <v>744</v>
      </c>
      <c r="T166" s="20" t="s">
        <v>123</v>
      </c>
      <c r="U166" s="53" t="n">
        <v>0</v>
      </c>
      <c r="V166" s="76" t="s">
        <v>749</v>
      </c>
      <c r="W166" s="53" t="n">
        <v>1</v>
      </c>
    </row>
    <row r="167" customFormat="false" ht="23.85" hidden="false" customHeight="false" outlineLevel="0" collapsed="false">
      <c r="A167" s="76" t="n">
        <v>159</v>
      </c>
      <c r="B167" s="20" t="s">
        <v>507</v>
      </c>
      <c r="C167" s="20" t="s">
        <v>655</v>
      </c>
      <c r="D167" s="20" t="s">
        <v>748</v>
      </c>
      <c r="E167" s="20" t="s">
        <v>749</v>
      </c>
      <c r="F167" s="76" t="s">
        <v>561</v>
      </c>
      <c r="G167" s="20" t="s">
        <v>701</v>
      </c>
      <c r="H167" s="55" t="n">
        <v>10</v>
      </c>
      <c r="I167" s="76" t="s">
        <v>546</v>
      </c>
      <c r="J167" s="76" t="n">
        <v>100</v>
      </c>
      <c r="K167" s="82" t="n">
        <v>1</v>
      </c>
      <c r="L167" s="55" t="n">
        <v>124</v>
      </c>
      <c r="M167" s="73" t="n">
        <v>2.06</v>
      </c>
      <c r="N167" s="74" t="n">
        <f aca="false">K167*L167*M167</f>
        <v>255.44</v>
      </c>
      <c r="O167" s="41" t="n">
        <f aca="false">IFERROR(INDEX(Исходные!$B$21:$B$33,MATCH(H167,Исходные!$A$21:$A$33,0)),0)</f>
        <v>0.617</v>
      </c>
      <c r="P167" s="83" t="n">
        <f aca="false">N167*O167</f>
        <v>157.60648</v>
      </c>
      <c r="Q167" s="20" t="s">
        <v>771</v>
      </c>
      <c r="R167" s="84" t="s">
        <v>514</v>
      </c>
      <c r="S167" s="20" t="s">
        <v>772</v>
      </c>
      <c r="T167" s="20" t="s">
        <v>123</v>
      </c>
      <c r="U167" s="53" t="n">
        <v>0</v>
      </c>
      <c r="V167" s="76" t="s">
        <v>749</v>
      </c>
      <c r="W167" s="53" t="n">
        <v>1</v>
      </c>
    </row>
    <row r="168" customFormat="false" ht="23.85" hidden="false" customHeight="false" outlineLevel="0" collapsed="false">
      <c r="A168" s="76" t="n">
        <v>160</v>
      </c>
      <c r="B168" s="20" t="s">
        <v>507</v>
      </c>
      <c r="C168" s="20" t="s">
        <v>655</v>
      </c>
      <c r="D168" s="20" t="s">
        <v>748</v>
      </c>
      <c r="E168" s="20" t="s">
        <v>749</v>
      </c>
      <c r="F168" s="76" t="s">
        <v>603</v>
      </c>
      <c r="G168" s="20" t="s">
        <v>704</v>
      </c>
      <c r="H168" s="55" t="n">
        <v>10</v>
      </c>
      <c r="I168" s="76" t="s">
        <v>546</v>
      </c>
      <c r="J168" s="76" t="n">
        <v>100</v>
      </c>
      <c r="K168" s="82" t="n">
        <v>1</v>
      </c>
      <c r="L168" s="55" t="n">
        <v>115</v>
      </c>
      <c r="M168" s="73" t="n">
        <v>1.6</v>
      </c>
      <c r="N168" s="74" t="n">
        <f aca="false">K168*L168*M168</f>
        <v>184</v>
      </c>
      <c r="O168" s="41" t="n">
        <f aca="false">IFERROR(INDEX(Исходные!$B$21:$B$33,MATCH(H168,Исходные!$A$21:$A$33,0)),0)</f>
        <v>0.617</v>
      </c>
      <c r="P168" s="83" t="n">
        <f aca="false">N168*O168</f>
        <v>113.528</v>
      </c>
      <c r="Q168" s="20" t="s">
        <v>773</v>
      </c>
      <c r="R168" s="84" t="s">
        <v>514</v>
      </c>
      <c r="S168" s="20"/>
      <c r="T168" s="20" t="s">
        <v>123</v>
      </c>
      <c r="U168" s="53" t="n">
        <v>0</v>
      </c>
      <c r="V168" s="76" t="s">
        <v>749</v>
      </c>
      <c r="W168" s="53" t="n">
        <v>1</v>
      </c>
    </row>
    <row r="169" customFormat="false" ht="23.85" hidden="false" customHeight="false" outlineLevel="0" collapsed="false">
      <c r="A169" s="76" t="n">
        <v>161</v>
      </c>
      <c r="B169" s="20" t="s">
        <v>507</v>
      </c>
      <c r="C169" s="20" t="s">
        <v>655</v>
      </c>
      <c r="D169" s="20" t="s">
        <v>748</v>
      </c>
      <c r="E169" s="20" t="s">
        <v>749</v>
      </c>
      <c r="F169" s="76" t="s">
        <v>706</v>
      </c>
      <c r="G169" s="20" t="s">
        <v>707</v>
      </c>
      <c r="H169" s="55" t="n">
        <v>8</v>
      </c>
      <c r="I169" s="76" t="s">
        <v>546</v>
      </c>
      <c r="J169" s="76" t="s">
        <v>708</v>
      </c>
      <c r="K169" s="82" t="n">
        <v>1</v>
      </c>
      <c r="L169" s="55" t="n">
        <v>54</v>
      </c>
      <c r="M169" s="73" t="n">
        <v>0.75</v>
      </c>
      <c r="N169" s="74" t="n">
        <f aca="false">K169*L169*M169</f>
        <v>40.5</v>
      </c>
      <c r="O169" s="41" t="n">
        <f aca="false">IFERROR(INDEX(Исходные!$B$21:$B$33,MATCH(H169,Исходные!$A$21:$A$33,0)),0)</f>
        <v>0.395</v>
      </c>
      <c r="P169" s="83" t="n">
        <f aca="false">N169*O169</f>
        <v>15.9975</v>
      </c>
      <c r="Q169" s="20" t="s">
        <v>709</v>
      </c>
      <c r="R169" s="84" t="s">
        <v>514</v>
      </c>
      <c r="S169" s="20"/>
      <c r="T169" s="20" t="s">
        <v>123</v>
      </c>
      <c r="U169" s="53" t="n">
        <v>0</v>
      </c>
      <c r="V169" s="76" t="s">
        <v>749</v>
      </c>
      <c r="W169" s="53" t="n">
        <v>1</v>
      </c>
    </row>
    <row r="170" customFormat="false" ht="23.85" hidden="false" customHeight="false" outlineLevel="0" collapsed="false">
      <c r="A170" s="76" t="n">
        <v>162</v>
      </c>
      <c r="B170" s="20" t="s">
        <v>507</v>
      </c>
      <c r="C170" s="20" t="s">
        <v>655</v>
      </c>
      <c r="D170" s="20" t="s">
        <v>748</v>
      </c>
      <c r="E170" s="20" t="s">
        <v>749</v>
      </c>
      <c r="F170" s="76" t="s">
        <v>710</v>
      </c>
      <c r="G170" s="20" t="s">
        <v>711</v>
      </c>
      <c r="H170" s="55" t="n">
        <v>8</v>
      </c>
      <c r="I170" s="76" t="s">
        <v>546</v>
      </c>
      <c r="J170" s="76" t="n">
        <v>300</v>
      </c>
      <c r="K170" s="82" t="n">
        <v>1</v>
      </c>
      <c r="L170" s="55" t="n">
        <v>77</v>
      </c>
      <c r="M170" s="73" t="n">
        <v>0.58</v>
      </c>
      <c r="N170" s="74" t="n">
        <f aca="false">K170*L170*M170</f>
        <v>44.66</v>
      </c>
      <c r="O170" s="41" t="n">
        <f aca="false">IFERROR(INDEX(Исходные!$B$21:$B$33,MATCH(H170,Исходные!$A$21:$A$33,0)),0)</f>
        <v>0.395</v>
      </c>
      <c r="P170" s="83" t="n">
        <f aca="false">N170*O170</f>
        <v>17.6407</v>
      </c>
      <c r="Q170" s="20" t="s">
        <v>712</v>
      </c>
      <c r="R170" s="85" t="s">
        <v>638</v>
      </c>
      <c r="S170" s="20" t="s">
        <v>713</v>
      </c>
      <c r="T170" s="20" t="s">
        <v>123</v>
      </c>
      <c r="U170" s="53" t="n">
        <v>1</v>
      </c>
      <c r="V170" s="76" t="s">
        <v>749</v>
      </c>
      <c r="W170" s="53" t="n">
        <v>1</v>
      </c>
    </row>
    <row r="171" customFormat="false" ht="35.05" hidden="false" customHeight="false" outlineLevel="0" collapsed="false">
      <c r="A171" s="76" t="n">
        <v>163</v>
      </c>
      <c r="B171" s="20" t="s">
        <v>507</v>
      </c>
      <c r="C171" s="20" t="s">
        <v>655</v>
      </c>
      <c r="D171" s="20" t="s">
        <v>774</v>
      </c>
      <c r="E171" s="20" t="s">
        <v>775</v>
      </c>
      <c r="F171" s="76" t="s">
        <v>519</v>
      </c>
      <c r="G171" s="20" t="s">
        <v>658</v>
      </c>
      <c r="H171" s="55" t="n">
        <v>28</v>
      </c>
      <c r="I171" s="76" t="s">
        <v>512</v>
      </c>
      <c r="J171" s="76" t="s">
        <v>164</v>
      </c>
      <c r="K171" s="82" t="n">
        <v>1</v>
      </c>
      <c r="L171" s="55" t="n">
        <v>4</v>
      </c>
      <c r="M171" s="73" t="n">
        <v>25.5</v>
      </c>
      <c r="N171" s="74" t="n">
        <f aca="false">K171*L171*M171</f>
        <v>102</v>
      </c>
      <c r="O171" s="41" t="n">
        <f aca="false">IFERROR(INDEX(Исходные!$B$21:$B$33,MATCH(H171,Исходные!$A$21:$A$33,0)),0)</f>
        <v>4.834</v>
      </c>
      <c r="P171" s="83" t="n">
        <f aca="false">N171*O171</f>
        <v>493.068</v>
      </c>
      <c r="Q171" s="20" t="s">
        <v>776</v>
      </c>
      <c r="R171" s="84" t="s">
        <v>660</v>
      </c>
      <c r="S171" s="20" t="s">
        <v>661</v>
      </c>
      <c r="T171" s="20" t="s">
        <v>123</v>
      </c>
      <c r="U171" s="53" t="n">
        <v>0</v>
      </c>
      <c r="V171" s="76" t="s">
        <v>775</v>
      </c>
      <c r="W171" s="53" t="n">
        <v>1</v>
      </c>
    </row>
    <row r="172" customFormat="false" ht="23.85" hidden="false" customHeight="false" outlineLevel="0" collapsed="false">
      <c r="A172" s="76" t="n">
        <v>164</v>
      </c>
      <c r="B172" s="20" t="s">
        <v>507</v>
      </c>
      <c r="C172" s="20" t="s">
        <v>655</v>
      </c>
      <c r="D172" s="20" t="s">
        <v>774</v>
      </c>
      <c r="E172" s="20" t="s">
        <v>775</v>
      </c>
      <c r="F172" s="76" t="s">
        <v>529</v>
      </c>
      <c r="G172" s="20" t="s">
        <v>662</v>
      </c>
      <c r="H172" s="55" t="n">
        <v>18</v>
      </c>
      <c r="I172" s="76" t="s">
        <v>512</v>
      </c>
      <c r="J172" s="76" t="s">
        <v>164</v>
      </c>
      <c r="K172" s="82" t="n">
        <v>1</v>
      </c>
      <c r="L172" s="55" t="n">
        <v>2</v>
      </c>
      <c r="M172" s="73" t="n">
        <v>25.5</v>
      </c>
      <c r="N172" s="74" t="n">
        <f aca="false">K172*L172*M172</f>
        <v>51</v>
      </c>
      <c r="O172" s="41" t="n">
        <f aca="false">IFERROR(INDEX(Исходные!$B$21:$B$33,MATCH(H172,Исходные!$A$21:$A$33,0)),0)</f>
        <v>1.998</v>
      </c>
      <c r="P172" s="83" t="n">
        <f aca="false">N172*O172</f>
        <v>101.898</v>
      </c>
      <c r="Q172" s="20" t="s">
        <v>663</v>
      </c>
      <c r="R172" s="84" t="s">
        <v>660</v>
      </c>
      <c r="S172" s="20"/>
      <c r="T172" s="20" t="s">
        <v>123</v>
      </c>
      <c r="U172" s="53" t="n">
        <v>0</v>
      </c>
      <c r="V172" s="76" t="s">
        <v>775</v>
      </c>
      <c r="W172" s="53" t="n">
        <v>1</v>
      </c>
    </row>
    <row r="173" customFormat="false" ht="35.05" hidden="false" customHeight="false" outlineLevel="0" collapsed="false">
      <c r="A173" s="76" t="n">
        <v>165</v>
      </c>
      <c r="B173" s="20" t="s">
        <v>507</v>
      </c>
      <c r="C173" s="20" t="s">
        <v>655</v>
      </c>
      <c r="D173" s="20" t="s">
        <v>774</v>
      </c>
      <c r="E173" s="20" t="s">
        <v>775</v>
      </c>
      <c r="F173" s="76" t="s">
        <v>664</v>
      </c>
      <c r="G173" s="20" t="s">
        <v>665</v>
      </c>
      <c r="H173" s="55" t="n">
        <v>18</v>
      </c>
      <c r="I173" s="76" t="s">
        <v>512</v>
      </c>
      <c r="J173" s="76" t="s">
        <v>164</v>
      </c>
      <c r="K173" s="82" t="n">
        <v>2</v>
      </c>
      <c r="L173" s="55" t="n">
        <v>2</v>
      </c>
      <c r="M173" s="73" t="n">
        <v>0.144</v>
      </c>
      <c r="N173" s="74" t="n">
        <f aca="false">K173*L173*M173</f>
        <v>0.576</v>
      </c>
      <c r="O173" s="41" t="n">
        <f aca="false">IFERROR(INDEX(Исходные!$B$21:$B$33,MATCH(H173,Исходные!$A$21:$A$33,0)),0)</f>
        <v>1.998</v>
      </c>
      <c r="P173" s="83" t="n">
        <f aca="false">N173*O173</f>
        <v>1.150848</v>
      </c>
      <c r="Q173" s="20" t="s">
        <v>666</v>
      </c>
      <c r="R173" s="84" t="s">
        <v>667</v>
      </c>
      <c r="S173" s="20" t="s">
        <v>668</v>
      </c>
      <c r="T173" s="20" t="s">
        <v>123</v>
      </c>
      <c r="U173" s="53" t="n">
        <v>0</v>
      </c>
      <c r="V173" s="76" t="s">
        <v>775</v>
      </c>
      <c r="W173" s="53" t="n">
        <v>1</v>
      </c>
    </row>
    <row r="174" customFormat="false" ht="23.85" hidden="false" customHeight="false" outlineLevel="0" collapsed="false">
      <c r="A174" s="76" t="n">
        <v>166</v>
      </c>
      <c r="B174" s="20" t="s">
        <v>507</v>
      </c>
      <c r="C174" s="20" t="s">
        <v>655</v>
      </c>
      <c r="D174" s="20" t="s">
        <v>774</v>
      </c>
      <c r="E174" s="20" t="s">
        <v>775</v>
      </c>
      <c r="F174" s="76" t="s">
        <v>669</v>
      </c>
      <c r="G174" s="20" t="s">
        <v>670</v>
      </c>
      <c r="H174" s="55" t="n">
        <v>16</v>
      </c>
      <c r="I174" s="76" t="s">
        <v>512</v>
      </c>
      <c r="J174" s="76" t="s">
        <v>164</v>
      </c>
      <c r="K174" s="82" t="n">
        <v>1</v>
      </c>
      <c r="L174" s="55" t="n">
        <v>2</v>
      </c>
      <c r="M174" s="73" t="n">
        <v>25.5</v>
      </c>
      <c r="N174" s="74" t="n">
        <f aca="false">K174*L174*M174</f>
        <v>51</v>
      </c>
      <c r="O174" s="41" t="n">
        <f aca="false">IFERROR(INDEX(Исходные!$B$21:$B$33,MATCH(H174,Исходные!$A$21:$A$33,0)),0)</f>
        <v>1.578</v>
      </c>
      <c r="P174" s="83" t="n">
        <f aca="false">N174*O174</f>
        <v>80.478</v>
      </c>
      <c r="Q174" s="20" t="s">
        <v>671</v>
      </c>
      <c r="R174" s="84" t="s">
        <v>660</v>
      </c>
      <c r="S174" s="20"/>
      <c r="T174" s="20" t="s">
        <v>123</v>
      </c>
      <c r="U174" s="53" t="n">
        <v>0</v>
      </c>
      <c r="V174" s="76" t="s">
        <v>775</v>
      </c>
      <c r="W174" s="53" t="n">
        <v>1</v>
      </c>
    </row>
    <row r="175" customFormat="false" ht="35.05" hidden="false" customHeight="false" outlineLevel="0" collapsed="false">
      <c r="A175" s="76" t="n">
        <v>167</v>
      </c>
      <c r="B175" s="20" t="s">
        <v>507</v>
      </c>
      <c r="C175" s="20" t="s">
        <v>655</v>
      </c>
      <c r="D175" s="20" t="s">
        <v>774</v>
      </c>
      <c r="E175" s="20" t="s">
        <v>775</v>
      </c>
      <c r="F175" s="76" t="s">
        <v>672</v>
      </c>
      <c r="G175" s="20" t="s">
        <v>673</v>
      </c>
      <c r="H175" s="55" t="n">
        <v>16</v>
      </c>
      <c r="I175" s="76" t="s">
        <v>512</v>
      </c>
      <c r="J175" s="76" t="s">
        <v>164</v>
      </c>
      <c r="K175" s="82" t="n">
        <v>2</v>
      </c>
      <c r="L175" s="55" t="n">
        <v>2</v>
      </c>
      <c r="M175" s="73" t="n">
        <v>0.128</v>
      </c>
      <c r="N175" s="74" t="n">
        <f aca="false">K175*L175*M175</f>
        <v>0.512</v>
      </c>
      <c r="O175" s="41" t="n">
        <f aca="false">IFERROR(INDEX(Исходные!$B$21:$B$33,MATCH(H175,Исходные!$A$21:$A$33,0)),0)</f>
        <v>1.578</v>
      </c>
      <c r="P175" s="83" t="n">
        <f aca="false">N175*O175</f>
        <v>0.807936</v>
      </c>
      <c r="Q175" s="20" t="s">
        <v>674</v>
      </c>
      <c r="R175" s="84" t="s">
        <v>667</v>
      </c>
      <c r="S175" s="20" t="s">
        <v>675</v>
      </c>
      <c r="T175" s="20" t="s">
        <v>123</v>
      </c>
      <c r="U175" s="53" t="n">
        <v>0</v>
      </c>
      <c r="V175" s="76" t="s">
        <v>775</v>
      </c>
      <c r="W175" s="53" t="n">
        <v>1</v>
      </c>
    </row>
    <row r="176" customFormat="false" ht="23.85" hidden="false" customHeight="false" outlineLevel="0" collapsed="false">
      <c r="A176" s="76" t="n">
        <v>168</v>
      </c>
      <c r="B176" s="20" t="s">
        <v>507</v>
      </c>
      <c r="C176" s="20" t="s">
        <v>655</v>
      </c>
      <c r="D176" s="20" t="s">
        <v>774</v>
      </c>
      <c r="E176" s="20" t="s">
        <v>775</v>
      </c>
      <c r="F176" s="76" t="s">
        <v>676</v>
      </c>
      <c r="G176" s="20" t="s">
        <v>777</v>
      </c>
      <c r="H176" s="55" t="n">
        <v>28</v>
      </c>
      <c r="I176" s="76" t="s">
        <v>512</v>
      </c>
      <c r="J176" s="76" t="s">
        <v>164</v>
      </c>
      <c r="K176" s="82" t="n">
        <v>1</v>
      </c>
      <c r="L176" s="55" t="n">
        <v>2</v>
      </c>
      <c r="M176" s="73" t="n">
        <v>1.85</v>
      </c>
      <c r="N176" s="74" t="n">
        <f aca="false">K176*L176*M176</f>
        <v>3.7</v>
      </c>
      <c r="O176" s="41" t="n">
        <f aca="false">IFERROR(INDEX(Исходные!$B$21:$B$33,MATCH(H176,Исходные!$A$21:$A$33,0)),0)</f>
        <v>4.834</v>
      </c>
      <c r="P176" s="83" t="n">
        <f aca="false">N176*O176</f>
        <v>17.8858</v>
      </c>
      <c r="Q176" s="20" t="s">
        <v>778</v>
      </c>
      <c r="R176" s="84" t="s">
        <v>660</v>
      </c>
      <c r="S176" s="20" t="s">
        <v>779</v>
      </c>
      <c r="T176" s="20" t="s">
        <v>123</v>
      </c>
      <c r="U176" s="53" t="n">
        <v>0</v>
      </c>
      <c r="V176" s="76" t="s">
        <v>775</v>
      </c>
      <c r="W176" s="53" t="n">
        <v>1</v>
      </c>
    </row>
    <row r="177" customFormat="false" ht="23.85" hidden="false" customHeight="false" outlineLevel="0" collapsed="false">
      <c r="A177" s="76" t="n">
        <v>169</v>
      </c>
      <c r="B177" s="20" t="s">
        <v>507</v>
      </c>
      <c r="C177" s="20" t="s">
        <v>655</v>
      </c>
      <c r="D177" s="20" t="s">
        <v>774</v>
      </c>
      <c r="E177" s="20" t="s">
        <v>775</v>
      </c>
      <c r="F177" s="76" t="s">
        <v>676</v>
      </c>
      <c r="G177" s="20" t="s">
        <v>780</v>
      </c>
      <c r="H177" s="55" t="n">
        <v>28</v>
      </c>
      <c r="I177" s="76" t="s">
        <v>512</v>
      </c>
      <c r="J177" s="76" t="s">
        <v>164</v>
      </c>
      <c r="K177" s="82" t="n">
        <v>1</v>
      </c>
      <c r="L177" s="55" t="n">
        <v>2</v>
      </c>
      <c r="M177" s="73" t="n">
        <v>5.5</v>
      </c>
      <c r="N177" s="74" t="n">
        <f aca="false">K177*L177*M177</f>
        <v>11</v>
      </c>
      <c r="O177" s="41" t="n">
        <f aca="false">IFERROR(INDEX(Исходные!$B$21:$B$33,MATCH(H177,Исходные!$A$21:$A$33,0)),0)</f>
        <v>4.834</v>
      </c>
      <c r="P177" s="83" t="n">
        <f aca="false">N177*O177</f>
        <v>53.174</v>
      </c>
      <c r="Q177" s="20" t="s">
        <v>778</v>
      </c>
      <c r="R177" s="84" t="s">
        <v>660</v>
      </c>
      <c r="S177" s="20" t="s">
        <v>781</v>
      </c>
      <c r="T177" s="20" t="s">
        <v>123</v>
      </c>
      <c r="U177" s="53" t="n">
        <v>0</v>
      </c>
      <c r="V177" s="76" t="s">
        <v>775</v>
      </c>
      <c r="W177" s="53" t="n">
        <v>1</v>
      </c>
    </row>
    <row r="178" customFormat="false" ht="23.85" hidden="false" customHeight="false" outlineLevel="0" collapsed="false">
      <c r="A178" s="76" t="n">
        <v>170</v>
      </c>
      <c r="B178" s="20" t="s">
        <v>507</v>
      </c>
      <c r="C178" s="20" t="s">
        <v>655</v>
      </c>
      <c r="D178" s="20" t="s">
        <v>774</v>
      </c>
      <c r="E178" s="20" t="s">
        <v>775</v>
      </c>
      <c r="F178" s="76" t="s">
        <v>676</v>
      </c>
      <c r="G178" s="20" t="s">
        <v>782</v>
      </c>
      <c r="H178" s="55" t="n">
        <v>22</v>
      </c>
      <c r="I178" s="76" t="s">
        <v>512</v>
      </c>
      <c r="J178" s="76" t="s">
        <v>164</v>
      </c>
      <c r="K178" s="82" t="n">
        <v>1</v>
      </c>
      <c r="L178" s="55" t="n">
        <v>2</v>
      </c>
      <c r="M178" s="73" t="n">
        <v>5.5</v>
      </c>
      <c r="N178" s="74" t="n">
        <f aca="false">K178*L178*M178</f>
        <v>11</v>
      </c>
      <c r="O178" s="41" t="n">
        <f aca="false">IFERROR(INDEX(Исходные!$B$21:$B$33,MATCH(H178,Исходные!$A$21:$A$33,0)),0)</f>
        <v>2.984</v>
      </c>
      <c r="P178" s="83" t="n">
        <f aca="false">N178*O178</f>
        <v>32.824</v>
      </c>
      <c r="Q178" s="20" t="s">
        <v>783</v>
      </c>
      <c r="R178" s="84" t="s">
        <v>660</v>
      </c>
      <c r="S178" s="20" t="s">
        <v>781</v>
      </c>
      <c r="T178" s="20" t="s">
        <v>123</v>
      </c>
      <c r="U178" s="53" t="n">
        <v>0</v>
      </c>
      <c r="V178" s="76" t="s">
        <v>775</v>
      </c>
      <c r="W178" s="53" t="n">
        <v>1</v>
      </c>
    </row>
    <row r="179" customFormat="false" ht="23.85" hidden="false" customHeight="false" outlineLevel="0" collapsed="false">
      <c r="A179" s="76" t="n">
        <v>171</v>
      </c>
      <c r="B179" s="20" t="s">
        <v>507</v>
      </c>
      <c r="C179" s="20" t="s">
        <v>655</v>
      </c>
      <c r="D179" s="20" t="s">
        <v>774</v>
      </c>
      <c r="E179" s="20" t="s">
        <v>775</v>
      </c>
      <c r="F179" s="76" t="s">
        <v>676</v>
      </c>
      <c r="G179" s="20" t="s">
        <v>784</v>
      </c>
      <c r="H179" s="55" t="n">
        <v>28</v>
      </c>
      <c r="I179" s="76" t="s">
        <v>512</v>
      </c>
      <c r="J179" s="76" t="s">
        <v>164</v>
      </c>
      <c r="K179" s="82" t="n">
        <v>1</v>
      </c>
      <c r="L179" s="55" t="n">
        <v>2</v>
      </c>
      <c r="M179" s="73" t="n">
        <v>4.7</v>
      </c>
      <c r="N179" s="74" t="n">
        <f aca="false">K179*L179*M179</f>
        <v>9.4</v>
      </c>
      <c r="O179" s="41" t="n">
        <f aca="false">IFERROR(INDEX(Исходные!$B$21:$B$33,MATCH(H179,Исходные!$A$21:$A$33,0)),0)</f>
        <v>4.834</v>
      </c>
      <c r="P179" s="83" t="n">
        <f aca="false">N179*O179</f>
        <v>45.4396</v>
      </c>
      <c r="Q179" s="20" t="s">
        <v>778</v>
      </c>
      <c r="R179" s="84" t="s">
        <v>660</v>
      </c>
      <c r="S179" s="20" t="s">
        <v>785</v>
      </c>
      <c r="T179" s="20" t="s">
        <v>123</v>
      </c>
      <c r="U179" s="53" t="n">
        <v>0</v>
      </c>
      <c r="V179" s="76" t="s">
        <v>775</v>
      </c>
      <c r="W179" s="53" t="n">
        <v>1</v>
      </c>
    </row>
    <row r="180" customFormat="false" ht="23.85" hidden="false" customHeight="false" outlineLevel="0" collapsed="false">
      <c r="A180" s="76" t="n">
        <v>172</v>
      </c>
      <c r="B180" s="20" t="s">
        <v>507</v>
      </c>
      <c r="C180" s="20" t="s">
        <v>655</v>
      </c>
      <c r="D180" s="20" t="s">
        <v>774</v>
      </c>
      <c r="E180" s="20" t="s">
        <v>775</v>
      </c>
      <c r="F180" s="76" t="s">
        <v>676</v>
      </c>
      <c r="G180" s="20" t="s">
        <v>786</v>
      </c>
      <c r="H180" s="55" t="n">
        <v>22</v>
      </c>
      <c r="I180" s="76" t="s">
        <v>512</v>
      </c>
      <c r="J180" s="76" t="s">
        <v>164</v>
      </c>
      <c r="K180" s="82" t="n">
        <v>1</v>
      </c>
      <c r="L180" s="55" t="n">
        <v>2</v>
      </c>
      <c r="M180" s="73" t="n">
        <v>4.7</v>
      </c>
      <c r="N180" s="74" t="n">
        <f aca="false">K180*L180*M180</f>
        <v>9.4</v>
      </c>
      <c r="O180" s="41" t="n">
        <f aca="false">IFERROR(INDEX(Исходные!$B$21:$B$33,MATCH(H180,Исходные!$A$21:$A$33,0)),0)</f>
        <v>2.984</v>
      </c>
      <c r="P180" s="83" t="n">
        <f aca="false">N180*O180</f>
        <v>28.0496</v>
      </c>
      <c r="Q180" s="20" t="s">
        <v>783</v>
      </c>
      <c r="R180" s="84" t="s">
        <v>660</v>
      </c>
      <c r="S180" s="20" t="s">
        <v>785</v>
      </c>
      <c r="T180" s="20" t="s">
        <v>123</v>
      </c>
      <c r="U180" s="53" t="n">
        <v>0</v>
      </c>
      <c r="V180" s="76" t="s">
        <v>775</v>
      </c>
      <c r="W180" s="53" t="n">
        <v>1</v>
      </c>
    </row>
    <row r="181" customFormat="false" ht="23.85" hidden="false" customHeight="false" outlineLevel="0" collapsed="false">
      <c r="A181" s="76" t="n">
        <v>173</v>
      </c>
      <c r="B181" s="20" t="s">
        <v>507</v>
      </c>
      <c r="C181" s="20" t="s">
        <v>655</v>
      </c>
      <c r="D181" s="20" t="s">
        <v>774</v>
      </c>
      <c r="E181" s="20" t="s">
        <v>775</v>
      </c>
      <c r="F181" s="76" t="s">
        <v>676</v>
      </c>
      <c r="G181" s="20" t="s">
        <v>787</v>
      </c>
      <c r="H181" s="55" t="n">
        <v>32</v>
      </c>
      <c r="I181" s="76" t="s">
        <v>512</v>
      </c>
      <c r="J181" s="76" t="s">
        <v>164</v>
      </c>
      <c r="K181" s="82" t="n">
        <v>1</v>
      </c>
      <c r="L181" s="55" t="n">
        <v>2</v>
      </c>
      <c r="M181" s="73" t="n">
        <v>4.3</v>
      </c>
      <c r="N181" s="74" t="n">
        <f aca="false">K181*L181*M181</f>
        <v>8.6</v>
      </c>
      <c r="O181" s="41" t="n">
        <f aca="false">IFERROR(INDEX(Исходные!$B$21:$B$33,MATCH(H181,Исходные!$A$21:$A$33,0)),0)</f>
        <v>6.313</v>
      </c>
      <c r="P181" s="83" t="n">
        <f aca="false">N181*O181</f>
        <v>54.2918</v>
      </c>
      <c r="Q181" s="20" t="s">
        <v>788</v>
      </c>
      <c r="R181" s="84" t="s">
        <v>660</v>
      </c>
      <c r="S181" s="20" t="s">
        <v>789</v>
      </c>
      <c r="T181" s="20" t="s">
        <v>123</v>
      </c>
      <c r="U181" s="53" t="n">
        <v>0</v>
      </c>
      <c r="V181" s="76" t="s">
        <v>775</v>
      </c>
      <c r="W181" s="53" t="n">
        <v>1</v>
      </c>
    </row>
    <row r="182" customFormat="false" ht="23.85" hidden="false" customHeight="false" outlineLevel="0" collapsed="false">
      <c r="A182" s="76" t="n">
        <v>174</v>
      </c>
      <c r="B182" s="20" t="s">
        <v>507</v>
      </c>
      <c r="C182" s="20" t="s">
        <v>655</v>
      </c>
      <c r="D182" s="20" t="s">
        <v>774</v>
      </c>
      <c r="E182" s="20" t="s">
        <v>775</v>
      </c>
      <c r="F182" s="76" t="s">
        <v>676</v>
      </c>
      <c r="G182" s="20" t="s">
        <v>727</v>
      </c>
      <c r="H182" s="55" t="n">
        <v>25</v>
      </c>
      <c r="I182" s="76" t="s">
        <v>512</v>
      </c>
      <c r="J182" s="76" t="s">
        <v>164</v>
      </c>
      <c r="K182" s="82" t="n">
        <v>1</v>
      </c>
      <c r="L182" s="55" t="n">
        <v>2</v>
      </c>
      <c r="M182" s="73" t="n">
        <v>2.05</v>
      </c>
      <c r="N182" s="74" t="n">
        <f aca="false">K182*L182*M182</f>
        <v>4.1</v>
      </c>
      <c r="O182" s="41" t="n">
        <f aca="false">IFERROR(INDEX(Исходные!$B$21:$B$33,MATCH(H182,Исходные!$A$21:$A$33,0)),0)</f>
        <v>3.853</v>
      </c>
      <c r="P182" s="83" t="n">
        <f aca="false">N182*O182</f>
        <v>15.7973</v>
      </c>
      <c r="Q182" s="20" t="s">
        <v>790</v>
      </c>
      <c r="R182" s="84" t="s">
        <v>660</v>
      </c>
      <c r="S182" s="20" t="s">
        <v>728</v>
      </c>
      <c r="T182" s="20" t="s">
        <v>123</v>
      </c>
      <c r="U182" s="53" t="n">
        <v>0</v>
      </c>
      <c r="V182" s="76" t="s">
        <v>775</v>
      </c>
      <c r="W182" s="53" t="n">
        <v>1</v>
      </c>
    </row>
    <row r="183" customFormat="false" ht="23.85" hidden="false" customHeight="false" outlineLevel="0" collapsed="false">
      <c r="A183" s="76" t="n">
        <v>175</v>
      </c>
      <c r="B183" s="20" t="s">
        <v>507</v>
      </c>
      <c r="C183" s="20" t="s">
        <v>655</v>
      </c>
      <c r="D183" s="20" t="s">
        <v>774</v>
      </c>
      <c r="E183" s="20" t="s">
        <v>775</v>
      </c>
      <c r="F183" s="76" t="s">
        <v>676</v>
      </c>
      <c r="G183" s="20" t="s">
        <v>791</v>
      </c>
      <c r="H183" s="55" t="n">
        <v>16</v>
      </c>
      <c r="I183" s="76" t="s">
        <v>512</v>
      </c>
      <c r="J183" s="76" t="s">
        <v>164</v>
      </c>
      <c r="K183" s="82" t="n">
        <v>1</v>
      </c>
      <c r="L183" s="55" t="n">
        <v>2</v>
      </c>
      <c r="M183" s="73" t="n">
        <v>1.85</v>
      </c>
      <c r="N183" s="74" t="n">
        <f aca="false">K183*L183*M183</f>
        <v>3.7</v>
      </c>
      <c r="O183" s="41" t="n">
        <f aca="false">IFERROR(INDEX(Исходные!$B$21:$B$33,MATCH(H183,Исходные!$A$21:$A$33,0)),0)</f>
        <v>1.578</v>
      </c>
      <c r="P183" s="83" t="n">
        <f aca="false">N183*O183</f>
        <v>5.8386</v>
      </c>
      <c r="Q183" s="20" t="s">
        <v>792</v>
      </c>
      <c r="R183" s="84" t="s">
        <v>660</v>
      </c>
      <c r="S183" s="20" t="s">
        <v>779</v>
      </c>
      <c r="T183" s="20" t="s">
        <v>123</v>
      </c>
      <c r="U183" s="53" t="n">
        <v>0</v>
      </c>
      <c r="V183" s="76" t="s">
        <v>775</v>
      </c>
      <c r="W183" s="53" t="n">
        <v>1</v>
      </c>
    </row>
    <row r="184" customFormat="false" ht="23.85" hidden="false" customHeight="false" outlineLevel="0" collapsed="false">
      <c r="A184" s="76" t="n">
        <v>176</v>
      </c>
      <c r="B184" s="20" t="s">
        <v>507</v>
      </c>
      <c r="C184" s="20" t="s">
        <v>655</v>
      </c>
      <c r="D184" s="20" t="s">
        <v>774</v>
      </c>
      <c r="E184" s="20" t="s">
        <v>775</v>
      </c>
      <c r="F184" s="76" t="s">
        <v>676</v>
      </c>
      <c r="G184" s="20" t="s">
        <v>793</v>
      </c>
      <c r="H184" s="55" t="n">
        <v>22</v>
      </c>
      <c r="I184" s="76" t="s">
        <v>512</v>
      </c>
      <c r="J184" s="76" t="s">
        <v>164</v>
      </c>
      <c r="K184" s="82" t="n">
        <v>1</v>
      </c>
      <c r="L184" s="55" t="n">
        <v>2</v>
      </c>
      <c r="M184" s="73" t="n">
        <v>5.5</v>
      </c>
      <c r="N184" s="74" t="n">
        <f aca="false">K184*L184*M184</f>
        <v>11</v>
      </c>
      <c r="O184" s="41" t="n">
        <f aca="false">IFERROR(INDEX(Исходные!$B$21:$B$33,MATCH(H184,Исходные!$A$21:$A$33,0)),0)</f>
        <v>2.984</v>
      </c>
      <c r="P184" s="83" t="n">
        <f aca="false">N184*O184</f>
        <v>32.824</v>
      </c>
      <c r="Q184" s="20" t="s">
        <v>783</v>
      </c>
      <c r="R184" s="84" t="s">
        <v>660</v>
      </c>
      <c r="S184" s="20" t="s">
        <v>781</v>
      </c>
      <c r="T184" s="20" t="s">
        <v>123</v>
      </c>
      <c r="U184" s="53" t="n">
        <v>0</v>
      </c>
      <c r="V184" s="76" t="s">
        <v>775</v>
      </c>
      <c r="W184" s="53" t="n">
        <v>1</v>
      </c>
    </row>
    <row r="185" customFormat="false" ht="23.85" hidden="false" customHeight="false" outlineLevel="0" collapsed="false">
      <c r="A185" s="76" t="n">
        <v>177</v>
      </c>
      <c r="B185" s="20" t="s">
        <v>507</v>
      </c>
      <c r="C185" s="20" t="s">
        <v>655</v>
      </c>
      <c r="D185" s="20" t="s">
        <v>774</v>
      </c>
      <c r="E185" s="20" t="s">
        <v>775</v>
      </c>
      <c r="F185" s="76" t="s">
        <v>676</v>
      </c>
      <c r="G185" s="20" t="s">
        <v>794</v>
      </c>
      <c r="H185" s="55" t="n">
        <v>28</v>
      </c>
      <c r="I185" s="76" t="s">
        <v>512</v>
      </c>
      <c r="J185" s="76" t="s">
        <v>164</v>
      </c>
      <c r="K185" s="82" t="n">
        <v>1</v>
      </c>
      <c r="L185" s="55" t="n">
        <v>2</v>
      </c>
      <c r="M185" s="73" t="n">
        <v>4.7</v>
      </c>
      <c r="N185" s="74" t="n">
        <f aca="false">K185*L185*M185</f>
        <v>9.4</v>
      </c>
      <c r="O185" s="41" t="n">
        <f aca="false">IFERROR(INDEX(Исходные!$B$21:$B$33,MATCH(H185,Исходные!$A$21:$A$33,0)),0)</f>
        <v>4.834</v>
      </c>
      <c r="P185" s="83" t="n">
        <f aca="false">N185*O185</f>
        <v>45.4396</v>
      </c>
      <c r="Q185" s="20" t="s">
        <v>778</v>
      </c>
      <c r="R185" s="84" t="s">
        <v>660</v>
      </c>
      <c r="S185" s="20" t="s">
        <v>785</v>
      </c>
      <c r="T185" s="20" t="s">
        <v>123</v>
      </c>
      <c r="U185" s="53" t="n">
        <v>0</v>
      </c>
      <c r="V185" s="76" t="s">
        <v>775</v>
      </c>
      <c r="W185" s="53" t="n">
        <v>1</v>
      </c>
    </row>
    <row r="186" customFormat="false" ht="23.85" hidden="false" customHeight="false" outlineLevel="0" collapsed="false">
      <c r="A186" s="76" t="n">
        <v>178</v>
      </c>
      <c r="B186" s="20" t="s">
        <v>507</v>
      </c>
      <c r="C186" s="20" t="s">
        <v>655</v>
      </c>
      <c r="D186" s="20" t="s">
        <v>774</v>
      </c>
      <c r="E186" s="20" t="s">
        <v>775</v>
      </c>
      <c r="F186" s="76" t="s">
        <v>676</v>
      </c>
      <c r="G186" s="20" t="s">
        <v>795</v>
      </c>
      <c r="H186" s="55" t="n">
        <v>28</v>
      </c>
      <c r="I186" s="76" t="s">
        <v>512</v>
      </c>
      <c r="J186" s="76" t="s">
        <v>164</v>
      </c>
      <c r="K186" s="82" t="n">
        <v>1</v>
      </c>
      <c r="L186" s="55" t="n">
        <v>2</v>
      </c>
      <c r="M186" s="73" t="n">
        <v>4.3</v>
      </c>
      <c r="N186" s="74" t="n">
        <f aca="false">K186*L186*M186</f>
        <v>8.6</v>
      </c>
      <c r="O186" s="41" t="n">
        <f aca="false">IFERROR(INDEX(Исходные!$B$21:$B$33,MATCH(H186,Исходные!$A$21:$A$33,0)),0)</f>
        <v>4.834</v>
      </c>
      <c r="P186" s="83" t="n">
        <f aca="false">N186*O186</f>
        <v>41.5724</v>
      </c>
      <c r="Q186" s="20" t="s">
        <v>778</v>
      </c>
      <c r="R186" s="84" t="s">
        <v>660</v>
      </c>
      <c r="S186" s="20" t="s">
        <v>789</v>
      </c>
      <c r="T186" s="20" t="s">
        <v>123</v>
      </c>
      <c r="U186" s="53" t="n">
        <v>0</v>
      </c>
      <c r="V186" s="76" t="s">
        <v>775</v>
      </c>
      <c r="W186" s="53" t="n">
        <v>1</v>
      </c>
    </row>
    <row r="187" customFormat="false" ht="23.85" hidden="false" customHeight="false" outlineLevel="0" collapsed="false">
      <c r="A187" s="76" t="n">
        <v>179</v>
      </c>
      <c r="B187" s="20" t="s">
        <v>507</v>
      </c>
      <c r="C187" s="20" t="s">
        <v>655</v>
      </c>
      <c r="D187" s="20" t="s">
        <v>774</v>
      </c>
      <c r="E187" s="20" t="s">
        <v>775</v>
      </c>
      <c r="F187" s="76" t="s">
        <v>676</v>
      </c>
      <c r="G187" s="20" t="s">
        <v>796</v>
      </c>
      <c r="H187" s="55" t="n">
        <v>22</v>
      </c>
      <c r="I187" s="76" t="s">
        <v>512</v>
      </c>
      <c r="J187" s="76" t="s">
        <v>164</v>
      </c>
      <c r="K187" s="82" t="n">
        <v>1</v>
      </c>
      <c r="L187" s="55" t="n">
        <v>2</v>
      </c>
      <c r="M187" s="73" t="n">
        <v>2.05</v>
      </c>
      <c r="N187" s="74" t="n">
        <f aca="false">K187*L187*M187</f>
        <v>4.1</v>
      </c>
      <c r="O187" s="41" t="n">
        <f aca="false">IFERROR(INDEX(Исходные!$B$21:$B$33,MATCH(H187,Исходные!$A$21:$A$33,0)),0)</f>
        <v>2.984</v>
      </c>
      <c r="P187" s="83" t="n">
        <f aca="false">N187*O187</f>
        <v>12.2344</v>
      </c>
      <c r="Q187" s="20" t="s">
        <v>783</v>
      </c>
      <c r="R187" s="84" t="s">
        <v>660</v>
      </c>
      <c r="S187" s="20" t="s">
        <v>728</v>
      </c>
      <c r="T187" s="20" t="s">
        <v>123</v>
      </c>
      <c r="U187" s="53" t="n">
        <v>0</v>
      </c>
      <c r="V187" s="76" t="s">
        <v>775</v>
      </c>
      <c r="W187" s="53" t="n">
        <v>1</v>
      </c>
    </row>
    <row r="188" customFormat="false" ht="23.85" hidden="false" customHeight="false" outlineLevel="0" collapsed="false">
      <c r="A188" s="76" t="n">
        <v>180</v>
      </c>
      <c r="B188" s="20" t="s">
        <v>507</v>
      </c>
      <c r="C188" s="20" t="s">
        <v>655</v>
      </c>
      <c r="D188" s="20" t="s">
        <v>774</v>
      </c>
      <c r="E188" s="20" t="s">
        <v>775</v>
      </c>
      <c r="F188" s="76" t="s">
        <v>696</v>
      </c>
      <c r="G188" s="20" t="s">
        <v>697</v>
      </c>
      <c r="H188" s="55" t="n">
        <v>8</v>
      </c>
      <c r="I188" s="76" t="s">
        <v>546</v>
      </c>
      <c r="J188" s="76" t="s">
        <v>698</v>
      </c>
      <c r="K188" s="82" t="n">
        <v>1</v>
      </c>
      <c r="L188" s="55" t="n">
        <v>125</v>
      </c>
      <c r="M188" s="73" t="n">
        <v>2.06</v>
      </c>
      <c r="N188" s="74" t="n">
        <f aca="false">K188*L188*M188</f>
        <v>257.5</v>
      </c>
      <c r="O188" s="41" t="n">
        <f aca="false">IFERROR(INDEX(Исходные!$B$21:$B$33,MATCH(H188,Исходные!$A$21:$A$33,0)),0)</f>
        <v>0.395</v>
      </c>
      <c r="P188" s="83" t="n">
        <f aca="false">N188*O188</f>
        <v>101.7125</v>
      </c>
      <c r="Q188" s="20" t="s">
        <v>699</v>
      </c>
      <c r="R188" s="84" t="s">
        <v>514</v>
      </c>
      <c r="S188" s="20" t="s">
        <v>797</v>
      </c>
      <c r="T188" s="20" t="s">
        <v>123</v>
      </c>
      <c r="U188" s="53" t="n">
        <v>0</v>
      </c>
      <c r="V188" s="76" t="s">
        <v>775</v>
      </c>
      <c r="W188" s="53" t="n">
        <v>1</v>
      </c>
    </row>
    <row r="189" customFormat="false" ht="23.85" hidden="false" customHeight="false" outlineLevel="0" collapsed="false">
      <c r="A189" s="76" t="n">
        <v>181</v>
      </c>
      <c r="B189" s="20" t="s">
        <v>507</v>
      </c>
      <c r="C189" s="20" t="s">
        <v>655</v>
      </c>
      <c r="D189" s="20" t="s">
        <v>774</v>
      </c>
      <c r="E189" s="20" t="s">
        <v>775</v>
      </c>
      <c r="F189" s="76" t="s">
        <v>561</v>
      </c>
      <c r="G189" s="20" t="s">
        <v>701</v>
      </c>
      <c r="H189" s="55" t="n">
        <v>10</v>
      </c>
      <c r="I189" s="76" t="s">
        <v>546</v>
      </c>
      <c r="J189" s="76" t="n">
        <v>100</v>
      </c>
      <c r="K189" s="82" t="n">
        <v>1</v>
      </c>
      <c r="L189" s="55" t="n">
        <v>45</v>
      </c>
      <c r="M189" s="73" t="n">
        <v>2.06</v>
      </c>
      <c r="N189" s="74" t="n">
        <f aca="false">K189*L189*M189</f>
        <v>92.7</v>
      </c>
      <c r="O189" s="41" t="n">
        <f aca="false">IFERROR(INDEX(Исходные!$B$21:$B$33,MATCH(H189,Исходные!$A$21:$A$33,0)),0)</f>
        <v>0.617</v>
      </c>
      <c r="P189" s="83" t="n">
        <f aca="false">N189*O189</f>
        <v>57.1959</v>
      </c>
      <c r="Q189" s="20" t="s">
        <v>798</v>
      </c>
      <c r="R189" s="84" t="s">
        <v>514</v>
      </c>
      <c r="S189" s="20" t="s">
        <v>799</v>
      </c>
      <c r="T189" s="20" t="s">
        <v>123</v>
      </c>
      <c r="U189" s="53" t="n">
        <v>0</v>
      </c>
      <c r="V189" s="76" t="s">
        <v>775</v>
      </c>
      <c r="W189" s="53" t="n">
        <v>1</v>
      </c>
    </row>
    <row r="190" customFormat="false" ht="23.85" hidden="false" customHeight="false" outlineLevel="0" collapsed="false">
      <c r="A190" s="76" t="n">
        <v>182</v>
      </c>
      <c r="B190" s="20" t="s">
        <v>507</v>
      </c>
      <c r="C190" s="20" t="s">
        <v>655</v>
      </c>
      <c r="D190" s="20" t="s">
        <v>774</v>
      </c>
      <c r="E190" s="20" t="s">
        <v>775</v>
      </c>
      <c r="F190" s="76" t="s">
        <v>706</v>
      </c>
      <c r="G190" s="20" t="s">
        <v>707</v>
      </c>
      <c r="H190" s="55" t="n">
        <v>8</v>
      </c>
      <c r="I190" s="76" t="s">
        <v>546</v>
      </c>
      <c r="J190" s="76" t="s">
        <v>708</v>
      </c>
      <c r="K190" s="82" t="n">
        <v>1</v>
      </c>
      <c r="L190" s="55" t="n">
        <v>106</v>
      </c>
      <c r="M190" s="73" t="n">
        <v>0.75</v>
      </c>
      <c r="N190" s="74" t="n">
        <f aca="false">K190*L190*M190</f>
        <v>79.5</v>
      </c>
      <c r="O190" s="41" t="n">
        <f aca="false">IFERROR(INDEX(Исходные!$B$21:$B$33,MATCH(H190,Исходные!$A$21:$A$33,0)),0)</f>
        <v>0.395</v>
      </c>
      <c r="P190" s="83" t="n">
        <f aca="false">N190*O190</f>
        <v>31.4025</v>
      </c>
      <c r="Q190" s="20" t="s">
        <v>709</v>
      </c>
      <c r="R190" s="84" t="s">
        <v>514</v>
      </c>
      <c r="S190" s="20"/>
      <c r="T190" s="20" t="s">
        <v>123</v>
      </c>
      <c r="U190" s="53" t="n">
        <v>0</v>
      </c>
      <c r="V190" s="76" t="s">
        <v>775</v>
      </c>
      <c r="W190" s="53" t="n">
        <v>1</v>
      </c>
    </row>
    <row r="191" customFormat="false" ht="23.85" hidden="false" customHeight="false" outlineLevel="0" collapsed="false">
      <c r="A191" s="76" t="n">
        <v>183</v>
      </c>
      <c r="B191" s="20" t="s">
        <v>507</v>
      </c>
      <c r="C191" s="20" t="s">
        <v>655</v>
      </c>
      <c r="D191" s="20" t="s">
        <v>774</v>
      </c>
      <c r="E191" s="20" t="s">
        <v>775</v>
      </c>
      <c r="F191" s="76" t="s">
        <v>710</v>
      </c>
      <c r="G191" s="20" t="s">
        <v>711</v>
      </c>
      <c r="H191" s="55" t="n">
        <v>8</v>
      </c>
      <c r="I191" s="76" t="s">
        <v>546</v>
      </c>
      <c r="J191" s="76" t="n">
        <v>300</v>
      </c>
      <c r="K191" s="82" t="n">
        <v>1</v>
      </c>
      <c r="L191" s="55" t="n">
        <v>67</v>
      </c>
      <c r="M191" s="73" t="n">
        <v>0.58</v>
      </c>
      <c r="N191" s="74" t="n">
        <f aca="false">K191*L191*M191</f>
        <v>38.86</v>
      </c>
      <c r="O191" s="41" t="n">
        <f aca="false">IFERROR(INDEX(Исходные!$B$21:$B$33,MATCH(H191,Исходные!$A$21:$A$33,0)),0)</f>
        <v>0.395</v>
      </c>
      <c r="P191" s="83" t="n">
        <f aca="false">N191*O191</f>
        <v>15.3497</v>
      </c>
      <c r="Q191" s="20" t="s">
        <v>712</v>
      </c>
      <c r="R191" s="85" t="s">
        <v>638</v>
      </c>
      <c r="S191" s="20" t="s">
        <v>713</v>
      </c>
      <c r="T191" s="20" t="s">
        <v>123</v>
      </c>
      <c r="U191" s="53" t="n">
        <v>1</v>
      </c>
      <c r="V191" s="76" t="s">
        <v>775</v>
      </c>
      <c r="W191" s="53" t="n">
        <v>1</v>
      </c>
    </row>
    <row r="192" customFormat="false" ht="35.05" hidden="false" customHeight="false" outlineLevel="0" collapsed="false">
      <c r="A192" s="76" t="n">
        <v>184</v>
      </c>
      <c r="B192" s="20" t="s">
        <v>507</v>
      </c>
      <c r="C192" s="20" t="s">
        <v>655</v>
      </c>
      <c r="D192" s="20" t="s">
        <v>800</v>
      </c>
      <c r="E192" s="20" t="s">
        <v>801</v>
      </c>
      <c r="F192" s="76" t="s">
        <v>519</v>
      </c>
      <c r="G192" s="20" t="s">
        <v>658</v>
      </c>
      <c r="H192" s="55" t="n">
        <v>28</v>
      </c>
      <c r="I192" s="76" t="s">
        <v>512</v>
      </c>
      <c r="J192" s="76" t="s">
        <v>164</v>
      </c>
      <c r="K192" s="82" t="n">
        <v>2</v>
      </c>
      <c r="L192" s="55" t="n">
        <v>4</v>
      </c>
      <c r="M192" s="73" t="n">
        <v>20.5</v>
      </c>
      <c r="N192" s="74" t="n">
        <f aca="false">K192*L192*M192</f>
        <v>164</v>
      </c>
      <c r="O192" s="41" t="n">
        <f aca="false">IFERROR(INDEX(Исходные!$B$21:$B$33,MATCH(H192,Исходные!$A$21:$A$33,0)),0)</f>
        <v>4.834</v>
      </c>
      <c r="P192" s="83" t="n">
        <f aca="false">N192*O192</f>
        <v>792.776</v>
      </c>
      <c r="Q192" s="20" t="s">
        <v>802</v>
      </c>
      <c r="R192" s="84" t="s">
        <v>660</v>
      </c>
      <c r="S192" s="20" t="s">
        <v>803</v>
      </c>
      <c r="T192" s="20" t="s">
        <v>123</v>
      </c>
      <c r="U192" s="53" t="n">
        <v>0</v>
      </c>
      <c r="V192" s="76" t="s">
        <v>801</v>
      </c>
      <c r="W192" s="53" t="n">
        <v>1</v>
      </c>
    </row>
    <row r="193" customFormat="false" ht="23.85" hidden="false" customHeight="false" outlineLevel="0" collapsed="false">
      <c r="A193" s="76" t="n">
        <v>185</v>
      </c>
      <c r="B193" s="20" t="s">
        <v>507</v>
      </c>
      <c r="C193" s="20" t="s">
        <v>655</v>
      </c>
      <c r="D193" s="20" t="s">
        <v>800</v>
      </c>
      <c r="E193" s="20" t="s">
        <v>801</v>
      </c>
      <c r="F193" s="76" t="s">
        <v>529</v>
      </c>
      <c r="G193" s="20" t="s">
        <v>662</v>
      </c>
      <c r="H193" s="55" t="n">
        <v>18</v>
      </c>
      <c r="I193" s="76" t="s">
        <v>512</v>
      </c>
      <c r="J193" s="76" t="s">
        <v>164</v>
      </c>
      <c r="K193" s="82" t="n">
        <v>2</v>
      </c>
      <c r="L193" s="55" t="n">
        <v>2</v>
      </c>
      <c r="M193" s="73" t="n">
        <v>20.5</v>
      </c>
      <c r="N193" s="74" t="n">
        <f aca="false">K193*L193*M193</f>
        <v>82</v>
      </c>
      <c r="O193" s="41" t="n">
        <f aca="false">IFERROR(INDEX(Исходные!$B$21:$B$33,MATCH(H193,Исходные!$A$21:$A$33,0)),0)</f>
        <v>1.998</v>
      </c>
      <c r="P193" s="83" t="n">
        <f aca="false">N193*O193</f>
        <v>163.836</v>
      </c>
      <c r="Q193" s="20" t="s">
        <v>663</v>
      </c>
      <c r="R193" s="84" t="s">
        <v>660</v>
      </c>
      <c r="S193" s="20"/>
      <c r="T193" s="20" t="s">
        <v>123</v>
      </c>
      <c r="U193" s="53" t="n">
        <v>0</v>
      </c>
      <c r="V193" s="76" t="s">
        <v>801</v>
      </c>
      <c r="W193" s="53" t="n">
        <v>1</v>
      </c>
    </row>
    <row r="194" customFormat="false" ht="35.05" hidden="false" customHeight="false" outlineLevel="0" collapsed="false">
      <c r="A194" s="76" t="n">
        <v>186</v>
      </c>
      <c r="B194" s="20" t="s">
        <v>507</v>
      </c>
      <c r="C194" s="20" t="s">
        <v>655</v>
      </c>
      <c r="D194" s="20" t="s">
        <v>800</v>
      </c>
      <c r="E194" s="20" t="s">
        <v>801</v>
      </c>
      <c r="F194" s="76" t="s">
        <v>664</v>
      </c>
      <c r="G194" s="20" t="s">
        <v>804</v>
      </c>
      <c r="H194" s="55" t="n">
        <v>18</v>
      </c>
      <c r="I194" s="76" t="s">
        <v>512</v>
      </c>
      <c r="J194" s="76" t="s">
        <v>164</v>
      </c>
      <c r="K194" s="82" t="n">
        <v>4</v>
      </c>
      <c r="L194" s="55" t="n">
        <v>1</v>
      </c>
      <c r="M194" s="73" t="n">
        <v>0.144</v>
      </c>
      <c r="N194" s="74" t="n">
        <f aca="false">K194*L194*M194</f>
        <v>0.576</v>
      </c>
      <c r="O194" s="41" t="n">
        <f aca="false">IFERROR(INDEX(Исходные!$B$21:$B$33,MATCH(H194,Исходные!$A$21:$A$33,0)),0)</f>
        <v>1.998</v>
      </c>
      <c r="P194" s="83" t="n">
        <f aca="false">N194*O194</f>
        <v>1.150848</v>
      </c>
      <c r="Q194" s="20" t="s">
        <v>666</v>
      </c>
      <c r="R194" s="84" t="s">
        <v>667</v>
      </c>
      <c r="S194" s="20" t="s">
        <v>805</v>
      </c>
      <c r="T194" s="20" t="s">
        <v>123</v>
      </c>
      <c r="U194" s="53" t="n">
        <v>0</v>
      </c>
      <c r="V194" s="76" t="s">
        <v>801</v>
      </c>
      <c r="W194" s="53" t="n">
        <v>1</v>
      </c>
    </row>
    <row r="195" customFormat="false" ht="23.85" hidden="false" customHeight="false" outlineLevel="0" collapsed="false">
      <c r="A195" s="76" t="n">
        <v>187</v>
      </c>
      <c r="B195" s="20" t="s">
        <v>507</v>
      </c>
      <c r="C195" s="20" t="s">
        <v>655</v>
      </c>
      <c r="D195" s="20" t="s">
        <v>800</v>
      </c>
      <c r="E195" s="20" t="s">
        <v>801</v>
      </c>
      <c r="F195" s="76" t="s">
        <v>669</v>
      </c>
      <c r="G195" s="20" t="s">
        <v>670</v>
      </c>
      <c r="H195" s="55" t="n">
        <v>16</v>
      </c>
      <c r="I195" s="76" t="s">
        <v>512</v>
      </c>
      <c r="J195" s="76" t="s">
        <v>164</v>
      </c>
      <c r="K195" s="82" t="n">
        <v>2</v>
      </c>
      <c r="L195" s="55" t="n">
        <v>2</v>
      </c>
      <c r="M195" s="73" t="n">
        <v>20.5</v>
      </c>
      <c r="N195" s="74" t="n">
        <f aca="false">K195*L195*M195</f>
        <v>82</v>
      </c>
      <c r="O195" s="41" t="n">
        <f aca="false">IFERROR(INDEX(Исходные!$B$21:$B$33,MATCH(H195,Исходные!$A$21:$A$33,0)),0)</f>
        <v>1.578</v>
      </c>
      <c r="P195" s="83" t="n">
        <f aca="false">N195*O195</f>
        <v>129.396</v>
      </c>
      <c r="Q195" s="20" t="s">
        <v>671</v>
      </c>
      <c r="R195" s="84" t="s">
        <v>660</v>
      </c>
      <c r="S195" s="20"/>
      <c r="T195" s="20" t="s">
        <v>123</v>
      </c>
      <c r="U195" s="53" t="n">
        <v>0</v>
      </c>
      <c r="V195" s="76" t="s">
        <v>801</v>
      </c>
      <c r="W195" s="53" t="n">
        <v>1</v>
      </c>
    </row>
    <row r="196" customFormat="false" ht="35.05" hidden="false" customHeight="false" outlineLevel="0" collapsed="false">
      <c r="A196" s="76" t="n">
        <v>188</v>
      </c>
      <c r="B196" s="20" t="s">
        <v>507</v>
      </c>
      <c r="C196" s="20" t="s">
        <v>655</v>
      </c>
      <c r="D196" s="20" t="s">
        <v>800</v>
      </c>
      <c r="E196" s="20" t="s">
        <v>801</v>
      </c>
      <c r="F196" s="76" t="s">
        <v>672</v>
      </c>
      <c r="G196" s="20" t="s">
        <v>806</v>
      </c>
      <c r="H196" s="55" t="n">
        <v>16</v>
      </c>
      <c r="I196" s="76" t="s">
        <v>512</v>
      </c>
      <c r="J196" s="76" t="s">
        <v>164</v>
      </c>
      <c r="K196" s="82" t="n">
        <v>4</v>
      </c>
      <c r="L196" s="55" t="n">
        <v>1</v>
      </c>
      <c r="M196" s="73" t="n">
        <v>0.128</v>
      </c>
      <c r="N196" s="74" t="n">
        <f aca="false">K196*L196*M196</f>
        <v>0.512</v>
      </c>
      <c r="O196" s="41" t="n">
        <f aca="false">IFERROR(INDEX(Исходные!$B$21:$B$33,MATCH(H196,Исходные!$A$21:$A$33,0)),0)</f>
        <v>1.578</v>
      </c>
      <c r="P196" s="83" t="n">
        <f aca="false">N196*O196</f>
        <v>0.807936</v>
      </c>
      <c r="Q196" s="20" t="s">
        <v>674</v>
      </c>
      <c r="R196" s="84" t="s">
        <v>667</v>
      </c>
      <c r="S196" s="20" t="s">
        <v>807</v>
      </c>
      <c r="T196" s="20" t="s">
        <v>123</v>
      </c>
      <c r="U196" s="53" t="n">
        <v>0</v>
      </c>
      <c r="V196" s="76" t="s">
        <v>801</v>
      </c>
      <c r="W196" s="53" t="n">
        <v>1</v>
      </c>
    </row>
    <row r="197" customFormat="false" ht="23.85" hidden="false" customHeight="false" outlineLevel="0" collapsed="false">
      <c r="A197" s="76" t="n">
        <v>189</v>
      </c>
      <c r="B197" s="20" t="s">
        <v>507</v>
      </c>
      <c r="C197" s="20" t="s">
        <v>655</v>
      </c>
      <c r="D197" s="20" t="s">
        <v>800</v>
      </c>
      <c r="E197" s="20" t="s">
        <v>801</v>
      </c>
      <c r="F197" s="76" t="s">
        <v>676</v>
      </c>
      <c r="G197" s="20" t="s">
        <v>717</v>
      </c>
      <c r="H197" s="55" t="n">
        <v>25</v>
      </c>
      <c r="I197" s="76" t="s">
        <v>512</v>
      </c>
      <c r="J197" s="76" t="s">
        <v>164</v>
      </c>
      <c r="K197" s="82" t="n">
        <v>2</v>
      </c>
      <c r="L197" s="55" t="n">
        <v>2</v>
      </c>
      <c r="M197" s="73" t="n">
        <v>2.05</v>
      </c>
      <c r="N197" s="74" t="n">
        <f aca="false">K197*L197*M197</f>
        <v>8.2</v>
      </c>
      <c r="O197" s="41" t="n">
        <f aca="false">IFERROR(INDEX(Исходные!$B$21:$B$33,MATCH(H197,Исходные!$A$21:$A$33,0)),0)</f>
        <v>3.853</v>
      </c>
      <c r="P197" s="83" t="n">
        <f aca="false">N197*O197</f>
        <v>31.5946</v>
      </c>
      <c r="Q197" s="20" t="s">
        <v>808</v>
      </c>
      <c r="R197" s="84" t="s">
        <v>660</v>
      </c>
      <c r="S197" s="20" t="s">
        <v>809</v>
      </c>
      <c r="T197" s="20" t="s">
        <v>123</v>
      </c>
      <c r="U197" s="53" t="n">
        <v>0</v>
      </c>
      <c r="V197" s="76" t="s">
        <v>801</v>
      </c>
      <c r="W197" s="53" t="n">
        <v>1</v>
      </c>
    </row>
    <row r="198" customFormat="false" ht="23.85" hidden="false" customHeight="false" outlineLevel="0" collapsed="false">
      <c r="A198" s="76" t="n">
        <v>190</v>
      </c>
      <c r="B198" s="20" t="s">
        <v>507</v>
      </c>
      <c r="C198" s="20" t="s">
        <v>655</v>
      </c>
      <c r="D198" s="20" t="s">
        <v>800</v>
      </c>
      <c r="E198" s="20" t="s">
        <v>801</v>
      </c>
      <c r="F198" s="76" t="s">
        <v>676</v>
      </c>
      <c r="G198" s="20" t="s">
        <v>810</v>
      </c>
      <c r="H198" s="55" t="n">
        <v>28</v>
      </c>
      <c r="I198" s="76" t="s">
        <v>512</v>
      </c>
      <c r="J198" s="76" t="s">
        <v>164</v>
      </c>
      <c r="K198" s="82" t="n">
        <v>2</v>
      </c>
      <c r="L198" s="55" t="n">
        <v>2</v>
      </c>
      <c r="M198" s="73" t="n">
        <v>3.8</v>
      </c>
      <c r="N198" s="74" t="n">
        <f aca="false">K198*L198*M198</f>
        <v>15.2</v>
      </c>
      <c r="O198" s="41" t="n">
        <f aca="false">IFERROR(INDEX(Исходные!$B$21:$B$33,MATCH(H198,Исходные!$A$21:$A$33,0)),0)</f>
        <v>4.834</v>
      </c>
      <c r="P198" s="83" t="n">
        <f aca="false">N198*O198</f>
        <v>73.4768</v>
      </c>
      <c r="Q198" s="20" t="s">
        <v>811</v>
      </c>
      <c r="R198" s="84" t="s">
        <v>660</v>
      </c>
      <c r="S198" s="20" t="s">
        <v>812</v>
      </c>
      <c r="T198" s="20" t="s">
        <v>123</v>
      </c>
      <c r="U198" s="53" t="n">
        <v>0</v>
      </c>
      <c r="V198" s="76" t="s">
        <v>801</v>
      </c>
      <c r="W198" s="53" t="n">
        <v>1</v>
      </c>
    </row>
    <row r="199" customFormat="false" ht="23.85" hidden="false" customHeight="false" outlineLevel="0" collapsed="false">
      <c r="A199" s="76" t="n">
        <v>191</v>
      </c>
      <c r="B199" s="20" t="s">
        <v>507</v>
      </c>
      <c r="C199" s="20" t="s">
        <v>655</v>
      </c>
      <c r="D199" s="20" t="s">
        <v>800</v>
      </c>
      <c r="E199" s="20" t="s">
        <v>801</v>
      </c>
      <c r="F199" s="76" t="s">
        <v>676</v>
      </c>
      <c r="G199" s="20" t="s">
        <v>813</v>
      </c>
      <c r="H199" s="55" t="n">
        <v>32</v>
      </c>
      <c r="I199" s="76" t="s">
        <v>512</v>
      </c>
      <c r="J199" s="76" t="s">
        <v>164</v>
      </c>
      <c r="K199" s="82" t="n">
        <v>2</v>
      </c>
      <c r="L199" s="55" t="n">
        <v>2</v>
      </c>
      <c r="M199" s="73" t="n">
        <v>3.8</v>
      </c>
      <c r="N199" s="74" t="n">
        <f aca="false">K199*L199*M199</f>
        <v>15.2</v>
      </c>
      <c r="O199" s="41" t="n">
        <f aca="false">IFERROR(INDEX(Исходные!$B$21:$B$33,MATCH(H199,Исходные!$A$21:$A$33,0)),0)</f>
        <v>6.313</v>
      </c>
      <c r="P199" s="83" t="n">
        <f aca="false">N199*O199</f>
        <v>95.9576</v>
      </c>
      <c r="Q199" s="20" t="s">
        <v>814</v>
      </c>
      <c r="R199" s="84" t="s">
        <v>660</v>
      </c>
      <c r="S199" s="20" t="s">
        <v>815</v>
      </c>
      <c r="T199" s="20" t="s">
        <v>123</v>
      </c>
      <c r="U199" s="53" t="n">
        <v>0</v>
      </c>
      <c r="V199" s="76" t="s">
        <v>801</v>
      </c>
      <c r="W199" s="53" t="n">
        <v>1</v>
      </c>
    </row>
    <row r="200" customFormat="false" ht="23.85" hidden="false" customHeight="false" outlineLevel="0" collapsed="false">
      <c r="A200" s="76" t="n">
        <v>192</v>
      </c>
      <c r="B200" s="20" t="s">
        <v>507</v>
      </c>
      <c r="C200" s="20" t="s">
        <v>655</v>
      </c>
      <c r="D200" s="20" t="s">
        <v>800</v>
      </c>
      <c r="E200" s="20" t="s">
        <v>801</v>
      </c>
      <c r="F200" s="76" t="s">
        <v>676</v>
      </c>
      <c r="G200" s="20" t="s">
        <v>816</v>
      </c>
      <c r="H200" s="55" t="n">
        <v>28</v>
      </c>
      <c r="I200" s="76" t="s">
        <v>512</v>
      </c>
      <c r="J200" s="76" t="s">
        <v>164</v>
      </c>
      <c r="K200" s="82" t="n">
        <v>2</v>
      </c>
      <c r="L200" s="55" t="n">
        <v>2</v>
      </c>
      <c r="M200" s="73" t="n">
        <v>2.05</v>
      </c>
      <c r="N200" s="74" t="n">
        <f aca="false">K200*L200*M200</f>
        <v>8.2</v>
      </c>
      <c r="O200" s="41" t="n">
        <f aca="false">IFERROR(INDEX(Исходные!$B$21:$B$33,MATCH(H200,Исходные!$A$21:$A$33,0)),0)</f>
        <v>4.834</v>
      </c>
      <c r="P200" s="83" t="n">
        <f aca="false">N200*O200</f>
        <v>39.6388</v>
      </c>
      <c r="Q200" s="20" t="s">
        <v>811</v>
      </c>
      <c r="R200" s="84" t="s">
        <v>660</v>
      </c>
      <c r="S200" s="20" t="s">
        <v>817</v>
      </c>
      <c r="T200" s="20" t="s">
        <v>123</v>
      </c>
      <c r="U200" s="53" t="n">
        <v>0</v>
      </c>
      <c r="V200" s="76" t="s">
        <v>801</v>
      </c>
      <c r="W200" s="53" t="n">
        <v>1</v>
      </c>
    </row>
    <row r="201" customFormat="false" ht="23.85" hidden="false" customHeight="false" outlineLevel="0" collapsed="false">
      <c r="A201" s="76" t="n">
        <v>193</v>
      </c>
      <c r="B201" s="20" t="s">
        <v>507</v>
      </c>
      <c r="C201" s="20" t="s">
        <v>655</v>
      </c>
      <c r="D201" s="20" t="s">
        <v>800</v>
      </c>
      <c r="E201" s="20" t="s">
        <v>801</v>
      </c>
      <c r="F201" s="76" t="s">
        <v>676</v>
      </c>
      <c r="G201" s="20" t="s">
        <v>818</v>
      </c>
      <c r="H201" s="55" t="n">
        <v>16</v>
      </c>
      <c r="I201" s="76" t="s">
        <v>512</v>
      </c>
      <c r="J201" s="76" t="s">
        <v>164</v>
      </c>
      <c r="K201" s="82" t="n">
        <v>2</v>
      </c>
      <c r="L201" s="55" t="n">
        <v>2</v>
      </c>
      <c r="M201" s="73" t="n">
        <v>4.95</v>
      </c>
      <c r="N201" s="74" t="n">
        <f aca="false">K201*L201*M201</f>
        <v>19.8</v>
      </c>
      <c r="O201" s="41" t="n">
        <f aca="false">IFERROR(INDEX(Исходные!$B$21:$B$33,MATCH(H201,Исходные!$A$21:$A$33,0)),0)</f>
        <v>1.578</v>
      </c>
      <c r="P201" s="83" t="n">
        <f aca="false">N201*O201</f>
        <v>31.2444</v>
      </c>
      <c r="Q201" s="20" t="s">
        <v>819</v>
      </c>
      <c r="R201" s="84" t="s">
        <v>660</v>
      </c>
      <c r="S201" s="20" t="s">
        <v>820</v>
      </c>
      <c r="T201" s="20" t="s">
        <v>123</v>
      </c>
      <c r="U201" s="53" t="n">
        <v>0</v>
      </c>
      <c r="V201" s="76" t="s">
        <v>801</v>
      </c>
      <c r="W201" s="53" t="n">
        <v>1</v>
      </c>
    </row>
    <row r="202" customFormat="false" ht="23.85" hidden="false" customHeight="false" outlineLevel="0" collapsed="false">
      <c r="A202" s="76" t="n">
        <v>194</v>
      </c>
      <c r="B202" s="20" t="s">
        <v>507</v>
      </c>
      <c r="C202" s="20" t="s">
        <v>655</v>
      </c>
      <c r="D202" s="20" t="s">
        <v>800</v>
      </c>
      <c r="E202" s="20" t="s">
        <v>801</v>
      </c>
      <c r="F202" s="76" t="s">
        <v>676</v>
      </c>
      <c r="G202" s="20" t="s">
        <v>821</v>
      </c>
      <c r="H202" s="55" t="n">
        <v>16</v>
      </c>
      <c r="I202" s="76" t="s">
        <v>512</v>
      </c>
      <c r="J202" s="76" t="s">
        <v>164</v>
      </c>
      <c r="K202" s="82" t="n">
        <v>2</v>
      </c>
      <c r="L202" s="55" t="n">
        <v>2</v>
      </c>
      <c r="M202" s="73" t="n">
        <v>3</v>
      </c>
      <c r="N202" s="74" t="n">
        <f aca="false">K202*L202*M202</f>
        <v>12</v>
      </c>
      <c r="O202" s="41" t="n">
        <f aca="false">IFERROR(INDEX(Исходные!$B$21:$B$33,MATCH(H202,Исходные!$A$21:$A$33,0)),0)</f>
        <v>1.578</v>
      </c>
      <c r="P202" s="83" t="n">
        <f aca="false">N202*O202</f>
        <v>18.936</v>
      </c>
      <c r="Q202" s="20" t="s">
        <v>819</v>
      </c>
      <c r="R202" s="84" t="s">
        <v>660</v>
      </c>
      <c r="S202" s="20" t="s">
        <v>822</v>
      </c>
      <c r="T202" s="20" t="s">
        <v>123</v>
      </c>
      <c r="U202" s="53" t="n">
        <v>0</v>
      </c>
      <c r="V202" s="76" t="s">
        <v>801</v>
      </c>
      <c r="W202" s="53" t="n">
        <v>1</v>
      </c>
    </row>
    <row r="203" customFormat="false" ht="23.85" hidden="false" customHeight="false" outlineLevel="0" collapsed="false">
      <c r="A203" s="76" t="n">
        <v>195</v>
      </c>
      <c r="B203" s="20" t="s">
        <v>507</v>
      </c>
      <c r="C203" s="20" t="s">
        <v>655</v>
      </c>
      <c r="D203" s="20" t="s">
        <v>800</v>
      </c>
      <c r="E203" s="20" t="s">
        <v>801</v>
      </c>
      <c r="F203" s="76" t="s">
        <v>676</v>
      </c>
      <c r="G203" s="20" t="s">
        <v>735</v>
      </c>
      <c r="H203" s="55" t="n">
        <v>16</v>
      </c>
      <c r="I203" s="76" t="s">
        <v>512</v>
      </c>
      <c r="J203" s="76" t="s">
        <v>164</v>
      </c>
      <c r="K203" s="82" t="n">
        <v>2</v>
      </c>
      <c r="L203" s="55" t="n">
        <v>2</v>
      </c>
      <c r="M203" s="73" t="n">
        <v>2.9</v>
      </c>
      <c r="N203" s="74" t="n">
        <f aca="false">K203*L203*M203</f>
        <v>11.6</v>
      </c>
      <c r="O203" s="41" t="n">
        <f aca="false">IFERROR(INDEX(Исходные!$B$21:$B$33,MATCH(H203,Исходные!$A$21:$A$33,0)),0)</f>
        <v>1.578</v>
      </c>
      <c r="P203" s="83" t="n">
        <f aca="false">N203*O203</f>
        <v>18.3048</v>
      </c>
      <c r="Q203" s="20" t="s">
        <v>819</v>
      </c>
      <c r="R203" s="84" t="s">
        <v>660</v>
      </c>
      <c r="S203" s="20" t="s">
        <v>823</v>
      </c>
      <c r="T203" s="20" t="s">
        <v>123</v>
      </c>
      <c r="U203" s="53" t="n">
        <v>0</v>
      </c>
      <c r="V203" s="76" t="s">
        <v>801</v>
      </c>
      <c r="W203" s="53" t="n">
        <v>1</v>
      </c>
    </row>
    <row r="204" customFormat="false" ht="23.85" hidden="false" customHeight="false" outlineLevel="0" collapsed="false">
      <c r="A204" s="76" t="n">
        <v>196</v>
      </c>
      <c r="B204" s="20" t="s">
        <v>507</v>
      </c>
      <c r="C204" s="20" t="s">
        <v>655</v>
      </c>
      <c r="D204" s="20" t="s">
        <v>800</v>
      </c>
      <c r="E204" s="20" t="s">
        <v>801</v>
      </c>
      <c r="F204" s="76" t="s">
        <v>676</v>
      </c>
      <c r="G204" s="20" t="s">
        <v>824</v>
      </c>
      <c r="H204" s="55" t="n">
        <v>12</v>
      </c>
      <c r="I204" s="76" t="s">
        <v>512</v>
      </c>
      <c r="J204" s="76" t="s">
        <v>164</v>
      </c>
      <c r="K204" s="82" t="n">
        <v>2</v>
      </c>
      <c r="L204" s="55" t="n">
        <v>4</v>
      </c>
      <c r="M204" s="73" t="n">
        <v>2.05</v>
      </c>
      <c r="N204" s="74" t="n">
        <f aca="false">K204*L204*M204</f>
        <v>16.4</v>
      </c>
      <c r="O204" s="41" t="n">
        <f aca="false">IFERROR(INDEX(Исходные!$B$21:$B$33,MATCH(H204,Исходные!$A$21:$A$33,0)),0)</f>
        <v>0.888</v>
      </c>
      <c r="P204" s="83" t="n">
        <f aca="false">N204*O204</f>
        <v>14.5632</v>
      </c>
      <c r="Q204" s="20" t="s">
        <v>825</v>
      </c>
      <c r="R204" s="84" t="s">
        <v>660</v>
      </c>
      <c r="S204" s="20" t="s">
        <v>809</v>
      </c>
      <c r="T204" s="20" t="s">
        <v>123</v>
      </c>
      <c r="U204" s="53" t="n">
        <v>0</v>
      </c>
      <c r="V204" s="76" t="s">
        <v>801</v>
      </c>
      <c r="W204" s="53" t="n">
        <v>1</v>
      </c>
    </row>
    <row r="205" customFormat="false" ht="23.85" hidden="false" customHeight="false" outlineLevel="0" collapsed="false">
      <c r="A205" s="76" t="n">
        <v>197</v>
      </c>
      <c r="B205" s="20" t="s">
        <v>507</v>
      </c>
      <c r="C205" s="20" t="s">
        <v>655</v>
      </c>
      <c r="D205" s="20" t="s">
        <v>800</v>
      </c>
      <c r="E205" s="20" t="s">
        <v>801</v>
      </c>
      <c r="F205" s="76" t="s">
        <v>696</v>
      </c>
      <c r="G205" s="20" t="s">
        <v>697</v>
      </c>
      <c r="H205" s="55" t="n">
        <v>8</v>
      </c>
      <c r="I205" s="76" t="s">
        <v>546</v>
      </c>
      <c r="J205" s="76" t="s">
        <v>698</v>
      </c>
      <c r="K205" s="82" t="n">
        <v>2</v>
      </c>
      <c r="L205" s="55" t="n">
        <v>112</v>
      </c>
      <c r="M205" s="73" t="n">
        <v>2.06</v>
      </c>
      <c r="N205" s="74" t="n">
        <f aca="false">K205*L205*M205</f>
        <v>461.44</v>
      </c>
      <c r="O205" s="41" t="n">
        <f aca="false">IFERROR(INDEX(Исходные!$B$21:$B$33,MATCH(H205,Исходные!$A$21:$A$33,0)),0)</f>
        <v>0.395</v>
      </c>
      <c r="P205" s="83" t="n">
        <f aca="false">N205*O205</f>
        <v>182.2688</v>
      </c>
      <c r="Q205" s="20" t="s">
        <v>699</v>
      </c>
      <c r="R205" s="84" t="s">
        <v>514</v>
      </c>
      <c r="S205" s="20" t="s">
        <v>826</v>
      </c>
      <c r="T205" s="20" t="s">
        <v>123</v>
      </c>
      <c r="U205" s="53" t="n">
        <v>0</v>
      </c>
      <c r="V205" s="76" t="s">
        <v>801</v>
      </c>
      <c r="W205" s="53" t="n">
        <v>1</v>
      </c>
    </row>
    <row r="206" customFormat="false" ht="23.85" hidden="false" customHeight="false" outlineLevel="0" collapsed="false">
      <c r="A206" s="76" t="n">
        <v>198</v>
      </c>
      <c r="B206" s="20" t="s">
        <v>507</v>
      </c>
      <c r="C206" s="20" t="s">
        <v>655</v>
      </c>
      <c r="D206" s="20" t="s">
        <v>800</v>
      </c>
      <c r="E206" s="20" t="s">
        <v>801</v>
      </c>
      <c r="F206" s="76" t="s">
        <v>561</v>
      </c>
      <c r="G206" s="20" t="s">
        <v>701</v>
      </c>
      <c r="H206" s="55" t="n">
        <v>10</v>
      </c>
      <c r="I206" s="76" t="s">
        <v>546</v>
      </c>
      <c r="J206" s="76" t="n">
        <v>100</v>
      </c>
      <c r="K206" s="82" t="n">
        <v>2</v>
      </c>
      <c r="L206" s="55" t="n">
        <v>36</v>
      </c>
      <c r="M206" s="73" t="n">
        <v>2.06</v>
      </c>
      <c r="N206" s="74" t="n">
        <f aca="false">K206*L206*M206</f>
        <v>148.32</v>
      </c>
      <c r="O206" s="41" t="n">
        <f aca="false">IFERROR(INDEX(Исходные!$B$21:$B$33,MATCH(H206,Исходные!$A$21:$A$33,0)),0)</f>
        <v>0.617</v>
      </c>
      <c r="P206" s="83" t="n">
        <f aca="false">N206*O206</f>
        <v>91.51344</v>
      </c>
      <c r="Q206" s="20" t="s">
        <v>827</v>
      </c>
      <c r="R206" s="84" t="s">
        <v>514</v>
      </c>
      <c r="S206" s="20" t="s">
        <v>828</v>
      </c>
      <c r="T206" s="20" t="s">
        <v>123</v>
      </c>
      <c r="U206" s="53" t="n">
        <v>0</v>
      </c>
      <c r="V206" s="76" t="s">
        <v>801</v>
      </c>
      <c r="W206" s="53" t="n">
        <v>1</v>
      </c>
    </row>
    <row r="207" customFormat="false" ht="23.85" hidden="false" customHeight="false" outlineLevel="0" collapsed="false">
      <c r="A207" s="76" t="n">
        <v>199</v>
      </c>
      <c r="B207" s="20" t="s">
        <v>507</v>
      </c>
      <c r="C207" s="20" t="s">
        <v>655</v>
      </c>
      <c r="D207" s="20" t="s">
        <v>800</v>
      </c>
      <c r="E207" s="20" t="s">
        <v>801</v>
      </c>
      <c r="F207" s="76" t="s">
        <v>706</v>
      </c>
      <c r="G207" s="20" t="s">
        <v>707</v>
      </c>
      <c r="H207" s="55" t="n">
        <v>8</v>
      </c>
      <c r="I207" s="76" t="s">
        <v>546</v>
      </c>
      <c r="J207" s="76" t="s">
        <v>708</v>
      </c>
      <c r="K207" s="82" t="n">
        <v>2</v>
      </c>
      <c r="L207" s="55" t="n">
        <v>99</v>
      </c>
      <c r="M207" s="73" t="n">
        <v>0.75</v>
      </c>
      <c r="N207" s="74" t="n">
        <f aca="false">K207*L207*M207</f>
        <v>148.5</v>
      </c>
      <c r="O207" s="41" t="n">
        <f aca="false">IFERROR(INDEX(Исходные!$B$21:$B$33,MATCH(H207,Исходные!$A$21:$A$33,0)),0)</f>
        <v>0.395</v>
      </c>
      <c r="P207" s="83" t="n">
        <f aca="false">N207*O207</f>
        <v>58.6575</v>
      </c>
      <c r="Q207" s="20" t="s">
        <v>709</v>
      </c>
      <c r="R207" s="84" t="s">
        <v>514</v>
      </c>
      <c r="S207" s="20"/>
      <c r="T207" s="20" t="s">
        <v>123</v>
      </c>
      <c r="U207" s="53" t="n">
        <v>0</v>
      </c>
      <c r="V207" s="76" t="s">
        <v>801</v>
      </c>
      <c r="W207" s="53" t="n">
        <v>1</v>
      </c>
    </row>
    <row r="208" customFormat="false" ht="23.85" hidden="false" customHeight="false" outlineLevel="0" collapsed="false">
      <c r="A208" s="76" t="n">
        <v>200</v>
      </c>
      <c r="B208" s="20" t="s">
        <v>507</v>
      </c>
      <c r="C208" s="20" t="s">
        <v>655</v>
      </c>
      <c r="D208" s="20" t="s">
        <v>800</v>
      </c>
      <c r="E208" s="20" t="s">
        <v>801</v>
      </c>
      <c r="F208" s="76" t="s">
        <v>710</v>
      </c>
      <c r="G208" s="20" t="s">
        <v>711</v>
      </c>
      <c r="H208" s="55" t="n">
        <v>8</v>
      </c>
      <c r="I208" s="76" t="s">
        <v>546</v>
      </c>
      <c r="J208" s="76" t="n">
        <v>300</v>
      </c>
      <c r="K208" s="82" t="n">
        <v>2</v>
      </c>
      <c r="L208" s="55" t="n">
        <v>62</v>
      </c>
      <c r="M208" s="73" t="n">
        <v>0.58</v>
      </c>
      <c r="N208" s="74" t="n">
        <f aca="false">K208*L208*M208</f>
        <v>71.92</v>
      </c>
      <c r="O208" s="41" t="n">
        <f aca="false">IFERROR(INDEX(Исходные!$B$21:$B$33,MATCH(H208,Исходные!$A$21:$A$33,0)),0)</f>
        <v>0.395</v>
      </c>
      <c r="P208" s="83" t="n">
        <f aca="false">N208*O208</f>
        <v>28.4084</v>
      </c>
      <c r="Q208" s="20" t="s">
        <v>712</v>
      </c>
      <c r="R208" s="85" t="s">
        <v>638</v>
      </c>
      <c r="S208" s="20" t="s">
        <v>713</v>
      </c>
      <c r="T208" s="20" t="s">
        <v>123</v>
      </c>
      <c r="U208" s="53" t="n">
        <v>1</v>
      </c>
      <c r="V208" s="76" t="s">
        <v>801</v>
      </c>
      <c r="W208" s="53" t="n">
        <v>1</v>
      </c>
    </row>
    <row r="209" customFormat="false" ht="35.05" hidden="false" customHeight="false" outlineLevel="0" collapsed="false">
      <c r="A209" s="76" t="n">
        <v>201</v>
      </c>
      <c r="B209" s="20" t="s">
        <v>507</v>
      </c>
      <c r="C209" s="20" t="s">
        <v>655</v>
      </c>
      <c r="D209" s="20" t="s">
        <v>829</v>
      </c>
      <c r="E209" s="20" t="s">
        <v>830</v>
      </c>
      <c r="F209" s="76" t="s">
        <v>519</v>
      </c>
      <c r="G209" s="20" t="s">
        <v>658</v>
      </c>
      <c r="H209" s="55" t="n">
        <v>28</v>
      </c>
      <c r="I209" s="76" t="s">
        <v>512</v>
      </c>
      <c r="J209" s="76" t="s">
        <v>164</v>
      </c>
      <c r="K209" s="82" t="n">
        <v>1</v>
      </c>
      <c r="L209" s="55" t="n">
        <v>4</v>
      </c>
      <c r="M209" s="73" t="n">
        <v>20.5</v>
      </c>
      <c r="N209" s="74" t="n">
        <f aca="false">K209*L209*M209</f>
        <v>82</v>
      </c>
      <c r="O209" s="41" t="n">
        <f aca="false">IFERROR(INDEX(Исходные!$B$21:$B$33,MATCH(H209,Исходные!$A$21:$A$33,0)),0)</f>
        <v>4.834</v>
      </c>
      <c r="P209" s="83" t="n">
        <f aca="false">N209*O209</f>
        <v>396.388</v>
      </c>
      <c r="Q209" s="20" t="s">
        <v>831</v>
      </c>
      <c r="R209" s="84" t="s">
        <v>660</v>
      </c>
      <c r="S209" s="20" t="s">
        <v>832</v>
      </c>
      <c r="T209" s="20" t="s">
        <v>123</v>
      </c>
      <c r="U209" s="53" t="n">
        <v>0</v>
      </c>
      <c r="V209" s="76" t="s">
        <v>830</v>
      </c>
      <c r="W209" s="53" t="n">
        <v>1</v>
      </c>
    </row>
    <row r="210" customFormat="false" ht="23.85" hidden="false" customHeight="false" outlineLevel="0" collapsed="false">
      <c r="A210" s="76" t="n">
        <v>202</v>
      </c>
      <c r="B210" s="20" t="s">
        <v>507</v>
      </c>
      <c r="C210" s="20" t="s">
        <v>655</v>
      </c>
      <c r="D210" s="20" t="s">
        <v>829</v>
      </c>
      <c r="E210" s="20" t="s">
        <v>830</v>
      </c>
      <c r="F210" s="76" t="s">
        <v>529</v>
      </c>
      <c r="G210" s="20" t="s">
        <v>662</v>
      </c>
      <c r="H210" s="55" t="n">
        <v>18</v>
      </c>
      <c r="I210" s="76" t="s">
        <v>512</v>
      </c>
      <c r="J210" s="76" t="s">
        <v>164</v>
      </c>
      <c r="K210" s="82" t="n">
        <v>1</v>
      </c>
      <c r="L210" s="55" t="n">
        <v>2</v>
      </c>
      <c r="M210" s="73" t="n">
        <v>20.5</v>
      </c>
      <c r="N210" s="74" t="n">
        <f aca="false">K210*L210*M210</f>
        <v>41</v>
      </c>
      <c r="O210" s="41" t="n">
        <f aca="false">IFERROR(INDEX(Исходные!$B$21:$B$33,MATCH(H210,Исходные!$A$21:$A$33,0)),0)</f>
        <v>1.998</v>
      </c>
      <c r="P210" s="83" t="n">
        <f aca="false">N210*O210</f>
        <v>81.918</v>
      </c>
      <c r="Q210" s="20" t="s">
        <v>663</v>
      </c>
      <c r="R210" s="84" t="s">
        <v>660</v>
      </c>
      <c r="S210" s="20"/>
      <c r="T210" s="20" t="s">
        <v>123</v>
      </c>
      <c r="U210" s="53" t="n">
        <v>0</v>
      </c>
      <c r="V210" s="76" t="s">
        <v>830</v>
      </c>
      <c r="W210" s="53" t="n">
        <v>1</v>
      </c>
    </row>
    <row r="211" customFormat="false" ht="35.05" hidden="false" customHeight="false" outlineLevel="0" collapsed="false">
      <c r="A211" s="76" t="n">
        <v>203</v>
      </c>
      <c r="B211" s="20" t="s">
        <v>507</v>
      </c>
      <c r="C211" s="20" t="s">
        <v>655</v>
      </c>
      <c r="D211" s="20" t="s">
        <v>829</v>
      </c>
      <c r="E211" s="20" t="s">
        <v>830</v>
      </c>
      <c r="F211" s="76" t="s">
        <v>664</v>
      </c>
      <c r="G211" s="20" t="s">
        <v>833</v>
      </c>
      <c r="H211" s="55" t="n">
        <v>18</v>
      </c>
      <c r="I211" s="76" t="s">
        <v>512</v>
      </c>
      <c r="J211" s="76" t="s">
        <v>164</v>
      </c>
      <c r="K211" s="82" t="n">
        <v>2</v>
      </c>
      <c r="L211" s="55" t="n">
        <v>1</v>
      </c>
      <c r="M211" s="73" t="n">
        <v>0.144</v>
      </c>
      <c r="N211" s="74" t="n">
        <f aca="false">K211*L211*M211</f>
        <v>0.288</v>
      </c>
      <c r="O211" s="41" t="n">
        <f aca="false">IFERROR(INDEX(Исходные!$B$21:$B$33,MATCH(H211,Исходные!$A$21:$A$33,0)),0)</f>
        <v>1.998</v>
      </c>
      <c r="P211" s="83" t="n">
        <f aca="false">N211*O211</f>
        <v>0.575424</v>
      </c>
      <c r="Q211" s="20" t="s">
        <v>666</v>
      </c>
      <c r="R211" s="84" t="s">
        <v>667</v>
      </c>
      <c r="S211" s="20" t="s">
        <v>805</v>
      </c>
      <c r="T211" s="20" t="s">
        <v>123</v>
      </c>
      <c r="U211" s="53" t="n">
        <v>0</v>
      </c>
      <c r="V211" s="76" t="s">
        <v>830</v>
      </c>
      <c r="W211" s="53" t="n">
        <v>1</v>
      </c>
    </row>
    <row r="212" customFormat="false" ht="23.85" hidden="false" customHeight="false" outlineLevel="0" collapsed="false">
      <c r="A212" s="76" t="n">
        <v>204</v>
      </c>
      <c r="B212" s="20" t="s">
        <v>507</v>
      </c>
      <c r="C212" s="20" t="s">
        <v>655</v>
      </c>
      <c r="D212" s="20" t="s">
        <v>829</v>
      </c>
      <c r="E212" s="20" t="s">
        <v>830</v>
      </c>
      <c r="F212" s="76" t="s">
        <v>669</v>
      </c>
      <c r="G212" s="20" t="s">
        <v>670</v>
      </c>
      <c r="H212" s="55" t="n">
        <v>16</v>
      </c>
      <c r="I212" s="76" t="s">
        <v>512</v>
      </c>
      <c r="J212" s="76" t="s">
        <v>164</v>
      </c>
      <c r="K212" s="82" t="n">
        <v>1</v>
      </c>
      <c r="L212" s="55" t="n">
        <v>2</v>
      </c>
      <c r="M212" s="73" t="n">
        <v>20.5</v>
      </c>
      <c r="N212" s="74" t="n">
        <f aca="false">K212*L212*M212</f>
        <v>41</v>
      </c>
      <c r="O212" s="41" t="n">
        <f aca="false">IFERROR(INDEX(Исходные!$B$21:$B$33,MATCH(H212,Исходные!$A$21:$A$33,0)),0)</f>
        <v>1.578</v>
      </c>
      <c r="P212" s="83" t="n">
        <f aca="false">N212*O212</f>
        <v>64.698</v>
      </c>
      <c r="Q212" s="20" t="s">
        <v>671</v>
      </c>
      <c r="R212" s="84" t="s">
        <v>660</v>
      </c>
      <c r="S212" s="20"/>
      <c r="T212" s="20" t="s">
        <v>123</v>
      </c>
      <c r="U212" s="53" t="n">
        <v>0</v>
      </c>
      <c r="V212" s="76" t="s">
        <v>830</v>
      </c>
      <c r="W212" s="53" t="n">
        <v>1</v>
      </c>
    </row>
    <row r="213" customFormat="false" ht="35.05" hidden="false" customHeight="false" outlineLevel="0" collapsed="false">
      <c r="A213" s="76" t="n">
        <v>205</v>
      </c>
      <c r="B213" s="20" t="s">
        <v>507</v>
      </c>
      <c r="C213" s="20" t="s">
        <v>655</v>
      </c>
      <c r="D213" s="20" t="s">
        <v>829</v>
      </c>
      <c r="E213" s="20" t="s">
        <v>830</v>
      </c>
      <c r="F213" s="76" t="s">
        <v>672</v>
      </c>
      <c r="G213" s="20" t="s">
        <v>834</v>
      </c>
      <c r="H213" s="55" t="n">
        <v>16</v>
      </c>
      <c r="I213" s="76" t="s">
        <v>512</v>
      </c>
      <c r="J213" s="76" t="s">
        <v>164</v>
      </c>
      <c r="K213" s="82" t="n">
        <v>2</v>
      </c>
      <c r="L213" s="55" t="n">
        <v>1</v>
      </c>
      <c r="M213" s="73" t="n">
        <v>0.128</v>
      </c>
      <c r="N213" s="74" t="n">
        <f aca="false">K213*L213*M213</f>
        <v>0.256</v>
      </c>
      <c r="O213" s="41" t="n">
        <f aca="false">IFERROR(INDEX(Исходные!$B$21:$B$33,MATCH(H213,Исходные!$A$21:$A$33,0)),0)</f>
        <v>1.578</v>
      </c>
      <c r="P213" s="83" t="n">
        <f aca="false">N213*O213</f>
        <v>0.403968</v>
      </c>
      <c r="Q213" s="20" t="s">
        <v>674</v>
      </c>
      <c r="R213" s="84" t="s">
        <v>667</v>
      </c>
      <c r="S213" s="20" t="s">
        <v>807</v>
      </c>
      <c r="T213" s="20" t="s">
        <v>123</v>
      </c>
      <c r="U213" s="53" t="n">
        <v>0</v>
      </c>
      <c r="V213" s="76" t="s">
        <v>830</v>
      </c>
      <c r="W213" s="53" t="n">
        <v>1</v>
      </c>
    </row>
    <row r="214" customFormat="false" ht="23.85" hidden="false" customHeight="false" outlineLevel="0" collapsed="false">
      <c r="A214" s="76" t="n">
        <v>206</v>
      </c>
      <c r="B214" s="20" t="s">
        <v>507</v>
      </c>
      <c r="C214" s="20" t="s">
        <v>655</v>
      </c>
      <c r="D214" s="20" t="s">
        <v>829</v>
      </c>
      <c r="E214" s="20" t="s">
        <v>830</v>
      </c>
      <c r="F214" s="76" t="s">
        <v>676</v>
      </c>
      <c r="G214" s="20" t="s">
        <v>835</v>
      </c>
      <c r="H214" s="55" t="n">
        <v>20</v>
      </c>
      <c r="I214" s="76" t="s">
        <v>512</v>
      </c>
      <c r="J214" s="76" t="s">
        <v>164</v>
      </c>
      <c r="K214" s="82" t="n">
        <v>1</v>
      </c>
      <c r="L214" s="55" t="n">
        <v>1</v>
      </c>
      <c r="M214" s="73" t="n">
        <v>2.4</v>
      </c>
      <c r="N214" s="74" t="n">
        <f aca="false">K214*L214*M214</f>
        <v>2.4</v>
      </c>
      <c r="O214" s="41" t="n">
        <f aca="false">IFERROR(INDEX(Исходные!$B$21:$B$33,MATCH(H214,Исходные!$A$21:$A$33,0)),0)</f>
        <v>2.466</v>
      </c>
      <c r="P214" s="83" t="n">
        <f aca="false">N214*O214</f>
        <v>5.9184</v>
      </c>
      <c r="Q214" s="20" t="s">
        <v>836</v>
      </c>
      <c r="R214" s="84" t="s">
        <v>660</v>
      </c>
      <c r="S214" s="20" t="s">
        <v>837</v>
      </c>
      <c r="T214" s="20" t="s">
        <v>123</v>
      </c>
      <c r="U214" s="53" t="n">
        <v>0</v>
      </c>
      <c r="V214" s="76" t="s">
        <v>830</v>
      </c>
      <c r="W214" s="53" t="n">
        <v>1</v>
      </c>
    </row>
    <row r="215" customFormat="false" ht="23.85" hidden="false" customHeight="false" outlineLevel="0" collapsed="false">
      <c r="A215" s="76" t="n">
        <v>207</v>
      </c>
      <c r="B215" s="20" t="s">
        <v>507</v>
      </c>
      <c r="C215" s="20" t="s">
        <v>655</v>
      </c>
      <c r="D215" s="20" t="s">
        <v>829</v>
      </c>
      <c r="E215" s="20" t="s">
        <v>830</v>
      </c>
      <c r="F215" s="76" t="s">
        <v>676</v>
      </c>
      <c r="G215" s="20" t="s">
        <v>838</v>
      </c>
      <c r="H215" s="55" t="n">
        <v>14</v>
      </c>
      <c r="I215" s="76" t="s">
        <v>512</v>
      </c>
      <c r="J215" s="76" t="s">
        <v>164</v>
      </c>
      <c r="K215" s="82" t="n">
        <v>1</v>
      </c>
      <c r="L215" s="55" t="n">
        <v>2</v>
      </c>
      <c r="M215" s="73" t="n">
        <v>4</v>
      </c>
      <c r="N215" s="74" t="n">
        <f aca="false">K215*L215*M215</f>
        <v>8</v>
      </c>
      <c r="O215" s="41" t="n">
        <f aca="false">IFERROR(INDEX(Исходные!$B$21:$B$33,MATCH(H215,Исходные!$A$21:$A$33,0)),0)</f>
        <v>1.208</v>
      </c>
      <c r="P215" s="83" t="n">
        <f aca="false">N215*O215</f>
        <v>9.664</v>
      </c>
      <c r="Q215" s="20" t="s">
        <v>839</v>
      </c>
      <c r="R215" s="84" t="s">
        <v>660</v>
      </c>
      <c r="S215" s="20" t="s">
        <v>840</v>
      </c>
      <c r="T215" s="20" t="s">
        <v>123</v>
      </c>
      <c r="U215" s="53" t="n">
        <v>0</v>
      </c>
      <c r="V215" s="76" t="s">
        <v>830</v>
      </c>
      <c r="W215" s="53" t="n">
        <v>1</v>
      </c>
    </row>
    <row r="216" customFormat="false" ht="23.85" hidden="false" customHeight="false" outlineLevel="0" collapsed="false">
      <c r="A216" s="76" t="n">
        <v>208</v>
      </c>
      <c r="B216" s="20" t="s">
        <v>507</v>
      </c>
      <c r="C216" s="20" t="s">
        <v>655</v>
      </c>
      <c r="D216" s="20" t="s">
        <v>829</v>
      </c>
      <c r="E216" s="20" t="s">
        <v>830</v>
      </c>
      <c r="F216" s="76" t="s">
        <v>676</v>
      </c>
      <c r="G216" s="20" t="s">
        <v>841</v>
      </c>
      <c r="H216" s="55" t="n">
        <v>32</v>
      </c>
      <c r="I216" s="76" t="s">
        <v>512</v>
      </c>
      <c r="J216" s="76" t="s">
        <v>164</v>
      </c>
      <c r="K216" s="82" t="n">
        <v>1</v>
      </c>
      <c r="L216" s="55" t="n">
        <v>2</v>
      </c>
      <c r="M216" s="73" t="n">
        <v>7.5</v>
      </c>
      <c r="N216" s="74" t="n">
        <f aca="false">K216*L216*M216</f>
        <v>15</v>
      </c>
      <c r="O216" s="41" t="n">
        <f aca="false">IFERROR(INDEX(Исходные!$B$21:$B$33,MATCH(H216,Исходные!$A$21:$A$33,0)),0)</f>
        <v>6.313</v>
      </c>
      <c r="P216" s="83" t="n">
        <f aca="false">N216*O216</f>
        <v>94.695</v>
      </c>
      <c r="Q216" s="20" t="s">
        <v>842</v>
      </c>
      <c r="R216" s="84" t="s">
        <v>660</v>
      </c>
      <c r="S216" s="20" t="s">
        <v>843</v>
      </c>
      <c r="T216" s="20" t="s">
        <v>123</v>
      </c>
      <c r="U216" s="53" t="n">
        <v>0</v>
      </c>
      <c r="V216" s="76" t="s">
        <v>830</v>
      </c>
      <c r="W216" s="53" t="n">
        <v>1</v>
      </c>
    </row>
    <row r="217" customFormat="false" ht="23.85" hidden="false" customHeight="false" outlineLevel="0" collapsed="false">
      <c r="A217" s="76" t="n">
        <v>209</v>
      </c>
      <c r="B217" s="20" t="s">
        <v>507</v>
      </c>
      <c r="C217" s="20" t="s">
        <v>655</v>
      </c>
      <c r="D217" s="20" t="s">
        <v>829</v>
      </c>
      <c r="E217" s="20" t="s">
        <v>830</v>
      </c>
      <c r="F217" s="76" t="s">
        <v>676</v>
      </c>
      <c r="G217" s="20" t="s">
        <v>844</v>
      </c>
      <c r="H217" s="55" t="n">
        <v>32</v>
      </c>
      <c r="I217" s="76" t="s">
        <v>512</v>
      </c>
      <c r="J217" s="76" t="s">
        <v>164</v>
      </c>
      <c r="K217" s="82" t="n">
        <v>1</v>
      </c>
      <c r="L217" s="55" t="n">
        <v>2</v>
      </c>
      <c r="M217" s="73" t="n">
        <v>3.6</v>
      </c>
      <c r="N217" s="74" t="n">
        <f aca="false">K217*L217*M217</f>
        <v>7.2</v>
      </c>
      <c r="O217" s="41" t="n">
        <f aca="false">IFERROR(INDEX(Исходные!$B$21:$B$33,MATCH(H217,Исходные!$A$21:$A$33,0)),0)</f>
        <v>6.313</v>
      </c>
      <c r="P217" s="83" t="n">
        <f aca="false">N217*O217</f>
        <v>45.4536</v>
      </c>
      <c r="Q217" s="20" t="s">
        <v>842</v>
      </c>
      <c r="R217" s="84" t="s">
        <v>660</v>
      </c>
      <c r="S217" s="20" t="s">
        <v>845</v>
      </c>
      <c r="T217" s="20" t="s">
        <v>123</v>
      </c>
      <c r="U217" s="53" t="n">
        <v>0</v>
      </c>
      <c r="V217" s="76" t="s">
        <v>830</v>
      </c>
      <c r="W217" s="53" t="n">
        <v>1</v>
      </c>
    </row>
    <row r="218" customFormat="false" ht="23.85" hidden="false" customHeight="false" outlineLevel="0" collapsed="false">
      <c r="A218" s="76" t="n">
        <v>210</v>
      </c>
      <c r="B218" s="20" t="s">
        <v>507</v>
      </c>
      <c r="C218" s="20" t="s">
        <v>655</v>
      </c>
      <c r="D218" s="20" t="s">
        <v>829</v>
      </c>
      <c r="E218" s="20" t="s">
        <v>830</v>
      </c>
      <c r="F218" s="76" t="s">
        <v>676</v>
      </c>
      <c r="G218" s="20" t="s">
        <v>846</v>
      </c>
      <c r="H218" s="55" t="n">
        <v>32</v>
      </c>
      <c r="I218" s="76" t="s">
        <v>512</v>
      </c>
      <c r="J218" s="76" t="s">
        <v>164</v>
      </c>
      <c r="K218" s="82" t="n">
        <v>1</v>
      </c>
      <c r="L218" s="55" t="n">
        <v>2</v>
      </c>
      <c r="M218" s="73" t="n">
        <v>2.85</v>
      </c>
      <c r="N218" s="74" t="n">
        <f aca="false">K218*L218*M218</f>
        <v>5.7</v>
      </c>
      <c r="O218" s="41" t="n">
        <f aca="false">IFERROR(INDEX(Исходные!$B$21:$B$33,MATCH(H218,Исходные!$A$21:$A$33,0)),0)</f>
        <v>6.313</v>
      </c>
      <c r="P218" s="83" t="n">
        <f aca="false">N218*O218</f>
        <v>35.9841</v>
      </c>
      <c r="Q218" s="20" t="s">
        <v>842</v>
      </c>
      <c r="R218" s="84" t="s">
        <v>660</v>
      </c>
      <c r="S218" s="20" t="s">
        <v>847</v>
      </c>
      <c r="T218" s="20" t="s">
        <v>123</v>
      </c>
      <c r="U218" s="53" t="n">
        <v>0</v>
      </c>
      <c r="V218" s="76" t="s">
        <v>830</v>
      </c>
      <c r="W218" s="53" t="n">
        <v>1</v>
      </c>
    </row>
    <row r="219" customFormat="false" ht="23.85" hidden="false" customHeight="false" outlineLevel="0" collapsed="false">
      <c r="A219" s="76" t="n">
        <v>211</v>
      </c>
      <c r="B219" s="20" t="s">
        <v>507</v>
      </c>
      <c r="C219" s="20" t="s">
        <v>655</v>
      </c>
      <c r="D219" s="20" t="s">
        <v>829</v>
      </c>
      <c r="E219" s="20" t="s">
        <v>830</v>
      </c>
      <c r="F219" s="76" t="s">
        <v>676</v>
      </c>
      <c r="G219" s="20" t="s">
        <v>848</v>
      </c>
      <c r="H219" s="55" t="n">
        <v>25</v>
      </c>
      <c r="I219" s="76" t="s">
        <v>512</v>
      </c>
      <c r="J219" s="76" t="s">
        <v>164</v>
      </c>
      <c r="K219" s="82" t="n">
        <v>1</v>
      </c>
      <c r="L219" s="55" t="n">
        <v>2</v>
      </c>
      <c r="M219" s="73" t="n">
        <v>10.5</v>
      </c>
      <c r="N219" s="74" t="n">
        <f aca="false">K219*L219*M219</f>
        <v>21</v>
      </c>
      <c r="O219" s="41" t="n">
        <f aca="false">IFERROR(INDEX(Исходные!$B$21:$B$33,MATCH(H219,Исходные!$A$21:$A$33,0)),0)</f>
        <v>3.853</v>
      </c>
      <c r="P219" s="83" t="n">
        <f aca="false">N219*O219</f>
        <v>80.913</v>
      </c>
      <c r="Q219" s="20" t="s">
        <v>849</v>
      </c>
      <c r="R219" s="84" t="s">
        <v>660</v>
      </c>
      <c r="S219" s="20" t="s">
        <v>850</v>
      </c>
      <c r="T219" s="20" t="s">
        <v>123</v>
      </c>
      <c r="U219" s="53" t="n">
        <v>0</v>
      </c>
      <c r="V219" s="76" t="s">
        <v>830</v>
      </c>
      <c r="W219" s="53" t="n">
        <v>1</v>
      </c>
    </row>
    <row r="220" customFormat="false" ht="23.85" hidden="false" customHeight="false" outlineLevel="0" collapsed="false">
      <c r="A220" s="76" t="n">
        <v>212</v>
      </c>
      <c r="B220" s="20" t="s">
        <v>507</v>
      </c>
      <c r="C220" s="20" t="s">
        <v>655</v>
      </c>
      <c r="D220" s="20" t="s">
        <v>829</v>
      </c>
      <c r="E220" s="20" t="s">
        <v>830</v>
      </c>
      <c r="F220" s="76" t="s">
        <v>676</v>
      </c>
      <c r="G220" s="20" t="s">
        <v>851</v>
      </c>
      <c r="H220" s="55" t="n">
        <v>20</v>
      </c>
      <c r="I220" s="76" t="s">
        <v>512</v>
      </c>
      <c r="J220" s="76" t="s">
        <v>164</v>
      </c>
      <c r="K220" s="82" t="n">
        <v>1</v>
      </c>
      <c r="L220" s="55" t="n">
        <v>2</v>
      </c>
      <c r="M220" s="73" t="n">
        <v>2.85</v>
      </c>
      <c r="N220" s="74" t="n">
        <f aca="false">K220*L220*M220</f>
        <v>5.7</v>
      </c>
      <c r="O220" s="41" t="n">
        <f aca="false">IFERROR(INDEX(Исходные!$B$21:$B$33,MATCH(H220,Исходные!$A$21:$A$33,0)),0)</f>
        <v>2.466</v>
      </c>
      <c r="P220" s="83" t="n">
        <f aca="false">N220*O220</f>
        <v>14.0562</v>
      </c>
      <c r="Q220" s="20" t="s">
        <v>852</v>
      </c>
      <c r="R220" s="84" t="s">
        <v>660</v>
      </c>
      <c r="S220" s="20" t="s">
        <v>847</v>
      </c>
      <c r="T220" s="20" t="s">
        <v>123</v>
      </c>
      <c r="U220" s="53" t="n">
        <v>0</v>
      </c>
      <c r="V220" s="76" t="s">
        <v>830</v>
      </c>
      <c r="W220" s="53" t="n">
        <v>1</v>
      </c>
    </row>
    <row r="221" customFormat="false" ht="23.85" hidden="false" customHeight="false" outlineLevel="0" collapsed="false">
      <c r="A221" s="76" t="n">
        <v>213</v>
      </c>
      <c r="B221" s="20" t="s">
        <v>507</v>
      </c>
      <c r="C221" s="20" t="s">
        <v>655</v>
      </c>
      <c r="D221" s="20" t="s">
        <v>829</v>
      </c>
      <c r="E221" s="20" t="s">
        <v>830</v>
      </c>
      <c r="F221" s="76" t="s">
        <v>676</v>
      </c>
      <c r="G221" s="20" t="s">
        <v>853</v>
      </c>
      <c r="H221" s="55" t="n">
        <v>16</v>
      </c>
      <c r="I221" s="76" t="s">
        <v>512</v>
      </c>
      <c r="J221" s="76" t="s">
        <v>164</v>
      </c>
      <c r="K221" s="82" t="n">
        <v>1</v>
      </c>
      <c r="L221" s="55" t="n">
        <v>2</v>
      </c>
      <c r="M221" s="73" t="n">
        <v>3.6</v>
      </c>
      <c r="N221" s="74" t="n">
        <f aca="false">K221*L221*M221</f>
        <v>7.2</v>
      </c>
      <c r="O221" s="41" t="n">
        <f aca="false">IFERROR(INDEX(Исходные!$B$21:$B$33,MATCH(H221,Исходные!$A$21:$A$33,0)),0)</f>
        <v>1.578</v>
      </c>
      <c r="P221" s="83" t="n">
        <f aca="false">N221*O221</f>
        <v>11.3616</v>
      </c>
      <c r="Q221" s="20" t="s">
        <v>854</v>
      </c>
      <c r="R221" s="84" t="s">
        <v>660</v>
      </c>
      <c r="S221" s="20" t="s">
        <v>845</v>
      </c>
      <c r="T221" s="20" t="s">
        <v>123</v>
      </c>
      <c r="U221" s="53" t="n">
        <v>0</v>
      </c>
      <c r="V221" s="76" t="s">
        <v>830</v>
      </c>
      <c r="W221" s="53" t="n">
        <v>1</v>
      </c>
    </row>
    <row r="222" customFormat="false" ht="23.85" hidden="false" customHeight="false" outlineLevel="0" collapsed="false">
      <c r="A222" s="76" t="n">
        <v>214</v>
      </c>
      <c r="B222" s="20" t="s">
        <v>507</v>
      </c>
      <c r="C222" s="20" t="s">
        <v>655</v>
      </c>
      <c r="D222" s="20" t="s">
        <v>829</v>
      </c>
      <c r="E222" s="20" t="s">
        <v>830</v>
      </c>
      <c r="F222" s="76" t="s">
        <v>676</v>
      </c>
      <c r="G222" s="20" t="s">
        <v>855</v>
      </c>
      <c r="H222" s="55" t="n">
        <v>14</v>
      </c>
      <c r="I222" s="76" t="s">
        <v>512</v>
      </c>
      <c r="J222" s="76" t="s">
        <v>164</v>
      </c>
      <c r="K222" s="82" t="n">
        <v>1</v>
      </c>
      <c r="L222" s="55" t="n">
        <v>2</v>
      </c>
      <c r="M222" s="73" t="n">
        <v>2.4</v>
      </c>
      <c r="N222" s="74" t="n">
        <f aca="false">K222*L222*M222</f>
        <v>4.8</v>
      </c>
      <c r="O222" s="41" t="n">
        <f aca="false">IFERROR(INDEX(Исходные!$B$21:$B$33,MATCH(H222,Исходные!$A$21:$A$33,0)),0)</f>
        <v>1.208</v>
      </c>
      <c r="P222" s="83" t="n">
        <f aca="false">N222*O222</f>
        <v>5.7984</v>
      </c>
      <c r="Q222" s="20" t="s">
        <v>856</v>
      </c>
      <c r="R222" s="84" t="s">
        <v>660</v>
      </c>
      <c r="S222" s="20" t="s">
        <v>837</v>
      </c>
      <c r="T222" s="20" t="s">
        <v>123</v>
      </c>
      <c r="U222" s="53" t="n">
        <v>0</v>
      </c>
      <c r="V222" s="76" t="s">
        <v>830</v>
      </c>
      <c r="W222" s="53" t="n">
        <v>1</v>
      </c>
    </row>
    <row r="223" customFormat="false" ht="23.85" hidden="false" customHeight="false" outlineLevel="0" collapsed="false">
      <c r="A223" s="76" t="n">
        <v>215</v>
      </c>
      <c r="B223" s="20" t="s">
        <v>507</v>
      </c>
      <c r="C223" s="20" t="s">
        <v>655</v>
      </c>
      <c r="D223" s="20" t="s">
        <v>829</v>
      </c>
      <c r="E223" s="20" t="s">
        <v>830</v>
      </c>
      <c r="F223" s="76" t="s">
        <v>676</v>
      </c>
      <c r="G223" s="20" t="s">
        <v>857</v>
      </c>
      <c r="H223" s="55" t="n">
        <v>14</v>
      </c>
      <c r="I223" s="76" t="s">
        <v>512</v>
      </c>
      <c r="J223" s="76" t="s">
        <v>164</v>
      </c>
      <c r="K223" s="82" t="n">
        <v>1</v>
      </c>
      <c r="L223" s="55" t="n">
        <v>2</v>
      </c>
      <c r="M223" s="73" t="n">
        <v>9.1</v>
      </c>
      <c r="N223" s="74" t="n">
        <f aca="false">K223*L223*M223</f>
        <v>18.2</v>
      </c>
      <c r="O223" s="41" t="n">
        <f aca="false">IFERROR(INDEX(Исходные!$B$21:$B$33,MATCH(H223,Исходные!$A$21:$A$33,0)),0)</f>
        <v>1.208</v>
      </c>
      <c r="P223" s="83" t="n">
        <f aca="false">N223*O223</f>
        <v>21.9856</v>
      </c>
      <c r="Q223" s="20" t="s">
        <v>856</v>
      </c>
      <c r="R223" s="84" t="s">
        <v>660</v>
      </c>
      <c r="S223" s="20" t="s">
        <v>858</v>
      </c>
      <c r="T223" s="20" t="s">
        <v>123</v>
      </c>
      <c r="U223" s="53" t="n">
        <v>0</v>
      </c>
      <c r="V223" s="76" t="s">
        <v>830</v>
      </c>
      <c r="W223" s="53" t="n">
        <v>1</v>
      </c>
    </row>
    <row r="224" customFormat="false" ht="23.85" hidden="false" customHeight="false" outlineLevel="0" collapsed="false">
      <c r="A224" s="76" t="n">
        <v>216</v>
      </c>
      <c r="B224" s="20" t="s">
        <v>507</v>
      </c>
      <c r="C224" s="20" t="s">
        <v>655</v>
      </c>
      <c r="D224" s="20" t="s">
        <v>829</v>
      </c>
      <c r="E224" s="20" t="s">
        <v>830</v>
      </c>
      <c r="F224" s="76" t="s">
        <v>676</v>
      </c>
      <c r="G224" s="20" t="s">
        <v>859</v>
      </c>
      <c r="H224" s="55" t="n">
        <v>14</v>
      </c>
      <c r="I224" s="76" t="s">
        <v>512</v>
      </c>
      <c r="J224" s="76" t="s">
        <v>164</v>
      </c>
      <c r="K224" s="82" t="n">
        <v>1</v>
      </c>
      <c r="L224" s="55" t="n">
        <v>2</v>
      </c>
      <c r="M224" s="73" t="n">
        <v>2.85</v>
      </c>
      <c r="N224" s="74" t="n">
        <f aca="false">K224*L224*M224</f>
        <v>5.7</v>
      </c>
      <c r="O224" s="41" t="n">
        <f aca="false">IFERROR(INDEX(Исходные!$B$21:$B$33,MATCH(H224,Исходные!$A$21:$A$33,0)),0)</f>
        <v>1.208</v>
      </c>
      <c r="P224" s="83" t="n">
        <f aca="false">N224*O224</f>
        <v>6.8856</v>
      </c>
      <c r="Q224" s="20" t="s">
        <v>856</v>
      </c>
      <c r="R224" s="84" t="s">
        <v>660</v>
      </c>
      <c r="S224" s="20" t="s">
        <v>847</v>
      </c>
      <c r="T224" s="20" t="s">
        <v>123</v>
      </c>
      <c r="U224" s="53" t="n">
        <v>0</v>
      </c>
      <c r="V224" s="76" t="s">
        <v>830</v>
      </c>
      <c r="W224" s="53" t="n">
        <v>1</v>
      </c>
    </row>
    <row r="225" customFormat="false" ht="23.85" hidden="false" customHeight="false" outlineLevel="0" collapsed="false">
      <c r="A225" s="76" t="n">
        <v>217</v>
      </c>
      <c r="B225" s="20" t="s">
        <v>507</v>
      </c>
      <c r="C225" s="20" t="s">
        <v>655</v>
      </c>
      <c r="D225" s="20" t="s">
        <v>829</v>
      </c>
      <c r="E225" s="20" t="s">
        <v>830</v>
      </c>
      <c r="F225" s="76" t="s">
        <v>696</v>
      </c>
      <c r="G225" s="20" t="s">
        <v>697</v>
      </c>
      <c r="H225" s="55" t="n">
        <v>8</v>
      </c>
      <c r="I225" s="76" t="s">
        <v>546</v>
      </c>
      <c r="J225" s="76" t="s">
        <v>698</v>
      </c>
      <c r="K225" s="82" t="n">
        <v>1</v>
      </c>
      <c r="L225" s="55" t="n">
        <v>47</v>
      </c>
      <c r="M225" s="73" t="n">
        <v>2.06</v>
      </c>
      <c r="N225" s="74" t="n">
        <f aca="false">K225*L225*M225</f>
        <v>96.82</v>
      </c>
      <c r="O225" s="41" t="n">
        <f aca="false">IFERROR(INDEX(Исходные!$B$21:$B$33,MATCH(H225,Исходные!$A$21:$A$33,0)),0)</f>
        <v>0.395</v>
      </c>
      <c r="P225" s="83" t="n">
        <f aca="false">N225*O225</f>
        <v>38.2439</v>
      </c>
      <c r="Q225" s="20" t="s">
        <v>699</v>
      </c>
      <c r="R225" s="84" t="s">
        <v>514</v>
      </c>
      <c r="S225" s="20" t="s">
        <v>860</v>
      </c>
      <c r="T225" s="20" t="s">
        <v>123</v>
      </c>
      <c r="U225" s="53" t="n">
        <v>0</v>
      </c>
      <c r="V225" s="76" t="s">
        <v>830</v>
      </c>
      <c r="W225" s="53" t="n">
        <v>1</v>
      </c>
    </row>
    <row r="226" customFormat="false" ht="23.85" hidden="false" customHeight="false" outlineLevel="0" collapsed="false">
      <c r="A226" s="76" t="n">
        <v>218</v>
      </c>
      <c r="B226" s="20" t="s">
        <v>507</v>
      </c>
      <c r="C226" s="20" t="s">
        <v>655</v>
      </c>
      <c r="D226" s="20" t="s">
        <v>829</v>
      </c>
      <c r="E226" s="20" t="s">
        <v>830</v>
      </c>
      <c r="F226" s="76" t="s">
        <v>561</v>
      </c>
      <c r="G226" s="20" t="s">
        <v>701</v>
      </c>
      <c r="H226" s="55" t="n">
        <v>10</v>
      </c>
      <c r="I226" s="76" t="s">
        <v>546</v>
      </c>
      <c r="J226" s="76" t="n">
        <v>100</v>
      </c>
      <c r="K226" s="82" t="n">
        <v>1</v>
      </c>
      <c r="L226" s="55" t="n">
        <v>92</v>
      </c>
      <c r="M226" s="73" t="n">
        <v>2.06</v>
      </c>
      <c r="N226" s="74" t="n">
        <f aca="false">K226*L226*M226</f>
        <v>189.52</v>
      </c>
      <c r="O226" s="41" t="n">
        <f aca="false">IFERROR(INDEX(Исходные!$B$21:$B$33,MATCH(H226,Исходные!$A$21:$A$33,0)),0)</f>
        <v>0.617</v>
      </c>
      <c r="P226" s="83" t="n">
        <f aca="false">N226*O226</f>
        <v>116.93384</v>
      </c>
      <c r="Q226" s="20" t="s">
        <v>861</v>
      </c>
      <c r="R226" s="84" t="s">
        <v>514</v>
      </c>
      <c r="S226" s="20" t="s">
        <v>862</v>
      </c>
      <c r="T226" s="20" t="s">
        <v>123</v>
      </c>
      <c r="U226" s="53" t="n">
        <v>0</v>
      </c>
      <c r="V226" s="76" t="s">
        <v>830</v>
      </c>
      <c r="W226" s="53" t="n">
        <v>1</v>
      </c>
    </row>
    <row r="227" customFormat="false" ht="23.85" hidden="false" customHeight="false" outlineLevel="0" collapsed="false">
      <c r="A227" s="76" t="n">
        <v>219</v>
      </c>
      <c r="B227" s="20" t="s">
        <v>507</v>
      </c>
      <c r="C227" s="20" t="s">
        <v>655</v>
      </c>
      <c r="D227" s="20" t="s">
        <v>829</v>
      </c>
      <c r="E227" s="20" t="s">
        <v>830</v>
      </c>
      <c r="F227" s="76" t="s">
        <v>603</v>
      </c>
      <c r="G227" s="20" t="s">
        <v>704</v>
      </c>
      <c r="H227" s="55" t="n">
        <v>10</v>
      </c>
      <c r="I227" s="76" t="s">
        <v>546</v>
      </c>
      <c r="J227" s="76" t="n">
        <v>100</v>
      </c>
      <c r="K227" s="82" t="n">
        <v>1</v>
      </c>
      <c r="L227" s="55" t="n">
        <v>86</v>
      </c>
      <c r="M227" s="73" t="n">
        <v>1.6</v>
      </c>
      <c r="N227" s="74" t="n">
        <f aca="false">K227*L227*M227</f>
        <v>137.6</v>
      </c>
      <c r="O227" s="41" t="n">
        <f aca="false">IFERROR(INDEX(Исходные!$B$21:$B$33,MATCH(H227,Исходные!$A$21:$A$33,0)),0)</f>
        <v>0.617</v>
      </c>
      <c r="P227" s="83" t="n">
        <f aca="false">N227*O227</f>
        <v>84.8992</v>
      </c>
      <c r="Q227" s="20" t="s">
        <v>863</v>
      </c>
      <c r="R227" s="84" t="s">
        <v>514</v>
      </c>
      <c r="S227" s="20"/>
      <c r="T227" s="20" t="s">
        <v>123</v>
      </c>
      <c r="U227" s="53" t="n">
        <v>0</v>
      </c>
      <c r="V227" s="76" t="s">
        <v>830</v>
      </c>
      <c r="W227" s="53" t="n">
        <v>1</v>
      </c>
    </row>
    <row r="228" customFormat="false" ht="23.85" hidden="false" customHeight="false" outlineLevel="0" collapsed="false">
      <c r="A228" s="76" t="n">
        <v>220</v>
      </c>
      <c r="B228" s="20" t="s">
        <v>507</v>
      </c>
      <c r="C228" s="20" t="s">
        <v>655</v>
      </c>
      <c r="D228" s="20" t="s">
        <v>829</v>
      </c>
      <c r="E228" s="20" t="s">
        <v>830</v>
      </c>
      <c r="F228" s="76" t="s">
        <v>706</v>
      </c>
      <c r="G228" s="20" t="s">
        <v>707</v>
      </c>
      <c r="H228" s="55" t="n">
        <v>8</v>
      </c>
      <c r="I228" s="76" t="s">
        <v>546</v>
      </c>
      <c r="J228" s="76" t="s">
        <v>708</v>
      </c>
      <c r="K228" s="82" t="n">
        <v>1</v>
      </c>
      <c r="L228" s="55" t="n">
        <v>35</v>
      </c>
      <c r="M228" s="73" t="n">
        <v>0.75</v>
      </c>
      <c r="N228" s="74" t="n">
        <f aca="false">K228*L228*M228</f>
        <v>26.25</v>
      </c>
      <c r="O228" s="41" t="n">
        <f aca="false">IFERROR(INDEX(Исходные!$B$21:$B$33,MATCH(H228,Исходные!$A$21:$A$33,0)),0)</f>
        <v>0.395</v>
      </c>
      <c r="P228" s="83" t="n">
        <f aca="false">N228*O228</f>
        <v>10.36875</v>
      </c>
      <c r="Q228" s="20" t="s">
        <v>709</v>
      </c>
      <c r="R228" s="84" t="s">
        <v>514</v>
      </c>
      <c r="S228" s="20"/>
      <c r="T228" s="20" t="s">
        <v>123</v>
      </c>
      <c r="U228" s="53" t="n">
        <v>0</v>
      </c>
      <c r="V228" s="76" t="s">
        <v>830</v>
      </c>
      <c r="W228" s="53" t="n">
        <v>1</v>
      </c>
    </row>
    <row r="229" customFormat="false" ht="23.85" hidden="false" customHeight="false" outlineLevel="0" collapsed="false">
      <c r="A229" s="76" t="n">
        <v>221</v>
      </c>
      <c r="B229" s="20" t="s">
        <v>507</v>
      </c>
      <c r="C229" s="20" t="s">
        <v>655</v>
      </c>
      <c r="D229" s="20" t="s">
        <v>829</v>
      </c>
      <c r="E229" s="20" t="s">
        <v>830</v>
      </c>
      <c r="F229" s="76" t="s">
        <v>710</v>
      </c>
      <c r="G229" s="20" t="s">
        <v>711</v>
      </c>
      <c r="H229" s="55" t="n">
        <v>8</v>
      </c>
      <c r="I229" s="76" t="s">
        <v>546</v>
      </c>
      <c r="J229" s="76" t="n">
        <v>300</v>
      </c>
      <c r="K229" s="82" t="n">
        <v>1</v>
      </c>
      <c r="L229" s="55" t="n">
        <v>54</v>
      </c>
      <c r="M229" s="73" t="n">
        <v>0.58</v>
      </c>
      <c r="N229" s="74" t="n">
        <f aca="false">K229*L229*M229</f>
        <v>31.32</v>
      </c>
      <c r="O229" s="41" t="n">
        <f aca="false">IFERROR(INDEX(Исходные!$B$21:$B$33,MATCH(H229,Исходные!$A$21:$A$33,0)),0)</f>
        <v>0.395</v>
      </c>
      <c r="P229" s="83" t="n">
        <f aca="false">N229*O229</f>
        <v>12.3714</v>
      </c>
      <c r="Q229" s="20" t="s">
        <v>712</v>
      </c>
      <c r="R229" s="85" t="s">
        <v>638</v>
      </c>
      <c r="S229" s="20" t="s">
        <v>713</v>
      </c>
      <c r="T229" s="20" t="s">
        <v>123</v>
      </c>
      <c r="U229" s="53" t="n">
        <v>1</v>
      </c>
      <c r="V229" s="76" t="s">
        <v>830</v>
      </c>
      <c r="W229" s="53" t="n">
        <v>1</v>
      </c>
    </row>
    <row r="230" customFormat="false" ht="35.05" hidden="false" customHeight="false" outlineLevel="0" collapsed="false">
      <c r="A230" s="76" t="n">
        <v>222</v>
      </c>
      <c r="B230" s="20" t="s">
        <v>507</v>
      </c>
      <c r="C230" s="20" t="s">
        <v>655</v>
      </c>
      <c r="D230" s="20" t="s">
        <v>864</v>
      </c>
      <c r="E230" s="20" t="s">
        <v>865</v>
      </c>
      <c r="F230" s="76" t="s">
        <v>519</v>
      </c>
      <c r="G230" s="20" t="s">
        <v>658</v>
      </c>
      <c r="H230" s="55" t="n">
        <v>28</v>
      </c>
      <c r="I230" s="76" t="s">
        <v>512</v>
      </c>
      <c r="J230" s="76" t="s">
        <v>164</v>
      </c>
      <c r="K230" s="82" t="n">
        <v>1</v>
      </c>
      <c r="L230" s="55" t="n">
        <v>4</v>
      </c>
      <c r="M230" s="73" t="n">
        <v>20.5</v>
      </c>
      <c r="N230" s="74" t="n">
        <f aca="false">K230*L230*M230</f>
        <v>82</v>
      </c>
      <c r="O230" s="41" t="n">
        <f aca="false">IFERROR(INDEX(Исходные!$B$21:$B$33,MATCH(H230,Исходные!$A$21:$A$33,0)),0)</f>
        <v>4.834</v>
      </c>
      <c r="P230" s="83" t="n">
        <f aca="false">N230*O230</f>
        <v>396.388</v>
      </c>
      <c r="Q230" s="20" t="s">
        <v>866</v>
      </c>
      <c r="R230" s="84" t="s">
        <v>660</v>
      </c>
      <c r="S230" s="20" t="s">
        <v>832</v>
      </c>
      <c r="T230" s="20" t="s">
        <v>123</v>
      </c>
      <c r="U230" s="53" t="n">
        <v>0</v>
      </c>
      <c r="V230" s="76" t="s">
        <v>865</v>
      </c>
      <c r="W230" s="53" t="n">
        <v>1</v>
      </c>
    </row>
    <row r="231" customFormat="false" ht="23.85" hidden="false" customHeight="false" outlineLevel="0" collapsed="false">
      <c r="A231" s="76" t="n">
        <v>223</v>
      </c>
      <c r="B231" s="20" t="s">
        <v>507</v>
      </c>
      <c r="C231" s="20" t="s">
        <v>655</v>
      </c>
      <c r="D231" s="20" t="s">
        <v>864</v>
      </c>
      <c r="E231" s="20" t="s">
        <v>865</v>
      </c>
      <c r="F231" s="76" t="s">
        <v>529</v>
      </c>
      <c r="G231" s="20" t="s">
        <v>662</v>
      </c>
      <c r="H231" s="55" t="n">
        <v>18</v>
      </c>
      <c r="I231" s="76" t="s">
        <v>512</v>
      </c>
      <c r="J231" s="76" t="s">
        <v>164</v>
      </c>
      <c r="K231" s="82" t="n">
        <v>1</v>
      </c>
      <c r="L231" s="55" t="n">
        <v>2</v>
      </c>
      <c r="M231" s="73" t="n">
        <v>20.5</v>
      </c>
      <c r="N231" s="74" t="n">
        <f aca="false">K231*L231*M231</f>
        <v>41</v>
      </c>
      <c r="O231" s="41" t="n">
        <f aca="false">IFERROR(INDEX(Исходные!$B$21:$B$33,MATCH(H231,Исходные!$A$21:$A$33,0)),0)</f>
        <v>1.998</v>
      </c>
      <c r="P231" s="83" t="n">
        <f aca="false">N231*O231</f>
        <v>81.918</v>
      </c>
      <c r="Q231" s="20" t="s">
        <v>663</v>
      </c>
      <c r="R231" s="84" t="s">
        <v>660</v>
      </c>
      <c r="S231" s="20"/>
      <c r="T231" s="20" t="s">
        <v>123</v>
      </c>
      <c r="U231" s="53" t="n">
        <v>0</v>
      </c>
      <c r="V231" s="76" t="s">
        <v>865</v>
      </c>
      <c r="W231" s="53" t="n">
        <v>1</v>
      </c>
    </row>
    <row r="232" customFormat="false" ht="35.05" hidden="false" customHeight="false" outlineLevel="0" collapsed="false">
      <c r="A232" s="76" t="n">
        <v>224</v>
      </c>
      <c r="B232" s="20" t="s">
        <v>507</v>
      </c>
      <c r="C232" s="20" t="s">
        <v>655</v>
      </c>
      <c r="D232" s="20" t="s">
        <v>864</v>
      </c>
      <c r="E232" s="20" t="s">
        <v>865</v>
      </c>
      <c r="F232" s="76" t="s">
        <v>664</v>
      </c>
      <c r="G232" s="20" t="s">
        <v>833</v>
      </c>
      <c r="H232" s="55" t="n">
        <v>18</v>
      </c>
      <c r="I232" s="76" t="s">
        <v>512</v>
      </c>
      <c r="J232" s="76" t="s">
        <v>164</v>
      </c>
      <c r="K232" s="82" t="n">
        <v>2</v>
      </c>
      <c r="L232" s="55" t="n">
        <v>1</v>
      </c>
      <c r="M232" s="73" t="n">
        <v>0.144</v>
      </c>
      <c r="N232" s="74" t="n">
        <f aca="false">K232*L232*M232</f>
        <v>0.288</v>
      </c>
      <c r="O232" s="41" t="n">
        <f aca="false">IFERROR(INDEX(Исходные!$B$21:$B$33,MATCH(H232,Исходные!$A$21:$A$33,0)),0)</f>
        <v>1.998</v>
      </c>
      <c r="P232" s="83" t="n">
        <f aca="false">N232*O232</f>
        <v>0.575424</v>
      </c>
      <c r="Q232" s="20" t="s">
        <v>666</v>
      </c>
      <c r="R232" s="84" t="s">
        <v>667</v>
      </c>
      <c r="S232" s="20" t="s">
        <v>805</v>
      </c>
      <c r="T232" s="20" t="s">
        <v>123</v>
      </c>
      <c r="U232" s="53" t="n">
        <v>0</v>
      </c>
      <c r="V232" s="76" t="s">
        <v>865</v>
      </c>
      <c r="W232" s="53" t="n">
        <v>1</v>
      </c>
    </row>
    <row r="233" customFormat="false" ht="23.85" hidden="false" customHeight="false" outlineLevel="0" collapsed="false">
      <c r="A233" s="76" t="n">
        <v>225</v>
      </c>
      <c r="B233" s="20" t="s">
        <v>507</v>
      </c>
      <c r="C233" s="20" t="s">
        <v>655</v>
      </c>
      <c r="D233" s="20" t="s">
        <v>864</v>
      </c>
      <c r="E233" s="20" t="s">
        <v>865</v>
      </c>
      <c r="F233" s="76" t="s">
        <v>669</v>
      </c>
      <c r="G233" s="20" t="s">
        <v>670</v>
      </c>
      <c r="H233" s="55" t="n">
        <v>16</v>
      </c>
      <c r="I233" s="76" t="s">
        <v>512</v>
      </c>
      <c r="J233" s="76" t="s">
        <v>164</v>
      </c>
      <c r="K233" s="82" t="n">
        <v>1</v>
      </c>
      <c r="L233" s="55" t="n">
        <v>2</v>
      </c>
      <c r="M233" s="73" t="n">
        <v>20.5</v>
      </c>
      <c r="N233" s="74" t="n">
        <f aca="false">K233*L233*M233</f>
        <v>41</v>
      </c>
      <c r="O233" s="41" t="n">
        <f aca="false">IFERROR(INDEX(Исходные!$B$21:$B$33,MATCH(H233,Исходные!$A$21:$A$33,0)),0)</f>
        <v>1.578</v>
      </c>
      <c r="P233" s="83" t="n">
        <f aca="false">N233*O233</f>
        <v>64.698</v>
      </c>
      <c r="Q233" s="20" t="s">
        <v>671</v>
      </c>
      <c r="R233" s="84" t="s">
        <v>660</v>
      </c>
      <c r="S233" s="20"/>
      <c r="T233" s="20" t="s">
        <v>123</v>
      </c>
      <c r="U233" s="53" t="n">
        <v>0</v>
      </c>
      <c r="V233" s="76" t="s">
        <v>865</v>
      </c>
      <c r="W233" s="53" t="n">
        <v>1</v>
      </c>
    </row>
    <row r="234" customFormat="false" ht="35.05" hidden="false" customHeight="false" outlineLevel="0" collapsed="false">
      <c r="A234" s="76" t="n">
        <v>226</v>
      </c>
      <c r="B234" s="20" t="s">
        <v>507</v>
      </c>
      <c r="C234" s="20" t="s">
        <v>655</v>
      </c>
      <c r="D234" s="20" t="s">
        <v>864</v>
      </c>
      <c r="E234" s="20" t="s">
        <v>865</v>
      </c>
      <c r="F234" s="76" t="s">
        <v>672</v>
      </c>
      <c r="G234" s="20" t="s">
        <v>834</v>
      </c>
      <c r="H234" s="55" t="n">
        <v>16</v>
      </c>
      <c r="I234" s="76" t="s">
        <v>512</v>
      </c>
      <c r="J234" s="76" t="s">
        <v>164</v>
      </c>
      <c r="K234" s="82" t="n">
        <v>2</v>
      </c>
      <c r="L234" s="55" t="n">
        <v>1</v>
      </c>
      <c r="M234" s="73" t="n">
        <v>0.128</v>
      </c>
      <c r="N234" s="74" t="n">
        <f aca="false">K234*L234*M234</f>
        <v>0.256</v>
      </c>
      <c r="O234" s="41" t="n">
        <f aca="false">IFERROR(INDEX(Исходные!$B$21:$B$33,MATCH(H234,Исходные!$A$21:$A$33,0)),0)</f>
        <v>1.578</v>
      </c>
      <c r="P234" s="83" t="n">
        <f aca="false">N234*O234</f>
        <v>0.403968</v>
      </c>
      <c r="Q234" s="20" t="s">
        <v>674</v>
      </c>
      <c r="R234" s="84" t="s">
        <v>667</v>
      </c>
      <c r="S234" s="20" t="s">
        <v>807</v>
      </c>
      <c r="T234" s="20" t="s">
        <v>123</v>
      </c>
      <c r="U234" s="53" t="n">
        <v>0</v>
      </c>
      <c r="V234" s="76" t="s">
        <v>865</v>
      </c>
      <c r="W234" s="53" t="n">
        <v>1</v>
      </c>
    </row>
    <row r="235" customFormat="false" ht="23.85" hidden="false" customHeight="false" outlineLevel="0" collapsed="false">
      <c r="A235" s="76" t="n">
        <v>227</v>
      </c>
      <c r="B235" s="20" t="s">
        <v>507</v>
      </c>
      <c r="C235" s="20" t="s">
        <v>655</v>
      </c>
      <c r="D235" s="20" t="s">
        <v>864</v>
      </c>
      <c r="E235" s="20" t="s">
        <v>865</v>
      </c>
      <c r="F235" s="76" t="s">
        <v>676</v>
      </c>
      <c r="G235" s="20" t="s">
        <v>677</v>
      </c>
      <c r="H235" s="55" t="n">
        <v>28</v>
      </c>
      <c r="I235" s="76" t="s">
        <v>512</v>
      </c>
      <c r="J235" s="76" t="s">
        <v>164</v>
      </c>
      <c r="K235" s="82" t="n">
        <v>1</v>
      </c>
      <c r="L235" s="55" t="n">
        <v>2</v>
      </c>
      <c r="M235" s="73" t="n">
        <v>2.05</v>
      </c>
      <c r="N235" s="74" t="n">
        <f aca="false">K235*L235*M235</f>
        <v>4.1</v>
      </c>
      <c r="O235" s="41" t="n">
        <f aca="false">IFERROR(INDEX(Исходные!$B$21:$B$33,MATCH(H235,Исходные!$A$21:$A$33,0)),0)</f>
        <v>4.834</v>
      </c>
      <c r="P235" s="83" t="n">
        <f aca="false">N235*O235</f>
        <v>19.8194</v>
      </c>
      <c r="Q235" s="20" t="s">
        <v>867</v>
      </c>
      <c r="R235" s="84" t="s">
        <v>660</v>
      </c>
      <c r="S235" s="20" t="s">
        <v>809</v>
      </c>
      <c r="T235" s="20" t="s">
        <v>123</v>
      </c>
      <c r="U235" s="53" t="n">
        <v>0</v>
      </c>
      <c r="V235" s="76" t="s">
        <v>865</v>
      </c>
      <c r="W235" s="53" t="n">
        <v>1</v>
      </c>
    </row>
    <row r="236" customFormat="false" ht="23.85" hidden="false" customHeight="false" outlineLevel="0" collapsed="false">
      <c r="A236" s="76" t="n">
        <v>228</v>
      </c>
      <c r="B236" s="20" t="s">
        <v>507</v>
      </c>
      <c r="C236" s="20" t="s">
        <v>655</v>
      </c>
      <c r="D236" s="20" t="s">
        <v>864</v>
      </c>
      <c r="E236" s="20" t="s">
        <v>865</v>
      </c>
      <c r="F236" s="76" t="s">
        <v>676</v>
      </c>
      <c r="G236" s="20" t="s">
        <v>810</v>
      </c>
      <c r="H236" s="55" t="n">
        <v>28</v>
      </c>
      <c r="I236" s="76" t="s">
        <v>512</v>
      </c>
      <c r="J236" s="76" t="s">
        <v>164</v>
      </c>
      <c r="K236" s="82" t="n">
        <v>1</v>
      </c>
      <c r="L236" s="55" t="n">
        <v>2</v>
      </c>
      <c r="M236" s="73" t="n">
        <v>3.8</v>
      </c>
      <c r="N236" s="74" t="n">
        <f aca="false">K236*L236*M236</f>
        <v>7.6</v>
      </c>
      <c r="O236" s="41" t="n">
        <f aca="false">IFERROR(INDEX(Исходные!$B$21:$B$33,MATCH(H236,Исходные!$A$21:$A$33,0)),0)</f>
        <v>4.834</v>
      </c>
      <c r="P236" s="83" t="n">
        <f aca="false">N236*O236</f>
        <v>36.7384</v>
      </c>
      <c r="Q236" s="20" t="s">
        <v>867</v>
      </c>
      <c r="R236" s="84" t="s">
        <v>660</v>
      </c>
      <c r="S236" s="20" t="s">
        <v>812</v>
      </c>
      <c r="T236" s="20" t="s">
        <v>123</v>
      </c>
      <c r="U236" s="53" t="n">
        <v>0</v>
      </c>
      <c r="V236" s="76" t="s">
        <v>865</v>
      </c>
      <c r="W236" s="53" t="n">
        <v>1</v>
      </c>
    </row>
    <row r="237" customFormat="false" ht="23.85" hidden="false" customHeight="false" outlineLevel="0" collapsed="false">
      <c r="A237" s="76" t="n">
        <v>229</v>
      </c>
      <c r="B237" s="20" t="s">
        <v>507</v>
      </c>
      <c r="C237" s="20" t="s">
        <v>655</v>
      </c>
      <c r="D237" s="20" t="s">
        <v>864</v>
      </c>
      <c r="E237" s="20" t="s">
        <v>865</v>
      </c>
      <c r="F237" s="76" t="s">
        <v>676</v>
      </c>
      <c r="G237" s="20" t="s">
        <v>868</v>
      </c>
      <c r="H237" s="55" t="n">
        <v>25</v>
      </c>
      <c r="I237" s="76" t="s">
        <v>512</v>
      </c>
      <c r="J237" s="76" t="s">
        <v>164</v>
      </c>
      <c r="K237" s="82" t="n">
        <v>1</v>
      </c>
      <c r="L237" s="55" t="n">
        <v>2</v>
      </c>
      <c r="M237" s="73" t="n">
        <v>3.8</v>
      </c>
      <c r="N237" s="74" t="n">
        <f aca="false">K237*L237*M237</f>
        <v>7.6</v>
      </c>
      <c r="O237" s="41" t="n">
        <f aca="false">IFERROR(INDEX(Исходные!$B$21:$B$33,MATCH(H237,Исходные!$A$21:$A$33,0)),0)</f>
        <v>3.853</v>
      </c>
      <c r="P237" s="83" t="n">
        <f aca="false">N237*O237</f>
        <v>29.2828</v>
      </c>
      <c r="Q237" s="20" t="s">
        <v>869</v>
      </c>
      <c r="R237" s="84" t="s">
        <v>660</v>
      </c>
      <c r="S237" s="20" t="s">
        <v>812</v>
      </c>
      <c r="T237" s="20" t="s">
        <v>123</v>
      </c>
      <c r="U237" s="53" t="n">
        <v>0</v>
      </c>
      <c r="V237" s="76" t="s">
        <v>865</v>
      </c>
      <c r="W237" s="53" t="n">
        <v>1</v>
      </c>
    </row>
    <row r="238" customFormat="false" ht="23.85" hidden="false" customHeight="false" outlineLevel="0" collapsed="false">
      <c r="A238" s="76" t="n">
        <v>230</v>
      </c>
      <c r="B238" s="20" t="s">
        <v>507</v>
      </c>
      <c r="C238" s="20" t="s">
        <v>655</v>
      </c>
      <c r="D238" s="20" t="s">
        <v>864</v>
      </c>
      <c r="E238" s="20" t="s">
        <v>865</v>
      </c>
      <c r="F238" s="76" t="s">
        <v>676</v>
      </c>
      <c r="G238" s="20" t="s">
        <v>870</v>
      </c>
      <c r="H238" s="55" t="n">
        <v>25</v>
      </c>
      <c r="I238" s="76" t="s">
        <v>512</v>
      </c>
      <c r="J238" s="76" t="s">
        <v>164</v>
      </c>
      <c r="K238" s="82" t="n">
        <v>1</v>
      </c>
      <c r="L238" s="55" t="n">
        <v>2</v>
      </c>
      <c r="M238" s="73" t="n">
        <v>3.8</v>
      </c>
      <c r="N238" s="74" t="n">
        <f aca="false">K238*L238*M238</f>
        <v>7.6</v>
      </c>
      <c r="O238" s="41" t="n">
        <f aca="false">IFERROR(INDEX(Исходные!$B$21:$B$33,MATCH(H238,Исходные!$A$21:$A$33,0)),0)</f>
        <v>3.853</v>
      </c>
      <c r="P238" s="83" t="n">
        <f aca="false">N238*O238</f>
        <v>29.2828</v>
      </c>
      <c r="Q238" s="20" t="s">
        <v>869</v>
      </c>
      <c r="R238" s="84" t="s">
        <v>660</v>
      </c>
      <c r="S238" s="20" t="s">
        <v>815</v>
      </c>
      <c r="T238" s="20" t="s">
        <v>123</v>
      </c>
      <c r="U238" s="53" t="n">
        <v>0</v>
      </c>
      <c r="V238" s="76" t="s">
        <v>865</v>
      </c>
      <c r="W238" s="53" t="n">
        <v>1</v>
      </c>
    </row>
    <row r="239" customFormat="false" ht="23.85" hidden="false" customHeight="false" outlineLevel="0" collapsed="false">
      <c r="A239" s="76" t="n">
        <v>231</v>
      </c>
      <c r="B239" s="20" t="s">
        <v>507</v>
      </c>
      <c r="C239" s="20" t="s">
        <v>655</v>
      </c>
      <c r="D239" s="20" t="s">
        <v>864</v>
      </c>
      <c r="E239" s="20" t="s">
        <v>865</v>
      </c>
      <c r="F239" s="76" t="s">
        <v>676</v>
      </c>
      <c r="G239" s="20" t="s">
        <v>871</v>
      </c>
      <c r="H239" s="55" t="n">
        <v>25</v>
      </c>
      <c r="I239" s="76" t="s">
        <v>512</v>
      </c>
      <c r="J239" s="76" t="s">
        <v>164</v>
      </c>
      <c r="K239" s="82" t="n">
        <v>1</v>
      </c>
      <c r="L239" s="55" t="n">
        <v>2</v>
      </c>
      <c r="M239" s="73" t="n">
        <v>3.8</v>
      </c>
      <c r="N239" s="74" t="n">
        <f aca="false">K239*L239*M239</f>
        <v>7.6</v>
      </c>
      <c r="O239" s="41" t="n">
        <f aca="false">IFERROR(INDEX(Исходные!$B$21:$B$33,MATCH(H239,Исходные!$A$21:$A$33,0)),0)</f>
        <v>3.853</v>
      </c>
      <c r="P239" s="83" t="n">
        <f aca="false">N239*O239</f>
        <v>29.2828</v>
      </c>
      <c r="Q239" s="20" t="s">
        <v>869</v>
      </c>
      <c r="R239" s="84" t="s">
        <v>660</v>
      </c>
      <c r="S239" s="20" t="s">
        <v>815</v>
      </c>
      <c r="T239" s="20" t="s">
        <v>123</v>
      </c>
      <c r="U239" s="53" t="n">
        <v>0</v>
      </c>
      <c r="V239" s="76" t="s">
        <v>865</v>
      </c>
      <c r="W239" s="53" t="n">
        <v>1</v>
      </c>
    </row>
    <row r="240" customFormat="false" ht="23.85" hidden="false" customHeight="false" outlineLevel="0" collapsed="false">
      <c r="A240" s="76" t="n">
        <v>232</v>
      </c>
      <c r="B240" s="20" t="s">
        <v>507</v>
      </c>
      <c r="C240" s="20" t="s">
        <v>655</v>
      </c>
      <c r="D240" s="20" t="s">
        <v>864</v>
      </c>
      <c r="E240" s="20" t="s">
        <v>865</v>
      </c>
      <c r="F240" s="76" t="s">
        <v>676</v>
      </c>
      <c r="G240" s="20" t="s">
        <v>872</v>
      </c>
      <c r="H240" s="55" t="n">
        <v>32</v>
      </c>
      <c r="I240" s="76" t="s">
        <v>512</v>
      </c>
      <c r="J240" s="76" t="s">
        <v>164</v>
      </c>
      <c r="K240" s="82" t="n">
        <v>1</v>
      </c>
      <c r="L240" s="55" t="n">
        <v>2</v>
      </c>
      <c r="M240" s="73" t="n">
        <v>2.05</v>
      </c>
      <c r="N240" s="74" t="n">
        <f aca="false">K240*L240*M240</f>
        <v>4.1</v>
      </c>
      <c r="O240" s="41" t="n">
        <f aca="false">IFERROR(INDEX(Исходные!$B$21:$B$33,MATCH(H240,Исходные!$A$21:$A$33,0)),0)</f>
        <v>6.313</v>
      </c>
      <c r="P240" s="83" t="n">
        <f aca="false">N240*O240</f>
        <v>25.8833</v>
      </c>
      <c r="Q240" s="20" t="s">
        <v>873</v>
      </c>
      <c r="R240" s="84" t="s">
        <v>660</v>
      </c>
      <c r="S240" s="20" t="s">
        <v>817</v>
      </c>
      <c r="T240" s="20" t="s">
        <v>123</v>
      </c>
      <c r="U240" s="53" t="n">
        <v>0</v>
      </c>
      <c r="V240" s="76" t="s">
        <v>865</v>
      </c>
      <c r="W240" s="53" t="n">
        <v>1</v>
      </c>
    </row>
    <row r="241" customFormat="false" ht="23.85" hidden="false" customHeight="false" outlineLevel="0" collapsed="false">
      <c r="A241" s="76" t="n">
        <v>233</v>
      </c>
      <c r="B241" s="20" t="s">
        <v>507</v>
      </c>
      <c r="C241" s="20" t="s">
        <v>655</v>
      </c>
      <c r="D241" s="20" t="s">
        <v>864</v>
      </c>
      <c r="E241" s="20" t="s">
        <v>865</v>
      </c>
      <c r="F241" s="76" t="s">
        <v>676</v>
      </c>
      <c r="G241" s="20" t="s">
        <v>729</v>
      </c>
      <c r="H241" s="55" t="n">
        <v>16</v>
      </c>
      <c r="I241" s="76" t="s">
        <v>512</v>
      </c>
      <c r="J241" s="76" t="s">
        <v>164</v>
      </c>
      <c r="K241" s="82" t="n">
        <v>1</v>
      </c>
      <c r="L241" s="55" t="n">
        <v>2</v>
      </c>
      <c r="M241" s="73" t="n">
        <v>2.9</v>
      </c>
      <c r="N241" s="74" t="n">
        <f aca="false">K241*L241*M241</f>
        <v>5.8</v>
      </c>
      <c r="O241" s="41" t="n">
        <f aca="false">IFERROR(INDEX(Исходные!$B$21:$B$33,MATCH(H241,Исходные!$A$21:$A$33,0)),0)</f>
        <v>1.578</v>
      </c>
      <c r="P241" s="83" t="n">
        <f aca="false">N241*O241</f>
        <v>9.1524</v>
      </c>
      <c r="Q241" s="20" t="s">
        <v>874</v>
      </c>
      <c r="R241" s="84" t="s">
        <v>660</v>
      </c>
      <c r="S241" s="20" t="s">
        <v>875</v>
      </c>
      <c r="T241" s="20" t="s">
        <v>123</v>
      </c>
      <c r="U241" s="53" t="n">
        <v>0</v>
      </c>
      <c r="V241" s="76" t="s">
        <v>865</v>
      </c>
      <c r="W241" s="53" t="n">
        <v>1</v>
      </c>
    </row>
    <row r="242" customFormat="false" ht="23.85" hidden="false" customHeight="false" outlineLevel="0" collapsed="false">
      <c r="A242" s="76" t="n">
        <v>234</v>
      </c>
      <c r="B242" s="20" t="s">
        <v>507</v>
      </c>
      <c r="C242" s="20" t="s">
        <v>655</v>
      </c>
      <c r="D242" s="20" t="s">
        <v>864</v>
      </c>
      <c r="E242" s="20" t="s">
        <v>865</v>
      </c>
      <c r="F242" s="76" t="s">
        <v>676</v>
      </c>
      <c r="G242" s="20" t="s">
        <v>876</v>
      </c>
      <c r="H242" s="55" t="n">
        <v>28</v>
      </c>
      <c r="I242" s="76" t="s">
        <v>512</v>
      </c>
      <c r="J242" s="76" t="s">
        <v>164</v>
      </c>
      <c r="K242" s="82" t="n">
        <v>1</v>
      </c>
      <c r="L242" s="55" t="n">
        <v>2</v>
      </c>
      <c r="M242" s="73" t="n">
        <v>3</v>
      </c>
      <c r="N242" s="74" t="n">
        <f aca="false">K242*L242*M242</f>
        <v>6</v>
      </c>
      <c r="O242" s="41" t="n">
        <f aca="false">IFERROR(INDEX(Исходные!$B$21:$B$33,MATCH(H242,Исходные!$A$21:$A$33,0)),0)</f>
        <v>4.834</v>
      </c>
      <c r="P242" s="83" t="n">
        <f aca="false">N242*O242</f>
        <v>29.004</v>
      </c>
      <c r="Q242" s="20" t="s">
        <v>867</v>
      </c>
      <c r="R242" s="84" t="s">
        <v>660</v>
      </c>
      <c r="S242" s="20" t="s">
        <v>822</v>
      </c>
      <c r="T242" s="20" t="s">
        <v>123</v>
      </c>
      <c r="U242" s="53" t="n">
        <v>0</v>
      </c>
      <c r="V242" s="76" t="s">
        <v>865</v>
      </c>
      <c r="W242" s="53" t="n">
        <v>1</v>
      </c>
    </row>
    <row r="243" customFormat="false" ht="23.85" hidden="false" customHeight="false" outlineLevel="0" collapsed="false">
      <c r="A243" s="76" t="n">
        <v>235</v>
      </c>
      <c r="B243" s="20" t="s">
        <v>507</v>
      </c>
      <c r="C243" s="20" t="s">
        <v>655</v>
      </c>
      <c r="D243" s="20" t="s">
        <v>864</v>
      </c>
      <c r="E243" s="20" t="s">
        <v>865</v>
      </c>
      <c r="F243" s="76" t="s">
        <v>676</v>
      </c>
      <c r="G243" s="20" t="s">
        <v>877</v>
      </c>
      <c r="H243" s="55" t="n">
        <v>16</v>
      </c>
      <c r="I243" s="76" t="s">
        <v>512</v>
      </c>
      <c r="J243" s="76" t="s">
        <v>164</v>
      </c>
      <c r="K243" s="82" t="n">
        <v>1</v>
      </c>
      <c r="L243" s="55" t="n">
        <v>2</v>
      </c>
      <c r="M243" s="73" t="n">
        <v>4.95</v>
      </c>
      <c r="N243" s="74" t="n">
        <f aca="false">K243*L243*M243</f>
        <v>9.9</v>
      </c>
      <c r="O243" s="41" t="n">
        <f aca="false">IFERROR(INDEX(Исходные!$B$21:$B$33,MATCH(H243,Исходные!$A$21:$A$33,0)),0)</f>
        <v>1.578</v>
      </c>
      <c r="P243" s="83" t="n">
        <f aca="false">N243*O243</f>
        <v>15.6222</v>
      </c>
      <c r="Q243" s="20" t="s">
        <v>874</v>
      </c>
      <c r="R243" s="84" t="s">
        <v>660</v>
      </c>
      <c r="S243" s="20" t="s">
        <v>878</v>
      </c>
      <c r="T243" s="20" t="s">
        <v>123</v>
      </c>
      <c r="U243" s="53" t="n">
        <v>0</v>
      </c>
      <c r="V243" s="76" t="s">
        <v>865</v>
      </c>
      <c r="W243" s="53" t="n">
        <v>1</v>
      </c>
    </row>
    <row r="244" customFormat="false" ht="23.85" hidden="false" customHeight="false" outlineLevel="0" collapsed="false">
      <c r="A244" s="76" t="n">
        <v>236</v>
      </c>
      <c r="B244" s="20" t="s">
        <v>507</v>
      </c>
      <c r="C244" s="20" t="s">
        <v>655</v>
      </c>
      <c r="D244" s="20" t="s">
        <v>864</v>
      </c>
      <c r="E244" s="20" t="s">
        <v>865</v>
      </c>
      <c r="F244" s="76" t="s">
        <v>676</v>
      </c>
      <c r="G244" s="20" t="s">
        <v>879</v>
      </c>
      <c r="H244" s="55" t="n">
        <v>12</v>
      </c>
      <c r="I244" s="76" t="s">
        <v>512</v>
      </c>
      <c r="J244" s="76" t="s">
        <v>164</v>
      </c>
      <c r="K244" s="82" t="n">
        <v>1</v>
      </c>
      <c r="L244" s="55" t="n">
        <v>4</v>
      </c>
      <c r="M244" s="73" t="n">
        <v>3.8</v>
      </c>
      <c r="N244" s="74" t="n">
        <f aca="false">K244*L244*M244</f>
        <v>15.2</v>
      </c>
      <c r="O244" s="41" t="n">
        <f aca="false">IFERROR(INDEX(Исходные!$B$21:$B$33,MATCH(H244,Исходные!$A$21:$A$33,0)),0)</f>
        <v>0.888</v>
      </c>
      <c r="P244" s="83" t="n">
        <f aca="false">N244*O244</f>
        <v>13.4976</v>
      </c>
      <c r="Q244" s="20" t="s">
        <v>880</v>
      </c>
      <c r="R244" s="84" t="s">
        <v>660</v>
      </c>
      <c r="S244" s="20" t="s">
        <v>812</v>
      </c>
      <c r="T244" s="20" t="s">
        <v>123</v>
      </c>
      <c r="U244" s="53" t="n">
        <v>0</v>
      </c>
      <c r="V244" s="76" t="s">
        <v>865</v>
      </c>
      <c r="W244" s="53" t="n">
        <v>1</v>
      </c>
    </row>
    <row r="245" customFormat="false" ht="23.85" hidden="false" customHeight="false" outlineLevel="0" collapsed="false">
      <c r="A245" s="76" t="n">
        <v>237</v>
      </c>
      <c r="B245" s="20" t="s">
        <v>507</v>
      </c>
      <c r="C245" s="20" t="s">
        <v>655</v>
      </c>
      <c r="D245" s="20" t="s">
        <v>864</v>
      </c>
      <c r="E245" s="20" t="s">
        <v>865</v>
      </c>
      <c r="F245" s="76" t="s">
        <v>676</v>
      </c>
      <c r="G245" s="20" t="s">
        <v>881</v>
      </c>
      <c r="H245" s="55" t="n">
        <v>12</v>
      </c>
      <c r="I245" s="76" t="s">
        <v>512</v>
      </c>
      <c r="J245" s="76" t="s">
        <v>164</v>
      </c>
      <c r="K245" s="82" t="n">
        <v>1</v>
      </c>
      <c r="L245" s="55" t="n">
        <v>4</v>
      </c>
      <c r="M245" s="73" t="n">
        <v>3.8</v>
      </c>
      <c r="N245" s="74" t="n">
        <f aca="false">K245*L245*M245</f>
        <v>15.2</v>
      </c>
      <c r="O245" s="41" t="n">
        <f aca="false">IFERROR(INDEX(Исходные!$B$21:$B$33,MATCH(H245,Исходные!$A$21:$A$33,0)),0)</f>
        <v>0.888</v>
      </c>
      <c r="P245" s="83" t="n">
        <f aca="false">N245*O245</f>
        <v>13.4976</v>
      </c>
      <c r="Q245" s="20" t="s">
        <v>880</v>
      </c>
      <c r="R245" s="84" t="s">
        <v>660</v>
      </c>
      <c r="S245" s="20" t="s">
        <v>815</v>
      </c>
      <c r="T245" s="20" t="s">
        <v>123</v>
      </c>
      <c r="U245" s="53" t="n">
        <v>0</v>
      </c>
      <c r="V245" s="76" t="s">
        <v>865</v>
      </c>
      <c r="W245" s="53" t="n">
        <v>1</v>
      </c>
    </row>
    <row r="246" customFormat="false" ht="23.85" hidden="false" customHeight="false" outlineLevel="0" collapsed="false">
      <c r="A246" s="76" t="n">
        <v>238</v>
      </c>
      <c r="B246" s="20" t="s">
        <v>507</v>
      </c>
      <c r="C246" s="20" t="s">
        <v>655</v>
      </c>
      <c r="D246" s="20" t="s">
        <v>864</v>
      </c>
      <c r="E246" s="20" t="s">
        <v>865</v>
      </c>
      <c r="F246" s="76" t="s">
        <v>676</v>
      </c>
      <c r="G246" s="20" t="s">
        <v>882</v>
      </c>
      <c r="H246" s="55" t="n">
        <v>12</v>
      </c>
      <c r="I246" s="76" t="s">
        <v>512</v>
      </c>
      <c r="J246" s="76" t="s">
        <v>164</v>
      </c>
      <c r="K246" s="82" t="n">
        <v>1</v>
      </c>
      <c r="L246" s="55" t="n">
        <v>4</v>
      </c>
      <c r="M246" s="73" t="n">
        <v>2.05</v>
      </c>
      <c r="N246" s="74" t="n">
        <f aca="false">K246*L246*M246</f>
        <v>8.2</v>
      </c>
      <c r="O246" s="41" t="n">
        <f aca="false">IFERROR(INDEX(Исходные!$B$21:$B$33,MATCH(H246,Исходные!$A$21:$A$33,0)),0)</f>
        <v>0.888</v>
      </c>
      <c r="P246" s="83" t="n">
        <f aca="false">N246*O246</f>
        <v>7.2816</v>
      </c>
      <c r="Q246" s="20" t="s">
        <v>880</v>
      </c>
      <c r="R246" s="84" t="s">
        <v>660</v>
      </c>
      <c r="S246" s="20" t="s">
        <v>817</v>
      </c>
      <c r="T246" s="20" t="s">
        <v>123</v>
      </c>
      <c r="U246" s="53" t="n">
        <v>0</v>
      </c>
      <c r="V246" s="76" t="s">
        <v>865</v>
      </c>
      <c r="W246" s="53" t="n">
        <v>1</v>
      </c>
    </row>
    <row r="247" customFormat="false" ht="23.85" hidden="false" customHeight="false" outlineLevel="0" collapsed="false">
      <c r="A247" s="76" t="n">
        <v>239</v>
      </c>
      <c r="B247" s="20" t="s">
        <v>507</v>
      </c>
      <c r="C247" s="20" t="s">
        <v>655</v>
      </c>
      <c r="D247" s="20" t="s">
        <v>864</v>
      </c>
      <c r="E247" s="20" t="s">
        <v>865</v>
      </c>
      <c r="F247" s="76" t="s">
        <v>696</v>
      </c>
      <c r="G247" s="20" t="s">
        <v>697</v>
      </c>
      <c r="H247" s="55" t="n">
        <v>8</v>
      </c>
      <c r="I247" s="76" t="s">
        <v>546</v>
      </c>
      <c r="J247" s="76" t="s">
        <v>698</v>
      </c>
      <c r="K247" s="82" t="n">
        <v>1</v>
      </c>
      <c r="L247" s="55" t="n">
        <v>52</v>
      </c>
      <c r="M247" s="73" t="n">
        <v>2.06</v>
      </c>
      <c r="N247" s="74" t="n">
        <f aca="false">K247*L247*M247</f>
        <v>107.12</v>
      </c>
      <c r="O247" s="41" t="n">
        <f aca="false">IFERROR(INDEX(Исходные!$B$21:$B$33,MATCH(H247,Исходные!$A$21:$A$33,0)),0)</f>
        <v>0.395</v>
      </c>
      <c r="P247" s="83" t="n">
        <f aca="false">N247*O247</f>
        <v>42.3124</v>
      </c>
      <c r="Q247" s="20" t="s">
        <v>699</v>
      </c>
      <c r="R247" s="84" t="s">
        <v>514</v>
      </c>
      <c r="S247" s="20" t="s">
        <v>826</v>
      </c>
      <c r="T247" s="20" t="s">
        <v>123</v>
      </c>
      <c r="U247" s="53" t="n">
        <v>0</v>
      </c>
      <c r="V247" s="76" t="s">
        <v>865</v>
      </c>
      <c r="W247" s="53" t="n">
        <v>1</v>
      </c>
    </row>
    <row r="248" customFormat="false" ht="35.05" hidden="false" customHeight="false" outlineLevel="0" collapsed="false">
      <c r="A248" s="76" t="n">
        <v>240</v>
      </c>
      <c r="B248" s="20" t="s">
        <v>507</v>
      </c>
      <c r="C248" s="20" t="s">
        <v>655</v>
      </c>
      <c r="D248" s="20" t="s">
        <v>864</v>
      </c>
      <c r="E248" s="20" t="s">
        <v>865</v>
      </c>
      <c r="F248" s="76" t="s">
        <v>561</v>
      </c>
      <c r="G248" s="20" t="s">
        <v>701</v>
      </c>
      <c r="H248" s="55" t="n">
        <v>10</v>
      </c>
      <c r="I248" s="76" t="s">
        <v>546</v>
      </c>
      <c r="J248" s="76" t="n">
        <v>100</v>
      </c>
      <c r="K248" s="82" t="n">
        <v>1</v>
      </c>
      <c r="L248" s="55" t="n">
        <v>106</v>
      </c>
      <c r="M248" s="73" t="n">
        <v>2.06</v>
      </c>
      <c r="N248" s="74" t="n">
        <f aca="false">K248*L248*M248</f>
        <v>218.36</v>
      </c>
      <c r="O248" s="41" t="n">
        <f aca="false">IFERROR(INDEX(Исходные!$B$21:$B$33,MATCH(H248,Исходные!$A$21:$A$33,0)),0)</f>
        <v>0.617</v>
      </c>
      <c r="P248" s="83" t="n">
        <f aca="false">N248*O248</f>
        <v>134.72812</v>
      </c>
      <c r="Q248" s="20" t="s">
        <v>883</v>
      </c>
      <c r="R248" s="84" t="s">
        <v>514</v>
      </c>
      <c r="S248" s="20" t="s">
        <v>884</v>
      </c>
      <c r="T248" s="20" t="s">
        <v>123</v>
      </c>
      <c r="U248" s="53" t="n">
        <v>0</v>
      </c>
      <c r="V248" s="76" t="s">
        <v>865</v>
      </c>
      <c r="W248" s="53" t="n">
        <v>1</v>
      </c>
    </row>
    <row r="249" customFormat="false" ht="23.85" hidden="false" customHeight="false" outlineLevel="0" collapsed="false">
      <c r="A249" s="76" t="n">
        <v>241</v>
      </c>
      <c r="B249" s="20" t="s">
        <v>507</v>
      </c>
      <c r="C249" s="20" t="s">
        <v>655</v>
      </c>
      <c r="D249" s="20" t="s">
        <v>864</v>
      </c>
      <c r="E249" s="20" t="s">
        <v>865</v>
      </c>
      <c r="F249" s="76" t="s">
        <v>603</v>
      </c>
      <c r="G249" s="20" t="s">
        <v>704</v>
      </c>
      <c r="H249" s="55" t="n">
        <v>10</v>
      </c>
      <c r="I249" s="76" t="s">
        <v>546</v>
      </c>
      <c r="J249" s="76" t="n">
        <v>100</v>
      </c>
      <c r="K249" s="82" t="n">
        <v>1</v>
      </c>
      <c r="L249" s="55" t="n">
        <v>50</v>
      </c>
      <c r="M249" s="73" t="n">
        <v>1.6</v>
      </c>
      <c r="N249" s="74" t="n">
        <f aca="false">K249*L249*M249</f>
        <v>80</v>
      </c>
      <c r="O249" s="41" t="n">
        <f aca="false">IFERROR(INDEX(Исходные!$B$21:$B$33,MATCH(H249,Исходные!$A$21:$A$33,0)),0)</f>
        <v>0.617</v>
      </c>
      <c r="P249" s="83" t="n">
        <f aca="false">N249*O249</f>
        <v>49.36</v>
      </c>
      <c r="Q249" s="20" t="s">
        <v>885</v>
      </c>
      <c r="R249" s="84" t="s">
        <v>514</v>
      </c>
      <c r="S249" s="20"/>
      <c r="T249" s="20" t="s">
        <v>123</v>
      </c>
      <c r="U249" s="53" t="n">
        <v>0</v>
      </c>
      <c r="V249" s="76" t="s">
        <v>865</v>
      </c>
      <c r="W249" s="53" t="n">
        <v>1</v>
      </c>
    </row>
    <row r="250" customFormat="false" ht="23.85" hidden="false" customHeight="false" outlineLevel="0" collapsed="false">
      <c r="A250" s="76" t="n">
        <v>242</v>
      </c>
      <c r="B250" s="20" t="s">
        <v>507</v>
      </c>
      <c r="C250" s="20" t="s">
        <v>655</v>
      </c>
      <c r="D250" s="20" t="s">
        <v>864</v>
      </c>
      <c r="E250" s="20" t="s">
        <v>865</v>
      </c>
      <c r="F250" s="76" t="s">
        <v>706</v>
      </c>
      <c r="G250" s="20" t="s">
        <v>707</v>
      </c>
      <c r="H250" s="55" t="n">
        <v>8</v>
      </c>
      <c r="I250" s="76" t="s">
        <v>546</v>
      </c>
      <c r="J250" s="76" t="s">
        <v>708</v>
      </c>
      <c r="K250" s="82" t="n">
        <v>1</v>
      </c>
      <c r="L250" s="55" t="n">
        <v>73</v>
      </c>
      <c r="M250" s="73" t="n">
        <v>0.75</v>
      </c>
      <c r="N250" s="74" t="n">
        <f aca="false">K250*L250*M250</f>
        <v>54.75</v>
      </c>
      <c r="O250" s="41" t="n">
        <f aca="false">IFERROR(INDEX(Исходные!$B$21:$B$33,MATCH(H250,Исходные!$A$21:$A$33,0)),0)</f>
        <v>0.395</v>
      </c>
      <c r="P250" s="83" t="n">
        <f aca="false">N250*O250</f>
        <v>21.62625</v>
      </c>
      <c r="Q250" s="20" t="s">
        <v>709</v>
      </c>
      <c r="R250" s="84" t="s">
        <v>514</v>
      </c>
      <c r="S250" s="20"/>
      <c r="T250" s="20" t="s">
        <v>123</v>
      </c>
      <c r="U250" s="53" t="n">
        <v>0</v>
      </c>
      <c r="V250" s="76" t="s">
        <v>865</v>
      </c>
      <c r="W250" s="53" t="n">
        <v>1</v>
      </c>
    </row>
    <row r="251" customFormat="false" ht="23.85" hidden="false" customHeight="false" outlineLevel="0" collapsed="false">
      <c r="A251" s="76" t="n">
        <v>243</v>
      </c>
      <c r="B251" s="20" t="s">
        <v>507</v>
      </c>
      <c r="C251" s="20" t="s">
        <v>655</v>
      </c>
      <c r="D251" s="20" t="s">
        <v>864</v>
      </c>
      <c r="E251" s="20" t="s">
        <v>865</v>
      </c>
      <c r="F251" s="76" t="s">
        <v>710</v>
      </c>
      <c r="G251" s="20" t="s">
        <v>711</v>
      </c>
      <c r="H251" s="55" t="n">
        <v>8</v>
      </c>
      <c r="I251" s="76" t="s">
        <v>546</v>
      </c>
      <c r="J251" s="76" t="n">
        <v>300</v>
      </c>
      <c r="K251" s="82" t="n">
        <v>1</v>
      </c>
      <c r="L251" s="55" t="n">
        <v>62</v>
      </c>
      <c r="M251" s="73" t="n">
        <v>0.58</v>
      </c>
      <c r="N251" s="74" t="n">
        <f aca="false">K251*L251*M251</f>
        <v>35.96</v>
      </c>
      <c r="O251" s="41" t="n">
        <f aca="false">IFERROR(INDEX(Исходные!$B$21:$B$33,MATCH(H251,Исходные!$A$21:$A$33,0)),0)</f>
        <v>0.395</v>
      </c>
      <c r="P251" s="83" t="n">
        <f aca="false">N251*O251</f>
        <v>14.2042</v>
      </c>
      <c r="Q251" s="20" t="s">
        <v>712</v>
      </c>
      <c r="R251" s="85" t="s">
        <v>638</v>
      </c>
      <c r="S251" s="20" t="s">
        <v>713</v>
      </c>
      <c r="T251" s="20" t="s">
        <v>123</v>
      </c>
      <c r="U251" s="53" t="n">
        <v>1</v>
      </c>
      <c r="V251" s="76" t="s">
        <v>865</v>
      </c>
      <c r="W251" s="53" t="n">
        <v>1</v>
      </c>
    </row>
    <row r="252" customFormat="false" ht="35.05" hidden="false" customHeight="false" outlineLevel="0" collapsed="false">
      <c r="A252" s="76" t="n">
        <v>244</v>
      </c>
      <c r="B252" s="20" t="s">
        <v>507</v>
      </c>
      <c r="C252" s="20" t="s">
        <v>655</v>
      </c>
      <c r="D252" s="20" t="s">
        <v>886</v>
      </c>
      <c r="E252" s="20" t="s">
        <v>887</v>
      </c>
      <c r="F252" s="76" t="s">
        <v>519</v>
      </c>
      <c r="G252" s="20" t="s">
        <v>658</v>
      </c>
      <c r="H252" s="55" t="n">
        <v>28</v>
      </c>
      <c r="I252" s="76" t="s">
        <v>512</v>
      </c>
      <c r="J252" s="76" t="s">
        <v>164</v>
      </c>
      <c r="K252" s="82" t="n">
        <v>1</v>
      </c>
      <c r="L252" s="55" t="n">
        <v>4</v>
      </c>
      <c r="M252" s="73" t="n">
        <v>20.5</v>
      </c>
      <c r="N252" s="74" t="n">
        <f aca="false">K252*L252*M252</f>
        <v>82</v>
      </c>
      <c r="O252" s="41" t="n">
        <f aca="false">IFERROR(INDEX(Исходные!$B$21:$B$33,MATCH(H252,Исходные!$A$21:$A$33,0)),0)</f>
        <v>4.834</v>
      </c>
      <c r="P252" s="83" t="n">
        <f aca="false">N252*O252</f>
        <v>396.388</v>
      </c>
      <c r="Q252" s="20" t="s">
        <v>888</v>
      </c>
      <c r="R252" s="84" t="s">
        <v>660</v>
      </c>
      <c r="S252" s="20" t="s">
        <v>832</v>
      </c>
      <c r="T252" s="20" t="s">
        <v>123</v>
      </c>
      <c r="U252" s="53" t="n">
        <v>0</v>
      </c>
      <c r="V252" s="76" t="s">
        <v>887</v>
      </c>
      <c r="W252" s="53" t="n">
        <v>1</v>
      </c>
    </row>
    <row r="253" customFormat="false" ht="23.85" hidden="false" customHeight="false" outlineLevel="0" collapsed="false">
      <c r="A253" s="76" t="n">
        <v>245</v>
      </c>
      <c r="B253" s="20" t="s">
        <v>507</v>
      </c>
      <c r="C253" s="20" t="s">
        <v>655</v>
      </c>
      <c r="D253" s="20" t="s">
        <v>886</v>
      </c>
      <c r="E253" s="20" t="s">
        <v>887</v>
      </c>
      <c r="F253" s="76" t="s">
        <v>529</v>
      </c>
      <c r="G253" s="20" t="s">
        <v>662</v>
      </c>
      <c r="H253" s="55" t="n">
        <v>18</v>
      </c>
      <c r="I253" s="76" t="s">
        <v>512</v>
      </c>
      <c r="J253" s="76" t="s">
        <v>164</v>
      </c>
      <c r="K253" s="82" t="n">
        <v>1</v>
      </c>
      <c r="L253" s="55" t="n">
        <v>2</v>
      </c>
      <c r="M253" s="73" t="n">
        <v>20.5</v>
      </c>
      <c r="N253" s="74" t="n">
        <f aca="false">K253*L253*M253</f>
        <v>41</v>
      </c>
      <c r="O253" s="41" t="n">
        <f aca="false">IFERROR(INDEX(Исходные!$B$21:$B$33,MATCH(H253,Исходные!$A$21:$A$33,0)),0)</f>
        <v>1.998</v>
      </c>
      <c r="P253" s="83" t="n">
        <f aca="false">N253*O253</f>
        <v>81.918</v>
      </c>
      <c r="Q253" s="20" t="s">
        <v>663</v>
      </c>
      <c r="R253" s="84" t="s">
        <v>660</v>
      </c>
      <c r="S253" s="20"/>
      <c r="T253" s="20" t="s">
        <v>123</v>
      </c>
      <c r="U253" s="53" t="n">
        <v>0</v>
      </c>
      <c r="V253" s="76" t="s">
        <v>887</v>
      </c>
      <c r="W253" s="53" t="n">
        <v>1</v>
      </c>
    </row>
    <row r="254" customFormat="false" ht="35.05" hidden="false" customHeight="false" outlineLevel="0" collapsed="false">
      <c r="A254" s="76" t="n">
        <v>246</v>
      </c>
      <c r="B254" s="20" t="s">
        <v>507</v>
      </c>
      <c r="C254" s="20" t="s">
        <v>655</v>
      </c>
      <c r="D254" s="20" t="s">
        <v>886</v>
      </c>
      <c r="E254" s="20" t="s">
        <v>887</v>
      </c>
      <c r="F254" s="76" t="s">
        <v>664</v>
      </c>
      <c r="G254" s="20" t="s">
        <v>833</v>
      </c>
      <c r="H254" s="55" t="n">
        <v>18</v>
      </c>
      <c r="I254" s="76" t="s">
        <v>512</v>
      </c>
      <c r="J254" s="76" t="s">
        <v>164</v>
      </c>
      <c r="K254" s="82" t="n">
        <v>2</v>
      </c>
      <c r="L254" s="55" t="n">
        <v>1</v>
      </c>
      <c r="M254" s="73" t="n">
        <v>0.144</v>
      </c>
      <c r="N254" s="74" t="n">
        <f aca="false">K254*L254*M254</f>
        <v>0.288</v>
      </c>
      <c r="O254" s="41" t="n">
        <f aca="false">IFERROR(INDEX(Исходные!$B$21:$B$33,MATCH(H254,Исходные!$A$21:$A$33,0)),0)</f>
        <v>1.998</v>
      </c>
      <c r="P254" s="83" t="n">
        <f aca="false">N254*O254</f>
        <v>0.575424</v>
      </c>
      <c r="Q254" s="20" t="s">
        <v>666</v>
      </c>
      <c r="R254" s="84" t="s">
        <v>667</v>
      </c>
      <c r="S254" s="20" t="s">
        <v>805</v>
      </c>
      <c r="T254" s="20" t="s">
        <v>123</v>
      </c>
      <c r="U254" s="53" t="n">
        <v>0</v>
      </c>
      <c r="V254" s="76" t="s">
        <v>887</v>
      </c>
      <c r="W254" s="53" t="n">
        <v>1</v>
      </c>
    </row>
    <row r="255" customFormat="false" ht="23.85" hidden="false" customHeight="false" outlineLevel="0" collapsed="false">
      <c r="A255" s="76" t="n">
        <v>247</v>
      </c>
      <c r="B255" s="20" t="s">
        <v>507</v>
      </c>
      <c r="C255" s="20" t="s">
        <v>655</v>
      </c>
      <c r="D255" s="20" t="s">
        <v>886</v>
      </c>
      <c r="E255" s="20" t="s">
        <v>887</v>
      </c>
      <c r="F255" s="76" t="s">
        <v>669</v>
      </c>
      <c r="G255" s="20" t="s">
        <v>670</v>
      </c>
      <c r="H255" s="55" t="n">
        <v>16</v>
      </c>
      <c r="I255" s="76" t="s">
        <v>512</v>
      </c>
      <c r="J255" s="76" t="s">
        <v>164</v>
      </c>
      <c r="K255" s="82" t="n">
        <v>1</v>
      </c>
      <c r="L255" s="55" t="n">
        <v>2</v>
      </c>
      <c r="M255" s="73" t="n">
        <v>20.5</v>
      </c>
      <c r="N255" s="74" t="n">
        <f aca="false">K255*L255*M255</f>
        <v>41</v>
      </c>
      <c r="O255" s="41" t="n">
        <f aca="false">IFERROR(INDEX(Исходные!$B$21:$B$33,MATCH(H255,Исходные!$A$21:$A$33,0)),0)</f>
        <v>1.578</v>
      </c>
      <c r="P255" s="83" t="n">
        <f aca="false">N255*O255</f>
        <v>64.698</v>
      </c>
      <c r="Q255" s="20" t="s">
        <v>671</v>
      </c>
      <c r="R255" s="84" t="s">
        <v>660</v>
      </c>
      <c r="S255" s="20"/>
      <c r="T255" s="20" t="s">
        <v>123</v>
      </c>
      <c r="U255" s="53" t="n">
        <v>0</v>
      </c>
      <c r="V255" s="76" t="s">
        <v>887</v>
      </c>
      <c r="W255" s="53" t="n">
        <v>1</v>
      </c>
    </row>
    <row r="256" customFormat="false" ht="35.05" hidden="false" customHeight="false" outlineLevel="0" collapsed="false">
      <c r="A256" s="76" t="n">
        <v>248</v>
      </c>
      <c r="B256" s="20" t="s">
        <v>507</v>
      </c>
      <c r="C256" s="20" t="s">
        <v>655</v>
      </c>
      <c r="D256" s="20" t="s">
        <v>886</v>
      </c>
      <c r="E256" s="20" t="s">
        <v>887</v>
      </c>
      <c r="F256" s="76" t="s">
        <v>672</v>
      </c>
      <c r="G256" s="20" t="s">
        <v>834</v>
      </c>
      <c r="H256" s="55" t="n">
        <v>16</v>
      </c>
      <c r="I256" s="76" t="s">
        <v>512</v>
      </c>
      <c r="J256" s="76" t="s">
        <v>164</v>
      </c>
      <c r="K256" s="82" t="n">
        <v>2</v>
      </c>
      <c r="L256" s="55" t="n">
        <v>1</v>
      </c>
      <c r="M256" s="73" t="n">
        <v>0.128</v>
      </c>
      <c r="N256" s="74" t="n">
        <f aca="false">K256*L256*M256</f>
        <v>0.256</v>
      </c>
      <c r="O256" s="41" t="n">
        <f aca="false">IFERROR(INDEX(Исходные!$B$21:$B$33,MATCH(H256,Исходные!$A$21:$A$33,0)),0)</f>
        <v>1.578</v>
      </c>
      <c r="P256" s="83" t="n">
        <f aca="false">N256*O256</f>
        <v>0.403968</v>
      </c>
      <c r="Q256" s="20" t="s">
        <v>674</v>
      </c>
      <c r="R256" s="84" t="s">
        <v>667</v>
      </c>
      <c r="S256" s="20" t="s">
        <v>807</v>
      </c>
      <c r="T256" s="20" t="s">
        <v>123</v>
      </c>
      <c r="U256" s="53" t="n">
        <v>0</v>
      </c>
      <c r="V256" s="76" t="s">
        <v>887</v>
      </c>
      <c r="W256" s="53" t="n">
        <v>1</v>
      </c>
    </row>
    <row r="257" customFormat="false" ht="23.85" hidden="false" customHeight="false" outlineLevel="0" collapsed="false">
      <c r="A257" s="76" t="n">
        <v>249</v>
      </c>
      <c r="B257" s="20" t="s">
        <v>507</v>
      </c>
      <c r="C257" s="20" t="s">
        <v>655</v>
      </c>
      <c r="D257" s="20" t="s">
        <v>886</v>
      </c>
      <c r="E257" s="20" t="s">
        <v>887</v>
      </c>
      <c r="F257" s="76" t="s">
        <v>676</v>
      </c>
      <c r="G257" s="20" t="s">
        <v>889</v>
      </c>
      <c r="H257" s="55" t="n">
        <v>32</v>
      </c>
      <c r="I257" s="76" t="s">
        <v>512</v>
      </c>
      <c r="J257" s="76" t="s">
        <v>164</v>
      </c>
      <c r="K257" s="82" t="n">
        <v>1</v>
      </c>
      <c r="L257" s="55" t="n">
        <v>2</v>
      </c>
      <c r="M257" s="73" t="n">
        <v>2.4</v>
      </c>
      <c r="N257" s="74" t="n">
        <f aca="false">K257*L257*M257</f>
        <v>4.8</v>
      </c>
      <c r="O257" s="41" t="n">
        <f aca="false">IFERROR(INDEX(Исходные!$B$21:$B$33,MATCH(H257,Исходные!$A$21:$A$33,0)),0)</f>
        <v>6.313</v>
      </c>
      <c r="P257" s="83" t="n">
        <f aca="false">N257*O257</f>
        <v>30.3024</v>
      </c>
      <c r="Q257" s="20" t="s">
        <v>890</v>
      </c>
      <c r="R257" s="84" t="s">
        <v>660</v>
      </c>
      <c r="S257" s="20" t="s">
        <v>837</v>
      </c>
      <c r="T257" s="20" t="s">
        <v>123</v>
      </c>
      <c r="U257" s="53" t="n">
        <v>0</v>
      </c>
      <c r="V257" s="76" t="s">
        <v>887</v>
      </c>
      <c r="W257" s="53" t="n">
        <v>1</v>
      </c>
    </row>
    <row r="258" customFormat="false" ht="23.85" hidden="false" customHeight="false" outlineLevel="0" collapsed="false">
      <c r="A258" s="76" t="n">
        <v>250</v>
      </c>
      <c r="B258" s="20" t="s">
        <v>507</v>
      </c>
      <c r="C258" s="20" t="s">
        <v>655</v>
      </c>
      <c r="D258" s="20" t="s">
        <v>886</v>
      </c>
      <c r="E258" s="20" t="s">
        <v>887</v>
      </c>
      <c r="F258" s="76" t="s">
        <v>676</v>
      </c>
      <c r="G258" s="20" t="s">
        <v>891</v>
      </c>
      <c r="H258" s="55" t="n">
        <v>32</v>
      </c>
      <c r="I258" s="76" t="s">
        <v>512</v>
      </c>
      <c r="J258" s="76" t="s">
        <v>164</v>
      </c>
      <c r="K258" s="82" t="n">
        <v>1</v>
      </c>
      <c r="L258" s="55" t="n">
        <v>2</v>
      </c>
      <c r="M258" s="73" t="n">
        <v>3.4</v>
      </c>
      <c r="N258" s="74" t="n">
        <f aca="false">K258*L258*M258</f>
        <v>6.8</v>
      </c>
      <c r="O258" s="41" t="n">
        <f aca="false">IFERROR(INDEX(Исходные!$B$21:$B$33,MATCH(H258,Исходные!$A$21:$A$33,0)),0)</f>
        <v>6.313</v>
      </c>
      <c r="P258" s="83" t="n">
        <f aca="false">N258*O258</f>
        <v>42.9284</v>
      </c>
      <c r="Q258" s="20" t="s">
        <v>890</v>
      </c>
      <c r="R258" s="84" t="s">
        <v>660</v>
      </c>
      <c r="S258" s="20" t="s">
        <v>892</v>
      </c>
      <c r="T258" s="20" t="s">
        <v>123</v>
      </c>
      <c r="U258" s="53" t="n">
        <v>0</v>
      </c>
      <c r="V258" s="76" t="s">
        <v>887</v>
      </c>
      <c r="W258" s="53" t="n">
        <v>1</v>
      </c>
    </row>
    <row r="259" customFormat="false" ht="23.85" hidden="false" customHeight="false" outlineLevel="0" collapsed="false">
      <c r="A259" s="76" t="n">
        <v>251</v>
      </c>
      <c r="B259" s="20" t="s">
        <v>507</v>
      </c>
      <c r="C259" s="20" t="s">
        <v>655</v>
      </c>
      <c r="D259" s="20" t="s">
        <v>886</v>
      </c>
      <c r="E259" s="20" t="s">
        <v>887</v>
      </c>
      <c r="F259" s="76" t="s">
        <v>676</v>
      </c>
      <c r="G259" s="20" t="s">
        <v>893</v>
      </c>
      <c r="H259" s="55" t="n">
        <v>28</v>
      </c>
      <c r="I259" s="76" t="s">
        <v>512</v>
      </c>
      <c r="J259" s="76" t="s">
        <v>164</v>
      </c>
      <c r="K259" s="82" t="n">
        <v>1</v>
      </c>
      <c r="L259" s="55" t="n">
        <v>2</v>
      </c>
      <c r="M259" s="73" t="n">
        <v>3.6</v>
      </c>
      <c r="N259" s="74" t="n">
        <f aca="false">K259*L259*M259</f>
        <v>7.2</v>
      </c>
      <c r="O259" s="41" t="n">
        <f aca="false">IFERROR(INDEX(Исходные!$B$21:$B$33,MATCH(H259,Исходные!$A$21:$A$33,0)),0)</f>
        <v>4.834</v>
      </c>
      <c r="P259" s="83" t="n">
        <f aca="false">N259*O259</f>
        <v>34.8048</v>
      </c>
      <c r="Q259" s="20" t="s">
        <v>894</v>
      </c>
      <c r="R259" s="84" t="s">
        <v>660</v>
      </c>
      <c r="S259" s="20" t="s">
        <v>845</v>
      </c>
      <c r="T259" s="20" t="s">
        <v>123</v>
      </c>
      <c r="U259" s="53" t="n">
        <v>0</v>
      </c>
      <c r="V259" s="76" t="s">
        <v>887</v>
      </c>
      <c r="W259" s="53" t="n">
        <v>1</v>
      </c>
    </row>
    <row r="260" customFormat="false" ht="23.85" hidden="false" customHeight="false" outlineLevel="0" collapsed="false">
      <c r="A260" s="76" t="n">
        <v>252</v>
      </c>
      <c r="B260" s="20" t="s">
        <v>507</v>
      </c>
      <c r="C260" s="20" t="s">
        <v>655</v>
      </c>
      <c r="D260" s="20" t="s">
        <v>886</v>
      </c>
      <c r="E260" s="20" t="s">
        <v>887</v>
      </c>
      <c r="F260" s="76" t="s">
        <v>676</v>
      </c>
      <c r="G260" s="20" t="s">
        <v>846</v>
      </c>
      <c r="H260" s="55" t="n">
        <v>32</v>
      </c>
      <c r="I260" s="76" t="s">
        <v>512</v>
      </c>
      <c r="J260" s="76" t="s">
        <v>164</v>
      </c>
      <c r="K260" s="82" t="n">
        <v>1</v>
      </c>
      <c r="L260" s="55" t="n">
        <v>2</v>
      </c>
      <c r="M260" s="73" t="n">
        <v>2.85</v>
      </c>
      <c r="N260" s="74" t="n">
        <f aca="false">K260*L260*M260</f>
        <v>5.7</v>
      </c>
      <c r="O260" s="41" t="n">
        <f aca="false">IFERROR(INDEX(Исходные!$B$21:$B$33,MATCH(H260,Исходные!$A$21:$A$33,0)),0)</f>
        <v>6.313</v>
      </c>
      <c r="P260" s="83" t="n">
        <f aca="false">N260*O260</f>
        <v>35.9841</v>
      </c>
      <c r="Q260" s="20" t="s">
        <v>890</v>
      </c>
      <c r="R260" s="84" t="s">
        <v>660</v>
      </c>
      <c r="S260" s="20" t="s">
        <v>847</v>
      </c>
      <c r="T260" s="20" t="s">
        <v>123</v>
      </c>
      <c r="U260" s="53" t="n">
        <v>0</v>
      </c>
      <c r="V260" s="76" t="s">
        <v>887</v>
      </c>
      <c r="W260" s="53" t="n">
        <v>1</v>
      </c>
    </row>
    <row r="261" customFormat="false" ht="23.85" hidden="false" customHeight="false" outlineLevel="0" collapsed="false">
      <c r="A261" s="76" t="n">
        <v>253</v>
      </c>
      <c r="B261" s="20" t="s">
        <v>507</v>
      </c>
      <c r="C261" s="20" t="s">
        <v>655</v>
      </c>
      <c r="D261" s="20" t="s">
        <v>886</v>
      </c>
      <c r="E261" s="20" t="s">
        <v>887</v>
      </c>
      <c r="F261" s="76" t="s">
        <v>676</v>
      </c>
      <c r="G261" s="20" t="s">
        <v>895</v>
      </c>
      <c r="H261" s="55" t="n">
        <v>25</v>
      </c>
      <c r="I261" s="76" t="s">
        <v>512</v>
      </c>
      <c r="J261" s="76" t="s">
        <v>164</v>
      </c>
      <c r="K261" s="82" t="n">
        <v>1</v>
      </c>
      <c r="L261" s="55" t="n">
        <v>2</v>
      </c>
      <c r="M261" s="73" t="n">
        <v>6.2</v>
      </c>
      <c r="N261" s="74" t="n">
        <f aca="false">K261*L261*M261</f>
        <v>12.4</v>
      </c>
      <c r="O261" s="41" t="n">
        <f aca="false">IFERROR(INDEX(Исходные!$B$21:$B$33,MATCH(H261,Исходные!$A$21:$A$33,0)),0)</f>
        <v>3.853</v>
      </c>
      <c r="P261" s="83" t="n">
        <f aca="false">N261*O261</f>
        <v>47.7772</v>
      </c>
      <c r="Q261" s="20" t="s">
        <v>896</v>
      </c>
      <c r="R261" s="84" t="s">
        <v>660</v>
      </c>
      <c r="S261" s="20" t="s">
        <v>897</v>
      </c>
      <c r="T261" s="20" t="s">
        <v>123</v>
      </c>
      <c r="U261" s="53" t="n">
        <v>0</v>
      </c>
      <c r="V261" s="76" t="s">
        <v>887</v>
      </c>
      <c r="W261" s="53" t="n">
        <v>1</v>
      </c>
    </row>
    <row r="262" customFormat="false" ht="23.85" hidden="false" customHeight="false" outlineLevel="0" collapsed="false">
      <c r="A262" s="76" t="n">
        <v>254</v>
      </c>
      <c r="B262" s="20" t="s">
        <v>507</v>
      </c>
      <c r="C262" s="20" t="s">
        <v>655</v>
      </c>
      <c r="D262" s="20" t="s">
        <v>886</v>
      </c>
      <c r="E262" s="20" t="s">
        <v>887</v>
      </c>
      <c r="F262" s="76" t="s">
        <v>676</v>
      </c>
      <c r="G262" s="20" t="s">
        <v>898</v>
      </c>
      <c r="H262" s="55" t="n">
        <v>20</v>
      </c>
      <c r="I262" s="76" t="s">
        <v>512</v>
      </c>
      <c r="J262" s="76" t="s">
        <v>164</v>
      </c>
      <c r="K262" s="82" t="n">
        <v>1</v>
      </c>
      <c r="L262" s="55" t="n">
        <v>2</v>
      </c>
      <c r="M262" s="73" t="n">
        <v>3</v>
      </c>
      <c r="N262" s="74" t="n">
        <f aca="false">K262*L262*M262</f>
        <v>6</v>
      </c>
      <c r="O262" s="41" t="n">
        <f aca="false">IFERROR(INDEX(Исходные!$B$21:$B$33,MATCH(H262,Исходные!$A$21:$A$33,0)),0)</f>
        <v>2.466</v>
      </c>
      <c r="P262" s="83" t="n">
        <f aca="false">N262*O262</f>
        <v>14.796</v>
      </c>
      <c r="Q262" s="20" t="s">
        <v>899</v>
      </c>
      <c r="R262" s="84" t="s">
        <v>660</v>
      </c>
      <c r="S262" s="20" t="s">
        <v>822</v>
      </c>
      <c r="T262" s="20" t="s">
        <v>123</v>
      </c>
      <c r="U262" s="53" t="n">
        <v>0</v>
      </c>
      <c r="V262" s="76" t="s">
        <v>887</v>
      </c>
      <c r="W262" s="53" t="n">
        <v>1</v>
      </c>
    </row>
    <row r="263" customFormat="false" ht="23.85" hidden="false" customHeight="false" outlineLevel="0" collapsed="false">
      <c r="A263" s="76" t="n">
        <v>255</v>
      </c>
      <c r="B263" s="20" t="s">
        <v>507</v>
      </c>
      <c r="C263" s="20" t="s">
        <v>655</v>
      </c>
      <c r="D263" s="20" t="s">
        <v>886</v>
      </c>
      <c r="E263" s="20" t="s">
        <v>887</v>
      </c>
      <c r="F263" s="76" t="s">
        <v>676</v>
      </c>
      <c r="G263" s="20" t="s">
        <v>900</v>
      </c>
      <c r="H263" s="55" t="n">
        <v>16</v>
      </c>
      <c r="I263" s="76" t="s">
        <v>512</v>
      </c>
      <c r="J263" s="76" t="s">
        <v>164</v>
      </c>
      <c r="K263" s="82" t="n">
        <v>1</v>
      </c>
      <c r="L263" s="55" t="n">
        <v>2</v>
      </c>
      <c r="M263" s="73" t="n">
        <v>2.3</v>
      </c>
      <c r="N263" s="74" t="n">
        <f aca="false">K263*L263*M263</f>
        <v>4.6</v>
      </c>
      <c r="O263" s="41" t="n">
        <f aca="false">IFERROR(INDEX(Исходные!$B$21:$B$33,MATCH(H263,Исходные!$A$21:$A$33,0)),0)</f>
        <v>1.578</v>
      </c>
      <c r="P263" s="83" t="n">
        <f aca="false">N263*O263</f>
        <v>7.2588</v>
      </c>
      <c r="Q263" s="20" t="s">
        <v>901</v>
      </c>
      <c r="R263" s="84" t="s">
        <v>660</v>
      </c>
      <c r="S263" s="20" t="s">
        <v>902</v>
      </c>
      <c r="T263" s="20" t="s">
        <v>123</v>
      </c>
      <c r="U263" s="53" t="n">
        <v>0</v>
      </c>
      <c r="V263" s="76" t="s">
        <v>887</v>
      </c>
      <c r="W263" s="53" t="n">
        <v>1</v>
      </c>
    </row>
    <row r="264" customFormat="false" ht="23.85" hidden="false" customHeight="false" outlineLevel="0" collapsed="false">
      <c r="A264" s="76" t="n">
        <v>256</v>
      </c>
      <c r="B264" s="20" t="s">
        <v>507</v>
      </c>
      <c r="C264" s="20" t="s">
        <v>655</v>
      </c>
      <c r="D264" s="20" t="s">
        <v>886</v>
      </c>
      <c r="E264" s="20" t="s">
        <v>887</v>
      </c>
      <c r="F264" s="76" t="s">
        <v>676</v>
      </c>
      <c r="G264" s="20" t="s">
        <v>903</v>
      </c>
      <c r="H264" s="55" t="n">
        <v>12</v>
      </c>
      <c r="I264" s="76" t="s">
        <v>512</v>
      </c>
      <c r="J264" s="76" t="s">
        <v>164</v>
      </c>
      <c r="K264" s="82" t="n">
        <v>1</v>
      </c>
      <c r="L264" s="55" t="n">
        <v>4</v>
      </c>
      <c r="M264" s="73" t="n">
        <v>2.4</v>
      </c>
      <c r="N264" s="74" t="n">
        <f aca="false">K264*L264*M264</f>
        <v>9.6</v>
      </c>
      <c r="O264" s="41" t="n">
        <f aca="false">IFERROR(INDEX(Исходные!$B$21:$B$33,MATCH(H264,Исходные!$A$21:$A$33,0)),0)</f>
        <v>0.888</v>
      </c>
      <c r="P264" s="83" t="n">
        <f aca="false">N264*O264</f>
        <v>8.5248</v>
      </c>
      <c r="Q264" s="20" t="s">
        <v>904</v>
      </c>
      <c r="R264" s="84" t="s">
        <v>660</v>
      </c>
      <c r="S264" s="20" t="s">
        <v>837</v>
      </c>
      <c r="T264" s="20" t="s">
        <v>123</v>
      </c>
      <c r="U264" s="53" t="n">
        <v>0</v>
      </c>
      <c r="V264" s="76" t="s">
        <v>887</v>
      </c>
      <c r="W264" s="53" t="n">
        <v>1</v>
      </c>
    </row>
    <row r="265" customFormat="false" ht="23.85" hidden="false" customHeight="false" outlineLevel="0" collapsed="false">
      <c r="A265" s="76" t="n">
        <v>257</v>
      </c>
      <c r="B265" s="20" t="s">
        <v>507</v>
      </c>
      <c r="C265" s="20" t="s">
        <v>655</v>
      </c>
      <c r="D265" s="20" t="s">
        <v>886</v>
      </c>
      <c r="E265" s="20" t="s">
        <v>887</v>
      </c>
      <c r="F265" s="76" t="s">
        <v>676</v>
      </c>
      <c r="G265" s="20" t="s">
        <v>905</v>
      </c>
      <c r="H265" s="55" t="n">
        <v>12</v>
      </c>
      <c r="I265" s="76" t="s">
        <v>512</v>
      </c>
      <c r="J265" s="76" t="s">
        <v>164</v>
      </c>
      <c r="K265" s="82" t="n">
        <v>1</v>
      </c>
      <c r="L265" s="55" t="n">
        <v>4</v>
      </c>
      <c r="M265" s="73" t="n">
        <v>3.4</v>
      </c>
      <c r="N265" s="74" t="n">
        <f aca="false">K265*L265*M265</f>
        <v>13.6</v>
      </c>
      <c r="O265" s="41" t="n">
        <f aca="false">IFERROR(INDEX(Исходные!$B$21:$B$33,MATCH(H265,Исходные!$A$21:$A$33,0)),0)</f>
        <v>0.888</v>
      </c>
      <c r="P265" s="83" t="n">
        <f aca="false">N265*O265</f>
        <v>12.0768</v>
      </c>
      <c r="Q265" s="20" t="s">
        <v>904</v>
      </c>
      <c r="R265" s="84" t="s">
        <v>660</v>
      </c>
      <c r="S265" s="20" t="s">
        <v>892</v>
      </c>
      <c r="T265" s="20" t="s">
        <v>123</v>
      </c>
      <c r="U265" s="53" t="n">
        <v>0</v>
      </c>
      <c r="V265" s="76" t="s">
        <v>887</v>
      </c>
      <c r="W265" s="53" t="n">
        <v>1</v>
      </c>
    </row>
    <row r="266" customFormat="false" ht="23.85" hidden="false" customHeight="false" outlineLevel="0" collapsed="false">
      <c r="A266" s="76" t="n">
        <v>258</v>
      </c>
      <c r="B266" s="20" t="s">
        <v>507</v>
      </c>
      <c r="C266" s="20" t="s">
        <v>655</v>
      </c>
      <c r="D266" s="20" t="s">
        <v>886</v>
      </c>
      <c r="E266" s="20" t="s">
        <v>887</v>
      </c>
      <c r="F266" s="76" t="s">
        <v>676</v>
      </c>
      <c r="G266" s="20" t="s">
        <v>906</v>
      </c>
      <c r="H266" s="55" t="n">
        <v>12</v>
      </c>
      <c r="I266" s="76" t="s">
        <v>512</v>
      </c>
      <c r="J266" s="76" t="s">
        <v>164</v>
      </c>
      <c r="K266" s="82" t="n">
        <v>1</v>
      </c>
      <c r="L266" s="55" t="n">
        <v>4</v>
      </c>
      <c r="M266" s="73" t="n">
        <v>3.6</v>
      </c>
      <c r="N266" s="74" t="n">
        <f aca="false">K266*L266*M266</f>
        <v>14.4</v>
      </c>
      <c r="O266" s="41" t="n">
        <f aca="false">IFERROR(INDEX(Исходные!$B$21:$B$33,MATCH(H266,Исходные!$A$21:$A$33,0)),0)</f>
        <v>0.888</v>
      </c>
      <c r="P266" s="83" t="n">
        <f aca="false">N266*O266</f>
        <v>12.7872</v>
      </c>
      <c r="Q266" s="20" t="s">
        <v>904</v>
      </c>
      <c r="R266" s="84" t="s">
        <v>660</v>
      </c>
      <c r="S266" s="20" t="s">
        <v>845</v>
      </c>
      <c r="T266" s="20" t="s">
        <v>123</v>
      </c>
      <c r="U266" s="53" t="n">
        <v>0</v>
      </c>
      <c r="V266" s="76" t="s">
        <v>887</v>
      </c>
      <c r="W266" s="53" t="n">
        <v>1</v>
      </c>
    </row>
    <row r="267" customFormat="false" ht="23.85" hidden="false" customHeight="false" outlineLevel="0" collapsed="false">
      <c r="A267" s="76" t="n">
        <v>259</v>
      </c>
      <c r="B267" s="20" t="s">
        <v>507</v>
      </c>
      <c r="C267" s="20" t="s">
        <v>655</v>
      </c>
      <c r="D267" s="20" t="s">
        <v>886</v>
      </c>
      <c r="E267" s="20" t="s">
        <v>887</v>
      </c>
      <c r="F267" s="76" t="s">
        <v>676</v>
      </c>
      <c r="G267" s="20" t="s">
        <v>907</v>
      </c>
      <c r="H267" s="55" t="n">
        <v>12</v>
      </c>
      <c r="I267" s="76" t="s">
        <v>512</v>
      </c>
      <c r="J267" s="76" t="s">
        <v>164</v>
      </c>
      <c r="K267" s="82" t="n">
        <v>1</v>
      </c>
      <c r="L267" s="55" t="n">
        <v>4</v>
      </c>
      <c r="M267" s="73" t="n">
        <v>2.3</v>
      </c>
      <c r="N267" s="74" t="n">
        <f aca="false">K267*L267*M267</f>
        <v>9.2</v>
      </c>
      <c r="O267" s="41" t="n">
        <f aca="false">IFERROR(INDEX(Исходные!$B$21:$B$33,MATCH(H267,Исходные!$A$21:$A$33,0)),0)</f>
        <v>0.888</v>
      </c>
      <c r="P267" s="83" t="n">
        <f aca="false">N267*O267</f>
        <v>8.1696</v>
      </c>
      <c r="Q267" s="20" t="s">
        <v>904</v>
      </c>
      <c r="R267" s="84" t="s">
        <v>660</v>
      </c>
      <c r="S267" s="20" t="s">
        <v>902</v>
      </c>
      <c r="T267" s="20" t="s">
        <v>123</v>
      </c>
      <c r="U267" s="53" t="n">
        <v>0</v>
      </c>
      <c r="V267" s="76" t="s">
        <v>887</v>
      </c>
      <c r="W267" s="53" t="n">
        <v>1</v>
      </c>
    </row>
    <row r="268" customFormat="false" ht="23.85" hidden="false" customHeight="false" outlineLevel="0" collapsed="false">
      <c r="A268" s="76" t="n">
        <v>260</v>
      </c>
      <c r="B268" s="20" t="s">
        <v>507</v>
      </c>
      <c r="C268" s="20" t="s">
        <v>655</v>
      </c>
      <c r="D268" s="20" t="s">
        <v>886</v>
      </c>
      <c r="E268" s="20" t="s">
        <v>887</v>
      </c>
      <c r="F268" s="76" t="s">
        <v>696</v>
      </c>
      <c r="G268" s="20" t="s">
        <v>697</v>
      </c>
      <c r="H268" s="55" t="n">
        <v>8</v>
      </c>
      <c r="I268" s="76" t="s">
        <v>546</v>
      </c>
      <c r="J268" s="76" t="s">
        <v>698</v>
      </c>
      <c r="K268" s="82" t="n">
        <v>1</v>
      </c>
      <c r="L268" s="55" t="n">
        <v>51</v>
      </c>
      <c r="M268" s="73" t="n">
        <v>2.06</v>
      </c>
      <c r="N268" s="74" t="n">
        <f aca="false">K268*L268*M268</f>
        <v>105.06</v>
      </c>
      <c r="O268" s="41" t="n">
        <f aca="false">IFERROR(INDEX(Исходные!$B$21:$B$33,MATCH(H268,Исходные!$A$21:$A$33,0)),0)</f>
        <v>0.395</v>
      </c>
      <c r="P268" s="83" t="n">
        <f aca="false">N268*O268</f>
        <v>41.4987</v>
      </c>
      <c r="Q268" s="20" t="s">
        <v>699</v>
      </c>
      <c r="R268" s="84" t="s">
        <v>514</v>
      </c>
      <c r="S268" s="20" t="s">
        <v>860</v>
      </c>
      <c r="T268" s="20" t="s">
        <v>123</v>
      </c>
      <c r="U268" s="53" t="n">
        <v>0</v>
      </c>
      <c r="V268" s="76" t="s">
        <v>887</v>
      </c>
      <c r="W268" s="53" t="n">
        <v>1</v>
      </c>
    </row>
    <row r="269" customFormat="false" ht="23.85" hidden="false" customHeight="false" outlineLevel="0" collapsed="false">
      <c r="A269" s="76" t="n">
        <v>261</v>
      </c>
      <c r="B269" s="20" t="s">
        <v>507</v>
      </c>
      <c r="C269" s="20" t="s">
        <v>655</v>
      </c>
      <c r="D269" s="20" t="s">
        <v>886</v>
      </c>
      <c r="E269" s="20" t="s">
        <v>887</v>
      </c>
      <c r="F269" s="76" t="s">
        <v>561</v>
      </c>
      <c r="G269" s="20" t="s">
        <v>701</v>
      </c>
      <c r="H269" s="55" t="n">
        <v>10</v>
      </c>
      <c r="I269" s="76" t="s">
        <v>546</v>
      </c>
      <c r="J269" s="76" t="n">
        <v>100</v>
      </c>
      <c r="K269" s="82" t="n">
        <v>1</v>
      </c>
      <c r="L269" s="55" t="n">
        <v>86</v>
      </c>
      <c r="M269" s="73" t="n">
        <v>2.06</v>
      </c>
      <c r="N269" s="74" t="n">
        <f aca="false">K269*L269*M269</f>
        <v>177.16</v>
      </c>
      <c r="O269" s="41" t="n">
        <f aca="false">IFERROR(INDEX(Исходные!$B$21:$B$33,MATCH(H269,Исходные!$A$21:$A$33,0)),0)</f>
        <v>0.617</v>
      </c>
      <c r="P269" s="83" t="n">
        <f aca="false">N269*O269</f>
        <v>109.30772</v>
      </c>
      <c r="Q269" s="20" t="s">
        <v>908</v>
      </c>
      <c r="R269" s="84" t="s">
        <v>514</v>
      </c>
      <c r="S269" s="20" t="s">
        <v>909</v>
      </c>
      <c r="T269" s="20" t="s">
        <v>123</v>
      </c>
      <c r="U269" s="53" t="n">
        <v>0</v>
      </c>
      <c r="V269" s="76" t="s">
        <v>887</v>
      </c>
      <c r="W269" s="53" t="n">
        <v>1</v>
      </c>
    </row>
    <row r="270" customFormat="false" ht="23.85" hidden="false" customHeight="false" outlineLevel="0" collapsed="false">
      <c r="A270" s="76" t="n">
        <v>262</v>
      </c>
      <c r="B270" s="20" t="s">
        <v>507</v>
      </c>
      <c r="C270" s="20" t="s">
        <v>655</v>
      </c>
      <c r="D270" s="20" t="s">
        <v>886</v>
      </c>
      <c r="E270" s="20" t="s">
        <v>887</v>
      </c>
      <c r="F270" s="76" t="s">
        <v>603</v>
      </c>
      <c r="G270" s="20" t="s">
        <v>704</v>
      </c>
      <c r="H270" s="55" t="n">
        <v>10</v>
      </c>
      <c r="I270" s="76" t="s">
        <v>546</v>
      </c>
      <c r="J270" s="76" t="n">
        <v>100</v>
      </c>
      <c r="K270" s="82" t="n">
        <v>1</v>
      </c>
      <c r="L270" s="55" t="n">
        <v>26</v>
      </c>
      <c r="M270" s="73" t="n">
        <v>1.6</v>
      </c>
      <c r="N270" s="74" t="n">
        <f aca="false">K270*L270*M270</f>
        <v>41.6</v>
      </c>
      <c r="O270" s="41" t="n">
        <f aca="false">IFERROR(INDEX(Исходные!$B$21:$B$33,MATCH(H270,Исходные!$A$21:$A$33,0)),0)</f>
        <v>0.617</v>
      </c>
      <c r="P270" s="83" t="n">
        <f aca="false">N270*O270</f>
        <v>25.6672</v>
      </c>
      <c r="Q270" s="20" t="s">
        <v>910</v>
      </c>
      <c r="R270" s="84" t="s">
        <v>514</v>
      </c>
      <c r="S270" s="20"/>
      <c r="T270" s="20" t="s">
        <v>123</v>
      </c>
      <c r="U270" s="53" t="n">
        <v>0</v>
      </c>
      <c r="V270" s="76" t="s">
        <v>887</v>
      </c>
      <c r="W270" s="53" t="n">
        <v>1</v>
      </c>
    </row>
    <row r="271" customFormat="false" ht="23.85" hidden="false" customHeight="false" outlineLevel="0" collapsed="false">
      <c r="A271" s="76" t="n">
        <v>263</v>
      </c>
      <c r="B271" s="20" t="s">
        <v>507</v>
      </c>
      <c r="C271" s="20" t="s">
        <v>655</v>
      </c>
      <c r="D271" s="20" t="s">
        <v>886</v>
      </c>
      <c r="E271" s="20" t="s">
        <v>887</v>
      </c>
      <c r="F271" s="76" t="s">
        <v>706</v>
      </c>
      <c r="G271" s="20" t="s">
        <v>707</v>
      </c>
      <c r="H271" s="55" t="n">
        <v>8</v>
      </c>
      <c r="I271" s="76" t="s">
        <v>546</v>
      </c>
      <c r="J271" s="76" t="s">
        <v>708</v>
      </c>
      <c r="K271" s="82" t="n">
        <v>1</v>
      </c>
      <c r="L271" s="55" t="n">
        <v>71</v>
      </c>
      <c r="M271" s="73" t="n">
        <v>0.75</v>
      </c>
      <c r="N271" s="74" t="n">
        <f aca="false">K271*L271*M271</f>
        <v>53.25</v>
      </c>
      <c r="O271" s="41" t="n">
        <f aca="false">IFERROR(INDEX(Исходные!$B$21:$B$33,MATCH(H271,Исходные!$A$21:$A$33,0)),0)</f>
        <v>0.395</v>
      </c>
      <c r="P271" s="83" t="n">
        <f aca="false">N271*O271</f>
        <v>21.03375</v>
      </c>
      <c r="Q271" s="20" t="s">
        <v>709</v>
      </c>
      <c r="R271" s="84" t="s">
        <v>514</v>
      </c>
      <c r="S271" s="20"/>
      <c r="T271" s="20" t="s">
        <v>123</v>
      </c>
      <c r="U271" s="53" t="n">
        <v>0</v>
      </c>
      <c r="V271" s="76" t="s">
        <v>887</v>
      </c>
      <c r="W271" s="53" t="n">
        <v>1</v>
      </c>
    </row>
    <row r="272" customFormat="false" ht="23.85" hidden="false" customHeight="false" outlineLevel="0" collapsed="false">
      <c r="A272" s="76" t="n">
        <v>264</v>
      </c>
      <c r="B272" s="20" t="s">
        <v>507</v>
      </c>
      <c r="C272" s="20" t="s">
        <v>655</v>
      </c>
      <c r="D272" s="20" t="s">
        <v>886</v>
      </c>
      <c r="E272" s="20" t="s">
        <v>887</v>
      </c>
      <c r="F272" s="76" t="s">
        <v>710</v>
      </c>
      <c r="G272" s="20" t="s">
        <v>711</v>
      </c>
      <c r="H272" s="55" t="n">
        <v>8</v>
      </c>
      <c r="I272" s="76" t="s">
        <v>546</v>
      </c>
      <c r="J272" s="76" t="n">
        <v>300</v>
      </c>
      <c r="K272" s="82" t="n">
        <v>1</v>
      </c>
      <c r="L272" s="55" t="n">
        <v>54</v>
      </c>
      <c r="M272" s="73" t="n">
        <v>0.58</v>
      </c>
      <c r="N272" s="74" t="n">
        <f aca="false">K272*L272*M272</f>
        <v>31.32</v>
      </c>
      <c r="O272" s="41" t="n">
        <f aca="false">IFERROR(INDEX(Исходные!$B$21:$B$33,MATCH(H272,Исходные!$A$21:$A$33,0)),0)</f>
        <v>0.395</v>
      </c>
      <c r="P272" s="83" t="n">
        <f aca="false">N272*O272</f>
        <v>12.3714</v>
      </c>
      <c r="Q272" s="20" t="s">
        <v>712</v>
      </c>
      <c r="R272" s="85" t="s">
        <v>638</v>
      </c>
      <c r="S272" s="20" t="s">
        <v>713</v>
      </c>
      <c r="T272" s="20" t="s">
        <v>123</v>
      </c>
      <c r="U272" s="53" t="n">
        <v>1</v>
      </c>
      <c r="V272" s="76" t="s">
        <v>887</v>
      </c>
      <c r="W272" s="53" t="n">
        <v>1</v>
      </c>
    </row>
    <row r="273" customFormat="false" ht="15" hidden="false" customHeight="true" outlineLevel="0" collapsed="false">
      <c r="A273" s="81" t="s">
        <v>911</v>
      </c>
      <c r="B273" s="81"/>
      <c r="C273" s="81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</row>
    <row r="274" customFormat="false" ht="23.85" hidden="false" customHeight="false" outlineLevel="0" collapsed="false">
      <c r="A274" s="76" t="n">
        <v>265</v>
      </c>
      <c r="B274" s="20" t="s">
        <v>507</v>
      </c>
      <c r="C274" s="20" t="s">
        <v>912</v>
      </c>
      <c r="D274" s="20" t="s">
        <v>913</v>
      </c>
      <c r="E274" s="20" t="s">
        <v>914</v>
      </c>
      <c r="F274" s="76" t="s">
        <v>915</v>
      </c>
      <c r="G274" s="20" t="s">
        <v>916</v>
      </c>
      <c r="H274" s="55" t="n">
        <v>10</v>
      </c>
      <c r="I274" s="76" t="s">
        <v>512</v>
      </c>
      <c r="J274" s="76" t="n">
        <v>200</v>
      </c>
      <c r="K274" s="82" t="n">
        <v>1</v>
      </c>
      <c r="L274" s="55" t="n">
        <v>26</v>
      </c>
      <c r="M274" s="73" t="n">
        <v>27.35</v>
      </c>
      <c r="N274" s="74" t="n">
        <f aca="false">K274*L274*M274</f>
        <v>711.1</v>
      </c>
      <c r="O274" s="41" t="n">
        <f aca="false">IFERROR(INDEX(Исходные!$B$21:$B$33,MATCH(H274,Исходные!$A$21:$A$33,0)),0)</f>
        <v>0.617</v>
      </c>
      <c r="P274" s="83" t="n">
        <f aca="false">N274*O274</f>
        <v>438.7487</v>
      </c>
      <c r="Q274" s="20" t="s">
        <v>917</v>
      </c>
      <c r="R274" s="84" t="s">
        <v>660</v>
      </c>
      <c r="S274" s="20"/>
      <c r="T274" s="20" t="s">
        <v>123</v>
      </c>
      <c r="U274" s="53" t="n">
        <v>0</v>
      </c>
      <c r="V274" s="76" t="s">
        <v>918</v>
      </c>
      <c r="W274" s="53" t="n">
        <v>1</v>
      </c>
    </row>
    <row r="275" customFormat="false" ht="35.05" hidden="false" customHeight="false" outlineLevel="0" collapsed="false">
      <c r="A275" s="76" t="n">
        <v>266</v>
      </c>
      <c r="B275" s="20" t="s">
        <v>507</v>
      </c>
      <c r="C275" s="20" t="s">
        <v>912</v>
      </c>
      <c r="D275" s="20" t="s">
        <v>913</v>
      </c>
      <c r="E275" s="20" t="s">
        <v>914</v>
      </c>
      <c r="F275" s="76" t="s">
        <v>919</v>
      </c>
      <c r="G275" s="20" t="s">
        <v>920</v>
      </c>
      <c r="H275" s="55" t="n">
        <v>10</v>
      </c>
      <c r="I275" s="76" t="s">
        <v>512</v>
      </c>
      <c r="J275" s="76" t="s">
        <v>164</v>
      </c>
      <c r="K275" s="82" t="n">
        <v>26</v>
      </c>
      <c r="L275" s="55" t="n">
        <v>2</v>
      </c>
      <c r="M275" s="73" t="n">
        <v>0.4</v>
      </c>
      <c r="N275" s="74" t="n">
        <f aca="false">K275*L275*M275</f>
        <v>20.8</v>
      </c>
      <c r="O275" s="41" t="n">
        <f aca="false">IFERROR(INDEX(Исходные!$B$21:$B$33,MATCH(H275,Исходные!$A$21:$A$33,0)),0)</f>
        <v>0.617</v>
      </c>
      <c r="P275" s="83" t="n">
        <f aca="false">N275*O275</f>
        <v>12.8336</v>
      </c>
      <c r="Q275" s="20" t="s">
        <v>921</v>
      </c>
      <c r="R275" s="84" t="s">
        <v>667</v>
      </c>
      <c r="S275" s="20" t="s">
        <v>922</v>
      </c>
      <c r="T275" s="20" t="s">
        <v>123</v>
      </c>
      <c r="U275" s="53" t="n">
        <v>0</v>
      </c>
      <c r="V275" s="76" t="s">
        <v>918</v>
      </c>
      <c r="W275" s="53" t="n">
        <v>1</v>
      </c>
    </row>
    <row r="276" customFormat="false" ht="23.85" hidden="false" customHeight="false" outlineLevel="0" collapsed="false">
      <c r="A276" s="76" t="n">
        <v>267</v>
      </c>
      <c r="B276" s="20" t="s">
        <v>507</v>
      </c>
      <c r="C276" s="20" t="s">
        <v>912</v>
      </c>
      <c r="D276" s="20" t="s">
        <v>913</v>
      </c>
      <c r="E276" s="20" t="s">
        <v>914</v>
      </c>
      <c r="F276" s="76" t="s">
        <v>915</v>
      </c>
      <c r="G276" s="20" t="s">
        <v>916</v>
      </c>
      <c r="H276" s="55" t="n">
        <v>10</v>
      </c>
      <c r="I276" s="76" t="s">
        <v>512</v>
      </c>
      <c r="J276" s="76" t="n">
        <v>200</v>
      </c>
      <c r="K276" s="82" t="n">
        <v>1</v>
      </c>
      <c r="L276" s="55" t="n">
        <v>49</v>
      </c>
      <c r="M276" s="73" t="n">
        <v>25.62</v>
      </c>
      <c r="N276" s="74" t="n">
        <f aca="false">K276*L276*M276</f>
        <v>1255.38</v>
      </c>
      <c r="O276" s="41" t="n">
        <f aca="false">IFERROR(INDEX(Исходные!$B$21:$B$33,MATCH(H276,Исходные!$A$21:$A$33,0)),0)</f>
        <v>0.617</v>
      </c>
      <c r="P276" s="83" t="n">
        <f aca="false">N276*O276</f>
        <v>774.56946</v>
      </c>
      <c r="Q276" s="20" t="s">
        <v>917</v>
      </c>
      <c r="R276" s="84" t="s">
        <v>660</v>
      </c>
      <c r="S276" s="20"/>
      <c r="T276" s="20" t="s">
        <v>123</v>
      </c>
      <c r="U276" s="53" t="n">
        <v>0</v>
      </c>
      <c r="V276" s="76" t="s">
        <v>918</v>
      </c>
      <c r="W276" s="53" t="n">
        <v>1</v>
      </c>
    </row>
    <row r="277" customFormat="false" ht="35.05" hidden="false" customHeight="false" outlineLevel="0" collapsed="false">
      <c r="A277" s="76" t="n">
        <v>268</v>
      </c>
      <c r="B277" s="20" t="s">
        <v>507</v>
      </c>
      <c r="C277" s="20" t="s">
        <v>912</v>
      </c>
      <c r="D277" s="20" t="s">
        <v>913</v>
      </c>
      <c r="E277" s="20" t="s">
        <v>914</v>
      </c>
      <c r="F277" s="76" t="s">
        <v>919</v>
      </c>
      <c r="G277" s="20" t="s">
        <v>923</v>
      </c>
      <c r="H277" s="55" t="n">
        <v>10</v>
      </c>
      <c r="I277" s="76" t="s">
        <v>512</v>
      </c>
      <c r="J277" s="76" t="s">
        <v>164</v>
      </c>
      <c r="K277" s="82" t="n">
        <v>49</v>
      </c>
      <c r="L277" s="55" t="n">
        <v>2</v>
      </c>
      <c r="M277" s="73" t="n">
        <v>0.4</v>
      </c>
      <c r="N277" s="74" t="n">
        <f aca="false">K277*L277*M277</f>
        <v>39.2</v>
      </c>
      <c r="O277" s="41" t="n">
        <f aca="false">IFERROR(INDEX(Исходные!$B$21:$B$33,MATCH(H277,Исходные!$A$21:$A$33,0)),0)</f>
        <v>0.617</v>
      </c>
      <c r="P277" s="83" t="n">
        <f aca="false">N277*O277</f>
        <v>24.1864</v>
      </c>
      <c r="Q277" s="20" t="s">
        <v>921</v>
      </c>
      <c r="R277" s="84" t="s">
        <v>667</v>
      </c>
      <c r="S277" s="20" t="s">
        <v>924</v>
      </c>
      <c r="T277" s="20" t="s">
        <v>123</v>
      </c>
      <c r="U277" s="53" t="n">
        <v>0</v>
      </c>
      <c r="V277" s="76" t="s">
        <v>918</v>
      </c>
      <c r="W277" s="53" t="n">
        <v>1</v>
      </c>
    </row>
    <row r="278" customFormat="false" ht="23.85" hidden="false" customHeight="false" outlineLevel="0" collapsed="false">
      <c r="A278" s="76" t="n">
        <v>269</v>
      </c>
      <c r="B278" s="20" t="s">
        <v>507</v>
      </c>
      <c r="C278" s="20" t="s">
        <v>912</v>
      </c>
      <c r="D278" s="20" t="s">
        <v>913</v>
      </c>
      <c r="E278" s="20" t="s">
        <v>914</v>
      </c>
      <c r="F278" s="76" t="s">
        <v>915</v>
      </c>
      <c r="G278" s="20" t="s">
        <v>916</v>
      </c>
      <c r="H278" s="55" t="n">
        <v>10</v>
      </c>
      <c r="I278" s="76" t="s">
        <v>512</v>
      </c>
      <c r="J278" s="76" t="n">
        <v>200</v>
      </c>
      <c r="K278" s="82" t="n">
        <v>1</v>
      </c>
      <c r="L278" s="55" t="n">
        <v>1</v>
      </c>
      <c r="M278" s="73" t="n">
        <v>22.2</v>
      </c>
      <c r="N278" s="74" t="n">
        <f aca="false">K278*L278*M278</f>
        <v>22.2</v>
      </c>
      <c r="O278" s="41" t="n">
        <f aca="false">IFERROR(INDEX(Исходные!$B$21:$B$33,MATCH(H278,Исходные!$A$21:$A$33,0)),0)</f>
        <v>0.617</v>
      </c>
      <c r="P278" s="83" t="n">
        <f aca="false">N278*O278</f>
        <v>13.6974</v>
      </c>
      <c r="Q278" s="20" t="s">
        <v>917</v>
      </c>
      <c r="R278" s="84" t="s">
        <v>660</v>
      </c>
      <c r="S278" s="20"/>
      <c r="T278" s="20" t="s">
        <v>123</v>
      </c>
      <c r="U278" s="53" t="n">
        <v>0</v>
      </c>
      <c r="V278" s="76" t="s">
        <v>918</v>
      </c>
      <c r="W278" s="53" t="n">
        <v>1</v>
      </c>
    </row>
    <row r="279" customFormat="false" ht="35.05" hidden="false" customHeight="false" outlineLevel="0" collapsed="false">
      <c r="A279" s="76" t="n">
        <v>270</v>
      </c>
      <c r="B279" s="20" t="s">
        <v>507</v>
      </c>
      <c r="C279" s="20" t="s">
        <v>912</v>
      </c>
      <c r="D279" s="20" t="s">
        <v>913</v>
      </c>
      <c r="E279" s="20" t="s">
        <v>914</v>
      </c>
      <c r="F279" s="76" t="s">
        <v>919</v>
      </c>
      <c r="G279" s="20" t="s">
        <v>925</v>
      </c>
      <c r="H279" s="55" t="n">
        <v>10</v>
      </c>
      <c r="I279" s="76" t="s">
        <v>512</v>
      </c>
      <c r="J279" s="76" t="s">
        <v>164</v>
      </c>
      <c r="K279" s="82" t="n">
        <v>1</v>
      </c>
      <c r="L279" s="55" t="n">
        <v>1</v>
      </c>
      <c r="M279" s="73" t="n">
        <v>0.4</v>
      </c>
      <c r="N279" s="74" t="n">
        <f aca="false">K279*L279*M279</f>
        <v>0.4</v>
      </c>
      <c r="O279" s="41" t="n">
        <f aca="false">IFERROR(INDEX(Исходные!$B$21:$B$33,MATCH(H279,Исходные!$A$21:$A$33,0)),0)</f>
        <v>0.617</v>
      </c>
      <c r="P279" s="83" t="n">
        <f aca="false">N279*O279</f>
        <v>0.2468</v>
      </c>
      <c r="Q279" s="20" t="s">
        <v>921</v>
      </c>
      <c r="R279" s="84" t="s">
        <v>667</v>
      </c>
      <c r="S279" s="20" t="s">
        <v>926</v>
      </c>
      <c r="T279" s="20" t="s">
        <v>123</v>
      </c>
      <c r="U279" s="53" t="n">
        <v>0</v>
      </c>
      <c r="V279" s="76" t="s">
        <v>918</v>
      </c>
      <c r="W279" s="53" t="n">
        <v>1</v>
      </c>
    </row>
    <row r="280" customFormat="false" ht="23.85" hidden="false" customHeight="false" outlineLevel="0" collapsed="false">
      <c r="A280" s="76" t="n">
        <v>271</v>
      </c>
      <c r="B280" s="20" t="s">
        <v>507</v>
      </c>
      <c r="C280" s="20" t="s">
        <v>912</v>
      </c>
      <c r="D280" s="20" t="s">
        <v>913</v>
      </c>
      <c r="E280" s="20" t="s">
        <v>914</v>
      </c>
      <c r="F280" s="76" t="s">
        <v>915</v>
      </c>
      <c r="G280" s="20" t="s">
        <v>916</v>
      </c>
      <c r="H280" s="55" t="n">
        <v>10</v>
      </c>
      <c r="I280" s="76" t="s">
        <v>512</v>
      </c>
      <c r="J280" s="76" t="n">
        <v>200</v>
      </c>
      <c r="K280" s="82" t="n">
        <v>1</v>
      </c>
      <c r="L280" s="55" t="n">
        <v>16</v>
      </c>
      <c r="M280" s="73" t="n">
        <v>15.62</v>
      </c>
      <c r="N280" s="74" t="n">
        <f aca="false">K280*L280*M280</f>
        <v>249.92</v>
      </c>
      <c r="O280" s="41" t="n">
        <f aca="false">IFERROR(INDEX(Исходные!$B$21:$B$33,MATCH(H280,Исходные!$A$21:$A$33,0)),0)</f>
        <v>0.617</v>
      </c>
      <c r="P280" s="83" t="n">
        <f aca="false">N280*O280</f>
        <v>154.20064</v>
      </c>
      <c r="Q280" s="20" t="s">
        <v>917</v>
      </c>
      <c r="R280" s="84" t="s">
        <v>660</v>
      </c>
      <c r="S280" s="20"/>
      <c r="T280" s="20" t="s">
        <v>123</v>
      </c>
      <c r="U280" s="53" t="n">
        <v>0</v>
      </c>
      <c r="V280" s="76" t="s">
        <v>918</v>
      </c>
      <c r="W280" s="53" t="n">
        <v>1</v>
      </c>
    </row>
    <row r="281" customFormat="false" ht="35.05" hidden="false" customHeight="false" outlineLevel="0" collapsed="false">
      <c r="A281" s="76" t="n">
        <v>272</v>
      </c>
      <c r="B281" s="20" t="s">
        <v>507</v>
      </c>
      <c r="C281" s="20" t="s">
        <v>912</v>
      </c>
      <c r="D281" s="20" t="s">
        <v>913</v>
      </c>
      <c r="E281" s="20" t="s">
        <v>914</v>
      </c>
      <c r="F281" s="76" t="s">
        <v>919</v>
      </c>
      <c r="G281" s="20" t="s">
        <v>927</v>
      </c>
      <c r="H281" s="55" t="n">
        <v>10</v>
      </c>
      <c r="I281" s="76" t="s">
        <v>512</v>
      </c>
      <c r="J281" s="76" t="s">
        <v>164</v>
      </c>
      <c r="K281" s="82" t="n">
        <v>16</v>
      </c>
      <c r="L281" s="55" t="n">
        <v>1</v>
      </c>
      <c r="M281" s="73" t="n">
        <v>0.4</v>
      </c>
      <c r="N281" s="74" t="n">
        <f aca="false">K281*L281*M281</f>
        <v>6.4</v>
      </c>
      <c r="O281" s="41" t="n">
        <f aca="false">IFERROR(INDEX(Исходные!$B$21:$B$33,MATCH(H281,Исходные!$A$21:$A$33,0)),0)</f>
        <v>0.617</v>
      </c>
      <c r="P281" s="83" t="n">
        <f aca="false">N281*O281</f>
        <v>3.9488</v>
      </c>
      <c r="Q281" s="20" t="s">
        <v>921</v>
      </c>
      <c r="R281" s="84" t="s">
        <v>667</v>
      </c>
      <c r="S281" s="20" t="s">
        <v>928</v>
      </c>
      <c r="T281" s="20" t="s">
        <v>123</v>
      </c>
      <c r="U281" s="53" t="n">
        <v>0</v>
      </c>
      <c r="V281" s="76" t="s">
        <v>918</v>
      </c>
      <c r="W281" s="53" t="n">
        <v>1</v>
      </c>
    </row>
    <row r="282" customFormat="false" ht="23.85" hidden="false" customHeight="false" outlineLevel="0" collapsed="false">
      <c r="A282" s="76" t="n">
        <v>273</v>
      </c>
      <c r="B282" s="20" t="s">
        <v>507</v>
      </c>
      <c r="C282" s="20" t="s">
        <v>912</v>
      </c>
      <c r="D282" s="20" t="s">
        <v>913</v>
      </c>
      <c r="E282" s="20" t="s">
        <v>914</v>
      </c>
      <c r="F282" s="76" t="s">
        <v>915</v>
      </c>
      <c r="G282" s="20" t="s">
        <v>916</v>
      </c>
      <c r="H282" s="55" t="n">
        <v>10</v>
      </c>
      <c r="I282" s="76" t="s">
        <v>512</v>
      </c>
      <c r="J282" s="76" t="n">
        <v>200</v>
      </c>
      <c r="K282" s="82" t="n">
        <v>1</v>
      </c>
      <c r="L282" s="55" t="n">
        <v>12</v>
      </c>
      <c r="M282" s="73" t="n">
        <v>13.9</v>
      </c>
      <c r="N282" s="74" t="n">
        <f aca="false">K282*L282*M282</f>
        <v>166.8</v>
      </c>
      <c r="O282" s="41" t="n">
        <f aca="false">IFERROR(INDEX(Исходные!$B$21:$B$33,MATCH(H282,Исходные!$A$21:$A$33,0)),0)</f>
        <v>0.617</v>
      </c>
      <c r="P282" s="83" t="n">
        <f aca="false">N282*O282</f>
        <v>102.9156</v>
      </c>
      <c r="Q282" s="20" t="s">
        <v>917</v>
      </c>
      <c r="R282" s="84" t="s">
        <v>660</v>
      </c>
      <c r="S282" s="20"/>
      <c r="T282" s="20" t="s">
        <v>123</v>
      </c>
      <c r="U282" s="53" t="n">
        <v>0</v>
      </c>
      <c r="V282" s="76" t="s">
        <v>918</v>
      </c>
      <c r="W282" s="53" t="n">
        <v>1</v>
      </c>
    </row>
    <row r="283" customFormat="false" ht="35.05" hidden="false" customHeight="false" outlineLevel="0" collapsed="false">
      <c r="A283" s="76" t="n">
        <v>274</v>
      </c>
      <c r="B283" s="20" t="s">
        <v>507</v>
      </c>
      <c r="C283" s="20" t="s">
        <v>912</v>
      </c>
      <c r="D283" s="20" t="s">
        <v>913</v>
      </c>
      <c r="E283" s="20" t="s">
        <v>914</v>
      </c>
      <c r="F283" s="76" t="s">
        <v>919</v>
      </c>
      <c r="G283" s="20" t="s">
        <v>929</v>
      </c>
      <c r="H283" s="55" t="n">
        <v>10</v>
      </c>
      <c r="I283" s="76" t="s">
        <v>512</v>
      </c>
      <c r="J283" s="76" t="s">
        <v>164</v>
      </c>
      <c r="K283" s="82" t="n">
        <v>12</v>
      </c>
      <c r="L283" s="55" t="n">
        <v>1</v>
      </c>
      <c r="M283" s="73" t="n">
        <v>0.4</v>
      </c>
      <c r="N283" s="74" t="n">
        <f aca="false">K283*L283*M283</f>
        <v>4.8</v>
      </c>
      <c r="O283" s="41" t="n">
        <f aca="false">IFERROR(INDEX(Исходные!$B$21:$B$33,MATCH(H283,Исходные!$A$21:$A$33,0)),0)</f>
        <v>0.617</v>
      </c>
      <c r="P283" s="83" t="n">
        <f aca="false">N283*O283</f>
        <v>2.9616</v>
      </c>
      <c r="Q283" s="20" t="s">
        <v>921</v>
      </c>
      <c r="R283" s="84" t="s">
        <v>667</v>
      </c>
      <c r="S283" s="20" t="s">
        <v>930</v>
      </c>
      <c r="T283" s="20" t="s">
        <v>123</v>
      </c>
      <c r="U283" s="53" t="n">
        <v>0</v>
      </c>
      <c r="V283" s="76" t="s">
        <v>918</v>
      </c>
      <c r="W283" s="53" t="n">
        <v>1</v>
      </c>
    </row>
    <row r="284" customFormat="false" ht="23.85" hidden="false" customHeight="false" outlineLevel="0" collapsed="false">
      <c r="A284" s="76" t="n">
        <v>275</v>
      </c>
      <c r="B284" s="20" t="s">
        <v>507</v>
      </c>
      <c r="C284" s="20" t="s">
        <v>912</v>
      </c>
      <c r="D284" s="20" t="s">
        <v>913</v>
      </c>
      <c r="E284" s="20" t="s">
        <v>914</v>
      </c>
      <c r="F284" s="76" t="s">
        <v>915</v>
      </c>
      <c r="G284" s="20" t="s">
        <v>916</v>
      </c>
      <c r="H284" s="55" t="n">
        <v>10</v>
      </c>
      <c r="I284" s="76" t="s">
        <v>512</v>
      </c>
      <c r="J284" s="76" t="n">
        <v>200</v>
      </c>
      <c r="K284" s="82" t="n">
        <v>1</v>
      </c>
      <c r="L284" s="55" t="n">
        <v>1</v>
      </c>
      <c r="M284" s="73" t="n">
        <v>10.8</v>
      </c>
      <c r="N284" s="74" t="n">
        <f aca="false">K284*L284*M284</f>
        <v>10.8</v>
      </c>
      <c r="O284" s="41" t="n">
        <f aca="false">IFERROR(INDEX(Исходные!$B$21:$B$33,MATCH(H284,Исходные!$A$21:$A$33,0)),0)</f>
        <v>0.617</v>
      </c>
      <c r="P284" s="83" t="n">
        <f aca="false">N284*O284</f>
        <v>6.6636</v>
      </c>
      <c r="Q284" s="20" t="s">
        <v>917</v>
      </c>
      <c r="R284" s="84" t="s">
        <v>660</v>
      </c>
      <c r="S284" s="20"/>
      <c r="T284" s="20" t="s">
        <v>123</v>
      </c>
      <c r="U284" s="53" t="n">
        <v>0</v>
      </c>
      <c r="V284" s="76" t="s">
        <v>918</v>
      </c>
      <c r="W284" s="53" t="n">
        <v>1</v>
      </c>
    </row>
    <row r="285" customFormat="false" ht="23.85" hidden="false" customHeight="false" outlineLevel="0" collapsed="false">
      <c r="A285" s="76" t="n">
        <v>276</v>
      </c>
      <c r="B285" s="20" t="s">
        <v>507</v>
      </c>
      <c r="C285" s="20" t="s">
        <v>912</v>
      </c>
      <c r="D285" s="20" t="s">
        <v>913</v>
      </c>
      <c r="E285" s="20" t="s">
        <v>914</v>
      </c>
      <c r="F285" s="76" t="s">
        <v>915</v>
      </c>
      <c r="G285" s="20" t="s">
        <v>916</v>
      </c>
      <c r="H285" s="55" t="n">
        <v>10</v>
      </c>
      <c r="I285" s="76" t="s">
        <v>512</v>
      </c>
      <c r="J285" s="76" t="n">
        <v>200</v>
      </c>
      <c r="K285" s="82" t="n">
        <v>1</v>
      </c>
      <c r="L285" s="55" t="n">
        <v>14</v>
      </c>
      <c r="M285" s="73" t="n">
        <v>8</v>
      </c>
      <c r="N285" s="74" t="n">
        <f aca="false">K285*L285*M285</f>
        <v>112</v>
      </c>
      <c r="O285" s="41" t="n">
        <f aca="false">IFERROR(INDEX(Исходные!$B$21:$B$33,MATCH(H285,Исходные!$A$21:$A$33,0)),0)</f>
        <v>0.617</v>
      </c>
      <c r="P285" s="83" t="n">
        <f aca="false">N285*O285</f>
        <v>69.104</v>
      </c>
      <c r="Q285" s="20" t="s">
        <v>917</v>
      </c>
      <c r="R285" s="84" t="s">
        <v>660</v>
      </c>
      <c r="S285" s="20"/>
      <c r="T285" s="20" t="s">
        <v>123</v>
      </c>
      <c r="U285" s="53" t="n">
        <v>0</v>
      </c>
      <c r="V285" s="76" t="s">
        <v>918</v>
      </c>
      <c r="W285" s="53" t="n">
        <v>1</v>
      </c>
    </row>
    <row r="286" customFormat="false" ht="23.85" hidden="false" customHeight="false" outlineLevel="0" collapsed="false">
      <c r="A286" s="76" t="n">
        <v>277</v>
      </c>
      <c r="B286" s="20" t="s">
        <v>507</v>
      </c>
      <c r="C286" s="20" t="s">
        <v>912</v>
      </c>
      <c r="D286" s="20" t="s">
        <v>913</v>
      </c>
      <c r="E286" s="20" t="s">
        <v>914</v>
      </c>
      <c r="F286" s="76" t="s">
        <v>915</v>
      </c>
      <c r="G286" s="20" t="s">
        <v>916</v>
      </c>
      <c r="H286" s="55" t="n">
        <v>10</v>
      </c>
      <c r="I286" s="76" t="s">
        <v>512</v>
      </c>
      <c r="J286" s="76" t="n">
        <v>200</v>
      </c>
      <c r="K286" s="82" t="n">
        <v>1</v>
      </c>
      <c r="L286" s="55" t="n">
        <v>9</v>
      </c>
      <c r="M286" s="73" t="n">
        <v>7.95</v>
      </c>
      <c r="N286" s="74" t="n">
        <f aca="false">K286*L286*M286</f>
        <v>71.55</v>
      </c>
      <c r="O286" s="41" t="n">
        <f aca="false">IFERROR(INDEX(Исходные!$B$21:$B$33,MATCH(H286,Исходные!$A$21:$A$33,0)),0)</f>
        <v>0.617</v>
      </c>
      <c r="P286" s="83" t="n">
        <f aca="false">N286*O286</f>
        <v>44.14635</v>
      </c>
      <c r="Q286" s="20" t="s">
        <v>917</v>
      </c>
      <c r="R286" s="84" t="s">
        <v>660</v>
      </c>
      <c r="S286" s="20"/>
      <c r="T286" s="20" t="s">
        <v>123</v>
      </c>
      <c r="U286" s="53" t="n">
        <v>0</v>
      </c>
      <c r="V286" s="76" t="s">
        <v>918</v>
      </c>
      <c r="W286" s="53" t="n">
        <v>1</v>
      </c>
    </row>
    <row r="287" customFormat="false" ht="23.85" hidden="false" customHeight="false" outlineLevel="0" collapsed="false">
      <c r="A287" s="76" t="n">
        <v>278</v>
      </c>
      <c r="B287" s="20" t="s">
        <v>507</v>
      </c>
      <c r="C287" s="20" t="s">
        <v>912</v>
      </c>
      <c r="D287" s="20" t="s">
        <v>913</v>
      </c>
      <c r="E287" s="20" t="s">
        <v>914</v>
      </c>
      <c r="F287" s="76" t="s">
        <v>915</v>
      </c>
      <c r="G287" s="20" t="s">
        <v>916</v>
      </c>
      <c r="H287" s="55" t="n">
        <v>10</v>
      </c>
      <c r="I287" s="76" t="s">
        <v>512</v>
      </c>
      <c r="J287" s="76" t="n">
        <v>200</v>
      </c>
      <c r="K287" s="82" t="n">
        <v>1</v>
      </c>
      <c r="L287" s="55" t="n">
        <v>13</v>
      </c>
      <c r="M287" s="73" t="n">
        <v>6.9</v>
      </c>
      <c r="N287" s="74" t="n">
        <f aca="false">K287*L287*M287</f>
        <v>89.7</v>
      </c>
      <c r="O287" s="41" t="n">
        <f aca="false">IFERROR(INDEX(Исходные!$B$21:$B$33,MATCH(H287,Исходные!$A$21:$A$33,0)),0)</f>
        <v>0.617</v>
      </c>
      <c r="P287" s="83" t="n">
        <f aca="false">N287*O287</f>
        <v>55.3449</v>
      </c>
      <c r="Q287" s="20" t="s">
        <v>917</v>
      </c>
      <c r="R287" s="84" t="s">
        <v>660</v>
      </c>
      <c r="S287" s="20"/>
      <c r="T287" s="20" t="s">
        <v>123</v>
      </c>
      <c r="U287" s="53" t="n">
        <v>0</v>
      </c>
      <c r="V287" s="76" t="s">
        <v>918</v>
      </c>
      <c r="W287" s="53" t="n">
        <v>1</v>
      </c>
    </row>
    <row r="288" customFormat="false" ht="23.85" hidden="false" customHeight="false" outlineLevel="0" collapsed="false">
      <c r="A288" s="76" t="n">
        <v>279</v>
      </c>
      <c r="B288" s="20" t="s">
        <v>507</v>
      </c>
      <c r="C288" s="20" t="s">
        <v>912</v>
      </c>
      <c r="D288" s="20" t="s">
        <v>913</v>
      </c>
      <c r="E288" s="20" t="s">
        <v>914</v>
      </c>
      <c r="F288" s="76" t="s">
        <v>915</v>
      </c>
      <c r="G288" s="20" t="s">
        <v>916</v>
      </c>
      <c r="H288" s="55" t="n">
        <v>10</v>
      </c>
      <c r="I288" s="76" t="s">
        <v>512</v>
      </c>
      <c r="J288" s="76" t="n">
        <v>200</v>
      </c>
      <c r="K288" s="82" t="n">
        <v>1</v>
      </c>
      <c r="L288" s="55" t="n">
        <v>9</v>
      </c>
      <c r="M288" s="73" t="n">
        <v>3.78</v>
      </c>
      <c r="N288" s="74" t="n">
        <f aca="false">K288*L288*M288</f>
        <v>34.02</v>
      </c>
      <c r="O288" s="41" t="n">
        <f aca="false">IFERROR(INDEX(Исходные!$B$21:$B$33,MATCH(H288,Исходные!$A$21:$A$33,0)),0)</f>
        <v>0.617</v>
      </c>
      <c r="P288" s="83" t="n">
        <f aca="false">N288*O288</f>
        <v>20.99034</v>
      </c>
      <c r="Q288" s="20" t="s">
        <v>917</v>
      </c>
      <c r="R288" s="84" t="s">
        <v>660</v>
      </c>
      <c r="S288" s="20"/>
      <c r="T288" s="20" t="s">
        <v>123</v>
      </c>
      <c r="U288" s="53" t="n">
        <v>0</v>
      </c>
      <c r="V288" s="76" t="s">
        <v>918</v>
      </c>
      <c r="W288" s="53" t="n">
        <v>1</v>
      </c>
    </row>
    <row r="289" customFormat="false" ht="23.85" hidden="false" customHeight="false" outlineLevel="0" collapsed="false">
      <c r="A289" s="76" t="n">
        <v>280</v>
      </c>
      <c r="B289" s="20" t="s">
        <v>507</v>
      </c>
      <c r="C289" s="20" t="s">
        <v>912</v>
      </c>
      <c r="D289" s="20" t="s">
        <v>913</v>
      </c>
      <c r="E289" s="20" t="s">
        <v>914</v>
      </c>
      <c r="F289" s="76" t="s">
        <v>931</v>
      </c>
      <c r="G289" s="20" t="s">
        <v>932</v>
      </c>
      <c r="H289" s="55" t="n">
        <v>10</v>
      </c>
      <c r="I289" s="76" t="s">
        <v>512</v>
      </c>
      <c r="J289" s="76" t="n">
        <v>200</v>
      </c>
      <c r="K289" s="82" t="n">
        <v>1</v>
      </c>
      <c r="L289" s="55" t="n">
        <v>40</v>
      </c>
      <c r="M289" s="73" t="n">
        <v>22.35</v>
      </c>
      <c r="N289" s="74" t="n">
        <f aca="false">K289*L289*M289</f>
        <v>894</v>
      </c>
      <c r="O289" s="41" t="n">
        <f aca="false">IFERROR(INDEX(Исходные!$B$21:$B$33,MATCH(H289,Исходные!$A$21:$A$33,0)),0)</f>
        <v>0.617</v>
      </c>
      <c r="P289" s="83" t="n">
        <f aca="false">N289*O289</f>
        <v>551.598</v>
      </c>
      <c r="Q289" s="20" t="s">
        <v>917</v>
      </c>
      <c r="R289" s="84" t="s">
        <v>660</v>
      </c>
      <c r="S289" s="20"/>
      <c r="T289" s="20" t="s">
        <v>123</v>
      </c>
      <c r="U289" s="53" t="n">
        <v>0</v>
      </c>
      <c r="V289" s="76" t="s">
        <v>918</v>
      </c>
      <c r="W289" s="53" t="n">
        <v>1</v>
      </c>
    </row>
    <row r="290" customFormat="false" ht="35.05" hidden="false" customHeight="false" outlineLevel="0" collapsed="false">
      <c r="A290" s="76" t="n">
        <v>281</v>
      </c>
      <c r="B290" s="20" t="s">
        <v>507</v>
      </c>
      <c r="C290" s="20" t="s">
        <v>912</v>
      </c>
      <c r="D290" s="20" t="s">
        <v>913</v>
      </c>
      <c r="E290" s="20" t="s">
        <v>914</v>
      </c>
      <c r="F290" s="76" t="s">
        <v>933</v>
      </c>
      <c r="G290" s="20" t="s">
        <v>934</v>
      </c>
      <c r="H290" s="55" t="n">
        <v>10</v>
      </c>
      <c r="I290" s="76" t="s">
        <v>512</v>
      </c>
      <c r="J290" s="76" t="s">
        <v>164</v>
      </c>
      <c r="K290" s="82" t="n">
        <v>40</v>
      </c>
      <c r="L290" s="55" t="n">
        <v>1</v>
      </c>
      <c r="M290" s="73" t="n">
        <v>0.4</v>
      </c>
      <c r="N290" s="74" t="n">
        <f aca="false">K290*L290*M290</f>
        <v>16</v>
      </c>
      <c r="O290" s="41" t="n">
        <f aca="false">IFERROR(INDEX(Исходные!$B$21:$B$33,MATCH(H290,Исходные!$A$21:$A$33,0)),0)</f>
        <v>0.617</v>
      </c>
      <c r="P290" s="83" t="n">
        <f aca="false">N290*O290</f>
        <v>9.872</v>
      </c>
      <c r="Q290" s="20" t="s">
        <v>921</v>
      </c>
      <c r="R290" s="84" t="s">
        <v>667</v>
      </c>
      <c r="S290" s="20" t="s">
        <v>935</v>
      </c>
      <c r="T290" s="20" t="s">
        <v>123</v>
      </c>
      <c r="U290" s="53" t="n">
        <v>0</v>
      </c>
      <c r="V290" s="76" t="s">
        <v>918</v>
      </c>
      <c r="W290" s="53" t="n">
        <v>1</v>
      </c>
    </row>
    <row r="291" customFormat="false" ht="23.85" hidden="false" customHeight="false" outlineLevel="0" collapsed="false">
      <c r="A291" s="76" t="n">
        <v>282</v>
      </c>
      <c r="B291" s="20" t="s">
        <v>507</v>
      </c>
      <c r="C291" s="20" t="s">
        <v>912</v>
      </c>
      <c r="D291" s="20" t="s">
        <v>913</v>
      </c>
      <c r="E291" s="20" t="s">
        <v>914</v>
      </c>
      <c r="F291" s="76" t="s">
        <v>931</v>
      </c>
      <c r="G291" s="20" t="s">
        <v>932</v>
      </c>
      <c r="H291" s="55" t="n">
        <v>10</v>
      </c>
      <c r="I291" s="76" t="s">
        <v>512</v>
      </c>
      <c r="J291" s="76" t="n">
        <v>200</v>
      </c>
      <c r="K291" s="82" t="n">
        <v>1</v>
      </c>
      <c r="L291" s="55" t="n">
        <v>39</v>
      </c>
      <c r="M291" s="73" t="n">
        <v>20.62</v>
      </c>
      <c r="N291" s="74" t="n">
        <f aca="false">K291*L291*M291</f>
        <v>804.18</v>
      </c>
      <c r="O291" s="41" t="n">
        <f aca="false">IFERROR(INDEX(Исходные!$B$21:$B$33,MATCH(H291,Исходные!$A$21:$A$33,0)),0)</f>
        <v>0.617</v>
      </c>
      <c r="P291" s="83" t="n">
        <f aca="false">N291*O291</f>
        <v>496.17906</v>
      </c>
      <c r="Q291" s="20" t="s">
        <v>917</v>
      </c>
      <c r="R291" s="84" t="s">
        <v>660</v>
      </c>
      <c r="S291" s="20"/>
      <c r="T291" s="20" t="s">
        <v>123</v>
      </c>
      <c r="U291" s="53" t="n">
        <v>0</v>
      </c>
      <c r="V291" s="76" t="s">
        <v>918</v>
      </c>
      <c r="W291" s="53" t="n">
        <v>1</v>
      </c>
    </row>
    <row r="292" customFormat="false" ht="35.05" hidden="false" customHeight="false" outlineLevel="0" collapsed="false">
      <c r="A292" s="76" t="n">
        <v>283</v>
      </c>
      <c r="B292" s="20" t="s">
        <v>507</v>
      </c>
      <c r="C292" s="20" t="s">
        <v>912</v>
      </c>
      <c r="D292" s="20" t="s">
        <v>913</v>
      </c>
      <c r="E292" s="20" t="s">
        <v>914</v>
      </c>
      <c r="F292" s="76" t="s">
        <v>933</v>
      </c>
      <c r="G292" s="20" t="s">
        <v>936</v>
      </c>
      <c r="H292" s="55" t="n">
        <v>10</v>
      </c>
      <c r="I292" s="76" t="s">
        <v>512</v>
      </c>
      <c r="J292" s="76" t="s">
        <v>164</v>
      </c>
      <c r="K292" s="82" t="n">
        <v>39</v>
      </c>
      <c r="L292" s="55" t="n">
        <v>1</v>
      </c>
      <c r="M292" s="73" t="n">
        <v>0.4</v>
      </c>
      <c r="N292" s="74" t="n">
        <f aca="false">K292*L292*M292</f>
        <v>15.6</v>
      </c>
      <c r="O292" s="41" t="n">
        <f aca="false">IFERROR(INDEX(Исходные!$B$21:$B$33,MATCH(H292,Исходные!$A$21:$A$33,0)),0)</f>
        <v>0.617</v>
      </c>
      <c r="P292" s="83" t="n">
        <f aca="false">N292*O292</f>
        <v>9.6252</v>
      </c>
      <c r="Q292" s="20" t="s">
        <v>921</v>
      </c>
      <c r="R292" s="84" t="s">
        <v>667</v>
      </c>
      <c r="S292" s="20" t="s">
        <v>937</v>
      </c>
      <c r="T292" s="20" t="s">
        <v>123</v>
      </c>
      <c r="U292" s="53" t="n">
        <v>0</v>
      </c>
      <c r="V292" s="76" t="s">
        <v>918</v>
      </c>
      <c r="W292" s="53" t="n">
        <v>1</v>
      </c>
    </row>
    <row r="293" customFormat="false" ht="23.85" hidden="false" customHeight="false" outlineLevel="0" collapsed="false">
      <c r="A293" s="76" t="n">
        <v>284</v>
      </c>
      <c r="B293" s="20" t="s">
        <v>507</v>
      </c>
      <c r="C293" s="20" t="s">
        <v>912</v>
      </c>
      <c r="D293" s="20" t="s">
        <v>913</v>
      </c>
      <c r="E293" s="20" t="s">
        <v>914</v>
      </c>
      <c r="F293" s="76" t="s">
        <v>931</v>
      </c>
      <c r="G293" s="20" t="s">
        <v>932</v>
      </c>
      <c r="H293" s="55" t="n">
        <v>10</v>
      </c>
      <c r="I293" s="76" t="s">
        <v>512</v>
      </c>
      <c r="J293" s="76" t="n">
        <v>200</v>
      </c>
      <c r="K293" s="82" t="n">
        <v>1</v>
      </c>
      <c r="L293" s="55" t="n">
        <v>26</v>
      </c>
      <c r="M293" s="73" t="n">
        <v>20.48</v>
      </c>
      <c r="N293" s="74" t="n">
        <f aca="false">K293*L293*M293</f>
        <v>532.48</v>
      </c>
      <c r="O293" s="41" t="n">
        <f aca="false">IFERROR(INDEX(Исходные!$B$21:$B$33,MATCH(H293,Исходные!$A$21:$A$33,0)),0)</f>
        <v>0.617</v>
      </c>
      <c r="P293" s="83" t="n">
        <f aca="false">N293*O293</f>
        <v>328.54016</v>
      </c>
      <c r="Q293" s="20" t="s">
        <v>917</v>
      </c>
      <c r="R293" s="84" t="s">
        <v>660</v>
      </c>
      <c r="S293" s="20"/>
      <c r="T293" s="20" t="s">
        <v>123</v>
      </c>
      <c r="U293" s="53" t="n">
        <v>0</v>
      </c>
      <c r="V293" s="76" t="s">
        <v>918</v>
      </c>
      <c r="W293" s="53" t="n">
        <v>1</v>
      </c>
    </row>
    <row r="294" customFormat="false" ht="35.05" hidden="false" customHeight="false" outlineLevel="0" collapsed="false">
      <c r="A294" s="76" t="n">
        <v>285</v>
      </c>
      <c r="B294" s="20" t="s">
        <v>507</v>
      </c>
      <c r="C294" s="20" t="s">
        <v>912</v>
      </c>
      <c r="D294" s="20" t="s">
        <v>913</v>
      </c>
      <c r="E294" s="20" t="s">
        <v>914</v>
      </c>
      <c r="F294" s="76" t="s">
        <v>933</v>
      </c>
      <c r="G294" s="20" t="s">
        <v>938</v>
      </c>
      <c r="H294" s="55" t="n">
        <v>10</v>
      </c>
      <c r="I294" s="76" t="s">
        <v>512</v>
      </c>
      <c r="J294" s="76" t="s">
        <v>164</v>
      </c>
      <c r="K294" s="82" t="n">
        <v>26</v>
      </c>
      <c r="L294" s="55" t="n">
        <v>1</v>
      </c>
      <c r="M294" s="73" t="n">
        <v>0.4</v>
      </c>
      <c r="N294" s="74" t="n">
        <f aca="false">K294*L294*M294</f>
        <v>10.4</v>
      </c>
      <c r="O294" s="41" t="n">
        <f aca="false">IFERROR(INDEX(Исходные!$B$21:$B$33,MATCH(H294,Исходные!$A$21:$A$33,0)),0)</f>
        <v>0.617</v>
      </c>
      <c r="P294" s="83" t="n">
        <f aca="false">N294*O294</f>
        <v>6.4168</v>
      </c>
      <c r="Q294" s="20" t="s">
        <v>921</v>
      </c>
      <c r="R294" s="84" t="s">
        <v>667</v>
      </c>
      <c r="S294" s="20" t="s">
        <v>939</v>
      </c>
      <c r="T294" s="20" t="s">
        <v>123</v>
      </c>
      <c r="U294" s="53" t="n">
        <v>0</v>
      </c>
      <c r="V294" s="76" t="s">
        <v>918</v>
      </c>
      <c r="W294" s="53" t="n">
        <v>1</v>
      </c>
    </row>
    <row r="295" customFormat="false" ht="23.85" hidden="false" customHeight="false" outlineLevel="0" collapsed="false">
      <c r="A295" s="76" t="n">
        <v>286</v>
      </c>
      <c r="B295" s="20" t="s">
        <v>507</v>
      </c>
      <c r="C295" s="20" t="s">
        <v>912</v>
      </c>
      <c r="D295" s="20" t="s">
        <v>913</v>
      </c>
      <c r="E295" s="20" t="s">
        <v>914</v>
      </c>
      <c r="F295" s="76" t="s">
        <v>931</v>
      </c>
      <c r="G295" s="20" t="s">
        <v>932</v>
      </c>
      <c r="H295" s="55" t="n">
        <v>10</v>
      </c>
      <c r="I295" s="76" t="s">
        <v>512</v>
      </c>
      <c r="J295" s="76" t="n">
        <v>200</v>
      </c>
      <c r="K295" s="82" t="n">
        <v>1</v>
      </c>
      <c r="L295" s="55" t="n">
        <v>2</v>
      </c>
      <c r="M295" s="73" t="n">
        <v>19.01</v>
      </c>
      <c r="N295" s="74" t="n">
        <f aca="false">K295*L295*M295</f>
        <v>38.02</v>
      </c>
      <c r="O295" s="41" t="n">
        <f aca="false">IFERROR(INDEX(Исходные!$B$21:$B$33,MATCH(H295,Исходные!$A$21:$A$33,0)),0)</f>
        <v>0.617</v>
      </c>
      <c r="P295" s="83" t="n">
        <f aca="false">N295*O295</f>
        <v>23.45834</v>
      </c>
      <c r="Q295" s="20" t="s">
        <v>917</v>
      </c>
      <c r="R295" s="84" t="s">
        <v>660</v>
      </c>
      <c r="S295" s="20"/>
      <c r="T295" s="20" t="s">
        <v>123</v>
      </c>
      <c r="U295" s="53" t="n">
        <v>0</v>
      </c>
      <c r="V295" s="76" t="s">
        <v>918</v>
      </c>
      <c r="W295" s="53" t="n">
        <v>1</v>
      </c>
    </row>
    <row r="296" customFormat="false" ht="35.05" hidden="false" customHeight="false" outlineLevel="0" collapsed="false">
      <c r="A296" s="76" t="n">
        <v>287</v>
      </c>
      <c r="B296" s="20" t="s">
        <v>507</v>
      </c>
      <c r="C296" s="20" t="s">
        <v>912</v>
      </c>
      <c r="D296" s="20" t="s">
        <v>913</v>
      </c>
      <c r="E296" s="20" t="s">
        <v>914</v>
      </c>
      <c r="F296" s="76" t="s">
        <v>933</v>
      </c>
      <c r="G296" s="20" t="s">
        <v>940</v>
      </c>
      <c r="H296" s="55" t="n">
        <v>10</v>
      </c>
      <c r="I296" s="76" t="s">
        <v>512</v>
      </c>
      <c r="J296" s="76" t="s">
        <v>164</v>
      </c>
      <c r="K296" s="82" t="n">
        <v>2</v>
      </c>
      <c r="L296" s="55" t="n">
        <v>1</v>
      </c>
      <c r="M296" s="73" t="n">
        <v>0.4</v>
      </c>
      <c r="N296" s="74" t="n">
        <f aca="false">K296*L296*M296</f>
        <v>0.8</v>
      </c>
      <c r="O296" s="41" t="n">
        <f aca="false">IFERROR(INDEX(Исходные!$B$21:$B$33,MATCH(H296,Исходные!$A$21:$A$33,0)),0)</f>
        <v>0.617</v>
      </c>
      <c r="P296" s="83" t="n">
        <f aca="false">N296*O296</f>
        <v>0.4936</v>
      </c>
      <c r="Q296" s="20" t="s">
        <v>921</v>
      </c>
      <c r="R296" s="84" t="s">
        <v>667</v>
      </c>
      <c r="S296" s="20" t="s">
        <v>941</v>
      </c>
      <c r="T296" s="20" t="s">
        <v>123</v>
      </c>
      <c r="U296" s="53" t="n">
        <v>0</v>
      </c>
      <c r="V296" s="76" t="s">
        <v>918</v>
      </c>
      <c r="W296" s="53" t="n">
        <v>1</v>
      </c>
    </row>
    <row r="297" customFormat="false" ht="23.85" hidden="false" customHeight="false" outlineLevel="0" collapsed="false">
      <c r="A297" s="76" t="n">
        <v>288</v>
      </c>
      <c r="B297" s="20" t="s">
        <v>507</v>
      </c>
      <c r="C297" s="20" t="s">
        <v>912</v>
      </c>
      <c r="D297" s="20" t="s">
        <v>913</v>
      </c>
      <c r="E297" s="20" t="s">
        <v>914</v>
      </c>
      <c r="F297" s="76" t="s">
        <v>931</v>
      </c>
      <c r="G297" s="20" t="s">
        <v>932</v>
      </c>
      <c r="H297" s="55" t="n">
        <v>10</v>
      </c>
      <c r="I297" s="76" t="s">
        <v>512</v>
      </c>
      <c r="J297" s="76" t="n">
        <v>200</v>
      </c>
      <c r="K297" s="82" t="n">
        <v>1</v>
      </c>
      <c r="L297" s="55" t="n">
        <v>5</v>
      </c>
      <c r="M297" s="73" t="n">
        <v>17.28</v>
      </c>
      <c r="N297" s="74" t="n">
        <f aca="false">K297*L297*M297</f>
        <v>86.4</v>
      </c>
      <c r="O297" s="41" t="n">
        <f aca="false">IFERROR(INDEX(Исходные!$B$21:$B$33,MATCH(H297,Исходные!$A$21:$A$33,0)),0)</f>
        <v>0.617</v>
      </c>
      <c r="P297" s="83" t="n">
        <f aca="false">N297*O297</f>
        <v>53.3088</v>
      </c>
      <c r="Q297" s="20" t="s">
        <v>917</v>
      </c>
      <c r="R297" s="84" t="s">
        <v>660</v>
      </c>
      <c r="S297" s="20"/>
      <c r="T297" s="20" t="s">
        <v>123</v>
      </c>
      <c r="U297" s="53" t="n">
        <v>0</v>
      </c>
      <c r="V297" s="76" t="s">
        <v>918</v>
      </c>
      <c r="W297" s="53" t="n">
        <v>1</v>
      </c>
    </row>
    <row r="298" customFormat="false" ht="35.05" hidden="false" customHeight="false" outlineLevel="0" collapsed="false">
      <c r="A298" s="76" t="n">
        <v>289</v>
      </c>
      <c r="B298" s="20" t="s">
        <v>507</v>
      </c>
      <c r="C298" s="20" t="s">
        <v>912</v>
      </c>
      <c r="D298" s="20" t="s">
        <v>913</v>
      </c>
      <c r="E298" s="20" t="s">
        <v>914</v>
      </c>
      <c r="F298" s="76" t="s">
        <v>933</v>
      </c>
      <c r="G298" s="20" t="s">
        <v>942</v>
      </c>
      <c r="H298" s="55" t="n">
        <v>10</v>
      </c>
      <c r="I298" s="76" t="s">
        <v>512</v>
      </c>
      <c r="J298" s="76" t="s">
        <v>164</v>
      </c>
      <c r="K298" s="82" t="n">
        <v>5</v>
      </c>
      <c r="L298" s="55" t="n">
        <v>1</v>
      </c>
      <c r="M298" s="73" t="n">
        <v>0.4</v>
      </c>
      <c r="N298" s="74" t="n">
        <f aca="false">K298*L298*M298</f>
        <v>2</v>
      </c>
      <c r="O298" s="41" t="n">
        <f aca="false">IFERROR(INDEX(Исходные!$B$21:$B$33,MATCH(H298,Исходные!$A$21:$A$33,0)),0)</f>
        <v>0.617</v>
      </c>
      <c r="P298" s="83" t="n">
        <f aca="false">N298*O298</f>
        <v>1.234</v>
      </c>
      <c r="Q298" s="20" t="s">
        <v>921</v>
      </c>
      <c r="R298" s="84" t="s">
        <v>667</v>
      </c>
      <c r="S298" s="20" t="s">
        <v>943</v>
      </c>
      <c r="T298" s="20" t="s">
        <v>123</v>
      </c>
      <c r="U298" s="53" t="n">
        <v>0</v>
      </c>
      <c r="V298" s="76" t="s">
        <v>918</v>
      </c>
      <c r="W298" s="53" t="n">
        <v>1</v>
      </c>
    </row>
    <row r="299" customFormat="false" ht="23.85" hidden="false" customHeight="false" outlineLevel="0" collapsed="false">
      <c r="A299" s="76" t="n">
        <v>290</v>
      </c>
      <c r="B299" s="20" t="s">
        <v>507</v>
      </c>
      <c r="C299" s="20" t="s">
        <v>912</v>
      </c>
      <c r="D299" s="20" t="s">
        <v>913</v>
      </c>
      <c r="E299" s="20" t="s">
        <v>914</v>
      </c>
      <c r="F299" s="76" t="s">
        <v>931</v>
      </c>
      <c r="G299" s="20" t="s">
        <v>932</v>
      </c>
      <c r="H299" s="55" t="n">
        <v>10</v>
      </c>
      <c r="I299" s="76" t="s">
        <v>512</v>
      </c>
      <c r="J299" s="76" t="n">
        <v>200</v>
      </c>
      <c r="K299" s="82" t="n">
        <v>1</v>
      </c>
      <c r="L299" s="55" t="n">
        <v>17</v>
      </c>
      <c r="M299" s="73" t="n">
        <v>15.6</v>
      </c>
      <c r="N299" s="74" t="n">
        <f aca="false">K299*L299*M299</f>
        <v>265.2</v>
      </c>
      <c r="O299" s="41" t="n">
        <f aca="false">IFERROR(INDEX(Исходные!$B$21:$B$33,MATCH(H299,Исходные!$A$21:$A$33,0)),0)</f>
        <v>0.617</v>
      </c>
      <c r="P299" s="83" t="n">
        <f aca="false">N299*O299</f>
        <v>163.6284</v>
      </c>
      <c r="Q299" s="20" t="s">
        <v>917</v>
      </c>
      <c r="R299" s="84" t="s">
        <v>660</v>
      </c>
      <c r="S299" s="20"/>
      <c r="T299" s="20" t="s">
        <v>123</v>
      </c>
      <c r="U299" s="53" t="n">
        <v>0</v>
      </c>
      <c r="V299" s="76" t="s">
        <v>918</v>
      </c>
      <c r="W299" s="53" t="n">
        <v>1</v>
      </c>
    </row>
    <row r="300" customFormat="false" ht="35.05" hidden="false" customHeight="false" outlineLevel="0" collapsed="false">
      <c r="A300" s="76" t="n">
        <v>291</v>
      </c>
      <c r="B300" s="20" t="s">
        <v>507</v>
      </c>
      <c r="C300" s="20" t="s">
        <v>912</v>
      </c>
      <c r="D300" s="20" t="s">
        <v>913</v>
      </c>
      <c r="E300" s="20" t="s">
        <v>914</v>
      </c>
      <c r="F300" s="76" t="s">
        <v>933</v>
      </c>
      <c r="G300" s="20" t="s">
        <v>944</v>
      </c>
      <c r="H300" s="55" t="n">
        <v>10</v>
      </c>
      <c r="I300" s="76" t="s">
        <v>512</v>
      </c>
      <c r="J300" s="76" t="s">
        <v>164</v>
      </c>
      <c r="K300" s="82" t="n">
        <v>17</v>
      </c>
      <c r="L300" s="55" t="n">
        <v>1</v>
      </c>
      <c r="M300" s="73" t="n">
        <v>0.4</v>
      </c>
      <c r="N300" s="74" t="n">
        <f aca="false">K300*L300*M300</f>
        <v>6.8</v>
      </c>
      <c r="O300" s="41" t="n">
        <f aca="false">IFERROR(INDEX(Исходные!$B$21:$B$33,MATCH(H300,Исходные!$A$21:$A$33,0)),0)</f>
        <v>0.617</v>
      </c>
      <c r="P300" s="83" t="n">
        <f aca="false">N300*O300</f>
        <v>4.1956</v>
      </c>
      <c r="Q300" s="20" t="s">
        <v>921</v>
      </c>
      <c r="R300" s="84" t="s">
        <v>667</v>
      </c>
      <c r="S300" s="20" t="s">
        <v>945</v>
      </c>
      <c r="T300" s="20" t="s">
        <v>123</v>
      </c>
      <c r="U300" s="53" t="n">
        <v>0</v>
      </c>
      <c r="V300" s="76" t="s">
        <v>918</v>
      </c>
      <c r="W300" s="53" t="n">
        <v>1</v>
      </c>
    </row>
    <row r="301" customFormat="false" ht="23.85" hidden="false" customHeight="false" outlineLevel="0" collapsed="false">
      <c r="A301" s="76" t="n">
        <v>292</v>
      </c>
      <c r="B301" s="20" t="s">
        <v>507</v>
      </c>
      <c r="C301" s="20" t="s">
        <v>912</v>
      </c>
      <c r="D301" s="20" t="s">
        <v>913</v>
      </c>
      <c r="E301" s="20" t="s">
        <v>914</v>
      </c>
      <c r="F301" s="76" t="s">
        <v>931</v>
      </c>
      <c r="G301" s="20" t="s">
        <v>932</v>
      </c>
      <c r="H301" s="55" t="n">
        <v>10</v>
      </c>
      <c r="I301" s="76" t="s">
        <v>512</v>
      </c>
      <c r="J301" s="76" t="n">
        <v>200</v>
      </c>
      <c r="K301" s="82" t="n">
        <v>1</v>
      </c>
      <c r="L301" s="55" t="n">
        <v>18</v>
      </c>
      <c r="M301" s="73" t="n">
        <v>4.15</v>
      </c>
      <c r="N301" s="74" t="n">
        <f aca="false">K301*L301*M301</f>
        <v>74.7</v>
      </c>
      <c r="O301" s="41" t="n">
        <f aca="false">IFERROR(INDEX(Исходные!$B$21:$B$33,MATCH(H301,Исходные!$A$21:$A$33,0)),0)</f>
        <v>0.617</v>
      </c>
      <c r="P301" s="83" t="n">
        <f aca="false">N301*O301</f>
        <v>46.0899</v>
      </c>
      <c r="Q301" s="20" t="s">
        <v>917</v>
      </c>
      <c r="R301" s="84" t="s">
        <v>660</v>
      </c>
      <c r="S301" s="20"/>
      <c r="T301" s="20" t="s">
        <v>123</v>
      </c>
      <c r="U301" s="53" t="n">
        <v>0</v>
      </c>
      <c r="V301" s="76" t="s">
        <v>918</v>
      </c>
      <c r="W301" s="53" t="n">
        <v>1</v>
      </c>
    </row>
    <row r="302" customFormat="false" ht="23.85" hidden="false" customHeight="false" outlineLevel="0" collapsed="false">
      <c r="A302" s="76" t="n">
        <v>293</v>
      </c>
      <c r="B302" s="20" t="s">
        <v>507</v>
      </c>
      <c r="C302" s="20" t="s">
        <v>912</v>
      </c>
      <c r="D302" s="20" t="s">
        <v>913</v>
      </c>
      <c r="E302" s="20" t="s">
        <v>914</v>
      </c>
      <c r="F302" s="76" t="s">
        <v>931</v>
      </c>
      <c r="G302" s="20" t="s">
        <v>932</v>
      </c>
      <c r="H302" s="55" t="n">
        <v>10</v>
      </c>
      <c r="I302" s="76" t="s">
        <v>512</v>
      </c>
      <c r="J302" s="76" t="n">
        <v>200</v>
      </c>
      <c r="K302" s="82" t="n">
        <v>1</v>
      </c>
      <c r="L302" s="55" t="n">
        <v>24</v>
      </c>
      <c r="M302" s="73" t="n">
        <v>0.62</v>
      </c>
      <c r="N302" s="74" t="n">
        <f aca="false">K302*L302*M302</f>
        <v>14.88</v>
      </c>
      <c r="O302" s="41" t="n">
        <f aca="false">IFERROR(INDEX(Исходные!$B$21:$B$33,MATCH(H302,Исходные!$A$21:$A$33,0)),0)</f>
        <v>0.617</v>
      </c>
      <c r="P302" s="83" t="n">
        <f aca="false">N302*O302</f>
        <v>9.18096</v>
      </c>
      <c r="Q302" s="20" t="s">
        <v>917</v>
      </c>
      <c r="R302" s="84" t="s">
        <v>660</v>
      </c>
      <c r="S302" s="20"/>
      <c r="T302" s="20" t="s">
        <v>123</v>
      </c>
      <c r="U302" s="53" t="n">
        <v>0</v>
      </c>
      <c r="V302" s="76" t="s">
        <v>918</v>
      </c>
      <c r="W302" s="53" t="n">
        <v>1</v>
      </c>
    </row>
    <row r="303" customFormat="false" ht="23.85" hidden="false" customHeight="false" outlineLevel="0" collapsed="false">
      <c r="A303" s="76" t="n">
        <v>294</v>
      </c>
      <c r="B303" s="20" t="s">
        <v>507</v>
      </c>
      <c r="C303" s="20" t="s">
        <v>912</v>
      </c>
      <c r="D303" s="20" t="s">
        <v>913</v>
      </c>
      <c r="E303" s="20" t="s">
        <v>914</v>
      </c>
      <c r="F303" s="76" t="s">
        <v>946</v>
      </c>
      <c r="G303" s="20" t="s">
        <v>947</v>
      </c>
      <c r="H303" s="55" t="n">
        <v>10</v>
      </c>
      <c r="I303" s="76" t="s">
        <v>512</v>
      </c>
      <c r="J303" s="76" t="n">
        <v>200</v>
      </c>
      <c r="K303" s="82" t="n">
        <v>1</v>
      </c>
      <c r="L303" s="55" t="n">
        <v>26</v>
      </c>
      <c r="M303" s="73" t="n">
        <v>27.35</v>
      </c>
      <c r="N303" s="74" t="n">
        <f aca="false">K303*L303*M303</f>
        <v>711.1</v>
      </c>
      <c r="O303" s="41" t="n">
        <f aca="false">IFERROR(INDEX(Исходные!$B$21:$B$33,MATCH(H303,Исходные!$A$21:$A$33,0)),0)</f>
        <v>0.617</v>
      </c>
      <c r="P303" s="83" t="n">
        <f aca="false">N303*O303</f>
        <v>438.7487</v>
      </c>
      <c r="Q303" s="20" t="s">
        <v>917</v>
      </c>
      <c r="R303" s="84" t="s">
        <v>660</v>
      </c>
      <c r="S303" s="20"/>
      <c r="T303" s="20" t="s">
        <v>123</v>
      </c>
      <c r="U303" s="53" t="n">
        <v>0</v>
      </c>
      <c r="V303" s="76" t="s">
        <v>918</v>
      </c>
      <c r="W303" s="53" t="n">
        <v>1</v>
      </c>
    </row>
    <row r="304" customFormat="false" ht="35.05" hidden="false" customHeight="false" outlineLevel="0" collapsed="false">
      <c r="A304" s="76" t="n">
        <v>295</v>
      </c>
      <c r="B304" s="20" t="s">
        <v>507</v>
      </c>
      <c r="C304" s="20" t="s">
        <v>912</v>
      </c>
      <c r="D304" s="20" t="s">
        <v>913</v>
      </c>
      <c r="E304" s="20" t="s">
        <v>914</v>
      </c>
      <c r="F304" s="76" t="s">
        <v>948</v>
      </c>
      <c r="G304" s="20" t="s">
        <v>949</v>
      </c>
      <c r="H304" s="55" t="n">
        <v>10</v>
      </c>
      <c r="I304" s="76" t="s">
        <v>512</v>
      </c>
      <c r="J304" s="76" t="s">
        <v>164</v>
      </c>
      <c r="K304" s="82" t="n">
        <v>26</v>
      </c>
      <c r="L304" s="55" t="n">
        <v>2</v>
      </c>
      <c r="M304" s="73" t="n">
        <v>0.4</v>
      </c>
      <c r="N304" s="74" t="n">
        <f aca="false">K304*L304*M304</f>
        <v>20.8</v>
      </c>
      <c r="O304" s="41" t="n">
        <f aca="false">IFERROR(INDEX(Исходные!$B$21:$B$33,MATCH(H304,Исходные!$A$21:$A$33,0)),0)</f>
        <v>0.617</v>
      </c>
      <c r="P304" s="83" t="n">
        <f aca="false">N304*O304</f>
        <v>12.8336</v>
      </c>
      <c r="Q304" s="20" t="s">
        <v>921</v>
      </c>
      <c r="R304" s="84" t="s">
        <v>667</v>
      </c>
      <c r="S304" s="20" t="s">
        <v>922</v>
      </c>
      <c r="T304" s="20" t="s">
        <v>123</v>
      </c>
      <c r="U304" s="53" t="n">
        <v>0</v>
      </c>
      <c r="V304" s="76" t="s">
        <v>918</v>
      </c>
      <c r="W304" s="53" t="n">
        <v>1</v>
      </c>
    </row>
    <row r="305" customFormat="false" ht="23.85" hidden="false" customHeight="false" outlineLevel="0" collapsed="false">
      <c r="A305" s="76" t="n">
        <v>296</v>
      </c>
      <c r="B305" s="20" t="s">
        <v>507</v>
      </c>
      <c r="C305" s="20" t="s">
        <v>912</v>
      </c>
      <c r="D305" s="20" t="s">
        <v>913</v>
      </c>
      <c r="E305" s="20" t="s">
        <v>914</v>
      </c>
      <c r="F305" s="76" t="s">
        <v>946</v>
      </c>
      <c r="G305" s="20" t="s">
        <v>947</v>
      </c>
      <c r="H305" s="55" t="n">
        <v>10</v>
      </c>
      <c r="I305" s="76" t="s">
        <v>512</v>
      </c>
      <c r="J305" s="76" t="n">
        <v>200</v>
      </c>
      <c r="K305" s="82" t="n">
        <v>1</v>
      </c>
      <c r="L305" s="55" t="n">
        <v>49</v>
      </c>
      <c r="M305" s="73" t="n">
        <v>25.62</v>
      </c>
      <c r="N305" s="74" t="n">
        <f aca="false">K305*L305*M305</f>
        <v>1255.38</v>
      </c>
      <c r="O305" s="41" t="n">
        <f aca="false">IFERROR(INDEX(Исходные!$B$21:$B$33,MATCH(H305,Исходные!$A$21:$A$33,0)),0)</f>
        <v>0.617</v>
      </c>
      <c r="P305" s="83" t="n">
        <f aca="false">N305*O305</f>
        <v>774.56946</v>
      </c>
      <c r="Q305" s="20" t="s">
        <v>917</v>
      </c>
      <c r="R305" s="84" t="s">
        <v>660</v>
      </c>
      <c r="S305" s="20"/>
      <c r="T305" s="20" t="s">
        <v>123</v>
      </c>
      <c r="U305" s="53" t="n">
        <v>0</v>
      </c>
      <c r="V305" s="76" t="s">
        <v>918</v>
      </c>
      <c r="W305" s="53" t="n">
        <v>1</v>
      </c>
    </row>
    <row r="306" customFormat="false" ht="35.05" hidden="false" customHeight="false" outlineLevel="0" collapsed="false">
      <c r="A306" s="76" t="n">
        <v>297</v>
      </c>
      <c r="B306" s="20" t="s">
        <v>507</v>
      </c>
      <c r="C306" s="20" t="s">
        <v>912</v>
      </c>
      <c r="D306" s="20" t="s">
        <v>913</v>
      </c>
      <c r="E306" s="20" t="s">
        <v>914</v>
      </c>
      <c r="F306" s="76" t="s">
        <v>948</v>
      </c>
      <c r="G306" s="20" t="s">
        <v>950</v>
      </c>
      <c r="H306" s="55" t="n">
        <v>10</v>
      </c>
      <c r="I306" s="76" t="s">
        <v>512</v>
      </c>
      <c r="J306" s="76" t="s">
        <v>164</v>
      </c>
      <c r="K306" s="82" t="n">
        <v>49</v>
      </c>
      <c r="L306" s="55" t="n">
        <v>2</v>
      </c>
      <c r="M306" s="73" t="n">
        <v>0.4</v>
      </c>
      <c r="N306" s="74" t="n">
        <f aca="false">K306*L306*M306</f>
        <v>39.2</v>
      </c>
      <c r="O306" s="41" t="n">
        <f aca="false">IFERROR(INDEX(Исходные!$B$21:$B$33,MATCH(H306,Исходные!$A$21:$A$33,0)),0)</f>
        <v>0.617</v>
      </c>
      <c r="P306" s="83" t="n">
        <f aca="false">N306*O306</f>
        <v>24.1864</v>
      </c>
      <c r="Q306" s="20" t="s">
        <v>921</v>
      </c>
      <c r="R306" s="84" t="s">
        <v>667</v>
      </c>
      <c r="S306" s="20" t="s">
        <v>924</v>
      </c>
      <c r="T306" s="20" t="s">
        <v>123</v>
      </c>
      <c r="U306" s="53" t="n">
        <v>0</v>
      </c>
      <c r="V306" s="76" t="s">
        <v>918</v>
      </c>
      <c r="W306" s="53" t="n">
        <v>1</v>
      </c>
    </row>
    <row r="307" customFormat="false" ht="23.85" hidden="false" customHeight="false" outlineLevel="0" collapsed="false">
      <c r="A307" s="76" t="n">
        <v>298</v>
      </c>
      <c r="B307" s="20" t="s">
        <v>507</v>
      </c>
      <c r="C307" s="20" t="s">
        <v>912</v>
      </c>
      <c r="D307" s="20" t="s">
        <v>913</v>
      </c>
      <c r="E307" s="20" t="s">
        <v>914</v>
      </c>
      <c r="F307" s="76" t="s">
        <v>946</v>
      </c>
      <c r="G307" s="20" t="s">
        <v>947</v>
      </c>
      <c r="H307" s="55" t="n">
        <v>10</v>
      </c>
      <c r="I307" s="76" t="s">
        <v>512</v>
      </c>
      <c r="J307" s="76" t="n">
        <v>200</v>
      </c>
      <c r="K307" s="82" t="n">
        <v>1</v>
      </c>
      <c r="L307" s="55" t="n">
        <v>1</v>
      </c>
      <c r="M307" s="73" t="n">
        <v>22.2</v>
      </c>
      <c r="N307" s="74" t="n">
        <f aca="false">K307*L307*M307</f>
        <v>22.2</v>
      </c>
      <c r="O307" s="41" t="n">
        <f aca="false">IFERROR(INDEX(Исходные!$B$21:$B$33,MATCH(H307,Исходные!$A$21:$A$33,0)),0)</f>
        <v>0.617</v>
      </c>
      <c r="P307" s="83" t="n">
        <f aca="false">N307*O307</f>
        <v>13.6974</v>
      </c>
      <c r="Q307" s="20" t="s">
        <v>917</v>
      </c>
      <c r="R307" s="84" t="s">
        <v>660</v>
      </c>
      <c r="S307" s="20"/>
      <c r="T307" s="20" t="s">
        <v>123</v>
      </c>
      <c r="U307" s="53" t="n">
        <v>0</v>
      </c>
      <c r="V307" s="76" t="s">
        <v>918</v>
      </c>
      <c r="W307" s="53" t="n">
        <v>1</v>
      </c>
    </row>
    <row r="308" customFormat="false" ht="35.05" hidden="false" customHeight="false" outlineLevel="0" collapsed="false">
      <c r="A308" s="76" t="n">
        <v>299</v>
      </c>
      <c r="B308" s="20" t="s">
        <v>507</v>
      </c>
      <c r="C308" s="20" t="s">
        <v>912</v>
      </c>
      <c r="D308" s="20" t="s">
        <v>913</v>
      </c>
      <c r="E308" s="20" t="s">
        <v>914</v>
      </c>
      <c r="F308" s="76" t="s">
        <v>948</v>
      </c>
      <c r="G308" s="20" t="s">
        <v>951</v>
      </c>
      <c r="H308" s="55" t="n">
        <v>10</v>
      </c>
      <c r="I308" s="76" t="s">
        <v>512</v>
      </c>
      <c r="J308" s="76" t="s">
        <v>164</v>
      </c>
      <c r="K308" s="82" t="n">
        <v>1</v>
      </c>
      <c r="L308" s="55" t="n">
        <v>1</v>
      </c>
      <c r="M308" s="73" t="n">
        <v>0.4</v>
      </c>
      <c r="N308" s="74" t="n">
        <f aca="false">K308*L308*M308</f>
        <v>0.4</v>
      </c>
      <c r="O308" s="41" t="n">
        <f aca="false">IFERROR(INDEX(Исходные!$B$21:$B$33,MATCH(H308,Исходные!$A$21:$A$33,0)),0)</f>
        <v>0.617</v>
      </c>
      <c r="P308" s="83" t="n">
        <f aca="false">N308*O308</f>
        <v>0.2468</v>
      </c>
      <c r="Q308" s="20" t="s">
        <v>921</v>
      </c>
      <c r="R308" s="84" t="s">
        <v>667</v>
      </c>
      <c r="S308" s="20" t="s">
        <v>926</v>
      </c>
      <c r="T308" s="20" t="s">
        <v>123</v>
      </c>
      <c r="U308" s="53" t="n">
        <v>0</v>
      </c>
      <c r="V308" s="76" t="s">
        <v>918</v>
      </c>
      <c r="W308" s="53" t="n">
        <v>1</v>
      </c>
    </row>
    <row r="309" customFormat="false" ht="23.85" hidden="false" customHeight="false" outlineLevel="0" collapsed="false">
      <c r="A309" s="76" t="n">
        <v>300</v>
      </c>
      <c r="B309" s="20" t="s">
        <v>507</v>
      </c>
      <c r="C309" s="20" t="s">
        <v>912</v>
      </c>
      <c r="D309" s="20" t="s">
        <v>913</v>
      </c>
      <c r="E309" s="20" t="s">
        <v>914</v>
      </c>
      <c r="F309" s="76" t="s">
        <v>946</v>
      </c>
      <c r="G309" s="20" t="s">
        <v>947</v>
      </c>
      <c r="H309" s="55" t="n">
        <v>10</v>
      </c>
      <c r="I309" s="76" t="s">
        <v>512</v>
      </c>
      <c r="J309" s="76" t="n">
        <v>200</v>
      </c>
      <c r="K309" s="82" t="n">
        <v>1</v>
      </c>
      <c r="L309" s="55" t="n">
        <v>16</v>
      </c>
      <c r="M309" s="73" t="n">
        <v>15.62</v>
      </c>
      <c r="N309" s="74" t="n">
        <f aca="false">K309*L309*M309</f>
        <v>249.92</v>
      </c>
      <c r="O309" s="41" t="n">
        <f aca="false">IFERROR(INDEX(Исходные!$B$21:$B$33,MATCH(H309,Исходные!$A$21:$A$33,0)),0)</f>
        <v>0.617</v>
      </c>
      <c r="P309" s="83" t="n">
        <f aca="false">N309*O309</f>
        <v>154.20064</v>
      </c>
      <c r="Q309" s="20" t="s">
        <v>917</v>
      </c>
      <c r="R309" s="84" t="s">
        <v>660</v>
      </c>
      <c r="S309" s="20"/>
      <c r="T309" s="20" t="s">
        <v>123</v>
      </c>
      <c r="U309" s="53" t="n">
        <v>0</v>
      </c>
      <c r="V309" s="76" t="s">
        <v>918</v>
      </c>
      <c r="W309" s="53" t="n">
        <v>1</v>
      </c>
    </row>
    <row r="310" customFormat="false" ht="35.05" hidden="false" customHeight="false" outlineLevel="0" collapsed="false">
      <c r="A310" s="76" t="n">
        <v>301</v>
      </c>
      <c r="B310" s="20" t="s">
        <v>507</v>
      </c>
      <c r="C310" s="20" t="s">
        <v>912</v>
      </c>
      <c r="D310" s="20" t="s">
        <v>913</v>
      </c>
      <c r="E310" s="20" t="s">
        <v>914</v>
      </c>
      <c r="F310" s="76" t="s">
        <v>948</v>
      </c>
      <c r="G310" s="20" t="s">
        <v>952</v>
      </c>
      <c r="H310" s="55" t="n">
        <v>10</v>
      </c>
      <c r="I310" s="76" t="s">
        <v>512</v>
      </c>
      <c r="J310" s="76" t="s">
        <v>164</v>
      </c>
      <c r="K310" s="82" t="n">
        <v>16</v>
      </c>
      <c r="L310" s="55" t="n">
        <v>1</v>
      </c>
      <c r="M310" s="73" t="n">
        <v>0.4</v>
      </c>
      <c r="N310" s="74" t="n">
        <f aca="false">K310*L310*M310</f>
        <v>6.4</v>
      </c>
      <c r="O310" s="41" t="n">
        <f aca="false">IFERROR(INDEX(Исходные!$B$21:$B$33,MATCH(H310,Исходные!$A$21:$A$33,0)),0)</f>
        <v>0.617</v>
      </c>
      <c r="P310" s="83" t="n">
        <f aca="false">N310*O310</f>
        <v>3.9488</v>
      </c>
      <c r="Q310" s="20" t="s">
        <v>921</v>
      </c>
      <c r="R310" s="84" t="s">
        <v>667</v>
      </c>
      <c r="S310" s="20" t="s">
        <v>928</v>
      </c>
      <c r="T310" s="20" t="s">
        <v>123</v>
      </c>
      <c r="U310" s="53" t="n">
        <v>0</v>
      </c>
      <c r="V310" s="76" t="s">
        <v>918</v>
      </c>
      <c r="W310" s="53" t="n">
        <v>1</v>
      </c>
    </row>
    <row r="311" customFormat="false" ht="23.85" hidden="false" customHeight="false" outlineLevel="0" collapsed="false">
      <c r="A311" s="76" t="n">
        <v>302</v>
      </c>
      <c r="B311" s="20" t="s">
        <v>507</v>
      </c>
      <c r="C311" s="20" t="s">
        <v>912</v>
      </c>
      <c r="D311" s="20" t="s">
        <v>913</v>
      </c>
      <c r="E311" s="20" t="s">
        <v>914</v>
      </c>
      <c r="F311" s="76" t="s">
        <v>946</v>
      </c>
      <c r="G311" s="20" t="s">
        <v>947</v>
      </c>
      <c r="H311" s="55" t="n">
        <v>10</v>
      </c>
      <c r="I311" s="76" t="s">
        <v>512</v>
      </c>
      <c r="J311" s="76" t="n">
        <v>200</v>
      </c>
      <c r="K311" s="82" t="n">
        <v>1</v>
      </c>
      <c r="L311" s="55" t="n">
        <v>12</v>
      </c>
      <c r="M311" s="73" t="n">
        <v>13.9</v>
      </c>
      <c r="N311" s="74" t="n">
        <f aca="false">K311*L311*M311</f>
        <v>166.8</v>
      </c>
      <c r="O311" s="41" t="n">
        <f aca="false">IFERROR(INDEX(Исходные!$B$21:$B$33,MATCH(H311,Исходные!$A$21:$A$33,0)),0)</f>
        <v>0.617</v>
      </c>
      <c r="P311" s="83" t="n">
        <f aca="false">N311*O311</f>
        <v>102.9156</v>
      </c>
      <c r="Q311" s="20" t="s">
        <v>917</v>
      </c>
      <c r="R311" s="84" t="s">
        <v>660</v>
      </c>
      <c r="S311" s="20"/>
      <c r="T311" s="20" t="s">
        <v>123</v>
      </c>
      <c r="U311" s="53" t="n">
        <v>0</v>
      </c>
      <c r="V311" s="76" t="s">
        <v>918</v>
      </c>
      <c r="W311" s="53" t="n">
        <v>1</v>
      </c>
    </row>
    <row r="312" customFormat="false" ht="35.05" hidden="false" customHeight="false" outlineLevel="0" collapsed="false">
      <c r="A312" s="76" t="n">
        <v>303</v>
      </c>
      <c r="B312" s="20" t="s">
        <v>507</v>
      </c>
      <c r="C312" s="20" t="s">
        <v>912</v>
      </c>
      <c r="D312" s="20" t="s">
        <v>913</v>
      </c>
      <c r="E312" s="20" t="s">
        <v>914</v>
      </c>
      <c r="F312" s="76" t="s">
        <v>948</v>
      </c>
      <c r="G312" s="20" t="s">
        <v>953</v>
      </c>
      <c r="H312" s="55" t="n">
        <v>10</v>
      </c>
      <c r="I312" s="76" t="s">
        <v>512</v>
      </c>
      <c r="J312" s="76" t="s">
        <v>164</v>
      </c>
      <c r="K312" s="82" t="n">
        <v>12</v>
      </c>
      <c r="L312" s="55" t="n">
        <v>1</v>
      </c>
      <c r="M312" s="73" t="n">
        <v>0.4</v>
      </c>
      <c r="N312" s="74" t="n">
        <f aca="false">K312*L312*M312</f>
        <v>4.8</v>
      </c>
      <c r="O312" s="41" t="n">
        <f aca="false">IFERROR(INDEX(Исходные!$B$21:$B$33,MATCH(H312,Исходные!$A$21:$A$33,0)),0)</f>
        <v>0.617</v>
      </c>
      <c r="P312" s="83" t="n">
        <f aca="false">N312*O312</f>
        <v>2.9616</v>
      </c>
      <c r="Q312" s="20" t="s">
        <v>921</v>
      </c>
      <c r="R312" s="84" t="s">
        <v>667</v>
      </c>
      <c r="S312" s="20" t="s">
        <v>930</v>
      </c>
      <c r="T312" s="20" t="s">
        <v>123</v>
      </c>
      <c r="U312" s="53" t="n">
        <v>0</v>
      </c>
      <c r="V312" s="76" t="s">
        <v>918</v>
      </c>
      <c r="W312" s="53" t="n">
        <v>1</v>
      </c>
    </row>
    <row r="313" customFormat="false" ht="23.85" hidden="false" customHeight="false" outlineLevel="0" collapsed="false">
      <c r="A313" s="76" t="n">
        <v>304</v>
      </c>
      <c r="B313" s="20" t="s">
        <v>507</v>
      </c>
      <c r="C313" s="20" t="s">
        <v>912</v>
      </c>
      <c r="D313" s="20" t="s">
        <v>913</v>
      </c>
      <c r="E313" s="20" t="s">
        <v>914</v>
      </c>
      <c r="F313" s="76" t="s">
        <v>946</v>
      </c>
      <c r="G313" s="20" t="s">
        <v>947</v>
      </c>
      <c r="H313" s="55" t="n">
        <v>10</v>
      </c>
      <c r="I313" s="76" t="s">
        <v>512</v>
      </c>
      <c r="J313" s="76" t="n">
        <v>200</v>
      </c>
      <c r="K313" s="82" t="n">
        <v>1</v>
      </c>
      <c r="L313" s="55" t="n">
        <v>1</v>
      </c>
      <c r="M313" s="73" t="n">
        <v>10.8</v>
      </c>
      <c r="N313" s="74" t="n">
        <f aca="false">K313*L313*M313</f>
        <v>10.8</v>
      </c>
      <c r="O313" s="41" t="n">
        <f aca="false">IFERROR(INDEX(Исходные!$B$21:$B$33,MATCH(H313,Исходные!$A$21:$A$33,0)),0)</f>
        <v>0.617</v>
      </c>
      <c r="P313" s="83" t="n">
        <f aca="false">N313*O313</f>
        <v>6.6636</v>
      </c>
      <c r="Q313" s="20" t="s">
        <v>917</v>
      </c>
      <c r="R313" s="84" t="s">
        <v>660</v>
      </c>
      <c r="S313" s="20"/>
      <c r="T313" s="20" t="s">
        <v>123</v>
      </c>
      <c r="U313" s="53" t="n">
        <v>0</v>
      </c>
      <c r="V313" s="76" t="s">
        <v>918</v>
      </c>
      <c r="W313" s="53" t="n">
        <v>1</v>
      </c>
    </row>
    <row r="314" customFormat="false" ht="23.85" hidden="false" customHeight="false" outlineLevel="0" collapsed="false">
      <c r="A314" s="76" t="n">
        <v>305</v>
      </c>
      <c r="B314" s="20" t="s">
        <v>507</v>
      </c>
      <c r="C314" s="20" t="s">
        <v>912</v>
      </c>
      <c r="D314" s="20" t="s">
        <v>913</v>
      </c>
      <c r="E314" s="20" t="s">
        <v>914</v>
      </c>
      <c r="F314" s="76" t="s">
        <v>946</v>
      </c>
      <c r="G314" s="20" t="s">
        <v>947</v>
      </c>
      <c r="H314" s="55" t="n">
        <v>10</v>
      </c>
      <c r="I314" s="76" t="s">
        <v>512</v>
      </c>
      <c r="J314" s="76" t="n">
        <v>200</v>
      </c>
      <c r="K314" s="82" t="n">
        <v>1</v>
      </c>
      <c r="L314" s="55" t="n">
        <v>14</v>
      </c>
      <c r="M314" s="73" t="n">
        <v>8</v>
      </c>
      <c r="N314" s="74" t="n">
        <f aca="false">K314*L314*M314</f>
        <v>112</v>
      </c>
      <c r="O314" s="41" t="n">
        <f aca="false">IFERROR(INDEX(Исходные!$B$21:$B$33,MATCH(H314,Исходные!$A$21:$A$33,0)),0)</f>
        <v>0.617</v>
      </c>
      <c r="P314" s="83" t="n">
        <f aca="false">N314*O314</f>
        <v>69.104</v>
      </c>
      <c r="Q314" s="20" t="s">
        <v>917</v>
      </c>
      <c r="R314" s="84" t="s">
        <v>660</v>
      </c>
      <c r="S314" s="20"/>
      <c r="T314" s="20" t="s">
        <v>123</v>
      </c>
      <c r="U314" s="53" t="n">
        <v>0</v>
      </c>
      <c r="V314" s="76" t="s">
        <v>918</v>
      </c>
      <c r="W314" s="53" t="n">
        <v>1</v>
      </c>
    </row>
    <row r="315" customFormat="false" ht="23.85" hidden="false" customHeight="false" outlineLevel="0" collapsed="false">
      <c r="A315" s="76" t="n">
        <v>306</v>
      </c>
      <c r="B315" s="20" t="s">
        <v>507</v>
      </c>
      <c r="C315" s="20" t="s">
        <v>912</v>
      </c>
      <c r="D315" s="20" t="s">
        <v>913</v>
      </c>
      <c r="E315" s="20" t="s">
        <v>914</v>
      </c>
      <c r="F315" s="76" t="s">
        <v>946</v>
      </c>
      <c r="G315" s="20" t="s">
        <v>947</v>
      </c>
      <c r="H315" s="55" t="n">
        <v>10</v>
      </c>
      <c r="I315" s="76" t="s">
        <v>512</v>
      </c>
      <c r="J315" s="76" t="n">
        <v>200</v>
      </c>
      <c r="K315" s="82" t="n">
        <v>1</v>
      </c>
      <c r="L315" s="55" t="n">
        <v>9</v>
      </c>
      <c r="M315" s="73" t="n">
        <v>7.95</v>
      </c>
      <c r="N315" s="74" t="n">
        <f aca="false">K315*L315*M315</f>
        <v>71.55</v>
      </c>
      <c r="O315" s="41" t="n">
        <f aca="false">IFERROR(INDEX(Исходные!$B$21:$B$33,MATCH(H315,Исходные!$A$21:$A$33,0)),0)</f>
        <v>0.617</v>
      </c>
      <c r="P315" s="83" t="n">
        <f aca="false">N315*O315</f>
        <v>44.14635</v>
      </c>
      <c r="Q315" s="20" t="s">
        <v>917</v>
      </c>
      <c r="R315" s="84" t="s">
        <v>660</v>
      </c>
      <c r="S315" s="20"/>
      <c r="T315" s="20" t="s">
        <v>123</v>
      </c>
      <c r="U315" s="53" t="n">
        <v>0</v>
      </c>
      <c r="V315" s="76" t="s">
        <v>918</v>
      </c>
      <c r="W315" s="53" t="n">
        <v>1</v>
      </c>
    </row>
    <row r="316" customFormat="false" ht="23.85" hidden="false" customHeight="false" outlineLevel="0" collapsed="false">
      <c r="A316" s="76" t="n">
        <v>307</v>
      </c>
      <c r="B316" s="20" t="s">
        <v>507</v>
      </c>
      <c r="C316" s="20" t="s">
        <v>912</v>
      </c>
      <c r="D316" s="20" t="s">
        <v>913</v>
      </c>
      <c r="E316" s="20" t="s">
        <v>914</v>
      </c>
      <c r="F316" s="76" t="s">
        <v>946</v>
      </c>
      <c r="G316" s="20" t="s">
        <v>947</v>
      </c>
      <c r="H316" s="55" t="n">
        <v>10</v>
      </c>
      <c r="I316" s="76" t="s">
        <v>512</v>
      </c>
      <c r="J316" s="76" t="n">
        <v>200</v>
      </c>
      <c r="K316" s="82" t="n">
        <v>1</v>
      </c>
      <c r="L316" s="55" t="n">
        <v>13</v>
      </c>
      <c r="M316" s="73" t="n">
        <v>6.9</v>
      </c>
      <c r="N316" s="74" t="n">
        <f aca="false">K316*L316*M316</f>
        <v>89.7</v>
      </c>
      <c r="O316" s="41" t="n">
        <f aca="false">IFERROR(INDEX(Исходные!$B$21:$B$33,MATCH(H316,Исходные!$A$21:$A$33,0)),0)</f>
        <v>0.617</v>
      </c>
      <c r="P316" s="83" t="n">
        <f aca="false">N316*O316</f>
        <v>55.3449</v>
      </c>
      <c r="Q316" s="20" t="s">
        <v>917</v>
      </c>
      <c r="R316" s="84" t="s">
        <v>660</v>
      </c>
      <c r="S316" s="20"/>
      <c r="T316" s="20" t="s">
        <v>123</v>
      </c>
      <c r="U316" s="53" t="n">
        <v>0</v>
      </c>
      <c r="V316" s="76" t="s">
        <v>918</v>
      </c>
      <c r="W316" s="53" t="n">
        <v>1</v>
      </c>
    </row>
    <row r="317" customFormat="false" ht="23.85" hidden="false" customHeight="false" outlineLevel="0" collapsed="false">
      <c r="A317" s="76" t="n">
        <v>308</v>
      </c>
      <c r="B317" s="20" t="s">
        <v>507</v>
      </c>
      <c r="C317" s="20" t="s">
        <v>912</v>
      </c>
      <c r="D317" s="20" t="s">
        <v>913</v>
      </c>
      <c r="E317" s="20" t="s">
        <v>914</v>
      </c>
      <c r="F317" s="76" t="s">
        <v>946</v>
      </c>
      <c r="G317" s="20" t="s">
        <v>947</v>
      </c>
      <c r="H317" s="55" t="n">
        <v>10</v>
      </c>
      <c r="I317" s="76" t="s">
        <v>512</v>
      </c>
      <c r="J317" s="76" t="n">
        <v>200</v>
      </c>
      <c r="K317" s="82" t="n">
        <v>1</v>
      </c>
      <c r="L317" s="55" t="n">
        <v>9</v>
      </c>
      <c r="M317" s="73" t="n">
        <v>3.78</v>
      </c>
      <c r="N317" s="74" t="n">
        <f aca="false">K317*L317*M317</f>
        <v>34.02</v>
      </c>
      <c r="O317" s="41" t="n">
        <f aca="false">IFERROR(INDEX(Исходные!$B$21:$B$33,MATCH(H317,Исходные!$A$21:$A$33,0)),0)</f>
        <v>0.617</v>
      </c>
      <c r="P317" s="83" t="n">
        <f aca="false">N317*O317</f>
        <v>20.99034</v>
      </c>
      <c r="Q317" s="20" t="s">
        <v>917</v>
      </c>
      <c r="R317" s="84" t="s">
        <v>660</v>
      </c>
      <c r="S317" s="20"/>
      <c r="T317" s="20" t="s">
        <v>123</v>
      </c>
      <c r="U317" s="53" t="n">
        <v>0</v>
      </c>
      <c r="V317" s="76" t="s">
        <v>918</v>
      </c>
      <c r="W317" s="53" t="n">
        <v>1</v>
      </c>
    </row>
    <row r="318" customFormat="false" ht="23.85" hidden="false" customHeight="false" outlineLevel="0" collapsed="false">
      <c r="A318" s="76" t="n">
        <v>309</v>
      </c>
      <c r="B318" s="20" t="s">
        <v>507</v>
      </c>
      <c r="C318" s="20" t="s">
        <v>912</v>
      </c>
      <c r="D318" s="20" t="s">
        <v>913</v>
      </c>
      <c r="E318" s="20" t="s">
        <v>914</v>
      </c>
      <c r="F318" s="76" t="s">
        <v>954</v>
      </c>
      <c r="G318" s="20" t="s">
        <v>955</v>
      </c>
      <c r="H318" s="55" t="n">
        <v>10</v>
      </c>
      <c r="I318" s="76" t="s">
        <v>512</v>
      </c>
      <c r="J318" s="76" t="n">
        <v>200</v>
      </c>
      <c r="K318" s="82" t="n">
        <v>1</v>
      </c>
      <c r="L318" s="55" t="n">
        <v>40</v>
      </c>
      <c r="M318" s="73" t="n">
        <v>22.35</v>
      </c>
      <c r="N318" s="74" t="n">
        <f aca="false">K318*L318*M318</f>
        <v>894</v>
      </c>
      <c r="O318" s="41" t="n">
        <f aca="false">IFERROR(INDEX(Исходные!$B$21:$B$33,MATCH(H318,Исходные!$A$21:$A$33,0)),0)</f>
        <v>0.617</v>
      </c>
      <c r="P318" s="83" t="n">
        <f aca="false">N318*O318</f>
        <v>551.598</v>
      </c>
      <c r="Q318" s="20" t="s">
        <v>917</v>
      </c>
      <c r="R318" s="84" t="s">
        <v>660</v>
      </c>
      <c r="S318" s="20"/>
      <c r="T318" s="20" t="s">
        <v>123</v>
      </c>
      <c r="U318" s="53" t="n">
        <v>0</v>
      </c>
      <c r="V318" s="76" t="s">
        <v>918</v>
      </c>
      <c r="W318" s="53" t="n">
        <v>1</v>
      </c>
    </row>
    <row r="319" customFormat="false" ht="35.05" hidden="false" customHeight="false" outlineLevel="0" collapsed="false">
      <c r="A319" s="76" t="n">
        <v>310</v>
      </c>
      <c r="B319" s="20" t="s">
        <v>507</v>
      </c>
      <c r="C319" s="20" t="s">
        <v>912</v>
      </c>
      <c r="D319" s="20" t="s">
        <v>913</v>
      </c>
      <c r="E319" s="20" t="s">
        <v>914</v>
      </c>
      <c r="F319" s="76" t="s">
        <v>956</v>
      </c>
      <c r="G319" s="20" t="s">
        <v>957</v>
      </c>
      <c r="H319" s="55" t="n">
        <v>10</v>
      </c>
      <c r="I319" s="76" t="s">
        <v>512</v>
      </c>
      <c r="J319" s="76" t="s">
        <v>164</v>
      </c>
      <c r="K319" s="82" t="n">
        <v>40</v>
      </c>
      <c r="L319" s="55" t="n">
        <v>1</v>
      </c>
      <c r="M319" s="73" t="n">
        <v>0.4</v>
      </c>
      <c r="N319" s="74" t="n">
        <f aca="false">K319*L319*M319</f>
        <v>16</v>
      </c>
      <c r="O319" s="41" t="n">
        <f aca="false">IFERROR(INDEX(Исходные!$B$21:$B$33,MATCH(H319,Исходные!$A$21:$A$33,0)),0)</f>
        <v>0.617</v>
      </c>
      <c r="P319" s="83" t="n">
        <f aca="false">N319*O319</f>
        <v>9.872</v>
      </c>
      <c r="Q319" s="20" t="s">
        <v>921</v>
      </c>
      <c r="R319" s="84" t="s">
        <v>667</v>
      </c>
      <c r="S319" s="20" t="s">
        <v>935</v>
      </c>
      <c r="T319" s="20" t="s">
        <v>123</v>
      </c>
      <c r="U319" s="53" t="n">
        <v>0</v>
      </c>
      <c r="V319" s="76" t="s">
        <v>918</v>
      </c>
      <c r="W319" s="53" t="n">
        <v>1</v>
      </c>
    </row>
    <row r="320" customFormat="false" ht="23.85" hidden="false" customHeight="false" outlineLevel="0" collapsed="false">
      <c r="A320" s="76" t="n">
        <v>311</v>
      </c>
      <c r="B320" s="20" t="s">
        <v>507</v>
      </c>
      <c r="C320" s="20" t="s">
        <v>912</v>
      </c>
      <c r="D320" s="20" t="s">
        <v>913</v>
      </c>
      <c r="E320" s="20" t="s">
        <v>914</v>
      </c>
      <c r="F320" s="76" t="s">
        <v>954</v>
      </c>
      <c r="G320" s="20" t="s">
        <v>955</v>
      </c>
      <c r="H320" s="55" t="n">
        <v>10</v>
      </c>
      <c r="I320" s="76" t="s">
        <v>512</v>
      </c>
      <c r="J320" s="76" t="n">
        <v>200</v>
      </c>
      <c r="K320" s="82" t="n">
        <v>1</v>
      </c>
      <c r="L320" s="55" t="n">
        <v>39</v>
      </c>
      <c r="M320" s="73" t="n">
        <v>20.62</v>
      </c>
      <c r="N320" s="74" t="n">
        <f aca="false">K320*L320*M320</f>
        <v>804.18</v>
      </c>
      <c r="O320" s="41" t="n">
        <f aca="false">IFERROR(INDEX(Исходные!$B$21:$B$33,MATCH(H320,Исходные!$A$21:$A$33,0)),0)</f>
        <v>0.617</v>
      </c>
      <c r="P320" s="83" t="n">
        <f aca="false">N320*O320</f>
        <v>496.17906</v>
      </c>
      <c r="Q320" s="20" t="s">
        <v>917</v>
      </c>
      <c r="R320" s="84" t="s">
        <v>660</v>
      </c>
      <c r="S320" s="20"/>
      <c r="T320" s="20" t="s">
        <v>123</v>
      </c>
      <c r="U320" s="53" t="n">
        <v>0</v>
      </c>
      <c r="V320" s="76" t="s">
        <v>918</v>
      </c>
      <c r="W320" s="53" t="n">
        <v>1</v>
      </c>
    </row>
    <row r="321" customFormat="false" ht="35.05" hidden="false" customHeight="false" outlineLevel="0" collapsed="false">
      <c r="A321" s="76" t="n">
        <v>312</v>
      </c>
      <c r="B321" s="20" t="s">
        <v>507</v>
      </c>
      <c r="C321" s="20" t="s">
        <v>912</v>
      </c>
      <c r="D321" s="20" t="s">
        <v>913</v>
      </c>
      <c r="E321" s="20" t="s">
        <v>914</v>
      </c>
      <c r="F321" s="76" t="s">
        <v>956</v>
      </c>
      <c r="G321" s="20" t="s">
        <v>958</v>
      </c>
      <c r="H321" s="55" t="n">
        <v>10</v>
      </c>
      <c r="I321" s="76" t="s">
        <v>512</v>
      </c>
      <c r="J321" s="76" t="s">
        <v>164</v>
      </c>
      <c r="K321" s="82" t="n">
        <v>39</v>
      </c>
      <c r="L321" s="55" t="n">
        <v>1</v>
      </c>
      <c r="M321" s="73" t="n">
        <v>0.4</v>
      </c>
      <c r="N321" s="74" t="n">
        <f aca="false">K321*L321*M321</f>
        <v>15.6</v>
      </c>
      <c r="O321" s="41" t="n">
        <f aca="false">IFERROR(INDEX(Исходные!$B$21:$B$33,MATCH(H321,Исходные!$A$21:$A$33,0)),0)</f>
        <v>0.617</v>
      </c>
      <c r="P321" s="83" t="n">
        <f aca="false">N321*O321</f>
        <v>9.6252</v>
      </c>
      <c r="Q321" s="20" t="s">
        <v>921</v>
      </c>
      <c r="R321" s="84" t="s">
        <v>667</v>
      </c>
      <c r="S321" s="20" t="s">
        <v>937</v>
      </c>
      <c r="T321" s="20" t="s">
        <v>123</v>
      </c>
      <c r="U321" s="53" t="n">
        <v>0</v>
      </c>
      <c r="V321" s="76" t="s">
        <v>918</v>
      </c>
      <c r="W321" s="53" t="n">
        <v>1</v>
      </c>
    </row>
    <row r="322" customFormat="false" ht="23.85" hidden="false" customHeight="false" outlineLevel="0" collapsed="false">
      <c r="A322" s="76" t="n">
        <v>313</v>
      </c>
      <c r="B322" s="20" t="s">
        <v>507</v>
      </c>
      <c r="C322" s="20" t="s">
        <v>912</v>
      </c>
      <c r="D322" s="20" t="s">
        <v>913</v>
      </c>
      <c r="E322" s="20" t="s">
        <v>914</v>
      </c>
      <c r="F322" s="76" t="s">
        <v>954</v>
      </c>
      <c r="G322" s="20" t="s">
        <v>955</v>
      </c>
      <c r="H322" s="55" t="n">
        <v>10</v>
      </c>
      <c r="I322" s="76" t="s">
        <v>512</v>
      </c>
      <c r="J322" s="76" t="n">
        <v>200</v>
      </c>
      <c r="K322" s="82" t="n">
        <v>1</v>
      </c>
      <c r="L322" s="55" t="n">
        <v>26</v>
      </c>
      <c r="M322" s="73" t="n">
        <v>20.48</v>
      </c>
      <c r="N322" s="74" t="n">
        <f aca="false">K322*L322*M322</f>
        <v>532.48</v>
      </c>
      <c r="O322" s="41" t="n">
        <f aca="false">IFERROR(INDEX(Исходные!$B$21:$B$33,MATCH(H322,Исходные!$A$21:$A$33,0)),0)</f>
        <v>0.617</v>
      </c>
      <c r="P322" s="83" t="n">
        <f aca="false">N322*O322</f>
        <v>328.54016</v>
      </c>
      <c r="Q322" s="20" t="s">
        <v>917</v>
      </c>
      <c r="R322" s="84" t="s">
        <v>660</v>
      </c>
      <c r="S322" s="20"/>
      <c r="T322" s="20" t="s">
        <v>123</v>
      </c>
      <c r="U322" s="53" t="n">
        <v>0</v>
      </c>
      <c r="V322" s="76" t="s">
        <v>918</v>
      </c>
      <c r="W322" s="53" t="n">
        <v>1</v>
      </c>
    </row>
    <row r="323" customFormat="false" ht="35.05" hidden="false" customHeight="false" outlineLevel="0" collapsed="false">
      <c r="A323" s="76" t="n">
        <v>314</v>
      </c>
      <c r="B323" s="20" t="s">
        <v>507</v>
      </c>
      <c r="C323" s="20" t="s">
        <v>912</v>
      </c>
      <c r="D323" s="20" t="s">
        <v>913</v>
      </c>
      <c r="E323" s="20" t="s">
        <v>914</v>
      </c>
      <c r="F323" s="76" t="s">
        <v>956</v>
      </c>
      <c r="G323" s="20" t="s">
        <v>959</v>
      </c>
      <c r="H323" s="55" t="n">
        <v>10</v>
      </c>
      <c r="I323" s="76" t="s">
        <v>512</v>
      </c>
      <c r="J323" s="76" t="s">
        <v>164</v>
      </c>
      <c r="K323" s="82" t="n">
        <v>26</v>
      </c>
      <c r="L323" s="55" t="n">
        <v>1</v>
      </c>
      <c r="M323" s="73" t="n">
        <v>0.4</v>
      </c>
      <c r="N323" s="74" t="n">
        <f aca="false">K323*L323*M323</f>
        <v>10.4</v>
      </c>
      <c r="O323" s="41" t="n">
        <f aca="false">IFERROR(INDEX(Исходные!$B$21:$B$33,MATCH(H323,Исходные!$A$21:$A$33,0)),0)</f>
        <v>0.617</v>
      </c>
      <c r="P323" s="83" t="n">
        <f aca="false">N323*O323</f>
        <v>6.4168</v>
      </c>
      <c r="Q323" s="20" t="s">
        <v>921</v>
      </c>
      <c r="R323" s="84" t="s">
        <v>667</v>
      </c>
      <c r="S323" s="20" t="s">
        <v>939</v>
      </c>
      <c r="T323" s="20" t="s">
        <v>123</v>
      </c>
      <c r="U323" s="53" t="n">
        <v>0</v>
      </c>
      <c r="V323" s="76" t="s">
        <v>918</v>
      </c>
      <c r="W323" s="53" t="n">
        <v>1</v>
      </c>
    </row>
    <row r="324" customFormat="false" ht="23.85" hidden="false" customHeight="false" outlineLevel="0" collapsed="false">
      <c r="A324" s="76" t="n">
        <v>315</v>
      </c>
      <c r="B324" s="20" t="s">
        <v>507</v>
      </c>
      <c r="C324" s="20" t="s">
        <v>912</v>
      </c>
      <c r="D324" s="20" t="s">
        <v>913</v>
      </c>
      <c r="E324" s="20" t="s">
        <v>914</v>
      </c>
      <c r="F324" s="76" t="s">
        <v>954</v>
      </c>
      <c r="G324" s="20" t="s">
        <v>955</v>
      </c>
      <c r="H324" s="55" t="n">
        <v>10</v>
      </c>
      <c r="I324" s="76" t="s">
        <v>512</v>
      </c>
      <c r="J324" s="76" t="n">
        <v>200</v>
      </c>
      <c r="K324" s="82" t="n">
        <v>1</v>
      </c>
      <c r="L324" s="55" t="n">
        <v>2</v>
      </c>
      <c r="M324" s="73" t="n">
        <v>19.01</v>
      </c>
      <c r="N324" s="74" t="n">
        <f aca="false">K324*L324*M324</f>
        <v>38.02</v>
      </c>
      <c r="O324" s="41" t="n">
        <f aca="false">IFERROR(INDEX(Исходные!$B$21:$B$33,MATCH(H324,Исходные!$A$21:$A$33,0)),0)</f>
        <v>0.617</v>
      </c>
      <c r="P324" s="83" t="n">
        <f aca="false">N324*O324</f>
        <v>23.45834</v>
      </c>
      <c r="Q324" s="20" t="s">
        <v>917</v>
      </c>
      <c r="R324" s="84" t="s">
        <v>660</v>
      </c>
      <c r="S324" s="20"/>
      <c r="T324" s="20" t="s">
        <v>123</v>
      </c>
      <c r="U324" s="53" t="n">
        <v>0</v>
      </c>
      <c r="V324" s="76" t="s">
        <v>918</v>
      </c>
      <c r="W324" s="53" t="n">
        <v>1</v>
      </c>
    </row>
    <row r="325" customFormat="false" ht="35.05" hidden="false" customHeight="false" outlineLevel="0" collapsed="false">
      <c r="A325" s="76" t="n">
        <v>316</v>
      </c>
      <c r="B325" s="20" t="s">
        <v>507</v>
      </c>
      <c r="C325" s="20" t="s">
        <v>912</v>
      </c>
      <c r="D325" s="20" t="s">
        <v>913</v>
      </c>
      <c r="E325" s="20" t="s">
        <v>914</v>
      </c>
      <c r="F325" s="76" t="s">
        <v>956</v>
      </c>
      <c r="G325" s="20" t="s">
        <v>960</v>
      </c>
      <c r="H325" s="55" t="n">
        <v>10</v>
      </c>
      <c r="I325" s="76" t="s">
        <v>512</v>
      </c>
      <c r="J325" s="76" t="s">
        <v>164</v>
      </c>
      <c r="K325" s="82" t="n">
        <v>2</v>
      </c>
      <c r="L325" s="55" t="n">
        <v>1</v>
      </c>
      <c r="M325" s="73" t="n">
        <v>0.4</v>
      </c>
      <c r="N325" s="74" t="n">
        <f aca="false">K325*L325*M325</f>
        <v>0.8</v>
      </c>
      <c r="O325" s="41" t="n">
        <f aca="false">IFERROR(INDEX(Исходные!$B$21:$B$33,MATCH(H325,Исходные!$A$21:$A$33,0)),0)</f>
        <v>0.617</v>
      </c>
      <c r="P325" s="83" t="n">
        <f aca="false">N325*O325</f>
        <v>0.4936</v>
      </c>
      <c r="Q325" s="20" t="s">
        <v>921</v>
      </c>
      <c r="R325" s="84" t="s">
        <v>667</v>
      </c>
      <c r="S325" s="20" t="s">
        <v>941</v>
      </c>
      <c r="T325" s="20" t="s">
        <v>123</v>
      </c>
      <c r="U325" s="53" t="n">
        <v>0</v>
      </c>
      <c r="V325" s="76" t="s">
        <v>918</v>
      </c>
      <c r="W325" s="53" t="n">
        <v>1</v>
      </c>
    </row>
    <row r="326" customFormat="false" ht="23.85" hidden="false" customHeight="false" outlineLevel="0" collapsed="false">
      <c r="A326" s="76" t="n">
        <v>317</v>
      </c>
      <c r="B326" s="20" t="s">
        <v>507</v>
      </c>
      <c r="C326" s="20" t="s">
        <v>912</v>
      </c>
      <c r="D326" s="20" t="s">
        <v>913</v>
      </c>
      <c r="E326" s="20" t="s">
        <v>914</v>
      </c>
      <c r="F326" s="76" t="s">
        <v>954</v>
      </c>
      <c r="G326" s="20" t="s">
        <v>955</v>
      </c>
      <c r="H326" s="55" t="n">
        <v>10</v>
      </c>
      <c r="I326" s="76" t="s">
        <v>512</v>
      </c>
      <c r="J326" s="76" t="n">
        <v>200</v>
      </c>
      <c r="K326" s="82" t="n">
        <v>1</v>
      </c>
      <c r="L326" s="55" t="n">
        <v>5</v>
      </c>
      <c r="M326" s="73" t="n">
        <v>17.28</v>
      </c>
      <c r="N326" s="74" t="n">
        <f aca="false">K326*L326*M326</f>
        <v>86.4</v>
      </c>
      <c r="O326" s="41" t="n">
        <f aca="false">IFERROR(INDEX(Исходные!$B$21:$B$33,MATCH(H326,Исходные!$A$21:$A$33,0)),0)</f>
        <v>0.617</v>
      </c>
      <c r="P326" s="83" t="n">
        <f aca="false">N326*O326</f>
        <v>53.3088</v>
      </c>
      <c r="Q326" s="20" t="s">
        <v>917</v>
      </c>
      <c r="R326" s="84" t="s">
        <v>660</v>
      </c>
      <c r="S326" s="20"/>
      <c r="T326" s="20" t="s">
        <v>123</v>
      </c>
      <c r="U326" s="53" t="n">
        <v>0</v>
      </c>
      <c r="V326" s="76" t="s">
        <v>918</v>
      </c>
      <c r="W326" s="53" t="n">
        <v>1</v>
      </c>
    </row>
    <row r="327" customFormat="false" ht="35.05" hidden="false" customHeight="false" outlineLevel="0" collapsed="false">
      <c r="A327" s="76" t="n">
        <v>318</v>
      </c>
      <c r="B327" s="20" t="s">
        <v>507</v>
      </c>
      <c r="C327" s="20" t="s">
        <v>912</v>
      </c>
      <c r="D327" s="20" t="s">
        <v>913</v>
      </c>
      <c r="E327" s="20" t="s">
        <v>914</v>
      </c>
      <c r="F327" s="76" t="s">
        <v>956</v>
      </c>
      <c r="G327" s="20" t="s">
        <v>961</v>
      </c>
      <c r="H327" s="55" t="n">
        <v>10</v>
      </c>
      <c r="I327" s="76" t="s">
        <v>512</v>
      </c>
      <c r="J327" s="76" t="s">
        <v>164</v>
      </c>
      <c r="K327" s="82" t="n">
        <v>5</v>
      </c>
      <c r="L327" s="55" t="n">
        <v>1</v>
      </c>
      <c r="M327" s="73" t="n">
        <v>0.4</v>
      </c>
      <c r="N327" s="74" t="n">
        <f aca="false">K327*L327*M327</f>
        <v>2</v>
      </c>
      <c r="O327" s="41" t="n">
        <f aca="false">IFERROR(INDEX(Исходные!$B$21:$B$33,MATCH(H327,Исходные!$A$21:$A$33,0)),0)</f>
        <v>0.617</v>
      </c>
      <c r="P327" s="83" t="n">
        <f aca="false">N327*O327</f>
        <v>1.234</v>
      </c>
      <c r="Q327" s="20" t="s">
        <v>921</v>
      </c>
      <c r="R327" s="84" t="s">
        <v>667</v>
      </c>
      <c r="S327" s="20" t="s">
        <v>943</v>
      </c>
      <c r="T327" s="20" t="s">
        <v>123</v>
      </c>
      <c r="U327" s="53" t="n">
        <v>0</v>
      </c>
      <c r="V327" s="76" t="s">
        <v>918</v>
      </c>
      <c r="W327" s="53" t="n">
        <v>1</v>
      </c>
    </row>
    <row r="328" customFormat="false" ht="23.85" hidden="false" customHeight="false" outlineLevel="0" collapsed="false">
      <c r="A328" s="76" t="n">
        <v>319</v>
      </c>
      <c r="B328" s="20" t="s">
        <v>507</v>
      </c>
      <c r="C328" s="20" t="s">
        <v>912</v>
      </c>
      <c r="D328" s="20" t="s">
        <v>913</v>
      </c>
      <c r="E328" s="20" t="s">
        <v>914</v>
      </c>
      <c r="F328" s="76" t="s">
        <v>954</v>
      </c>
      <c r="G328" s="20" t="s">
        <v>955</v>
      </c>
      <c r="H328" s="55" t="n">
        <v>10</v>
      </c>
      <c r="I328" s="76" t="s">
        <v>512</v>
      </c>
      <c r="J328" s="76" t="n">
        <v>200</v>
      </c>
      <c r="K328" s="82" t="n">
        <v>1</v>
      </c>
      <c r="L328" s="55" t="n">
        <v>17</v>
      </c>
      <c r="M328" s="73" t="n">
        <v>15.6</v>
      </c>
      <c r="N328" s="74" t="n">
        <f aca="false">K328*L328*M328</f>
        <v>265.2</v>
      </c>
      <c r="O328" s="41" t="n">
        <f aca="false">IFERROR(INDEX(Исходные!$B$21:$B$33,MATCH(H328,Исходные!$A$21:$A$33,0)),0)</f>
        <v>0.617</v>
      </c>
      <c r="P328" s="83" t="n">
        <f aca="false">N328*O328</f>
        <v>163.6284</v>
      </c>
      <c r="Q328" s="20" t="s">
        <v>917</v>
      </c>
      <c r="R328" s="84" t="s">
        <v>660</v>
      </c>
      <c r="S328" s="20"/>
      <c r="T328" s="20" t="s">
        <v>123</v>
      </c>
      <c r="U328" s="53" t="n">
        <v>0</v>
      </c>
      <c r="V328" s="76" t="s">
        <v>918</v>
      </c>
      <c r="W328" s="53" t="n">
        <v>1</v>
      </c>
    </row>
    <row r="329" customFormat="false" ht="35.05" hidden="false" customHeight="false" outlineLevel="0" collapsed="false">
      <c r="A329" s="76" t="n">
        <v>320</v>
      </c>
      <c r="B329" s="20" t="s">
        <v>507</v>
      </c>
      <c r="C329" s="20" t="s">
        <v>912</v>
      </c>
      <c r="D329" s="20" t="s">
        <v>913</v>
      </c>
      <c r="E329" s="20" t="s">
        <v>914</v>
      </c>
      <c r="F329" s="76" t="s">
        <v>956</v>
      </c>
      <c r="G329" s="20" t="s">
        <v>962</v>
      </c>
      <c r="H329" s="55" t="n">
        <v>10</v>
      </c>
      <c r="I329" s="76" t="s">
        <v>512</v>
      </c>
      <c r="J329" s="76" t="s">
        <v>164</v>
      </c>
      <c r="K329" s="82" t="n">
        <v>17</v>
      </c>
      <c r="L329" s="55" t="n">
        <v>1</v>
      </c>
      <c r="M329" s="73" t="n">
        <v>0.4</v>
      </c>
      <c r="N329" s="74" t="n">
        <f aca="false">K329*L329*M329</f>
        <v>6.8</v>
      </c>
      <c r="O329" s="41" t="n">
        <f aca="false">IFERROR(INDEX(Исходные!$B$21:$B$33,MATCH(H329,Исходные!$A$21:$A$33,0)),0)</f>
        <v>0.617</v>
      </c>
      <c r="P329" s="83" t="n">
        <f aca="false">N329*O329</f>
        <v>4.1956</v>
      </c>
      <c r="Q329" s="20" t="s">
        <v>921</v>
      </c>
      <c r="R329" s="84" t="s">
        <v>667</v>
      </c>
      <c r="S329" s="20" t="s">
        <v>945</v>
      </c>
      <c r="T329" s="20" t="s">
        <v>123</v>
      </c>
      <c r="U329" s="53" t="n">
        <v>0</v>
      </c>
      <c r="V329" s="76" t="s">
        <v>918</v>
      </c>
      <c r="W329" s="53" t="n">
        <v>1</v>
      </c>
    </row>
    <row r="330" customFormat="false" ht="23.85" hidden="false" customHeight="false" outlineLevel="0" collapsed="false">
      <c r="A330" s="76" t="n">
        <v>321</v>
      </c>
      <c r="B330" s="20" t="s">
        <v>507</v>
      </c>
      <c r="C330" s="20" t="s">
        <v>912</v>
      </c>
      <c r="D330" s="20" t="s">
        <v>913</v>
      </c>
      <c r="E330" s="20" t="s">
        <v>914</v>
      </c>
      <c r="F330" s="76" t="s">
        <v>954</v>
      </c>
      <c r="G330" s="20" t="s">
        <v>955</v>
      </c>
      <c r="H330" s="55" t="n">
        <v>10</v>
      </c>
      <c r="I330" s="76" t="s">
        <v>512</v>
      </c>
      <c r="J330" s="76" t="n">
        <v>200</v>
      </c>
      <c r="K330" s="82" t="n">
        <v>1</v>
      </c>
      <c r="L330" s="55" t="n">
        <v>18</v>
      </c>
      <c r="M330" s="73" t="n">
        <v>4.15</v>
      </c>
      <c r="N330" s="74" t="n">
        <f aca="false">K330*L330*M330</f>
        <v>74.7</v>
      </c>
      <c r="O330" s="41" t="n">
        <f aca="false">IFERROR(INDEX(Исходные!$B$21:$B$33,MATCH(H330,Исходные!$A$21:$A$33,0)),0)</f>
        <v>0.617</v>
      </c>
      <c r="P330" s="83" t="n">
        <f aca="false">N330*O330</f>
        <v>46.0899</v>
      </c>
      <c r="Q330" s="20" t="s">
        <v>917</v>
      </c>
      <c r="R330" s="84" t="s">
        <v>660</v>
      </c>
      <c r="S330" s="20"/>
      <c r="T330" s="20" t="s">
        <v>123</v>
      </c>
      <c r="U330" s="53" t="n">
        <v>0</v>
      </c>
      <c r="V330" s="76" t="s">
        <v>918</v>
      </c>
      <c r="W330" s="53" t="n">
        <v>1</v>
      </c>
    </row>
    <row r="331" customFormat="false" ht="23.85" hidden="false" customHeight="false" outlineLevel="0" collapsed="false">
      <c r="A331" s="76" t="n">
        <v>322</v>
      </c>
      <c r="B331" s="20" t="s">
        <v>507</v>
      </c>
      <c r="C331" s="20" t="s">
        <v>912</v>
      </c>
      <c r="D331" s="20" t="s">
        <v>913</v>
      </c>
      <c r="E331" s="20" t="s">
        <v>914</v>
      </c>
      <c r="F331" s="76" t="s">
        <v>954</v>
      </c>
      <c r="G331" s="20" t="s">
        <v>955</v>
      </c>
      <c r="H331" s="55" t="n">
        <v>10</v>
      </c>
      <c r="I331" s="76" t="s">
        <v>512</v>
      </c>
      <c r="J331" s="76" t="n">
        <v>200</v>
      </c>
      <c r="K331" s="82" t="n">
        <v>1</v>
      </c>
      <c r="L331" s="55" t="n">
        <v>24</v>
      </c>
      <c r="M331" s="73" t="n">
        <v>0.62</v>
      </c>
      <c r="N331" s="74" t="n">
        <f aca="false">K331*L331*M331</f>
        <v>14.88</v>
      </c>
      <c r="O331" s="41" t="n">
        <f aca="false">IFERROR(INDEX(Исходные!$B$21:$B$33,MATCH(H331,Исходные!$A$21:$A$33,0)),0)</f>
        <v>0.617</v>
      </c>
      <c r="P331" s="83" t="n">
        <f aca="false">N331*O331</f>
        <v>9.18096</v>
      </c>
      <c r="Q331" s="20" t="s">
        <v>917</v>
      </c>
      <c r="R331" s="84" t="s">
        <v>660</v>
      </c>
      <c r="S331" s="20"/>
      <c r="T331" s="20" t="s">
        <v>123</v>
      </c>
      <c r="U331" s="53" t="n">
        <v>0</v>
      </c>
      <c r="V331" s="76" t="s">
        <v>918</v>
      </c>
      <c r="W331" s="53" t="n">
        <v>1</v>
      </c>
    </row>
    <row r="332" customFormat="false" ht="23.85" hidden="false" customHeight="false" outlineLevel="0" collapsed="false">
      <c r="A332" s="76" t="n">
        <v>323</v>
      </c>
      <c r="B332" s="20" t="s">
        <v>507</v>
      </c>
      <c r="C332" s="20" t="s">
        <v>912</v>
      </c>
      <c r="D332" s="20" t="s">
        <v>963</v>
      </c>
      <c r="E332" s="20" t="s">
        <v>914</v>
      </c>
      <c r="F332" s="76" t="s">
        <v>964</v>
      </c>
      <c r="G332" s="20" t="s">
        <v>965</v>
      </c>
      <c r="H332" s="55" t="n">
        <v>10</v>
      </c>
      <c r="I332" s="76" t="s">
        <v>512</v>
      </c>
      <c r="J332" s="76" t="n">
        <v>200</v>
      </c>
      <c r="K332" s="82" t="n">
        <v>1</v>
      </c>
      <c r="L332" s="55" t="n">
        <v>22</v>
      </c>
      <c r="M332" s="73" t="n">
        <v>5.05</v>
      </c>
      <c r="N332" s="74" t="n">
        <f aca="false">K332*L332*M332</f>
        <v>111.1</v>
      </c>
      <c r="O332" s="41" t="n">
        <f aca="false">IFERROR(INDEX(Исходные!$B$21:$B$33,MATCH(H332,Исходные!$A$21:$A$33,0)),0)</f>
        <v>0.617</v>
      </c>
      <c r="P332" s="83" t="n">
        <f aca="false">N332*O332</f>
        <v>68.5487</v>
      </c>
      <c r="Q332" s="20" t="s">
        <v>966</v>
      </c>
      <c r="R332" s="84" t="s">
        <v>514</v>
      </c>
      <c r="S332" s="20"/>
      <c r="T332" s="20" t="s">
        <v>123</v>
      </c>
      <c r="U332" s="53" t="n">
        <v>0</v>
      </c>
      <c r="V332" s="76" t="s">
        <v>967</v>
      </c>
      <c r="W332" s="53" t="n">
        <v>1</v>
      </c>
    </row>
    <row r="333" customFormat="false" ht="23.85" hidden="false" customHeight="false" outlineLevel="0" collapsed="false">
      <c r="A333" s="76" t="n">
        <v>324</v>
      </c>
      <c r="B333" s="20" t="s">
        <v>507</v>
      </c>
      <c r="C333" s="20" t="s">
        <v>912</v>
      </c>
      <c r="D333" s="20" t="s">
        <v>963</v>
      </c>
      <c r="E333" s="20" t="s">
        <v>914</v>
      </c>
      <c r="F333" s="76" t="s">
        <v>964</v>
      </c>
      <c r="G333" s="20" t="s">
        <v>968</v>
      </c>
      <c r="H333" s="55" t="n">
        <v>10</v>
      </c>
      <c r="I333" s="76" t="s">
        <v>512</v>
      </c>
      <c r="J333" s="76" t="n">
        <v>200</v>
      </c>
      <c r="K333" s="82" t="n">
        <v>1</v>
      </c>
      <c r="L333" s="55" t="n">
        <v>25</v>
      </c>
      <c r="M333" s="73" t="n">
        <v>4.5</v>
      </c>
      <c r="N333" s="74" t="n">
        <f aca="false">K333*L333*M333</f>
        <v>112.5</v>
      </c>
      <c r="O333" s="41" t="n">
        <f aca="false">IFERROR(INDEX(Исходные!$B$21:$B$33,MATCH(H333,Исходные!$A$21:$A$33,0)),0)</f>
        <v>0.617</v>
      </c>
      <c r="P333" s="83" t="n">
        <f aca="false">N333*O333</f>
        <v>69.4125</v>
      </c>
      <c r="Q333" s="20" t="s">
        <v>966</v>
      </c>
      <c r="R333" s="84" t="s">
        <v>514</v>
      </c>
      <c r="S333" s="20"/>
      <c r="T333" s="20" t="s">
        <v>123</v>
      </c>
      <c r="U333" s="53" t="n">
        <v>0</v>
      </c>
      <c r="V333" s="76" t="s">
        <v>967</v>
      </c>
      <c r="W333" s="53" t="n">
        <v>1</v>
      </c>
    </row>
    <row r="334" customFormat="false" ht="23.85" hidden="false" customHeight="false" outlineLevel="0" collapsed="false">
      <c r="A334" s="76" t="n">
        <v>325</v>
      </c>
      <c r="B334" s="20" t="s">
        <v>507</v>
      </c>
      <c r="C334" s="20" t="s">
        <v>912</v>
      </c>
      <c r="D334" s="20" t="s">
        <v>963</v>
      </c>
      <c r="E334" s="20" t="s">
        <v>914</v>
      </c>
      <c r="F334" s="76" t="s">
        <v>964</v>
      </c>
      <c r="G334" s="20" t="s">
        <v>969</v>
      </c>
      <c r="H334" s="55" t="n">
        <v>10</v>
      </c>
      <c r="I334" s="76" t="s">
        <v>512</v>
      </c>
      <c r="J334" s="76" t="n">
        <v>200</v>
      </c>
      <c r="K334" s="82" t="n">
        <v>1</v>
      </c>
      <c r="L334" s="55" t="n">
        <v>20</v>
      </c>
      <c r="M334" s="73" t="n">
        <v>3.625</v>
      </c>
      <c r="N334" s="74" t="n">
        <f aca="false">K334*L334*M334</f>
        <v>72.5</v>
      </c>
      <c r="O334" s="41" t="n">
        <f aca="false">IFERROR(INDEX(Исходные!$B$21:$B$33,MATCH(H334,Исходные!$A$21:$A$33,0)),0)</f>
        <v>0.617</v>
      </c>
      <c r="P334" s="83" t="n">
        <f aca="false">N334*O334</f>
        <v>44.7325</v>
      </c>
      <c r="Q334" s="20" t="s">
        <v>966</v>
      </c>
      <c r="R334" s="84" t="s">
        <v>514</v>
      </c>
      <c r="S334" s="20"/>
      <c r="T334" s="20" t="s">
        <v>123</v>
      </c>
      <c r="U334" s="53" t="n">
        <v>0</v>
      </c>
      <c r="V334" s="76" t="s">
        <v>967</v>
      </c>
      <c r="W334" s="53" t="n">
        <v>1</v>
      </c>
    </row>
    <row r="335" customFormat="false" ht="23.85" hidden="false" customHeight="false" outlineLevel="0" collapsed="false">
      <c r="A335" s="76" t="n">
        <v>326</v>
      </c>
      <c r="B335" s="20" t="s">
        <v>507</v>
      </c>
      <c r="C335" s="20" t="s">
        <v>912</v>
      </c>
      <c r="D335" s="20" t="s">
        <v>963</v>
      </c>
      <c r="E335" s="20" t="s">
        <v>914</v>
      </c>
      <c r="F335" s="76" t="s">
        <v>964</v>
      </c>
      <c r="G335" s="20" t="s">
        <v>970</v>
      </c>
      <c r="H335" s="55" t="n">
        <v>10</v>
      </c>
      <c r="I335" s="76" t="s">
        <v>512</v>
      </c>
      <c r="J335" s="76" t="n">
        <v>200</v>
      </c>
      <c r="K335" s="82" t="n">
        <v>1</v>
      </c>
      <c r="L335" s="55" t="n">
        <v>17</v>
      </c>
      <c r="M335" s="73" t="n">
        <v>4.5</v>
      </c>
      <c r="N335" s="74" t="n">
        <f aca="false">K335*L335*M335</f>
        <v>76.5</v>
      </c>
      <c r="O335" s="41" t="n">
        <f aca="false">IFERROR(INDEX(Исходные!$B$21:$B$33,MATCH(H335,Исходные!$A$21:$A$33,0)),0)</f>
        <v>0.617</v>
      </c>
      <c r="P335" s="83" t="n">
        <f aca="false">N335*O335</f>
        <v>47.2005</v>
      </c>
      <c r="Q335" s="20" t="s">
        <v>966</v>
      </c>
      <c r="R335" s="84" t="s">
        <v>514</v>
      </c>
      <c r="S335" s="20"/>
      <c r="T335" s="20" t="s">
        <v>123</v>
      </c>
      <c r="U335" s="53" t="n">
        <v>0</v>
      </c>
      <c r="V335" s="76" t="s">
        <v>967</v>
      </c>
      <c r="W335" s="53" t="n">
        <v>1</v>
      </c>
    </row>
    <row r="336" customFormat="false" ht="23.85" hidden="false" customHeight="false" outlineLevel="0" collapsed="false">
      <c r="A336" s="76" t="n">
        <v>327</v>
      </c>
      <c r="B336" s="20" t="s">
        <v>507</v>
      </c>
      <c r="C336" s="20" t="s">
        <v>912</v>
      </c>
      <c r="D336" s="20" t="s">
        <v>963</v>
      </c>
      <c r="E336" s="20" t="s">
        <v>914</v>
      </c>
      <c r="F336" s="76" t="s">
        <v>964</v>
      </c>
      <c r="G336" s="20" t="s">
        <v>971</v>
      </c>
      <c r="H336" s="55" t="n">
        <v>10</v>
      </c>
      <c r="I336" s="76" t="s">
        <v>512</v>
      </c>
      <c r="J336" s="76" t="n">
        <v>200</v>
      </c>
      <c r="K336" s="82" t="n">
        <v>1</v>
      </c>
      <c r="L336" s="55" t="n">
        <v>17</v>
      </c>
      <c r="M336" s="73" t="n">
        <v>1.2</v>
      </c>
      <c r="N336" s="74" t="n">
        <f aca="false">K336*L336*M336</f>
        <v>20.4</v>
      </c>
      <c r="O336" s="41" t="n">
        <f aca="false">IFERROR(INDEX(Исходные!$B$21:$B$33,MATCH(H336,Исходные!$A$21:$A$33,0)),0)</f>
        <v>0.617</v>
      </c>
      <c r="P336" s="83" t="n">
        <f aca="false">N336*O336</f>
        <v>12.5868</v>
      </c>
      <c r="Q336" s="20" t="s">
        <v>966</v>
      </c>
      <c r="R336" s="84" t="s">
        <v>514</v>
      </c>
      <c r="S336" s="20"/>
      <c r="T336" s="20" t="s">
        <v>123</v>
      </c>
      <c r="U336" s="53" t="n">
        <v>0</v>
      </c>
      <c r="V336" s="76" t="s">
        <v>967</v>
      </c>
      <c r="W336" s="53" t="n">
        <v>1</v>
      </c>
    </row>
    <row r="337" customFormat="false" ht="23.85" hidden="false" customHeight="false" outlineLevel="0" collapsed="false">
      <c r="A337" s="76" t="n">
        <v>328</v>
      </c>
      <c r="B337" s="20" t="s">
        <v>507</v>
      </c>
      <c r="C337" s="20" t="s">
        <v>912</v>
      </c>
      <c r="D337" s="20" t="s">
        <v>963</v>
      </c>
      <c r="E337" s="20" t="s">
        <v>914</v>
      </c>
      <c r="F337" s="76" t="s">
        <v>972</v>
      </c>
      <c r="G337" s="20" t="s">
        <v>973</v>
      </c>
      <c r="H337" s="55" t="n">
        <v>10</v>
      </c>
      <c r="I337" s="76" t="s">
        <v>512</v>
      </c>
      <c r="J337" s="76" t="n">
        <v>200</v>
      </c>
      <c r="K337" s="82" t="n">
        <v>1</v>
      </c>
      <c r="L337" s="55" t="n">
        <v>18</v>
      </c>
      <c r="M337" s="73" t="n">
        <v>1.2</v>
      </c>
      <c r="N337" s="74" t="n">
        <f aca="false">K337*L337*M337</f>
        <v>21.6</v>
      </c>
      <c r="O337" s="41" t="n">
        <f aca="false">IFERROR(INDEX(Исходные!$B$21:$B$33,MATCH(H337,Исходные!$A$21:$A$33,0)),0)</f>
        <v>0.617</v>
      </c>
      <c r="P337" s="83" t="n">
        <f aca="false">N337*O337</f>
        <v>13.3272</v>
      </c>
      <c r="Q337" s="20" t="s">
        <v>974</v>
      </c>
      <c r="R337" s="84" t="s">
        <v>514</v>
      </c>
      <c r="S337" s="20"/>
      <c r="T337" s="20" t="s">
        <v>123</v>
      </c>
      <c r="U337" s="53" t="n">
        <v>0</v>
      </c>
      <c r="V337" s="76" t="s">
        <v>975</v>
      </c>
      <c r="W337" s="53" t="n">
        <v>1</v>
      </c>
    </row>
    <row r="338" customFormat="false" ht="23.85" hidden="false" customHeight="false" outlineLevel="0" collapsed="false">
      <c r="A338" s="76" t="n">
        <v>329</v>
      </c>
      <c r="B338" s="20" t="s">
        <v>507</v>
      </c>
      <c r="C338" s="20" t="s">
        <v>912</v>
      </c>
      <c r="D338" s="20" t="s">
        <v>963</v>
      </c>
      <c r="E338" s="20" t="s">
        <v>914</v>
      </c>
      <c r="F338" s="76" t="s">
        <v>972</v>
      </c>
      <c r="G338" s="20" t="s">
        <v>976</v>
      </c>
      <c r="H338" s="55" t="n">
        <v>10</v>
      </c>
      <c r="I338" s="76" t="s">
        <v>512</v>
      </c>
      <c r="J338" s="76" t="n">
        <v>200</v>
      </c>
      <c r="K338" s="82" t="n">
        <v>1</v>
      </c>
      <c r="L338" s="55" t="n">
        <v>11</v>
      </c>
      <c r="M338" s="73" t="n">
        <v>1.2</v>
      </c>
      <c r="N338" s="74" t="n">
        <f aca="false">K338*L338*M338</f>
        <v>13.2</v>
      </c>
      <c r="O338" s="41" t="n">
        <f aca="false">IFERROR(INDEX(Исходные!$B$21:$B$33,MATCH(H338,Исходные!$A$21:$A$33,0)),0)</f>
        <v>0.617</v>
      </c>
      <c r="P338" s="83" t="n">
        <f aca="false">N338*O338</f>
        <v>8.1444</v>
      </c>
      <c r="Q338" s="20" t="s">
        <v>974</v>
      </c>
      <c r="R338" s="84" t="s">
        <v>514</v>
      </c>
      <c r="S338" s="20"/>
      <c r="T338" s="20" t="s">
        <v>123</v>
      </c>
      <c r="U338" s="53" t="n">
        <v>0</v>
      </c>
      <c r="V338" s="76" t="s">
        <v>975</v>
      </c>
      <c r="W338" s="53" t="n">
        <v>1</v>
      </c>
    </row>
    <row r="339" customFormat="false" ht="23.85" hidden="false" customHeight="false" outlineLevel="0" collapsed="false">
      <c r="A339" s="76" t="n">
        <v>330</v>
      </c>
      <c r="B339" s="20" t="s">
        <v>507</v>
      </c>
      <c r="C339" s="20" t="s">
        <v>912</v>
      </c>
      <c r="D339" s="20" t="s">
        <v>963</v>
      </c>
      <c r="E339" s="20" t="s">
        <v>914</v>
      </c>
      <c r="F339" s="76" t="s">
        <v>972</v>
      </c>
      <c r="G339" s="20" t="s">
        <v>977</v>
      </c>
      <c r="H339" s="55" t="n">
        <v>10</v>
      </c>
      <c r="I339" s="76" t="s">
        <v>512</v>
      </c>
      <c r="J339" s="76" t="n">
        <v>200</v>
      </c>
      <c r="K339" s="82" t="n">
        <v>1</v>
      </c>
      <c r="L339" s="55" t="n">
        <v>18</v>
      </c>
      <c r="M339" s="73" t="n">
        <v>1.2</v>
      </c>
      <c r="N339" s="74" t="n">
        <f aca="false">K339*L339*M339</f>
        <v>21.6</v>
      </c>
      <c r="O339" s="41" t="n">
        <f aca="false">IFERROR(INDEX(Исходные!$B$21:$B$33,MATCH(H339,Исходные!$A$21:$A$33,0)),0)</f>
        <v>0.617</v>
      </c>
      <c r="P339" s="83" t="n">
        <f aca="false">N339*O339</f>
        <v>13.3272</v>
      </c>
      <c r="Q339" s="20" t="s">
        <v>974</v>
      </c>
      <c r="R339" s="84" t="s">
        <v>514</v>
      </c>
      <c r="S339" s="20"/>
      <c r="T339" s="20" t="s">
        <v>123</v>
      </c>
      <c r="U339" s="53" t="n">
        <v>0</v>
      </c>
      <c r="V339" s="76" t="s">
        <v>975</v>
      </c>
      <c r="W339" s="53" t="n">
        <v>1</v>
      </c>
    </row>
    <row r="340" customFormat="false" ht="23.85" hidden="false" customHeight="false" outlineLevel="0" collapsed="false">
      <c r="A340" s="76" t="n">
        <v>331</v>
      </c>
      <c r="B340" s="20" t="s">
        <v>507</v>
      </c>
      <c r="C340" s="20" t="s">
        <v>912</v>
      </c>
      <c r="D340" s="20" t="s">
        <v>963</v>
      </c>
      <c r="E340" s="20" t="s">
        <v>914</v>
      </c>
      <c r="F340" s="76" t="s">
        <v>972</v>
      </c>
      <c r="G340" s="20" t="s">
        <v>978</v>
      </c>
      <c r="H340" s="55" t="n">
        <v>12</v>
      </c>
      <c r="I340" s="76" t="s">
        <v>512</v>
      </c>
      <c r="J340" s="76" t="n">
        <v>200</v>
      </c>
      <c r="K340" s="82" t="n">
        <v>1</v>
      </c>
      <c r="L340" s="55" t="n">
        <v>12</v>
      </c>
      <c r="M340" s="73" t="n">
        <v>1.4</v>
      </c>
      <c r="N340" s="74" t="n">
        <f aca="false">K340*L340*M340</f>
        <v>16.8</v>
      </c>
      <c r="O340" s="41" t="n">
        <f aca="false">IFERROR(INDEX(Исходные!$B$21:$B$33,MATCH(H340,Исходные!$A$21:$A$33,0)),0)</f>
        <v>0.888</v>
      </c>
      <c r="P340" s="83" t="n">
        <f aca="false">N340*O340</f>
        <v>14.9184</v>
      </c>
      <c r="Q340" s="20" t="s">
        <v>974</v>
      </c>
      <c r="R340" s="84" t="s">
        <v>514</v>
      </c>
      <c r="S340" s="20"/>
      <c r="T340" s="20" t="s">
        <v>123</v>
      </c>
      <c r="U340" s="53" t="n">
        <v>0</v>
      </c>
      <c r="V340" s="76" t="s">
        <v>975</v>
      </c>
      <c r="W340" s="53" t="n">
        <v>1</v>
      </c>
    </row>
    <row r="341" customFormat="false" ht="23.85" hidden="false" customHeight="false" outlineLevel="0" collapsed="false">
      <c r="A341" s="76" t="n">
        <v>332</v>
      </c>
      <c r="B341" s="20" t="s">
        <v>507</v>
      </c>
      <c r="C341" s="20" t="s">
        <v>912</v>
      </c>
      <c r="D341" s="20" t="s">
        <v>963</v>
      </c>
      <c r="E341" s="20" t="s">
        <v>914</v>
      </c>
      <c r="F341" s="76" t="s">
        <v>972</v>
      </c>
      <c r="G341" s="20" t="s">
        <v>979</v>
      </c>
      <c r="H341" s="55" t="n">
        <v>10</v>
      </c>
      <c r="I341" s="76" t="s">
        <v>512</v>
      </c>
      <c r="J341" s="76" t="n">
        <v>200</v>
      </c>
      <c r="K341" s="82" t="n">
        <v>1</v>
      </c>
      <c r="L341" s="55" t="n">
        <v>18</v>
      </c>
      <c r="M341" s="73" t="n">
        <v>1.4</v>
      </c>
      <c r="N341" s="74" t="n">
        <f aca="false">K341*L341*M341</f>
        <v>25.2</v>
      </c>
      <c r="O341" s="41" t="n">
        <f aca="false">IFERROR(INDEX(Исходные!$B$21:$B$33,MATCH(H341,Исходные!$A$21:$A$33,0)),0)</f>
        <v>0.617</v>
      </c>
      <c r="P341" s="83" t="n">
        <f aca="false">N341*O341</f>
        <v>15.5484</v>
      </c>
      <c r="Q341" s="20" t="s">
        <v>974</v>
      </c>
      <c r="R341" s="84" t="s">
        <v>514</v>
      </c>
      <c r="S341" s="20"/>
      <c r="T341" s="20" t="s">
        <v>123</v>
      </c>
      <c r="U341" s="53" t="n">
        <v>0</v>
      </c>
      <c r="V341" s="76" t="s">
        <v>975</v>
      </c>
      <c r="W341" s="53" t="n">
        <v>1</v>
      </c>
    </row>
    <row r="342" customFormat="false" ht="23.85" hidden="false" customHeight="false" outlineLevel="0" collapsed="false">
      <c r="A342" s="76" t="n">
        <v>333</v>
      </c>
      <c r="B342" s="20" t="s">
        <v>507</v>
      </c>
      <c r="C342" s="20" t="s">
        <v>912</v>
      </c>
      <c r="D342" s="20" t="s">
        <v>963</v>
      </c>
      <c r="E342" s="20" t="s">
        <v>914</v>
      </c>
      <c r="F342" s="76" t="s">
        <v>972</v>
      </c>
      <c r="G342" s="20" t="s">
        <v>980</v>
      </c>
      <c r="H342" s="55" t="n">
        <v>12</v>
      </c>
      <c r="I342" s="76" t="s">
        <v>512</v>
      </c>
      <c r="J342" s="76" t="n">
        <v>200</v>
      </c>
      <c r="K342" s="82" t="n">
        <v>1</v>
      </c>
      <c r="L342" s="55" t="n">
        <v>12</v>
      </c>
      <c r="M342" s="73" t="n">
        <v>2.2</v>
      </c>
      <c r="N342" s="74" t="n">
        <f aca="false">K342*L342*M342</f>
        <v>26.4</v>
      </c>
      <c r="O342" s="41" t="n">
        <f aca="false">IFERROR(INDEX(Исходные!$B$21:$B$33,MATCH(H342,Исходные!$A$21:$A$33,0)),0)</f>
        <v>0.888</v>
      </c>
      <c r="P342" s="83" t="n">
        <f aca="false">N342*O342</f>
        <v>23.4432</v>
      </c>
      <c r="Q342" s="20" t="s">
        <v>974</v>
      </c>
      <c r="R342" s="84" t="s">
        <v>514</v>
      </c>
      <c r="S342" s="20"/>
      <c r="T342" s="20" t="s">
        <v>123</v>
      </c>
      <c r="U342" s="53" t="n">
        <v>0</v>
      </c>
      <c r="V342" s="76" t="s">
        <v>975</v>
      </c>
      <c r="W342" s="53" t="n">
        <v>1</v>
      </c>
    </row>
    <row r="343" customFormat="false" ht="23.85" hidden="false" customHeight="false" outlineLevel="0" collapsed="false">
      <c r="A343" s="76" t="n">
        <v>334</v>
      </c>
      <c r="B343" s="20" t="s">
        <v>507</v>
      </c>
      <c r="C343" s="20" t="s">
        <v>912</v>
      </c>
      <c r="D343" s="20" t="s">
        <v>963</v>
      </c>
      <c r="E343" s="20" t="s">
        <v>914</v>
      </c>
      <c r="F343" s="76" t="s">
        <v>972</v>
      </c>
      <c r="G343" s="20" t="s">
        <v>981</v>
      </c>
      <c r="H343" s="55" t="n">
        <v>10</v>
      </c>
      <c r="I343" s="76" t="s">
        <v>512</v>
      </c>
      <c r="J343" s="76" t="n">
        <v>200</v>
      </c>
      <c r="K343" s="82" t="n">
        <v>1</v>
      </c>
      <c r="L343" s="55" t="n">
        <v>18</v>
      </c>
      <c r="M343" s="73" t="n">
        <v>2.2</v>
      </c>
      <c r="N343" s="74" t="n">
        <f aca="false">K343*L343*M343</f>
        <v>39.6</v>
      </c>
      <c r="O343" s="41" t="n">
        <f aca="false">IFERROR(INDEX(Исходные!$B$21:$B$33,MATCH(H343,Исходные!$A$21:$A$33,0)),0)</f>
        <v>0.617</v>
      </c>
      <c r="P343" s="83" t="n">
        <f aca="false">N343*O343</f>
        <v>24.4332</v>
      </c>
      <c r="Q343" s="20" t="s">
        <v>974</v>
      </c>
      <c r="R343" s="84" t="s">
        <v>514</v>
      </c>
      <c r="S343" s="20"/>
      <c r="T343" s="20" t="s">
        <v>123</v>
      </c>
      <c r="U343" s="53" t="n">
        <v>0</v>
      </c>
      <c r="V343" s="76" t="s">
        <v>975</v>
      </c>
      <c r="W343" s="53" t="n">
        <v>1</v>
      </c>
    </row>
    <row r="344" customFormat="false" ht="23.85" hidden="false" customHeight="false" outlineLevel="0" collapsed="false">
      <c r="A344" s="76" t="n">
        <v>335</v>
      </c>
      <c r="B344" s="20" t="s">
        <v>507</v>
      </c>
      <c r="C344" s="20" t="s">
        <v>912</v>
      </c>
      <c r="D344" s="20" t="s">
        <v>963</v>
      </c>
      <c r="E344" s="20" t="s">
        <v>914</v>
      </c>
      <c r="F344" s="76" t="s">
        <v>972</v>
      </c>
      <c r="G344" s="20" t="s">
        <v>982</v>
      </c>
      <c r="H344" s="55" t="n">
        <v>10</v>
      </c>
      <c r="I344" s="76" t="s">
        <v>512</v>
      </c>
      <c r="J344" s="76" t="n">
        <v>200</v>
      </c>
      <c r="K344" s="82" t="n">
        <v>1</v>
      </c>
      <c r="L344" s="55" t="n">
        <v>24</v>
      </c>
      <c r="M344" s="73" t="n">
        <v>1.2</v>
      </c>
      <c r="N344" s="74" t="n">
        <f aca="false">K344*L344*M344</f>
        <v>28.8</v>
      </c>
      <c r="O344" s="41" t="n">
        <f aca="false">IFERROR(INDEX(Исходные!$B$21:$B$33,MATCH(H344,Исходные!$A$21:$A$33,0)),0)</f>
        <v>0.617</v>
      </c>
      <c r="P344" s="83" t="n">
        <f aca="false">N344*O344</f>
        <v>17.7696</v>
      </c>
      <c r="Q344" s="20" t="s">
        <v>974</v>
      </c>
      <c r="R344" s="84" t="s">
        <v>514</v>
      </c>
      <c r="S344" s="20"/>
      <c r="T344" s="20" t="s">
        <v>123</v>
      </c>
      <c r="U344" s="53" t="n">
        <v>0</v>
      </c>
      <c r="V344" s="76" t="s">
        <v>975</v>
      </c>
      <c r="W344" s="53" t="n">
        <v>1</v>
      </c>
    </row>
    <row r="345" customFormat="false" ht="23.85" hidden="false" customHeight="false" outlineLevel="0" collapsed="false">
      <c r="A345" s="76" t="n">
        <v>336</v>
      </c>
      <c r="B345" s="20" t="s">
        <v>507</v>
      </c>
      <c r="C345" s="20" t="s">
        <v>912</v>
      </c>
      <c r="D345" s="20" t="s">
        <v>963</v>
      </c>
      <c r="E345" s="20" t="s">
        <v>914</v>
      </c>
      <c r="F345" s="76" t="s">
        <v>972</v>
      </c>
      <c r="G345" s="20" t="s">
        <v>983</v>
      </c>
      <c r="H345" s="55" t="n">
        <v>10</v>
      </c>
      <c r="I345" s="76" t="s">
        <v>512</v>
      </c>
      <c r="J345" s="76" t="n">
        <v>200</v>
      </c>
      <c r="K345" s="82" t="n">
        <v>1</v>
      </c>
      <c r="L345" s="55" t="n">
        <v>25</v>
      </c>
      <c r="M345" s="73" t="n">
        <v>2</v>
      </c>
      <c r="N345" s="74" t="n">
        <f aca="false">K345*L345*M345</f>
        <v>50</v>
      </c>
      <c r="O345" s="41" t="n">
        <f aca="false">IFERROR(INDEX(Исходные!$B$21:$B$33,MATCH(H345,Исходные!$A$21:$A$33,0)),0)</f>
        <v>0.617</v>
      </c>
      <c r="P345" s="83" t="n">
        <f aca="false">N345*O345</f>
        <v>30.85</v>
      </c>
      <c r="Q345" s="20" t="s">
        <v>974</v>
      </c>
      <c r="R345" s="84" t="s">
        <v>514</v>
      </c>
      <c r="S345" s="20"/>
      <c r="T345" s="20" t="s">
        <v>123</v>
      </c>
      <c r="U345" s="53" t="n">
        <v>0</v>
      </c>
      <c r="V345" s="76" t="s">
        <v>975</v>
      </c>
      <c r="W345" s="53" t="n">
        <v>1</v>
      </c>
    </row>
    <row r="346" customFormat="false" ht="23.85" hidden="false" customHeight="false" outlineLevel="0" collapsed="false">
      <c r="A346" s="76" t="n">
        <v>337</v>
      </c>
      <c r="B346" s="20" t="s">
        <v>507</v>
      </c>
      <c r="C346" s="20" t="s">
        <v>912</v>
      </c>
      <c r="D346" s="20" t="s">
        <v>963</v>
      </c>
      <c r="E346" s="20" t="s">
        <v>914</v>
      </c>
      <c r="F346" s="76" t="s">
        <v>972</v>
      </c>
      <c r="G346" s="20" t="s">
        <v>984</v>
      </c>
      <c r="H346" s="55" t="n">
        <v>10</v>
      </c>
      <c r="I346" s="76" t="s">
        <v>512</v>
      </c>
      <c r="J346" s="76" t="n">
        <v>200</v>
      </c>
      <c r="K346" s="82" t="n">
        <v>1</v>
      </c>
      <c r="L346" s="55" t="n">
        <v>25</v>
      </c>
      <c r="M346" s="73" t="n">
        <v>1.2</v>
      </c>
      <c r="N346" s="74" t="n">
        <f aca="false">K346*L346*M346</f>
        <v>30</v>
      </c>
      <c r="O346" s="41" t="n">
        <f aca="false">IFERROR(INDEX(Исходные!$B$21:$B$33,MATCH(H346,Исходные!$A$21:$A$33,0)),0)</f>
        <v>0.617</v>
      </c>
      <c r="P346" s="83" t="n">
        <f aca="false">N346*O346</f>
        <v>18.51</v>
      </c>
      <c r="Q346" s="20" t="s">
        <v>974</v>
      </c>
      <c r="R346" s="84" t="s">
        <v>514</v>
      </c>
      <c r="S346" s="20"/>
      <c r="T346" s="20" t="s">
        <v>123</v>
      </c>
      <c r="U346" s="53" t="n">
        <v>0</v>
      </c>
      <c r="V346" s="76" t="s">
        <v>975</v>
      </c>
      <c r="W346" s="53" t="n">
        <v>1</v>
      </c>
    </row>
    <row r="347" customFormat="false" ht="23.85" hidden="false" customHeight="false" outlineLevel="0" collapsed="false">
      <c r="A347" s="76" t="n">
        <v>338</v>
      </c>
      <c r="B347" s="20" t="s">
        <v>507</v>
      </c>
      <c r="C347" s="20" t="s">
        <v>912</v>
      </c>
      <c r="D347" s="20" t="s">
        <v>963</v>
      </c>
      <c r="E347" s="20" t="s">
        <v>914</v>
      </c>
      <c r="F347" s="76" t="s">
        <v>972</v>
      </c>
      <c r="G347" s="20" t="s">
        <v>985</v>
      </c>
      <c r="H347" s="55" t="n">
        <v>10</v>
      </c>
      <c r="I347" s="76" t="s">
        <v>512</v>
      </c>
      <c r="J347" s="76" t="n">
        <v>200</v>
      </c>
      <c r="K347" s="82" t="n">
        <v>1</v>
      </c>
      <c r="L347" s="55" t="n">
        <v>17</v>
      </c>
      <c r="M347" s="73" t="n">
        <v>1.2</v>
      </c>
      <c r="N347" s="74" t="n">
        <f aca="false">K347*L347*M347</f>
        <v>20.4</v>
      </c>
      <c r="O347" s="41" t="n">
        <f aca="false">IFERROR(INDEX(Исходные!$B$21:$B$33,MATCH(H347,Исходные!$A$21:$A$33,0)),0)</f>
        <v>0.617</v>
      </c>
      <c r="P347" s="83" t="n">
        <f aca="false">N347*O347</f>
        <v>12.5868</v>
      </c>
      <c r="Q347" s="20" t="s">
        <v>974</v>
      </c>
      <c r="R347" s="84" t="s">
        <v>514</v>
      </c>
      <c r="S347" s="20"/>
      <c r="T347" s="20" t="s">
        <v>123</v>
      </c>
      <c r="U347" s="53" t="n">
        <v>0</v>
      </c>
      <c r="V347" s="76" t="s">
        <v>975</v>
      </c>
      <c r="W347" s="53" t="n">
        <v>1</v>
      </c>
    </row>
    <row r="348" customFormat="false" ht="23.85" hidden="false" customHeight="false" outlineLevel="0" collapsed="false">
      <c r="A348" s="76" t="n">
        <v>339</v>
      </c>
      <c r="B348" s="20" t="s">
        <v>507</v>
      </c>
      <c r="C348" s="20" t="s">
        <v>912</v>
      </c>
      <c r="D348" s="20" t="s">
        <v>963</v>
      </c>
      <c r="E348" s="20" t="s">
        <v>914</v>
      </c>
      <c r="F348" s="76" t="s">
        <v>972</v>
      </c>
      <c r="G348" s="20" t="s">
        <v>986</v>
      </c>
      <c r="H348" s="55" t="n">
        <v>10</v>
      </c>
      <c r="I348" s="76" t="s">
        <v>512</v>
      </c>
      <c r="J348" s="76" t="n">
        <v>200</v>
      </c>
      <c r="K348" s="82" t="n">
        <v>1</v>
      </c>
      <c r="L348" s="55" t="n">
        <v>36</v>
      </c>
      <c r="M348" s="73" t="n">
        <v>1.2</v>
      </c>
      <c r="N348" s="74" t="n">
        <f aca="false">K348*L348*M348</f>
        <v>43.2</v>
      </c>
      <c r="O348" s="41" t="n">
        <f aca="false">IFERROR(INDEX(Исходные!$B$21:$B$33,MATCH(H348,Исходные!$A$21:$A$33,0)),0)</f>
        <v>0.617</v>
      </c>
      <c r="P348" s="83" t="n">
        <f aca="false">N348*O348</f>
        <v>26.6544</v>
      </c>
      <c r="Q348" s="20" t="s">
        <v>974</v>
      </c>
      <c r="R348" s="84" t="s">
        <v>514</v>
      </c>
      <c r="S348" s="20"/>
      <c r="T348" s="20" t="s">
        <v>123</v>
      </c>
      <c r="U348" s="53" t="n">
        <v>0</v>
      </c>
      <c r="V348" s="76" t="s">
        <v>975</v>
      </c>
      <c r="W348" s="53" t="n">
        <v>1</v>
      </c>
    </row>
    <row r="349" customFormat="false" ht="23.85" hidden="false" customHeight="false" outlineLevel="0" collapsed="false">
      <c r="A349" s="76" t="n">
        <v>340</v>
      </c>
      <c r="B349" s="20" t="s">
        <v>507</v>
      </c>
      <c r="C349" s="20" t="s">
        <v>912</v>
      </c>
      <c r="D349" s="20" t="s">
        <v>963</v>
      </c>
      <c r="E349" s="20" t="s">
        <v>914</v>
      </c>
      <c r="F349" s="76" t="s">
        <v>972</v>
      </c>
      <c r="G349" s="20" t="s">
        <v>987</v>
      </c>
      <c r="H349" s="55" t="n">
        <v>10</v>
      </c>
      <c r="I349" s="76" t="s">
        <v>512</v>
      </c>
      <c r="J349" s="76" t="n">
        <v>200</v>
      </c>
      <c r="K349" s="82" t="n">
        <v>1</v>
      </c>
      <c r="L349" s="55" t="n">
        <v>15</v>
      </c>
      <c r="M349" s="73" t="n">
        <v>1.4</v>
      </c>
      <c r="N349" s="74" t="n">
        <f aca="false">K349*L349*M349</f>
        <v>21</v>
      </c>
      <c r="O349" s="41" t="n">
        <f aca="false">IFERROR(INDEX(Исходные!$B$21:$B$33,MATCH(H349,Исходные!$A$21:$A$33,0)),0)</f>
        <v>0.617</v>
      </c>
      <c r="P349" s="83" t="n">
        <f aca="false">N349*O349</f>
        <v>12.957</v>
      </c>
      <c r="Q349" s="20" t="s">
        <v>974</v>
      </c>
      <c r="R349" s="84" t="s">
        <v>514</v>
      </c>
      <c r="S349" s="20"/>
      <c r="T349" s="20" t="s">
        <v>123</v>
      </c>
      <c r="U349" s="53" t="n">
        <v>0</v>
      </c>
      <c r="V349" s="76" t="s">
        <v>975</v>
      </c>
      <c r="W349" s="53" t="n">
        <v>1</v>
      </c>
    </row>
    <row r="350" customFormat="false" ht="23.85" hidden="false" customHeight="false" outlineLevel="0" collapsed="false">
      <c r="A350" s="76" t="n">
        <v>341</v>
      </c>
      <c r="B350" s="20" t="s">
        <v>507</v>
      </c>
      <c r="C350" s="20" t="s">
        <v>912</v>
      </c>
      <c r="D350" s="20" t="s">
        <v>963</v>
      </c>
      <c r="E350" s="20" t="s">
        <v>914</v>
      </c>
      <c r="F350" s="76" t="s">
        <v>972</v>
      </c>
      <c r="G350" s="20" t="s">
        <v>988</v>
      </c>
      <c r="H350" s="55" t="n">
        <v>10</v>
      </c>
      <c r="I350" s="76" t="s">
        <v>512</v>
      </c>
      <c r="J350" s="76" t="n">
        <v>200</v>
      </c>
      <c r="K350" s="82" t="n">
        <v>1</v>
      </c>
      <c r="L350" s="55" t="n">
        <v>17</v>
      </c>
      <c r="M350" s="73" t="n">
        <v>2.2</v>
      </c>
      <c r="N350" s="74" t="n">
        <f aca="false">K350*L350*M350</f>
        <v>37.4</v>
      </c>
      <c r="O350" s="41" t="n">
        <f aca="false">IFERROR(INDEX(Исходные!$B$21:$B$33,MATCH(H350,Исходные!$A$21:$A$33,0)),0)</f>
        <v>0.617</v>
      </c>
      <c r="P350" s="83" t="n">
        <f aca="false">N350*O350</f>
        <v>23.0758</v>
      </c>
      <c r="Q350" s="20" t="s">
        <v>974</v>
      </c>
      <c r="R350" s="84" t="s">
        <v>514</v>
      </c>
      <c r="S350" s="20"/>
      <c r="T350" s="20" t="s">
        <v>123</v>
      </c>
      <c r="U350" s="53" t="n">
        <v>0</v>
      </c>
      <c r="V350" s="76" t="s">
        <v>975</v>
      </c>
      <c r="W350" s="53" t="n">
        <v>1</v>
      </c>
    </row>
    <row r="351" customFormat="false" ht="23.85" hidden="false" customHeight="false" outlineLevel="0" collapsed="false">
      <c r="A351" s="76" t="n">
        <v>342</v>
      </c>
      <c r="B351" s="20" t="s">
        <v>507</v>
      </c>
      <c r="C351" s="20" t="s">
        <v>912</v>
      </c>
      <c r="D351" s="20" t="s">
        <v>963</v>
      </c>
      <c r="E351" s="20" t="s">
        <v>914</v>
      </c>
      <c r="F351" s="76" t="s">
        <v>972</v>
      </c>
      <c r="G351" s="20" t="s">
        <v>989</v>
      </c>
      <c r="H351" s="55" t="n">
        <v>10</v>
      </c>
      <c r="I351" s="76" t="s">
        <v>512</v>
      </c>
      <c r="J351" s="76" t="n">
        <v>200</v>
      </c>
      <c r="K351" s="82" t="n">
        <v>1</v>
      </c>
      <c r="L351" s="55" t="n">
        <v>29</v>
      </c>
      <c r="M351" s="73" t="n">
        <v>1.4</v>
      </c>
      <c r="N351" s="74" t="n">
        <f aca="false">K351*L351*M351</f>
        <v>40.6</v>
      </c>
      <c r="O351" s="41" t="n">
        <f aca="false">IFERROR(INDEX(Исходные!$B$21:$B$33,MATCH(H351,Исходные!$A$21:$A$33,0)),0)</f>
        <v>0.617</v>
      </c>
      <c r="P351" s="83" t="n">
        <f aca="false">N351*O351</f>
        <v>25.0502</v>
      </c>
      <c r="Q351" s="20" t="s">
        <v>974</v>
      </c>
      <c r="R351" s="84" t="s">
        <v>514</v>
      </c>
      <c r="S351" s="20"/>
      <c r="T351" s="20" t="s">
        <v>123</v>
      </c>
      <c r="U351" s="53" t="n">
        <v>0</v>
      </c>
      <c r="V351" s="76" t="s">
        <v>975</v>
      </c>
      <c r="W351" s="53" t="n">
        <v>1</v>
      </c>
    </row>
    <row r="352" customFormat="false" ht="23.85" hidden="false" customHeight="false" outlineLevel="0" collapsed="false">
      <c r="A352" s="76" t="n">
        <v>343</v>
      </c>
      <c r="B352" s="20" t="s">
        <v>507</v>
      </c>
      <c r="C352" s="20" t="s">
        <v>912</v>
      </c>
      <c r="D352" s="20" t="s">
        <v>963</v>
      </c>
      <c r="E352" s="20" t="s">
        <v>914</v>
      </c>
      <c r="F352" s="76" t="s">
        <v>972</v>
      </c>
      <c r="G352" s="20" t="s">
        <v>990</v>
      </c>
      <c r="H352" s="55" t="n">
        <v>10</v>
      </c>
      <c r="I352" s="76" t="s">
        <v>512</v>
      </c>
      <c r="J352" s="76" t="n">
        <v>200</v>
      </c>
      <c r="K352" s="82" t="n">
        <v>1</v>
      </c>
      <c r="L352" s="55" t="n">
        <v>62</v>
      </c>
      <c r="M352" s="73" t="n">
        <v>2.2</v>
      </c>
      <c r="N352" s="74" t="n">
        <f aca="false">K352*L352*M352</f>
        <v>136.4</v>
      </c>
      <c r="O352" s="41" t="n">
        <f aca="false">IFERROR(INDEX(Исходные!$B$21:$B$33,MATCH(H352,Исходные!$A$21:$A$33,0)),0)</f>
        <v>0.617</v>
      </c>
      <c r="P352" s="83" t="n">
        <f aca="false">N352*O352</f>
        <v>84.1588</v>
      </c>
      <c r="Q352" s="20" t="s">
        <v>974</v>
      </c>
      <c r="R352" s="84" t="s">
        <v>514</v>
      </c>
      <c r="S352" s="20"/>
      <c r="T352" s="20" t="s">
        <v>123</v>
      </c>
      <c r="U352" s="53" t="n">
        <v>0</v>
      </c>
      <c r="V352" s="76" t="s">
        <v>975</v>
      </c>
      <c r="W352" s="53" t="n">
        <v>1</v>
      </c>
    </row>
    <row r="353" customFormat="false" ht="23.85" hidden="false" customHeight="false" outlineLevel="0" collapsed="false">
      <c r="A353" s="76" t="n">
        <v>344</v>
      </c>
      <c r="B353" s="20" t="s">
        <v>507</v>
      </c>
      <c r="C353" s="20" t="s">
        <v>912</v>
      </c>
      <c r="D353" s="20" t="s">
        <v>991</v>
      </c>
      <c r="E353" s="20" t="s">
        <v>914</v>
      </c>
      <c r="F353" s="76" t="s">
        <v>972</v>
      </c>
      <c r="G353" s="20" t="s">
        <v>992</v>
      </c>
      <c r="H353" s="55" t="n">
        <v>20</v>
      </c>
      <c r="I353" s="76" t="s">
        <v>512</v>
      </c>
      <c r="J353" s="76" t="s">
        <v>164</v>
      </c>
      <c r="K353" s="82" t="n">
        <v>4</v>
      </c>
      <c r="L353" s="55" t="n">
        <v>1</v>
      </c>
      <c r="M353" s="73" t="n">
        <v>3</v>
      </c>
      <c r="N353" s="74" t="n">
        <f aca="false">K353*L353*M353</f>
        <v>12</v>
      </c>
      <c r="O353" s="41" t="n">
        <f aca="false">IFERROR(INDEX(Исходные!$B$21:$B$33,MATCH(H353,Исходные!$A$21:$A$33,0)),0)</f>
        <v>2.466</v>
      </c>
      <c r="P353" s="83" t="n">
        <f aca="false">N353*O353</f>
        <v>29.592</v>
      </c>
      <c r="Q353" s="20" t="s">
        <v>993</v>
      </c>
      <c r="R353" s="84" t="s">
        <v>514</v>
      </c>
      <c r="S353" s="20"/>
      <c r="T353" s="20" t="s">
        <v>123</v>
      </c>
      <c r="U353" s="53" t="n">
        <v>0</v>
      </c>
      <c r="V353" s="76" t="s">
        <v>975</v>
      </c>
      <c r="W353" s="53" t="n">
        <v>1</v>
      </c>
    </row>
    <row r="354" customFormat="false" ht="23.85" hidden="false" customHeight="false" outlineLevel="0" collapsed="false">
      <c r="A354" s="76" t="n">
        <v>345</v>
      </c>
      <c r="B354" s="20" t="s">
        <v>507</v>
      </c>
      <c r="C354" s="20" t="s">
        <v>912</v>
      </c>
      <c r="D354" s="20" t="s">
        <v>994</v>
      </c>
      <c r="E354" s="20" t="s">
        <v>914</v>
      </c>
      <c r="F354" s="76" t="s">
        <v>995</v>
      </c>
      <c r="G354" s="20" t="s">
        <v>996</v>
      </c>
      <c r="H354" s="55" t="n">
        <v>14</v>
      </c>
      <c r="I354" s="76" t="s">
        <v>512</v>
      </c>
      <c r="J354" s="76" t="s">
        <v>164</v>
      </c>
      <c r="K354" s="82" t="n">
        <v>1</v>
      </c>
      <c r="L354" s="55" t="n">
        <v>2</v>
      </c>
      <c r="M354" s="73" t="n">
        <v>25.825</v>
      </c>
      <c r="N354" s="74" t="n">
        <f aca="false">K354*L354*M354</f>
        <v>51.65</v>
      </c>
      <c r="O354" s="41" t="n">
        <f aca="false">IFERROR(INDEX(Исходные!$B$21:$B$33,MATCH(H354,Исходные!$A$21:$A$33,0)),0)</f>
        <v>1.208</v>
      </c>
      <c r="P354" s="83" t="n">
        <f aca="false">N354*O354</f>
        <v>62.3932</v>
      </c>
      <c r="Q354" s="20" t="s">
        <v>997</v>
      </c>
      <c r="R354" s="84" t="s">
        <v>660</v>
      </c>
      <c r="S354" s="20"/>
      <c r="T354" s="20" t="s">
        <v>123</v>
      </c>
      <c r="U354" s="53" t="n">
        <v>0</v>
      </c>
      <c r="V354" s="76" t="s">
        <v>998</v>
      </c>
      <c r="W354" s="53" t="n">
        <v>1</v>
      </c>
    </row>
    <row r="355" customFormat="false" ht="35.05" hidden="false" customHeight="false" outlineLevel="0" collapsed="false">
      <c r="A355" s="76" t="n">
        <v>346</v>
      </c>
      <c r="B355" s="20" t="s">
        <v>507</v>
      </c>
      <c r="C355" s="20" t="s">
        <v>912</v>
      </c>
      <c r="D355" s="20" t="s">
        <v>994</v>
      </c>
      <c r="E355" s="20" t="s">
        <v>914</v>
      </c>
      <c r="F355" s="76" t="s">
        <v>999</v>
      </c>
      <c r="G355" s="20" t="s">
        <v>1000</v>
      </c>
      <c r="H355" s="55" t="n">
        <v>14</v>
      </c>
      <c r="I355" s="76" t="s">
        <v>512</v>
      </c>
      <c r="J355" s="76" t="s">
        <v>164</v>
      </c>
      <c r="K355" s="82" t="n">
        <v>2</v>
      </c>
      <c r="L355" s="55" t="n">
        <v>2</v>
      </c>
      <c r="M355" s="73" t="n">
        <v>0.56</v>
      </c>
      <c r="N355" s="74" t="n">
        <f aca="false">K355*L355*M355</f>
        <v>2.24</v>
      </c>
      <c r="O355" s="41" t="n">
        <f aca="false">IFERROR(INDEX(Исходные!$B$21:$B$33,MATCH(H355,Исходные!$A$21:$A$33,0)),0)</f>
        <v>1.208</v>
      </c>
      <c r="P355" s="83" t="n">
        <f aca="false">N355*O355</f>
        <v>2.70592</v>
      </c>
      <c r="Q355" s="20" t="s">
        <v>1001</v>
      </c>
      <c r="R355" s="84" t="s">
        <v>667</v>
      </c>
      <c r="S355" s="20" t="s">
        <v>1002</v>
      </c>
      <c r="T355" s="20" t="s">
        <v>123</v>
      </c>
      <c r="U355" s="53" t="n">
        <v>0</v>
      </c>
      <c r="V355" s="76" t="s">
        <v>998</v>
      </c>
      <c r="W355" s="53" t="n">
        <v>1</v>
      </c>
    </row>
    <row r="356" customFormat="false" ht="23.85" hidden="false" customHeight="false" outlineLevel="0" collapsed="false">
      <c r="A356" s="76" t="n">
        <v>347</v>
      </c>
      <c r="B356" s="20" t="s">
        <v>507</v>
      </c>
      <c r="C356" s="20" t="s">
        <v>912</v>
      </c>
      <c r="D356" s="20" t="s">
        <v>994</v>
      </c>
      <c r="E356" s="20" t="s">
        <v>914</v>
      </c>
      <c r="F356" s="76" t="s">
        <v>995</v>
      </c>
      <c r="G356" s="20" t="s">
        <v>1003</v>
      </c>
      <c r="H356" s="55" t="n">
        <v>14</v>
      </c>
      <c r="I356" s="76" t="s">
        <v>512</v>
      </c>
      <c r="J356" s="76" t="s">
        <v>164</v>
      </c>
      <c r="K356" s="82" t="n">
        <v>1</v>
      </c>
      <c r="L356" s="55" t="n">
        <v>2</v>
      </c>
      <c r="M356" s="73" t="n">
        <v>20.525</v>
      </c>
      <c r="N356" s="74" t="n">
        <f aca="false">K356*L356*M356</f>
        <v>41.05</v>
      </c>
      <c r="O356" s="41" t="n">
        <f aca="false">IFERROR(INDEX(Исходные!$B$21:$B$33,MATCH(H356,Исходные!$A$21:$A$33,0)),0)</f>
        <v>1.208</v>
      </c>
      <c r="P356" s="83" t="n">
        <f aca="false">N356*O356</f>
        <v>49.5884</v>
      </c>
      <c r="Q356" s="20" t="s">
        <v>1004</v>
      </c>
      <c r="R356" s="84" t="s">
        <v>660</v>
      </c>
      <c r="S356" s="20"/>
      <c r="T356" s="20" t="s">
        <v>123</v>
      </c>
      <c r="U356" s="53" t="n">
        <v>0</v>
      </c>
      <c r="V356" s="76" t="s">
        <v>998</v>
      </c>
      <c r="W356" s="53" t="n">
        <v>1</v>
      </c>
    </row>
    <row r="357" customFormat="false" ht="35.05" hidden="false" customHeight="false" outlineLevel="0" collapsed="false">
      <c r="A357" s="76" t="n">
        <v>348</v>
      </c>
      <c r="B357" s="20" t="s">
        <v>507</v>
      </c>
      <c r="C357" s="20" t="s">
        <v>912</v>
      </c>
      <c r="D357" s="20" t="s">
        <v>994</v>
      </c>
      <c r="E357" s="20" t="s">
        <v>914</v>
      </c>
      <c r="F357" s="76" t="s">
        <v>999</v>
      </c>
      <c r="G357" s="20" t="s">
        <v>1005</v>
      </c>
      <c r="H357" s="55" t="n">
        <v>14</v>
      </c>
      <c r="I357" s="76" t="s">
        <v>512</v>
      </c>
      <c r="J357" s="76" t="s">
        <v>164</v>
      </c>
      <c r="K357" s="82" t="n">
        <v>2</v>
      </c>
      <c r="L357" s="55" t="n">
        <v>1</v>
      </c>
      <c r="M357" s="73" t="n">
        <v>0.56</v>
      </c>
      <c r="N357" s="74" t="n">
        <f aca="false">K357*L357*M357</f>
        <v>1.12</v>
      </c>
      <c r="O357" s="41" t="n">
        <f aca="false">IFERROR(INDEX(Исходные!$B$21:$B$33,MATCH(H357,Исходные!$A$21:$A$33,0)),0)</f>
        <v>1.208</v>
      </c>
      <c r="P357" s="83" t="n">
        <f aca="false">N357*O357</f>
        <v>1.35296</v>
      </c>
      <c r="Q357" s="20" t="s">
        <v>1001</v>
      </c>
      <c r="R357" s="84" t="s">
        <v>667</v>
      </c>
      <c r="S357" s="20" t="s">
        <v>1006</v>
      </c>
      <c r="T357" s="20" t="s">
        <v>123</v>
      </c>
      <c r="U357" s="53" t="n">
        <v>0</v>
      </c>
      <c r="V357" s="76" t="s">
        <v>998</v>
      </c>
      <c r="W357" s="53" t="n">
        <v>1</v>
      </c>
    </row>
    <row r="358" customFormat="false" ht="23.85" hidden="false" customHeight="false" outlineLevel="0" collapsed="false">
      <c r="A358" s="76" t="n">
        <v>349</v>
      </c>
      <c r="B358" s="20" t="s">
        <v>507</v>
      </c>
      <c r="C358" s="20" t="s">
        <v>912</v>
      </c>
      <c r="D358" s="20" t="s">
        <v>994</v>
      </c>
      <c r="E358" s="20" t="s">
        <v>914</v>
      </c>
      <c r="F358" s="76" t="s">
        <v>544</v>
      </c>
      <c r="G358" s="20" t="s">
        <v>1007</v>
      </c>
      <c r="H358" s="55" t="n">
        <v>10</v>
      </c>
      <c r="I358" s="76" t="s">
        <v>546</v>
      </c>
      <c r="J358" s="76" t="n">
        <v>400</v>
      </c>
      <c r="K358" s="82" t="n">
        <v>1</v>
      </c>
      <c r="L358" s="55" t="n">
        <v>119</v>
      </c>
      <c r="M358" s="73" t="n">
        <v>0.7</v>
      </c>
      <c r="N358" s="74" t="n">
        <f aca="false">K358*L358*M358</f>
        <v>83.3</v>
      </c>
      <c r="O358" s="41" t="n">
        <f aca="false">IFERROR(INDEX(Исходные!$B$21:$B$33,MATCH(H358,Исходные!$A$21:$A$33,0)),0)</f>
        <v>0.617</v>
      </c>
      <c r="P358" s="83" t="n">
        <f aca="false">N358*O358</f>
        <v>51.3961</v>
      </c>
      <c r="Q358" s="20" t="s">
        <v>1008</v>
      </c>
      <c r="R358" s="84" t="s">
        <v>514</v>
      </c>
      <c r="S358" s="20"/>
      <c r="T358" s="20" t="s">
        <v>123</v>
      </c>
      <c r="U358" s="53" t="n">
        <v>0</v>
      </c>
      <c r="V358" s="76" t="s">
        <v>998</v>
      </c>
      <c r="W358" s="53" t="n">
        <v>1</v>
      </c>
    </row>
    <row r="359" customFormat="false" ht="23.85" hidden="false" customHeight="false" outlineLevel="0" collapsed="false">
      <c r="A359" s="76" t="n">
        <v>350</v>
      </c>
      <c r="B359" s="20" t="s">
        <v>507</v>
      </c>
      <c r="C359" s="20" t="s">
        <v>912</v>
      </c>
      <c r="D359" s="20" t="s">
        <v>1009</v>
      </c>
      <c r="E359" s="20" t="s">
        <v>1010</v>
      </c>
      <c r="F359" s="76" t="s">
        <v>1010</v>
      </c>
      <c r="G359" s="20" t="s">
        <v>1011</v>
      </c>
      <c r="H359" s="55" t="n">
        <v>10</v>
      </c>
      <c r="I359" s="76" t="s">
        <v>546</v>
      </c>
      <c r="J359" s="76" t="s">
        <v>1012</v>
      </c>
      <c r="K359" s="82" t="n">
        <v>1</v>
      </c>
      <c r="L359" s="55" t="n">
        <v>847</v>
      </c>
      <c r="M359" s="73" t="n">
        <v>0.42</v>
      </c>
      <c r="N359" s="74" t="n">
        <f aca="false">K359*L359*M359</f>
        <v>355.74</v>
      </c>
      <c r="O359" s="41" t="n">
        <f aca="false">IFERROR(INDEX(Исходные!$B$21:$B$33,MATCH(H359,Исходные!$A$21:$A$33,0)),0)</f>
        <v>0.617</v>
      </c>
      <c r="P359" s="83" t="n">
        <f aca="false">N359*O359</f>
        <v>219.49158</v>
      </c>
      <c r="Q359" s="20" t="s">
        <v>1013</v>
      </c>
      <c r="R359" s="86" t="s">
        <v>1014</v>
      </c>
      <c r="S359" s="20"/>
      <c r="T359" s="20" t="s">
        <v>123</v>
      </c>
      <c r="U359" s="53" t="n">
        <v>1</v>
      </c>
      <c r="V359" s="76" t="s">
        <v>1015</v>
      </c>
      <c r="W359" s="53" t="n">
        <v>1</v>
      </c>
    </row>
    <row r="360" customFormat="false" ht="23.85" hidden="false" customHeight="false" outlineLevel="0" collapsed="false">
      <c r="A360" s="76" t="n">
        <v>351</v>
      </c>
      <c r="B360" s="20" t="s">
        <v>507</v>
      </c>
      <c r="C360" s="20" t="s">
        <v>912</v>
      </c>
      <c r="D360" s="20" t="s">
        <v>1009</v>
      </c>
      <c r="E360" s="20" t="s">
        <v>1016</v>
      </c>
      <c r="F360" s="76" t="s">
        <v>1016</v>
      </c>
      <c r="G360" s="20" t="s">
        <v>1017</v>
      </c>
      <c r="H360" s="55" t="n">
        <v>8</v>
      </c>
      <c r="I360" s="76" t="s">
        <v>546</v>
      </c>
      <c r="J360" s="76" t="s">
        <v>1018</v>
      </c>
      <c r="K360" s="82" t="n">
        <v>1</v>
      </c>
      <c r="L360" s="55" t="n">
        <v>847</v>
      </c>
      <c r="M360" s="73" t="n">
        <v>0.22</v>
      </c>
      <c r="N360" s="74" t="n">
        <f aca="false">K360*L360*M360</f>
        <v>186.34</v>
      </c>
      <c r="O360" s="41" t="n">
        <f aca="false">IFERROR(INDEX(Исходные!$B$21:$B$33,MATCH(H360,Исходные!$A$21:$A$33,0)),0)</f>
        <v>0.395</v>
      </c>
      <c r="P360" s="83" t="n">
        <f aca="false">N360*O360</f>
        <v>73.6043</v>
      </c>
      <c r="Q360" s="20" t="s">
        <v>1019</v>
      </c>
      <c r="R360" s="86" t="s">
        <v>1014</v>
      </c>
      <c r="S360" s="20"/>
      <c r="T360" s="20" t="s">
        <v>123</v>
      </c>
      <c r="U360" s="53" t="n">
        <v>1</v>
      </c>
      <c r="V360" s="76" t="s">
        <v>1015</v>
      </c>
      <c r="W360" s="53" t="n">
        <v>1</v>
      </c>
    </row>
    <row r="361" customFormat="false" ht="15" hidden="false" customHeight="true" outlineLevel="0" collapsed="false">
      <c r="A361" s="81" t="s">
        <v>1020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</row>
    <row r="362" customFormat="false" ht="35.05" hidden="false" customHeight="false" outlineLevel="0" collapsed="false">
      <c r="A362" s="76" t="n">
        <v>352</v>
      </c>
      <c r="B362" s="20" t="s">
        <v>507</v>
      </c>
      <c r="C362" s="20" t="s">
        <v>1021</v>
      </c>
      <c r="D362" s="20" t="s">
        <v>1022</v>
      </c>
      <c r="E362" s="20" t="s">
        <v>1023</v>
      </c>
      <c r="F362" s="76" t="s">
        <v>522</v>
      </c>
      <c r="G362" s="20" t="s">
        <v>1024</v>
      </c>
      <c r="H362" s="55" t="n">
        <v>25</v>
      </c>
      <c r="I362" s="76" t="s">
        <v>512</v>
      </c>
      <c r="J362" s="76" t="s">
        <v>164</v>
      </c>
      <c r="K362" s="82" t="n">
        <v>1</v>
      </c>
      <c r="L362" s="55" t="n">
        <v>4</v>
      </c>
      <c r="M362" s="73" t="n">
        <v>20.4</v>
      </c>
      <c r="N362" s="74" t="n">
        <f aca="false">K362*L362*M362</f>
        <v>81.6</v>
      </c>
      <c r="O362" s="41" t="n">
        <f aca="false">IFERROR(INDEX(Исходные!$B$21:$B$33,MATCH(H362,Исходные!$A$21:$A$33,0)),0)</f>
        <v>3.853</v>
      </c>
      <c r="P362" s="83" t="n">
        <f aca="false">N362*O362</f>
        <v>314.4048</v>
      </c>
      <c r="Q362" s="20" t="s">
        <v>1025</v>
      </c>
      <c r="R362" s="84" t="s">
        <v>660</v>
      </c>
      <c r="S362" s="20" t="s">
        <v>832</v>
      </c>
      <c r="T362" s="20" t="s">
        <v>123</v>
      </c>
      <c r="U362" s="53" t="n">
        <v>0</v>
      </c>
      <c r="V362" s="76" t="s">
        <v>1026</v>
      </c>
      <c r="W362" s="53" t="n">
        <v>1</v>
      </c>
    </row>
    <row r="363" customFormat="false" ht="35.05" hidden="false" customHeight="false" outlineLevel="0" collapsed="false">
      <c r="A363" s="76" t="n">
        <v>353</v>
      </c>
      <c r="B363" s="20" t="s">
        <v>507</v>
      </c>
      <c r="C363" s="20" t="s">
        <v>1021</v>
      </c>
      <c r="D363" s="20" t="s">
        <v>1027</v>
      </c>
      <c r="E363" s="20" t="s">
        <v>1023</v>
      </c>
      <c r="F363" s="76" t="s">
        <v>522</v>
      </c>
      <c r="G363" s="20" t="s">
        <v>1028</v>
      </c>
      <c r="H363" s="55" t="n">
        <v>25</v>
      </c>
      <c r="I363" s="76" t="s">
        <v>512</v>
      </c>
      <c r="J363" s="76" t="s">
        <v>164</v>
      </c>
      <c r="K363" s="82" t="n">
        <v>1</v>
      </c>
      <c r="L363" s="55" t="n">
        <v>4</v>
      </c>
      <c r="M363" s="73" t="n">
        <v>20.4</v>
      </c>
      <c r="N363" s="74" t="n">
        <f aca="false">K363*L363*M363</f>
        <v>81.6</v>
      </c>
      <c r="O363" s="41" t="n">
        <f aca="false">IFERROR(INDEX(Исходные!$B$21:$B$33,MATCH(H363,Исходные!$A$21:$A$33,0)),0)</f>
        <v>3.853</v>
      </c>
      <c r="P363" s="83" t="n">
        <f aca="false">N363*O363</f>
        <v>314.4048</v>
      </c>
      <c r="Q363" s="20" t="s">
        <v>1025</v>
      </c>
      <c r="R363" s="84" t="s">
        <v>660</v>
      </c>
      <c r="S363" s="20" t="s">
        <v>832</v>
      </c>
      <c r="T363" s="20" t="s">
        <v>123</v>
      </c>
      <c r="U363" s="53" t="n">
        <v>0</v>
      </c>
      <c r="V363" s="76" t="s">
        <v>1026</v>
      </c>
      <c r="W363" s="53" t="n">
        <v>1</v>
      </c>
    </row>
    <row r="364" customFormat="false" ht="35.05" hidden="false" customHeight="false" outlineLevel="0" collapsed="false">
      <c r="A364" s="76" t="n">
        <v>354</v>
      </c>
      <c r="B364" s="20" t="s">
        <v>507</v>
      </c>
      <c r="C364" s="20" t="s">
        <v>1021</v>
      </c>
      <c r="D364" s="20" t="s">
        <v>1029</v>
      </c>
      <c r="E364" s="20" t="s">
        <v>1023</v>
      </c>
      <c r="F364" s="76" t="s">
        <v>522</v>
      </c>
      <c r="G364" s="20" t="s">
        <v>1030</v>
      </c>
      <c r="H364" s="55" t="n">
        <v>25</v>
      </c>
      <c r="I364" s="76" t="s">
        <v>512</v>
      </c>
      <c r="J364" s="76" t="s">
        <v>164</v>
      </c>
      <c r="K364" s="82" t="n">
        <v>1</v>
      </c>
      <c r="L364" s="55" t="n">
        <v>4</v>
      </c>
      <c r="M364" s="73" t="n">
        <v>13.9</v>
      </c>
      <c r="N364" s="74" t="n">
        <f aca="false">K364*L364*M364</f>
        <v>55.6</v>
      </c>
      <c r="O364" s="41" t="n">
        <f aca="false">IFERROR(INDEX(Исходные!$B$21:$B$33,MATCH(H364,Исходные!$A$21:$A$33,0)),0)</f>
        <v>3.853</v>
      </c>
      <c r="P364" s="83" t="n">
        <f aca="false">N364*O364</f>
        <v>214.2268</v>
      </c>
      <c r="Q364" s="20" t="s">
        <v>1025</v>
      </c>
      <c r="R364" s="84" t="s">
        <v>660</v>
      </c>
      <c r="S364" s="20" t="s">
        <v>832</v>
      </c>
      <c r="T364" s="20" t="s">
        <v>123</v>
      </c>
      <c r="U364" s="53" t="n">
        <v>0</v>
      </c>
      <c r="V364" s="76" t="s">
        <v>1026</v>
      </c>
      <c r="W364" s="53" t="n">
        <v>1</v>
      </c>
    </row>
    <row r="365" customFormat="false" ht="35.05" hidden="false" customHeight="false" outlineLevel="0" collapsed="false">
      <c r="A365" s="76" t="n">
        <v>355</v>
      </c>
      <c r="B365" s="20" t="s">
        <v>507</v>
      </c>
      <c r="C365" s="20" t="s">
        <v>1021</v>
      </c>
      <c r="D365" s="20" t="s">
        <v>1031</v>
      </c>
      <c r="E365" s="20" t="s">
        <v>1023</v>
      </c>
      <c r="F365" s="76" t="s">
        <v>522</v>
      </c>
      <c r="G365" s="20" t="s">
        <v>1032</v>
      </c>
      <c r="H365" s="55" t="n">
        <v>25</v>
      </c>
      <c r="I365" s="76" t="s">
        <v>512</v>
      </c>
      <c r="J365" s="76" t="s">
        <v>164</v>
      </c>
      <c r="K365" s="82" t="n">
        <v>1</v>
      </c>
      <c r="L365" s="55" t="n">
        <v>4</v>
      </c>
      <c r="M365" s="73" t="n">
        <v>20.4</v>
      </c>
      <c r="N365" s="74" t="n">
        <f aca="false">K365*L365*M365</f>
        <v>81.6</v>
      </c>
      <c r="O365" s="41" t="n">
        <f aca="false">IFERROR(INDEX(Исходные!$B$21:$B$33,MATCH(H365,Исходные!$A$21:$A$33,0)),0)</f>
        <v>3.853</v>
      </c>
      <c r="P365" s="83" t="n">
        <f aca="false">N365*O365</f>
        <v>314.4048</v>
      </c>
      <c r="Q365" s="20" t="s">
        <v>1025</v>
      </c>
      <c r="R365" s="84" t="s">
        <v>660</v>
      </c>
      <c r="S365" s="20" t="s">
        <v>832</v>
      </c>
      <c r="T365" s="20" t="s">
        <v>123</v>
      </c>
      <c r="U365" s="53" t="n">
        <v>0</v>
      </c>
      <c r="V365" s="76" t="s">
        <v>1026</v>
      </c>
      <c r="W365" s="53" t="n">
        <v>1</v>
      </c>
    </row>
    <row r="366" customFormat="false" ht="35.05" hidden="false" customHeight="false" outlineLevel="0" collapsed="false">
      <c r="A366" s="76" t="n">
        <v>356</v>
      </c>
      <c r="B366" s="20" t="s">
        <v>507</v>
      </c>
      <c r="C366" s="20" t="s">
        <v>1021</v>
      </c>
      <c r="D366" s="20" t="s">
        <v>1033</v>
      </c>
      <c r="E366" s="20" t="s">
        <v>1023</v>
      </c>
      <c r="F366" s="76" t="s">
        <v>522</v>
      </c>
      <c r="G366" s="20" t="s">
        <v>1034</v>
      </c>
      <c r="H366" s="55" t="n">
        <v>25</v>
      </c>
      <c r="I366" s="76" t="s">
        <v>512</v>
      </c>
      <c r="J366" s="76" t="s">
        <v>164</v>
      </c>
      <c r="K366" s="82" t="n">
        <v>1</v>
      </c>
      <c r="L366" s="55" t="n">
        <v>4</v>
      </c>
      <c r="M366" s="73" t="n">
        <v>25.4</v>
      </c>
      <c r="N366" s="74" t="n">
        <f aca="false">K366*L366*M366</f>
        <v>101.6</v>
      </c>
      <c r="O366" s="41" t="n">
        <f aca="false">IFERROR(INDEX(Исходные!$B$21:$B$33,MATCH(H366,Исходные!$A$21:$A$33,0)),0)</f>
        <v>3.853</v>
      </c>
      <c r="P366" s="83" t="n">
        <f aca="false">N366*O366</f>
        <v>391.4648</v>
      </c>
      <c r="Q366" s="20" t="s">
        <v>1025</v>
      </c>
      <c r="R366" s="84" t="s">
        <v>660</v>
      </c>
      <c r="S366" s="20" t="s">
        <v>661</v>
      </c>
      <c r="T366" s="20" t="s">
        <v>123</v>
      </c>
      <c r="U366" s="53" t="n">
        <v>0</v>
      </c>
      <c r="V366" s="76" t="s">
        <v>1026</v>
      </c>
      <c r="W366" s="53" t="n">
        <v>1</v>
      </c>
    </row>
    <row r="367" customFormat="false" ht="35.05" hidden="false" customHeight="false" outlineLevel="0" collapsed="false">
      <c r="A367" s="76" t="n">
        <v>357</v>
      </c>
      <c r="B367" s="20" t="s">
        <v>507</v>
      </c>
      <c r="C367" s="20" t="s">
        <v>1021</v>
      </c>
      <c r="D367" s="20" t="s">
        <v>1035</v>
      </c>
      <c r="E367" s="20" t="s">
        <v>1023</v>
      </c>
      <c r="F367" s="76" t="s">
        <v>522</v>
      </c>
      <c r="G367" s="20" t="s">
        <v>1036</v>
      </c>
      <c r="H367" s="55" t="n">
        <v>25</v>
      </c>
      <c r="I367" s="76" t="s">
        <v>512</v>
      </c>
      <c r="J367" s="76" t="s">
        <v>164</v>
      </c>
      <c r="K367" s="82" t="n">
        <v>1</v>
      </c>
      <c r="L367" s="55" t="n">
        <v>4</v>
      </c>
      <c r="M367" s="73" t="n">
        <v>25.4</v>
      </c>
      <c r="N367" s="74" t="n">
        <f aca="false">K367*L367*M367</f>
        <v>101.6</v>
      </c>
      <c r="O367" s="41" t="n">
        <f aca="false">IFERROR(INDEX(Исходные!$B$21:$B$33,MATCH(H367,Исходные!$A$21:$A$33,0)),0)</f>
        <v>3.853</v>
      </c>
      <c r="P367" s="83" t="n">
        <f aca="false">N367*O367</f>
        <v>391.4648</v>
      </c>
      <c r="Q367" s="20" t="s">
        <v>1025</v>
      </c>
      <c r="R367" s="84" t="s">
        <v>660</v>
      </c>
      <c r="S367" s="20" t="s">
        <v>661</v>
      </c>
      <c r="T367" s="20" t="s">
        <v>123</v>
      </c>
      <c r="U367" s="53" t="n">
        <v>0</v>
      </c>
      <c r="V367" s="76" t="s">
        <v>1026</v>
      </c>
      <c r="W367" s="53" t="n">
        <v>1</v>
      </c>
    </row>
    <row r="368" customFormat="false" ht="35.05" hidden="false" customHeight="false" outlineLevel="0" collapsed="false">
      <c r="A368" s="76" t="n">
        <v>358</v>
      </c>
      <c r="B368" s="20" t="s">
        <v>507</v>
      </c>
      <c r="C368" s="20" t="s">
        <v>1021</v>
      </c>
      <c r="D368" s="20" t="s">
        <v>1037</v>
      </c>
      <c r="E368" s="20" t="s">
        <v>1023</v>
      </c>
      <c r="F368" s="76" t="s">
        <v>522</v>
      </c>
      <c r="G368" s="20" t="s">
        <v>1038</v>
      </c>
      <c r="H368" s="55" t="n">
        <v>25</v>
      </c>
      <c r="I368" s="76" t="s">
        <v>512</v>
      </c>
      <c r="J368" s="76" t="s">
        <v>164</v>
      </c>
      <c r="K368" s="82" t="n">
        <v>1</v>
      </c>
      <c r="L368" s="55" t="n">
        <v>4</v>
      </c>
      <c r="M368" s="73" t="n">
        <v>13.9</v>
      </c>
      <c r="N368" s="74" t="n">
        <f aca="false">K368*L368*M368</f>
        <v>55.6</v>
      </c>
      <c r="O368" s="41" t="n">
        <f aca="false">IFERROR(INDEX(Исходные!$B$21:$B$33,MATCH(H368,Исходные!$A$21:$A$33,0)),0)</f>
        <v>3.853</v>
      </c>
      <c r="P368" s="83" t="n">
        <f aca="false">N368*O368</f>
        <v>214.2268</v>
      </c>
      <c r="Q368" s="20" t="s">
        <v>1025</v>
      </c>
      <c r="R368" s="84" t="s">
        <v>660</v>
      </c>
      <c r="S368" s="20" t="s">
        <v>832</v>
      </c>
      <c r="T368" s="20" t="s">
        <v>123</v>
      </c>
      <c r="U368" s="53" t="n">
        <v>0</v>
      </c>
      <c r="V368" s="76" t="s">
        <v>1026</v>
      </c>
      <c r="W368" s="53" t="n">
        <v>1</v>
      </c>
    </row>
    <row r="369" customFormat="false" ht="35.05" hidden="false" customHeight="false" outlineLevel="0" collapsed="false">
      <c r="A369" s="76" t="n">
        <v>359</v>
      </c>
      <c r="B369" s="20" t="s">
        <v>507</v>
      </c>
      <c r="C369" s="20" t="s">
        <v>1021</v>
      </c>
      <c r="D369" s="20" t="s">
        <v>1039</v>
      </c>
      <c r="E369" s="20" t="s">
        <v>1040</v>
      </c>
      <c r="F369" s="76" t="s">
        <v>522</v>
      </c>
      <c r="G369" s="20" t="s">
        <v>1041</v>
      </c>
      <c r="H369" s="55" t="n">
        <v>25</v>
      </c>
      <c r="I369" s="76" t="s">
        <v>512</v>
      </c>
      <c r="J369" s="76" t="s">
        <v>164</v>
      </c>
      <c r="K369" s="82" t="n">
        <v>1</v>
      </c>
      <c r="L369" s="55" t="n">
        <v>4</v>
      </c>
      <c r="M369" s="73" t="n">
        <v>11.9</v>
      </c>
      <c r="N369" s="74" t="n">
        <f aca="false">K369*L369*M369</f>
        <v>47.6</v>
      </c>
      <c r="O369" s="41" t="n">
        <f aca="false">IFERROR(INDEX(Исходные!$B$21:$B$33,MATCH(H369,Исходные!$A$21:$A$33,0)),0)</f>
        <v>3.853</v>
      </c>
      <c r="P369" s="83" t="n">
        <f aca="false">N369*O369</f>
        <v>183.4028</v>
      </c>
      <c r="Q369" s="20" t="s">
        <v>1042</v>
      </c>
      <c r="R369" s="84" t="s">
        <v>660</v>
      </c>
      <c r="S369" s="20" t="s">
        <v>832</v>
      </c>
      <c r="T369" s="20" t="s">
        <v>123</v>
      </c>
      <c r="U369" s="53" t="n">
        <v>0</v>
      </c>
      <c r="V369" s="76" t="s">
        <v>1026</v>
      </c>
      <c r="W369" s="53" t="n">
        <v>1</v>
      </c>
    </row>
    <row r="370" customFormat="false" ht="35.05" hidden="false" customHeight="false" outlineLevel="0" collapsed="false">
      <c r="A370" s="76" t="n">
        <v>360</v>
      </c>
      <c r="B370" s="20" t="s">
        <v>507</v>
      </c>
      <c r="C370" s="20" t="s">
        <v>1021</v>
      </c>
      <c r="D370" s="20" t="s">
        <v>1043</v>
      </c>
      <c r="E370" s="20" t="s">
        <v>1044</v>
      </c>
      <c r="F370" s="76" t="s">
        <v>522</v>
      </c>
      <c r="G370" s="20" t="s">
        <v>1045</v>
      </c>
      <c r="H370" s="55" t="n">
        <v>25</v>
      </c>
      <c r="I370" s="76" t="s">
        <v>512</v>
      </c>
      <c r="J370" s="76" t="s">
        <v>164</v>
      </c>
      <c r="K370" s="82" t="n">
        <v>1</v>
      </c>
      <c r="L370" s="55" t="n">
        <v>4</v>
      </c>
      <c r="M370" s="73" t="n">
        <v>3.785</v>
      </c>
      <c r="N370" s="74" t="n">
        <f aca="false">K370*L370*M370</f>
        <v>15.14</v>
      </c>
      <c r="O370" s="41" t="n">
        <f aca="false">IFERROR(INDEX(Исходные!$B$21:$B$33,MATCH(H370,Исходные!$A$21:$A$33,0)),0)</f>
        <v>3.853</v>
      </c>
      <c r="P370" s="83" t="n">
        <f aca="false">N370*O370</f>
        <v>58.33442</v>
      </c>
      <c r="Q370" s="20" t="s">
        <v>1046</v>
      </c>
      <c r="R370" s="84" t="s">
        <v>660</v>
      </c>
      <c r="S370" s="20"/>
      <c r="T370" s="20" t="s">
        <v>123</v>
      </c>
      <c r="U370" s="53" t="n">
        <v>0</v>
      </c>
      <c r="V370" s="76" t="s">
        <v>1026</v>
      </c>
      <c r="W370" s="53" t="n">
        <v>1</v>
      </c>
    </row>
    <row r="371" customFormat="false" ht="35.05" hidden="false" customHeight="false" outlineLevel="0" collapsed="false">
      <c r="A371" s="76" t="n">
        <v>361</v>
      </c>
      <c r="B371" s="20" t="s">
        <v>507</v>
      </c>
      <c r="C371" s="20" t="s">
        <v>1021</v>
      </c>
      <c r="D371" s="20" t="s">
        <v>1047</v>
      </c>
      <c r="E371" s="20" t="s">
        <v>1044</v>
      </c>
      <c r="F371" s="76" t="s">
        <v>522</v>
      </c>
      <c r="G371" s="20" t="s">
        <v>1048</v>
      </c>
      <c r="H371" s="55" t="n">
        <v>25</v>
      </c>
      <c r="I371" s="76" t="s">
        <v>512</v>
      </c>
      <c r="J371" s="76" t="s">
        <v>164</v>
      </c>
      <c r="K371" s="82" t="n">
        <v>1</v>
      </c>
      <c r="L371" s="55" t="n">
        <v>4</v>
      </c>
      <c r="M371" s="73" t="n">
        <v>3.365</v>
      </c>
      <c r="N371" s="74" t="n">
        <f aca="false">K371*L371*M371</f>
        <v>13.46</v>
      </c>
      <c r="O371" s="41" t="n">
        <f aca="false">IFERROR(INDEX(Исходные!$B$21:$B$33,MATCH(H371,Исходные!$A$21:$A$33,0)),0)</f>
        <v>3.853</v>
      </c>
      <c r="P371" s="83" t="n">
        <f aca="false">N371*O371</f>
        <v>51.86138</v>
      </c>
      <c r="Q371" s="20" t="s">
        <v>1046</v>
      </c>
      <c r="R371" s="84" t="s">
        <v>660</v>
      </c>
      <c r="S371" s="20"/>
      <c r="T371" s="20" t="s">
        <v>123</v>
      </c>
      <c r="U371" s="53" t="n">
        <v>0</v>
      </c>
      <c r="V371" s="76" t="s">
        <v>1026</v>
      </c>
      <c r="W371" s="53" t="n">
        <v>1</v>
      </c>
    </row>
    <row r="372" customFormat="false" ht="35.05" hidden="false" customHeight="false" outlineLevel="0" collapsed="false">
      <c r="A372" s="76" t="n">
        <v>362</v>
      </c>
      <c r="B372" s="20" t="s">
        <v>507</v>
      </c>
      <c r="C372" s="20" t="s">
        <v>1021</v>
      </c>
      <c r="D372" s="20" t="s">
        <v>1049</v>
      </c>
      <c r="E372" s="20" t="s">
        <v>1050</v>
      </c>
      <c r="F372" s="76" t="s">
        <v>516</v>
      </c>
      <c r="G372" s="20" t="s">
        <v>1051</v>
      </c>
      <c r="H372" s="55" t="n">
        <v>20</v>
      </c>
      <c r="I372" s="76" t="s">
        <v>512</v>
      </c>
      <c r="J372" s="76" t="s">
        <v>164</v>
      </c>
      <c r="K372" s="82" t="n">
        <v>1</v>
      </c>
      <c r="L372" s="55" t="n">
        <v>4</v>
      </c>
      <c r="M372" s="73" t="n">
        <v>3.05</v>
      </c>
      <c r="N372" s="74" t="n">
        <f aca="false">K372*L372*M372</f>
        <v>12.2</v>
      </c>
      <c r="O372" s="41" t="n">
        <f aca="false">IFERROR(INDEX(Исходные!$B$21:$B$33,MATCH(H372,Исходные!$A$21:$A$33,0)),0)</f>
        <v>2.466</v>
      </c>
      <c r="P372" s="83" t="n">
        <f aca="false">N372*O372</f>
        <v>30.0852</v>
      </c>
      <c r="Q372" s="20" t="s">
        <v>1052</v>
      </c>
      <c r="R372" s="84" t="s">
        <v>660</v>
      </c>
      <c r="S372" s="20"/>
      <c r="T372" s="20" t="s">
        <v>123</v>
      </c>
      <c r="U372" s="53" t="n">
        <v>0</v>
      </c>
      <c r="V372" s="76" t="s">
        <v>1026</v>
      </c>
      <c r="W372" s="53" t="n">
        <v>1</v>
      </c>
    </row>
    <row r="373" customFormat="false" ht="35.05" hidden="false" customHeight="false" outlineLevel="0" collapsed="false">
      <c r="A373" s="76" t="n">
        <v>363</v>
      </c>
      <c r="B373" s="20" t="s">
        <v>507</v>
      </c>
      <c r="C373" s="20" t="s">
        <v>1021</v>
      </c>
      <c r="D373" s="20" t="s">
        <v>1053</v>
      </c>
      <c r="E373" s="20" t="s">
        <v>1050</v>
      </c>
      <c r="F373" s="76" t="s">
        <v>516</v>
      </c>
      <c r="G373" s="20" t="s">
        <v>1054</v>
      </c>
      <c r="H373" s="55" t="n">
        <v>20</v>
      </c>
      <c r="I373" s="76" t="s">
        <v>512</v>
      </c>
      <c r="J373" s="76" t="s">
        <v>164</v>
      </c>
      <c r="K373" s="82" t="n">
        <v>1</v>
      </c>
      <c r="L373" s="55" t="n">
        <v>4</v>
      </c>
      <c r="M373" s="73" t="n">
        <v>3.785</v>
      </c>
      <c r="N373" s="74" t="n">
        <f aca="false">K373*L373*M373</f>
        <v>15.14</v>
      </c>
      <c r="O373" s="41" t="n">
        <f aca="false">IFERROR(INDEX(Исходные!$B$21:$B$33,MATCH(H373,Исходные!$A$21:$A$33,0)),0)</f>
        <v>2.466</v>
      </c>
      <c r="P373" s="83" t="n">
        <f aca="false">N373*O373</f>
        <v>37.33524</v>
      </c>
      <c r="Q373" s="20" t="s">
        <v>1052</v>
      </c>
      <c r="R373" s="84" t="s">
        <v>660</v>
      </c>
      <c r="S373" s="20"/>
      <c r="T373" s="20" t="s">
        <v>123</v>
      </c>
      <c r="U373" s="53" t="n">
        <v>0</v>
      </c>
      <c r="V373" s="76" t="s">
        <v>1026</v>
      </c>
      <c r="W373" s="53" t="n">
        <v>1</v>
      </c>
    </row>
    <row r="374" customFormat="false" ht="35.05" hidden="false" customHeight="false" outlineLevel="0" collapsed="false">
      <c r="A374" s="76" t="n">
        <v>364</v>
      </c>
      <c r="B374" s="20" t="s">
        <v>507</v>
      </c>
      <c r="C374" s="20" t="s">
        <v>1021</v>
      </c>
      <c r="D374" s="20" t="s">
        <v>1055</v>
      </c>
      <c r="E374" s="20" t="s">
        <v>1050</v>
      </c>
      <c r="F374" s="76" t="s">
        <v>516</v>
      </c>
      <c r="G374" s="20" t="s">
        <v>1056</v>
      </c>
      <c r="H374" s="55" t="n">
        <v>20</v>
      </c>
      <c r="I374" s="76" t="s">
        <v>512</v>
      </c>
      <c r="J374" s="76" t="s">
        <v>164</v>
      </c>
      <c r="K374" s="82" t="n">
        <v>1</v>
      </c>
      <c r="L374" s="55" t="n">
        <v>4</v>
      </c>
      <c r="M374" s="73" t="n">
        <v>4.1</v>
      </c>
      <c r="N374" s="74" t="n">
        <f aca="false">K374*L374*M374</f>
        <v>16.4</v>
      </c>
      <c r="O374" s="41" t="n">
        <f aca="false">IFERROR(INDEX(Исходные!$B$21:$B$33,MATCH(H374,Исходные!$A$21:$A$33,0)),0)</f>
        <v>2.466</v>
      </c>
      <c r="P374" s="83" t="n">
        <f aca="false">N374*O374</f>
        <v>40.4424</v>
      </c>
      <c r="Q374" s="20" t="s">
        <v>1052</v>
      </c>
      <c r="R374" s="84" t="s">
        <v>660</v>
      </c>
      <c r="S374" s="20"/>
      <c r="T374" s="20" t="s">
        <v>123</v>
      </c>
      <c r="U374" s="53" t="n">
        <v>0</v>
      </c>
      <c r="V374" s="76" t="s">
        <v>1026</v>
      </c>
      <c r="W374" s="53" t="n">
        <v>1</v>
      </c>
    </row>
    <row r="375" customFormat="false" ht="35.05" hidden="false" customHeight="false" outlineLevel="0" collapsed="false">
      <c r="A375" s="76" t="n">
        <v>365</v>
      </c>
      <c r="B375" s="20" t="s">
        <v>507</v>
      </c>
      <c r="C375" s="20" t="s">
        <v>1021</v>
      </c>
      <c r="D375" s="20" t="s">
        <v>1057</v>
      </c>
      <c r="E375" s="20" t="s">
        <v>1050</v>
      </c>
      <c r="F375" s="76" t="s">
        <v>516</v>
      </c>
      <c r="G375" s="20" t="s">
        <v>1058</v>
      </c>
      <c r="H375" s="55" t="n">
        <v>20</v>
      </c>
      <c r="I375" s="76" t="s">
        <v>512</v>
      </c>
      <c r="J375" s="76" t="s">
        <v>164</v>
      </c>
      <c r="K375" s="82" t="n">
        <v>1</v>
      </c>
      <c r="L375" s="55" t="n">
        <v>4</v>
      </c>
      <c r="M375" s="73" t="n">
        <v>3.325</v>
      </c>
      <c r="N375" s="74" t="n">
        <f aca="false">K375*L375*M375</f>
        <v>13.3</v>
      </c>
      <c r="O375" s="41" t="n">
        <f aca="false">IFERROR(INDEX(Исходные!$B$21:$B$33,MATCH(H375,Исходные!$A$21:$A$33,0)),0)</f>
        <v>2.466</v>
      </c>
      <c r="P375" s="83" t="n">
        <f aca="false">N375*O375</f>
        <v>32.7978</v>
      </c>
      <c r="Q375" s="20" t="s">
        <v>1052</v>
      </c>
      <c r="R375" s="84" t="s">
        <v>660</v>
      </c>
      <c r="S375" s="20"/>
      <c r="T375" s="20" t="s">
        <v>123</v>
      </c>
      <c r="U375" s="53" t="n">
        <v>0</v>
      </c>
      <c r="V375" s="76" t="s">
        <v>1026</v>
      </c>
      <c r="W375" s="53" t="n">
        <v>1</v>
      </c>
    </row>
    <row r="376" customFormat="false" ht="35.05" hidden="false" customHeight="false" outlineLevel="0" collapsed="false">
      <c r="A376" s="76" t="n">
        <v>366</v>
      </c>
      <c r="B376" s="20" t="s">
        <v>507</v>
      </c>
      <c r="C376" s="20" t="s">
        <v>1021</v>
      </c>
      <c r="D376" s="20" t="s">
        <v>1059</v>
      </c>
      <c r="E376" s="20" t="s">
        <v>1060</v>
      </c>
      <c r="F376" s="76" t="s">
        <v>575</v>
      </c>
      <c r="G376" s="20" t="s">
        <v>1061</v>
      </c>
      <c r="H376" s="55" t="n">
        <v>22</v>
      </c>
      <c r="I376" s="76" t="s">
        <v>512</v>
      </c>
      <c r="J376" s="76" t="s">
        <v>164</v>
      </c>
      <c r="K376" s="82" t="n">
        <v>1</v>
      </c>
      <c r="L376" s="55" t="n">
        <v>4</v>
      </c>
      <c r="M376" s="73" t="n">
        <v>2.175</v>
      </c>
      <c r="N376" s="74" t="n">
        <f aca="false">K376*L376*M376</f>
        <v>8.7</v>
      </c>
      <c r="O376" s="41" t="n">
        <f aca="false">IFERROR(INDEX(Исходные!$B$21:$B$33,MATCH(H376,Исходные!$A$21:$A$33,0)),0)</f>
        <v>2.984</v>
      </c>
      <c r="P376" s="83" t="n">
        <f aca="false">N376*O376</f>
        <v>25.9608</v>
      </c>
      <c r="Q376" s="20" t="s">
        <v>1062</v>
      </c>
      <c r="R376" s="84" t="s">
        <v>660</v>
      </c>
      <c r="S376" s="20"/>
      <c r="T376" s="20" t="s">
        <v>123</v>
      </c>
      <c r="U376" s="53" t="n">
        <v>0</v>
      </c>
      <c r="V376" s="76" t="s">
        <v>1026</v>
      </c>
      <c r="W376" s="53" t="n">
        <v>1</v>
      </c>
    </row>
    <row r="377" customFormat="false" ht="35.05" hidden="false" customHeight="false" outlineLevel="0" collapsed="false">
      <c r="A377" s="76" t="n">
        <v>367</v>
      </c>
      <c r="B377" s="20" t="s">
        <v>507</v>
      </c>
      <c r="C377" s="20" t="s">
        <v>1021</v>
      </c>
      <c r="D377" s="20" t="s">
        <v>1059</v>
      </c>
      <c r="E377" s="20" t="s">
        <v>1060</v>
      </c>
      <c r="F377" s="76" t="s">
        <v>575</v>
      </c>
      <c r="G377" s="20" t="s">
        <v>1063</v>
      </c>
      <c r="H377" s="55" t="n">
        <v>22</v>
      </c>
      <c r="I377" s="76" t="s">
        <v>512</v>
      </c>
      <c r="J377" s="76" t="s">
        <v>164</v>
      </c>
      <c r="K377" s="82" t="n">
        <v>1</v>
      </c>
      <c r="L377" s="55" t="n">
        <v>4</v>
      </c>
      <c r="M377" s="73" t="n">
        <v>4.15</v>
      </c>
      <c r="N377" s="74" t="n">
        <f aca="false">K377*L377*M377</f>
        <v>16.6</v>
      </c>
      <c r="O377" s="41" t="n">
        <f aca="false">IFERROR(INDEX(Исходные!$B$21:$B$33,MATCH(H377,Исходные!$A$21:$A$33,0)),0)</f>
        <v>2.984</v>
      </c>
      <c r="P377" s="83" t="n">
        <f aca="false">N377*O377</f>
        <v>49.5344</v>
      </c>
      <c r="Q377" s="20" t="s">
        <v>1062</v>
      </c>
      <c r="R377" s="84" t="s">
        <v>660</v>
      </c>
      <c r="S377" s="20"/>
      <c r="T377" s="20" t="s">
        <v>123</v>
      </c>
      <c r="U377" s="53" t="n">
        <v>0</v>
      </c>
      <c r="V377" s="76" t="s">
        <v>1026</v>
      </c>
      <c r="W377" s="53" t="n">
        <v>1</v>
      </c>
    </row>
    <row r="378" customFormat="false" ht="35.05" hidden="false" customHeight="false" outlineLevel="0" collapsed="false">
      <c r="A378" s="76" t="n">
        <v>368</v>
      </c>
      <c r="B378" s="20" t="s">
        <v>507</v>
      </c>
      <c r="C378" s="20" t="s">
        <v>1021</v>
      </c>
      <c r="D378" s="20" t="s">
        <v>1059</v>
      </c>
      <c r="E378" s="20" t="s">
        <v>1060</v>
      </c>
      <c r="F378" s="76" t="s">
        <v>575</v>
      </c>
      <c r="G378" s="20" t="s">
        <v>1064</v>
      </c>
      <c r="H378" s="55" t="n">
        <v>22</v>
      </c>
      <c r="I378" s="76" t="s">
        <v>512</v>
      </c>
      <c r="J378" s="76" t="s">
        <v>164</v>
      </c>
      <c r="K378" s="82" t="n">
        <v>1</v>
      </c>
      <c r="L378" s="55" t="n">
        <v>4</v>
      </c>
      <c r="M378" s="73" t="n">
        <v>2.175</v>
      </c>
      <c r="N378" s="74" t="n">
        <f aca="false">K378*L378*M378</f>
        <v>8.7</v>
      </c>
      <c r="O378" s="41" t="n">
        <f aca="false">IFERROR(INDEX(Исходные!$B$21:$B$33,MATCH(H378,Исходные!$A$21:$A$33,0)),0)</f>
        <v>2.984</v>
      </c>
      <c r="P378" s="83" t="n">
        <f aca="false">N378*O378</f>
        <v>25.9608</v>
      </c>
      <c r="Q378" s="20" t="s">
        <v>1062</v>
      </c>
      <c r="R378" s="84" t="s">
        <v>660</v>
      </c>
      <c r="S378" s="20"/>
      <c r="T378" s="20" t="s">
        <v>123</v>
      </c>
      <c r="U378" s="53" t="n">
        <v>0</v>
      </c>
      <c r="V378" s="76" t="s">
        <v>1026</v>
      </c>
      <c r="W378" s="53" t="n">
        <v>1</v>
      </c>
    </row>
    <row r="379" customFormat="false" ht="35.05" hidden="false" customHeight="false" outlineLevel="0" collapsed="false">
      <c r="A379" s="76" t="n">
        <v>369</v>
      </c>
      <c r="B379" s="20" t="s">
        <v>507</v>
      </c>
      <c r="C379" s="20" t="s">
        <v>1021</v>
      </c>
      <c r="D379" s="20" t="s">
        <v>1065</v>
      </c>
      <c r="E379" s="20" t="s">
        <v>1060</v>
      </c>
      <c r="F379" s="76" t="s">
        <v>575</v>
      </c>
      <c r="G379" s="20" t="s">
        <v>1061</v>
      </c>
      <c r="H379" s="55" t="n">
        <v>22</v>
      </c>
      <c r="I379" s="76" t="s">
        <v>512</v>
      </c>
      <c r="J379" s="76" t="s">
        <v>164</v>
      </c>
      <c r="K379" s="82" t="n">
        <v>1</v>
      </c>
      <c r="L379" s="55" t="n">
        <v>4</v>
      </c>
      <c r="M379" s="73" t="n">
        <v>2.175</v>
      </c>
      <c r="N379" s="74" t="n">
        <f aca="false">K379*L379*M379</f>
        <v>8.7</v>
      </c>
      <c r="O379" s="41" t="n">
        <f aca="false">IFERROR(INDEX(Исходные!$B$21:$B$33,MATCH(H379,Исходные!$A$21:$A$33,0)),0)</f>
        <v>2.984</v>
      </c>
      <c r="P379" s="83" t="n">
        <f aca="false">N379*O379</f>
        <v>25.9608</v>
      </c>
      <c r="Q379" s="20" t="s">
        <v>1062</v>
      </c>
      <c r="R379" s="84" t="s">
        <v>660</v>
      </c>
      <c r="S379" s="20"/>
      <c r="T379" s="20" t="s">
        <v>123</v>
      </c>
      <c r="U379" s="53" t="n">
        <v>0</v>
      </c>
      <c r="V379" s="76" t="s">
        <v>1026</v>
      </c>
      <c r="W379" s="53" t="n">
        <v>1</v>
      </c>
    </row>
    <row r="380" customFormat="false" ht="35.05" hidden="false" customHeight="false" outlineLevel="0" collapsed="false">
      <c r="A380" s="76" t="n">
        <v>370</v>
      </c>
      <c r="B380" s="20" t="s">
        <v>507</v>
      </c>
      <c r="C380" s="20" t="s">
        <v>1021</v>
      </c>
      <c r="D380" s="20" t="s">
        <v>1065</v>
      </c>
      <c r="E380" s="20" t="s">
        <v>1060</v>
      </c>
      <c r="F380" s="76" t="s">
        <v>575</v>
      </c>
      <c r="G380" s="20" t="s">
        <v>1063</v>
      </c>
      <c r="H380" s="55" t="n">
        <v>22</v>
      </c>
      <c r="I380" s="76" t="s">
        <v>512</v>
      </c>
      <c r="J380" s="76" t="s">
        <v>164</v>
      </c>
      <c r="K380" s="82" t="n">
        <v>1</v>
      </c>
      <c r="L380" s="55" t="n">
        <v>4</v>
      </c>
      <c r="M380" s="73" t="n">
        <v>4.15</v>
      </c>
      <c r="N380" s="74" t="n">
        <f aca="false">K380*L380*M380</f>
        <v>16.6</v>
      </c>
      <c r="O380" s="41" t="n">
        <f aca="false">IFERROR(INDEX(Исходные!$B$21:$B$33,MATCH(H380,Исходные!$A$21:$A$33,0)),0)</f>
        <v>2.984</v>
      </c>
      <c r="P380" s="83" t="n">
        <f aca="false">N380*O380</f>
        <v>49.5344</v>
      </c>
      <c r="Q380" s="20" t="s">
        <v>1062</v>
      </c>
      <c r="R380" s="84" t="s">
        <v>660</v>
      </c>
      <c r="S380" s="20"/>
      <c r="T380" s="20" t="s">
        <v>123</v>
      </c>
      <c r="U380" s="53" t="n">
        <v>0</v>
      </c>
      <c r="V380" s="76" t="s">
        <v>1026</v>
      </c>
      <c r="W380" s="53" t="n">
        <v>1</v>
      </c>
    </row>
    <row r="381" customFormat="false" ht="35.05" hidden="false" customHeight="false" outlineLevel="0" collapsed="false">
      <c r="A381" s="76" t="n">
        <v>371</v>
      </c>
      <c r="B381" s="20" t="s">
        <v>507</v>
      </c>
      <c r="C381" s="20" t="s">
        <v>1021</v>
      </c>
      <c r="D381" s="20" t="s">
        <v>1065</v>
      </c>
      <c r="E381" s="20" t="s">
        <v>1060</v>
      </c>
      <c r="F381" s="76" t="s">
        <v>575</v>
      </c>
      <c r="G381" s="20" t="s">
        <v>1064</v>
      </c>
      <c r="H381" s="55" t="n">
        <v>22</v>
      </c>
      <c r="I381" s="76" t="s">
        <v>512</v>
      </c>
      <c r="J381" s="76" t="s">
        <v>164</v>
      </c>
      <c r="K381" s="82" t="n">
        <v>1</v>
      </c>
      <c r="L381" s="55" t="n">
        <v>4</v>
      </c>
      <c r="M381" s="73" t="n">
        <v>2.175</v>
      </c>
      <c r="N381" s="74" t="n">
        <f aca="false">K381*L381*M381</f>
        <v>8.7</v>
      </c>
      <c r="O381" s="41" t="n">
        <f aca="false">IFERROR(INDEX(Исходные!$B$21:$B$33,MATCH(H381,Исходные!$A$21:$A$33,0)),0)</f>
        <v>2.984</v>
      </c>
      <c r="P381" s="83" t="n">
        <f aca="false">N381*O381</f>
        <v>25.9608</v>
      </c>
      <c r="Q381" s="20" t="s">
        <v>1062</v>
      </c>
      <c r="R381" s="84" t="s">
        <v>660</v>
      </c>
      <c r="S381" s="20"/>
      <c r="T381" s="20" t="s">
        <v>123</v>
      </c>
      <c r="U381" s="53" t="n">
        <v>0</v>
      </c>
      <c r="V381" s="76" t="s">
        <v>1026</v>
      </c>
      <c r="W381" s="53" t="n">
        <v>1</v>
      </c>
    </row>
    <row r="382" customFormat="false" ht="35.05" hidden="false" customHeight="false" outlineLevel="0" collapsed="false">
      <c r="A382" s="76" t="n">
        <v>372</v>
      </c>
      <c r="B382" s="20" t="s">
        <v>507</v>
      </c>
      <c r="C382" s="20" t="s">
        <v>1021</v>
      </c>
      <c r="D382" s="20" t="s">
        <v>1066</v>
      </c>
      <c r="E382" s="20" t="s">
        <v>1060</v>
      </c>
      <c r="F382" s="76" t="s">
        <v>575</v>
      </c>
      <c r="G382" s="20" t="s">
        <v>1061</v>
      </c>
      <c r="H382" s="55" t="n">
        <v>22</v>
      </c>
      <c r="I382" s="76" t="s">
        <v>512</v>
      </c>
      <c r="J382" s="76" t="s">
        <v>164</v>
      </c>
      <c r="K382" s="82" t="n">
        <v>1</v>
      </c>
      <c r="L382" s="55" t="n">
        <v>4</v>
      </c>
      <c r="M382" s="73" t="n">
        <v>2.15</v>
      </c>
      <c r="N382" s="74" t="n">
        <f aca="false">K382*L382*M382</f>
        <v>8.6</v>
      </c>
      <c r="O382" s="41" t="n">
        <f aca="false">IFERROR(INDEX(Исходные!$B$21:$B$33,MATCH(H382,Исходные!$A$21:$A$33,0)),0)</f>
        <v>2.984</v>
      </c>
      <c r="P382" s="83" t="n">
        <f aca="false">N382*O382</f>
        <v>25.6624</v>
      </c>
      <c r="Q382" s="20" t="s">
        <v>1062</v>
      </c>
      <c r="R382" s="84" t="s">
        <v>660</v>
      </c>
      <c r="S382" s="20"/>
      <c r="T382" s="20" t="s">
        <v>123</v>
      </c>
      <c r="U382" s="53" t="n">
        <v>0</v>
      </c>
      <c r="V382" s="76" t="s">
        <v>1026</v>
      </c>
      <c r="W382" s="53" t="n">
        <v>1</v>
      </c>
    </row>
    <row r="383" customFormat="false" ht="35.05" hidden="false" customHeight="false" outlineLevel="0" collapsed="false">
      <c r="A383" s="76" t="n">
        <v>373</v>
      </c>
      <c r="B383" s="20" t="s">
        <v>507</v>
      </c>
      <c r="C383" s="20" t="s">
        <v>1021</v>
      </c>
      <c r="D383" s="20" t="s">
        <v>1066</v>
      </c>
      <c r="E383" s="20" t="s">
        <v>1060</v>
      </c>
      <c r="F383" s="76" t="s">
        <v>575</v>
      </c>
      <c r="G383" s="20" t="s">
        <v>1063</v>
      </c>
      <c r="H383" s="55" t="n">
        <v>22</v>
      </c>
      <c r="I383" s="76" t="s">
        <v>512</v>
      </c>
      <c r="J383" s="76" t="s">
        <v>164</v>
      </c>
      <c r="K383" s="82" t="n">
        <v>1</v>
      </c>
      <c r="L383" s="55" t="n">
        <v>4</v>
      </c>
      <c r="M383" s="73" t="n">
        <v>3.775</v>
      </c>
      <c r="N383" s="74" t="n">
        <f aca="false">K383*L383*M383</f>
        <v>15.1</v>
      </c>
      <c r="O383" s="41" t="n">
        <f aca="false">IFERROR(INDEX(Исходные!$B$21:$B$33,MATCH(H383,Исходные!$A$21:$A$33,0)),0)</f>
        <v>2.984</v>
      </c>
      <c r="P383" s="83" t="n">
        <f aca="false">N383*O383</f>
        <v>45.0584</v>
      </c>
      <c r="Q383" s="20" t="s">
        <v>1062</v>
      </c>
      <c r="R383" s="84" t="s">
        <v>660</v>
      </c>
      <c r="S383" s="20"/>
      <c r="T383" s="20" t="s">
        <v>123</v>
      </c>
      <c r="U383" s="53" t="n">
        <v>0</v>
      </c>
      <c r="V383" s="76" t="s">
        <v>1026</v>
      </c>
      <c r="W383" s="53" t="n">
        <v>1</v>
      </c>
    </row>
    <row r="384" customFormat="false" ht="35.05" hidden="false" customHeight="false" outlineLevel="0" collapsed="false">
      <c r="A384" s="76" t="n">
        <v>374</v>
      </c>
      <c r="B384" s="20" t="s">
        <v>507</v>
      </c>
      <c r="C384" s="20" t="s">
        <v>1021</v>
      </c>
      <c r="D384" s="20" t="s">
        <v>1066</v>
      </c>
      <c r="E384" s="20" t="s">
        <v>1060</v>
      </c>
      <c r="F384" s="76" t="s">
        <v>575</v>
      </c>
      <c r="G384" s="20" t="s">
        <v>1064</v>
      </c>
      <c r="H384" s="55" t="n">
        <v>22</v>
      </c>
      <c r="I384" s="76" t="s">
        <v>512</v>
      </c>
      <c r="J384" s="76" t="s">
        <v>164</v>
      </c>
      <c r="K384" s="82" t="n">
        <v>1</v>
      </c>
      <c r="L384" s="55" t="n">
        <v>4</v>
      </c>
      <c r="M384" s="73" t="n">
        <v>2.15</v>
      </c>
      <c r="N384" s="74" t="n">
        <f aca="false">K384*L384*M384</f>
        <v>8.6</v>
      </c>
      <c r="O384" s="41" t="n">
        <f aca="false">IFERROR(INDEX(Исходные!$B$21:$B$33,MATCH(H384,Исходные!$A$21:$A$33,0)),0)</f>
        <v>2.984</v>
      </c>
      <c r="P384" s="83" t="n">
        <f aca="false">N384*O384</f>
        <v>25.6624</v>
      </c>
      <c r="Q384" s="20" t="s">
        <v>1062</v>
      </c>
      <c r="R384" s="84" t="s">
        <v>660</v>
      </c>
      <c r="S384" s="20"/>
      <c r="T384" s="20" t="s">
        <v>123</v>
      </c>
      <c r="U384" s="53" t="n">
        <v>0</v>
      </c>
      <c r="V384" s="76" t="s">
        <v>1026</v>
      </c>
      <c r="W384" s="53" t="n">
        <v>1</v>
      </c>
    </row>
    <row r="385" customFormat="false" ht="35.05" hidden="false" customHeight="false" outlineLevel="0" collapsed="false">
      <c r="A385" s="76" t="n">
        <v>375</v>
      </c>
      <c r="B385" s="20" t="s">
        <v>507</v>
      </c>
      <c r="C385" s="20" t="s">
        <v>1021</v>
      </c>
      <c r="D385" s="20" t="s">
        <v>1067</v>
      </c>
      <c r="E385" s="20" t="s">
        <v>1060</v>
      </c>
      <c r="F385" s="76" t="s">
        <v>575</v>
      </c>
      <c r="G385" s="20" t="s">
        <v>1061</v>
      </c>
      <c r="H385" s="55" t="n">
        <v>22</v>
      </c>
      <c r="I385" s="76" t="s">
        <v>512</v>
      </c>
      <c r="J385" s="76" t="s">
        <v>164</v>
      </c>
      <c r="K385" s="82" t="n">
        <v>1</v>
      </c>
      <c r="L385" s="55" t="n">
        <v>4</v>
      </c>
      <c r="M385" s="73" t="n">
        <v>2.15</v>
      </c>
      <c r="N385" s="74" t="n">
        <f aca="false">K385*L385*M385</f>
        <v>8.6</v>
      </c>
      <c r="O385" s="41" t="n">
        <f aca="false">IFERROR(INDEX(Исходные!$B$21:$B$33,MATCH(H385,Исходные!$A$21:$A$33,0)),0)</f>
        <v>2.984</v>
      </c>
      <c r="P385" s="83" t="n">
        <f aca="false">N385*O385</f>
        <v>25.6624</v>
      </c>
      <c r="Q385" s="20" t="s">
        <v>1062</v>
      </c>
      <c r="R385" s="84" t="s">
        <v>660</v>
      </c>
      <c r="S385" s="20"/>
      <c r="T385" s="20" t="s">
        <v>123</v>
      </c>
      <c r="U385" s="53" t="n">
        <v>0</v>
      </c>
      <c r="V385" s="76" t="s">
        <v>1026</v>
      </c>
      <c r="W385" s="53" t="n">
        <v>1</v>
      </c>
    </row>
    <row r="386" customFormat="false" ht="35.05" hidden="false" customHeight="false" outlineLevel="0" collapsed="false">
      <c r="A386" s="76" t="n">
        <v>376</v>
      </c>
      <c r="B386" s="20" t="s">
        <v>507</v>
      </c>
      <c r="C386" s="20" t="s">
        <v>1021</v>
      </c>
      <c r="D386" s="20" t="s">
        <v>1067</v>
      </c>
      <c r="E386" s="20" t="s">
        <v>1060</v>
      </c>
      <c r="F386" s="76" t="s">
        <v>575</v>
      </c>
      <c r="G386" s="20" t="s">
        <v>1063</v>
      </c>
      <c r="H386" s="55" t="n">
        <v>22</v>
      </c>
      <c r="I386" s="76" t="s">
        <v>512</v>
      </c>
      <c r="J386" s="76" t="s">
        <v>164</v>
      </c>
      <c r="K386" s="82" t="n">
        <v>1</v>
      </c>
      <c r="L386" s="55" t="n">
        <v>4</v>
      </c>
      <c r="M386" s="73" t="n">
        <v>7.95</v>
      </c>
      <c r="N386" s="74" t="n">
        <f aca="false">K386*L386*M386</f>
        <v>31.8</v>
      </c>
      <c r="O386" s="41" t="n">
        <f aca="false">IFERROR(INDEX(Исходные!$B$21:$B$33,MATCH(H386,Исходные!$A$21:$A$33,0)),0)</f>
        <v>2.984</v>
      </c>
      <c r="P386" s="83" t="n">
        <f aca="false">N386*O386</f>
        <v>94.8912</v>
      </c>
      <c r="Q386" s="20" t="s">
        <v>1062</v>
      </c>
      <c r="R386" s="84" t="s">
        <v>660</v>
      </c>
      <c r="S386" s="20"/>
      <c r="T386" s="20" t="s">
        <v>123</v>
      </c>
      <c r="U386" s="53" t="n">
        <v>0</v>
      </c>
      <c r="V386" s="76" t="s">
        <v>1026</v>
      </c>
      <c r="W386" s="53" t="n">
        <v>1</v>
      </c>
    </row>
    <row r="387" customFormat="false" ht="35.05" hidden="false" customHeight="false" outlineLevel="0" collapsed="false">
      <c r="A387" s="76" t="n">
        <v>377</v>
      </c>
      <c r="B387" s="20" t="s">
        <v>507</v>
      </c>
      <c r="C387" s="20" t="s">
        <v>1021</v>
      </c>
      <c r="D387" s="20" t="s">
        <v>1067</v>
      </c>
      <c r="E387" s="20" t="s">
        <v>1060</v>
      </c>
      <c r="F387" s="76" t="s">
        <v>575</v>
      </c>
      <c r="G387" s="20" t="s">
        <v>1064</v>
      </c>
      <c r="H387" s="55" t="n">
        <v>22</v>
      </c>
      <c r="I387" s="76" t="s">
        <v>512</v>
      </c>
      <c r="J387" s="76" t="s">
        <v>164</v>
      </c>
      <c r="K387" s="82" t="n">
        <v>1</v>
      </c>
      <c r="L387" s="55" t="n">
        <v>4</v>
      </c>
      <c r="M387" s="73" t="n">
        <v>2.15</v>
      </c>
      <c r="N387" s="74" t="n">
        <f aca="false">K387*L387*M387</f>
        <v>8.6</v>
      </c>
      <c r="O387" s="41" t="n">
        <f aca="false">IFERROR(INDEX(Исходные!$B$21:$B$33,MATCH(H387,Исходные!$A$21:$A$33,0)),0)</f>
        <v>2.984</v>
      </c>
      <c r="P387" s="83" t="n">
        <f aca="false">N387*O387</f>
        <v>25.6624</v>
      </c>
      <c r="Q387" s="20" t="s">
        <v>1062</v>
      </c>
      <c r="R387" s="84" t="s">
        <v>660</v>
      </c>
      <c r="S387" s="20"/>
      <c r="T387" s="20" t="s">
        <v>123</v>
      </c>
      <c r="U387" s="53" t="n">
        <v>0</v>
      </c>
      <c r="V387" s="76" t="s">
        <v>1026</v>
      </c>
      <c r="W387" s="53" t="n">
        <v>1</v>
      </c>
    </row>
    <row r="388" customFormat="false" ht="35.05" hidden="false" customHeight="false" outlineLevel="0" collapsed="false">
      <c r="A388" s="76" t="n">
        <v>378</v>
      </c>
      <c r="B388" s="20" t="s">
        <v>507</v>
      </c>
      <c r="C388" s="20" t="s">
        <v>1021</v>
      </c>
      <c r="D388" s="20" t="s">
        <v>1067</v>
      </c>
      <c r="E388" s="20" t="s">
        <v>1060</v>
      </c>
      <c r="F388" s="76" t="s">
        <v>575</v>
      </c>
      <c r="G388" s="20" t="s">
        <v>1068</v>
      </c>
      <c r="H388" s="55" t="n">
        <v>22</v>
      </c>
      <c r="I388" s="76" t="s">
        <v>512</v>
      </c>
      <c r="J388" s="76" t="s">
        <v>164</v>
      </c>
      <c r="K388" s="82" t="n">
        <v>1</v>
      </c>
      <c r="L388" s="55" t="n">
        <v>4</v>
      </c>
      <c r="M388" s="73" t="n">
        <v>2.375</v>
      </c>
      <c r="N388" s="74" t="n">
        <f aca="false">K388*L388*M388</f>
        <v>9.5</v>
      </c>
      <c r="O388" s="41" t="n">
        <f aca="false">IFERROR(INDEX(Исходные!$B$21:$B$33,MATCH(H388,Исходные!$A$21:$A$33,0)),0)</f>
        <v>2.984</v>
      </c>
      <c r="P388" s="83" t="n">
        <f aca="false">N388*O388</f>
        <v>28.348</v>
      </c>
      <c r="Q388" s="20" t="s">
        <v>1062</v>
      </c>
      <c r="R388" s="84" t="s">
        <v>660</v>
      </c>
      <c r="S388" s="20"/>
      <c r="T388" s="20" t="s">
        <v>123</v>
      </c>
      <c r="U388" s="53" t="n">
        <v>0</v>
      </c>
      <c r="V388" s="76" t="s">
        <v>1026</v>
      </c>
      <c r="W388" s="53" t="n">
        <v>1</v>
      </c>
    </row>
    <row r="389" customFormat="false" ht="35.05" hidden="false" customHeight="false" outlineLevel="0" collapsed="false">
      <c r="A389" s="76" t="n">
        <v>379</v>
      </c>
      <c r="B389" s="20" t="s">
        <v>507</v>
      </c>
      <c r="C389" s="20" t="s">
        <v>1021</v>
      </c>
      <c r="D389" s="20" t="s">
        <v>1069</v>
      </c>
      <c r="E389" s="20" t="s">
        <v>1070</v>
      </c>
      <c r="F389" s="76" t="s">
        <v>164</v>
      </c>
      <c r="G389" s="20" t="s">
        <v>1071</v>
      </c>
      <c r="H389" s="55" t="n">
        <v>18</v>
      </c>
      <c r="I389" s="76" t="s">
        <v>512</v>
      </c>
      <c r="J389" s="76" t="s">
        <v>164</v>
      </c>
      <c r="K389" s="82" t="n">
        <v>1</v>
      </c>
      <c r="L389" s="55" t="n">
        <v>20</v>
      </c>
      <c r="M389" s="73" t="n">
        <v>1.2</v>
      </c>
      <c r="N389" s="74" t="n">
        <f aca="false">K389*L389*M389</f>
        <v>24</v>
      </c>
      <c r="O389" s="41" t="n">
        <f aca="false">IFERROR(INDEX(Исходные!$B$21:$B$33,MATCH(H389,Исходные!$A$21:$A$33,0)),0)</f>
        <v>1.998</v>
      </c>
      <c r="P389" s="83" t="n">
        <f aca="false">N389*O389</f>
        <v>47.952</v>
      </c>
      <c r="Q389" s="20" t="s">
        <v>1072</v>
      </c>
      <c r="R389" s="85" t="s">
        <v>638</v>
      </c>
      <c r="S389" s="20"/>
      <c r="T389" s="20" t="s">
        <v>123</v>
      </c>
      <c r="U389" s="53" t="n">
        <v>1</v>
      </c>
      <c r="V389" s="76" t="s">
        <v>1073</v>
      </c>
      <c r="W389" s="53" t="n">
        <v>1</v>
      </c>
    </row>
    <row r="390" customFormat="false" ht="35.05" hidden="false" customHeight="false" outlineLevel="0" collapsed="false">
      <c r="A390" s="76" t="n">
        <v>380</v>
      </c>
      <c r="B390" s="20" t="s">
        <v>507</v>
      </c>
      <c r="C390" s="20" t="s">
        <v>1021</v>
      </c>
      <c r="D390" s="20" t="s">
        <v>1074</v>
      </c>
      <c r="E390" s="20" t="s">
        <v>1075</v>
      </c>
      <c r="F390" s="76" t="s">
        <v>555</v>
      </c>
      <c r="G390" s="20" t="s">
        <v>1076</v>
      </c>
      <c r="H390" s="55" t="n">
        <v>8</v>
      </c>
      <c r="I390" s="76" t="s">
        <v>546</v>
      </c>
      <c r="J390" s="76" t="s">
        <v>644</v>
      </c>
      <c r="K390" s="82" t="n">
        <v>1</v>
      </c>
      <c r="L390" s="55" t="n">
        <v>925</v>
      </c>
      <c r="M390" s="73" t="n">
        <v>1.24</v>
      </c>
      <c r="N390" s="74" t="n">
        <f aca="false">K390*L390*M390</f>
        <v>1147</v>
      </c>
      <c r="O390" s="41" t="n">
        <f aca="false">IFERROR(INDEX(Исходные!$B$21:$B$33,MATCH(H390,Исходные!$A$21:$A$33,0)),0)</f>
        <v>0.395</v>
      </c>
      <c r="P390" s="83" t="n">
        <f aca="false">N390*O390</f>
        <v>453.065</v>
      </c>
      <c r="Q390" s="20" t="s">
        <v>1077</v>
      </c>
      <c r="R390" s="84" t="s">
        <v>514</v>
      </c>
      <c r="S390" s="20"/>
      <c r="T390" s="20" t="s">
        <v>123</v>
      </c>
      <c r="U390" s="53" t="n">
        <v>0</v>
      </c>
      <c r="V390" s="76" t="s">
        <v>1078</v>
      </c>
      <c r="W390" s="53" t="n">
        <v>1</v>
      </c>
    </row>
    <row r="391" customFormat="false" ht="35.05" hidden="false" customHeight="false" outlineLevel="0" collapsed="false">
      <c r="A391" s="76" t="n">
        <v>381</v>
      </c>
      <c r="B391" s="20" t="s">
        <v>507</v>
      </c>
      <c r="C391" s="20" t="s">
        <v>1021</v>
      </c>
      <c r="D391" s="20" t="s">
        <v>1079</v>
      </c>
      <c r="E391" s="20" t="s">
        <v>1080</v>
      </c>
      <c r="F391" s="76" t="s">
        <v>555</v>
      </c>
      <c r="G391" s="20" t="s">
        <v>1081</v>
      </c>
      <c r="H391" s="55" t="n">
        <v>8</v>
      </c>
      <c r="I391" s="76" t="s">
        <v>546</v>
      </c>
      <c r="J391" s="76" t="s">
        <v>644</v>
      </c>
      <c r="K391" s="82" t="n">
        <v>1</v>
      </c>
      <c r="L391" s="55" t="n">
        <v>44</v>
      </c>
      <c r="M391" s="73" t="n">
        <v>1.24</v>
      </c>
      <c r="N391" s="74" t="n">
        <f aca="false">K391*L391*M391</f>
        <v>54.56</v>
      </c>
      <c r="O391" s="41" t="n">
        <f aca="false">IFERROR(INDEX(Исходные!$B$21:$B$33,MATCH(H391,Исходные!$A$21:$A$33,0)),0)</f>
        <v>0.395</v>
      </c>
      <c r="P391" s="83" t="n">
        <f aca="false">N391*O391</f>
        <v>21.5512</v>
      </c>
      <c r="Q391" s="20" t="s">
        <v>1082</v>
      </c>
      <c r="R391" s="84" t="s">
        <v>514</v>
      </c>
      <c r="S391" s="20"/>
      <c r="T391" s="20" t="s">
        <v>123</v>
      </c>
      <c r="U391" s="53" t="n">
        <v>0</v>
      </c>
      <c r="V391" s="76" t="s">
        <v>1078</v>
      </c>
      <c r="W391" s="53" t="n">
        <v>1</v>
      </c>
    </row>
    <row r="392" customFormat="false" ht="35.05" hidden="false" customHeight="false" outlineLevel="0" collapsed="false">
      <c r="A392" s="76" t="n">
        <v>382</v>
      </c>
      <c r="B392" s="20" t="s">
        <v>507</v>
      </c>
      <c r="C392" s="20" t="s">
        <v>1021</v>
      </c>
      <c r="D392" s="20" t="s">
        <v>1083</v>
      </c>
      <c r="E392" s="20" t="s">
        <v>1084</v>
      </c>
      <c r="F392" s="76" t="s">
        <v>696</v>
      </c>
      <c r="G392" s="20" t="s">
        <v>1085</v>
      </c>
      <c r="H392" s="55" t="n">
        <v>8</v>
      </c>
      <c r="I392" s="76" t="s">
        <v>546</v>
      </c>
      <c r="J392" s="76" t="s">
        <v>644</v>
      </c>
      <c r="K392" s="82" t="n">
        <v>1</v>
      </c>
      <c r="L392" s="55" t="n">
        <v>44</v>
      </c>
      <c r="M392" s="73" t="n">
        <v>1.44</v>
      </c>
      <c r="N392" s="74" t="n">
        <f aca="false">K392*L392*M392</f>
        <v>63.36</v>
      </c>
      <c r="O392" s="41" t="n">
        <f aca="false">IFERROR(INDEX(Исходные!$B$21:$B$33,MATCH(H392,Исходные!$A$21:$A$33,0)),0)</f>
        <v>0.395</v>
      </c>
      <c r="P392" s="83" t="n">
        <f aca="false">N392*O392</f>
        <v>25.0272</v>
      </c>
      <c r="Q392" s="20" t="s">
        <v>1086</v>
      </c>
      <c r="R392" s="84" t="s">
        <v>514</v>
      </c>
      <c r="S392" s="20"/>
      <c r="T392" s="20" t="s">
        <v>123</v>
      </c>
      <c r="U392" s="53" t="n">
        <v>0</v>
      </c>
      <c r="V392" s="76" t="s">
        <v>1078</v>
      </c>
      <c r="W392" s="53" t="n">
        <v>1</v>
      </c>
    </row>
    <row r="393" customFormat="false" ht="35.05" hidden="false" customHeight="false" outlineLevel="0" collapsed="false">
      <c r="A393" s="76" t="n">
        <v>383</v>
      </c>
      <c r="B393" s="20" t="s">
        <v>507</v>
      </c>
      <c r="C393" s="20" t="s">
        <v>1021</v>
      </c>
      <c r="D393" s="20" t="s">
        <v>1087</v>
      </c>
      <c r="E393" s="20" t="s">
        <v>1088</v>
      </c>
      <c r="F393" s="76" t="s">
        <v>561</v>
      </c>
      <c r="G393" s="20" t="s">
        <v>1089</v>
      </c>
      <c r="H393" s="55" t="n">
        <v>8</v>
      </c>
      <c r="I393" s="76" t="s">
        <v>546</v>
      </c>
      <c r="J393" s="76" t="s">
        <v>644</v>
      </c>
      <c r="K393" s="82" t="n">
        <v>1</v>
      </c>
      <c r="L393" s="55" t="n">
        <v>88</v>
      </c>
      <c r="M393" s="73" t="n">
        <v>1.04</v>
      </c>
      <c r="N393" s="74" t="n">
        <f aca="false">K393*L393*M393</f>
        <v>91.52</v>
      </c>
      <c r="O393" s="41" t="n">
        <f aca="false">IFERROR(INDEX(Исходные!$B$21:$B$33,MATCH(H393,Исходные!$A$21:$A$33,0)),0)</f>
        <v>0.395</v>
      </c>
      <c r="P393" s="83" t="n">
        <f aca="false">N393*O393</f>
        <v>36.1504</v>
      </c>
      <c r="Q393" s="20" t="s">
        <v>1090</v>
      </c>
      <c r="R393" s="84" t="s">
        <v>514</v>
      </c>
      <c r="S393" s="20"/>
      <c r="T393" s="20" t="s">
        <v>123</v>
      </c>
      <c r="U393" s="53" t="n">
        <v>0</v>
      </c>
      <c r="V393" s="76" t="s">
        <v>1078</v>
      </c>
      <c r="W393" s="53" t="n">
        <v>1</v>
      </c>
    </row>
    <row r="394" customFormat="false" ht="35.05" hidden="false" customHeight="false" outlineLevel="0" collapsed="false">
      <c r="A394" s="76" t="n">
        <v>384</v>
      </c>
      <c r="B394" s="20" t="s">
        <v>507</v>
      </c>
      <c r="C394" s="20" t="s">
        <v>1021</v>
      </c>
      <c r="D394" s="20" t="s">
        <v>1091</v>
      </c>
      <c r="E394" s="20" t="s">
        <v>1092</v>
      </c>
      <c r="F394" s="76" t="s">
        <v>558</v>
      </c>
      <c r="G394" s="20" t="s">
        <v>1093</v>
      </c>
      <c r="H394" s="55" t="n">
        <v>8</v>
      </c>
      <c r="I394" s="76" t="s">
        <v>546</v>
      </c>
      <c r="J394" s="76" t="s">
        <v>644</v>
      </c>
      <c r="K394" s="82" t="n">
        <v>1</v>
      </c>
      <c r="L394" s="55" t="n">
        <v>272</v>
      </c>
      <c r="M394" s="73" t="n">
        <v>1.14</v>
      </c>
      <c r="N394" s="74" t="n">
        <f aca="false">K394*L394*M394</f>
        <v>310.08</v>
      </c>
      <c r="O394" s="41" t="n">
        <f aca="false">IFERROR(INDEX(Исходные!$B$21:$B$33,MATCH(H394,Исходные!$A$21:$A$33,0)),0)</f>
        <v>0.395</v>
      </c>
      <c r="P394" s="83" t="n">
        <f aca="false">N394*O394</f>
        <v>122.4816</v>
      </c>
      <c r="Q394" s="20" t="s">
        <v>1094</v>
      </c>
      <c r="R394" s="84" t="s">
        <v>514</v>
      </c>
      <c r="S394" s="20"/>
      <c r="T394" s="20" t="s">
        <v>123</v>
      </c>
      <c r="U394" s="53" t="n">
        <v>0</v>
      </c>
      <c r="V394" s="76" t="s">
        <v>1078</v>
      </c>
      <c r="W394" s="53" t="n">
        <v>1</v>
      </c>
    </row>
    <row r="395" customFormat="false" ht="15" hidden="false" customHeight="true" outlineLevel="0" collapsed="false">
      <c r="A395" s="81" t="s">
        <v>1095</v>
      </c>
      <c r="B395" s="81"/>
      <c r="C395" s="81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</row>
    <row r="396" customFormat="false" ht="46.25" hidden="false" customHeight="false" outlineLevel="0" collapsed="false">
      <c r="A396" s="76" t="n">
        <v>385</v>
      </c>
      <c r="B396" s="20" t="s">
        <v>507</v>
      </c>
      <c r="C396" s="20" t="s">
        <v>1096</v>
      </c>
      <c r="D396" s="20" t="s">
        <v>1097</v>
      </c>
      <c r="E396" s="20" t="s">
        <v>140</v>
      </c>
      <c r="F396" s="76" t="s">
        <v>510</v>
      </c>
      <c r="G396" s="20" t="s">
        <v>1098</v>
      </c>
      <c r="H396" s="55" t="n">
        <v>10</v>
      </c>
      <c r="I396" s="76" t="s">
        <v>512</v>
      </c>
      <c r="J396" s="76" t="n">
        <v>90</v>
      </c>
      <c r="K396" s="82" t="n">
        <v>200</v>
      </c>
      <c r="L396" s="55" t="n">
        <v>7</v>
      </c>
      <c r="M396" s="73" t="n">
        <v>0.57</v>
      </c>
      <c r="N396" s="74" t="n">
        <f aca="false">K396*L396*M396</f>
        <v>798</v>
      </c>
      <c r="O396" s="41" t="n">
        <f aca="false">IFERROR(INDEX(Исходные!$B$21:$B$33,MATCH(H396,Исходные!$A$21:$A$33,0)),0)</f>
        <v>0.617</v>
      </c>
      <c r="P396" s="83" t="n">
        <f aca="false">N396*O396</f>
        <v>492.366</v>
      </c>
      <c r="Q396" s="20" t="s">
        <v>1099</v>
      </c>
      <c r="R396" s="85" t="s">
        <v>638</v>
      </c>
      <c r="S396" s="20"/>
      <c r="T396" s="20" t="s">
        <v>123</v>
      </c>
      <c r="U396" s="53" t="n">
        <v>1</v>
      </c>
      <c r="V396" s="76" t="s">
        <v>140</v>
      </c>
      <c r="W396" s="53" t="n">
        <v>1</v>
      </c>
    </row>
    <row r="397" customFormat="false" ht="15" hidden="false" customHeight="true" outlineLevel="0" collapsed="false">
      <c r="A397" s="81" t="s">
        <v>1100</v>
      </c>
      <c r="B397" s="81"/>
      <c r="C397" s="81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</row>
    <row r="398" customFormat="false" ht="35.05" hidden="false" customHeight="false" outlineLevel="0" collapsed="false">
      <c r="A398" s="76" t="n">
        <v>386</v>
      </c>
      <c r="B398" s="20" t="s">
        <v>507</v>
      </c>
      <c r="C398" s="20" t="s">
        <v>1101</v>
      </c>
      <c r="D398" s="20" t="s">
        <v>1102</v>
      </c>
      <c r="E398" s="20" t="s">
        <v>1103</v>
      </c>
      <c r="F398" s="76" t="s">
        <v>510</v>
      </c>
      <c r="G398" s="20" t="s">
        <v>1104</v>
      </c>
      <c r="H398" s="55" t="n">
        <v>18</v>
      </c>
      <c r="I398" s="76" t="s">
        <v>512</v>
      </c>
      <c r="J398" s="76" t="n">
        <v>150</v>
      </c>
      <c r="K398" s="82" t="n">
        <v>1</v>
      </c>
      <c r="L398" s="55" t="n">
        <v>18</v>
      </c>
      <c r="M398" s="73" t="n">
        <v>5.93</v>
      </c>
      <c r="N398" s="74" t="n">
        <f aca="false">K398*L398*M398</f>
        <v>106.74</v>
      </c>
      <c r="O398" s="41" t="n">
        <f aca="false">IFERROR(INDEX(Исходные!$B$21:$B$33,MATCH(H398,Исходные!$A$21:$A$33,0)),0)</f>
        <v>1.998</v>
      </c>
      <c r="P398" s="83" t="n">
        <f aca="false">N398*O398</f>
        <v>213.26652</v>
      </c>
      <c r="Q398" s="20" t="s">
        <v>1105</v>
      </c>
      <c r="R398" s="85" t="s">
        <v>535</v>
      </c>
      <c r="S398" s="20" t="s">
        <v>1106</v>
      </c>
      <c r="T398" s="20" t="s">
        <v>124</v>
      </c>
      <c r="U398" s="53" t="n">
        <v>1</v>
      </c>
      <c r="V398" s="76" t="s">
        <v>141</v>
      </c>
      <c r="W398" s="53" t="n">
        <v>1</v>
      </c>
    </row>
    <row r="399" customFormat="false" ht="23.85" hidden="false" customHeight="false" outlineLevel="0" collapsed="false">
      <c r="A399" s="76" t="n">
        <v>387</v>
      </c>
      <c r="B399" s="20" t="s">
        <v>507</v>
      </c>
      <c r="C399" s="20" t="s">
        <v>1101</v>
      </c>
      <c r="D399" s="20" t="s">
        <v>1107</v>
      </c>
      <c r="E399" s="20" t="s">
        <v>1103</v>
      </c>
      <c r="F399" s="76" t="s">
        <v>519</v>
      </c>
      <c r="G399" s="20" t="s">
        <v>1108</v>
      </c>
      <c r="H399" s="55" t="n">
        <v>10</v>
      </c>
      <c r="I399" s="76" t="s">
        <v>512</v>
      </c>
      <c r="J399" s="76" t="s">
        <v>1109</v>
      </c>
      <c r="K399" s="82" t="n">
        <v>1</v>
      </c>
      <c r="L399" s="55" t="n">
        <v>62</v>
      </c>
      <c r="M399" s="73" t="n">
        <v>1.19</v>
      </c>
      <c r="N399" s="74" t="n">
        <f aca="false">K399*L399*M399</f>
        <v>73.78</v>
      </c>
      <c r="O399" s="41" t="n">
        <f aca="false">IFERROR(INDEX(Исходные!$B$21:$B$33,MATCH(H399,Исходные!$A$21:$A$33,0)),0)</f>
        <v>0.617</v>
      </c>
      <c r="P399" s="83" t="n">
        <f aca="false">N399*O399</f>
        <v>45.52226</v>
      </c>
      <c r="Q399" s="20" t="s">
        <v>1110</v>
      </c>
      <c r="R399" s="84" t="s">
        <v>514</v>
      </c>
      <c r="S399" s="20" t="s">
        <v>1111</v>
      </c>
      <c r="T399" s="20" t="s">
        <v>124</v>
      </c>
      <c r="U399" s="53" t="n">
        <v>0</v>
      </c>
      <c r="V399" s="76" t="s">
        <v>141</v>
      </c>
      <c r="W399" s="53" t="n">
        <v>1</v>
      </c>
    </row>
    <row r="400" customFormat="false" ht="23.85" hidden="false" customHeight="false" outlineLevel="0" collapsed="false">
      <c r="A400" s="76" t="n">
        <v>388</v>
      </c>
      <c r="B400" s="20" t="s">
        <v>507</v>
      </c>
      <c r="C400" s="20" t="s">
        <v>1101</v>
      </c>
      <c r="D400" s="20" t="s">
        <v>1107</v>
      </c>
      <c r="E400" s="20" t="s">
        <v>1103</v>
      </c>
      <c r="F400" s="76" t="s">
        <v>575</v>
      </c>
      <c r="G400" s="20" t="s">
        <v>1112</v>
      </c>
      <c r="H400" s="55" t="n">
        <v>10</v>
      </c>
      <c r="I400" s="76" t="s">
        <v>546</v>
      </c>
      <c r="J400" s="76" t="s">
        <v>1109</v>
      </c>
      <c r="K400" s="82" t="n">
        <v>1</v>
      </c>
      <c r="L400" s="55" t="n">
        <v>62</v>
      </c>
      <c r="M400" s="73" t="n">
        <v>0.52</v>
      </c>
      <c r="N400" s="74" t="n">
        <f aca="false">K400*L400*M400</f>
        <v>32.24</v>
      </c>
      <c r="O400" s="41" t="n">
        <f aca="false">IFERROR(INDEX(Исходные!$B$21:$B$33,MATCH(H400,Исходные!$A$21:$A$33,0)),0)</f>
        <v>0.617</v>
      </c>
      <c r="P400" s="83" t="n">
        <f aca="false">N400*O400</f>
        <v>19.89208</v>
      </c>
      <c r="Q400" s="20" t="s">
        <v>1113</v>
      </c>
      <c r="R400" s="84" t="s">
        <v>514</v>
      </c>
      <c r="S400" s="20"/>
      <c r="T400" s="20" t="s">
        <v>124</v>
      </c>
      <c r="U400" s="53" t="n">
        <v>0</v>
      </c>
      <c r="V400" s="76" t="s">
        <v>141</v>
      </c>
      <c r="W400" s="53" t="n">
        <v>1</v>
      </c>
    </row>
    <row r="401" customFormat="false" ht="23.85" hidden="false" customHeight="false" outlineLevel="0" collapsed="false">
      <c r="A401" s="76" t="n">
        <v>389</v>
      </c>
      <c r="B401" s="20" t="s">
        <v>507</v>
      </c>
      <c r="C401" s="20" t="s">
        <v>1101</v>
      </c>
      <c r="D401" s="20" t="s">
        <v>1107</v>
      </c>
      <c r="E401" s="20" t="s">
        <v>1103</v>
      </c>
      <c r="F401" s="76" t="s">
        <v>522</v>
      </c>
      <c r="G401" s="20" t="s">
        <v>1114</v>
      </c>
      <c r="H401" s="55" t="n">
        <v>6</v>
      </c>
      <c r="I401" s="76" t="s">
        <v>546</v>
      </c>
      <c r="J401" s="76" t="s">
        <v>1115</v>
      </c>
      <c r="K401" s="82" t="n">
        <v>1</v>
      </c>
      <c r="L401" s="55" t="n">
        <v>41</v>
      </c>
      <c r="M401" s="73" t="n">
        <v>0.28</v>
      </c>
      <c r="N401" s="74" t="n">
        <f aca="false">K401*L401*M401</f>
        <v>11.48</v>
      </c>
      <c r="O401" s="41" t="n">
        <f aca="false">IFERROR(INDEX(Исходные!$B$21:$B$33,MATCH(H401,Исходные!$A$21:$A$33,0)),0)</f>
        <v>0.222</v>
      </c>
      <c r="P401" s="83" t="n">
        <f aca="false">N401*O401</f>
        <v>2.54856</v>
      </c>
      <c r="Q401" s="20" t="s">
        <v>1116</v>
      </c>
      <c r="R401" s="85" t="s">
        <v>638</v>
      </c>
      <c r="S401" s="20" t="s">
        <v>1117</v>
      </c>
      <c r="T401" s="20" t="s">
        <v>124</v>
      </c>
      <c r="U401" s="53" t="n">
        <v>1</v>
      </c>
      <c r="V401" s="76" t="s">
        <v>141</v>
      </c>
      <c r="W401" s="53" t="n">
        <v>1</v>
      </c>
    </row>
    <row r="402" customFormat="false" ht="23.85" hidden="false" customHeight="false" outlineLevel="0" collapsed="false">
      <c r="A402" s="76" t="n">
        <v>390</v>
      </c>
      <c r="B402" s="20" t="s">
        <v>507</v>
      </c>
      <c r="C402" s="20" t="s">
        <v>1101</v>
      </c>
      <c r="D402" s="20" t="s">
        <v>1107</v>
      </c>
      <c r="E402" s="20" t="s">
        <v>1103</v>
      </c>
      <c r="F402" s="76" t="s">
        <v>140</v>
      </c>
      <c r="G402" s="20" t="s">
        <v>1118</v>
      </c>
      <c r="H402" s="55" t="n">
        <v>5</v>
      </c>
      <c r="I402" s="76" t="s">
        <v>1119</v>
      </c>
      <c r="J402" s="76" t="s">
        <v>1120</v>
      </c>
      <c r="K402" s="82" t="n">
        <v>6.9</v>
      </c>
      <c r="L402" s="55" t="n">
        <v>20</v>
      </c>
      <c r="M402" s="73" t="n">
        <v>1</v>
      </c>
      <c r="N402" s="74" t="n">
        <f aca="false">K402*L402*M402</f>
        <v>138</v>
      </c>
      <c r="O402" s="41" t="n">
        <f aca="false">IFERROR(INDEX(Исходные!$B$21:$B$33,MATCH(H402,Исходные!$A$21:$A$33,0)),0)</f>
        <v>0.154</v>
      </c>
      <c r="P402" s="83" t="n">
        <f aca="false">N402*O402</f>
        <v>21.252</v>
      </c>
      <c r="Q402" s="20" t="s">
        <v>1121</v>
      </c>
      <c r="R402" s="85" t="s">
        <v>535</v>
      </c>
      <c r="S402" s="20" t="s">
        <v>1122</v>
      </c>
      <c r="T402" s="20" t="s">
        <v>124</v>
      </c>
      <c r="U402" s="53" t="n">
        <v>1</v>
      </c>
      <c r="V402" s="76" t="s">
        <v>141</v>
      </c>
      <c r="W402" s="53" t="n">
        <v>1</v>
      </c>
    </row>
    <row r="403" customFormat="false" ht="35.05" hidden="false" customHeight="false" outlineLevel="0" collapsed="false">
      <c r="A403" s="76" t="n">
        <v>391</v>
      </c>
      <c r="B403" s="20" t="s">
        <v>507</v>
      </c>
      <c r="C403" s="20" t="s">
        <v>1101</v>
      </c>
      <c r="D403" s="20" t="s">
        <v>1102</v>
      </c>
      <c r="E403" s="20" t="s">
        <v>1123</v>
      </c>
      <c r="F403" s="76" t="s">
        <v>510</v>
      </c>
      <c r="G403" s="20" t="s">
        <v>1124</v>
      </c>
      <c r="H403" s="55" t="n">
        <v>18</v>
      </c>
      <c r="I403" s="76" t="s">
        <v>512</v>
      </c>
      <c r="J403" s="76" t="n">
        <v>150</v>
      </c>
      <c r="K403" s="82" t="n">
        <v>1</v>
      </c>
      <c r="L403" s="55" t="n">
        <v>18</v>
      </c>
      <c r="M403" s="73" t="n">
        <v>6.508</v>
      </c>
      <c r="N403" s="74" t="n">
        <f aca="false">K403*L403*M403</f>
        <v>117.144</v>
      </c>
      <c r="O403" s="41" t="n">
        <f aca="false">IFERROR(INDEX(Исходные!$B$21:$B$33,MATCH(H403,Исходные!$A$21:$A$33,0)),0)</f>
        <v>1.998</v>
      </c>
      <c r="P403" s="83" t="n">
        <f aca="false">N403*O403</f>
        <v>234.053712</v>
      </c>
      <c r="Q403" s="20" t="s">
        <v>1105</v>
      </c>
      <c r="R403" s="85" t="s">
        <v>535</v>
      </c>
      <c r="S403" s="20" t="s">
        <v>1125</v>
      </c>
      <c r="T403" s="20" t="s">
        <v>124</v>
      </c>
      <c r="U403" s="53" t="n">
        <v>1</v>
      </c>
      <c r="V403" s="76" t="s">
        <v>142</v>
      </c>
      <c r="W403" s="53" t="n">
        <v>1</v>
      </c>
    </row>
    <row r="404" customFormat="false" ht="23.85" hidden="false" customHeight="false" outlineLevel="0" collapsed="false">
      <c r="A404" s="76" t="n">
        <v>392</v>
      </c>
      <c r="B404" s="20" t="s">
        <v>507</v>
      </c>
      <c r="C404" s="20" t="s">
        <v>1101</v>
      </c>
      <c r="D404" s="20" t="s">
        <v>1107</v>
      </c>
      <c r="E404" s="20" t="s">
        <v>1123</v>
      </c>
      <c r="F404" s="76" t="s">
        <v>519</v>
      </c>
      <c r="G404" s="20" t="s">
        <v>1108</v>
      </c>
      <c r="H404" s="55" t="n">
        <v>10</v>
      </c>
      <c r="I404" s="76" t="s">
        <v>512</v>
      </c>
      <c r="J404" s="76" t="s">
        <v>1109</v>
      </c>
      <c r="K404" s="82" t="n">
        <v>1</v>
      </c>
      <c r="L404" s="55" t="n">
        <v>64</v>
      </c>
      <c r="M404" s="73" t="n">
        <v>1.19</v>
      </c>
      <c r="N404" s="74" t="n">
        <f aca="false">K404*L404*M404</f>
        <v>76.16</v>
      </c>
      <c r="O404" s="41" t="n">
        <f aca="false">IFERROR(INDEX(Исходные!$B$21:$B$33,MATCH(H404,Исходные!$A$21:$A$33,0)),0)</f>
        <v>0.617</v>
      </c>
      <c r="P404" s="83" t="n">
        <f aca="false">N404*O404</f>
        <v>46.99072</v>
      </c>
      <c r="Q404" s="20" t="s">
        <v>1110</v>
      </c>
      <c r="R404" s="84" t="s">
        <v>514</v>
      </c>
      <c r="S404" s="20" t="s">
        <v>1126</v>
      </c>
      <c r="T404" s="20" t="s">
        <v>124</v>
      </c>
      <c r="U404" s="53" t="n">
        <v>0</v>
      </c>
      <c r="V404" s="76" t="s">
        <v>142</v>
      </c>
      <c r="W404" s="53" t="n">
        <v>1</v>
      </c>
    </row>
    <row r="405" customFormat="false" ht="23.85" hidden="false" customHeight="false" outlineLevel="0" collapsed="false">
      <c r="A405" s="76" t="n">
        <v>393</v>
      </c>
      <c r="B405" s="20" t="s">
        <v>507</v>
      </c>
      <c r="C405" s="20" t="s">
        <v>1101</v>
      </c>
      <c r="D405" s="20" t="s">
        <v>1107</v>
      </c>
      <c r="E405" s="20" t="s">
        <v>1123</v>
      </c>
      <c r="F405" s="76" t="s">
        <v>575</v>
      </c>
      <c r="G405" s="20" t="s">
        <v>1112</v>
      </c>
      <c r="H405" s="55" t="n">
        <v>10</v>
      </c>
      <c r="I405" s="76" t="s">
        <v>546</v>
      </c>
      <c r="J405" s="76" t="s">
        <v>1109</v>
      </c>
      <c r="K405" s="82" t="n">
        <v>1</v>
      </c>
      <c r="L405" s="55" t="n">
        <v>64</v>
      </c>
      <c r="M405" s="73" t="n">
        <v>0.52</v>
      </c>
      <c r="N405" s="74" t="n">
        <f aca="false">K405*L405*M405</f>
        <v>33.28</v>
      </c>
      <c r="O405" s="41" t="n">
        <f aca="false">IFERROR(INDEX(Исходные!$B$21:$B$33,MATCH(H405,Исходные!$A$21:$A$33,0)),0)</f>
        <v>0.617</v>
      </c>
      <c r="P405" s="83" t="n">
        <f aca="false">N405*O405</f>
        <v>20.53376</v>
      </c>
      <c r="Q405" s="20" t="s">
        <v>1113</v>
      </c>
      <c r="R405" s="84" t="s">
        <v>514</v>
      </c>
      <c r="S405" s="20"/>
      <c r="T405" s="20" t="s">
        <v>124</v>
      </c>
      <c r="U405" s="53" t="n">
        <v>0</v>
      </c>
      <c r="V405" s="76" t="s">
        <v>142</v>
      </c>
      <c r="W405" s="53" t="n">
        <v>1</v>
      </c>
    </row>
    <row r="406" customFormat="false" ht="23.85" hidden="false" customHeight="false" outlineLevel="0" collapsed="false">
      <c r="A406" s="76" t="n">
        <v>394</v>
      </c>
      <c r="B406" s="20" t="s">
        <v>507</v>
      </c>
      <c r="C406" s="20" t="s">
        <v>1101</v>
      </c>
      <c r="D406" s="20" t="s">
        <v>1107</v>
      </c>
      <c r="E406" s="20" t="s">
        <v>1123</v>
      </c>
      <c r="F406" s="76" t="s">
        <v>522</v>
      </c>
      <c r="G406" s="20" t="s">
        <v>1114</v>
      </c>
      <c r="H406" s="55" t="n">
        <v>6</v>
      </c>
      <c r="I406" s="76" t="s">
        <v>546</v>
      </c>
      <c r="J406" s="76" t="s">
        <v>1115</v>
      </c>
      <c r="K406" s="82" t="n">
        <v>1</v>
      </c>
      <c r="L406" s="55" t="n">
        <v>42</v>
      </c>
      <c r="M406" s="73" t="n">
        <v>0.28</v>
      </c>
      <c r="N406" s="74" t="n">
        <f aca="false">K406*L406*M406</f>
        <v>11.76</v>
      </c>
      <c r="O406" s="41" t="n">
        <f aca="false">IFERROR(INDEX(Исходные!$B$21:$B$33,MATCH(H406,Исходные!$A$21:$A$33,0)),0)</f>
        <v>0.222</v>
      </c>
      <c r="P406" s="83" t="n">
        <f aca="false">N406*O406</f>
        <v>2.61072</v>
      </c>
      <c r="Q406" s="20" t="s">
        <v>1116</v>
      </c>
      <c r="R406" s="85" t="s">
        <v>638</v>
      </c>
      <c r="S406" s="20" t="s">
        <v>1127</v>
      </c>
      <c r="T406" s="20" t="s">
        <v>124</v>
      </c>
      <c r="U406" s="53" t="n">
        <v>1</v>
      </c>
      <c r="V406" s="76" t="s">
        <v>142</v>
      </c>
      <c r="W406" s="53" t="n">
        <v>1</v>
      </c>
    </row>
    <row r="407" customFormat="false" ht="23.85" hidden="false" customHeight="false" outlineLevel="0" collapsed="false">
      <c r="A407" s="76" t="n">
        <v>395</v>
      </c>
      <c r="B407" s="20" t="s">
        <v>507</v>
      </c>
      <c r="C407" s="20" t="s">
        <v>1101</v>
      </c>
      <c r="D407" s="20" t="s">
        <v>1107</v>
      </c>
      <c r="E407" s="20" t="s">
        <v>1123</v>
      </c>
      <c r="F407" s="76" t="s">
        <v>140</v>
      </c>
      <c r="G407" s="20" t="s">
        <v>1118</v>
      </c>
      <c r="H407" s="55" t="n">
        <v>5</v>
      </c>
      <c r="I407" s="76" t="s">
        <v>1119</v>
      </c>
      <c r="J407" s="76" t="s">
        <v>1120</v>
      </c>
      <c r="K407" s="82" t="n">
        <v>7.1</v>
      </c>
      <c r="L407" s="55" t="n">
        <v>20</v>
      </c>
      <c r="M407" s="73" t="n">
        <v>1</v>
      </c>
      <c r="N407" s="74" t="n">
        <f aca="false">K407*L407*M407</f>
        <v>142</v>
      </c>
      <c r="O407" s="41" t="n">
        <f aca="false">IFERROR(INDEX(Исходные!$B$21:$B$33,MATCH(H407,Исходные!$A$21:$A$33,0)),0)</f>
        <v>0.154</v>
      </c>
      <c r="P407" s="83" t="n">
        <f aca="false">N407*O407</f>
        <v>21.868</v>
      </c>
      <c r="Q407" s="20" t="s">
        <v>1121</v>
      </c>
      <c r="R407" s="85" t="s">
        <v>535</v>
      </c>
      <c r="S407" s="20" t="s">
        <v>1128</v>
      </c>
      <c r="T407" s="20" t="s">
        <v>124</v>
      </c>
      <c r="U407" s="53" t="n">
        <v>1</v>
      </c>
      <c r="V407" s="76" t="s">
        <v>142</v>
      </c>
      <c r="W407" s="53" t="n">
        <v>1</v>
      </c>
    </row>
    <row r="408" customFormat="false" ht="23.85" hidden="false" customHeight="false" outlineLevel="0" collapsed="false">
      <c r="A408" s="76" t="n">
        <v>396</v>
      </c>
      <c r="B408" s="20" t="s">
        <v>507</v>
      </c>
      <c r="C408" s="20" t="s">
        <v>1101</v>
      </c>
      <c r="D408" s="20" t="s">
        <v>1129</v>
      </c>
      <c r="E408" s="20" t="s">
        <v>1130</v>
      </c>
      <c r="F408" s="76" t="s">
        <v>519</v>
      </c>
      <c r="G408" s="20" t="s">
        <v>1131</v>
      </c>
      <c r="H408" s="55" t="n">
        <v>10</v>
      </c>
      <c r="I408" s="76" t="s">
        <v>512</v>
      </c>
      <c r="J408" s="76" t="n">
        <v>100</v>
      </c>
      <c r="K408" s="82" t="n">
        <v>2</v>
      </c>
      <c r="L408" s="55" t="n">
        <v>28</v>
      </c>
      <c r="M408" s="73" t="n">
        <v>1.19</v>
      </c>
      <c r="N408" s="74" t="n">
        <f aca="false">K408*L408*M408</f>
        <v>66.64</v>
      </c>
      <c r="O408" s="41" t="n">
        <f aca="false">IFERROR(INDEX(Исходные!$B$21:$B$33,MATCH(H408,Исходные!$A$21:$A$33,0)),0)</f>
        <v>0.617</v>
      </c>
      <c r="P408" s="83" t="n">
        <f aca="false">N408*O408</f>
        <v>41.11688</v>
      </c>
      <c r="Q408" s="20" t="s">
        <v>1132</v>
      </c>
      <c r="R408" s="84" t="s">
        <v>514</v>
      </c>
      <c r="S408" s="20" t="s">
        <v>1133</v>
      </c>
      <c r="T408" s="20" t="s">
        <v>124</v>
      </c>
      <c r="U408" s="53" t="n">
        <v>0</v>
      </c>
      <c r="V408" s="76" t="s">
        <v>1134</v>
      </c>
      <c r="W408" s="53" t="n">
        <v>1</v>
      </c>
    </row>
    <row r="409" customFormat="false" ht="23.85" hidden="false" customHeight="false" outlineLevel="0" collapsed="false">
      <c r="A409" s="76" t="n">
        <v>397</v>
      </c>
      <c r="B409" s="20" t="s">
        <v>507</v>
      </c>
      <c r="C409" s="20" t="s">
        <v>1101</v>
      </c>
      <c r="D409" s="20" t="s">
        <v>1129</v>
      </c>
      <c r="E409" s="20" t="s">
        <v>1130</v>
      </c>
      <c r="F409" s="76" t="s">
        <v>575</v>
      </c>
      <c r="G409" s="20" t="s">
        <v>1135</v>
      </c>
      <c r="H409" s="55" t="n">
        <v>10</v>
      </c>
      <c r="I409" s="76" t="s">
        <v>546</v>
      </c>
      <c r="J409" s="76" t="n">
        <v>100</v>
      </c>
      <c r="K409" s="82" t="n">
        <v>2</v>
      </c>
      <c r="L409" s="55" t="n">
        <v>28</v>
      </c>
      <c r="M409" s="73" t="n">
        <v>0.52</v>
      </c>
      <c r="N409" s="74" t="n">
        <f aca="false">K409*L409*M409</f>
        <v>29.12</v>
      </c>
      <c r="O409" s="41" t="n">
        <f aca="false">IFERROR(INDEX(Исходные!$B$21:$B$33,MATCH(H409,Исходные!$A$21:$A$33,0)),0)</f>
        <v>0.617</v>
      </c>
      <c r="P409" s="83" t="n">
        <f aca="false">N409*O409</f>
        <v>17.96704</v>
      </c>
      <c r="Q409" s="20" t="s">
        <v>1136</v>
      </c>
      <c r="R409" s="84" t="s">
        <v>514</v>
      </c>
      <c r="S409" s="20"/>
      <c r="T409" s="20" t="s">
        <v>124</v>
      </c>
      <c r="U409" s="53" t="n">
        <v>0</v>
      </c>
      <c r="V409" s="76" t="s">
        <v>1134</v>
      </c>
      <c r="W409" s="53" t="n">
        <v>1</v>
      </c>
    </row>
    <row r="410" customFormat="false" ht="23.85" hidden="false" customHeight="false" outlineLevel="0" collapsed="false">
      <c r="A410" s="76" t="n">
        <v>398</v>
      </c>
      <c r="B410" s="20" t="s">
        <v>507</v>
      </c>
      <c r="C410" s="20" t="s">
        <v>1101</v>
      </c>
      <c r="D410" s="20" t="s">
        <v>1129</v>
      </c>
      <c r="E410" s="20" t="s">
        <v>1130</v>
      </c>
      <c r="F410" s="76" t="s">
        <v>516</v>
      </c>
      <c r="G410" s="20" t="s">
        <v>1137</v>
      </c>
      <c r="H410" s="55" t="n">
        <v>10</v>
      </c>
      <c r="I410" s="76" t="s">
        <v>512</v>
      </c>
      <c r="J410" s="76" t="n">
        <v>100</v>
      </c>
      <c r="K410" s="82" t="n">
        <v>1</v>
      </c>
      <c r="L410" s="55" t="n">
        <v>28</v>
      </c>
      <c r="M410" s="73" t="n">
        <v>0.6</v>
      </c>
      <c r="N410" s="74" t="n">
        <f aca="false">K410*L410*M410</f>
        <v>16.8</v>
      </c>
      <c r="O410" s="41" t="n">
        <f aca="false">IFERROR(INDEX(Исходные!$B$21:$B$33,MATCH(H410,Исходные!$A$21:$A$33,0)),0)</f>
        <v>0.617</v>
      </c>
      <c r="P410" s="83" t="n">
        <f aca="false">N410*O410</f>
        <v>10.3656</v>
      </c>
      <c r="Q410" s="20" t="s">
        <v>1138</v>
      </c>
      <c r="R410" s="84" t="s">
        <v>514</v>
      </c>
      <c r="S410" s="20"/>
      <c r="T410" s="20" t="s">
        <v>124</v>
      </c>
      <c r="U410" s="53" t="n">
        <v>0</v>
      </c>
      <c r="V410" s="76" t="s">
        <v>1134</v>
      </c>
      <c r="W410" s="53" t="n">
        <v>1</v>
      </c>
    </row>
    <row r="411" customFormat="false" ht="23.85" hidden="false" customHeight="false" outlineLevel="0" collapsed="false">
      <c r="A411" s="76" t="n">
        <v>399</v>
      </c>
      <c r="B411" s="20" t="s">
        <v>507</v>
      </c>
      <c r="C411" s="20" t="s">
        <v>1101</v>
      </c>
      <c r="D411" s="20" t="s">
        <v>1129</v>
      </c>
      <c r="E411" s="20" t="s">
        <v>1130</v>
      </c>
      <c r="F411" s="76" t="s">
        <v>522</v>
      </c>
      <c r="G411" s="20" t="s">
        <v>1139</v>
      </c>
      <c r="H411" s="55" t="n">
        <v>6</v>
      </c>
      <c r="I411" s="76" t="s">
        <v>546</v>
      </c>
      <c r="J411" s="76" t="s">
        <v>1115</v>
      </c>
      <c r="K411" s="82" t="n">
        <v>1</v>
      </c>
      <c r="L411" s="55" t="n">
        <v>28</v>
      </c>
      <c r="M411" s="73" t="n">
        <v>0.28</v>
      </c>
      <c r="N411" s="74" t="n">
        <f aca="false">K411*L411*M411</f>
        <v>7.84</v>
      </c>
      <c r="O411" s="41" t="n">
        <f aca="false">IFERROR(INDEX(Исходные!$B$21:$B$33,MATCH(H411,Исходные!$A$21:$A$33,0)),0)</f>
        <v>0.222</v>
      </c>
      <c r="P411" s="83" t="n">
        <f aca="false">N411*O411</f>
        <v>1.74048</v>
      </c>
      <c r="Q411" s="20" t="s">
        <v>1140</v>
      </c>
      <c r="R411" s="85" t="s">
        <v>638</v>
      </c>
      <c r="S411" s="20" t="s">
        <v>1141</v>
      </c>
      <c r="T411" s="20" t="s">
        <v>124</v>
      </c>
      <c r="U411" s="53" t="n">
        <v>1</v>
      </c>
      <c r="V411" s="76" t="s">
        <v>1134</v>
      </c>
      <c r="W411" s="53" t="n">
        <v>1</v>
      </c>
    </row>
    <row r="412" customFormat="false" ht="23.85" hidden="false" customHeight="false" outlineLevel="0" collapsed="false">
      <c r="A412" s="76" t="n">
        <v>400</v>
      </c>
      <c r="B412" s="20" t="s">
        <v>507</v>
      </c>
      <c r="C412" s="20" t="s">
        <v>1101</v>
      </c>
      <c r="D412" s="20" t="s">
        <v>1129</v>
      </c>
      <c r="E412" s="20" t="s">
        <v>1130</v>
      </c>
      <c r="F412" s="76" t="s">
        <v>1142</v>
      </c>
      <c r="G412" s="20" t="s">
        <v>1143</v>
      </c>
      <c r="H412" s="55" t="n">
        <v>10</v>
      </c>
      <c r="I412" s="76" t="s">
        <v>512</v>
      </c>
      <c r="J412" s="76" t="s">
        <v>164</v>
      </c>
      <c r="K412" s="82" t="n">
        <v>2</v>
      </c>
      <c r="L412" s="55" t="n">
        <v>4</v>
      </c>
      <c r="M412" s="73" t="n">
        <v>0.48</v>
      </c>
      <c r="N412" s="74" t="n">
        <f aca="false">K412*L412*M412</f>
        <v>3.84</v>
      </c>
      <c r="O412" s="41" t="n">
        <f aca="false">IFERROR(INDEX(Исходные!$B$21:$B$33,MATCH(H412,Исходные!$A$21:$A$33,0)),0)</f>
        <v>0.617</v>
      </c>
      <c r="P412" s="83" t="n">
        <f aca="false">N412*O412</f>
        <v>2.36928</v>
      </c>
      <c r="Q412" s="20" t="s">
        <v>1144</v>
      </c>
      <c r="R412" s="85" t="s">
        <v>638</v>
      </c>
      <c r="S412" s="20" t="s">
        <v>1145</v>
      </c>
      <c r="T412" s="20" t="s">
        <v>124</v>
      </c>
      <c r="U412" s="53" t="n">
        <v>1</v>
      </c>
      <c r="V412" s="76" t="s">
        <v>1134</v>
      </c>
      <c r="W412" s="53" t="n">
        <v>1</v>
      </c>
    </row>
    <row r="413" customFormat="false" ht="23.85" hidden="false" customHeight="false" outlineLevel="0" collapsed="false">
      <c r="A413" s="76" t="n">
        <v>401</v>
      </c>
      <c r="B413" s="20" t="s">
        <v>507</v>
      </c>
      <c r="C413" s="20" t="s">
        <v>1101</v>
      </c>
      <c r="D413" s="20" t="s">
        <v>1146</v>
      </c>
      <c r="E413" s="20" t="s">
        <v>169</v>
      </c>
      <c r="F413" s="76" t="s">
        <v>510</v>
      </c>
      <c r="G413" s="20" t="s">
        <v>1147</v>
      </c>
      <c r="H413" s="55" t="n">
        <v>25</v>
      </c>
      <c r="I413" s="76" t="s">
        <v>512</v>
      </c>
      <c r="J413" s="76" t="s">
        <v>164</v>
      </c>
      <c r="K413" s="82" t="n">
        <v>1</v>
      </c>
      <c r="L413" s="55" t="n">
        <v>4</v>
      </c>
      <c r="M413" s="73" t="n">
        <v>3.065</v>
      </c>
      <c r="N413" s="74" t="n">
        <f aca="false">K413*L413*M413</f>
        <v>12.26</v>
      </c>
      <c r="O413" s="41" t="n">
        <f aca="false">IFERROR(INDEX(Исходные!$B$21:$B$33,MATCH(H413,Исходные!$A$21:$A$33,0)),0)</f>
        <v>3.853</v>
      </c>
      <c r="P413" s="83" t="n">
        <f aca="false">N413*O413</f>
        <v>47.23778</v>
      </c>
      <c r="Q413" s="20" t="s">
        <v>1148</v>
      </c>
      <c r="R413" s="85" t="s">
        <v>535</v>
      </c>
      <c r="S413" s="20" t="s">
        <v>1149</v>
      </c>
      <c r="T413" s="20" t="s">
        <v>124</v>
      </c>
      <c r="U413" s="53" t="n">
        <v>1</v>
      </c>
      <c r="V413" s="76" t="s">
        <v>1150</v>
      </c>
      <c r="W413" s="53" t="n">
        <v>1</v>
      </c>
    </row>
    <row r="414" customFormat="false" ht="23.85" hidden="false" customHeight="false" outlineLevel="0" collapsed="false">
      <c r="A414" s="76" t="n">
        <v>402</v>
      </c>
      <c r="B414" s="20" t="s">
        <v>507</v>
      </c>
      <c r="C414" s="20" t="s">
        <v>1101</v>
      </c>
      <c r="D414" s="20" t="s">
        <v>1146</v>
      </c>
      <c r="E414" s="20" t="s">
        <v>169</v>
      </c>
      <c r="F414" s="76" t="s">
        <v>510</v>
      </c>
      <c r="G414" s="20" t="s">
        <v>1151</v>
      </c>
      <c r="H414" s="55" t="n">
        <v>25</v>
      </c>
      <c r="I414" s="76" t="s">
        <v>512</v>
      </c>
      <c r="J414" s="76" t="s">
        <v>164</v>
      </c>
      <c r="K414" s="82" t="n">
        <v>1</v>
      </c>
      <c r="L414" s="55" t="n">
        <v>4</v>
      </c>
      <c r="M414" s="73" t="n">
        <v>2.28</v>
      </c>
      <c r="N414" s="74" t="n">
        <f aca="false">K414*L414*M414</f>
        <v>9.12</v>
      </c>
      <c r="O414" s="41" t="n">
        <f aca="false">IFERROR(INDEX(Исходные!$B$21:$B$33,MATCH(H414,Исходные!$A$21:$A$33,0)),0)</f>
        <v>3.853</v>
      </c>
      <c r="P414" s="83" t="n">
        <f aca="false">N414*O414</f>
        <v>35.13936</v>
      </c>
      <c r="Q414" s="20" t="s">
        <v>1152</v>
      </c>
      <c r="R414" s="85" t="s">
        <v>535</v>
      </c>
      <c r="S414" s="20" t="s">
        <v>1153</v>
      </c>
      <c r="T414" s="20" t="s">
        <v>124</v>
      </c>
      <c r="U414" s="53" t="n">
        <v>1</v>
      </c>
      <c r="V414" s="76" t="s">
        <v>1150</v>
      </c>
      <c r="W414" s="53" t="n">
        <v>1</v>
      </c>
    </row>
    <row r="415" customFormat="false" ht="23.85" hidden="false" customHeight="false" outlineLevel="0" collapsed="false">
      <c r="A415" s="76" t="n">
        <v>403</v>
      </c>
      <c r="B415" s="20" t="s">
        <v>507</v>
      </c>
      <c r="C415" s="20" t="s">
        <v>1101</v>
      </c>
      <c r="D415" s="20" t="s">
        <v>1154</v>
      </c>
      <c r="E415" s="20" t="s">
        <v>169</v>
      </c>
      <c r="F415" s="76" t="s">
        <v>1155</v>
      </c>
      <c r="G415" s="20" t="s">
        <v>1156</v>
      </c>
      <c r="H415" s="55" t="n">
        <v>8</v>
      </c>
      <c r="I415" s="76" t="s">
        <v>546</v>
      </c>
      <c r="J415" s="76" t="n">
        <v>100</v>
      </c>
      <c r="K415" s="82" t="n">
        <v>1</v>
      </c>
      <c r="L415" s="55" t="n">
        <v>15</v>
      </c>
      <c r="M415" s="73" t="n">
        <v>1.28</v>
      </c>
      <c r="N415" s="74" t="n">
        <f aca="false">K415*L415*M415</f>
        <v>19.2</v>
      </c>
      <c r="O415" s="41" t="n">
        <f aca="false">IFERROR(INDEX(Исходные!$B$21:$B$33,MATCH(H415,Исходные!$A$21:$A$33,0)),0)</f>
        <v>0.395</v>
      </c>
      <c r="P415" s="83" t="n">
        <f aca="false">N415*O415</f>
        <v>7.584</v>
      </c>
      <c r="Q415" s="20" t="s">
        <v>1157</v>
      </c>
      <c r="R415" s="84" t="s">
        <v>514</v>
      </c>
      <c r="S415" s="20"/>
      <c r="T415" s="20" t="s">
        <v>124</v>
      </c>
      <c r="U415" s="53" t="n">
        <v>0</v>
      </c>
      <c r="V415" s="76" t="s">
        <v>1150</v>
      </c>
      <c r="W415" s="53" t="n">
        <v>1</v>
      </c>
    </row>
    <row r="416" customFormat="false" ht="23.85" hidden="false" customHeight="false" outlineLevel="0" collapsed="false">
      <c r="A416" s="76" t="n">
        <v>404</v>
      </c>
      <c r="B416" s="20" t="s">
        <v>507</v>
      </c>
      <c r="C416" s="20" t="s">
        <v>1101</v>
      </c>
      <c r="D416" s="20" t="s">
        <v>1154</v>
      </c>
      <c r="E416" s="20" t="s">
        <v>169</v>
      </c>
      <c r="F416" s="76" t="s">
        <v>1158</v>
      </c>
      <c r="G416" s="20" t="s">
        <v>1159</v>
      </c>
      <c r="H416" s="55" t="n">
        <v>8</v>
      </c>
      <c r="I416" s="76" t="s">
        <v>546</v>
      </c>
      <c r="J416" s="76" t="n">
        <v>100</v>
      </c>
      <c r="K416" s="82" t="n">
        <v>1</v>
      </c>
      <c r="L416" s="55" t="n">
        <v>22</v>
      </c>
      <c r="M416" s="73" t="n">
        <v>1.16</v>
      </c>
      <c r="N416" s="74" t="n">
        <f aca="false">K416*L416*M416</f>
        <v>25.52</v>
      </c>
      <c r="O416" s="41" t="n">
        <f aca="false">IFERROR(INDEX(Исходные!$B$21:$B$33,MATCH(H416,Исходные!$A$21:$A$33,0)),0)</f>
        <v>0.395</v>
      </c>
      <c r="P416" s="83" t="n">
        <f aca="false">N416*O416</f>
        <v>10.0804</v>
      </c>
      <c r="Q416" s="20" t="s">
        <v>1160</v>
      </c>
      <c r="R416" s="84" t="s">
        <v>514</v>
      </c>
      <c r="S416" s="20"/>
      <c r="T416" s="20" t="s">
        <v>124</v>
      </c>
      <c r="U416" s="53" t="n">
        <v>0</v>
      </c>
      <c r="V416" s="76" t="s">
        <v>1150</v>
      </c>
      <c r="W416" s="53" t="n">
        <v>1</v>
      </c>
    </row>
    <row r="417" customFormat="false" ht="23.85" hidden="false" customHeight="false" outlineLevel="0" collapsed="false">
      <c r="A417" s="76" t="n">
        <v>405</v>
      </c>
      <c r="B417" s="20" t="s">
        <v>507</v>
      </c>
      <c r="C417" s="20" t="s">
        <v>1101</v>
      </c>
      <c r="D417" s="20" t="s">
        <v>1154</v>
      </c>
      <c r="E417" s="20" t="s">
        <v>169</v>
      </c>
      <c r="F417" s="76" t="s">
        <v>1161</v>
      </c>
      <c r="G417" s="20" t="s">
        <v>1162</v>
      </c>
      <c r="H417" s="55" t="n">
        <v>16</v>
      </c>
      <c r="I417" s="76" t="s">
        <v>546</v>
      </c>
      <c r="J417" s="76" t="s">
        <v>164</v>
      </c>
      <c r="K417" s="82" t="n">
        <v>1</v>
      </c>
      <c r="L417" s="55" t="n">
        <v>2</v>
      </c>
      <c r="M417" s="73" t="n">
        <v>0.42</v>
      </c>
      <c r="N417" s="74" t="n">
        <f aca="false">K417*L417*M417</f>
        <v>0.84</v>
      </c>
      <c r="O417" s="41" t="n">
        <f aca="false">IFERROR(INDEX(Исходные!$B$21:$B$33,MATCH(H417,Исходные!$A$21:$A$33,0)),0)</f>
        <v>1.578</v>
      </c>
      <c r="P417" s="83" t="n">
        <f aca="false">N417*O417</f>
        <v>1.32552</v>
      </c>
      <c r="Q417" s="20" t="s">
        <v>1163</v>
      </c>
      <c r="R417" s="85" t="s">
        <v>638</v>
      </c>
      <c r="S417" s="20" t="s">
        <v>1164</v>
      </c>
      <c r="T417" s="20" t="s">
        <v>124</v>
      </c>
      <c r="U417" s="53" t="n">
        <v>1</v>
      </c>
      <c r="V417" s="76" t="s">
        <v>1150</v>
      </c>
      <c r="W417" s="53" t="n">
        <v>1</v>
      </c>
    </row>
    <row r="418" customFormat="false" ht="15" hidden="false" customHeight="true" outlineLevel="0" collapsed="false">
      <c r="A418" s="80" t="s">
        <v>1165</v>
      </c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80"/>
      <c r="Q418" s="80"/>
      <c r="R418" s="80"/>
      <c r="S418" s="80"/>
      <c r="T418" s="80"/>
      <c r="U418" s="80"/>
      <c r="V418" s="80"/>
      <c r="W418" s="80"/>
    </row>
    <row r="419" customFormat="false" ht="15" hidden="false" customHeight="true" outlineLevel="0" collapsed="false">
      <c r="A419" s="81" t="s">
        <v>1166</v>
      </c>
      <c r="B419" s="81"/>
      <c r="C419" s="81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</row>
    <row r="420" customFormat="false" ht="35.05" hidden="false" customHeight="false" outlineLevel="0" collapsed="false">
      <c r="A420" s="76" t="n">
        <v>406</v>
      </c>
      <c r="B420" s="20" t="s">
        <v>1167</v>
      </c>
      <c r="C420" s="20" t="s">
        <v>508</v>
      </c>
      <c r="D420" s="20" t="s">
        <v>509</v>
      </c>
      <c r="E420" s="20" t="s">
        <v>148</v>
      </c>
      <c r="F420" s="76" t="s">
        <v>519</v>
      </c>
      <c r="G420" s="20" t="s">
        <v>1168</v>
      </c>
      <c r="H420" s="55" t="n">
        <v>28</v>
      </c>
      <c r="I420" s="76" t="s">
        <v>512</v>
      </c>
      <c r="J420" s="76" t="s">
        <v>164</v>
      </c>
      <c r="K420" s="82" t="n">
        <v>1</v>
      </c>
      <c r="L420" s="55" t="n">
        <v>4</v>
      </c>
      <c r="M420" s="73" t="n">
        <v>3.6</v>
      </c>
      <c r="N420" s="74" t="n">
        <f aca="false">K420*L420*M420</f>
        <v>14.4</v>
      </c>
      <c r="O420" s="41" t="n">
        <f aca="false">IFERROR(INDEX(Исходные!$B$21:$B$33,MATCH(H420,Исходные!$A$21:$A$33,0)),0)</f>
        <v>4.834</v>
      </c>
      <c r="P420" s="83" t="n">
        <f aca="false">N420*O420</f>
        <v>69.6096</v>
      </c>
      <c r="Q420" s="20" t="s">
        <v>1169</v>
      </c>
      <c r="R420" s="84" t="s">
        <v>514</v>
      </c>
      <c r="S420" s="20" t="s">
        <v>1170</v>
      </c>
      <c r="T420" s="20" t="s">
        <v>12</v>
      </c>
      <c r="U420" s="53" t="n">
        <v>0</v>
      </c>
      <c r="V420" s="76" t="s">
        <v>148</v>
      </c>
      <c r="W420" s="53" t="n">
        <v>2</v>
      </c>
    </row>
    <row r="421" customFormat="false" ht="35.05" hidden="false" customHeight="false" outlineLevel="0" collapsed="false">
      <c r="A421" s="76" t="n">
        <v>407</v>
      </c>
      <c r="B421" s="20" t="s">
        <v>1167</v>
      </c>
      <c r="C421" s="20" t="s">
        <v>508</v>
      </c>
      <c r="D421" s="20" t="s">
        <v>509</v>
      </c>
      <c r="E421" s="20" t="s">
        <v>148</v>
      </c>
      <c r="F421" s="76" t="s">
        <v>516</v>
      </c>
      <c r="G421" s="20" t="s">
        <v>1171</v>
      </c>
      <c r="H421" s="55" t="n">
        <v>20</v>
      </c>
      <c r="I421" s="76" t="s">
        <v>512</v>
      </c>
      <c r="J421" s="76" t="s">
        <v>164</v>
      </c>
      <c r="K421" s="82" t="n">
        <v>1</v>
      </c>
      <c r="L421" s="55" t="n">
        <v>8</v>
      </c>
      <c r="M421" s="73" t="n">
        <v>3.6</v>
      </c>
      <c r="N421" s="74" t="n">
        <f aca="false">K421*L421*M421</f>
        <v>28.8</v>
      </c>
      <c r="O421" s="41" t="n">
        <f aca="false">IFERROR(INDEX(Исходные!$B$21:$B$33,MATCH(H421,Исходные!$A$21:$A$33,0)),0)</f>
        <v>2.466</v>
      </c>
      <c r="P421" s="83" t="n">
        <f aca="false">N421*O421</f>
        <v>71.0208</v>
      </c>
      <c r="Q421" s="20" t="s">
        <v>1169</v>
      </c>
      <c r="R421" s="84" t="s">
        <v>514</v>
      </c>
      <c r="S421" s="20" t="s">
        <v>1172</v>
      </c>
      <c r="T421" s="20" t="s">
        <v>12</v>
      </c>
      <c r="U421" s="53" t="n">
        <v>0</v>
      </c>
      <c r="V421" s="76" t="s">
        <v>148</v>
      </c>
      <c r="W421" s="53" t="n">
        <v>2</v>
      </c>
    </row>
    <row r="422" customFormat="false" ht="35.05" hidden="false" customHeight="false" outlineLevel="0" collapsed="false">
      <c r="A422" s="76" t="n">
        <v>408</v>
      </c>
      <c r="B422" s="20" t="s">
        <v>1167</v>
      </c>
      <c r="C422" s="20" t="s">
        <v>508</v>
      </c>
      <c r="D422" s="20" t="s">
        <v>509</v>
      </c>
      <c r="E422" s="20" t="s">
        <v>148</v>
      </c>
      <c r="F422" s="76" t="s">
        <v>522</v>
      </c>
      <c r="G422" s="20" t="s">
        <v>1173</v>
      </c>
      <c r="H422" s="55" t="n">
        <v>25</v>
      </c>
      <c r="I422" s="76" t="s">
        <v>512</v>
      </c>
      <c r="J422" s="76" t="s">
        <v>164</v>
      </c>
      <c r="K422" s="82" t="n">
        <v>1</v>
      </c>
      <c r="L422" s="55" t="n">
        <v>12</v>
      </c>
      <c r="M422" s="73" t="n">
        <v>3.6</v>
      </c>
      <c r="N422" s="74" t="n">
        <f aca="false">K422*L422*M422</f>
        <v>43.2</v>
      </c>
      <c r="O422" s="41" t="n">
        <f aca="false">IFERROR(INDEX(Исходные!$B$21:$B$33,MATCH(H422,Исходные!$A$21:$A$33,0)),0)</f>
        <v>3.853</v>
      </c>
      <c r="P422" s="83" t="n">
        <f aca="false">N422*O422</f>
        <v>166.4496</v>
      </c>
      <c r="Q422" s="20" t="s">
        <v>1169</v>
      </c>
      <c r="R422" s="84" t="s">
        <v>514</v>
      </c>
      <c r="S422" s="20" t="s">
        <v>1174</v>
      </c>
      <c r="T422" s="20" t="s">
        <v>12</v>
      </c>
      <c r="U422" s="53" t="n">
        <v>0</v>
      </c>
      <c r="V422" s="76" t="s">
        <v>148</v>
      </c>
      <c r="W422" s="53" t="n">
        <v>2</v>
      </c>
    </row>
    <row r="423" customFormat="false" ht="35.05" hidden="false" customHeight="false" outlineLevel="0" collapsed="false">
      <c r="A423" s="76" t="n">
        <v>409</v>
      </c>
      <c r="B423" s="20" t="s">
        <v>1167</v>
      </c>
      <c r="C423" s="20" t="s">
        <v>508</v>
      </c>
      <c r="D423" s="20" t="s">
        <v>509</v>
      </c>
      <c r="E423" s="20" t="s">
        <v>148</v>
      </c>
      <c r="F423" s="76" t="s">
        <v>529</v>
      </c>
      <c r="G423" s="20" t="s">
        <v>1175</v>
      </c>
      <c r="H423" s="55" t="n">
        <v>16</v>
      </c>
      <c r="I423" s="76" t="s">
        <v>512</v>
      </c>
      <c r="J423" s="76" t="s">
        <v>164</v>
      </c>
      <c r="K423" s="82" t="n">
        <v>1</v>
      </c>
      <c r="L423" s="55" t="n">
        <v>8</v>
      </c>
      <c r="M423" s="73" t="n">
        <v>3.728</v>
      </c>
      <c r="N423" s="74" t="n">
        <f aca="false">K423*L423*M423</f>
        <v>29.824</v>
      </c>
      <c r="O423" s="41" t="n">
        <f aca="false">IFERROR(INDEX(Исходные!$B$21:$B$33,MATCH(H423,Исходные!$A$21:$A$33,0)),0)</f>
        <v>1.578</v>
      </c>
      <c r="P423" s="83" t="n">
        <f aca="false">N423*O423</f>
        <v>47.062272</v>
      </c>
      <c r="Q423" s="20" t="s">
        <v>1169</v>
      </c>
      <c r="R423" s="84" t="s">
        <v>514</v>
      </c>
      <c r="S423" s="20" t="s">
        <v>1176</v>
      </c>
      <c r="T423" s="20" t="s">
        <v>12</v>
      </c>
      <c r="U423" s="53" t="n">
        <v>0</v>
      </c>
      <c r="V423" s="76" t="s">
        <v>148</v>
      </c>
      <c r="W423" s="53" t="n">
        <v>2</v>
      </c>
    </row>
    <row r="424" customFormat="false" ht="35.05" hidden="false" customHeight="false" outlineLevel="0" collapsed="false">
      <c r="A424" s="76" t="n">
        <v>410</v>
      </c>
      <c r="B424" s="20" t="s">
        <v>1167</v>
      </c>
      <c r="C424" s="20" t="s">
        <v>508</v>
      </c>
      <c r="D424" s="20" t="s">
        <v>509</v>
      </c>
      <c r="E424" s="20" t="s">
        <v>148</v>
      </c>
      <c r="F424" s="76" t="s">
        <v>522</v>
      </c>
      <c r="G424" s="20" t="s">
        <v>1177</v>
      </c>
      <c r="H424" s="55" t="n">
        <v>25</v>
      </c>
      <c r="I424" s="76" t="s">
        <v>512</v>
      </c>
      <c r="J424" s="76" t="s">
        <v>164</v>
      </c>
      <c r="K424" s="82" t="n">
        <v>1</v>
      </c>
      <c r="L424" s="55" t="n">
        <v>6</v>
      </c>
      <c r="M424" s="73" t="n">
        <v>3.6</v>
      </c>
      <c r="N424" s="74" t="n">
        <f aca="false">K424*L424*M424</f>
        <v>21.6</v>
      </c>
      <c r="O424" s="41" t="n">
        <f aca="false">IFERROR(INDEX(Исходные!$B$21:$B$33,MATCH(H424,Исходные!$A$21:$A$33,0)),0)</f>
        <v>3.853</v>
      </c>
      <c r="P424" s="83" t="n">
        <f aca="false">N424*O424</f>
        <v>83.2248</v>
      </c>
      <c r="Q424" s="20" t="s">
        <v>1169</v>
      </c>
      <c r="R424" s="84" t="s">
        <v>514</v>
      </c>
      <c r="S424" s="20" t="s">
        <v>1178</v>
      </c>
      <c r="T424" s="20" t="s">
        <v>12</v>
      </c>
      <c r="U424" s="53" t="n">
        <v>0</v>
      </c>
      <c r="V424" s="76" t="s">
        <v>148</v>
      </c>
      <c r="W424" s="53" t="n">
        <v>2</v>
      </c>
    </row>
    <row r="425" customFormat="false" ht="35.05" hidden="false" customHeight="false" outlineLevel="0" collapsed="false">
      <c r="A425" s="76" t="n">
        <v>411</v>
      </c>
      <c r="B425" s="20" t="s">
        <v>1167</v>
      </c>
      <c r="C425" s="20" t="s">
        <v>508</v>
      </c>
      <c r="D425" s="20" t="s">
        <v>509</v>
      </c>
      <c r="E425" s="20" t="s">
        <v>148</v>
      </c>
      <c r="F425" s="76" t="s">
        <v>529</v>
      </c>
      <c r="G425" s="20" t="s">
        <v>1179</v>
      </c>
      <c r="H425" s="55" t="n">
        <v>16</v>
      </c>
      <c r="I425" s="76" t="s">
        <v>512</v>
      </c>
      <c r="J425" s="76" t="s">
        <v>164</v>
      </c>
      <c r="K425" s="82" t="n">
        <v>1</v>
      </c>
      <c r="L425" s="55" t="n">
        <v>4</v>
      </c>
      <c r="M425" s="73" t="n">
        <v>3.728</v>
      </c>
      <c r="N425" s="74" t="n">
        <f aca="false">K425*L425*M425</f>
        <v>14.912</v>
      </c>
      <c r="O425" s="41" t="n">
        <f aca="false">IFERROR(INDEX(Исходные!$B$21:$B$33,MATCH(H425,Исходные!$A$21:$A$33,0)),0)</f>
        <v>1.578</v>
      </c>
      <c r="P425" s="83" t="n">
        <f aca="false">N425*O425</f>
        <v>23.531136</v>
      </c>
      <c r="Q425" s="20" t="s">
        <v>1169</v>
      </c>
      <c r="R425" s="84" t="s">
        <v>514</v>
      </c>
      <c r="S425" s="20" t="s">
        <v>1180</v>
      </c>
      <c r="T425" s="20" t="s">
        <v>12</v>
      </c>
      <c r="U425" s="53" t="n">
        <v>0</v>
      </c>
      <c r="V425" s="76" t="s">
        <v>148</v>
      </c>
      <c r="W425" s="53" t="n">
        <v>2</v>
      </c>
    </row>
    <row r="426" customFormat="false" ht="35.05" hidden="false" customHeight="false" outlineLevel="0" collapsed="false">
      <c r="A426" s="76" t="n">
        <v>412</v>
      </c>
      <c r="B426" s="20" t="s">
        <v>1167</v>
      </c>
      <c r="C426" s="20" t="s">
        <v>508</v>
      </c>
      <c r="D426" s="20" t="s">
        <v>509</v>
      </c>
      <c r="E426" s="20" t="s">
        <v>148</v>
      </c>
      <c r="F426" s="76" t="s">
        <v>669</v>
      </c>
      <c r="G426" s="20" t="s">
        <v>1181</v>
      </c>
      <c r="H426" s="55" t="n">
        <v>14</v>
      </c>
      <c r="I426" s="76" t="s">
        <v>512</v>
      </c>
      <c r="J426" s="76" t="s">
        <v>164</v>
      </c>
      <c r="K426" s="82" t="n">
        <v>1</v>
      </c>
      <c r="L426" s="55" t="n">
        <v>8</v>
      </c>
      <c r="M426" s="73" t="n">
        <v>3.712</v>
      </c>
      <c r="N426" s="74" t="n">
        <f aca="false">K426*L426*M426</f>
        <v>29.696</v>
      </c>
      <c r="O426" s="41" t="n">
        <f aca="false">IFERROR(INDEX(Исходные!$B$21:$B$33,MATCH(H426,Исходные!$A$21:$A$33,0)),0)</f>
        <v>1.208</v>
      </c>
      <c r="P426" s="83" t="n">
        <f aca="false">N426*O426</f>
        <v>35.872768</v>
      </c>
      <c r="Q426" s="20" t="s">
        <v>1169</v>
      </c>
      <c r="R426" s="84" t="s">
        <v>514</v>
      </c>
      <c r="S426" s="20" t="s">
        <v>1182</v>
      </c>
      <c r="T426" s="20" t="s">
        <v>12</v>
      </c>
      <c r="U426" s="53" t="n">
        <v>0</v>
      </c>
      <c r="V426" s="76" t="s">
        <v>148</v>
      </c>
      <c r="W426" s="53" t="n">
        <v>2</v>
      </c>
    </row>
    <row r="427" customFormat="false" ht="35.05" hidden="false" customHeight="false" outlineLevel="0" collapsed="false">
      <c r="A427" s="76" t="n">
        <v>413</v>
      </c>
      <c r="B427" s="20" t="s">
        <v>1167</v>
      </c>
      <c r="C427" s="20" t="s">
        <v>508</v>
      </c>
      <c r="D427" s="20" t="s">
        <v>509</v>
      </c>
      <c r="E427" s="20" t="s">
        <v>148</v>
      </c>
      <c r="F427" s="76" t="s">
        <v>532</v>
      </c>
      <c r="G427" s="20" t="s">
        <v>533</v>
      </c>
      <c r="H427" s="55" t="n">
        <v>14</v>
      </c>
      <c r="I427" s="76" t="s">
        <v>512</v>
      </c>
      <c r="J427" s="76" t="n">
        <v>200</v>
      </c>
      <c r="K427" s="82" t="n">
        <v>1</v>
      </c>
      <c r="L427" s="55" t="n">
        <v>32</v>
      </c>
      <c r="M427" s="73" t="n">
        <v>1.95</v>
      </c>
      <c r="N427" s="74" t="n">
        <f aca="false">K427*L427*M427</f>
        <v>62.4</v>
      </c>
      <c r="O427" s="41" t="n">
        <f aca="false">IFERROR(INDEX(Исходные!$B$21:$B$33,MATCH(H427,Исходные!$A$21:$A$33,0)),0)</f>
        <v>1.208</v>
      </c>
      <c r="P427" s="83" t="n">
        <f aca="false">N427*O427</f>
        <v>75.3792</v>
      </c>
      <c r="Q427" s="20" t="s">
        <v>1183</v>
      </c>
      <c r="R427" s="85" t="s">
        <v>535</v>
      </c>
      <c r="S427" s="20" t="s">
        <v>1184</v>
      </c>
      <c r="T427" s="20" t="s">
        <v>12</v>
      </c>
      <c r="U427" s="53" t="n">
        <v>1</v>
      </c>
      <c r="V427" s="76" t="s">
        <v>148</v>
      </c>
      <c r="W427" s="53" t="n">
        <v>2</v>
      </c>
    </row>
    <row r="428" customFormat="false" ht="35.05" hidden="false" customHeight="false" outlineLevel="0" collapsed="false">
      <c r="A428" s="76" t="n">
        <v>414</v>
      </c>
      <c r="B428" s="20" t="s">
        <v>1167</v>
      </c>
      <c r="C428" s="20" t="s">
        <v>508</v>
      </c>
      <c r="D428" s="20" t="s">
        <v>509</v>
      </c>
      <c r="E428" s="20" t="s">
        <v>148</v>
      </c>
      <c r="F428" s="76" t="s">
        <v>532</v>
      </c>
      <c r="G428" s="20" t="s">
        <v>537</v>
      </c>
      <c r="H428" s="55" t="n">
        <v>16</v>
      </c>
      <c r="I428" s="76" t="s">
        <v>512</v>
      </c>
      <c r="J428" s="76" t="n">
        <v>200</v>
      </c>
      <c r="K428" s="82" t="n">
        <v>1</v>
      </c>
      <c r="L428" s="55" t="n">
        <v>32</v>
      </c>
      <c r="M428" s="73" t="n">
        <v>2.25</v>
      </c>
      <c r="N428" s="74" t="n">
        <f aca="false">K428*L428*M428</f>
        <v>72</v>
      </c>
      <c r="O428" s="41" t="n">
        <f aca="false">IFERROR(INDEX(Исходные!$B$21:$B$33,MATCH(H428,Исходные!$A$21:$A$33,0)),0)</f>
        <v>1.578</v>
      </c>
      <c r="P428" s="83" t="n">
        <f aca="false">N428*O428</f>
        <v>113.616</v>
      </c>
      <c r="Q428" s="20" t="s">
        <v>1183</v>
      </c>
      <c r="R428" s="85" t="s">
        <v>535</v>
      </c>
      <c r="S428" s="20" t="s">
        <v>1185</v>
      </c>
      <c r="T428" s="20" t="s">
        <v>12</v>
      </c>
      <c r="U428" s="53" t="n">
        <v>1</v>
      </c>
      <c r="V428" s="76" t="s">
        <v>148</v>
      </c>
      <c r="W428" s="53" t="n">
        <v>2</v>
      </c>
    </row>
    <row r="429" customFormat="false" ht="35.05" hidden="false" customHeight="false" outlineLevel="0" collapsed="false">
      <c r="A429" s="76" t="n">
        <v>415</v>
      </c>
      <c r="B429" s="20" t="s">
        <v>1167</v>
      </c>
      <c r="C429" s="20" t="s">
        <v>508</v>
      </c>
      <c r="D429" s="20" t="s">
        <v>509</v>
      </c>
      <c r="E429" s="20" t="s">
        <v>148</v>
      </c>
      <c r="F429" s="76" t="s">
        <v>539</v>
      </c>
      <c r="G429" s="20" t="s">
        <v>1186</v>
      </c>
      <c r="H429" s="55" t="n">
        <v>14</v>
      </c>
      <c r="I429" s="76" t="s">
        <v>512</v>
      </c>
      <c r="J429" s="76" t="n">
        <v>200</v>
      </c>
      <c r="K429" s="82" t="n">
        <v>1</v>
      </c>
      <c r="L429" s="55" t="n">
        <v>10</v>
      </c>
      <c r="M429" s="73" t="n">
        <v>1.95</v>
      </c>
      <c r="N429" s="74" t="n">
        <f aca="false">K429*L429*M429</f>
        <v>19.5</v>
      </c>
      <c r="O429" s="41" t="n">
        <f aca="false">IFERROR(INDEX(Исходные!$B$21:$B$33,MATCH(H429,Исходные!$A$21:$A$33,0)),0)</f>
        <v>1.208</v>
      </c>
      <c r="P429" s="83" t="n">
        <f aca="false">N429*O429</f>
        <v>23.556</v>
      </c>
      <c r="Q429" s="20" t="s">
        <v>1187</v>
      </c>
      <c r="R429" s="84" t="s">
        <v>514</v>
      </c>
      <c r="S429" s="20"/>
      <c r="T429" s="20" t="s">
        <v>12</v>
      </c>
      <c r="U429" s="53" t="n">
        <v>0</v>
      </c>
      <c r="V429" s="76" t="s">
        <v>148</v>
      </c>
      <c r="W429" s="53" t="n">
        <v>2</v>
      </c>
    </row>
    <row r="430" customFormat="false" ht="35.05" hidden="false" customHeight="false" outlineLevel="0" collapsed="false">
      <c r="A430" s="76" t="n">
        <v>416</v>
      </c>
      <c r="B430" s="20" t="s">
        <v>1167</v>
      </c>
      <c r="C430" s="20" t="s">
        <v>508</v>
      </c>
      <c r="D430" s="20" t="s">
        <v>509</v>
      </c>
      <c r="E430" s="20" t="s">
        <v>148</v>
      </c>
      <c r="F430" s="76" t="s">
        <v>539</v>
      </c>
      <c r="G430" s="20" t="s">
        <v>1188</v>
      </c>
      <c r="H430" s="55" t="n">
        <v>12</v>
      </c>
      <c r="I430" s="76" t="s">
        <v>512</v>
      </c>
      <c r="J430" s="76" t="n">
        <v>200</v>
      </c>
      <c r="K430" s="82" t="n">
        <v>1</v>
      </c>
      <c r="L430" s="55" t="n">
        <v>14</v>
      </c>
      <c r="M430" s="73" t="n">
        <v>1.95</v>
      </c>
      <c r="N430" s="74" t="n">
        <f aca="false">K430*L430*M430</f>
        <v>27.3</v>
      </c>
      <c r="O430" s="41" t="n">
        <f aca="false">IFERROR(INDEX(Исходные!$B$21:$B$33,MATCH(H430,Исходные!$A$21:$A$33,0)),0)</f>
        <v>0.888</v>
      </c>
      <c r="P430" s="83" t="n">
        <f aca="false">N430*O430</f>
        <v>24.2424</v>
      </c>
      <c r="Q430" s="20" t="s">
        <v>1187</v>
      </c>
      <c r="R430" s="84" t="s">
        <v>514</v>
      </c>
      <c r="S430" s="20"/>
      <c r="T430" s="20" t="s">
        <v>12</v>
      </c>
      <c r="U430" s="53" t="n">
        <v>0</v>
      </c>
      <c r="V430" s="76" t="s">
        <v>148</v>
      </c>
      <c r="W430" s="53" t="n">
        <v>2</v>
      </c>
    </row>
    <row r="431" customFormat="false" ht="35.05" hidden="false" customHeight="false" outlineLevel="0" collapsed="false">
      <c r="A431" s="76" t="n">
        <v>417</v>
      </c>
      <c r="B431" s="20" t="s">
        <v>1167</v>
      </c>
      <c r="C431" s="20" t="s">
        <v>508</v>
      </c>
      <c r="D431" s="20" t="s">
        <v>509</v>
      </c>
      <c r="E431" s="20" t="s">
        <v>148</v>
      </c>
      <c r="F431" s="76" t="s">
        <v>539</v>
      </c>
      <c r="G431" s="20" t="s">
        <v>1189</v>
      </c>
      <c r="H431" s="55" t="n">
        <v>14</v>
      </c>
      <c r="I431" s="76" t="s">
        <v>512</v>
      </c>
      <c r="J431" s="76" t="n">
        <v>200</v>
      </c>
      <c r="K431" s="82" t="n">
        <v>1</v>
      </c>
      <c r="L431" s="55" t="n">
        <v>6</v>
      </c>
      <c r="M431" s="73" t="n">
        <v>1.2</v>
      </c>
      <c r="N431" s="74" t="n">
        <f aca="false">K431*L431*M431</f>
        <v>7.2</v>
      </c>
      <c r="O431" s="41" t="n">
        <f aca="false">IFERROR(INDEX(Исходные!$B$21:$B$33,MATCH(H431,Исходные!$A$21:$A$33,0)),0)</f>
        <v>1.208</v>
      </c>
      <c r="P431" s="83" t="n">
        <f aca="false">N431*O431</f>
        <v>8.6976</v>
      </c>
      <c r="Q431" s="20" t="s">
        <v>1187</v>
      </c>
      <c r="R431" s="84" t="s">
        <v>514</v>
      </c>
      <c r="S431" s="20"/>
      <c r="T431" s="20" t="s">
        <v>12</v>
      </c>
      <c r="U431" s="53" t="n">
        <v>0</v>
      </c>
      <c r="V431" s="76" t="s">
        <v>148</v>
      </c>
      <c r="W431" s="53" t="n">
        <v>2</v>
      </c>
    </row>
    <row r="432" customFormat="false" ht="35.05" hidden="false" customHeight="false" outlineLevel="0" collapsed="false">
      <c r="A432" s="76" t="n">
        <v>418</v>
      </c>
      <c r="B432" s="20" t="s">
        <v>1167</v>
      </c>
      <c r="C432" s="20" t="s">
        <v>508</v>
      </c>
      <c r="D432" s="20" t="s">
        <v>509</v>
      </c>
      <c r="E432" s="20" t="s">
        <v>148</v>
      </c>
      <c r="F432" s="76" t="s">
        <v>539</v>
      </c>
      <c r="G432" s="20" t="s">
        <v>1190</v>
      </c>
      <c r="H432" s="55" t="n">
        <v>14</v>
      </c>
      <c r="I432" s="76" t="s">
        <v>512</v>
      </c>
      <c r="J432" s="76" t="n">
        <v>200</v>
      </c>
      <c r="K432" s="82" t="n">
        <v>1</v>
      </c>
      <c r="L432" s="55" t="n">
        <v>6</v>
      </c>
      <c r="M432" s="73" t="n">
        <v>1.2</v>
      </c>
      <c r="N432" s="74" t="n">
        <f aca="false">K432*L432*M432</f>
        <v>7.2</v>
      </c>
      <c r="O432" s="41" t="n">
        <f aca="false">IFERROR(INDEX(Исходные!$B$21:$B$33,MATCH(H432,Исходные!$A$21:$A$33,0)),0)</f>
        <v>1.208</v>
      </c>
      <c r="P432" s="83" t="n">
        <f aca="false">N432*O432</f>
        <v>8.6976</v>
      </c>
      <c r="Q432" s="20" t="s">
        <v>1187</v>
      </c>
      <c r="R432" s="84" t="s">
        <v>514</v>
      </c>
      <c r="S432" s="20"/>
      <c r="T432" s="20" t="s">
        <v>12</v>
      </c>
      <c r="U432" s="53" t="n">
        <v>0</v>
      </c>
      <c r="V432" s="76" t="s">
        <v>148</v>
      </c>
      <c r="W432" s="53" t="n">
        <v>2</v>
      </c>
    </row>
    <row r="433" customFormat="false" ht="35.05" hidden="false" customHeight="false" outlineLevel="0" collapsed="false">
      <c r="A433" s="76" t="n">
        <v>419</v>
      </c>
      <c r="B433" s="20" t="s">
        <v>1167</v>
      </c>
      <c r="C433" s="20" t="s">
        <v>508</v>
      </c>
      <c r="D433" s="20" t="s">
        <v>509</v>
      </c>
      <c r="E433" s="20" t="s">
        <v>148</v>
      </c>
      <c r="F433" s="76" t="s">
        <v>544</v>
      </c>
      <c r="G433" s="20" t="s">
        <v>1191</v>
      </c>
      <c r="H433" s="55" t="n">
        <v>10</v>
      </c>
      <c r="I433" s="76" t="s">
        <v>546</v>
      </c>
      <c r="J433" s="76" t="s">
        <v>547</v>
      </c>
      <c r="K433" s="82" t="n">
        <v>1</v>
      </c>
      <c r="L433" s="55" t="n">
        <v>48</v>
      </c>
      <c r="M433" s="73" t="n">
        <v>1.33</v>
      </c>
      <c r="N433" s="74" t="n">
        <f aca="false">K433*L433*M433</f>
        <v>63.84</v>
      </c>
      <c r="O433" s="41" t="n">
        <f aca="false">IFERROR(INDEX(Исходные!$B$21:$B$33,MATCH(H433,Исходные!$A$21:$A$33,0)),0)</f>
        <v>0.617</v>
      </c>
      <c r="P433" s="83" t="n">
        <f aca="false">N433*O433</f>
        <v>39.38928</v>
      </c>
      <c r="Q433" s="20" t="s">
        <v>1192</v>
      </c>
      <c r="R433" s="84" t="s">
        <v>514</v>
      </c>
      <c r="S433" s="20"/>
      <c r="T433" s="20" t="s">
        <v>12</v>
      </c>
      <c r="U433" s="53" t="n">
        <v>0</v>
      </c>
      <c r="V433" s="76" t="s">
        <v>148</v>
      </c>
      <c r="W433" s="53" t="n">
        <v>2</v>
      </c>
    </row>
    <row r="434" customFormat="false" ht="35.05" hidden="false" customHeight="false" outlineLevel="0" collapsed="false">
      <c r="A434" s="76" t="n">
        <v>420</v>
      </c>
      <c r="B434" s="20" t="s">
        <v>1167</v>
      </c>
      <c r="C434" s="20" t="s">
        <v>508</v>
      </c>
      <c r="D434" s="20" t="s">
        <v>509</v>
      </c>
      <c r="E434" s="20" t="s">
        <v>148</v>
      </c>
      <c r="F434" s="76" t="s">
        <v>696</v>
      </c>
      <c r="G434" s="20" t="s">
        <v>1193</v>
      </c>
      <c r="H434" s="55" t="n">
        <v>8</v>
      </c>
      <c r="I434" s="76" t="s">
        <v>546</v>
      </c>
      <c r="J434" s="76" t="s">
        <v>547</v>
      </c>
      <c r="K434" s="82" t="n">
        <v>1</v>
      </c>
      <c r="L434" s="55" t="n">
        <v>32</v>
      </c>
      <c r="M434" s="73" t="n">
        <v>1.56</v>
      </c>
      <c r="N434" s="74" t="n">
        <f aca="false">K434*L434*M434</f>
        <v>49.92</v>
      </c>
      <c r="O434" s="41" t="n">
        <f aca="false">IFERROR(INDEX(Исходные!$B$21:$B$33,MATCH(H434,Исходные!$A$21:$A$33,0)),0)</f>
        <v>0.395</v>
      </c>
      <c r="P434" s="83" t="n">
        <f aca="false">N434*O434</f>
        <v>19.7184</v>
      </c>
      <c r="Q434" s="20" t="s">
        <v>1194</v>
      </c>
      <c r="R434" s="84" t="s">
        <v>514</v>
      </c>
      <c r="S434" s="20"/>
      <c r="T434" s="20" t="s">
        <v>12</v>
      </c>
      <c r="U434" s="53" t="n">
        <v>0</v>
      </c>
      <c r="V434" s="76" t="s">
        <v>148</v>
      </c>
      <c r="W434" s="53" t="n">
        <v>2</v>
      </c>
    </row>
    <row r="435" customFormat="false" ht="35.05" hidden="false" customHeight="false" outlineLevel="0" collapsed="false">
      <c r="A435" s="76" t="n">
        <v>421</v>
      </c>
      <c r="B435" s="20" t="s">
        <v>1167</v>
      </c>
      <c r="C435" s="20" t="s">
        <v>508</v>
      </c>
      <c r="D435" s="20" t="s">
        <v>509</v>
      </c>
      <c r="E435" s="20" t="s">
        <v>148</v>
      </c>
      <c r="F435" s="76" t="s">
        <v>603</v>
      </c>
      <c r="G435" s="20" t="s">
        <v>1195</v>
      </c>
      <c r="H435" s="55" t="n">
        <v>8</v>
      </c>
      <c r="I435" s="76" t="s">
        <v>546</v>
      </c>
      <c r="J435" s="76" t="s">
        <v>547</v>
      </c>
      <c r="K435" s="82" t="n">
        <v>1</v>
      </c>
      <c r="L435" s="55" t="n">
        <v>16</v>
      </c>
      <c r="M435" s="73" t="n">
        <v>1.76</v>
      </c>
      <c r="N435" s="74" t="n">
        <f aca="false">K435*L435*M435</f>
        <v>28.16</v>
      </c>
      <c r="O435" s="41" t="n">
        <f aca="false">IFERROR(INDEX(Исходные!$B$21:$B$33,MATCH(H435,Исходные!$A$21:$A$33,0)),0)</f>
        <v>0.395</v>
      </c>
      <c r="P435" s="83" t="n">
        <f aca="false">N435*O435</f>
        <v>11.1232</v>
      </c>
      <c r="Q435" s="20" t="s">
        <v>1196</v>
      </c>
      <c r="R435" s="84" t="s">
        <v>514</v>
      </c>
      <c r="S435" s="20"/>
      <c r="T435" s="20" t="s">
        <v>12</v>
      </c>
      <c r="U435" s="53" t="n">
        <v>0</v>
      </c>
      <c r="V435" s="76" t="s">
        <v>148</v>
      </c>
      <c r="W435" s="53" t="n">
        <v>2</v>
      </c>
    </row>
    <row r="436" customFormat="false" ht="35.05" hidden="false" customHeight="false" outlineLevel="0" collapsed="false">
      <c r="A436" s="76" t="n">
        <v>422</v>
      </c>
      <c r="B436" s="20" t="s">
        <v>1167</v>
      </c>
      <c r="C436" s="20" t="s">
        <v>508</v>
      </c>
      <c r="D436" s="20" t="s">
        <v>509</v>
      </c>
      <c r="E436" s="20" t="s">
        <v>148</v>
      </c>
      <c r="F436" s="76" t="s">
        <v>555</v>
      </c>
      <c r="G436" s="20" t="s">
        <v>1197</v>
      </c>
      <c r="H436" s="55" t="n">
        <v>8</v>
      </c>
      <c r="I436" s="76" t="s">
        <v>546</v>
      </c>
      <c r="J436" s="76" t="s">
        <v>547</v>
      </c>
      <c r="K436" s="82" t="n">
        <v>1</v>
      </c>
      <c r="L436" s="55" t="n">
        <v>28</v>
      </c>
      <c r="M436" s="73" t="n">
        <v>2.44</v>
      </c>
      <c r="N436" s="74" t="n">
        <f aca="false">K436*L436*M436</f>
        <v>68.32</v>
      </c>
      <c r="O436" s="41" t="n">
        <f aca="false">IFERROR(INDEX(Исходные!$B$21:$B$33,MATCH(H436,Исходные!$A$21:$A$33,0)),0)</f>
        <v>0.395</v>
      </c>
      <c r="P436" s="83" t="n">
        <f aca="false">N436*O436</f>
        <v>26.9864</v>
      </c>
      <c r="Q436" s="20" t="s">
        <v>1198</v>
      </c>
      <c r="R436" s="84" t="s">
        <v>514</v>
      </c>
      <c r="S436" s="20"/>
      <c r="T436" s="20" t="s">
        <v>12</v>
      </c>
      <c r="U436" s="53" t="n">
        <v>0</v>
      </c>
      <c r="V436" s="76" t="s">
        <v>148</v>
      </c>
      <c r="W436" s="53" t="n">
        <v>2</v>
      </c>
    </row>
    <row r="437" customFormat="false" ht="35.05" hidden="false" customHeight="false" outlineLevel="0" collapsed="false">
      <c r="A437" s="76" t="n">
        <v>423</v>
      </c>
      <c r="B437" s="20" t="s">
        <v>1167</v>
      </c>
      <c r="C437" s="20" t="s">
        <v>508</v>
      </c>
      <c r="D437" s="20" t="s">
        <v>509</v>
      </c>
      <c r="E437" s="20" t="s">
        <v>148</v>
      </c>
      <c r="F437" s="76" t="s">
        <v>558</v>
      </c>
      <c r="G437" s="20" t="s">
        <v>1199</v>
      </c>
      <c r="H437" s="55" t="n">
        <v>8</v>
      </c>
      <c r="I437" s="76" t="s">
        <v>546</v>
      </c>
      <c r="J437" s="76" t="s">
        <v>547</v>
      </c>
      <c r="K437" s="82" t="n">
        <v>1</v>
      </c>
      <c r="L437" s="55" t="n">
        <v>32</v>
      </c>
      <c r="M437" s="73" t="n">
        <v>1.96</v>
      </c>
      <c r="N437" s="74" t="n">
        <f aca="false">K437*L437*M437</f>
        <v>62.72</v>
      </c>
      <c r="O437" s="41" t="n">
        <f aca="false">IFERROR(INDEX(Исходные!$B$21:$B$33,MATCH(H437,Исходные!$A$21:$A$33,0)),0)</f>
        <v>0.395</v>
      </c>
      <c r="P437" s="83" t="n">
        <f aca="false">N437*O437</f>
        <v>24.7744</v>
      </c>
      <c r="Q437" s="20" t="s">
        <v>1200</v>
      </c>
      <c r="R437" s="84" t="s">
        <v>514</v>
      </c>
      <c r="S437" s="20"/>
      <c r="T437" s="20" t="s">
        <v>12</v>
      </c>
      <c r="U437" s="53" t="n">
        <v>0</v>
      </c>
      <c r="V437" s="76" t="s">
        <v>148</v>
      </c>
      <c r="W437" s="53" t="n">
        <v>2</v>
      </c>
    </row>
    <row r="438" customFormat="false" ht="35.05" hidden="false" customHeight="false" outlineLevel="0" collapsed="false">
      <c r="A438" s="76" t="n">
        <v>424</v>
      </c>
      <c r="B438" s="20" t="s">
        <v>1167</v>
      </c>
      <c r="C438" s="20" t="s">
        <v>508</v>
      </c>
      <c r="D438" s="20" t="s">
        <v>509</v>
      </c>
      <c r="E438" s="20" t="s">
        <v>148</v>
      </c>
      <c r="F438" s="76" t="s">
        <v>561</v>
      </c>
      <c r="G438" s="20" t="s">
        <v>1201</v>
      </c>
      <c r="H438" s="55" t="n">
        <v>8</v>
      </c>
      <c r="I438" s="76" t="s">
        <v>546</v>
      </c>
      <c r="J438" s="76" t="s">
        <v>547</v>
      </c>
      <c r="K438" s="82" t="n">
        <v>1</v>
      </c>
      <c r="L438" s="55" t="n">
        <v>80</v>
      </c>
      <c r="M438" s="73" t="n">
        <v>0.53</v>
      </c>
      <c r="N438" s="74" t="n">
        <f aca="false">K438*L438*M438</f>
        <v>42.4</v>
      </c>
      <c r="O438" s="41" t="n">
        <f aca="false">IFERROR(INDEX(Исходные!$B$21:$B$33,MATCH(H438,Исходные!$A$21:$A$33,0)),0)</f>
        <v>0.395</v>
      </c>
      <c r="P438" s="83" t="n">
        <f aca="false">N438*O438</f>
        <v>16.748</v>
      </c>
      <c r="Q438" s="20" t="s">
        <v>1202</v>
      </c>
      <c r="R438" s="84" t="s">
        <v>514</v>
      </c>
      <c r="S438" s="20"/>
      <c r="T438" s="20" t="s">
        <v>12</v>
      </c>
      <c r="U438" s="53" t="n">
        <v>0</v>
      </c>
      <c r="V438" s="76" t="s">
        <v>148</v>
      </c>
      <c r="W438" s="53" t="n">
        <v>2</v>
      </c>
    </row>
    <row r="439" customFormat="false" ht="35.05" hidden="false" customHeight="false" outlineLevel="0" collapsed="false">
      <c r="A439" s="76" t="n">
        <v>425</v>
      </c>
      <c r="B439" s="20" t="s">
        <v>1167</v>
      </c>
      <c r="C439" s="20" t="s">
        <v>508</v>
      </c>
      <c r="D439" s="20" t="s">
        <v>564</v>
      </c>
      <c r="E439" s="20" t="s">
        <v>149</v>
      </c>
      <c r="F439" s="76" t="s">
        <v>519</v>
      </c>
      <c r="G439" s="20" t="s">
        <v>1168</v>
      </c>
      <c r="H439" s="55" t="n">
        <v>28</v>
      </c>
      <c r="I439" s="76" t="s">
        <v>512</v>
      </c>
      <c r="J439" s="76" t="s">
        <v>164</v>
      </c>
      <c r="K439" s="82" t="n">
        <v>1</v>
      </c>
      <c r="L439" s="55" t="n">
        <v>4</v>
      </c>
      <c r="M439" s="73" t="n">
        <v>3.6</v>
      </c>
      <c r="N439" s="74" t="n">
        <f aca="false">K439*L439*M439</f>
        <v>14.4</v>
      </c>
      <c r="O439" s="41" t="n">
        <f aca="false">IFERROR(INDEX(Исходные!$B$21:$B$33,MATCH(H439,Исходные!$A$21:$A$33,0)),0)</f>
        <v>4.834</v>
      </c>
      <c r="P439" s="83" t="n">
        <f aca="false">N439*O439</f>
        <v>69.6096</v>
      </c>
      <c r="Q439" s="20" t="s">
        <v>1203</v>
      </c>
      <c r="R439" s="84" t="s">
        <v>514</v>
      </c>
      <c r="S439" s="20" t="s">
        <v>1204</v>
      </c>
      <c r="T439" s="20" t="s">
        <v>12</v>
      </c>
      <c r="U439" s="53" t="n">
        <v>0</v>
      </c>
      <c r="V439" s="76" t="s">
        <v>149</v>
      </c>
      <c r="W439" s="53" t="n">
        <v>2</v>
      </c>
    </row>
    <row r="440" customFormat="false" ht="35.05" hidden="false" customHeight="false" outlineLevel="0" collapsed="false">
      <c r="A440" s="76" t="n">
        <v>426</v>
      </c>
      <c r="B440" s="20" t="s">
        <v>1167</v>
      </c>
      <c r="C440" s="20" t="s">
        <v>508</v>
      </c>
      <c r="D440" s="20" t="s">
        <v>564</v>
      </c>
      <c r="E440" s="20" t="s">
        <v>149</v>
      </c>
      <c r="F440" s="76" t="s">
        <v>516</v>
      </c>
      <c r="G440" s="20" t="s">
        <v>1205</v>
      </c>
      <c r="H440" s="55" t="n">
        <v>20</v>
      </c>
      <c r="I440" s="76" t="s">
        <v>512</v>
      </c>
      <c r="J440" s="76" t="s">
        <v>164</v>
      </c>
      <c r="K440" s="82" t="n">
        <v>1</v>
      </c>
      <c r="L440" s="55" t="n">
        <v>8</v>
      </c>
      <c r="M440" s="73" t="n">
        <v>3.6</v>
      </c>
      <c r="N440" s="74" t="n">
        <f aca="false">K440*L440*M440</f>
        <v>28.8</v>
      </c>
      <c r="O440" s="41" t="n">
        <f aca="false">IFERROR(INDEX(Исходные!$B$21:$B$33,MATCH(H440,Исходные!$A$21:$A$33,0)),0)</f>
        <v>2.466</v>
      </c>
      <c r="P440" s="83" t="n">
        <f aca="false">N440*O440</f>
        <v>71.0208</v>
      </c>
      <c r="Q440" s="20" t="s">
        <v>1203</v>
      </c>
      <c r="R440" s="84" t="s">
        <v>514</v>
      </c>
      <c r="S440" s="20" t="s">
        <v>1206</v>
      </c>
      <c r="T440" s="20" t="s">
        <v>12</v>
      </c>
      <c r="U440" s="53" t="n">
        <v>0</v>
      </c>
      <c r="V440" s="76" t="s">
        <v>149</v>
      </c>
      <c r="W440" s="53" t="n">
        <v>2</v>
      </c>
    </row>
    <row r="441" customFormat="false" ht="35.05" hidden="false" customHeight="false" outlineLevel="0" collapsed="false">
      <c r="A441" s="76" t="n">
        <v>427</v>
      </c>
      <c r="B441" s="20" t="s">
        <v>1167</v>
      </c>
      <c r="C441" s="20" t="s">
        <v>508</v>
      </c>
      <c r="D441" s="20" t="s">
        <v>564</v>
      </c>
      <c r="E441" s="20" t="s">
        <v>149</v>
      </c>
      <c r="F441" s="76" t="s">
        <v>516</v>
      </c>
      <c r="G441" s="20" t="s">
        <v>1207</v>
      </c>
      <c r="H441" s="55" t="n">
        <v>20</v>
      </c>
      <c r="I441" s="76" t="s">
        <v>512</v>
      </c>
      <c r="J441" s="76" t="s">
        <v>164</v>
      </c>
      <c r="K441" s="82" t="n">
        <v>1</v>
      </c>
      <c r="L441" s="55" t="n">
        <v>4</v>
      </c>
      <c r="M441" s="73" t="n">
        <v>3.6</v>
      </c>
      <c r="N441" s="74" t="n">
        <f aca="false">K441*L441*M441</f>
        <v>14.4</v>
      </c>
      <c r="O441" s="41" t="n">
        <f aca="false">IFERROR(INDEX(Исходные!$B$21:$B$33,MATCH(H441,Исходные!$A$21:$A$33,0)),0)</f>
        <v>2.466</v>
      </c>
      <c r="P441" s="83" t="n">
        <f aca="false">N441*O441</f>
        <v>35.5104</v>
      </c>
      <c r="Q441" s="20" t="s">
        <v>1203</v>
      </c>
      <c r="R441" s="84" t="s">
        <v>514</v>
      </c>
      <c r="S441" s="20" t="s">
        <v>1208</v>
      </c>
      <c r="T441" s="20" t="s">
        <v>12</v>
      </c>
      <c r="U441" s="53" t="n">
        <v>0</v>
      </c>
      <c r="V441" s="76" t="s">
        <v>149</v>
      </c>
      <c r="W441" s="53" t="n">
        <v>2</v>
      </c>
    </row>
    <row r="442" customFormat="false" ht="35.05" hidden="false" customHeight="false" outlineLevel="0" collapsed="false">
      <c r="A442" s="76" t="n">
        <v>428</v>
      </c>
      <c r="B442" s="20" t="s">
        <v>1167</v>
      </c>
      <c r="C442" s="20" t="s">
        <v>508</v>
      </c>
      <c r="D442" s="20" t="s">
        <v>564</v>
      </c>
      <c r="E442" s="20" t="s">
        <v>149</v>
      </c>
      <c r="F442" s="76" t="s">
        <v>522</v>
      </c>
      <c r="G442" s="20" t="s">
        <v>1209</v>
      </c>
      <c r="H442" s="55" t="n">
        <v>25</v>
      </c>
      <c r="I442" s="76" t="s">
        <v>512</v>
      </c>
      <c r="J442" s="76" t="s">
        <v>164</v>
      </c>
      <c r="K442" s="82" t="n">
        <v>1</v>
      </c>
      <c r="L442" s="55" t="n">
        <v>6</v>
      </c>
      <c r="M442" s="73" t="n">
        <v>3.6</v>
      </c>
      <c r="N442" s="74" t="n">
        <f aca="false">K442*L442*M442</f>
        <v>21.6</v>
      </c>
      <c r="O442" s="41" t="n">
        <f aca="false">IFERROR(INDEX(Исходные!$B$21:$B$33,MATCH(H442,Исходные!$A$21:$A$33,0)),0)</f>
        <v>3.853</v>
      </c>
      <c r="P442" s="83" t="n">
        <f aca="false">N442*O442</f>
        <v>83.2248</v>
      </c>
      <c r="Q442" s="20" t="s">
        <v>1203</v>
      </c>
      <c r="R442" s="84" t="s">
        <v>514</v>
      </c>
      <c r="S442" s="20" t="s">
        <v>1178</v>
      </c>
      <c r="T442" s="20" t="s">
        <v>12</v>
      </c>
      <c r="U442" s="53" t="n">
        <v>0</v>
      </c>
      <c r="V442" s="76" t="s">
        <v>149</v>
      </c>
      <c r="W442" s="53" t="n">
        <v>2</v>
      </c>
    </row>
    <row r="443" customFormat="false" ht="35.05" hidden="false" customHeight="false" outlineLevel="0" collapsed="false">
      <c r="A443" s="76" t="n">
        <v>429</v>
      </c>
      <c r="B443" s="20" t="s">
        <v>1167</v>
      </c>
      <c r="C443" s="20" t="s">
        <v>508</v>
      </c>
      <c r="D443" s="20" t="s">
        <v>564</v>
      </c>
      <c r="E443" s="20" t="s">
        <v>149</v>
      </c>
      <c r="F443" s="76" t="s">
        <v>522</v>
      </c>
      <c r="G443" s="20" t="s">
        <v>1177</v>
      </c>
      <c r="H443" s="55" t="n">
        <v>25</v>
      </c>
      <c r="I443" s="76" t="s">
        <v>512</v>
      </c>
      <c r="J443" s="76" t="s">
        <v>164</v>
      </c>
      <c r="K443" s="82" t="n">
        <v>1</v>
      </c>
      <c r="L443" s="55" t="n">
        <v>6</v>
      </c>
      <c r="M443" s="73" t="n">
        <v>3.6</v>
      </c>
      <c r="N443" s="74" t="n">
        <f aca="false">K443*L443*M443</f>
        <v>21.6</v>
      </c>
      <c r="O443" s="41" t="n">
        <f aca="false">IFERROR(INDEX(Исходные!$B$21:$B$33,MATCH(H443,Исходные!$A$21:$A$33,0)),0)</f>
        <v>3.853</v>
      </c>
      <c r="P443" s="83" t="n">
        <f aca="false">N443*O443</f>
        <v>83.2248</v>
      </c>
      <c r="Q443" s="20" t="s">
        <v>1203</v>
      </c>
      <c r="R443" s="84" t="s">
        <v>514</v>
      </c>
      <c r="S443" s="20" t="s">
        <v>1178</v>
      </c>
      <c r="T443" s="20" t="s">
        <v>12</v>
      </c>
      <c r="U443" s="53" t="n">
        <v>0</v>
      </c>
      <c r="V443" s="76" t="s">
        <v>149</v>
      </c>
      <c r="W443" s="53" t="n">
        <v>2</v>
      </c>
    </row>
    <row r="444" customFormat="false" ht="35.05" hidden="false" customHeight="false" outlineLevel="0" collapsed="false">
      <c r="A444" s="76" t="n">
        <v>430</v>
      </c>
      <c r="B444" s="20" t="s">
        <v>1167</v>
      </c>
      <c r="C444" s="20" t="s">
        <v>508</v>
      </c>
      <c r="D444" s="20" t="s">
        <v>564</v>
      </c>
      <c r="E444" s="20" t="s">
        <v>149</v>
      </c>
      <c r="F444" s="76" t="s">
        <v>529</v>
      </c>
      <c r="G444" s="20" t="s">
        <v>1210</v>
      </c>
      <c r="H444" s="55" t="n">
        <v>18</v>
      </c>
      <c r="I444" s="76" t="s">
        <v>512</v>
      </c>
      <c r="J444" s="76" t="s">
        <v>164</v>
      </c>
      <c r="K444" s="82" t="n">
        <v>1</v>
      </c>
      <c r="L444" s="55" t="n">
        <v>12</v>
      </c>
      <c r="M444" s="73" t="n">
        <v>3.744</v>
      </c>
      <c r="N444" s="74" t="n">
        <f aca="false">K444*L444*M444</f>
        <v>44.928</v>
      </c>
      <c r="O444" s="41" t="n">
        <f aca="false">IFERROR(INDEX(Исходные!$B$21:$B$33,MATCH(H444,Исходные!$A$21:$A$33,0)),0)</f>
        <v>1.998</v>
      </c>
      <c r="P444" s="83" t="n">
        <f aca="false">N444*O444</f>
        <v>89.766144</v>
      </c>
      <c r="Q444" s="20" t="s">
        <v>1203</v>
      </c>
      <c r="R444" s="84" t="s">
        <v>514</v>
      </c>
      <c r="S444" s="20" t="s">
        <v>1211</v>
      </c>
      <c r="T444" s="20" t="s">
        <v>12</v>
      </c>
      <c r="U444" s="53" t="n">
        <v>0</v>
      </c>
      <c r="V444" s="76" t="s">
        <v>149</v>
      </c>
      <c r="W444" s="53" t="n">
        <v>2</v>
      </c>
    </row>
    <row r="445" customFormat="false" ht="35.05" hidden="false" customHeight="false" outlineLevel="0" collapsed="false">
      <c r="A445" s="76" t="n">
        <v>431</v>
      </c>
      <c r="B445" s="20" t="s">
        <v>1167</v>
      </c>
      <c r="C445" s="20" t="s">
        <v>508</v>
      </c>
      <c r="D445" s="20" t="s">
        <v>564</v>
      </c>
      <c r="E445" s="20" t="s">
        <v>149</v>
      </c>
      <c r="F445" s="76" t="s">
        <v>532</v>
      </c>
      <c r="G445" s="20" t="s">
        <v>577</v>
      </c>
      <c r="H445" s="55" t="n">
        <v>14</v>
      </c>
      <c r="I445" s="76" t="s">
        <v>512</v>
      </c>
      <c r="J445" s="76" t="n">
        <v>200</v>
      </c>
      <c r="K445" s="82" t="n">
        <v>1</v>
      </c>
      <c r="L445" s="55" t="n">
        <v>32</v>
      </c>
      <c r="M445" s="73" t="n">
        <v>1.25</v>
      </c>
      <c r="N445" s="74" t="n">
        <f aca="false">K445*L445*M445</f>
        <v>40</v>
      </c>
      <c r="O445" s="41" t="n">
        <f aca="false">IFERROR(INDEX(Исходные!$B$21:$B$33,MATCH(H445,Исходные!$A$21:$A$33,0)),0)</f>
        <v>1.208</v>
      </c>
      <c r="P445" s="83" t="n">
        <f aca="false">N445*O445</f>
        <v>48.32</v>
      </c>
      <c r="Q445" s="20" t="s">
        <v>1212</v>
      </c>
      <c r="R445" s="85" t="s">
        <v>535</v>
      </c>
      <c r="S445" s="20" t="s">
        <v>1184</v>
      </c>
      <c r="T445" s="20" t="s">
        <v>12</v>
      </c>
      <c r="U445" s="53" t="n">
        <v>1</v>
      </c>
      <c r="V445" s="76" t="s">
        <v>149</v>
      </c>
      <c r="W445" s="53" t="n">
        <v>2</v>
      </c>
    </row>
    <row r="446" customFormat="false" ht="35.05" hidden="false" customHeight="false" outlineLevel="0" collapsed="false">
      <c r="A446" s="76" t="n">
        <v>432</v>
      </c>
      <c r="B446" s="20" t="s">
        <v>1167</v>
      </c>
      <c r="C446" s="20" t="s">
        <v>508</v>
      </c>
      <c r="D446" s="20" t="s">
        <v>564</v>
      </c>
      <c r="E446" s="20" t="s">
        <v>149</v>
      </c>
      <c r="F446" s="76" t="s">
        <v>532</v>
      </c>
      <c r="G446" s="20" t="s">
        <v>580</v>
      </c>
      <c r="H446" s="55" t="n">
        <v>16</v>
      </c>
      <c r="I446" s="76" t="s">
        <v>512</v>
      </c>
      <c r="J446" s="76" t="n">
        <v>200</v>
      </c>
      <c r="K446" s="82" t="n">
        <v>1</v>
      </c>
      <c r="L446" s="55" t="n">
        <v>32</v>
      </c>
      <c r="M446" s="73" t="n">
        <v>2.25</v>
      </c>
      <c r="N446" s="74" t="n">
        <f aca="false">K446*L446*M446</f>
        <v>72</v>
      </c>
      <c r="O446" s="41" t="n">
        <f aca="false">IFERROR(INDEX(Исходные!$B$21:$B$33,MATCH(H446,Исходные!$A$21:$A$33,0)),0)</f>
        <v>1.578</v>
      </c>
      <c r="P446" s="83" t="n">
        <f aca="false">N446*O446</f>
        <v>113.616</v>
      </c>
      <c r="Q446" s="20" t="s">
        <v>1212</v>
      </c>
      <c r="R446" s="85" t="s">
        <v>535</v>
      </c>
      <c r="S446" s="20" t="s">
        <v>1185</v>
      </c>
      <c r="T446" s="20" t="s">
        <v>12</v>
      </c>
      <c r="U446" s="53" t="n">
        <v>1</v>
      </c>
      <c r="V446" s="76" t="s">
        <v>149</v>
      </c>
      <c r="W446" s="53" t="n">
        <v>2</v>
      </c>
    </row>
    <row r="447" customFormat="false" ht="35.05" hidden="false" customHeight="false" outlineLevel="0" collapsed="false">
      <c r="A447" s="76" t="n">
        <v>433</v>
      </c>
      <c r="B447" s="20" t="s">
        <v>1167</v>
      </c>
      <c r="C447" s="20" t="s">
        <v>508</v>
      </c>
      <c r="D447" s="20" t="s">
        <v>564</v>
      </c>
      <c r="E447" s="20" t="s">
        <v>149</v>
      </c>
      <c r="F447" s="76" t="s">
        <v>539</v>
      </c>
      <c r="G447" s="20" t="s">
        <v>1213</v>
      </c>
      <c r="H447" s="55" t="n">
        <v>12</v>
      </c>
      <c r="I447" s="76" t="s">
        <v>512</v>
      </c>
      <c r="J447" s="76" t="n">
        <v>200</v>
      </c>
      <c r="K447" s="82" t="n">
        <v>1</v>
      </c>
      <c r="L447" s="55" t="n">
        <v>10</v>
      </c>
      <c r="M447" s="73" t="n">
        <v>1.25</v>
      </c>
      <c r="N447" s="74" t="n">
        <f aca="false">K447*L447*M447</f>
        <v>12.5</v>
      </c>
      <c r="O447" s="41" t="n">
        <f aca="false">IFERROR(INDEX(Исходные!$B$21:$B$33,MATCH(H447,Исходные!$A$21:$A$33,0)),0)</f>
        <v>0.888</v>
      </c>
      <c r="P447" s="83" t="n">
        <f aca="false">N447*O447</f>
        <v>11.1</v>
      </c>
      <c r="Q447" s="20" t="s">
        <v>1214</v>
      </c>
      <c r="R447" s="84" t="s">
        <v>514</v>
      </c>
      <c r="S447" s="20"/>
      <c r="T447" s="20" t="s">
        <v>12</v>
      </c>
      <c r="U447" s="53" t="n">
        <v>0</v>
      </c>
      <c r="V447" s="76" t="s">
        <v>149</v>
      </c>
      <c r="W447" s="53" t="n">
        <v>2</v>
      </c>
    </row>
    <row r="448" customFormat="false" ht="35.05" hidden="false" customHeight="false" outlineLevel="0" collapsed="false">
      <c r="A448" s="76" t="n">
        <v>434</v>
      </c>
      <c r="B448" s="20" t="s">
        <v>1167</v>
      </c>
      <c r="C448" s="20" t="s">
        <v>508</v>
      </c>
      <c r="D448" s="20" t="s">
        <v>564</v>
      </c>
      <c r="E448" s="20" t="s">
        <v>149</v>
      </c>
      <c r="F448" s="76" t="s">
        <v>539</v>
      </c>
      <c r="G448" s="20" t="s">
        <v>1215</v>
      </c>
      <c r="H448" s="55" t="n">
        <v>14</v>
      </c>
      <c r="I448" s="76" t="s">
        <v>512</v>
      </c>
      <c r="J448" s="76" t="n">
        <v>200</v>
      </c>
      <c r="K448" s="82" t="n">
        <v>1</v>
      </c>
      <c r="L448" s="55" t="n">
        <v>6</v>
      </c>
      <c r="M448" s="73" t="n">
        <v>1.2</v>
      </c>
      <c r="N448" s="74" t="n">
        <f aca="false">K448*L448*M448</f>
        <v>7.2</v>
      </c>
      <c r="O448" s="41" t="n">
        <f aca="false">IFERROR(INDEX(Исходные!$B$21:$B$33,MATCH(H448,Исходные!$A$21:$A$33,0)),0)</f>
        <v>1.208</v>
      </c>
      <c r="P448" s="83" t="n">
        <f aca="false">N448*O448</f>
        <v>8.6976</v>
      </c>
      <c r="Q448" s="20" t="s">
        <v>1214</v>
      </c>
      <c r="R448" s="84" t="s">
        <v>514</v>
      </c>
      <c r="S448" s="20"/>
      <c r="T448" s="20" t="s">
        <v>12</v>
      </c>
      <c r="U448" s="53" t="n">
        <v>0</v>
      </c>
      <c r="V448" s="76" t="s">
        <v>149</v>
      </c>
      <c r="W448" s="53" t="n">
        <v>2</v>
      </c>
    </row>
    <row r="449" customFormat="false" ht="35.05" hidden="false" customHeight="false" outlineLevel="0" collapsed="false">
      <c r="A449" s="76" t="n">
        <v>435</v>
      </c>
      <c r="B449" s="20" t="s">
        <v>1167</v>
      </c>
      <c r="C449" s="20" t="s">
        <v>508</v>
      </c>
      <c r="D449" s="20" t="s">
        <v>564</v>
      </c>
      <c r="E449" s="20" t="s">
        <v>149</v>
      </c>
      <c r="F449" s="76" t="s">
        <v>539</v>
      </c>
      <c r="G449" s="20" t="s">
        <v>1216</v>
      </c>
      <c r="H449" s="55" t="n">
        <v>12</v>
      </c>
      <c r="I449" s="76" t="s">
        <v>512</v>
      </c>
      <c r="J449" s="76" t="n">
        <v>200</v>
      </c>
      <c r="K449" s="82" t="n">
        <v>1</v>
      </c>
      <c r="L449" s="55" t="n">
        <v>6</v>
      </c>
      <c r="M449" s="73" t="n">
        <v>1.2</v>
      </c>
      <c r="N449" s="74" t="n">
        <f aca="false">K449*L449*M449</f>
        <v>7.2</v>
      </c>
      <c r="O449" s="41" t="n">
        <f aca="false">IFERROR(INDEX(Исходные!$B$21:$B$33,MATCH(H449,Исходные!$A$21:$A$33,0)),0)</f>
        <v>0.888</v>
      </c>
      <c r="P449" s="83" t="n">
        <f aca="false">N449*O449</f>
        <v>6.3936</v>
      </c>
      <c r="Q449" s="20" t="s">
        <v>1214</v>
      </c>
      <c r="R449" s="84" t="s">
        <v>514</v>
      </c>
      <c r="S449" s="20"/>
      <c r="T449" s="20" t="s">
        <v>12</v>
      </c>
      <c r="U449" s="53" t="n">
        <v>0</v>
      </c>
      <c r="V449" s="76" t="s">
        <v>149</v>
      </c>
      <c r="W449" s="53" t="n">
        <v>2</v>
      </c>
    </row>
    <row r="450" customFormat="false" ht="35.05" hidden="false" customHeight="false" outlineLevel="0" collapsed="false">
      <c r="A450" s="76" t="n">
        <v>436</v>
      </c>
      <c r="B450" s="20" t="s">
        <v>1167</v>
      </c>
      <c r="C450" s="20" t="s">
        <v>508</v>
      </c>
      <c r="D450" s="20" t="s">
        <v>564</v>
      </c>
      <c r="E450" s="20" t="s">
        <v>149</v>
      </c>
      <c r="F450" s="76" t="s">
        <v>544</v>
      </c>
      <c r="G450" s="20" t="s">
        <v>1217</v>
      </c>
      <c r="H450" s="55" t="n">
        <v>10</v>
      </c>
      <c r="I450" s="76" t="s">
        <v>546</v>
      </c>
      <c r="J450" s="76" t="s">
        <v>547</v>
      </c>
      <c r="K450" s="82" t="n">
        <v>1</v>
      </c>
      <c r="L450" s="55" t="n">
        <v>32</v>
      </c>
      <c r="M450" s="73" t="n">
        <v>1.33</v>
      </c>
      <c r="N450" s="74" t="n">
        <f aca="false">K450*L450*M450</f>
        <v>42.56</v>
      </c>
      <c r="O450" s="41" t="n">
        <f aca="false">IFERROR(INDEX(Исходные!$B$21:$B$33,MATCH(H450,Исходные!$A$21:$A$33,0)),0)</f>
        <v>0.617</v>
      </c>
      <c r="P450" s="83" t="n">
        <f aca="false">N450*O450</f>
        <v>26.25952</v>
      </c>
      <c r="Q450" s="20" t="s">
        <v>1218</v>
      </c>
      <c r="R450" s="84" t="s">
        <v>514</v>
      </c>
      <c r="S450" s="20"/>
      <c r="T450" s="20" t="s">
        <v>12</v>
      </c>
      <c r="U450" s="53" t="n">
        <v>0</v>
      </c>
      <c r="V450" s="76" t="s">
        <v>149</v>
      </c>
      <c r="W450" s="53" t="n">
        <v>2</v>
      </c>
    </row>
    <row r="451" customFormat="false" ht="35.05" hidden="false" customHeight="false" outlineLevel="0" collapsed="false">
      <c r="A451" s="76" t="n">
        <v>437</v>
      </c>
      <c r="B451" s="20" t="s">
        <v>1167</v>
      </c>
      <c r="C451" s="20" t="s">
        <v>508</v>
      </c>
      <c r="D451" s="20" t="s">
        <v>564</v>
      </c>
      <c r="E451" s="20" t="s">
        <v>149</v>
      </c>
      <c r="F451" s="76" t="s">
        <v>696</v>
      </c>
      <c r="G451" s="20" t="s">
        <v>1219</v>
      </c>
      <c r="H451" s="55" t="n">
        <v>8</v>
      </c>
      <c r="I451" s="76" t="s">
        <v>546</v>
      </c>
      <c r="J451" s="76" t="s">
        <v>547</v>
      </c>
      <c r="K451" s="82" t="n">
        <v>1</v>
      </c>
      <c r="L451" s="55" t="n">
        <v>16</v>
      </c>
      <c r="M451" s="73" t="n">
        <v>1.56</v>
      </c>
      <c r="N451" s="74" t="n">
        <f aca="false">K451*L451*M451</f>
        <v>24.96</v>
      </c>
      <c r="O451" s="41" t="n">
        <f aca="false">IFERROR(INDEX(Исходные!$B$21:$B$33,MATCH(H451,Исходные!$A$21:$A$33,0)),0)</f>
        <v>0.395</v>
      </c>
      <c r="P451" s="83" t="n">
        <f aca="false">N451*O451</f>
        <v>9.8592</v>
      </c>
      <c r="Q451" s="20" t="s">
        <v>1220</v>
      </c>
      <c r="R451" s="84" t="s">
        <v>514</v>
      </c>
      <c r="S451" s="20"/>
      <c r="T451" s="20" t="s">
        <v>12</v>
      </c>
      <c r="U451" s="53" t="n">
        <v>0</v>
      </c>
      <c r="V451" s="76" t="s">
        <v>149</v>
      </c>
      <c r="W451" s="53" t="n">
        <v>2</v>
      </c>
    </row>
    <row r="452" customFormat="false" ht="35.05" hidden="false" customHeight="false" outlineLevel="0" collapsed="false">
      <c r="A452" s="76" t="n">
        <v>438</v>
      </c>
      <c r="B452" s="20" t="s">
        <v>1167</v>
      </c>
      <c r="C452" s="20" t="s">
        <v>508</v>
      </c>
      <c r="D452" s="20" t="s">
        <v>564</v>
      </c>
      <c r="E452" s="20" t="s">
        <v>149</v>
      </c>
      <c r="F452" s="76" t="s">
        <v>603</v>
      </c>
      <c r="G452" s="20" t="s">
        <v>1195</v>
      </c>
      <c r="H452" s="55" t="n">
        <v>8</v>
      </c>
      <c r="I452" s="76" t="s">
        <v>546</v>
      </c>
      <c r="J452" s="76" t="s">
        <v>547</v>
      </c>
      <c r="K452" s="82" t="n">
        <v>1</v>
      </c>
      <c r="L452" s="55" t="n">
        <v>16</v>
      </c>
      <c r="M452" s="73" t="n">
        <v>1.76</v>
      </c>
      <c r="N452" s="74" t="n">
        <f aca="false">K452*L452*M452</f>
        <v>28.16</v>
      </c>
      <c r="O452" s="41" t="n">
        <f aca="false">IFERROR(INDEX(Исходные!$B$21:$B$33,MATCH(H452,Исходные!$A$21:$A$33,0)),0)</f>
        <v>0.395</v>
      </c>
      <c r="P452" s="83" t="n">
        <f aca="false">N452*O452</f>
        <v>11.1232</v>
      </c>
      <c r="Q452" s="20" t="s">
        <v>1221</v>
      </c>
      <c r="R452" s="84" t="s">
        <v>514</v>
      </c>
      <c r="S452" s="20"/>
      <c r="T452" s="20" t="s">
        <v>12</v>
      </c>
      <c r="U452" s="53" t="n">
        <v>0</v>
      </c>
      <c r="V452" s="76" t="s">
        <v>149</v>
      </c>
      <c r="W452" s="53" t="n">
        <v>2</v>
      </c>
    </row>
    <row r="453" customFormat="false" ht="35.05" hidden="false" customHeight="false" outlineLevel="0" collapsed="false">
      <c r="A453" s="76" t="n">
        <v>439</v>
      </c>
      <c r="B453" s="20" t="s">
        <v>1167</v>
      </c>
      <c r="C453" s="20" t="s">
        <v>508</v>
      </c>
      <c r="D453" s="20" t="s">
        <v>564</v>
      </c>
      <c r="E453" s="20" t="s">
        <v>149</v>
      </c>
      <c r="F453" s="76" t="s">
        <v>555</v>
      </c>
      <c r="G453" s="20" t="s">
        <v>1197</v>
      </c>
      <c r="H453" s="55" t="n">
        <v>8</v>
      </c>
      <c r="I453" s="76" t="s">
        <v>546</v>
      </c>
      <c r="J453" s="76" t="s">
        <v>547</v>
      </c>
      <c r="K453" s="82" t="n">
        <v>1</v>
      </c>
      <c r="L453" s="55" t="n">
        <v>28</v>
      </c>
      <c r="M453" s="73" t="n">
        <v>2.44</v>
      </c>
      <c r="N453" s="74" t="n">
        <f aca="false">K453*L453*M453</f>
        <v>68.32</v>
      </c>
      <c r="O453" s="41" t="n">
        <f aca="false">IFERROR(INDEX(Исходные!$B$21:$B$33,MATCH(H453,Исходные!$A$21:$A$33,0)),0)</f>
        <v>0.395</v>
      </c>
      <c r="P453" s="83" t="n">
        <f aca="false">N453*O453</f>
        <v>26.9864</v>
      </c>
      <c r="Q453" s="20" t="s">
        <v>1198</v>
      </c>
      <c r="R453" s="84" t="s">
        <v>514</v>
      </c>
      <c r="S453" s="20"/>
      <c r="T453" s="20" t="s">
        <v>12</v>
      </c>
      <c r="U453" s="53" t="n">
        <v>0</v>
      </c>
      <c r="V453" s="76" t="s">
        <v>149</v>
      </c>
      <c r="W453" s="53" t="n">
        <v>2</v>
      </c>
    </row>
    <row r="454" customFormat="false" ht="35.05" hidden="false" customHeight="false" outlineLevel="0" collapsed="false">
      <c r="A454" s="76" t="n">
        <v>440</v>
      </c>
      <c r="B454" s="20" t="s">
        <v>1167</v>
      </c>
      <c r="C454" s="20" t="s">
        <v>508</v>
      </c>
      <c r="D454" s="20" t="s">
        <v>564</v>
      </c>
      <c r="E454" s="20" t="s">
        <v>149</v>
      </c>
      <c r="F454" s="76" t="s">
        <v>558</v>
      </c>
      <c r="G454" s="20" t="s">
        <v>1199</v>
      </c>
      <c r="H454" s="55" t="n">
        <v>8</v>
      </c>
      <c r="I454" s="76" t="s">
        <v>546</v>
      </c>
      <c r="J454" s="76" t="s">
        <v>547</v>
      </c>
      <c r="K454" s="82" t="n">
        <v>1</v>
      </c>
      <c r="L454" s="55" t="n">
        <v>32</v>
      </c>
      <c r="M454" s="73" t="n">
        <v>1.96</v>
      </c>
      <c r="N454" s="74" t="n">
        <f aca="false">K454*L454*M454</f>
        <v>62.72</v>
      </c>
      <c r="O454" s="41" t="n">
        <f aca="false">IFERROR(INDEX(Исходные!$B$21:$B$33,MATCH(H454,Исходные!$A$21:$A$33,0)),0)</f>
        <v>0.395</v>
      </c>
      <c r="P454" s="83" t="n">
        <f aca="false">N454*O454</f>
        <v>24.7744</v>
      </c>
      <c r="Q454" s="20" t="s">
        <v>1222</v>
      </c>
      <c r="R454" s="84" t="s">
        <v>514</v>
      </c>
      <c r="S454" s="20"/>
      <c r="T454" s="20" t="s">
        <v>12</v>
      </c>
      <c r="U454" s="53" t="n">
        <v>0</v>
      </c>
      <c r="V454" s="76" t="s">
        <v>149</v>
      </c>
      <c r="W454" s="53" t="n">
        <v>2</v>
      </c>
    </row>
    <row r="455" customFormat="false" ht="35.05" hidden="false" customHeight="false" outlineLevel="0" collapsed="false">
      <c r="A455" s="76" t="n">
        <v>441</v>
      </c>
      <c r="B455" s="20" t="s">
        <v>1167</v>
      </c>
      <c r="C455" s="20" t="s">
        <v>508</v>
      </c>
      <c r="D455" s="20" t="s">
        <v>564</v>
      </c>
      <c r="E455" s="20" t="s">
        <v>149</v>
      </c>
      <c r="F455" s="76" t="s">
        <v>561</v>
      </c>
      <c r="G455" s="20" t="s">
        <v>1223</v>
      </c>
      <c r="H455" s="55" t="n">
        <v>8</v>
      </c>
      <c r="I455" s="76" t="s">
        <v>546</v>
      </c>
      <c r="J455" s="76" t="s">
        <v>547</v>
      </c>
      <c r="K455" s="82" t="n">
        <v>1</v>
      </c>
      <c r="L455" s="55" t="n">
        <v>56</v>
      </c>
      <c r="M455" s="73" t="n">
        <v>0.53</v>
      </c>
      <c r="N455" s="74" t="n">
        <f aca="false">K455*L455*M455</f>
        <v>29.68</v>
      </c>
      <c r="O455" s="41" t="n">
        <f aca="false">IFERROR(INDEX(Исходные!$B$21:$B$33,MATCH(H455,Исходные!$A$21:$A$33,0)),0)</f>
        <v>0.395</v>
      </c>
      <c r="P455" s="83" t="n">
        <f aca="false">N455*O455</f>
        <v>11.7236</v>
      </c>
      <c r="Q455" s="20" t="s">
        <v>1224</v>
      </c>
      <c r="R455" s="84" t="s">
        <v>514</v>
      </c>
      <c r="S455" s="20"/>
      <c r="T455" s="20" t="s">
        <v>12</v>
      </c>
      <c r="U455" s="53" t="n">
        <v>0</v>
      </c>
      <c r="V455" s="76" t="s">
        <v>149</v>
      </c>
      <c r="W455" s="53" t="n">
        <v>2</v>
      </c>
    </row>
    <row r="456" customFormat="false" ht="35.05" hidden="false" customHeight="false" outlineLevel="0" collapsed="false">
      <c r="A456" s="76" t="n">
        <v>442</v>
      </c>
      <c r="B456" s="20" t="s">
        <v>1167</v>
      </c>
      <c r="C456" s="20" t="s">
        <v>508</v>
      </c>
      <c r="D456" s="20" t="s">
        <v>586</v>
      </c>
      <c r="E456" s="20" t="s">
        <v>154</v>
      </c>
      <c r="F456" s="76" t="s">
        <v>519</v>
      </c>
      <c r="G456" s="20" t="s">
        <v>1168</v>
      </c>
      <c r="H456" s="55" t="n">
        <v>28</v>
      </c>
      <c r="I456" s="76" t="s">
        <v>512</v>
      </c>
      <c r="J456" s="76" t="s">
        <v>164</v>
      </c>
      <c r="K456" s="82" t="n">
        <v>1</v>
      </c>
      <c r="L456" s="55" t="n">
        <v>4</v>
      </c>
      <c r="M456" s="73" t="n">
        <v>3.6</v>
      </c>
      <c r="N456" s="74" t="n">
        <f aca="false">K456*L456*M456</f>
        <v>14.4</v>
      </c>
      <c r="O456" s="41" t="n">
        <f aca="false">IFERROR(INDEX(Исходные!$B$21:$B$33,MATCH(H456,Исходные!$A$21:$A$33,0)),0)</f>
        <v>4.834</v>
      </c>
      <c r="P456" s="83" t="n">
        <f aca="false">N456*O456</f>
        <v>69.6096</v>
      </c>
      <c r="Q456" s="20" t="s">
        <v>1225</v>
      </c>
      <c r="R456" s="84" t="s">
        <v>514</v>
      </c>
      <c r="S456" s="20" t="s">
        <v>1204</v>
      </c>
      <c r="T456" s="20" t="s">
        <v>12</v>
      </c>
      <c r="U456" s="53" t="n">
        <v>0</v>
      </c>
      <c r="V456" s="76" t="s">
        <v>154</v>
      </c>
      <c r="W456" s="53" t="n">
        <v>2</v>
      </c>
    </row>
    <row r="457" customFormat="false" ht="35.05" hidden="false" customHeight="false" outlineLevel="0" collapsed="false">
      <c r="A457" s="76" t="n">
        <v>443</v>
      </c>
      <c r="B457" s="20" t="s">
        <v>1167</v>
      </c>
      <c r="C457" s="20" t="s">
        <v>508</v>
      </c>
      <c r="D457" s="20" t="s">
        <v>586</v>
      </c>
      <c r="E457" s="20" t="s">
        <v>154</v>
      </c>
      <c r="F457" s="76" t="s">
        <v>516</v>
      </c>
      <c r="G457" s="20" t="s">
        <v>1171</v>
      </c>
      <c r="H457" s="55" t="n">
        <v>20</v>
      </c>
      <c r="I457" s="76" t="s">
        <v>512</v>
      </c>
      <c r="J457" s="76" t="s">
        <v>164</v>
      </c>
      <c r="K457" s="82" t="n">
        <v>1</v>
      </c>
      <c r="L457" s="55" t="n">
        <v>8</v>
      </c>
      <c r="M457" s="73" t="n">
        <v>3.6</v>
      </c>
      <c r="N457" s="74" t="n">
        <f aca="false">K457*L457*M457</f>
        <v>28.8</v>
      </c>
      <c r="O457" s="41" t="n">
        <f aca="false">IFERROR(INDEX(Исходные!$B$21:$B$33,MATCH(H457,Исходные!$A$21:$A$33,0)),0)</f>
        <v>2.466</v>
      </c>
      <c r="P457" s="83" t="n">
        <f aca="false">N457*O457</f>
        <v>71.0208</v>
      </c>
      <c r="Q457" s="20" t="s">
        <v>1225</v>
      </c>
      <c r="R457" s="84" t="s">
        <v>514</v>
      </c>
      <c r="S457" s="20" t="s">
        <v>1206</v>
      </c>
      <c r="T457" s="20" t="s">
        <v>12</v>
      </c>
      <c r="U457" s="53" t="n">
        <v>0</v>
      </c>
      <c r="V457" s="76" t="s">
        <v>154</v>
      </c>
      <c r="W457" s="53" t="n">
        <v>2</v>
      </c>
    </row>
    <row r="458" customFormat="false" ht="35.05" hidden="false" customHeight="false" outlineLevel="0" collapsed="false">
      <c r="A458" s="76" t="n">
        <v>444</v>
      </c>
      <c r="B458" s="20" t="s">
        <v>1167</v>
      </c>
      <c r="C458" s="20" t="s">
        <v>508</v>
      </c>
      <c r="D458" s="20" t="s">
        <v>586</v>
      </c>
      <c r="E458" s="20" t="s">
        <v>154</v>
      </c>
      <c r="F458" s="76" t="s">
        <v>522</v>
      </c>
      <c r="G458" s="20" t="s">
        <v>1226</v>
      </c>
      <c r="H458" s="55" t="n">
        <v>25</v>
      </c>
      <c r="I458" s="76" t="s">
        <v>512</v>
      </c>
      <c r="J458" s="76" t="s">
        <v>164</v>
      </c>
      <c r="K458" s="82" t="n">
        <v>1</v>
      </c>
      <c r="L458" s="55" t="n">
        <v>12</v>
      </c>
      <c r="M458" s="73" t="n">
        <v>3.6</v>
      </c>
      <c r="N458" s="74" t="n">
        <f aca="false">K458*L458*M458</f>
        <v>43.2</v>
      </c>
      <c r="O458" s="41" t="n">
        <f aca="false">IFERROR(INDEX(Исходные!$B$21:$B$33,MATCH(H458,Исходные!$A$21:$A$33,0)),0)</f>
        <v>3.853</v>
      </c>
      <c r="P458" s="83" t="n">
        <f aca="false">N458*O458</f>
        <v>166.4496</v>
      </c>
      <c r="Q458" s="20" t="s">
        <v>1225</v>
      </c>
      <c r="R458" s="84" t="s">
        <v>514</v>
      </c>
      <c r="S458" s="20" t="s">
        <v>1227</v>
      </c>
      <c r="T458" s="20" t="s">
        <v>12</v>
      </c>
      <c r="U458" s="53" t="n">
        <v>0</v>
      </c>
      <c r="V458" s="76" t="s">
        <v>154</v>
      </c>
      <c r="W458" s="53" t="n">
        <v>2</v>
      </c>
    </row>
    <row r="459" customFormat="false" ht="35.05" hidden="false" customHeight="false" outlineLevel="0" collapsed="false">
      <c r="A459" s="76" t="n">
        <v>445</v>
      </c>
      <c r="B459" s="20" t="s">
        <v>1167</v>
      </c>
      <c r="C459" s="20" t="s">
        <v>508</v>
      </c>
      <c r="D459" s="20" t="s">
        <v>586</v>
      </c>
      <c r="E459" s="20" t="s">
        <v>154</v>
      </c>
      <c r="F459" s="76" t="s">
        <v>529</v>
      </c>
      <c r="G459" s="20" t="s">
        <v>1228</v>
      </c>
      <c r="H459" s="55" t="n">
        <v>18</v>
      </c>
      <c r="I459" s="76" t="s">
        <v>512</v>
      </c>
      <c r="J459" s="76" t="s">
        <v>164</v>
      </c>
      <c r="K459" s="82" t="n">
        <v>1</v>
      </c>
      <c r="L459" s="55" t="n">
        <v>8</v>
      </c>
      <c r="M459" s="73" t="n">
        <v>3.744</v>
      </c>
      <c r="N459" s="74" t="n">
        <f aca="false">K459*L459*M459</f>
        <v>29.952</v>
      </c>
      <c r="O459" s="41" t="n">
        <f aca="false">IFERROR(INDEX(Исходные!$B$21:$B$33,MATCH(H459,Исходные!$A$21:$A$33,0)),0)</f>
        <v>1.998</v>
      </c>
      <c r="P459" s="83" t="n">
        <f aca="false">N459*O459</f>
        <v>59.844096</v>
      </c>
      <c r="Q459" s="20" t="s">
        <v>1225</v>
      </c>
      <c r="R459" s="84" t="s">
        <v>514</v>
      </c>
      <c r="S459" s="20" t="s">
        <v>1229</v>
      </c>
      <c r="T459" s="20" t="s">
        <v>12</v>
      </c>
      <c r="U459" s="53" t="n">
        <v>0</v>
      </c>
      <c r="V459" s="76" t="s">
        <v>154</v>
      </c>
      <c r="W459" s="53" t="n">
        <v>2</v>
      </c>
    </row>
    <row r="460" customFormat="false" ht="35.05" hidden="false" customHeight="false" outlineLevel="0" collapsed="false">
      <c r="A460" s="76" t="n">
        <v>446</v>
      </c>
      <c r="B460" s="20" t="s">
        <v>1167</v>
      </c>
      <c r="C460" s="20" t="s">
        <v>508</v>
      </c>
      <c r="D460" s="20" t="s">
        <v>586</v>
      </c>
      <c r="E460" s="20" t="s">
        <v>154</v>
      </c>
      <c r="F460" s="76" t="s">
        <v>529</v>
      </c>
      <c r="G460" s="20" t="s">
        <v>1230</v>
      </c>
      <c r="H460" s="55" t="n">
        <v>18</v>
      </c>
      <c r="I460" s="76" t="s">
        <v>512</v>
      </c>
      <c r="J460" s="76" t="s">
        <v>164</v>
      </c>
      <c r="K460" s="82" t="n">
        <v>1</v>
      </c>
      <c r="L460" s="55" t="n">
        <v>6</v>
      </c>
      <c r="M460" s="73" t="n">
        <v>3.744</v>
      </c>
      <c r="N460" s="74" t="n">
        <f aca="false">K460*L460*M460</f>
        <v>22.464</v>
      </c>
      <c r="O460" s="41" t="n">
        <f aca="false">IFERROR(INDEX(Исходные!$B$21:$B$33,MATCH(H460,Исходные!$A$21:$A$33,0)),0)</f>
        <v>1.998</v>
      </c>
      <c r="P460" s="83" t="n">
        <f aca="false">N460*O460</f>
        <v>44.883072</v>
      </c>
      <c r="Q460" s="20" t="s">
        <v>1225</v>
      </c>
      <c r="R460" s="84" t="s">
        <v>514</v>
      </c>
      <c r="S460" s="20" t="s">
        <v>1231</v>
      </c>
      <c r="T460" s="20" t="s">
        <v>12</v>
      </c>
      <c r="U460" s="53" t="n">
        <v>0</v>
      </c>
      <c r="V460" s="76" t="s">
        <v>154</v>
      </c>
      <c r="W460" s="53" t="n">
        <v>2</v>
      </c>
    </row>
    <row r="461" customFormat="false" ht="35.05" hidden="false" customHeight="false" outlineLevel="0" collapsed="false">
      <c r="A461" s="76" t="n">
        <v>447</v>
      </c>
      <c r="B461" s="20" t="s">
        <v>1167</v>
      </c>
      <c r="C461" s="20" t="s">
        <v>508</v>
      </c>
      <c r="D461" s="20" t="s">
        <v>586</v>
      </c>
      <c r="E461" s="20" t="s">
        <v>154</v>
      </c>
      <c r="F461" s="76" t="s">
        <v>522</v>
      </c>
      <c r="G461" s="20" t="s">
        <v>1232</v>
      </c>
      <c r="H461" s="55" t="n">
        <v>25</v>
      </c>
      <c r="I461" s="76" t="s">
        <v>512</v>
      </c>
      <c r="J461" s="76" t="s">
        <v>164</v>
      </c>
      <c r="K461" s="82" t="n">
        <v>1</v>
      </c>
      <c r="L461" s="55" t="n">
        <v>6</v>
      </c>
      <c r="M461" s="73" t="n">
        <v>3.6</v>
      </c>
      <c r="N461" s="74" t="n">
        <f aca="false">K461*L461*M461</f>
        <v>21.6</v>
      </c>
      <c r="O461" s="41" t="n">
        <f aca="false">IFERROR(INDEX(Исходные!$B$21:$B$33,MATCH(H461,Исходные!$A$21:$A$33,0)),0)</f>
        <v>3.853</v>
      </c>
      <c r="P461" s="83" t="n">
        <f aca="false">N461*O461</f>
        <v>83.2248</v>
      </c>
      <c r="Q461" s="20" t="s">
        <v>1225</v>
      </c>
      <c r="R461" s="84" t="s">
        <v>514</v>
      </c>
      <c r="S461" s="20" t="s">
        <v>1178</v>
      </c>
      <c r="T461" s="20" t="s">
        <v>12</v>
      </c>
      <c r="U461" s="53" t="n">
        <v>0</v>
      </c>
      <c r="V461" s="76" t="s">
        <v>154</v>
      </c>
      <c r="W461" s="53" t="n">
        <v>2</v>
      </c>
    </row>
    <row r="462" customFormat="false" ht="35.05" hidden="false" customHeight="false" outlineLevel="0" collapsed="false">
      <c r="A462" s="76" t="n">
        <v>448</v>
      </c>
      <c r="B462" s="20" t="s">
        <v>1167</v>
      </c>
      <c r="C462" s="20" t="s">
        <v>508</v>
      </c>
      <c r="D462" s="20" t="s">
        <v>586</v>
      </c>
      <c r="E462" s="20" t="s">
        <v>154</v>
      </c>
      <c r="F462" s="76" t="s">
        <v>532</v>
      </c>
      <c r="G462" s="20" t="s">
        <v>595</v>
      </c>
      <c r="H462" s="55" t="n">
        <v>14</v>
      </c>
      <c r="I462" s="76" t="s">
        <v>512</v>
      </c>
      <c r="J462" s="76" t="n">
        <v>200</v>
      </c>
      <c r="K462" s="82" t="n">
        <v>1</v>
      </c>
      <c r="L462" s="55" t="n">
        <v>32</v>
      </c>
      <c r="M462" s="73" t="n">
        <v>1.95</v>
      </c>
      <c r="N462" s="74" t="n">
        <f aca="false">K462*L462*M462</f>
        <v>62.4</v>
      </c>
      <c r="O462" s="41" t="n">
        <f aca="false">IFERROR(INDEX(Исходные!$B$21:$B$33,MATCH(H462,Исходные!$A$21:$A$33,0)),0)</f>
        <v>1.208</v>
      </c>
      <c r="P462" s="83" t="n">
        <f aca="false">N462*O462</f>
        <v>75.3792</v>
      </c>
      <c r="Q462" s="20" t="s">
        <v>1233</v>
      </c>
      <c r="R462" s="85" t="s">
        <v>535</v>
      </c>
      <c r="S462" s="20" t="s">
        <v>1184</v>
      </c>
      <c r="T462" s="20" t="s">
        <v>12</v>
      </c>
      <c r="U462" s="53" t="n">
        <v>1</v>
      </c>
      <c r="V462" s="76" t="s">
        <v>154</v>
      </c>
      <c r="W462" s="53" t="n">
        <v>2</v>
      </c>
    </row>
    <row r="463" customFormat="false" ht="35.05" hidden="false" customHeight="false" outlineLevel="0" collapsed="false">
      <c r="A463" s="76" t="n">
        <v>449</v>
      </c>
      <c r="B463" s="20" t="s">
        <v>1167</v>
      </c>
      <c r="C463" s="20" t="s">
        <v>508</v>
      </c>
      <c r="D463" s="20" t="s">
        <v>586</v>
      </c>
      <c r="E463" s="20" t="s">
        <v>154</v>
      </c>
      <c r="F463" s="76" t="s">
        <v>532</v>
      </c>
      <c r="G463" s="20" t="s">
        <v>597</v>
      </c>
      <c r="H463" s="55" t="n">
        <v>14</v>
      </c>
      <c r="I463" s="76" t="s">
        <v>512</v>
      </c>
      <c r="J463" s="76" t="n">
        <v>200</v>
      </c>
      <c r="K463" s="82" t="n">
        <v>1</v>
      </c>
      <c r="L463" s="55" t="n">
        <v>32</v>
      </c>
      <c r="M463" s="73" t="n">
        <v>1.45</v>
      </c>
      <c r="N463" s="74" t="n">
        <f aca="false">K463*L463*M463</f>
        <v>46.4</v>
      </c>
      <c r="O463" s="41" t="n">
        <f aca="false">IFERROR(INDEX(Исходные!$B$21:$B$33,MATCH(H463,Исходные!$A$21:$A$33,0)),0)</f>
        <v>1.208</v>
      </c>
      <c r="P463" s="83" t="n">
        <f aca="false">N463*O463</f>
        <v>56.0512</v>
      </c>
      <c r="Q463" s="20" t="s">
        <v>1233</v>
      </c>
      <c r="R463" s="85" t="s">
        <v>535</v>
      </c>
      <c r="S463" s="20" t="s">
        <v>1184</v>
      </c>
      <c r="T463" s="20" t="s">
        <v>12</v>
      </c>
      <c r="U463" s="53" t="n">
        <v>1</v>
      </c>
      <c r="V463" s="76" t="s">
        <v>154</v>
      </c>
      <c r="W463" s="53" t="n">
        <v>2</v>
      </c>
    </row>
    <row r="464" customFormat="false" ht="35.05" hidden="false" customHeight="false" outlineLevel="0" collapsed="false">
      <c r="A464" s="76" t="n">
        <v>450</v>
      </c>
      <c r="B464" s="20" t="s">
        <v>1167</v>
      </c>
      <c r="C464" s="20" t="s">
        <v>508</v>
      </c>
      <c r="D464" s="20" t="s">
        <v>586</v>
      </c>
      <c r="E464" s="20" t="s">
        <v>154</v>
      </c>
      <c r="F464" s="76" t="s">
        <v>539</v>
      </c>
      <c r="G464" s="20" t="s">
        <v>1234</v>
      </c>
      <c r="H464" s="55" t="n">
        <v>16</v>
      </c>
      <c r="I464" s="76" t="s">
        <v>512</v>
      </c>
      <c r="J464" s="76" t="n">
        <v>200</v>
      </c>
      <c r="K464" s="82" t="n">
        <v>1</v>
      </c>
      <c r="L464" s="55" t="n">
        <v>8</v>
      </c>
      <c r="M464" s="73" t="n">
        <v>1.95</v>
      </c>
      <c r="N464" s="74" t="n">
        <f aca="false">K464*L464*M464</f>
        <v>15.6</v>
      </c>
      <c r="O464" s="41" t="n">
        <f aca="false">IFERROR(INDEX(Исходные!$B$21:$B$33,MATCH(H464,Исходные!$A$21:$A$33,0)),0)</f>
        <v>1.578</v>
      </c>
      <c r="P464" s="83" t="n">
        <f aca="false">N464*O464</f>
        <v>24.6168</v>
      </c>
      <c r="Q464" s="20" t="s">
        <v>1235</v>
      </c>
      <c r="R464" s="84" t="s">
        <v>514</v>
      </c>
      <c r="S464" s="20"/>
      <c r="T464" s="20" t="s">
        <v>12</v>
      </c>
      <c r="U464" s="53" t="n">
        <v>0</v>
      </c>
      <c r="V464" s="76" t="s">
        <v>154</v>
      </c>
      <c r="W464" s="53" t="n">
        <v>2</v>
      </c>
    </row>
    <row r="465" customFormat="false" ht="35.05" hidden="false" customHeight="false" outlineLevel="0" collapsed="false">
      <c r="A465" s="76" t="n">
        <v>451</v>
      </c>
      <c r="B465" s="20" t="s">
        <v>1167</v>
      </c>
      <c r="C465" s="20" t="s">
        <v>508</v>
      </c>
      <c r="D465" s="20" t="s">
        <v>586</v>
      </c>
      <c r="E465" s="20" t="s">
        <v>154</v>
      </c>
      <c r="F465" s="76" t="s">
        <v>539</v>
      </c>
      <c r="G465" s="20" t="s">
        <v>1236</v>
      </c>
      <c r="H465" s="55" t="n">
        <v>10</v>
      </c>
      <c r="I465" s="76" t="s">
        <v>512</v>
      </c>
      <c r="J465" s="76" t="n">
        <v>200</v>
      </c>
      <c r="K465" s="82" t="n">
        <v>1</v>
      </c>
      <c r="L465" s="55" t="n">
        <v>6</v>
      </c>
      <c r="M465" s="73" t="n">
        <v>1.95</v>
      </c>
      <c r="N465" s="74" t="n">
        <f aca="false">K465*L465*M465</f>
        <v>11.7</v>
      </c>
      <c r="O465" s="41" t="n">
        <f aca="false">IFERROR(INDEX(Исходные!$B$21:$B$33,MATCH(H465,Исходные!$A$21:$A$33,0)),0)</f>
        <v>0.617</v>
      </c>
      <c r="P465" s="83" t="n">
        <f aca="false">N465*O465</f>
        <v>7.2189</v>
      </c>
      <c r="Q465" s="20" t="s">
        <v>1235</v>
      </c>
      <c r="R465" s="84" t="s">
        <v>514</v>
      </c>
      <c r="S465" s="20"/>
      <c r="T465" s="20" t="s">
        <v>12</v>
      </c>
      <c r="U465" s="53" t="n">
        <v>0</v>
      </c>
      <c r="V465" s="76" t="s">
        <v>154</v>
      </c>
      <c r="W465" s="53" t="n">
        <v>2</v>
      </c>
    </row>
    <row r="466" customFormat="false" ht="35.05" hidden="false" customHeight="false" outlineLevel="0" collapsed="false">
      <c r="A466" s="76" t="n">
        <v>452</v>
      </c>
      <c r="B466" s="20" t="s">
        <v>1167</v>
      </c>
      <c r="C466" s="20" t="s">
        <v>508</v>
      </c>
      <c r="D466" s="20" t="s">
        <v>586</v>
      </c>
      <c r="E466" s="20" t="s">
        <v>154</v>
      </c>
      <c r="F466" s="76" t="s">
        <v>539</v>
      </c>
      <c r="G466" s="20" t="s">
        <v>1237</v>
      </c>
      <c r="H466" s="55" t="n">
        <v>16</v>
      </c>
      <c r="I466" s="76" t="s">
        <v>512</v>
      </c>
      <c r="J466" s="76" t="n">
        <v>200</v>
      </c>
      <c r="K466" s="82" t="n">
        <v>1</v>
      </c>
      <c r="L466" s="55" t="n">
        <v>10</v>
      </c>
      <c r="M466" s="73" t="n">
        <v>1.45</v>
      </c>
      <c r="N466" s="74" t="n">
        <f aca="false">K466*L466*M466</f>
        <v>14.5</v>
      </c>
      <c r="O466" s="41" t="n">
        <f aca="false">IFERROR(INDEX(Исходные!$B$21:$B$33,MATCH(H466,Исходные!$A$21:$A$33,0)),0)</f>
        <v>1.578</v>
      </c>
      <c r="P466" s="83" t="n">
        <f aca="false">N466*O466</f>
        <v>22.881</v>
      </c>
      <c r="Q466" s="20" t="s">
        <v>1235</v>
      </c>
      <c r="R466" s="84" t="s">
        <v>514</v>
      </c>
      <c r="S466" s="20"/>
      <c r="T466" s="20" t="s">
        <v>12</v>
      </c>
      <c r="U466" s="53" t="n">
        <v>0</v>
      </c>
      <c r="V466" s="76" t="s">
        <v>154</v>
      </c>
      <c r="W466" s="53" t="n">
        <v>2</v>
      </c>
    </row>
    <row r="467" customFormat="false" ht="35.05" hidden="false" customHeight="false" outlineLevel="0" collapsed="false">
      <c r="A467" s="76" t="n">
        <v>453</v>
      </c>
      <c r="B467" s="20" t="s">
        <v>1167</v>
      </c>
      <c r="C467" s="20" t="s">
        <v>508</v>
      </c>
      <c r="D467" s="20" t="s">
        <v>586</v>
      </c>
      <c r="E467" s="20" t="s">
        <v>154</v>
      </c>
      <c r="F467" s="76" t="s">
        <v>539</v>
      </c>
      <c r="G467" s="20" t="s">
        <v>1238</v>
      </c>
      <c r="H467" s="55" t="n">
        <v>10</v>
      </c>
      <c r="I467" s="76" t="s">
        <v>512</v>
      </c>
      <c r="J467" s="76" t="n">
        <v>200</v>
      </c>
      <c r="K467" s="82" t="n">
        <v>1</v>
      </c>
      <c r="L467" s="55" t="n">
        <v>6</v>
      </c>
      <c r="M467" s="73" t="n">
        <v>1.45</v>
      </c>
      <c r="N467" s="74" t="n">
        <f aca="false">K467*L467*M467</f>
        <v>8.7</v>
      </c>
      <c r="O467" s="41" t="n">
        <f aca="false">IFERROR(INDEX(Исходные!$B$21:$B$33,MATCH(H467,Исходные!$A$21:$A$33,0)),0)</f>
        <v>0.617</v>
      </c>
      <c r="P467" s="83" t="n">
        <f aca="false">N467*O467</f>
        <v>5.3679</v>
      </c>
      <c r="Q467" s="20" t="s">
        <v>1235</v>
      </c>
      <c r="R467" s="84" t="s">
        <v>514</v>
      </c>
      <c r="S467" s="20"/>
      <c r="T467" s="20" t="s">
        <v>12</v>
      </c>
      <c r="U467" s="53" t="n">
        <v>0</v>
      </c>
      <c r="V467" s="76" t="s">
        <v>154</v>
      </c>
      <c r="W467" s="53" t="n">
        <v>2</v>
      </c>
    </row>
    <row r="468" customFormat="false" ht="35.05" hidden="false" customHeight="false" outlineLevel="0" collapsed="false">
      <c r="A468" s="76" t="n">
        <v>454</v>
      </c>
      <c r="B468" s="20" t="s">
        <v>1167</v>
      </c>
      <c r="C468" s="20" t="s">
        <v>508</v>
      </c>
      <c r="D468" s="20" t="s">
        <v>586</v>
      </c>
      <c r="E468" s="20" t="s">
        <v>154</v>
      </c>
      <c r="F468" s="76" t="s">
        <v>544</v>
      </c>
      <c r="G468" s="20" t="s">
        <v>1191</v>
      </c>
      <c r="H468" s="55" t="n">
        <v>10</v>
      </c>
      <c r="I468" s="76" t="s">
        <v>546</v>
      </c>
      <c r="J468" s="76" t="s">
        <v>547</v>
      </c>
      <c r="K468" s="82" t="n">
        <v>1</v>
      </c>
      <c r="L468" s="55" t="n">
        <v>48</v>
      </c>
      <c r="M468" s="73" t="n">
        <v>1.33</v>
      </c>
      <c r="N468" s="74" t="n">
        <f aca="false">K468*L468*M468</f>
        <v>63.84</v>
      </c>
      <c r="O468" s="41" t="n">
        <f aca="false">IFERROR(INDEX(Исходные!$B$21:$B$33,MATCH(H468,Исходные!$A$21:$A$33,0)),0)</f>
        <v>0.617</v>
      </c>
      <c r="P468" s="83" t="n">
        <f aca="false">N468*O468</f>
        <v>39.38928</v>
      </c>
      <c r="Q468" s="20" t="s">
        <v>1192</v>
      </c>
      <c r="R468" s="84" t="s">
        <v>514</v>
      </c>
      <c r="S468" s="20"/>
      <c r="T468" s="20" t="s">
        <v>12</v>
      </c>
      <c r="U468" s="53" t="n">
        <v>0</v>
      </c>
      <c r="V468" s="76" t="s">
        <v>154</v>
      </c>
      <c r="W468" s="53" t="n">
        <v>2</v>
      </c>
    </row>
    <row r="469" customFormat="false" ht="35.05" hidden="false" customHeight="false" outlineLevel="0" collapsed="false">
      <c r="A469" s="76" t="n">
        <v>455</v>
      </c>
      <c r="B469" s="20" t="s">
        <v>1167</v>
      </c>
      <c r="C469" s="20" t="s">
        <v>508</v>
      </c>
      <c r="D469" s="20" t="s">
        <v>586</v>
      </c>
      <c r="E469" s="20" t="s">
        <v>154</v>
      </c>
      <c r="F469" s="76" t="s">
        <v>696</v>
      </c>
      <c r="G469" s="20" t="s">
        <v>1193</v>
      </c>
      <c r="H469" s="55" t="n">
        <v>8</v>
      </c>
      <c r="I469" s="76" t="s">
        <v>546</v>
      </c>
      <c r="J469" s="76" t="s">
        <v>547</v>
      </c>
      <c r="K469" s="82" t="n">
        <v>1</v>
      </c>
      <c r="L469" s="55" t="n">
        <v>32</v>
      </c>
      <c r="M469" s="73" t="n">
        <v>1.56</v>
      </c>
      <c r="N469" s="74" t="n">
        <f aca="false">K469*L469*M469</f>
        <v>49.92</v>
      </c>
      <c r="O469" s="41" t="n">
        <f aca="false">IFERROR(INDEX(Исходные!$B$21:$B$33,MATCH(H469,Исходные!$A$21:$A$33,0)),0)</f>
        <v>0.395</v>
      </c>
      <c r="P469" s="83" t="n">
        <f aca="false">N469*O469</f>
        <v>19.7184</v>
      </c>
      <c r="Q469" s="20" t="s">
        <v>1194</v>
      </c>
      <c r="R469" s="84" t="s">
        <v>514</v>
      </c>
      <c r="S469" s="20"/>
      <c r="T469" s="20" t="s">
        <v>12</v>
      </c>
      <c r="U469" s="53" t="n">
        <v>0</v>
      </c>
      <c r="V469" s="76" t="s">
        <v>154</v>
      </c>
      <c r="W469" s="53" t="n">
        <v>2</v>
      </c>
    </row>
    <row r="470" customFormat="false" ht="35.05" hidden="false" customHeight="false" outlineLevel="0" collapsed="false">
      <c r="A470" s="76" t="n">
        <v>456</v>
      </c>
      <c r="B470" s="20" t="s">
        <v>1167</v>
      </c>
      <c r="C470" s="20" t="s">
        <v>508</v>
      </c>
      <c r="D470" s="20" t="s">
        <v>586</v>
      </c>
      <c r="E470" s="20" t="s">
        <v>154</v>
      </c>
      <c r="F470" s="76" t="s">
        <v>603</v>
      </c>
      <c r="G470" s="20" t="s">
        <v>1195</v>
      </c>
      <c r="H470" s="55" t="n">
        <v>8</v>
      </c>
      <c r="I470" s="76" t="s">
        <v>546</v>
      </c>
      <c r="J470" s="76" t="s">
        <v>547</v>
      </c>
      <c r="K470" s="82" t="n">
        <v>1</v>
      </c>
      <c r="L470" s="55" t="n">
        <v>16</v>
      </c>
      <c r="M470" s="73" t="n">
        <v>1.76</v>
      </c>
      <c r="N470" s="74" t="n">
        <f aca="false">K470*L470*M470</f>
        <v>28.16</v>
      </c>
      <c r="O470" s="41" t="n">
        <f aca="false">IFERROR(INDEX(Исходные!$B$21:$B$33,MATCH(H470,Исходные!$A$21:$A$33,0)),0)</f>
        <v>0.395</v>
      </c>
      <c r="P470" s="83" t="n">
        <f aca="false">N470*O470</f>
        <v>11.1232</v>
      </c>
      <c r="Q470" s="20" t="s">
        <v>1196</v>
      </c>
      <c r="R470" s="84" t="s">
        <v>514</v>
      </c>
      <c r="S470" s="20"/>
      <c r="T470" s="20" t="s">
        <v>12</v>
      </c>
      <c r="U470" s="53" t="n">
        <v>0</v>
      </c>
      <c r="V470" s="76" t="s">
        <v>154</v>
      </c>
      <c r="W470" s="53" t="n">
        <v>2</v>
      </c>
    </row>
    <row r="471" customFormat="false" ht="35.05" hidden="false" customHeight="false" outlineLevel="0" collapsed="false">
      <c r="A471" s="76" t="n">
        <v>457</v>
      </c>
      <c r="B471" s="20" t="s">
        <v>1167</v>
      </c>
      <c r="C471" s="20" t="s">
        <v>508</v>
      </c>
      <c r="D471" s="20" t="s">
        <v>586</v>
      </c>
      <c r="E471" s="20" t="s">
        <v>154</v>
      </c>
      <c r="F471" s="76" t="s">
        <v>555</v>
      </c>
      <c r="G471" s="20" t="s">
        <v>1197</v>
      </c>
      <c r="H471" s="55" t="n">
        <v>8</v>
      </c>
      <c r="I471" s="76" t="s">
        <v>546</v>
      </c>
      <c r="J471" s="76" t="s">
        <v>547</v>
      </c>
      <c r="K471" s="82" t="n">
        <v>1</v>
      </c>
      <c r="L471" s="55" t="n">
        <v>28</v>
      </c>
      <c r="M471" s="73" t="n">
        <v>2.44</v>
      </c>
      <c r="N471" s="74" t="n">
        <f aca="false">K471*L471*M471</f>
        <v>68.32</v>
      </c>
      <c r="O471" s="41" t="n">
        <f aca="false">IFERROR(INDEX(Исходные!$B$21:$B$33,MATCH(H471,Исходные!$A$21:$A$33,0)),0)</f>
        <v>0.395</v>
      </c>
      <c r="P471" s="83" t="n">
        <f aca="false">N471*O471</f>
        <v>26.9864</v>
      </c>
      <c r="Q471" s="20" t="s">
        <v>1198</v>
      </c>
      <c r="R471" s="84" t="s">
        <v>514</v>
      </c>
      <c r="S471" s="20"/>
      <c r="T471" s="20" t="s">
        <v>12</v>
      </c>
      <c r="U471" s="53" t="n">
        <v>0</v>
      </c>
      <c r="V471" s="76" t="s">
        <v>154</v>
      </c>
      <c r="W471" s="53" t="n">
        <v>2</v>
      </c>
    </row>
    <row r="472" customFormat="false" ht="35.05" hidden="false" customHeight="false" outlineLevel="0" collapsed="false">
      <c r="A472" s="76" t="n">
        <v>458</v>
      </c>
      <c r="B472" s="20" t="s">
        <v>1167</v>
      </c>
      <c r="C472" s="20" t="s">
        <v>508</v>
      </c>
      <c r="D472" s="20" t="s">
        <v>586</v>
      </c>
      <c r="E472" s="20" t="s">
        <v>154</v>
      </c>
      <c r="F472" s="76" t="s">
        <v>558</v>
      </c>
      <c r="G472" s="20" t="s">
        <v>1199</v>
      </c>
      <c r="H472" s="55" t="n">
        <v>8</v>
      </c>
      <c r="I472" s="76" t="s">
        <v>546</v>
      </c>
      <c r="J472" s="76" t="s">
        <v>547</v>
      </c>
      <c r="K472" s="82" t="n">
        <v>1</v>
      </c>
      <c r="L472" s="55" t="n">
        <v>32</v>
      </c>
      <c r="M472" s="73" t="n">
        <v>1.96</v>
      </c>
      <c r="N472" s="74" t="n">
        <f aca="false">K472*L472*M472</f>
        <v>62.72</v>
      </c>
      <c r="O472" s="41" t="n">
        <f aca="false">IFERROR(INDEX(Исходные!$B$21:$B$33,MATCH(H472,Исходные!$A$21:$A$33,0)),0)</f>
        <v>0.395</v>
      </c>
      <c r="P472" s="83" t="n">
        <f aca="false">N472*O472</f>
        <v>24.7744</v>
      </c>
      <c r="Q472" s="20" t="s">
        <v>1200</v>
      </c>
      <c r="R472" s="84" t="s">
        <v>514</v>
      </c>
      <c r="S472" s="20"/>
      <c r="T472" s="20" t="s">
        <v>12</v>
      </c>
      <c r="U472" s="53" t="n">
        <v>0</v>
      </c>
      <c r="V472" s="76" t="s">
        <v>154</v>
      </c>
      <c r="W472" s="53" t="n">
        <v>2</v>
      </c>
    </row>
    <row r="473" customFormat="false" ht="35.05" hidden="false" customHeight="false" outlineLevel="0" collapsed="false">
      <c r="A473" s="76" t="n">
        <v>459</v>
      </c>
      <c r="B473" s="20" t="s">
        <v>1167</v>
      </c>
      <c r="C473" s="20" t="s">
        <v>508</v>
      </c>
      <c r="D473" s="20" t="s">
        <v>586</v>
      </c>
      <c r="E473" s="20" t="s">
        <v>154</v>
      </c>
      <c r="F473" s="76" t="s">
        <v>561</v>
      </c>
      <c r="G473" s="20" t="s">
        <v>1239</v>
      </c>
      <c r="H473" s="55" t="n">
        <v>8</v>
      </c>
      <c r="I473" s="76" t="s">
        <v>546</v>
      </c>
      <c r="J473" s="76" t="s">
        <v>547</v>
      </c>
      <c r="K473" s="82" t="n">
        <v>1</v>
      </c>
      <c r="L473" s="55" t="n">
        <v>72</v>
      </c>
      <c r="M473" s="73" t="n">
        <v>0.53</v>
      </c>
      <c r="N473" s="74" t="n">
        <f aca="false">K473*L473*M473</f>
        <v>38.16</v>
      </c>
      <c r="O473" s="41" t="n">
        <f aca="false">IFERROR(INDEX(Исходные!$B$21:$B$33,MATCH(H473,Исходные!$A$21:$A$33,0)),0)</f>
        <v>0.395</v>
      </c>
      <c r="P473" s="83" t="n">
        <f aca="false">N473*O473</f>
        <v>15.0732</v>
      </c>
      <c r="Q473" s="20" t="s">
        <v>1202</v>
      </c>
      <c r="R473" s="84" t="s">
        <v>514</v>
      </c>
      <c r="S473" s="20"/>
      <c r="T473" s="20" t="s">
        <v>12</v>
      </c>
      <c r="U473" s="53" t="n">
        <v>0</v>
      </c>
      <c r="V473" s="76" t="s">
        <v>154</v>
      </c>
      <c r="W473" s="53" t="n">
        <v>2</v>
      </c>
    </row>
    <row r="474" customFormat="false" ht="35.05" hidden="false" customHeight="false" outlineLevel="0" collapsed="false">
      <c r="A474" s="76" t="n">
        <v>460</v>
      </c>
      <c r="B474" s="20" t="s">
        <v>1167</v>
      </c>
      <c r="C474" s="20" t="s">
        <v>508</v>
      </c>
      <c r="D474" s="20" t="s">
        <v>605</v>
      </c>
      <c r="E474" s="20" t="s">
        <v>155</v>
      </c>
      <c r="F474" s="76" t="s">
        <v>519</v>
      </c>
      <c r="G474" s="20" t="s">
        <v>1168</v>
      </c>
      <c r="H474" s="55" t="n">
        <v>28</v>
      </c>
      <c r="I474" s="76" t="s">
        <v>512</v>
      </c>
      <c r="J474" s="76" t="s">
        <v>164</v>
      </c>
      <c r="K474" s="82" t="n">
        <v>1</v>
      </c>
      <c r="L474" s="55" t="n">
        <v>4</v>
      </c>
      <c r="M474" s="73" t="n">
        <v>3.6</v>
      </c>
      <c r="N474" s="74" t="n">
        <f aca="false">K474*L474*M474</f>
        <v>14.4</v>
      </c>
      <c r="O474" s="41" t="n">
        <f aca="false">IFERROR(INDEX(Исходные!$B$21:$B$33,MATCH(H474,Исходные!$A$21:$A$33,0)),0)</f>
        <v>4.834</v>
      </c>
      <c r="P474" s="83" t="n">
        <f aca="false">N474*O474</f>
        <v>69.6096</v>
      </c>
      <c r="Q474" s="20" t="s">
        <v>1240</v>
      </c>
      <c r="R474" s="84" t="s">
        <v>514</v>
      </c>
      <c r="S474" s="20" t="s">
        <v>1204</v>
      </c>
      <c r="T474" s="20" t="s">
        <v>12</v>
      </c>
      <c r="U474" s="53" t="n">
        <v>0</v>
      </c>
      <c r="V474" s="76" t="s">
        <v>155</v>
      </c>
      <c r="W474" s="53" t="n">
        <v>2</v>
      </c>
    </row>
    <row r="475" customFormat="false" ht="35.05" hidden="false" customHeight="false" outlineLevel="0" collapsed="false">
      <c r="A475" s="76" t="n">
        <v>461</v>
      </c>
      <c r="B475" s="20" t="s">
        <v>1167</v>
      </c>
      <c r="C475" s="20" t="s">
        <v>508</v>
      </c>
      <c r="D475" s="20" t="s">
        <v>605</v>
      </c>
      <c r="E475" s="20" t="s">
        <v>155</v>
      </c>
      <c r="F475" s="76" t="s">
        <v>516</v>
      </c>
      <c r="G475" s="20" t="s">
        <v>1241</v>
      </c>
      <c r="H475" s="55" t="n">
        <v>20</v>
      </c>
      <c r="I475" s="76" t="s">
        <v>512</v>
      </c>
      <c r="J475" s="76" t="s">
        <v>164</v>
      </c>
      <c r="K475" s="82" t="n">
        <v>1</v>
      </c>
      <c r="L475" s="55" t="n">
        <v>8</v>
      </c>
      <c r="M475" s="73" t="n">
        <v>3.6</v>
      </c>
      <c r="N475" s="74" t="n">
        <f aca="false">K475*L475*M475</f>
        <v>28.8</v>
      </c>
      <c r="O475" s="41" t="n">
        <f aca="false">IFERROR(INDEX(Исходные!$B$21:$B$33,MATCH(H475,Исходные!$A$21:$A$33,0)),0)</f>
        <v>2.466</v>
      </c>
      <c r="P475" s="83" t="n">
        <f aca="false">N475*O475</f>
        <v>71.0208</v>
      </c>
      <c r="Q475" s="20" t="s">
        <v>1240</v>
      </c>
      <c r="R475" s="84" t="s">
        <v>514</v>
      </c>
      <c r="S475" s="20" t="s">
        <v>1206</v>
      </c>
      <c r="T475" s="20" t="s">
        <v>12</v>
      </c>
      <c r="U475" s="53" t="n">
        <v>0</v>
      </c>
      <c r="V475" s="76" t="s">
        <v>155</v>
      </c>
      <c r="W475" s="53" t="n">
        <v>2</v>
      </c>
    </row>
    <row r="476" customFormat="false" ht="35.05" hidden="false" customHeight="false" outlineLevel="0" collapsed="false">
      <c r="A476" s="76" t="n">
        <v>462</v>
      </c>
      <c r="B476" s="20" t="s">
        <v>1167</v>
      </c>
      <c r="C476" s="20" t="s">
        <v>508</v>
      </c>
      <c r="D476" s="20" t="s">
        <v>605</v>
      </c>
      <c r="E476" s="20" t="s">
        <v>155</v>
      </c>
      <c r="F476" s="76" t="s">
        <v>669</v>
      </c>
      <c r="G476" s="20" t="s">
        <v>1242</v>
      </c>
      <c r="H476" s="55" t="n">
        <v>16</v>
      </c>
      <c r="I476" s="76" t="s">
        <v>512</v>
      </c>
      <c r="J476" s="76" t="s">
        <v>164</v>
      </c>
      <c r="K476" s="82" t="n">
        <v>1</v>
      </c>
      <c r="L476" s="55" t="n">
        <v>6</v>
      </c>
      <c r="M476" s="73" t="n">
        <v>3.728</v>
      </c>
      <c r="N476" s="74" t="n">
        <f aca="false">K476*L476*M476</f>
        <v>22.368</v>
      </c>
      <c r="O476" s="41" t="n">
        <f aca="false">IFERROR(INDEX(Исходные!$B$21:$B$33,MATCH(H476,Исходные!$A$21:$A$33,0)),0)</f>
        <v>1.578</v>
      </c>
      <c r="P476" s="83" t="n">
        <f aca="false">N476*O476</f>
        <v>35.296704</v>
      </c>
      <c r="Q476" s="20" t="s">
        <v>1240</v>
      </c>
      <c r="R476" s="84" t="s">
        <v>514</v>
      </c>
      <c r="S476" s="20" t="s">
        <v>1243</v>
      </c>
      <c r="T476" s="20" t="s">
        <v>12</v>
      </c>
      <c r="U476" s="53" t="n">
        <v>0</v>
      </c>
      <c r="V476" s="76" t="s">
        <v>155</v>
      </c>
      <c r="W476" s="53" t="n">
        <v>2</v>
      </c>
    </row>
    <row r="477" customFormat="false" ht="35.05" hidden="false" customHeight="false" outlineLevel="0" collapsed="false">
      <c r="A477" s="76" t="n">
        <v>463</v>
      </c>
      <c r="B477" s="20" t="s">
        <v>1167</v>
      </c>
      <c r="C477" s="20" t="s">
        <v>508</v>
      </c>
      <c r="D477" s="20" t="s">
        <v>605</v>
      </c>
      <c r="E477" s="20" t="s">
        <v>155</v>
      </c>
      <c r="F477" s="76" t="s">
        <v>522</v>
      </c>
      <c r="G477" s="20" t="s">
        <v>1244</v>
      </c>
      <c r="H477" s="55" t="n">
        <v>25</v>
      </c>
      <c r="I477" s="76" t="s">
        <v>512</v>
      </c>
      <c r="J477" s="76" t="s">
        <v>164</v>
      </c>
      <c r="K477" s="82" t="n">
        <v>1</v>
      </c>
      <c r="L477" s="55" t="n">
        <v>6</v>
      </c>
      <c r="M477" s="73" t="n">
        <v>3.6</v>
      </c>
      <c r="N477" s="74" t="n">
        <f aca="false">K477*L477*M477</f>
        <v>21.6</v>
      </c>
      <c r="O477" s="41" t="n">
        <f aca="false">IFERROR(INDEX(Исходные!$B$21:$B$33,MATCH(H477,Исходные!$A$21:$A$33,0)),0)</f>
        <v>3.853</v>
      </c>
      <c r="P477" s="83" t="n">
        <f aca="false">N477*O477</f>
        <v>83.2248</v>
      </c>
      <c r="Q477" s="20" t="s">
        <v>1240</v>
      </c>
      <c r="R477" s="84" t="s">
        <v>514</v>
      </c>
      <c r="S477" s="20" t="s">
        <v>1178</v>
      </c>
      <c r="T477" s="20" t="s">
        <v>12</v>
      </c>
      <c r="U477" s="53" t="n">
        <v>0</v>
      </c>
      <c r="V477" s="76" t="s">
        <v>155</v>
      </c>
      <c r="W477" s="53" t="n">
        <v>2</v>
      </c>
    </row>
    <row r="478" customFormat="false" ht="35.05" hidden="false" customHeight="false" outlineLevel="0" collapsed="false">
      <c r="A478" s="76" t="n">
        <v>464</v>
      </c>
      <c r="B478" s="20" t="s">
        <v>1167</v>
      </c>
      <c r="C478" s="20" t="s">
        <v>508</v>
      </c>
      <c r="D478" s="20" t="s">
        <v>605</v>
      </c>
      <c r="E478" s="20" t="s">
        <v>155</v>
      </c>
      <c r="F478" s="76" t="s">
        <v>532</v>
      </c>
      <c r="G478" s="20" t="s">
        <v>613</v>
      </c>
      <c r="H478" s="55" t="n">
        <v>14</v>
      </c>
      <c r="I478" s="76" t="s">
        <v>512</v>
      </c>
      <c r="J478" s="76" t="n">
        <v>200</v>
      </c>
      <c r="K478" s="82" t="n">
        <v>1</v>
      </c>
      <c r="L478" s="55" t="n">
        <v>32</v>
      </c>
      <c r="M478" s="73" t="n">
        <v>1.45</v>
      </c>
      <c r="N478" s="74" t="n">
        <f aca="false">K478*L478*M478</f>
        <v>46.4</v>
      </c>
      <c r="O478" s="41" t="n">
        <f aca="false">IFERROR(INDEX(Исходные!$B$21:$B$33,MATCH(H478,Исходные!$A$21:$A$33,0)),0)</f>
        <v>1.208</v>
      </c>
      <c r="P478" s="83" t="n">
        <f aca="false">N478*O478</f>
        <v>56.0512</v>
      </c>
      <c r="Q478" s="20" t="s">
        <v>1245</v>
      </c>
      <c r="R478" s="85" t="s">
        <v>535</v>
      </c>
      <c r="S478" s="20" t="s">
        <v>1184</v>
      </c>
      <c r="T478" s="20" t="s">
        <v>12</v>
      </c>
      <c r="U478" s="53" t="n">
        <v>1</v>
      </c>
      <c r="V478" s="76" t="s">
        <v>155</v>
      </c>
      <c r="W478" s="53" t="n">
        <v>2</v>
      </c>
    </row>
    <row r="479" customFormat="false" ht="35.05" hidden="false" customHeight="false" outlineLevel="0" collapsed="false">
      <c r="A479" s="76" t="n">
        <v>465</v>
      </c>
      <c r="B479" s="20" t="s">
        <v>1167</v>
      </c>
      <c r="C479" s="20" t="s">
        <v>508</v>
      </c>
      <c r="D479" s="20" t="s">
        <v>605</v>
      </c>
      <c r="E479" s="20" t="s">
        <v>155</v>
      </c>
      <c r="F479" s="76" t="s">
        <v>539</v>
      </c>
      <c r="G479" s="20" t="s">
        <v>1246</v>
      </c>
      <c r="H479" s="55" t="n">
        <v>14</v>
      </c>
      <c r="I479" s="76" t="s">
        <v>512</v>
      </c>
      <c r="J479" s="76" t="n">
        <v>200</v>
      </c>
      <c r="K479" s="82" t="n">
        <v>1</v>
      </c>
      <c r="L479" s="55" t="n">
        <v>6</v>
      </c>
      <c r="M479" s="73" t="n">
        <v>1.45</v>
      </c>
      <c r="N479" s="74" t="n">
        <f aca="false">K479*L479*M479</f>
        <v>8.7</v>
      </c>
      <c r="O479" s="41" t="n">
        <f aca="false">IFERROR(INDEX(Исходные!$B$21:$B$33,MATCH(H479,Исходные!$A$21:$A$33,0)),0)</f>
        <v>1.208</v>
      </c>
      <c r="P479" s="83" t="n">
        <f aca="false">N479*O479</f>
        <v>10.5096</v>
      </c>
      <c r="Q479" s="20" t="s">
        <v>616</v>
      </c>
      <c r="R479" s="84" t="s">
        <v>514</v>
      </c>
      <c r="S479" s="20"/>
      <c r="T479" s="20" t="s">
        <v>12</v>
      </c>
      <c r="U479" s="53" t="n">
        <v>0</v>
      </c>
      <c r="V479" s="76" t="s">
        <v>155</v>
      </c>
      <c r="W479" s="53" t="n">
        <v>2</v>
      </c>
    </row>
    <row r="480" customFormat="false" ht="35.05" hidden="false" customHeight="false" outlineLevel="0" collapsed="false">
      <c r="A480" s="76" t="n">
        <v>466</v>
      </c>
      <c r="B480" s="20" t="s">
        <v>1167</v>
      </c>
      <c r="C480" s="20" t="s">
        <v>508</v>
      </c>
      <c r="D480" s="20" t="s">
        <v>605</v>
      </c>
      <c r="E480" s="20" t="s">
        <v>155</v>
      </c>
      <c r="F480" s="76" t="s">
        <v>539</v>
      </c>
      <c r="G480" s="20" t="s">
        <v>1247</v>
      </c>
      <c r="H480" s="55" t="n">
        <v>14</v>
      </c>
      <c r="I480" s="76" t="s">
        <v>512</v>
      </c>
      <c r="J480" s="76" t="n">
        <v>200</v>
      </c>
      <c r="K480" s="82" t="n">
        <v>1</v>
      </c>
      <c r="L480" s="55" t="n">
        <v>6</v>
      </c>
      <c r="M480" s="73" t="n">
        <v>1.45</v>
      </c>
      <c r="N480" s="74" t="n">
        <f aca="false">K480*L480*M480</f>
        <v>8.7</v>
      </c>
      <c r="O480" s="41" t="n">
        <f aca="false">IFERROR(INDEX(Исходные!$B$21:$B$33,MATCH(H480,Исходные!$A$21:$A$33,0)),0)</f>
        <v>1.208</v>
      </c>
      <c r="P480" s="83" t="n">
        <f aca="false">N480*O480</f>
        <v>10.5096</v>
      </c>
      <c r="Q480" s="20" t="s">
        <v>616</v>
      </c>
      <c r="R480" s="84" t="s">
        <v>514</v>
      </c>
      <c r="S480" s="20"/>
      <c r="T480" s="20" t="s">
        <v>12</v>
      </c>
      <c r="U480" s="53" t="n">
        <v>0</v>
      </c>
      <c r="V480" s="76" t="s">
        <v>155</v>
      </c>
      <c r="W480" s="53" t="n">
        <v>2</v>
      </c>
    </row>
    <row r="481" customFormat="false" ht="35.05" hidden="false" customHeight="false" outlineLevel="0" collapsed="false">
      <c r="A481" s="76" t="n">
        <v>467</v>
      </c>
      <c r="B481" s="20" t="s">
        <v>1167</v>
      </c>
      <c r="C481" s="20" t="s">
        <v>508</v>
      </c>
      <c r="D481" s="20" t="s">
        <v>605</v>
      </c>
      <c r="E481" s="20" t="s">
        <v>155</v>
      </c>
      <c r="F481" s="76" t="s">
        <v>544</v>
      </c>
      <c r="G481" s="20" t="s">
        <v>1248</v>
      </c>
      <c r="H481" s="55" t="n">
        <v>10</v>
      </c>
      <c r="I481" s="76" t="s">
        <v>546</v>
      </c>
      <c r="J481" s="76" t="s">
        <v>547</v>
      </c>
      <c r="K481" s="82" t="n">
        <v>1</v>
      </c>
      <c r="L481" s="55" t="n">
        <v>16</v>
      </c>
      <c r="M481" s="73" t="n">
        <v>1.33</v>
      </c>
      <c r="N481" s="74" t="n">
        <f aca="false">K481*L481*M481</f>
        <v>21.28</v>
      </c>
      <c r="O481" s="41" t="n">
        <f aca="false">IFERROR(INDEX(Исходные!$B$21:$B$33,MATCH(H481,Исходные!$A$21:$A$33,0)),0)</f>
        <v>0.617</v>
      </c>
      <c r="P481" s="83" t="n">
        <f aca="false">N481*O481</f>
        <v>13.12976</v>
      </c>
      <c r="Q481" s="20" t="s">
        <v>1192</v>
      </c>
      <c r="R481" s="84" t="s">
        <v>514</v>
      </c>
      <c r="S481" s="20"/>
      <c r="T481" s="20" t="s">
        <v>12</v>
      </c>
      <c r="U481" s="53" t="n">
        <v>0</v>
      </c>
      <c r="V481" s="76" t="s">
        <v>155</v>
      </c>
      <c r="W481" s="53" t="n">
        <v>2</v>
      </c>
    </row>
    <row r="482" customFormat="false" ht="35.05" hidden="false" customHeight="false" outlineLevel="0" collapsed="false">
      <c r="A482" s="76" t="n">
        <v>468</v>
      </c>
      <c r="B482" s="20" t="s">
        <v>1167</v>
      </c>
      <c r="C482" s="20" t="s">
        <v>508</v>
      </c>
      <c r="D482" s="20" t="s">
        <v>605</v>
      </c>
      <c r="E482" s="20" t="s">
        <v>155</v>
      </c>
      <c r="F482" s="76" t="s">
        <v>603</v>
      </c>
      <c r="G482" s="20" t="s">
        <v>1195</v>
      </c>
      <c r="H482" s="55" t="n">
        <v>8</v>
      </c>
      <c r="I482" s="76" t="s">
        <v>546</v>
      </c>
      <c r="J482" s="76" t="s">
        <v>547</v>
      </c>
      <c r="K482" s="82" t="n">
        <v>1</v>
      </c>
      <c r="L482" s="55" t="n">
        <v>16</v>
      </c>
      <c r="M482" s="73" t="n">
        <v>1.76</v>
      </c>
      <c r="N482" s="74" t="n">
        <f aca="false">K482*L482*M482</f>
        <v>28.16</v>
      </c>
      <c r="O482" s="41" t="n">
        <f aca="false">IFERROR(INDEX(Исходные!$B$21:$B$33,MATCH(H482,Исходные!$A$21:$A$33,0)),0)</f>
        <v>0.395</v>
      </c>
      <c r="P482" s="83" t="n">
        <f aca="false">N482*O482</f>
        <v>11.1232</v>
      </c>
      <c r="Q482" s="20" t="s">
        <v>1196</v>
      </c>
      <c r="R482" s="84" t="s">
        <v>514</v>
      </c>
      <c r="S482" s="20"/>
      <c r="T482" s="20" t="s">
        <v>12</v>
      </c>
      <c r="U482" s="53" t="n">
        <v>0</v>
      </c>
      <c r="V482" s="76" t="s">
        <v>155</v>
      </c>
      <c r="W482" s="53" t="n">
        <v>2</v>
      </c>
    </row>
    <row r="483" customFormat="false" ht="35.05" hidden="false" customHeight="false" outlineLevel="0" collapsed="false">
      <c r="A483" s="76" t="n">
        <v>469</v>
      </c>
      <c r="B483" s="20" t="s">
        <v>1167</v>
      </c>
      <c r="C483" s="20" t="s">
        <v>508</v>
      </c>
      <c r="D483" s="20" t="s">
        <v>605</v>
      </c>
      <c r="E483" s="20" t="s">
        <v>155</v>
      </c>
      <c r="F483" s="76" t="s">
        <v>555</v>
      </c>
      <c r="G483" s="20" t="s">
        <v>1197</v>
      </c>
      <c r="H483" s="55" t="n">
        <v>8</v>
      </c>
      <c r="I483" s="76" t="s">
        <v>546</v>
      </c>
      <c r="J483" s="76" t="s">
        <v>547</v>
      </c>
      <c r="K483" s="82" t="n">
        <v>1</v>
      </c>
      <c r="L483" s="55" t="n">
        <v>28</v>
      </c>
      <c r="M483" s="73" t="n">
        <v>2.44</v>
      </c>
      <c r="N483" s="74" t="n">
        <f aca="false">K483*L483*M483</f>
        <v>68.32</v>
      </c>
      <c r="O483" s="41" t="n">
        <f aca="false">IFERROR(INDEX(Исходные!$B$21:$B$33,MATCH(H483,Исходные!$A$21:$A$33,0)),0)</f>
        <v>0.395</v>
      </c>
      <c r="P483" s="83" t="n">
        <f aca="false">N483*O483</f>
        <v>26.9864</v>
      </c>
      <c r="Q483" s="20" t="s">
        <v>1198</v>
      </c>
      <c r="R483" s="84" t="s">
        <v>514</v>
      </c>
      <c r="S483" s="20"/>
      <c r="T483" s="20" t="s">
        <v>12</v>
      </c>
      <c r="U483" s="53" t="n">
        <v>0</v>
      </c>
      <c r="V483" s="76" t="s">
        <v>155</v>
      </c>
      <c r="W483" s="53" t="n">
        <v>2</v>
      </c>
    </row>
    <row r="484" customFormat="false" ht="35.05" hidden="false" customHeight="false" outlineLevel="0" collapsed="false">
      <c r="A484" s="76" t="n">
        <v>470</v>
      </c>
      <c r="B484" s="20" t="s">
        <v>1167</v>
      </c>
      <c r="C484" s="20" t="s">
        <v>508</v>
      </c>
      <c r="D484" s="20" t="s">
        <v>605</v>
      </c>
      <c r="E484" s="20" t="s">
        <v>155</v>
      </c>
      <c r="F484" s="76" t="s">
        <v>558</v>
      </c>
      <c r="G484" s="20" t="s">
        <v>1199</v>
      </c>
      <c r="H484" s="55" t="n">
        <v>8</v>
      </c>
      <c r="I484" s="76" t="s">
        <v>546</v>
      </c>
      <c r="J484" s="76" t="s">
        <v>547</v>
      </c>
      <c r="K484" s="82" t="n">
        <v>1</v>
      </c>
      <c r="L484" s="55" t="n">
        <v>32</v>
      </c>
      <c r="M484" s="73" t="n">
        <v>1.96</v>
      </c>
      <c r="N484" s="74" t="n">
        <f aca="false">K484*L484*M484</f>
        <v>62.72</v>
      </c>
      <c r="O484" s="41" t="n">
        <f aca="false">IFERROR(INDEX(Исходные!$B$21:$B$33,MATCH(H484,Исходные!$A$21:$A$33,0)),0)</f>
        <v>0.395</v>
      </c>
      <c r="P484" s="83" t="n">
        <f aca="false">N484*O484</f>
        <v>24.7744</v>
      </c>
      <c r="Q484" s="20" t="s">
        <v>1200</v>
      </c>
      <c r="R484" s="84" t="s">
        <v>514</v>
      </c>
      <c r="S484" s="20"/>
      <c r="T484" s="20" t="s">
        <v>12</v>
      </c>
      <c r="U484" s="53" t="n">
        <v>0</v>
      </c>
      <c r="V484" s="76" t="s">
        <v>155</v>
      </c>
      <c r="W484" s="53" t="n">
        <v>2</v>
      </c>
    </row>
    <row r="485" customFormat="false" ht="35.05" hidden="false" customHeight="false" outlineLevel="0" collapsed="false">
      <c r="A485" s="76" t="n">
        <v>471</v>
      </c>
      <c r="B485" s="20" t="s">
        <v>1167</v>
      </c>
      <c r="C485" s="20" t="s">
        <v>508</v>
      </c>
      <c r="D485" s="20" t="s">
        <v>605</v>
      </c>
      <c r="E485" s="20" t="s">
        <v>155</v>
      </c>
      <c r="F485" s="76" t="s">
        <v>561</v>
      </c>
      <c r="G485" s="20" t="s">
        <v>1249</v>
      </c>
      <c r="H485" s="55" t="n">
        <v>8</v>
      </c>
      <c r="I485" s="76" t="s">
        <v>546</v>
      </c>
      <c r="J485" s="76" t="s">
        <v>547</v>
      </c>
      <c r="K485" s="82" t="n">
        <v>1</v>
      </c>
      <c r="L485" s="55" t="n">
        <v>24</v>
      </c>
      <c r="M485" s="73" t="n">
        <v>0.53</v>
      </c>
      <c r="N485" s="74" t="n">
        <f aca="false">K485*L485*M485</f>
        <v>12.72</v>
      </c>
      <c r="O485" s="41" t="n">
        <f aca="false">IFERROR(INDEX(Исходные!$B$21:$B$33,MATCH(H485,Исходные!$A$21:$A$33,0)),0)</f>
        <v>0.395</v>
      </c>
      <c r="P485" s="83" t="n">
        <f aca="false">N485*O485</f>
        <v>5.0244</v>
      </c>
      <c r="Q485" s="20" t="s">
        <v>1202</v>
      </c>
      <c r="R485" s="84" t="s">
        <v>514</v>
      </c>
      <c r="S485" s="20"/>
      <c r="T485" s="20" t="s">
        <v>12</v>
      </c>
      <c r="U485" s="53" t="n">
        <v>0</v>
      </c>
      <c r="V485" s="76" t="s">
        <v>155</v>
      </c>
      <c r="W485" s="53" t="n">
        <v>2</v>
      </c>
    </row>
    <row r="486" customFormat="false" ht="35.05" hidden="false" customHeight="false" outlineLevel="0" collapsed="false">
      <c r="A486" s="76" t="n">
        <v>472</v>
      </c>
      <c r="B486" s="20" t="s">
        <v>1167</v>
      </c>
      <c r="C486" s="20" t="s">
        <v>508</v>
      </c>
      <c r="D486" s="20" t="s">
        <v>619</v>
      </c>
      <c r="E486" s="20" t="s">
        <v>156</v>
      </c>
      <c r="F486" s="76" t="s">
        <v>519</v>
      </c>
      <c r="G486" s="20" t="s">
        <v>1168</v>
      </c>
      <c r="H486" s="55" t="n">
        <v>28</v>
      </c>
      <c r="I486" s="76" t="s">
        <v>512</v>
      </c>
      <c r="J486" s="76" t="s">
        <v>164</v>
      </c>
      <c r="K486" s="82" t="n">
        <v>1</v>
      </c>
      <c r="L486" s="55" t="n">
        <v>4</v>
      </c>
      <c r="M486" s="73" t="n">
        <v>3.6</v>
      </c>
      <c r="N486" s="74" t="n">
        <f aca="false">K486*L486*M486</f>
        <v>14.4</v>
      </c>
      <c r="O486" s="41" t="n">
        <f aca="false">IFERROR(INDEX(Исходные!$B$21:$B$33,MATCH(H486,Исходные!$A$21:$A$33,0)),0)</f>
        <v>4.834</v>
      </c>
      <c r="P486" s="83" t="n">
        <f aca="false">N486*O486</f>
        <v>69.6096</v>
      </c>
      <c r="Q486" s="20" t="s">
        <v>1250</v>
      </c>
      <c r="R486" s="84" t="s">
        <v>514</v>
      </c>
      <c r="S486" s="20" t="s">
        <v>1204</v>
      </c>
      <c r="T486" s="20" t="s">
        <v>12</v>
      </c>
      <c r="U486" s="53" t="n">
        <v>0</v>
      </c>
      <c r="V486" s="76" t="s">
        <v>156</v>
      </c>
      <c r="W486" s="53" t="n">
        <v>2</v>
      </c>
    </row>
    <row r="487" customFormat="false" ht="35.05" hidden="false" customHeight="false" outlineLevel="0" collapsed="false">
      <c r="A487" s="76" t="n">
        <v>473</v>
      </c>
      <c r="B487" s="20" t="s">
        <v>1167</v>
      </c>
      <c r="C487" s="20" t="s">
        <v>508</v>
      </c>
      <c r="D487" s="20" t="s">
        <v>619</v>
      </c>
      <c r="E487" s="20" t="s">
        <v>156</v>
      </c>
      <c r="F487" s="76" t="s">
        <v>516</v>
      </c>
      <c r="G487" s="20" t="s">
        <v>1241</v>
      </c>
      <c r="H487" s="55" t="n">
        <v>20</v>
      </c>
      <c r="I487" s="76" t="s">
        <v>512</v>
      </c>
      <c r="J487" s="76" t="s">
        <v>164</v>
      </c>
      <c r="K487" s="82" t="n">
        <v>1</v>
      </c>
      <c r="L487" s="55" t="n">
        <v>8</v>
      </c>
      <c r="M487" s="73" t="n">
        <v>3.6</v>
      </c>
      <c r="N487" s="74" t="n">
        <f aca="false">K487*L487*M487</f>
        <v>28.8</v>
      </c>
      <c r="O487" s="41" t="n">
        <f aca="false">IFERROR(INDEX(Исходные!$B$21:$B$33,MATCH(H487,Исходные!$A$21:$A$33,0)),0)</f>
        <v>2.466</v>
      </c>
      <c r="P487" s="83" t="n">
        <f aca="false">N487*O487</f>
        <v>71.0208</v>
      </c>
      <c r="Q487" s="20" t="s">
        <v>1250</v>
      </c>
      <c r="R487" s="84" t="s">
        <v>514</v>
      </c>
      <c r="S487" s="20" t="s">
        <v>1206</v>
      </c>
      <c r="T487" s="20" t="s">
        <v>12</v>
      </c>
      <c r="U487" s="53" t="n">
        <v>0</v>
      </c>
      <c r="V487" s="76" t="s">
        <v>156</v>
      </c>
      <c r="W487" s="53" t="n">
        <v>2</v>
      </c>
    </row>
    <row r="488" customFormat="false" ht="35.05" hidden="false" customHeight="false" outlineLevel="0" collapsed="false">
      <c r="A488" s="76" t="n">
        <v>474</v>
      </c>
      <c r="B488" s="20" t="s">
        <v>1167</v>
      </c>
      <c r="C488" s="20" t="s">
        <v>508</v>
      </c>
      <c r="D488" s="20" t="s">
        <v>619</v>
      </c>
      <c r="E488" s="20" t="s">
        <v>156</v>
      </c>
      <c r="F488" s="76" t="s">
        <v>522</v>
      </c>
      <c r="G488" s="20" t="s">
        <v>1251</v>
      </c>
      <c r="H488" s="55" t="n">
        <v>25</v>
      </c>
      <c r="I488" s="76" t="s">
        <v>512</v>
      </c>
      <c r="J488" s="76" t="s">
        <v>164</v>
      </c>
      <c r="K488" s="82" t="n">
        <v>1</v>
      </c>
      <c r="L488" s="55" t="n">
        <v>6</v>
      </c>
      <c r="M488" s="73" t="n">
        <v>3.6</v>
      </c>
      <c r="N488" s="74" t="n">
        <f aca="false">K488*L488*M488</f>
        <v>21.6</v>
      </c>
      <c r="O488" s="41" t="n">
        <f aca="false">IFERROR(INDEX(Исходные!$B$21:$B$33,MATCH(H488,Исходные!$A$21:$A$33,0)),0)</f>
        <v>3.853</v>
      </c>
      <c r="P488" s="83" t="n">
        <f aca="false">N488*O488</f>
        <v>83.2248</v>
      </c>
      <c r="Q488" s="20" t="s">
        <v>1250</v>
      </c>
      <c r="R488" s="84" t="s">
        <v>514</v>
      </c>
      <c r="S488" s="20" t="s">
        <v>1178</v>
      </c>
      <c r="T488" s="20" t="s">
        <v>12</v>
      </c>
      <c r="U488" s="53" t="n">
        <v>0</v>
      </c>
      <c r="V488" s="76" t="s">
        <v>156</v>
      </c>
      <c r="W488" s="53" t="n">
        <v>2</v>
      </c>
    </row>
    <row r="489" customFormat="false" ht="35.05" hidden="false" customHeight="false" outlineLevel="0" collapsed="false">
      <c r="A489" s="76" t="n">
        <v>475</v>
      </c>
      <c r="B489" s="20" t="s">
        <v>1167</v>
      </c>
      <c r="C489" s="20" t="s">
        <v>508</v>
      </c>
      <c r="D489" s="20" t="s">
        <v>619</v>
      </c>
      <c r="E489" s="20" t="s">
        <v>156</v>
      </c>
      <c r="F489" s="76" t="s">
        <v>669</v>
      </c>
      <c r="G489" s="20" t="s">
        <v>1252</v>
      </c>
      <c r="H489" s="55" t="n">
        <v>16</v>
      </c>
      <c r="I489" s="76" t="s">
        <v>512</v>
      </c>
      <c r="J489" s="76" t="s">
        <v>164</v>
      </c>
      <c r="K489" s="82" t="n">
        <v>1</v>
      </c>
      <c r="L489" s="55" t="n">
        <v>4</v>
      </c>
      <c r="M489" s="73" t="n">
        <v>3.728</v>
      </c>
      <c r="N489" s="74" t="n">
        <f aca="false">K489*L489*M489</f>
        <v>14.912</v>
      </c>
      <c r="O489" s="41" t="n">
        <f aca="false">IFERROR(INDEX(Исходные!$B$21:$B$33,MATCH(H489,Исходные!$A$21:$A$33,0)),0)</f>
        <v>1.578</v>
      </c>
      <c r="P489" s="83" t="n">
        <f aca="false">N489*O489</f>
        <v>23.531136</v>
      </c>
      <c r="Q489" s="20" t="s">
        <v>1250</v>
      </c>
      <c r="R489" s="84" t="s">
        <v>514</v>
      </c>
      <c r="S489" s="20" t="s">
        <v>1253</v>
      </c>
      <c r="T489" s="20" t="s">
        <v>12</v>
      </c>
      <c r="U489" s="53" t="n">
        <v>0</v>
      </c>
      <c r="V489" s="76" t="s">
        <v>156</v>
      </c>
      <c r="W489" s="53" t="n">
        <v>2</v>
      </c>
    </row>
    <row r="490" customFormat="false" ht="35.05" hidden="false" customHeight="false" outlineLevel="0" collapsed="false">
      <c r="A490" s="76" t="n">
        <v>476</v>
      </c>
      <c r="B490" s="20" t="s">
        <v>1167</v>
      </c>
      <c r="C490" s="20" t="s">
        <v>508</v>
      </c>
      <c r="D490" s="20" t="s">
        <v>619</v>
      </c>
      <c r="E490" s="20" t="s">
        <v>156</v>
      </c>
      <c r="F490" s="76" t="s">
        <v>529</v>
      </c>
      <c r="G490" s="20" t="s">
        <v>1230</v>
      </c>
      <c r="H490" s="55" t="n">
        <v>18</v>
      </c>
      <c r="I490" s="76" t="s">
        <v>512</v>
      </c>
      <c r="J490" s="76" t="s">
        <v>164</v>
      </c>
      <c r="K490" s="82" t="n">
        <v>1</v>
      </c>
      <c r="L490" s="55" t="n">
        <v>6</v>
      </c>
      <c r="M490" s="73" t="n">
        <v>3.744</v>
      </c>
      <c r="N490" s="74" t="n">
        <f aca="false">K490*L490*M490</f>
        <v>22.464</v>
      </c>
      <c r="O490" s="41" t="n">
        <f aca="false">IFERROR(INDEX(Исходные!$B$21:$B$33,MATCH(H490,Исходные!$A$21:$A$33,0)),0)</f>
        <v>1.998</v>
      </c>
      <c r="P490" s="83" t="n">
        <f aca="false">N490*O490</f>
        <v>44.883072</v>
      </c>
      <c r="Q490" s="20" t="s">
        <v>1250</v>
      </c>
      <c r="R490" s="84" t="s">
        <v>514</v>
      </c>
      <c r="S490" s="20" t="s">
        <v>1231</v>
      </c>
      <c r="T490" s="20" t="s">
        <v>12</v>
      </c>
      <c r="U490" s="53" t="n">
        <v>0</v>
      </c>
      <c r="V490" s="76" t="s">
        <v>156</v>
      </c>
      <c r="W490" s="53" t="n">
        <v>2</v>
      </c>
    </row>
    <row r="491" customFormat="false" ht="35.05" hidden="false" customHeight="false" outlineLevel="0" collapsed="false">
      <c r="A491" s="76" t="n">
        <v>477</v>
      </c>
      <c r="B491" s="20" t="s">
        <v>1167</v>
      </c>
      <c r="C491" s="20" t="s">
        <v>508</v>
      </c>
      <c r="D491" s="20" t="s">
        <v>619</v>
      </c>
      <c r="E491" s="20" t="s">
        <v>156</v>
      </c>
      <c r="F491" s="76" t="s">
        <v>575</v>
      </c>
      <c r="G491" s="20" t="s">
        <v>1254</v>
      </c>
      <c r="H491" s="55" t="n">
        <v>22</v>
      </c>
      <c r="I491" s="76" t="s">
        <v>512</v>
      </c>
      <c r="J491" s="76" t="s">
        <v>164</v>
      </c>
      <c r="K491" s="82" t="n">
        <v>1</v>
      </c>
      <c r="L491" s="55" t="n">
        <v>6</v>
      </c>
      <c r="M491" s="73" t="n">
        <v>3.6</v>
      </c>
      <c r="N491" s="74" t="n">
        <f aca="false">K491*L491*M491</f>
        <v>21.6</v>
      </c>
      <c r="O491" s="41" t="n">
        <f aca="false">IFERROR(INDEX(Исходные!$B$21:$B$33,MATCH(H491,Исходные!$A$21:$A$33,0)),0)</f>
        <v>2.984</v>
      </c>
      <c r="P491" s="83" t="n">
        <f aca="false">N491*O491</f>
        <v>64.4544</v>
      </c>
      <c r="Q491" s="20" t="s">
        <v>1250</v>
      </c>
      <c r="R491" s="84" t="s">
        <v>514</v>
      </c>
      <c r="S491" s="20" t="s">
        <v>1255</v>
      </c>
      <c r="T491" s="20" t="s">
        <v>12</v>
      </c>
      <c r="U491" s="53" t="n">
        <v>0</v>
      </c>
      <c r="V491" s="76" t="s">
        <v>156</v>
      </c>
      <c r="W491" s="53" t="n">
        <v>2</v>
      </c>
    </row>
    <row r="492" customFormat="false" ht="35.05" hidden="false" customHeight="false" outlineLevel="0" collapsed="false">
      <c r="A492" s="76" t="n">
        <v>478</v>
      </c>
      <c r="B492" s="20" t="s">
        <v>1167</v>
      </c>
      <c r="C492" s="20" t="s">
        <v>508</v>
      </c>
      <c r="D492" s="20" t="s">
        <v>619</v>
      </c>
      <c r="E492" s="20" t="s">
        <v>156</v>
      </c>
      <c r="F492" s="76" t="s">
        <v>532</v>
      </c>
      <c r="G492" s="20" t="s">
        <v>624</v>
      </c>
      <c r="H492" s="55" t="n">
        <v>12</v>
      </c>
      <c r="I492" s="76" t="s">
        <v>512</v>
      </c>
      <c r="J492" s="76" t="n">
        <v>200</v>
      </c>
      <c r="K492" s="82" t="n">
        <v>1</v>
      </c>
      <c r="L492" s="55" t="n">
        <v>32</v>
      </c>
      <c r="M492" s="73" t="n">
        <v>1.25</v>
      </c>
      <c r="N492" s="74" t="n">
        <f aca="false">K492*L492*M492</f>
        <v>40</v>
      </c>
      <c r="O492" s="41" t="n">
        <f aca="false">IFERROR(INDEX(Исходные!$B$21:$B$33,MATCH(H492,Исходные!$A$21:$A$33,0)),0)</f>
        <v>0.888</v>
      </c>
      <c r="P492" s="83" t="n">
        <f aca="false">N492*O492</f>
        <v>35.52</v>
      </c>
      <c r="Q492" s="20" t="s">
        <v>1256</v>
      </c>
      <c r="R492" s="85" t="s">
        <v>535</v>
      </c>
      <c r="S492" s="20" t="s">
        <v>1257</v>
      </c>
      <c r="T492" s="20" t="s">
        <v>12</v>
      </c>
      <c r="U492" s="53" t="n">
        <v>1</v>
      </c>
      <c r="V492" s="76" t="s">
        <v>156</v>
      </c>
      <c r="W492" s="53" t="n">
        <v>2</v>
      </c>
    </row>
    <row r="493" customFormat="false" ht="35.05" hidden="false" customHeight="false" outlineLevel="0" collapsed="false">
      <c r="A493" s="76" t="n">
        <v>479</v>
      </c>
      <c r="B493" s="20" t="s">
        <v>1167</v>
      </c>
      <c r="C493" s="20" t="s">
        <v>508</v>
      </c>
      <c r="D493" s="20" t="s">
        <v>619</v>
      </c>
      <c r="E493" s="20" t="s">
        <v>156</v>
      </c>
      <c r="F493" s="76" t="s">
        <v>532</v>
      </c>
      <c r="G493" s="20" t="s">
        <v>627</v>
      </c>
      <c r="H493" s="55" t="n">
        <v>14</v>
      </c>
      <c r="I493" s="76" t="s">
        <v>512</v>
      </c>
      <c r="J493" s="76" t="n">
        <v>200</v>
      </c>
      <c r="K493" s="82" t="n">
        <v>1</v>
      </c>
      <c r="L493" s="55" t="n">
        <v>32</v>
      </c>
      <c r="M493" s="73" t="n">
        <v>1.45</v>
      </c>
      <c r="N493" s="74" t="n">
        <f aca="false">K493*L493*M493</f>
        <v>46.4</v>
      </c>
      <c r="O493" s="41" t="n">
        <f aca="false">IFERROR(INDEX(Исходные!$B$21:$B$33,MATCH(H493,Исходные!$A$21:$A$33,0)),0)</f>
        <v>1.208</v>
      </c>
      <c r="P493" s="83" t="n">
        <f aca="false">N493*O493</f>
        <v>56.0512</v>
      </c>
      <c r="Q493" s="20" t="s">
        <v>1256</v>
      </c>
      <c r="R493" s="85" t="s">
        <v>535</v>
      </c>
      <c r="S493" s="20" t="s">
        <v>1184</v>
      </c>
      <c r="T493" s="20" t="s">
        <v>12</v>
      </c>
      <c r="U493" s="53" t="n">
        <v>1</v>
      </c>
      <c r="V493" s="76" t="s">
        <v>156</v>
      </c>
      <c r="W493" s="53" t="n">
        <v>2</v>
      </c>
    </row>
    <row r="494" customFormat="false" ht="35.05" hidden="false" customHeight="false" outlineLevel="0" collapsed="false">
      <c r="A494" s="76" t="n">
        <v>480</v>
      </c>
      <c r="B494" s="20" t="s">
        <v>1167</v>
      </c>
      <c r="C494" s="20" t="s">
        <v>508</v>
      </c>
      <c r="D494" s="20" t="s">
        <v>619</v>
      </c>
      <c r="E494" s="20" t="s">
        <v>156</v>
      </c>
      <c r="F494" s="76" t="s">
        <v>539</v>
      </c>
      <c r="G494" s="20" t="s">
        <v>1258</v>
      </c>
      <c r="H494" s="55" t="n">
        <v>12</v>
      </c>
      <c r="I494" s="76" t="s">
        <v>512</v>
      </c>
      <c r="J494" s="76" t="n">
        <v>200</v>
      </c>
      <c r="K494" s="82" t="n">
        <v>1</v>
      </c>
      <c r="L494" s="55" t="n">
        <v>10</v>
      </c>
      <c r="M494" s="73" t="n">
        <v>1.25</v>
      </c>
      <c r="N494" s="74" t="n">
        <f aca="false">K494*L494*M494</f>
        <v>12.5</v>
      </c>
      <c r="O494" s="41" t="n">
        <f aca="false">IFERROR(INDEX(Исходные!$B$21:$B$33,MATCH(H494,Исходные!$A$21:$A$33,0)),0)</f>
        <v>0.888</v>
      </c>
      <c r="P494" s="83" t="n">
        <f aca="false">N494*O494</f>
        <v>11.1</v>
      </c>
      <c r="Q494" s="20" t="s">
        <v>1259</v>
      </c>
      <c r="R494" s="84" t="s">
        <v>514</v>
      </c>
      <c r="S494" s="20"/>
      <c r="T494" s="20" t="s">
        <v>12</v>
      </c>
      <c r="U494" s="53" t="n">
        <v>0</v>
      </c>
      <c r="V494" s="76" t="s">
        <v>156</v>
      </c>
      <c r="W494" s="53" t="n">
        <v>2</v>
      </c>
    </row>
    <row r="495" customFormat="false" ht="35.05" hidden="false" customHeight="false" outlineLevel="0" collapsed="false">
      <c r="A495" s="76" t="n">
        <v>481</v>
      </c>
      <c r="B495" s="20" t="s">
        <v>1167</v>
      </c>
      <c r="C495" s="20" t="s">
        <v>508</v>
      </c>
      <c r="D495" s="20" t="s">
        <v>619</v>
      </c>
      <c r="E495" s="20" t="s">
        <v>156</v>
      </c>
      <c r="F495" s="76" t="s">
        <v>539</v>
      </c>
      <c r="G495" s="20" t="s">
        <v>1260</v>
      </c>
      <c r="H495" s="55" t="n">
        <v>12</v>
      </c>
      <c r="I495" s="76" t="s">
        <v>512</v>
      </c>
      <c r="J495" s="76" t="n">
        <v>200</v>
      </c>
      <c r="K495" s="82" t="n">
        <v>1</v>
      </c>
      <c r="L495" s="55" t="n">
        <v>6</v>
      </c>
      <c r="M495" s="73" t="n">
        <v>1.25</v>
      </c>
      <c r="N495" s="74" t="n">
        <f aca="false">K495*L495*M495</f>
        <v>7.5</v>
      </c>
      <c r="O495" s="41" t="n">
        <f aca="false">IFERROR(INDEX(Исходные!$B$21:$B$33,MATCH(H495,Исходные!$A$21:$A$33,0)),0)</f>
        <v>0.888</v>
      </c>
      <c r="P495" s="83" t="n">
        <f aca="false">N495*O495</f>
        <v>6.66</v>
      </c>
      <c r="Q495" s="20" t="s">
        <v>1259</v>
      </c>
      <c r="R495" s="84" t="s">
        <v>514</v>
      </c>
      <c r="S495" s="20"/>
      <c r="T495" s="20" t="s">
        <v>12</v>
      </c>
      <c r="U495" s="53" t="n">
        <v>0</v>
      </c>
      <c r="V495" s="76" t="s">
        <v>156</v>
      </c>
      <c r="W495" s="53" t="n">
        <v>2</v>
      </c>
    </row>
    <row r="496" customFormat="false" ht="35.05" hidden="false" customHeight="false" outlineLevel="0" collapsed="false">
      <c r="A496" s="76" t="n">
        <v>482</v>
      </c>
      <c r="B496" s="20" t="s">
        <v>1167</v>
      </c>
      <c r="C496" s="20" t="s">
        <v>508</v>
      </c>
      <c r="D496" s="20" t="s">
        <v>619</v>
      </c>
      <c r="E496" s="20" t="s">
        <v>156</v>
      </c>
      <c r="F496" s="76" t="s">
        <v>539</v>
      </c>
      <c r="G496" s="20" t="s">
        <v>1261</v>
      </c>
      <c r="H496" s="55" t="n">
        <v>14</v>
      </c>
      <c r="I496" s="76" t="s">
        <v>512</v>
      </c>
      <c r="J496" s="76" t="n">
        <v>200</v>
      </c>
      <c r="K496" s="82" t="n">
        <v>1</v>
      </c>
      <c r="L496" s="55" t="n">
        <v>6</v>
      </c>
      <c r="M496" s="73" t="n">
        <v>1.45</v>
      </c>
      <c r="N496" s="74" t="n">
        <f aca="false">K496*L496*M496</f>
        <v>8.7</v>
      </c>
      <c r="O496" s="41" t="n">
        <f aca="false">IFERROR(INDEX(Исходные!$B$21:$B$33,MATCH(H496,Исходные!$A$21:$A$33,0)),0)</f>
        <v>1.208</v>
      </c>
      <c r="P496" s="83" t="n">
        <f aca="false">N496*O496</f>
        <v>10.5096</v>
      </c>
      <c r="Q496" s="20" t="s">
        <v>1259</v>
      </c>
      <c r="R496" s="84" t="s">
        <v>514</v>
      </c>
      <c r="S496" s="20"/>
      <c r="T496" s="20" t="s">
        <v>12</v>
      </c>
      <c r="U496" s="53" t="n">
        <v>0</v>
      </c>
      <c r="V496" s="76" t="s">
        <v>156</v>
      </c>
      <c r="W496" s="53" t="n">
        <v>2</v>
      </c>
    </row>
    <row r="497" customFormat="false" ht="35.05" hidden="false" customHeight="false" outlineLevel="0" collapsed="false">
      <c r="A497" s="76" t="n">
        <v>483</v>
      </c>
      <c r="B497" s="20" t="s">
        <v>1167</v>
      </c>
      <c r="C497" s="20" t="s">
        <v>508</v>
      </c>
      <c r="D497" s="20" t="s">
        <v>619</v>
      </c>
      <c r="E497" s="20" t="s">
        <v>156</v>
      </c>
      <c r="F497" s="76" t="s">
        <v>539</v>
      </c>
      <c r="G497" s="20" t="s">
        <v>1262</v>
      </c>
      <c r="H497" s="55" t="n">
        <v>14</v>
      </c>
      <c r="I497" s="76" t="s">
        <v>512</v>
      </c>
      <c r="J497" s="76" t="n">
        <v>200</v>
      </c>
      <c r="K497" s="82" t="n">
        <v>1</v>
      </c>
      <c r="L497" s="55" t="n">
        <v>6</v>
      </c>
      <c r="M497" s="73" t="n">
        <v>1.45</v>
      </c>
      <c r="N497" s="74" t="n">
        <f aca="false">K497*L497*M497</f>
        <v>8.7</v>
      </c>
      <c r="O497" s="41" t="n">
        <f aca="false">IFERROR(INDEX(Исходные!$B$21:$B$33,MATCH(H497,Исходные!$A$21:$A$33,0)),0)</f>
        <v>1.208</v>
      </c>
      <c r="P497" s="83" t="n">
        <f aca="false">N497*O497</f>
        <v>10.5096</v>
      </c>
      <c r="Q497" s="20" t="s">
        <v>1259</v>
      </c>
      <c r="R497" s="84" t="s">
        <v>514</v>
      </c>
      <c r="S497" s="20"/>
      <c r="T497" s="20" t="s">
        <v>12</v>
      </c>
      <c r="U497" s="53" t="n">
        <v>0</v>
      </c>
      <c r="V497" s="76" t="s">
        <v>156</v>
      </c>
      <c r="W497" s="53" t="n">
        <v>2</v>
      </c>
    </row>
    <row r="498" customFormat="false" ht="35.05" hidden="false" customHeight="false" outlineLevel="0" collapsed="false">
      <c r="A498" s="76" t="n">
        <v>484</v>
      </c>
      <c r="B498" s="20" t="s">
        <v>1167</v>
      </c>
      <c r="C498" s="20" t="s">
        <v>508</v>
      </c>
      <c r="D498" s="20" t="s">
        <v>619</v>
      </c>
      <c r="E498" s="20" t="s">
        <v>156</v>
      </c>
      <c r="F498" s="76" t="s">
        <v>544</v>
      </c>
      <c r="G498" s="20" t="s">
        <v>1217</v>
      </c>
      <c r="H498" s="55" t="n">
        <v>10</v>
      </c>
      <c r="I498" s="76" t="s">
        <v>546</v>
      </c>
      <c r="J498" s="76" t="s">
        <v>547</v>
      </c>
      <c r="K498" s="82" t="n">
        <v>1</v>
      </c>
      <c r="L498" s="55" t="n">
        <v>32</v>
      </c>
      <c r="M498" s="73" t="n">
        <v>1.33</v>
      </c>
      <c r="N498" s="74" t="n">
        <f aca="false">K498*L498*M498</f>
        <v>42.56</v>
      </c>
      <c r="O498" s="41" t="n">
        <f aca="false">IFERROR(INDEX(Исходные!$B$21:$B$33,MATCH(H498,Исходные!$A$21:$A$33,0)),0)</f>
        <v>0.617</v>
      </c>
      <c r="P498" s="83" t="n">
        <f aca="false">N498*O498</f>
        <v>26.25952</v>
      </c>
      <c r="Q498" s="20" t="s">
        <v>1192</v>
      </c>
      <c r="R498" s="84" t="s">
        <v>514</v>
      </c>
      <c r="S498" s="20"/>
      <c r="T498" s="20" t="s">
        <v>12</v>
      </c>
      <c r="U498" s="53" t="n">
        <v>0</v>
      </c>
      <c r="V498" s="76" t="s">
        <v>156</v>
      </c>
      <c r="W498" s="53" t="n">
        <v>2</v>
      </c>
    </row>
    <row r="499" customFormat="false" ht="35.05" hidden="false" customHeight="false" outlineLevel="0" collapsed="false">
      <c r="A499" s="76" t="n">
        <v>485</v>
      </c>
      <c r="B499" s="20" t="s">
        <v>1167</v>
      </c>
      <c r="C499" s="20" t="s">
        <v>508</v>
      </c>
      <c r="D499" s="20" t="s">
        <v>619</v>
      </c>
      <c r="E499" s="20" t="s">
        <v>156</v>
      </c>
      <c r="F499" s="76" t="s">
        <v>696</v>
      </c>
      <c r="G499" s="20" t="s">
        <v>1219</v>
      </c>
      <c r="H499" s="55" t="n">
        <v>8</v>
      </c>
      <c r="I499" s="76" t="s">
        <v>546</v>
      </c>
      <c r="J499" s="76" t="s">
        <v>547</v>
      </c>
      <c r="K499" s="82" t="n">
        <v>1</v>
      </c>
      <c r="L499" s="55" t="n">
        <v>16</v>
      </c>
      <c r="M499" s="73" t="n">
        <v>1.56</v>
      </c>
      <c r="N499" s="74" t="n">
        <f aca="false">K499*L499*M499</f>
        <v>24.96</v>
      </c>
      <c r="O499" s="41" t="n">
        <f aca="false">IFERROR(INDEX(Исходные!$B$21:$B$33,MATCH(H499,Исходные!$A$21:$A$33,0)),0)</f>
        <v>0.395</v>
      </c>
      <c r="P499" s="83" t="n">
        <f aca="false">N499*O499</f>
        <v>9.8592</v>
      </c>
      <c r="Q499" s="20" t="s">
        <v>1194</v>
      </c>
      <c r="R499" s="84" t="s">
        <v>514</v>
      </c>
      <c r="S499" s="20"/>
      <c r="T499" s="20" t="s">
        <v>12</v>
      </c>
      <c r="U499" s="53" t="n">
        <v>0</v>
      </c>
      <c r="V499" s="76" t="s">
        <v>156</v>
      </c>
      <c r="W499" s="53" t="n">
        <v>2</v>
      </c>
    </row>
    <row r="500" customFormat="false" ht="35.05" hidden="false" customHeight="false" outlineLevel="0" collapsed="false">
      <c r="A500" s="76" t="n">
        <v>486</v>
      </c>
      <c r="B500" s="20" t="s">
        <v>1167</v>
      </c>
      <c r="C500" s="20" t="s">
        <v>508</v>
      </c>
      <c r="D500" s="20" t="s">
        <v>619</v>
      </c>
      <c r="E500" s="20" t="s">
        <v>156</v>
      </c>
      <c r="F500" s="76" t="s">
        <v>603</v>
      </c>
      <c r="G500" s="20" t="s">
        <v>1195</v>
      </c>
      <c r="H500" s="55" t="n">
        <v>8</v>
      </c>
      <c r="I500" s="76" t="s">
        <v>546</v>
      </c>
      <c r="J500" s="76" t="s">
        <v>547</v>
      </c>
      <c r="K500" s="82" t="n">
        <v>1</v>
      </c>
      <c r="L500" s="55" t="n">
        <v>16</v>
      </c>
      <c r="M500" s="73" t="n">
        <v>1.76</v>
      </c>
      <c r="N500" s="74" t="n">
        <f aca="false">K500*L500*M500</f>
        <v>28.16</v>
      </c>
      <c r="O500" s="41" t="n">
        <f aca="false">IFERROR(INDEX(Исходные!$B$21:$B$33,MATCH(H500,Исходные!$A$21:$A$33,0)),0)</f>
        <v>0.395</v>
      </c>
      <c r="P500" s="83" t="n">
        <f aca="false">N500*O500</f>
        <v>11.1232</v>
      </c>
      <c r="Q500" s="20" t="s">
        <v>1196</v>
      </c>
      <c r="R500" s="84" t="s">
        <v>514</v>
      </c>
      <c r="S500" s="20"/>
      <c r="T500" s="20" t="s">
        <v>12</v>
      </c>
      <c r="U500" s="53" t="n">
        <v>0</v>
      </c>
      <c r="V500" s="76" t="s">
        <v>156</v>
      </c>
      <c r="W500" s="53" t="n">
        <v>2</v>
      </c>
    </row>
    <row r="501" customFormat="false" ht="35.05" hidden="false" customHeight="false" outlineLevel="0" collapsed="false">
      <c r="A501" s="76" t="n">
        <v>487</v>
      </c>
      <c r="B501" s="20" t="s">
        <v>1167</v>
      </c>
      <c r="C501" s="20" t="s">
        <v>508</v>
      </c>
      <c r="D501" s="20" t="s">
        <v>619</v>
      </c>
      <c r="E501" s="20" t="s">
        <v>156</v>
      </c>
      <c r="F501" s="76" t="s">
        <v>555</v>
      </c>
      <c r="G501" s="20" t="s">
        <v>1197</v>
      </c>
      <c r="H501" s="55" t="n">
        <v>8</v>
      </c>
      <c r="I501" s="76" t="s">
        <v>546</v>
      </c>
      <c r="J501" s="76" t="s">
        <v>547</v>
      </c>
      <c r="K501" s="82" t="n">
        <v>1</v>
      </c>
      <c r="L501" s="55" t="n">
        <v>28</v>
      </c>
      <c r="M501" s="73" t="n">
        <v>2.44</v>
      </c>
      <c r="N501" s="74" t="n">
        <f aca="false">K501*L501*M501</f>
        <v>68.32</v>
      </c>
      <c r="O501" s="41" t="n">
        <f aca="false">IFERROR(INDEX(Исходные!$B$21:$B$33,MATCH(H501,Исходные!$A$21:$A$33,0)),0)</f>
        <v>0.395</v>
      </c>
      <c r="P501" s="83" t="n">
        <f aca="false">N501*O501</f>
        <v>26.9864</v>
      </c>
      <c r="Q501" s="20" t="s">
        <v>1198</v>
      </c>
      <c r="R501" s="84" t="s">
        <v>514</v>
      </c>
      <c r="S501" s="20"/>
      <c r="T501" s="20" t="s">
        <v>12</v>
      </c>
      <c r="U501" s="53" t="n">
        <v>0</v>
      </c>
      <c r="V501" s="76" t="s">
        <v>156</v>
      </c>
      <c r="W501" s="53" t="n">
        <v>2</v>
      </c>
    </row>
    <row r="502" customFormat="false" ht="35.05" hidden="false" customHeight="false" outlineLevel="0" collapsed="false">
      <c r="A502" s="76" t="n">
        <v>488</v>
      </c>
      <c r="B502" s="20" t="s">
        <v>1167</v>
      </c>
      <c r="C502" s="20" t="s">
        <v>508</v>
      </c>
      <c r="D502" s="20" t="s">
        <v>619</v>
      </c>
      <c r="E502" s="20" t="s">
        <v>156</v>
      </c>
      <c r="F502" s="76" t="s">
        <v>558</v>
      </c>
      <c r="G502" s="20" t="s">
        <v>1199</v>
      </c>
      <c r="H502" s="55" t="n">
        <v>8</v>
      </c>
      <c r="I502" s="76" t="s">
        <v>546</v>
      </c>
      <c r="J502" s="76" t="s">
        <v>547</v>
      </c>
      <c r="K502" s="82" t="n">
        <v>1</v>
      </c>
      <c r="L502" s="55" t="n">
        <v>32</v>
      </c>
      <c r="M502" s="73" t="n">
        <v>1.96</v>
      </c>
      <c r="N502" s="74" t="n">
        <f aca="false">K502*L502*M502</f>
        <v>62.72</v>
      </c>
      <c r="O502" s="41" t="n">
        <f aca="false">IFERROR(INDEX(Исходные!$B$21:$B$33,MATCH(H502,Исходные!$A$21:$A$33,0)),0)</f>
        <v>0.395</v>
      </c>
      <c r="P502" s="83" t="n">
        <f aca="false">N502*O502</f>
        <v>24.7744</v>
      </c>
      <c r="Q502" s="20" t="s">
        <v>1200</v>
      </c>
      <c r="R502" s="84" t="s">
        <v>514</v>
      </c>
      <c r="S502" s="20"/>
      <c r="T502" s="20" t="s">
        <v>12</v>
      </c>
      <c r="U502" s="53" t="n">
        <v>0</v>
      </c>
      <c r="V502" s="76" t="s">
        <v>156</v>
      </c>
      <c r="W502" s="53" t="n">
        <v>2</v>
      </c>
    </row>
    <row r="503" customFormat="false" ht="35.05" hidden="false" customHeight="false" outlineLevel="0" collapsed="false">
      <c r="A503" s="76" t="n">
        <v>489</v>
      </c>
      <c r="B503" s="20" t="s">
        <v>1167</v>
      </c>
      <c r="C503" s="20" t="s">
        <v>508</v>
      </c>
      <c r="D503" s="20" t="s">
        <v>619</v>
      </c>
      <c r="E503" s="20" t="s">
        <v>156</v>
      </c>
      <c r="F503" s="76" t="s">
        <v>561</v>
      </c>
      <c r="G503" s="20" t="s">
        <v>1263</v>
      </c>
      <c r="H503" s="55" t="n">
        <v>8</v>
      </c>
      <c r="I503" s="76" t="s">
        <v>546</v>
      </c>
      <c r="J503" s="76" t="s">
        <v>547</v>
      </c>
      <c r="K503" s="82" t="n">
        <v>1</v>
      </c>
      <c r="L503" s="55" t="n">
        <v>48</v>
      </c>
      <c r="M503" s="73" t="n">
        <v>0.53</v>
      </c>
      <c r="N503" s="74" t="n">
        <f aca="false">K503*L503*M503</f>
        <v>25.44</v>
      </c>
      <c r="O503" s="41" t="n">
        <f aca="false">IFERROR(INDEX(Исходные!$B$21:$B$33,MATCH(H503,Исходные!$A$21:$A$33,0)),0)</f>
        <v>0.395</v>
      </c>
      <c r="P503" s="83" t="n">
        <f aca="false">N503*O503</f>
        <v>10.0488</v>
      </c>
      <c r="Q503" s="20" t="s">
        <v>1202</v>
      </c>
      <c r="R503" s="84" t="s">
        <v>514</v>
      </c>
      <c r="S503" s="20"/>
      <c r="T503" s="20" t="s">
        <v>12</v>
      </c>
      <c r="U503" s="53" t="n">
        <v>0</v>
      </c>
      <c r="V503" s="76" t="s">
        <v>156</v>
      </c>
      <c r="W503" s="53" t="n">
        <v>2</v>
      </c>
    </row>
    <row r="504" customFormat="false" ht="15" hidden="false" customHeight="true" outlineLevel="0" collapsed="false">
      <c r="A504" s="81" t="s">
        <v>1264</v>
      </c>
      <c r="B504" s="81"/>
      <c r="C504" s="81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</row>
    <row r="505" customFormat="false" ht="35.05" hidden="false" customHeight="false" outlineLevel="0" collapsed="false">
      <c r="A505" s="76" t="n">
        <v>490</v>
      </c>
      <c r="B505" s="20" t="s">
        <v>1167</v>
      </c>
      <c r="C505" s="20" t="s">
        <v>633</v>
      </c>
      <c r="D505" s="20" t="s">
        <v>1265</v>
      </c>
      <c r="E505" s="20" t="s">
        <v>635</v>
      </c>
      <c r="F505" s="76" t="s">
        <v>519</v>
      </c>
      <c r="G505" s="20" t="s">
        <v>1266</v>
      </c>
      <c r="H505" s="55" t="n">
        <v>28</v>
      </c>
      <c r="I505" s="76" t="s">
        <v>512</v>
      </c>
      <c r="J505" s="76" t="s">
        <v>164</v>
      </c>
      <c r="K505" s="82" t="n">
        <v>1</v>
      </c>
      <c r="L505" s="55" t="n">
        <v>4</v>
      </c>
      <c r="M505" s="73" t="n">
        <v>3.6</v>
      </c>
      <c r="N505" s="74" t="n">
        <f aca="false">K505*L505*M505</f>
        <v>14.4</v>
      </c>
      <c r="O505" s="41" t="n">
        <f aca="false">IFERROR(INDEX(Исходные!$B$21:$B$33,MATCH(H505,Исходные!$A$21:$A$33,0)),0)</f>
        <v>4.834</v>
      </c>
      <c r="P505" s="83" t="n">
        <f aca="false">N505*O505</f>
        <v>69.6096</v>
      </c>
      <c r="Q505" s="20" t="s">
        <v>1267</v>
      </c>
      <c r="R505" s="84" t="s">
        <v>514</v>
      </c>
      <c r="S505" s="20" t="s">
        <v>1268</v>
      </c>
      <c r="T505" s="20" t="s">
        <v>12</v>
      </c>
      <c r="U505" s="53" t="n">
        <v>0</v>
      </c>
      <c r="V505" s="76" t="s">
        <v>635</v>
      </c>
      <c r="W505" s="53" t="n">
        <v>2</v>
      </c>
    </row>
    <row r="506" customFormat="false" ht="35.05" hidden="false" customHeight="false" outlineLevel="0" collapsed="false">
      <c r="A506" s="76" t="n">
        <v>491</v>
      </c>
      <c r="B506" s="20" t="s">
        <v>1167</v>
      </c>
      <c r="C506" s="20" t="s">
        <v>633</v>
      </c>
      <c r="D506" s="20" t="s">
        <v>1269</v>
      </c>
      <c r="E506" s="20" t="s">
        <v>635</v>
      </c>
      <c r="F506" s="76" t="s">
        <v>510</v>
      </c>
      <c r="G506" s="20" t="s">
        <v>1270</v>
      </c>
      <c r="H506" s="55" t="n">
        <v>32</v>
      </c>
      <c r="I506" s="76" t="s">
        <v>512</v>
      </c>
      <c r="J506" s="76" t="s">
        <v>164</v>
      </c>
      <c r="K506" s="82" t="n">
        <v>2</v>
      </c>
      <c r="L506" s="55" t="n">
        <v>4</v>
      </c>
      <c r="M506" s="73" t="n">
        <v>3.6</v>
      </c>
      <c r="N506" s="74" t="n">
        <f aca="false">K506*L506*M506</f>
        <v>28.8</v>
      </c>
      <c r="O506" s="41" t="n">
        <f aca="false">IFERROR(INDEX(Исходные!$B$21:$B$33,MATCH(H506,Исходные!$A$21:$A$33,0)),0)</f>
        <v>6.313</v>
      </c>
      <c r="P506" s="83" t="n">
        <f aca="false">N506*O506</f>
        <v>181.8144</v>
      </c>
      <c r="Q506" s="20" t="s">
        <v>1271</v>
      </c>
      <c r="R506" s="84" t="s">
        <v>1272</v>
      </c>
      <c r="S506" s="20" t="s">
        <v>1273</v>
      </c>
      <c r="T506" s="20" t="s">
        <v>12</v>
      </c>
      <c r="U506" s="53" t="n">
        <v>1</v>
      </c>
      <c r="V506" s="76" t="s">
        <v>635</v>
      </c>
      <c r="W506" s="53" t="n">
        <v>2</v>
      </c>
    </row>
    <row r="507" customFormat="false" ht="35.05" hidden="false" customHeight="false" outlineLevel="0" collapsed="false">
      <c r="A507" s="76" t="n">
        <v>492</v>
      </c>
      <c r="B507" s="20" t="s">
        <v>1167</v>
      </c>
      <c r="C507" s="20" t="s">
        <v>633</v>
      </c>
      <c r="D507" s="20" t="s">
        <v>634</v>
      </c>
      <c r="E507" s="20" t="s">
        <v>635</v>
      </c>
      <c r="F507" s="76" t="s">
        <v>516</v>
      </c>
      <c r="G507" s="20" t="s">
        <v>1274</v>
      </c>
      <c r="H507" s="55" t="n">
        <v>20</v>
      </c>
      <c r="I507" s="76" t="s">
        <v>512</v>
      </c>
      <c r="J507" s="76" t="s">
        <v>164</v>
      </c>
      <c r="K507" s="82" t="n">
        <v>3</v>
      </c>
      <c r="L507" s="55" t="n">
        <v>8</v>
      </c>
      <c r="M507" s="73" t="n">
        <v>3.6</v>
      </c>
      <c r="N507" s="74" t="n">
        <f aca="false">K507*L507*M507</f>
        <v>86.4</v>
      </c>
      <c r="O507" s="41" t="n">
        <f aca="false">IFERROR(INDEX(Исходные!$B$21:$B$33,MATCH(H507,Исходные!$A$21:$A$33,0)),0)</f>
        <v>2.466</v>
      </c>
      <c r="P507" s="83" t="n">
        <f aca="false">N507*O507</f>
        <v>213.0624</v>
      </c>
      <c r="Q507" s="20" t="s">
        <v>1275</v>
      </c>
      <c r="R507" s="84" t="s">
        <v>514</v>
      </c>
      <c r="S507" s="20" t="s">
        <v>1276</v>
      </c>
      <c r="T507" s="20" t="s">
        <v>12</v>
      </c>
      <c r="U507" s="53" t="n">
        <v>0</v>
      </c>
      <c r="V507" s="76" t="s">
        <v>635</v>
      </c>
      <c r="W507" s="53" t="n">
        <v>2</v>
      </c>
    </row>
    <row r="508" customFormat="false" ht="35.05" hidden="false" customHeight="false" outlineLevel="0" collapsed="false">
      <c r="A508" s="76" t="n">
        <v>493</v>
      </c>
      <c r="B508" s="20" t="s">
        <v>1167</v>
      </c>
      <c r="C508" s="20" t="s">
        <v>633</v>
      </c>
      <c r="D508" s="20" t="s">
        <v>634</v>
      </c>
      <c r="E508" s="20" t="s">
        <v>635</v>
      </c>
      <c r="F508" s="76" t="s">
        <v>555</v>
      </c>
      <c r="G508" s="20" t="s">
        <v>1277</v>
      </c>
      <c r="H508" s="55" t="n">
        <v>8</v>
      </c>
      <c r="I508" s="76" t="s">
        <v>546</v>
      </c>
      <c r="J508" s="76" t="s">
        <v>644</v>
      </c>
      <c r="K508" s="82" t="n">
        <v>3</v>
      </c>
      <c r="L508" s="55" t="n">
        <v>28</v>
      </c>
      <c r="M508" s="73" t="n">
        <v>2.44</v>
      </c>
      <c r="N508" s="74" t="n">
        <f aca="false">K508*L508*M508</f>
        <v>204.96</v>
      </c>
      <c r="O508" s="41" t="n">
        <f aca="false">IFERROR(INDEX(Исходные!$B$21:$B$33,MATCH(H508,Исходные!$A$21:$A$33,0)),0)</f>
        <v>0.395</v>
      </c>
      <c r="P508" s="83" t="n">
        <f aca="false">N508*O508</f>
        <v>80.9592</v>
      </c>
      <c r="Q508" s="20" t="s">
        <v>1278</v>
      </c>
      <c r="R508" s="84" t="s">
        <v>514</v>
      </c>
      <c r="S508" s="20"/>
      <c r="T508" s="20" t="s">
        <v>12</v>
      </c>
      <c r="U508" s="53" t="n">
        <v>0</v>
      </c>
      <c r="V508" s="76" t="s">
        <v>635</v>
      </c>
      <c r="W508" s="53" t="n">
        <v>2</v>
      </c>
    </row>
    <row r="509" customFormat="false" ht="35.05" hidden="false" customHeight="false" outlineLevel="0" collapsed="false">
      <c r="A509" s="76" t="n">
        <v>494</v>
      </c>
      <c r="B509" s="20" t="s">
        <v>1167</v>
      </c>
      <c r="C509" s="20" t="s">
        <v>633</v>
      </c>
      <c r="D509" s="20" t="s">
        <v>634</v>
      </c>
      <c r="E509" s="20" t="s">
        <v>635</v>
      </c>
      <c r="F509" s="76" t="s">
        <v>558</v>
      </c>
      <c r="G509" s="20" t="s">
        <v>1279</v>
      </c>
      <c r="H509" s="55" t="n">
        <v>8</v>
      </c>
      <c r="I509" s="76" t="s">
        <v>546</v>
      </c>
      <c r="J509" s="76" t="n">
        <v>200</v>
      </c>
      <c r="K509" s="82" t="n">
        <v>3</v>
      </c>
      <c r="L509" s="55" t="n">
        <v>32</v>
      </c>
      <c r="M509" s="73" t="n">
        <v>1.96</v>
      </c>
      <c r="N509" s="74" t="n">
        <f aca="false">K509*L509*M509</f>
        <v>188.16</v>
      </c>
      <c r="O509" s="41" t="n">
        <f aca="false">IFERROR(INDEX(Исходные!$B$21:$B$33,MATCH(H509,Исходные!$A$21:$A$33,0)),0)</f>
        <v>0.395</v>
      </c>
      <c r="P509" s="83" t="n">
        <f aca="false">N509*O509</f>
        <v>74.3232</v>
      </c>
      <c r="Q509" s="20" t="s">
        <v>1280</v>
      </c>
      <c r="R509" s="84" t="s">
        <v>514</v>
      </c>
      <c r="S509" s="20"/>
      <c r="T509" s="20" t="s">
        <v>12</v>
      </c>
      <c r="U509" s="53" t="n">
        <v>0</v>
      </c>
      <c r="V509" s="76" t="s">
        <v>635</v>
      </c>
      <c r="W509" s="53" t="n">
        <v>2</v>
      </c>
    </row>
    <row r="510" customFormat="false" ht="35.05" hidden="false" customHeight="false" outlineLevel="0" collapsed="false">
      <c r="A510" s="76" t="n">
        <v>495</v>
      </c>
      <c r="B510" s="20" t="s">
        <v>1167</v>
      </c>
      <c r="C510" s="20" t="s">
        <v>633</v>
      </c>
      <c r="D510" s="20" t="s">
        <v>648</v>
      </c>
      <c r="E510" s="20" t="s">
        <v>649</v>
      </c>
      <c r="F510" s="76" t="s">
        <v>510</v>
      </c>
      <c r="G510" s="20" t="s">
        <v>1281</v>
      </c>
      <c r="H510" s="55" t="n">
        <v>32</v>
      </c>
      <c r="I510" s="76" t="s">
        <v>512</v>
      </c>
      <c r="J510" s="76" t="s">
        <v>164</v>
      </c>
      <c r="K510" s="82" t="n">
        <v>5</v>
      </c>
      <c r="L510" s="55" t="n">
        <v>4</v>
      </c>
      <c r="M510" s="73" t="n">
        <v>3.6</v>
      </c>
      <c r="N510" s="74" t="n">
        <f aca="false">K510*L510*M510</f>
        <v>72</v>
      </c>
      <c r="O510" s="41" t="n">
        <f aca="false">IFERROR(INDEX(Исходные!$B$21:$B$33,MATCH(H510,Исходные!$A$21:$A$33,0)),0)</f>
        <v>6.313</v>
      </c>
      <c r="P510" s="83" t="n">
        <f aca="false">N510*O510</f>
        <v>454.536</v>
      </c>
      <c r="Q510" s="20" t="s">
        <v>1282</v>
      </c>
      <c r="R510" s="84" t="s">
        <v>1272</v>
      </c>
      <c r="S510" s="20" t="s">
        <v>1273</v>
      </c>
      <c r="T510" s="20" t="s">
        <v>12</v>
      </c>
      <c r="U510" s="53" t="n">
        <v>1</v>
      </c>
      <c r="V510" s="76" t="s">
        <v>649</v>
      </c>
      <c r="W510" s="53" t="n">
        <v>2</v>
      </c>
    </row>
    <row r="511" customFormat="false" ht="35.05" hidden="false" customHeight="false" outlineLevel="0" collapsed="false">
      <c r="A511" s="76" t="n">
        <v>496</v>
      </c>
      <c r="B511" s="20" t="s">
        <v>1167</v>
      </c>
      <c r="C511" s="20" t="s">
        <v>633</v>
      </c>
      <c r="D511" s="20" t="s">
        <v>648</v>
      </c>
      <c r="E511" s="20" t="s">
        <v>649</v>
      </c>
      <c r="F511" s="76" t="s">
        <v>516</v>
      </c>
      <c r="G511" s="20" t="s">
        <v>1274</v>
      </c>
      <c r="H511" s="55" t="n">
        <v>20</v>
      </c>
      <c r="I511" s="76" t="s">
        <v>512</v>
      </c>
      <c r="J511" s="76" t="s">
        <v>164</v>
      </c>
      <c r="K511" s="82" t="n">
        <v>5</v>
      </c>
      <c r="L511" s="55" t="n">
        <v>8</v>
      </c>
      <c r="M511" s="73" t="n">
        <v>3.6</v>
      </c>
      <c r="N511" s="74" t="n">
        <f aca="false">K511*L511*M511</f>
        <v>144</v>
      </c>
      <c r="O511" s="41" t="n">
        <f aca="false">IFERROR(INDEX(Исходные!$B$21:$B$33,MATCH(H511,Исходные!$A$21:$A$33,0)),0)</f>
        <v>2.466</v>
      </c>
      <c r="P511" s="83" t="n">
        <f aca="false">N511*O511</f>
        <v>355.104</v>
      </c>
      <c r="Q511" s="20" t="s">
        <v>1275</v>
      </c>
      <c r="R511" s="84" t="s">
        <v>514</v>
      </c>
      <c r="S511" s="20" t="s">
        <v>1276</v>
      </c>
      <c r="T511" s="20" t="s">
        <v>12</v>
      </c>
      <c r="U511" s="53" t="n">
        <v>0</v>
      </c>
      <c r="V511" s="76" t="s">
        <v>649</v>
      </c>
      <c r="W511" s="53" t="n">
        <v>2</v>
      </c>
    </row>
    <row r="512" customFormat="false" ht="35.05" hidden="false" customHeight="false" outlineLevel="0" collapsed="false">
      <c r="A512" s="76" t="n">
        <v>497</v>
      </c>
      <c r="B512" s="20" t="s">
        <v>1167</v>
      </c>
      <c r="C512" s="20" t="s">
        <v>633</v>
      </c>
      <c r="D512" s="20" t="s">
        <v>648</v>
      </c>
      <c r="E512" s="20" t="s">
        <v>649</v>
      </c>
      <c r="F512" s="76" t="s">
        <v>555</v>
      </c>
      <c r="G512" s="20" t="s">
        <v>1277</v>
      </c>
      <c r="H512" s="55" t="n">
        <v>8</v>
      </c>
      <c r="I512" s="76" t="s">
        <v>546</v>
      </c>
      <c r="J512" s="76" t="s">
        <v>644</v>
      </c>
      <c r="K512" s="82" t="n">
        <v>5</v>
      </c>
      <c r="L512" s="55" t="n">
        <v>28</v>
      </c>
      <c r="M512" s="73" t="n">
        <v>2.44</v>
      </c>
      <c r="N512" s="74" t="n">
        <f aca="false">K512*L512*M512</f>
        <v>341.6</v>
      </c>
      <c r="O512" s="41" t="n">
        <f aca="false">IFERROR(INDEX(Исходные!$B$21:$B$33,MATCH(H512,Исходные!$A$21:$A$33,0)),0)</f>
        <v>0.395</v>
      </c>
      <c r="P512" s="83" t="n">
        <f aca="false">N512*O512</f>
        <v>134.932</v>
      </c>
      <c r="Q512" s="20" t="s">
        <v>1278</v>
      </c>
      <c r="R512" s="84" t="s">
        <v>514</v>
      </c>
      <c r="S512" s="20"/>
      <c r="T512" s="20" t="s">
        <v>12</v>
      </c>
      <c r="U512" s="53" t="n">
        <v>0</v>
      </c>
      <c r="V512" s="76" t="s">
        <v>649</v>
      </c>
      <c r="W512" s="53" t="n">
        <v>2</v>
      </c>
    </row>
    <row r="513" customFormat="false" ht="35.05" hidden="false" customHeight="false" outlineLevel="0" collapsed="false">
      <c r="A513" s="76" t="n">
        <v>498</v>
      </c>
      <c r="B513" s="20" t="s">
        <v>1167</v>
      </c>
      <c r="C513" s="20" t="s">
        <v>633</v>
      </c>
      <c r="D513" s="20" t="s">
        <v>648</v>
      </c>
      <c r="E513" s="20" t="s">
        <v>649</v>
      </c>
      <c r="F513" s="76" t="s">
        <v>558</v>
      </c>
      <c r="G513" s="20" t="s">
        <v>1279</v>
      </c>
      <c r="H513" s="55" t="n">
        <v>8</v>
      </c>
      <c r="I513" s="76" t="s">
        <v>546</v>
      </c>
      <c r="J513" s="76" t="n">
        <v>200</v>
      </c>
      <c r="K513" s="82" t="n">
        <v>5</v>
      </c>
      <c r="L513" s="55" t="n">
        <v>32</v>
      </c>
      <c r="M513" s="73" t="n">
        <v>1.96</v>
      </c>
      <c r="N513" s="74" t="n">
        <f aca="false">K513*L513*M513</f>
        <v>313.6</v>
      </c>
      <c r="O513" s="41" t="n">
        <f aca="false">IFERROR(INDEX(Исходные!$B$21:$B$33,MATCH(H513,Исходные!$A$21:$A$33,0)),0)</f>
        <v>0.395</v>
      </c>
      <c r="P513" s="83" t="n">
        <f aca="false">N513*O513</f>
        <v>123.872</v>
      </c>
      <c r="Q513" s="20" t="s">
        <v>1280</v>
      </c>
      <c r="R513" s="84" t="s">
        <v>514</v>
      </c>
      <c r="S513" s="20"/>
      <c r="T513" s="20" t="s">
        <v>12</v>
      </c>
      <c r="U513" s="53" t="n">
        <v>0</v>
      </c>
      <c r="V513" s="76" t="s">
        <v>649</v>
      </c>
      <c r="W513" s="53" t="n">
        <v>2</v>
      </c>
    </row>
    <row r="514" customFormat="false" ht="35.05" hidden="false" customHeight="false" outlineLevel="0" collapsed="false">
      <c r="A514" s="76" t="n">
        <v>499</v>
      </c>
      <c r="B514" s="20" t="s">
        <v>1167</v>
      </c>
      <c r="C514" s="20" t="s">
        <v>633</v>
      </c>
      <c r="D514" s="20" t="s">
        <v>1283</v>
      </c>
      <c r="E514" s="20" t="s">
        <v>651</v>
      </c>
      <c r="F514" s="76" t="s">
        <v>519</v>
      </c>
      <c r="G514" s="20" t="s">
        <v>1284</v>
      </c>
      <c r="H514" s="55" t="n">
        <v>28</v>
      </c>
      <c r="I514" s="76" t="s">
        <v>512</v>
      </c>
      <c r="J514" s="76" t="s">
        <v>164</v>
      </c>
      <c r="K514" s="82" t="n">
        <v>1</v>
      </c>
      <c r="L514" s="55" t="n">
        <v>4</v>
      </c>
      <c r="M514" s="73" t="n">
        <v>3.6</v>
      </c>
      <c r="N514" s="74" t="n">
        <f aca="false">K514*L514*M514</f>
        <v>14.4</v>
      </c>
      <c r="O514" s="41" t="n">
        <f aca="false">IFERROR(INDEX(Исходные!$B$21:$B$33,MATCH(H514,Исходные!$A$21:$A$33,0)),0)</f>
        <v>4.834</v>
      </c>
      <c r="P514" s="83" t="n">
        <f aca="false">N514*O514</f>
        <v>69.6096</v>
      </c>
      <c r="Q514" s="20" t="s">
        <v>1285</v>
      </c>
      <c r="R514" s="84" t="s">
        <v>514</v>
      </c>
      <c r="S514" s="20" t="s">
        <v>1268</v>
      </c>
      <c r="T514" s="20" t="s">
        <v>12</v>
      </c>
      <c r="U514" s="53" t="n">
        <v>0</v>
      </c>
      <c r="V514" s="76" t="s">
        <v>651</v>
      </c>
      <c r="W514" s="53" t="n">
        <v>2</v>
      </c>
    </row>
    <row r="515" customFormat="false" ht="35.05" hidden="false" customHeight="false" outlineLevel="0" collapsed="false">
      <c r="A515" s="76" t="n">
        <v>500</v>
      </c>
      <c r="B515" s="20" t="s">
        <v>1167</v>
      </c>
      <c r="C515" s="20" t="s">
        <v>633</v>
      </c>
      <c r="D515" s="20" t="s">
        <v>1286</v>
      </c>
      <c r="E515" s="20" t="s">
        <v>651</v>
      </c>
      <c r="F515" s="76" t="s">
        <v>510</v>
      </c>
      <c r="G515" s="20" t="s">
        <v>1287</v>
      </c>
      <c r="H515" s="55" t="n">
        <v>32</v>
      </c>
      <c r="I515" s="76" t="s">
        <v>512</v>
      </c>
      <c r="J515" s="76" t="s">
        <v>164</v>
      </c>
      <c r="K515" s="82" t="n">
        <v>4</v>
      </c>
      <c r="L515" s="55" t="n">
        <v>4</v>
      </c>
      <c r="M515" s="73" t="n">
        <v>3.6</v>
      </c>
      <c r="N515" s="74" t="n">
        <f aca="false">K515*L515*M515</f>
        <v>57.6</v>
      </c>
      <c r="O515" s="41" t="n">
        <f aca="false">IFERROR(INDEX(Исходные!$B$21:$B$33,MATCH(H515,Исходные!$A$21:$A$33,0)),0)</f>
        <v>6.313</v>
      </c>
      <c r="P515" s="83" t="n">
        <f aca="false">N515*O515</f>
        <v>363.6288</v>
      </c>
      <c r="Q515" s="20" t="s">
        <v>1288</v>
      </c>
      <c r="R515" s="84" t="s">
        <v>1272</v>
      </c>
      <c r="S515" s="20" t="s">
        <v>1273</v>
      </c>
      <c r="T515" s="20" t="s">
        <v>12</v>
      </c>
      <c r="U515" s="53" t="n">
        <v>1</v>
      </c>
      <c r="V515" s="76" t="s">
        <v>651</v>
      </c>
      <c r="W515" s="53" t="n">
        <v>2</v>
      </c>
    </row>
    <row r="516" customFormat="false" ht="35.05" hidden="false" customHeight="false" outlineLevel="0" collapsed="false">
      <c r="A516" s="76" t="n">
        <v>501</v>
      </c>
      <c r="B516" s="20" t="s">
        <v>1167</v>
      </c>
      <c r="C516" s="20" t="s">
        <v>633</v>
      </c>
      <c r="D516" s="20" t="s">
        <v>650</v>
      </c>
      <c r="E516" s="20" t="s">
        <v>651</v>
      </c>
      <c r="F516" s="76" t="s">
        <v>516</v>
      </c>
      <c r="G516" s="20" t="s">
        <v>1274</v>
      </c>
      <c r="H516" s="55" t="n">
        <v>20</v>
      </c>
      <c r="I516" s="76" t="s">
        <v>512</v>
      </c>
      <c r="J516" s="76" t="s">
        <v>164</v>
      </c>
      <c r="K516" s="82" t="n">
        <v>5</v>
      </c>
      <c r="L516" s="55" t="n">
        <v>8</v>
      </c>
      <c r="M516" s="73" t="n">
        <v>3.6</v>
      </c>
      <c r="N516" s="74" t="n">
        <f aca="false">K516*L516*M516</f>
        <v>144</v>
      </c>
      <c r="O516" s="41" t="n">
        <f aca="false">IFERROR(INDEX(Исходные!$B$21:$B$33,MATCH(H516,Исходные!$A$21:$A$33,0)),0)</f>
        <v>2.466</v>
      </c>
      <c r="P516" s="83" t="n">
        <f aca="false">N516*O516</f>
        <v>355.104</v>
      </c>
      <c r="Q516" s="20" t="s">
        <v>1275</v>
      </c>
      <c r="R516" s="84" t="s">
        <v>514</v>
      </c>
      <c r="S516" s="20" t="s">
        <v>1276</v>
      </c>
      <c r="T516" s="20" t="s">
        <v>12</v>
      </c>
      <c r="U516" s="53" t="n">
        <v>0</v>
      </c>
      <c r="V516" s="76" t="s">
        <v>651</v>
      </c>
      <c r="W516" s="53" t="n">
        <v>2</v>
      </c>
    </row>
    <row r="517" customFormat="false" ht="35.05" hidden="false" customHeight="false" outlineLevel="0" collapsed="false">
      <c r="A517" s="76" t="n">
        <v>502</v>
      </c>
      <c r="B517" s="20" t="s">
        <v>1167</v>
      </c>
      <c r="C517" s="20" t="s">
        <v>633</v>
      </c>
      <c r="D517" s="20" t="s">
        <v>650</v>
      </c>
      <c r="E517" s="20" t="s">
        <v>651</v>
      </c>
      <c r="F517" s="76" t="s">
        <v>555</v>
      </c>
      <c r="G517" s="20" t="s">
        <v>1277</v>
      </c>
      <c r="H517" s="55" t="n">
        <v>8</v>
      </c>
      <c r="I517" s="76" t="s">
        <v>546</v>
      </c>
      <c r="J517" s="76" t="s">
        <v>644</v>
      </c>
      <c r="K517" s="82" t="n">
        <v>5</v>
      </c>
      <c r="L517" s="55" t="n">
        <v>28</v>
      </c>
      <c r="M517" s="73" t="n">
        <v>2.44</v>
      </c>
      <c r="N517" s="74" t="n">
        <f aca="false">K517*L517*M517</f>
        <v>341.6</v>
      </c>
      <c r="O517" s="41" t="n">
        <f aca="false">IFERROR(INDEX(Исходные!$B$21:$B$33,MATCH(H517,Исходные!$A$21:$A$33,0)),0)</f>
        <v>0.395</v>
      </c>
      <c r="P517" s="83" t="n">
        <f aca="false">N517*O517</f>
        <v>134.932</v>
      </c>
      <c r="Q517" s="20" t="s">
        <v>1278</v>
      </c>
      <c r="R517" s="84" t="s">
        <v>514</v>
      </c>
      <c r="S517" s="20"/>
      <c r="T517" s="20" t="s">
        <v>12</v>
      </c>
      <c r="U517" s="53" t="n">
        <v>0</v>
      </c>
      <c r="V517" s="76" t="s">
        <v>651</v>
      </c>
      <c r="W517" s="53" t="n">
        <v>2</v>
      </c>
    </row>
    <row r="518" customFormat="false" ht="35.05" hidden="false" customHeight="false" outlineLevel="0" collapsed="false">
      <c r="A518" s="76" t="n">
        <v>503</v>
      </c>
      <c r="B518" s="20" t="s">
        <v>1167</v>
      </c>
      <c r="C518" s="20" t="s">
        <v>633</v>
      </c>
      <c r="D518" s="20" t="s">
        <v>650</v>
      </c>
      <c r="E518" s="20" t="s">
        <v>651</v>
      </c>
      <c r="F518" s="76" t="s">
        <v>558</v>
      </c>
      <c r="G518" s="20" t="s">
        <v>1279</v>
      </c>
      <c r="H518" s="55" t="n">
        <v>8</v>
      </c>
      <c r="I518" s="76" t="s">
        <v>546</v>
      </c>
      <c r="J518" s="76" t="n">
        <v>200</v>
      </c>
      <c r="K518" s="82" t="n">
        <v>5</v>
      </c>
      <c r="L518" s="55" t="n">
        <v>32</v>
      </c>
      <c r="M518" s="73" t="n">
        <v>1.96</v>
      </c>
      <c r="N518" s="74" t="n">
        <f aca="false">K518*L518*M518</f>
        <v>313.6</v>
      </c>
      <c r="O518" s="41" t="n">
        <f aca="false">IFERROR(INDEX(Исходные!$B$21:$B$33,MATCH(H518,Исходные!$A$21:$A$33,0)),0)</f>
        <v>0.395</v>
      </c>
      <c r="P518" s="83" t="n">
        <f aca="false">N518*O518</f>
        <v>123.872</v>
      </c>
      <c r="Q518" s="20" t="s">
        <v>1280</v>
      </c>
      <c r="R518" s="84" t="s">
        <v>514</v>
      </c>
      <c r="S518" s="20"/>
      <c r="T518" s="20" t="s">
        <v>12</v>
      </c>
      <c r="U518" s="53" t="n">
        <v>0</v>
      </c>
      <c r="V518" s="76" t="s">
        <v>651</v>
      </c>
      <c r="W518" s="53" t="n">
        <v>2</v>
      </c>
    </row>
    <row r="519" customFormat="false" ht="35.05" hidden="false" customHeight="false" outlineLevel="0" collapsed="false">
      <c r="A519" s="76" t="n">
        <v>504</v>
      </c>
      <c r="B519" s="20" t="s">
        <v>1167</v>
      </c>
      <c r="C519" s="20" t="s">
        <v>633</v>
      </c>
      <c r="D519" s="20" t="s">
        <v>652</v>
      </c>
      <c r="E519" s="20" t="s">
        <v>653</v>
      </c>
      <c r="F519" s="76" t="s">
        <v>519</v>
      </c>
      <c r="G519" s="20" t="s">
        <v>1289</v>
      </c>
      <c r="H519" s="55" t="n">
        <v>28</v>
      </c>
      <c r="I519" s="76" t="s">
        <v>512</v>
      </c>
      <c r="J519" s="76" t="s">
        <v>164</v>
      </c>
      <c r="K519" s="82" t="n">
        <v>2</v>
      </c>
      <c r="L519" s="55" t="n">
        <v>4</v>
      </c>
      <c r="M519" s="73" t="n">
        <v>3.6</v>
      </c>
      <c r="N519" s="74" t="n">
        <f aca="false">K519*L519*M519</f>
        <v>28.8</v>
      </c>
      <c r="O519" s="41" t="n">
        <f aca="false">IFERROR(INDEX(Исходные!$B$21:$B$33,MATCH(H519,Исходные!$A$21:$A$33,0)),0)</f>
        <v>4.834</v>
      </c>
      <c r="P519" s="83" t="n">
        <f aca="false">N519*O519</f>
        <v>139.2192</v>
      </c>
      <c r="Q519" s="20" t="s">
        <v>1290</v>
      </c>
      <c r="R519" s="84" t="s">
        <v>514</v>
      </c>
      <c r="S519" s="20" t="s">
        <v>1268</v>
      </c>
      <c r="T519" s="20" t="s">
        <v>12</v>
      </c>
      <c r="U519" s="53" t="n">
        <v>0</v>
      </c>
      <c r="V519" s="76" t="s">
        <v>653</v>
      </c>
      <c r="W519" s="53" t="n">
        <v>2</v>
      </c>
    </row>
    <row r="520" customFormat="false" ht="35.05" hidden="false" customHeight="false" outlineLevel="0" collapsed="false">
      <c r="A520" s="76" t="n">
        <v>505</v>
      </c>
      <c r="B520" s="20" t="s">
        <v>1167</v>
      </c>
      <c r="C520" s="20" t="s">
        <v>633</v>
      </c>
      <c r="D520" s="20" t="s">
        <v>652</v>
      </c>
      <c r="E520" s="20" t="s">
        <v>653</v>
      </c>
      <c r="F520" s="76" t="s">
        <v>516</v>
      </c>
      <c r="G520" s="20" t="s">
        <v>1274</v>
      </c>
      <c r="H520" s="55" t="n">
        <v>20</v>
      </c>
      <c r="I520" s="76" t="s">
        <v>512</v>
      </c>
      <c r="J520" s="76" t="s">
        <v>164</v>
      </c>
      <c r="K520" s="82" t="n">
        <v>2</v>
      </c>
      <c r="L520" s="55" t="n">
        <v>8</v>
      </c>
      <c r="M520" s="73" t="n">
        <v>3.6</v>
      </c>
      <c r="N520" s="74" t="n">
        <f aca="false">K520*L520*M520</f>
        <v>57.6</v>
      </c>
      <c r="O520" s="41" t="n">
        <f aca="false">IFERROR(INDEX(Исходные!$B$21:$B$33,MATCH(H520,Исходные!$A$21:$A$33,0)),0)</f>
        <v>2.466</v>
      </c>
      <c r="P520" s="83" t="n">
        <f aca="false">N520*O520</f>
        <v>142.0416</v>
      </c>
      <c r="Q520" s="20" t="s">
        <v>1275</v>
      </c>
      <c r="R520" s="84" t="s">
        <v>514</v>
      </c>
      <c r="S520" s="20" t="s">
        <v>1276</v>
      </c>
      <c r="T520" s="20" t="s">
        <v>12</v>
      </c>
      <c r="U520" s="53" t="n">
        <v>0</v>
      </c>
      <c r="V520" s="76" t="s">
        <v>653</v>
      </c>
      <c r="W520" s="53" t="n">
        <v>2</v>
      </c>
    </row>
    <row r="521" customFormat="false" ht="35.05" hidden="false" customHeight="false" outlineLevel="0" collapsed="false">
      <c r="A521" s="76" t="n">
        <v>506</v>
      </c>
      <c r="B521" s="20" t="s">
        <v>1167</v>
      </c>
      <c r="C521" s="20" t="s">
        <v>633</v>
      </c>
      <c r="D521" s="20" t="s">
        <v>652</v>
      </c>
      <c r="E521" s="20" t="s">
        <v>653</v>
      </c>
      <c r="F521" s="76" t="s">
        <v>555</v>
      </c>
      <c r="G521" s="20" t="s">
        <v>1277</v>
      </c>
      <c r="H521" s="55" t="n">
        <v>8</v>
      </c>
      <c r="I521" s="76" t="s">
        <v>546</v>
      </c>
      <c r="J521" s="76" t="s">
        <v>644</v>
      </c>
      <c r="K521" s="82" t="n">
        <v>2</v>
      </c>
      <c r="L521" s="55" t="n">
        <v>28</v>
      </c>
      <c r="M521" s="73" t="n">
        <v>2.44</v>
      </c>
      <c r="N521" s="74" t="n">
        <f aca="false">K521*L521*M521</f>
        <v>136.64</v>
      </c>
      <c r="O521" s="41" t="n">
        <f aca="false">IFERROR(INDEX(Исходные!$B$21:$B$33,MATCH(H521,Исходные!$A$21:$A$33,0)),0)</f>
        <v>0.395</v>
      </c>
      <c r="P521" s="83" t="n">
        <f aca="false">N521*O521</f>
        <v>53.9728</v>
      </c>
      <c r="Q521" s="20" t="s">
        <v>1278</v>
      </c>
      <c r="R521" s="84" t="s">
        <v>514</v>
      </c>
      <c r="S521" s="20"/>
      <c r="T521" s="20" t="s">
        <v>12</v>
      </c>
      <c r="U521" s="53" t="n">
        <v>0</v>
      </c>
      <c r="V521" s="76" t="s">
        <v>653</v>
      </c>
      <c r="W521" s="53" t="n">
        <v>2</v>
      </c>
    </row>
    <row r="522" customFormat="false" ht="35.05" hidden="false" customHeight="false" outlineLevel="0" collapsed="false">
      <c r="A522" s="76" t="n">
        <v>507</v>
      </c>
      <c r="B522" s="20" t="s">
        <v>1167</v>
      </c>
      <c r="C522" s="20" t="s">
        <v>633</v>
      </c>
      <c r="D522" s="20" t="s">
        <v>652</v>
      </c>
      <c r="E522" s="20" t="s">
        <v>653</v>
      </c>
      <c r="F522" s="76" t="s">
        <v>558</v>
      </c>
      <c r="G522" s="20" t="s">
        <v>1279</v>
      </c>
      <c r="H522" s="55" t="n">
        <v>8</v>
      </c>
      <c r="I522" s="76" t="s">
        <v>546</v>
      </c>
      <c r="J522" s="76" t="n">
        <v>200</v>
      </c>
      <c r="K522" s="82" t="n">
        <v>2</v>
      </c>
      <c r="L522" s="55" t="n">
        <v>32</v>
      </c>
      <c r="M522" s="73" t="n">
        <v>1.96</v>
      </c>
      <c r="N522" s="74" t="n">
        <f aca="false">K522*L522*M522</f>
        <v>125.44</v>
      </c>
      <c r="O522" s="41" t="n">
        <f aca="false">IFERROR(INDEX(Исходные!$B$21:$B$33,MATCH(H522,Исходные!$A$21:$A$33,0)),0)</f>
        <v>0.395</v>
      </c>
      <c r="P522" s="83" t="n">
        <f aca="false">N522*O522</f>
        <v>49.5488</v>
      </c>
      <c r="Q522" s="20" t="s">
        <v>1280</v>
      </c>
      <c r="R522" s="84" t="s">
        <v>514</v>
      </c>
      <c r="S522" s="20"/>
      <c r="T522" s="20" t="s">
        <v>12</v>
      </c>
      <c r="U522" s="53" t="n">
        <v>0</v>
      </c>
      <c r="V522" s="76" t="s">
        <v>653</v>
      </c>
      <c r="W522" s="53" t="n">
        <v>2</v>
      </c>
    </row>
    <row r="523" customFormat="false" ht="15" hidden="false" customHeight="true" outlineLevel="0" collapsed="false">
      <c r="A523" s="81" t="s">
        <v>1291</v>
      </c>
      <c r="B523" s="81"/>
      <c r="C523" s="81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</row>
    <row r="524" customFormat="false" ht="35.05" hidden="false" customHeight="false" outlineLevel="0" collapsed="false">
      <c r="A524" s="76" t="n">
        <v>508</v>
      </c>
      <c r="B524" s="20" t="s">
        <v>1167</v>
      </c>
      <c r="C524" s="20" t="s">
        <v>655</v>
      </c>
      <c r="D524" s="20" t="s">
        <v>1292</v>
      </c>
      <c r="E524" s="20" t="s">
        <v>657</v>
      </c>
      <c r="F524" s="76" t="s">
        <v>519</v>
      </c>
      <c r="G524" s="20" t="s">
        <v>658</v>
      </c>
      <c r="H524" s="55" t="n">
        <v>28</v>
      </c>
      <c r="I524" s="76" t="s">
        <v>512</v>
      </c>
      <c r="J524" s="76" t="s">
        <v>164</v>
      </c>
      <c r="K524" s="82" t="n">
        <v>1</v>
      </c>
      <c r="L524" s="55" t="n">
        <v>4</v>
      </c>
      <c r="M524" s="73" t="n">
        <v>25.5</v>
      </c>
      <c r="N524" s="74" t="n">
        <f aca="false">K524*L524*M524</f>
        <v>102</v>
      </c>
      <c r="O524" s="41" t="n">
        <f aca="false">IFERROR(INDEX(Исходные!$B$21:$B$33,MATCH(H524,Исходные!$A$21:$A$33,0)),0)</f>
        <v>4.834</v>
      </c>
      <c r="P524" s="83" t="n">
        <f aca="false">N524*O524</f>
        <v>493.068</v>
      </c>
      <c r="Q524" s="20" t="s">
        <v>1293</v>
      </c>
      <c r="R524" s="84" t="s">
        <v>660</v>
      </c>
      <c r="S524" s="20" t="s">
        <v>661</v>
      </c>
      <c r="T524" s="20" t="s">
        <v>123</v>
      </c>
      <c r="U524" s="53" t="n">
        <v>0</v>
      </c>
      <c r="V524" s="76" t="s">
        <v>657</v>
      </c>
      <c r="W524" s="53" t="n">
        <v>2</v>
      </c>
    </row>
    <row r="525" customFormat="false" ht="35.05" hidden="false" customHeight="false" outlineLevel="0" collapsed="false">
      <c r="A525" s="76" t="n">
        <v>509</v>
      </c>
      <c r="B525" s="20" t="s">
        <v>1167</v>
      </c>
      <c r="C525" s="20" t="s">
        <v>655</v>
      </c>
      <c r="D525" s="20" t="s">
        <v>1292</v>
      </c>
      <c r="E525" s="20" t="s">
        <v>657</v>
      </c>
      <c r="F525" s="76" t="s">
        <v>529</v>
      </c>
      <c r="G525" s="20" t="s">
        <v>662</v>
      </c>
      <c r="H525" s="55" t="n">
        <v>18</v>
      </c>
      <c r="I525" s="76" t="s">
        <v>512</v>
      </c>
      <c r="J525" s="76" t="s">
        <v>164</v>
      </c>
      <c r="K525" s="82" t="n">
        <v>1</v>
      </c>
      <c r="L525" s="55" t="n">
        <v>2</v>
      </c>
      <c r="M525" s="73" t="n">
        <v>25.5</v>
      </c>
      <c r="N525" s="74" t="n">
        <f aca="false">K525*L525*M525</f>
        <v>51</v>
      </c>
      <c r="O525" s="41" t="n">
        <f aca="false">IFERROR(INDEX(Исходные!$B$21:$B$33,MATCH(H525,Исходные!$A$21:$A$33,0)),0)</f>
        <v>1.998</v>
      </c>
      <c r="P525" s="83" t="n">
        <f aca="false">N525*O525</f>
        <v>101.898</v>
      </c>
      <c r="Q525" s="20" t="s">
        <v>663</v>
      </c>
      <c r="R525" s="84" t="s">
        <v>660</v>
      </c>
      <c r="S525" s="20"/>
      <c r="T525" s="20" t="s">
        <v>123</v>
      </c>
      <c r="U525" s="53" t="n">
        <v>0</v>
      </c>
      <c r="V525" s="76" t="s">
        <v>657</v>
      </c>
      <c r="W525" s="53" t="n">
        <v>2</v>
      </c>
    </row>
    <row r="526" customFormat="false" ht="35.05" hidden="false" customHeight="false" outlineLevel="0" collapsed="false">
      <c r="A526" s="76" t="n">
        <v>510</v>
      </c>
      <c r="B526" s="20" t="s">
        <v>1167</v>
      </c>
      <c r="C526" s="20" t="s">
        <v>655</v>
      </c>
      <c r="D526" s="20" t="s">
        <v>1292</v>
      </c>
      <c r="E526" s="20" t="s">
        <v>657</v>
      </c>
      <c r="F526" s="76" t="s">
        <v>664</v>
      </c>
      <c r="G526" s="20" t="s">
        <v>665</v>
      </c>
      <c r="H526" s="55" t="n">
        <v>18</v>
      </c>
      <c r="I526" s="76" t="s">
        <v>512</v>
      </c>
      <c r="J526" s="76" t="s">
        <v>164</v>
      </c>
      <c r="K526" s="82" t="n">
        <v>2</v>
      </c>
      <c r="L526" s="55" t="n">
        <v>2</v>
      </c>
      <c r="M526" s="73" t="n">
        <v>0.144</v>
      </c>
      <c r="N526" s="74" t="n">
        <f aca="false">K526*L526*M526</f>
        <v>0.576</v>
      </c>
      <c r="O526" s="41" t="n">
        <f aca="false">IFERROR(INDEX(Исходные!$B$21:$B$33,MATCH(H526,Исходные!$A$21:$A$33,0)),0)</f>
        <v>1.998</v>
      </c>
      <c r="P526" s="83" t="n">
        <f aca="false">N526*O526</f>
        <v>1.150848</v>
      </c>
      <c r="Q526" s="20" t="s">
        <v>666</v>
      </c>
      <c r="R526" s="84" t="s">
        <v>667</v>
      </c>
      <c r="S526" s="20" t="s">
        <v>668</v>
      </c>
      <c r="T526" s="20" t="s">
        <v>123</v>
      </c>
      <c r="U526" s="53" t="n">
        <v>0</v>
      </c>
      <c r="V526" s="76" t="s">
        <v>657</v>
      </c>
      <c r="W526" s="53" t="n">
        <v>2</v>
      </c>
    </row>
    <row r="527" customFormat="false" ht="35.05" hidden="false" customHeight="false" outlineLevel="0" collapsed="false">
      <c r="A527" s="76" t="n">
        <v>511</v>
      </c>
      <c r="B527" s="20" t="s">
        <v>1167</v>
      </c>
      <c r="C527" s="20" t="s">
        <v>655</v>
      </c>
      <c r="D527" s="20" t="s">
        <v>1292</v>
      </c>
      <c r="E527" s="20" t="s">
        <v>657</v>
      </c>
      <c r="F527" s="76" t="s">
        <v>669</v>
      </c>
      <c r="G527" s="20" t="s">
        <v>670</v>
      </c>
      <c r="H527" s="55" t="n">
        <v>16</v>
      </c>
      <c r="I527" s="76" t="s">
        <v>512</v>
      </c>
      <c r="J527" s="76" t="s">
        <v>164</v>
      </c>
      <c r="K527" s="82" t="n">
        <v>1</v>
      </c>
      <c r="L527" s="55" t="n">
        <v>2</v>
      </c>
      <c r="M527" s="73" t="n">
        <v>25.5</v>
      </c>
      <c r="N527" s="74" t="n">
        <f aca="false">K527*L527*M527</f>
        <v>51</v>
      </c>
      <c r="O527" s="41" t="n">
        <f aca="false">IFERROR(INDEX(Исходные!$B$21:$B$33,MATCH(H527,Исходные!$A$21:$A$33,0)),0)</f>
        <v>1.578</v>
      </c>
      <c r="P527" s="83" t="n">
        <f aca="false">N527*O527</f>
        <v>80.478</v>
      </c>
      <c r="Q527" s="20" t="s">
        <v>671</v>
      </c>
      <c r="R527" s="84" t="s">
        <v>660</v>
      </c>
      <c r="S527" s="20"/>
      <c r="T527" s="20" t="s">
        <v>123</v>
      </c>
      <c r="U527" s="53" t="n">
        <v>0</v>
      </c>
      <c r="V527" s="76" t="s">
        <v>657</v>
      </c>
      <c r="W527" s="53" t="n">
        <v>2</v>
      </c>
    </row>
    <row r="528" customFormat="false" ht="35.05" hidden="false" customHeight="false" outlineLevel="0" collapsed="false">
      <c r="A528" s="76" t="n">
        <v>512</v>
      </c>
      <c r="B528" s="20" t="s">
        <v>1167</v>
      </c>
      <c r="C528" s="20" t="s">
        <v>655</v>
      </c>
      <c r="D528" s="20" t="s">
        <v>1292</v>
      </c>
      <c r="E528" s="20" t="s">
        <v>657</v>
      </c>
      <c r="F528" s="76" t="s">
        <v>672</v>
      </c>
      <c r="G528" s="20" t="s">
        <v>673</v>
      </c>
      <c r="H528" s="55" t="n">
        <v>16</v>
      </c>
      <c r="I528" s="76" t="s">
        <v>512</v>
      </c>
      <c r="J528" s="76" t="s">
        <v>164</v>
      </c>
      <c r="K528" s="82" t="n">
        <v>2</v>
      </c>
      <c r="L528" s="55" t="n">
        <v>2</v>
      </c>
      <c r="M528" s="73" t="n">
        <v>0.128</v>
      </c>
      <c r="N528" s="74" t="n">
        <f aca="false">K528*L528*M528</f>
        <v>0.512</v>
      </c>
      <c r="O528" s="41" t="n">
        <f aca="false">IFERROR(INDEX(Исходные!$B$21:$B$33,MATCH(H528,Исходные!$A$21:$A$33,0)),0)</f>
        <v>1.578</v>
      </c>
      <c r="P528" s="83" t="n">
        <f aca="false">N528*O528</f>
        <v>0.807936</v>
      </c>
      <c r="Q528" s="20" t="s">
        <v>674</v>
      </c>
      <c r="R528" s="84" t="s">
        <v>667</v>
      </c>
      <c r="S528" s="20" t="s">
        <v>675</v>
      </c>
      <c r="T528" s="20" t="s">
        <v>123</v>
      </c>
      <c r="U528" s="53" t="n">
        <v>0</v>
      </c>
      <c r="V528" s="76" t="s">
        <v>657</v>
      </c>
      <c r="W528" s="53" t="n">
        <v>2</v>
      </c>
    </row>
    <row r="529" customFormat="false" ht="35.05" hidden="false" customHeight="false" outlineLevel="0" collapsed="false">
      <c r="A529" s="76" t="n">
        <v>513</v>
      </c>
      <c r="B529" s="20" t="s">
        <v>1167</v>
      </c>
      <c r="C529" s="20" t="s">
        <v>655</v>
      </c>
      <c r="D529" s="20" t="s">
        <v>1292</v>
      </c>
      <c r="E529" s="20" t="s">
        <v>657</v>
      </c>
      <c r="F529" s="76" t="s">
        <v>676</v>
      </c>
      <c r="G529" s="20" t="s">
        <v>677</v>
      </c>
      <c r="H529" s="55" t="n">
        <v>28</v>
      </c>
      <c r="I529" s="76" t="s">
        <v>512</v>
      </c>
      <c r="J529" s="76" t="s">
        <v>164</v>
      </c>
      <c r="K529" s="82" t="n">
        <v>1</v>
      </c>
      <c r="L529" s="55" t="n">
        <v>2</v>
      </c>
      <c r="M529" s="73" t="n">
        <v>2.05</v>
      </c>
      <c r="N529" s="74" t="n">
        <f aca="false">K529*L529*M529</f>
        <v>4.1</v>
      </c>
      <c r="O529" s="41" t="n">
        <f aca="false">IFERROR(INDEX(Исходные!$B$21:$B$33,MATCH(H529,Исходные!$A$21:$A$33,0)),0)</f>
        <v>4.834</v>
      </c>
      <c r="P529" s="83" t="n">
        <f aca="false">N529*O529</f>
        <v>19.8194</v>
      </c>
      <c r="Q529" s="20" t="s">
        <v>1294</v>
      </c>
      <c r="R529" s="84" t="s">
        <v>660</v>
      </c>
      <c r="S529" s="20" t="s">
        <v>1295</v>
      </c>
      <c r="T529" s="20" t="s">
        <v>123</v>
      </c>
      <c r="U529" s="53" t="n">
        <v>0</v>
      </c>
      <c r="V529" s="76" t="s">
        <v>657</v>
      </c>
      <c r="W529" s="53" t="n">
        <v>2</v>
      </c>
    </row>
    <row r="530" customFormat="false" ht="35.05" hidden="false" customHeight="false" outlineLevel="0" collapsed="false">
      <c r="A530" s="76" t="n">
        <v>514</v>
      </c>
      <c r="B530" s="20" t="s">
        <v>1167</v>
      </c>
      <c r="C530" s="20" t="s">
        <v>655</v>
      </c>
      <c r="D530" s="20" t="s">
        <v>1292</v>
      </c>
      <c r="E530" s="20" t="s">
        <v>657</v>
      </c>
      <c r="F530" s="76" t="s">
        <v>676</v>
      </c>
      <c r="G530" s="20" t="s">
        <v>680</v>
      </c>
      <c r="H530" s="55" t="n">
        <v>25</v>
      </c>
      <c r="I530" s="76" t="s">
        <v>512</v>
      </c>
      <c r="J530" s="76" t="s">
        <v>164</v>
      </c>
      <c r="K530" s="82" t="n">
        <v>1</v>
      </c>
      <c r="L530" s="55" t="n">
        <v>2</v>
      </c>
      <c r="M530" s="73" t="n">
        <v>4.5</v>
      </c>
      <c r="N530" s="74" t="n">
        <f aca="false">K530*L530*M530</f>
        <v>9</v>
      </c>
      <c r="O530" s="41" t="n">
        <f aca="false">IFERROR(INDEX(Исходные!$B$21:$B$33,MATCH(H530,Исходные!$A$21:$A$33,0)),0)</f>
        <v>3.853</v>
      </c>
      <c r="P530" s="83" t="n">
        <f aca="false">N530*O530</f>
        <v>34.677</v>
      </c>
      <c r="Q530" s="20" t="s">
        <v>1296</v>
      </c>
      <c r="R530" s="84" t="s">
        <v>660</v>
      </c>
      <c r="S530" s="20" t="s">
        <v>682</v>
      </c>
      <c r="T530" s="20" t="s">
        <v>123</v>
      </c>
      <c r="U530" s="53" t="n">
        <v>0</v>
      </c>
      <c r="V530" s="76" t="s">
        <v>657</v>
      </c>
      <c r="W530" s="53" t="n">
        <v>2</v>
      </c>
    </row>
    <row r="531" customFormat="false" ht="35.05" hidden="false" customHeight="false" outlineLevel="0" collapsed="false">
      <c r="A531" s="76" t="n">
        <v>515</v>
      </c>
      <c r="B531" s="20" t="s">
        <v>1167</v>
      </c>
      <c r="C531" s="20" t="s">
        <v>655</v>
      </c>
      <c r="D531" s="20" t="s">
        <v>1292</v>
      </c>
      <c r="E531" s="20" t="s">
        <v>657</v>
      </c>
      <c r="F531" s="76" t="s">
        <v>676</v>
      </c>
      <c r="G531" s="20" t="s">
        <v>683</v>
      </c>
      <c r="H531" s="55" t="n">
        <v>22</v>
      </c>
      <c r="I531" s="76" t="s">
        <v>512</v>
      </c>
      <c r="J531" s="76" t="s">
        <v>164</v>
      </c>
      <c r="K531" s="82" t="n">
        <v>1</v>
      </c>
      <c r="L531" s="55" t="n">
        <v>2</v>
      </c>
      <c r="M531" s="73" t="n">
        <v>4.5</v>
      </c>
      <c r="N531" s="74" t="n">
        <f aca="false">K531*L531*M531</f>
        <v>9</v>
      </c>
      <c r="O531" s="41" t="n">
        <f aca="false">IFERROR(INDEX(Исходные!$B$21:$B$33,MATCH(H531,Исходные!$A$21:$A$33,0)),0)</f>
        <v>2.984</v>
      </c>
      <c r="P531" s="83" t="n">
        <f aca="false">N531*O531</f>
        <v>26.856</v>
      </c>
      <c r="Q531" s="20" t="s">
        <v>1297</v>
      </c>
      <c r="R531" s="84" t="s">
        <v>660</v>
      </c>
      <c r="S531" s="20" t="s">
        <v>682</v>
      </c>
      <c r="T531" s="20" t="s">
        <v>123</v>
      </c>
      <c r="U531" s="53" t="n">
        <v>0</v>
      </c>
      <c r="V531" s="76" t="s">
        <v>657</v>
      </c>
      <c r="W531" s="53" t="n">
        <v>2</v>
      </c>
    </row>
    <row r="532" customFormat="false" ht="35.05" hidden="false" customHeight="false" outlineLevel="0" collapsed="false">
      <c r="A532" s="76" t="n">
        <v>516</v>
      </c>
      <c r="B532" s="20" t="s">
        <v>1167</v>
      </c>
      <c r="C532" s="20" t="s">
        <v>655</v>
      </c>
      <c r="D532" s="20" t="s">
        <v>1292</v>
      </c>
      <c r="E532" s="20" t="s">
        <v>657</v>
      </c>
      <c r="F532" s="76" t="s">
        <v>676</v>
      </c>
      <c r="G532" s="20" t="s">
        <v>685</v>
      </c>
      <c r="H532" s="55" t="n">
        <v>32</v>
      </c>
      <c r="I532" s="76" t="s">
        <v>512</v>
      </c>
      <c r="J532" s="76" t="s">
        <v>164</v>
      </c>
      <c r="K532" s="82" t="n">
        <v>1</v>
      </c>
      <c r="L532" s="55" t="n">
        <v>2</v>
      </c>
      <c r="M532" s="73" t="n">
        <v>3.3</v>
      </c>
      <c r="N532" s="74" t="n">
        <f aca="false">K532*L532*M532</f>
        <v>6.6</v>
      </c>
      <c r="O532" s="41" t="n">
        <f aca="false">IFERROR(INDEX(Исходные!$B$21:$B$33,MATCH(H532,Исходные!$A$21:$A$33,0)),0)</f>
        <v>6.313</v>
      </c>
      <c r="P532" s="83" t="n">
        <f aca="false">N532*O532</f>
        <v>41.6658</v>
      </c>
      <c r="Q532" s="20" t="s">
        <v>1298</v>
      </c>
      <c r="R532" s="84" t="s">
        <v>660</v>
      </c>
      <c r="S532" s="20" t="s">
        <v>687</v>
      </c>
      <c r="T532" s="20" t="s">
        <v>123</v>
      </c>
      <c r="U532" s="53" t="n">
        <v>0</v>
      </c>
      <c r="V532" s="76" t="s">
        <v>657</v>
      </c>
      <c r="W532" s="53" t="n">
        <v>2</v>
      </c>
    </row>
    <row r="533" customFormat="false" ht="35.05" hidden="false" customHeight="false" outlineLevel="0" collapsed="false">
      <c r="A533" s="76" t="n">
        <v>517</v>
      </c>
      <c r="B533" s="20" t="s">
        <v>1167</v>
      </c>
      <c r="C533" s="20" t="s">
        <v>655</v>
      </c>
      <c r="D533" s="20" t="s">
        <v>1292</v>
      </c>
      <c r="E533" s="20" t="s">
        <v>657</v>
      </c>
      <c r="F533" s="76" t="s">
        <v>676</v>
      </c>
      <c r="G533" s="20" t="s">
        <v>688</v>
      </c>
      <c r="H533" s="55" t="n">
        <v>25</v>
      </c>
      <c r="I533" s="76" t="s">
        <v>512</v>
      </c>
      <c r="J533" s="76" t="s">
        <v>164</v>
      </c>
      <c r="K533" s="82" t="n">
        <v>1</v>
      </c>
      <c r="L533" s="55" t="n">
        <v>2</v>
      </c>
      <c r="M533" s="73" t="n">
        <v>7.85</v>
      </c>
      <c r="N533" s="74" t="n">
        <f aca="false">K533*L533*M533</f>
        <v>15.7</v>
      </c>
      <c r="O533" s="41" t="n">
        <f aca="false">IFERROR(INDEX(Исходные!$B$21:$B$33,MATCH(H533,Исходные!$A$21:$A$33,0)),0)</f>
        <v>3.853</v>
      </c>
      <c r="P533" s="83" t="n">
        <f aca="false">N533*O533</f>
        <v>60.4921</v>
      </c>
      <c r="Q533" s="20" t="s">
        <v>1296</v>
      </c>
      <c r="R533" s="84" t="s">
        <v>660</v>
      </c>
      <c r="S533" s="20" t="s">
        <v>1299</v>
      </c>
      <c r="T533" s="20" t="s">
        <v>123</v>
      </c>
      <c r="U533" s="53" t="n">
        <v>0</v>
      </c>
      <c r="V533" s="76" t="s">
        <v>657</v>
      </c>
      <c r="W533" s="53" t="n">
        <v>2</v>
      </c>
    </row>
    <row r="534" customFormat="false" ht="35.05" hidden="false" customHeight="false" outlineLevel="0" collapsed="false">
      <c r="A534" s="76" t="n">
        <v>518</v>
      </c>
      <c r="B534" s="20" t="s">
        <v>1167</v>
      </c>
      <c r="C534" s="20" t="s">
        <v>655</v>
      </c>
      <c r="D534" s="20" t="s">
        <v>1292</v>
      </c>
      <c r="E534" s="20" t="s">
        <v>657</v>
      </c>
      <c r="F534" s="76" t="s">
        <v>676</v>
      </c>
      <c r="G534" s="20" t="s">
        <v>690</v>
      </c>
      <c r="H534" s="55" t="n">
        <v>25</v>
      </c>
      <c r="I534" s="76" t="s">
        <v>512</v>
      </c>
      <c r="J534" s="76" t="s">
        <v>164</v>
      </c>
      <c r="K534" s="82" t="n">
        <v>1</v>
      </c>
      <c r="L534" s="55" t="n">
        <v>2</v>
      </c>
      <c r="M534" s="73" t="n">
        <v>7.85</v>
      </c>
      <c r="N534" s="74" t="n">
        <f aca="false">K534*L534*M534</f>
        <v>15.7</v>
      </c>
      <c r="O534" s="41" t="n">
        <f aca="false">IFERROR(INDEX(Исходные!$B$21:$B$33,MATCH(H534,Исходные!$A$21:$A$33,0)),0)</f>
        <v>3.853</v>
      </c>
      <c r="P534" s="83" t="n">
        <f aca="false">N534*O534</f>
        <v>60.4921</v>
      </c>
      <c r="Q534" s="20" t="s">
        <v>1296</v>
      </c>
      <c r="R534" s="84" t="s">
        <v>660</v>
      </c>
      <c r="S534" s="20" t="s">
        <v>1299</v>
      </c>
      <c r="T534" s="20" t="s">
        <v>123</v>
      </c>
      <c r="U534" s="53" t="n">
        <v>0</v>
      </c>
      <c r="V534" s="76" t="s">
        <v>657</v>
      </c>
      <c r="W534" s="53" t="n">
        <v>2</v>
      </c>
    </row>
    <row r="535" customFormat="false" ht="35.05" hidden="false" customHeight="false" outlineLevel="0" collapsed="false">
      <c r="A535" s="76" t="n">
        <v>519</v>
      </c>
      <c r="B535" s="20" t="s">
        <v>1167</v>
      </c>
      <c r="C535" s="20" t="s">
        <v>655</v>
      </c>
      <c r="D535" s="20" t="s">
        <v>1292</v>
      </c>
      <c r="E535" s="20" t="s">
        <v>657</v>
      </c>
      <c r="F535" s="76" t="s">
        <v>676</v>
      </c>
      <c r="G535" s="20" t="s">
        <v>691</v>
      </c>
      <c r="H535" s="55" t="n">
        <v>16</v>
      </c>
      <c r="I535" s="76" t="s">
        <v>512</v>
      </c>
      <c r="J535" s="76" t="s">
        <v>164</v>
      </c>
      <c r="K535" s="82" t="n">
        <v>1</v>
      </c>
      <c r="L535" s="55" t="n">
        <v>2</v>
      </c>
      <c r="M535" s="73" t="n">
        <v>9.45</v>
      </c>
      <c r="N535" s="74" t="n">
        <f aca="false">K535*L535*M535</f>
        <v>18.9</v>
      </c>
      <c r="O535" s="41" t="n">
        <f aca="false">IFERROR(INDEX(Исходные!$B$21:$B$33,MATCH(H535,Исходные!$A$21:$A$33,0)),0)</f>
        <v>1.578</v>
      </c>
      <c r="P535" s="83" t="n">
        <f aca="false">N535*O535</f>
        <v>29.8242</v>
      </c>
      <c r="Q535" s="20" t="s">
        <v>1300</v>
      </c>
      <c r="R535" s="84" t="s">
        <v>660</v>
      </c>
      <c r="S535" s="20" t="s">
        <v>1301</v>
      </c>
      <c r="T535" s="20" t="s">
        <v>123</v>
      </c>
      <c r="U535" s="53" t="n">
        <v>0</v>
      </c>
      <c r="V535" s="76" t="s">
        <v>657</v>
      </c>
      <c r="W535" s="53" t="n">
        <v>2</v>
      </c>
    </row>
    <row r="536" customFormat="false" ht="35.05" hidden="false" customHeight="false" outlineLevel="0" collapsed="false">
      <c r="A536" s="76" t="n">
        <v>520</v>
      </c>
      <c r="B536" s="20" t="s">
        <v>1167</v>
      </c>
      <c r="C536" s="20" t="s">
        <v>655</v>
      </c>
      <c r="D536" s="20" t="s">
        <v>1292</v>
      </c>
      <c r="E536" s="20" t="s">
        <v>657</v>
      </c>
      <c r="F536" s="76" t="s">
        <v>676</v>
      </c>
      <c r="G536" s="20" t="s">
        <v>1302</v>
      </c>
      <c r="H536" s="55" t="n">
        <v>20</v>
      </c>
      <c r="I536" s="76" t="s">
        <v>512</v>
      </c>
      <c r="J536" s="76" t="s">
        <v>164</v>
      </c>
      <c r="K536" s="82" t="n">
        <v>1</v>
      </c>
      <c r="L536" s="55" t="n">
        <v>2</v>
      </c>
      <c r="M536" s="73" t="n">
        <v>3.3</v>
      </c>
      <c r="N536" s="74" t="n">
        <f aca="false">K536*L536*M536</f>
        <v>6.6</v>
      </c>
      <c r="O536" s="41" t="n">
        <f aca="false">IFERROR(INDEX(Исходные!$B$21:$B$33,MATCH(H536,Исходные!$A$21:$A$33,0)),0)</f>
        <v>2.466</v>
      </c>
      <c r="P536" s="83" t="n">
        <f aca="false">N536*O536</f>
        <v>16.2756</v>
      </c>
      <c r="Q536" s="20" t="s">
        <v>1303</v>
      </c>
      <c r="R536" s="84" t="s">
        <v>660</v>
      </c>
      <c r="S536" s="20" t="s">
        <v>687</v>
      </c>
      <c r="T536" s="20" t="s">
        <v>123</v>
      </c>
      <c r="U536" s="53" t="n">
        <v>0</v>
      </c>
      <c r="V536" s="76" t="s">
        <v>657</v>
      </c>
      <c r="W536" s="53" t="n">
        <v>2</v>
      </c>
    </row>
    <row r="537" customFormat="false" ht="35.05" hidden="false" customHeight="false" outlineLevel="0" collapsed="false">
      <c r="A537" s="76" t="n">
        <v>521</v>
      </c>
      <c r="B537" s="20" t="s">
        <v>1167</v>
      </c>
      <c r="C537" s="20" t="s">
        <v>655</v>
      </c>
      <c r="D537" s="20" t="s">
        <v>1292</v>
      </c>
      <c r="E537" s="20" t="s">
        <v>657</v>
      </c>
      <c r="F537" s="76" t="s">
        <v>676</v>
      </c>
      <c r="G537" s="20" t="s">
        <v>1304</v>
      </c>
      <c r="H537" s="55" t="n">
        <v>32</v>
      </c>
      <c r="I537" s="76" t="s">
        <v>512</v>
      </c>
      <c r="J537" s="76" t="s">
        <v>164</v>
      </c>
      <c r="K537" s="82" t="n">
        <v>1</v>
      </c>
      <c r="L537" s="55" t="n">
        <v>2</v>
      </c>
      <c r="M537" s="73" t="n">
        <v>7.85</v>
      </c>
      <c r="N537" s="74" t="n">
        <f aca="false">K537*L537*M537</f>
        <v>15.7</v>
      </c>
      <c r="O537" s="41" t="n">
        <f aca="false">IFERROR(INDEX(Исходные!$B$21:$B$33,MATCH(H537,Исходные!$A$21:$A$33,0)),0)</f>
        <v>6.313</v>
      </c>
      <c r="P537" s="83" t="n">
        <f aca="false">N537*O537</f>
        <v>99.1141</v>
      </c>
      <c r="Q537" s="20" t="s">
        <v>1298</v>
      </c>
      <c r="R537" s="84" t="s">
        <v>660</v>
      </c>
      <c r="S537" s="20" t="s">
        <v>1299</v>
      </c>
      <c r="T537" s="20" t="s">
        <v>123</v>
      </c>
      <c r="U537" s="53" t="n">
        <v>0</v>
      </c>
      <c r="V537" s="76" t="s">
        <v>657</v>
      </c>
      <c r="W537" s="53" t="n">
        <v>2</v>
      </c>
    </row>
    <row r="538" customFormat="false" ht="35.05" hidden="false" customHeight="false" outlineLevel="0" collapsed="false">
      <c r="A538" s="76" t="n">
        <v>522</v>
      </c>
      <c r="B538" s="20" t="s">
        <v>1167</v>
      </c>
      <c r="C538" s="20" t="s">
        <v>655</v>
      </c>
      <c r="D538" s="20" t="s">
        <v>1292</v>
      </c>
      <c r="E538" s="20" t="s">
        <v>657</v>
      </c>
      <c r="F538" s="76" t="s">
        <v>676</v>
      </c>
      <c r="G538" s="20" t="s">
        <v>1305</v>
      </c>
      <c r="H538" s="55" t="n">
        <v>18</v>
      </c>
      <c r="I538" s="76" t="s">
        <v>512</v>
      </c>
      <c r="J538" s="76" t="s">
        <v>164</v>
      </c>
      <c r="K538" s="82" t="n">
        <v>1</v>
      </c>
      <c r="L538" s="55" t="n">
        <v>1</v>
      </c>
      <c r="M538" s="73" t="n">
        <v>4.8</v>
      </c>
      <c r="N538" s="74" t="n">
        <f aca="false">K538*L538*M538</f>
        <v>4.8</v>
      </c>
      <c r="O538" s="41" t="n">
        <f aca="false">IFERROR(INDEX(Исходные!$B$21:$B$33,MATCH(H538,Исходные!$A$21:$A$33,0)),0)</f>
        <v>1.998</v>
      </c>
      <c r="P538" s="83" t="n">
        <f aca="false">N538*O538</f>
        <v>9.5904</v>
      </c>
      <c r="Q538" s="20" t="s">
        <v>1306</v>
      </c>
      <c r="R538" s="84" t="s">
        <v>660</v>
      </c>
      <c r="S538" s="20" t="s">
        <v>1307</v>
      </c>
      <c r="T538" s="20" t="s">
        <v>123</v>
      </c>
      <c r="U538" s="53" t="n">
        <v>0</v>
      </c>
      <c r="V538" s="76" t="s">
        <v>657</v>
      </c>
      <c r="W538" s="53" t="n">
        <v>2</v>
      </c>
    </row>
    <row r="539" customFormat="false" ht="35.05" hidden="false" customHeight="false" outlineLevel="0" collapsed="false">
      <c r="A539" s="76" t="n">
        <v>523</v>
      </c>
      <c r="B539" s="20" t="s">
        <v>1167</v>
      </c>
      <c r="C539" s="20" t="s">
        <v>655</v>
      </c>
      <c r="D539" s="20" t="s">
        <v>1292</v>
      </c>
      <c r="E539" s="20" t="s">
        <v>657</v>
      </c>
      <c r="F539" s="76" t="s">
        <v>696</v>
      </c>
      <c r="G539" s="20" t="s">
        <v>1308</v>
      </c>
      <c r="H539" s="55" t="n">
        <v>8</v>
      </c>
      <c r="I539" s="76" t="s">
        <v>546</v>
      </c>
      <c r="J539" s="76" t="s">
        <v>698</v>
      </c>
      <c r="K539" s="82" t="n">
        <v>1</v>
      </c>
      <c r="L539" s="55" t="n">
        <v>112</v>
      </c>
      <c r="M539" s="73" t="n">
        <v>2.06</v>
      </c>
      <c r="N539" s="74" t="n">
        <f aca="false">K539*L539*M539</f>
        <v>230.72</v>
      </c>
      <c r="O539" s="41" t="n">
        <f aca="false">IFERROR(INDEX(Исходные!$B$21:$B$33,MATCH(H539,Исходные!$A$21:$A$33,0)),0)</f>
        <v>0.395</v>
      </c>
      <c r="P539" s="83" t="n">
        <f aca="false">N539*O539</f>
        <v>91.1344</v>
      </c>
      <c r="Q539" s="20" t="s">
        <v>1309</v>
      </c>
      <c r="R539" s="84" t="s">
        <v>514</v>
      </c>
      <c r="S539" s="20" t="s">
        <v>1310</v>
      </c>
      <c r="T539" s="20" t="s">
        <v>123</v>
      </c>
      <c r="U539" s="53" t="n">
        <v>0</v>
      </c>
      <c r="V539" s="76" t="s">
        <v>657</v>
      </c>
      <c r="W539" s="53" t="n">
        <v>2</v>
      </c>
    </row>
    <row r="540" customFormat="false" ht="35.05" hidden="false" customHeight="false" outlineLevel="0" collapsed="false">
      <c r="A540" s="76" t="n">
        <v>524</v>
      </c>
      <c r="B540" s="20" t="s">
        <v>1167</v>
      </c>
      <c r="C540" s="20" t="s">
        <v>655</v>
      </c>
      <c r="D540" s="20" t="s">
        <v>1292</v>
      </c>
      <c r="E540" s="20" t="s">
        <v>657</v>
      </c>
      <c r="F540" s="76" t="s">
        <v>561</v>
      </c>
      <c r="G540" s="20" t="s">
        <v>1311</v>
      </c>
      <c r="H540" s="55" t="n">
        <v>10</v>
      </c>
      <c r="I540" s="76" t="s">
        <v>546</v>
      </c>
      <c r="J540" s="76" t="n">
        <v>100</v>
      </c>
      <c r="K540" s="82" t="n">
        <v>1</v>
      </c>
      <c r="L540" s="55" t="n">
        <v>56</v>
      </c>
      <c r="M540" s="73" t="n">
        <v>2.06</v>
      </c>
      <c r="N540" s="74" t="n">
        <f aca="false">K540*L540*M540</f>
        <v>115.36</v>
      </c>
      <c r="O540" s="41" t="n">
        <f aca="false">IFERROR(INDEX(Исходные!$B$21:$B$33,MATCH(H540,Исходные!$A$21:$A$33,0)),0)</f>
        <v>0.617</v>
      </c>
      <c r="P540" s="83" t="n">
        <f aca="false">N540*O540</f>
        <v>71.17712</v>
      </c>
      <c r="Q540" s="20" t="s">
        <v>1312</v>
      </c>
      <c r="R540" s="84" t="s">
        <v>514</v>
      </c>
      <c r="S540" s="20" t="s">
        <v>1313</v>
      </c>
      <c r="T540" s="20" t="s">
        <v>123</v>
      </c>
      <c r="U540" s="53" t="n">
        <v>0</v>
      </c>
      <c r="V540" s="76" t="s">
        <v>657</v>
      </c>
      <c r="W540" s="53" t="n">
        <v>2</v>
      </c>
    </row>
    <row r="541" customFormat="false" ht="35.05" hidden="false" customHeight="false" outlineLevel="0" collapsed="false">
      <c r="A541" s="76" t="n">
        <v>525</v>
      </c>
      <c r="B541" s="20" t="s">
        <v>1167</v>
      </c>
      <c r="C541" s="20" t="s">
        <v>655</v>
      </c>
      <c r="D541" s="20" t="s">
        <v>1292</v>
      </c>
      <c r="E541" s="20" t="s">
        <v>657</v>
      </c>
      <c r="F541" s="76" t="s">
        <v>603</v>
      </c>
      <c r="G541" s="20" t="s">
        <v>704</v>
      </c>
      <c r="H541" s="55" t="n">
        <v>10</v>
      </c>
      <c r="I541" s="76" t="s">
        <v>546</v>
      </c>
      <c r="J541" s="76" t="n">
        <v>100</v>
      </c>
      <c r="K541" s="82" t="n">
        <v>1</v>
      </c>
      <c r="L541" s="55" t="n">
        <v>8</v>
      </c>
      <c r="M541" s="73" t="n">
        <v>1.6</v>
      </c>
      <c r="N541" s="74" t="n">
        <f aca="false">K541*L541*M541</f>
        <v>12.8</v>
      </c>
      <c r="O541" s="41" t="n">
        <f aca="false">IFERROR(INDEX(Исходные!$B$21:$B$33,MATCH(H541,Исходные!$A$21:$A$33,0)),0)</f>
        <v>0.617</v>
      </c>
      <c r="P541" s="83" t="n">
        <f aca="false">N541*O541</f>
        <v>7.8976</v>
      </c>
      <c r="Q541" s="20" t="s">
        <v>705</v>
      </c>
      <c r="R541" s="84" t="s">
        <v>514</v>
      </c>
      <c r="S541" s="20"/>
      <c r="T541" s="20" t="s">
        <v>123</v>
      </c>
      <c r="U541" s="53" t="n">
        <v>0</v>
      </c>
      <c r="V541" s="76" t="s">
        <v>657</v>
      </c>
      <c r="W541" s="53" t="n">
        <v>2</v>
      </c>
    </row>
    <row r="542" customFormat="false" ht="35.05" hidden="false" customHeight="false" outlineLevel="0" collapsed="false">
      <c r="A542" s="76" t="n">
        <v>526</v>
      </c>
      <c r="B542" s="20" t="s">
        <v>1167</v>
      </c>
      <c r="C542" s="20" t="s">
        <v>655</v>
      </c>
      <c r="D542" s="20" t="s">
        <v>1292</v>
      </c>
      <c r="E542" s="20" t="s">
        <v>657</v>
      </c>
      <c r="F542" s="76" t="s">
        <v>706</v>
      </c>
      <c r="G542" s="20" t="s">
        <v>1314</v>
      </c>
      <c r="H542" s="55" t="n">
        <v>8</v>
      </c>
      <c r="I542" s="76" t="s">
        <v>546</v>
      </c>
      <c r="J542" s="76" t="s">
        <v>708</v>
      </c>
      <c r="K542" s="82" t="n">
        <v>1</v>
      </c>
      <c r="L542" s="55" t="n">
        <v>105</v>
      </c>
      <c r="M542" s="73" t="n">
        <v>0.75</v>
      </c>
      <c r="N542" s="74" t="n">
        <f aca="false">K542*L542*M542</f>
        <v>78.75</v>
      </c>
      <c r="O542" s="41" t="n">
        <f aca="false">IFERROR(INDEX(Исходные!$B$21:$B$33,MATCH(H542,Исходные!$A$21:$A$33,0)),0)</f>
        <v>0.395</v>
      </c>
      <c r="P542" s="83" t="n">
        <f aca="false">N542*O542</f>
        <v>31.10625</v>
      </c>
      <c r="Q542" s="20" t="s">
        <v>709</v>
      </c>
      <c r="R542" s="84" t="s">
        <v>514</v>
      </c>
      <c r="S542" s="20"/>
      <c r="T542" s="20" t="s">
        <v>123</v>
      </c>
      <c r="U542" s="53" t="n">
        <v>0</v>
      </c>
      <c r="V542" s="76" t="s">
        <v>657</v>
      </c>
      <c r="W542" s="53" t="n">
        <v>2</v>
      </c>
    </row>
    <row r="543" customFormat="false" ht="35.05" hidden="false" customHeight="false" outlineLevel="0" collapsed="false">
      <c r="A543" s="76" t="n">
        <v>527</v>
      </c>
      <c r="B543" s="20" t="s">
        <v>1167</v>
      </c>
      <c r="C543" s="20" t="s">
        <v>655</v>
      </c>
      <c r="D543" s="20" t="s">
        <v>1292</v>
      </c>
      <c r="E543" s="20" t="s">
        <v>657</v>
      </c>
      <c r="F543" s="76" t="s">
        <v>710</v>
      </c>
      <c r="G543" s="20" t="s">
        <v>1315</v>
      </c>
      <c r="H543" s="55" t="n">
        <v>8</v>
      </c>
      <c r="I543" s="76" t="s">
        <v>546</v>
      </c>
      <c r="J543" s="76" t="n">
        <v>300</v>
      </c>
      <c r="K543" s="82" t="n">
        <v>1</v>
      </c>
      <c r="L543" s="55" t="n">
        <v>70</v>
      </c>
      <c r="M543" s="73" t="n">
        <v>0.58</v>
      </c>
      <c r="N543" s="74" t="n">
        <f aca="false">K543*L543*M543</f>
        <v>40.6</v>
      </c>
      <c r="O543" s="41" t="n">
        <f aca="false">IFERROR(INDEX(Исходные!$B$21:$B$33,MATCH(H543,Исходные!$A$21:$A$33,0)),0)</f>
        <v>0.395</v>
      </c>
      <c r="P543" s="83" t="n">
        <f aca="false">N543*O543</f>
        <v>16.037</v>
      </c>
      <c r="Q543" s="20" t="s">
        <v>1316</v>
      </c>
      <c r="R543" s="85" t="s">
        <v>638</v>
      </c>
      <c r="S543" s="20"/>
      <c r="T543" s="20" t="s">
        <v>123</v>
      </c>
      <c r="U543" s="53" t="n">
        <v>1</v>
      </c>
      <c r="V543" s="76" t="s">
        <v>657</v>
      </c>
      <c r="W543" s="53" t="n">
        <v>2</v>
      </c>
    </row>
    <row r="544" customFormat="false" ht="35.05" hidden="false" customHeight="false" outlineLevel="0" collapsed="false">
      <c r="A544" s="76" t="n">
        <v>528</v>
      </c>
      <c r="B544" s="20" t="s">
        <v>1167</v>
      </c>
      <c r="C544" s="20" t="s">
        <v>655</v>
      </c>
      <c r="D544" s="20" t="s">
        <v>1317</v>
      </c>
      <c r="E544" s="20" t="s">
        <v>715</v>
      </c>
      <c r="F544" s="76" t="s">
        <v>519</v>
      </c>
      <c r="G544" s="20" t="s">
        <v>658</v>
      </c>
      <c r="H544" s="55" t="n">
        <v>28</v>
      </c>
      <c r="I544" s="76" t="s">
        <v>512</v>
      </c>
      <c r="J544" s="76" t="s">
        <v>164</v>
      </c>
      <c r="K544" s="82" t="n">
        <v>1</v>
      </c>
      <c r="L544" s="55" t="n">
        <v>4</v>
      </c>
      <c r="M544" s="73" t="n">
        <v>25.5</v>
      </c>
      <c r="N544" s="74" t="n">
        <f aca="false">K544*L544*M544</f>
        <v>102</v>
      </c>
      <c r="O544" s="41" t="n">
        <f aca="false">IFERROR(INDEX(Исходные!$B$21:$B$33,MATCH(H544,Исходные!$A$21:$A$33,0)),0)</f>
        <v>4.834</v>
      </c>
      <c r="P544" s="83" t="n">
        <f aca="false">N544*O544</f>
        <v>493.068</v>
      </c>
      <c r="Q544" s="20" t="s">
        <v>1318</v>
      </c>
      <c r="R544" s="84" t="s">
        <v>660</v>
      </c>
      <c r="S544" s="20" t="s">
        <v>661</v>
      </c>
      <c r="T544" s="20" t="s">
        <v>123</v>
      </c>
      <c r="U544" s="53" t="n">
        <v>0</v>
      </c>
      <c r="V544" s="76" t="s">
        <v>715</v>
      </c>
      <c r="W544" s="53" t="n">
        <v>2</v>
      </c>
    </row>
    <row r="545" customFormat="false" ht="35.05" hidden="false" customHeight="false" outlineLevel="0" collapsed="false">
      <c r="A545" s="76" t="n">
        <v>529</v>
      </c>
      <c r="B545" s="20" t="s">
        <v>1167</v>
      </c>
      <c r="C545" s="20" t="s">
        <v>655</v>
      </c>
      <c r="D545" s="20" t="s">
        <v>1317</v>
      </c>
      <c r="E545" s="20" t="s">
        <v>715</v>
      </c>
      <c r="F545" s="76" t="s">
        <v>529</v>
      </c>
      <c r="G545" s="20" t="s">
        <v>662</v>
      </c>
      <c r="H545" s="55" t="n">
        <v>18</v>
      </c>
      <c r="I545" s="76" t="s">
        <v>512</v>
      </c>
      <c r="J545" s="76" t="s">
        <v>164</v>
      </c>
      <c r="K545" s="82" t="n">
        <v>1</v>
      </c>
      <c r="L545" s="55" t="n">
        <v>2</v>
      </c>
      <c r="M545" s="73" t="n">
        <v>25.5</v>
      </c>
      <c r="N545" s="74" t="n">
        <f aca="false">K545*L545*M545</f>
        <v>51</v>
      </c>
      <c r="O545" s="41" t="n">
        <f aca="false">IFERROR(INDEX(Исходные!$B$21:$B$33,MATCH(H545,Исходные!$A$21:$A$33,0)),0)</f>
        <v>1.998</v>
      </c>
      <c r="P545" s="83" t="n">
        <f aca="false">N545*O545</f>
        <v>101.898</v>
      </c>
      <c r="Q545" s="20" t="s">
        <v>663</v>
      </c>
      <c r="R545" s="84" t="s">
        <v>660</v>
      </c>
      <c r="S545" s="20"/>
      <c r="T545" s="20" t="s">
        <v>123</v>
      </c>
      <c r="U545" s="53" t="n">
        <v>0</v>
      </c>
      <c r="V545" s="76" t="s">
        <v>715</v>
      </c>
      <c r="W545" s="53" t="n">
        <v>2</v>
      </c>
    </row>
    <row r="546" customFormat="false" ht="35.05" hidden="false" customHeight="false" outlineLevel="0" collapsed="false">
      <c r="A546" s="76" t="n">
        <v>530</v>
      </c>
      <c r="B546" s="20" t="s">
        <v>1167</v>
      </c>
      <c r="C546" s="20" t="s">
        <v>655</v>
      </c>
      <c r="D546" s="20" t="s">
        <v>1317</v>
      </c>
      <c r="E546" s="20" t="s">
        <v>715</v>
      </c>
      <c r="F546" s="76" t="s">
        <v>664</v>
      </c>
      <c r="G546" s="20" t="s">
        <v>665</v>
      </c>
      <c r="H546" s="55" t="n">
        <v>18</v>
      </c>
      <c r="I546" s="76" t="s">
        <v>512</v>
      </c>
      <c r="J546" s="76" t="s">
        <v>164</v>
      </c>
      <c r="K546" s="82" t="n">
        <v>2</v>
      </c>
      <c r="L546" s="55" t="n">
        <v>2</v>
      </c>
      <c r="M546" s="73" t="n">
        <v>0.144</v>
      </c>
      <c r="N546" s="74" t="n">
        <f aca="false">K546*L546*M546</f>
        <v>0.576</v>
      </c>
      <c r="O546" s="41" t="n">
        <f aca="false">IFERROR(INDEX(Исходные!$B$21:$B$33,MATCH(H546,Исходные!$A$21:$A$33,0)),0)</f>
        <v>1.998</v>
      </c>
      <c r="P546" s="83" t="n">
        <f aca="false">N546*O546</f>
        <v>1.150848</v>
      </c>
      <c r="Q546" s="20" t="s">
        <v>666</v>
      </c>
      <c r="R546" s="84" t="s">
        <v>667</v>
      </c>
      <c r="S546" s="20" t="s">
        <v>668</v>
      </c>
      <c r="T546" s="20" t="s">
        <v>123</v>
      </c>
      <c r="U546" s="53" t="n">
        <v>0</v>
      </c>
      <c r="V546" s="76" t="s">
        <v>715</v>
      </c>
      <c r="W546" s="53" t="n">
        <v>2</v>
      </c>
    </row>
    <row r="547" customFormat="false" ht="35.05" hidden="false" customHeight="false" outlineLevel="0" collapsed="false">
      <c r="A547" s="76" t="n">
        <v>531</v>
      </c>
      <c r="B547" s="20" t="s">
        <v>1167</v>
      </c>
      <c r="C547" s="20" t="s">
        <v>655</v>
      </c>
      <c r="D547" s="20" t="s">
        <v>1317</v>
      </c>
      <c r="E547" s="20" t="s">
        <v>715</v>
      </c>
      <c r="F547" s="76" t="s">
        <v>669</v>
      </c>
      <c r="G547" s="20" t="s">
        <v>670</v>
      </c>
      <c r="H547" s="55" t="n">
        <v>16</v>
      </c>
      <c r="I547" s="76" t="s">
        <v>512</v>
      </c>
      <c r="J547" s="76" t="s">
        <v>164</v>
      </c>
      <c r="K547" s="82" t="n">
        <v>1</v>
      </c>
      <c r="L547" s="55" t="n">
        <v>2</v>
      </c>
      <c r="M547" s="73" t="n">
        <v>25.5</v>
      </c>
      <c r="N547" s="74" t="n">
        <f aca="false">K547*L547*M547</f>
        <v>51</v>
      </c>
      <c r="O547" s="41" t="n">
        <f aca="false">IFERROR(INDEX(Исходные!$B$21:$B$33,MATCH(H547,Исходные!$A$21:$A$33,0)),0)</f>
        <v>1.578</v>
      </c>
      <c r="P547" s="83" t="n">
        <f aca="false">N547*O547</f>
        <v>80.478</v>
      </c>
      <c r="Q547" s="20" t="s">
        <v>671</v>
      </c>
      <c r="R547" s="84" t="s">
        <v>660</v>
      </c>
      <c r="S547" s="20"/>
      <c r="T547" s="20" t="s">
        <v>123</v>
      </c>
      <c r="U547" s="53" t="n">
        <v>0</v>
      </c>
      <c r="V547" s="76" t="s">
        <v>715</v>
      </c>
      <c r="W547" s="53" t="n">
        <v>2</v>
      </c>
    </row>
    <row r="548" customFormat="false" ht="35.05" hidden="false" customHeight="false" outlineLevel="0" collapsed="false">
      <c r="A548" s="76" t="n">
        <v>532</v>
      </c>
      <c r="B548" s="20" t="s">
        <v>1167</v>
      </c>
      <c r="C548" s="20" t="s">
        <v>655</v>
      </c>
      <c r="D548" s="20" t="s">
        <v>1317</v>
      </c>
      <c r="E548" s="20" t="s">
        <v>715</v>
      </c>
      <c r="F548" s="76" t="s">
        <v>672</v>
      </c>
      <c r="G548" s="20" t="s">
        <v>673</v>
      </c>
      <c r="H548" s="55" t="n">
        <v>16</v>
      </c>
      <c r="I548" s="76" t="s">
        <v>512</v>
      </c>
      <c r="J548" s="76" t="s">
        <v>164</v>
      </c>
      <c r="K548" s="82" t="n">
        <v>2</v>
      </c>
      <c r="L548" s="55" t="n">
        <v>2</v>
      </c>
      <c r="M548" s="73" t="n">
        <v>0.128</v>
      </c>
      <c r="N548" s="74" t="n">
        <f aca="false">K548*L548*M548</f>
        <v>0.512</v>
      </c>
      <c r="O548" s="41" t="n">
        <f aca="false">IFERROR(INDEX(Исходные!$B$21:$B$33,MATCH(H548,Исходные!$A$21:$A$33,0)),0)</f>
        <v>1.578</v>
      </c>
      <c r="P548" s="83" t="n">
        <f aca="false">N548*O548</f>
        <v>0.807936</v>
      </c>
      <c r="Q548" s="20" t="s">
        <v>674</v>
      </c>
      <c r="R548" s="84" t="s">
        <v>667</v>
      </c>
      <c r="S548" s="20" t="s">
        <v>675</v>
      </c>
      <c r="T548" s="20" t="s">
        <v>123</v>
      </c>
      <c r="U548" s="53" t="n">
        <v>0</v>
      </c>
      <c r="V548" s="76" t="s">
        <v>715</v>
      </c>
      <c r="W548" s="53" t="n">
        <v>2</v>
      </c>
    </row>
    <row r="549" customFormat="false" ht="35.05" hidden="false" customHeight="false" outlineLevel="0" collapsed="false">
      <c r="A549" s="76" t="n">
        <v>533</v>
      </c>
      <c r="B549" s="20" t="s">
        <v>1167</v>
      </c>
      <c r="C549" s="20" t="s">
        <v>655</v>
      </c>
      <c r="D549" s="20" t="s">
        <v>1317</v>
      </c>
      <c r="E549" s="20" t="s">
        <v>715</v>
      </c>
      <c r="F549" s="76" t="s">
        <v>676</v>
      </c>
      <c r="G549" s="20" t="s">
        <v>677</v>
      </c>
      <c r="H549" s="55" t="n">
        <v>28</v>
      </c>
      <c r="I549" s="76" t="s">
        <v>512</v>
      </c>
      <c r="J549" s="76" t="s">
        <v>164</v>
      </c>
      <c r="K549" s="82" t="n">
        <v>1</v>
      </c>
      <c r="L549" s="55" t="n">
        <v>2</v>
      </c>
      <c r="M549" s="73" t="n">
        <v>2.05</v>
      </c>
      <c r="N549" s="74" t="n">
        <f aca="false">K549*L549*M549</f>
        <v>4.1</v>
      </c>
      <c r="O549" s="41" t="n">
        <f aca="false">IFERROR(INDEX(Исходные!$B$21:$B$33,MATCH(H549,Исходные!$A$21:$A$33,0)),0)</f>
        <v>4.834</v>
      </c>
      <c r="P549" s="83" t="n">
        <f aca="false">N549*O549</f>
        <v>19.8194</v>
      </c>
      <c r="Q549" s="20" t="s">
        <v>1319</v>
      </c>
      <c r="R549" s="84" t="s">
        <v>660</v>
      </c>
      <c r="S549" s="20" t="s">
        <v>1295</v>
      </c>
      <c r="T549" s="20" t="s">
        <v>123</v>
      </c>
      <c r="U549" s="53" t="n">
        <v>0</v>
      </c>
      <c r="V549" s="76" t="s">
        <v>715</v>
      </c>
      <c r="W549" s="53" t="n">
        <v>2</v>
      </c>
    </row>
    <row r="550" customFormat="false" ht="35.05" hidden="false" customHeight="false" outlineLevel="0" collapsed="false">
      <c r="A550" s="76" t="n">
        <v>534</v>
      </c>
      <c r="B550" s="20" t="s">
        <v>1167</v>
      </c>
      <c r="C550" s="20" t="s">
        <v>655</v>
      </c>
      <c r="D550" s="20" t="s">
        <v>1317</v>
      </c>
      <c r="E550" s="20" t="s">
        <v>715</v>
      </c>
      <c r="F550" s="76" t="s">
        <v>676</v>
      </c>
      <c r="G550" s="20" t="s">
        <v>1320</v>
      </c>
      <c r="H550" s="55" t="n">
        <v>28</v>
      </c>
      <c r="I550" s="76" t="s">
        <v>512</v>
      </c>
      <c r="J550" s="76" t="s">
        <v>164</v>
      </c>
      <c r="K550" s="82" t="n">
        <v>1</v>
      </c>
      <c r="L550" s="55" t="n">
        <v>2</v>
      </c>
      <c r="M550" s="73" t="n">
        <v>3.7</v>
      </c>
      <c r="N550" s="74" t="n">
        <f aca="false">K550*L550*M550</f>
        <v>7.4</v>
      </c>
      <c r="O550" s="41" t="n">
        <f aca="false">IFERROR(INDEX(Исходные!$B$21:$B$33,MATCH(H550,Исходные!$A$21:$A$33,0)),0)</f>
        <v>4.834</v>
      </c>
      <c r="P550" s="83" t="n">
        <f aca="false">N550*O550</f>
        <v>35.7716</v>
      </c>
      <c r="Q550" s="20" t="s">
        <v>1319</v>
      </c>
      <c r="R550" s="84" t="s">
        <v>660</v>
      </c>
      <c r="S550" s="20" t="s">
        <v>721</v>
      </c>
      <c r="T550" s="20" t="s">
        <v>123</v>
      </c>
      <c r="U550" s="53" t="n">
        <v>0</v>
      </c>
      <c r="V550" s="76" t="s">
        <v>715</v>
      </c>
      <c r="W550" s="53" t="n">
        <v>2</v>
      </c>
    </row>
    <row r="551" customFormat="false" ht="35.05" hidden="false" customHeight="false" outlineLevel="0" collapsed="false">
      <c r="A551" s="76" t="n">
        <v>535</v>
      </c>
      <c r="B551" s="20" t="s">
        <v>1167</v>
      </c>
      <c r="C551" s="20" t="s">
        <v>655</v>
      </c>
      <c r="D551" s="20" t="s">
        <v>1317</v>
      </c>
      <c r="E551" s="20" t="s">
        <v>715</v>
      </c>
      <c r="F551" s="76" t="s">
        <v>676</v>
      </c>
      <c r="G551" s="20" t="s">
        <v>1321</v>
      </c>
      <c r="H551" s="55" t="n">
        <v>22</v>
      </c>
      <c r="I551" s="76" t="s">
        <v>512</v>
      </c>
      <c r="J551" s="76" t="s">
        <v>164</v>
      </c>
      <c r="K551" s="82" t="n">
        <v>1</v>
      </c>
      <c r="L551" s="55" t="n">
        <v>2</v>
      </c>
      <c r="M551" s="73" t="n">
        <v>3.7</v>
      </c>
      <c r="N551" s="74" t="n">
        <f aca="false">K551*L551*M551</f>
        <v>7.4</v>
      </c>
      <c r="O551" s="41" t="n">
        <f aca="false">IFERROR(INDEX(Исходные!$B$21:$B$33,MATCH(H551,Исходные!$A$21:$A$33,0)),0)</f>
        <v>2.984</v>
      </c>
      <c r="P551" s="83" t="n">
        <f aca="false">N551*O551</f>
        <v>22.0816</v>
      </c>
      <c r="Q551" s="20" t="s">
        <v>1322</v>
      </c>
      <c r="R551" s="84" t="s">
        <v>660</v>
      </c>
      <c r="S551" s="20" t="s">
        <v>721</v>
      </c>
      <c r="T551" s="20" t="s">
        <v>123</v>
      </c>
      <c r="U551" s="53" t="n">
        <v>0</v>
      </c>
      <c r="V551" s="76" t="s">
        <v>715</v>
      </c>
      <c r="W551" s="53" t="n">
        <v>2</v>
      </c>
    </row>
    <row r="552" customFormat="false" ht="35.05" hidden="false" customHeight="false" outlineLevel="0" collapsed="false">
      <c r="A552" s="76" t="n">
        <v>536</v>
      </c>
      <c r="B552" s="20" t="s">
        <v>1167</v>
      </c>
      <c r="C552" s="20" t="s">
        <v>655</v>
      </c>
      <c r="D552" s="20" t="s">
        <v>1317</v>
      </c>
      <c r="E552" s="20" t="s">
        <v>715</v>
      </c>
      <c r="F552" s="76" t="s">
        <v>676</v>
      </c>
      <c r="G552" s="20" t="s">
        <v>722</v>
      </c>
      <c r="H552" s="55" t="n">
        <v>28</v>
      </c>
      <c r="I552" s="76" t="s">
        <v>512</v>
      </c>
      <c r="J552" s="76" t="s">
        <v>164</v>
      </c>
      <c r="K552" s="82" t="n">
        <v>1</v>
      </c>
      <c r="L552" s="55" t="n">
        <v>2</v>
      </c>
      <c r="M552" s="73" t="n">
        <v>3.7</v>
      </c>
      <c r="N552" s="74" t="n">
        <f aca="false">K552*L552*M552</f>
        <v>7.4</v>
      </c>
      <c r="O552" s="41" t="n">
        <f aca="false">IFERROR(INDEX(Исходные!$B$21:$B$33,MATCH(H552,Исходные!$A$21:$A$33,0)),0)</f>
        <v>4.834</v>
      </c>
      <c r="P552" s="83" t="n">
        <f aca="false">N552*O552</f>
        <v>35.7716</v>
      </c>
      <c r="Q552" s="20" t="s">
        <v>1319</v>
      </c>
      <c r="R552" s="84" t="s">
        <v>660</v>
      </c>
      <c r="S552" s="20" t="s">
        <v>724</v>
      </c>
      <c r="T552" s="20" t="s">
        <v>123</v>
      </c>
      <c r="U552" s="53" t="n">
        <v>0</v>
      </c>
      <c r="V552" s="76" t="s">
        <v>715</v>
      </c>
      <c r="W552" s="53" t="n">
        <v>2</v>
      </c>
    </row>
    <row r="553" customFormat="false" ht="35.05" hidden="false" customHeight="false" outlineLevel="0" collapsed="false">
      <c r="A553" s="76" t="n">
        <v>537</v>
      </c>
      <c r="B553" s="20" t="s">
        <v>1167</v>
      </c>
      <c r="C553" s="20" t="s">
        <v>655</v>
      </c>
      <c r="D553" s="20" t="s">
        <v>1317</v>
      </c>
      <c r="E553" s="20" t="s">
        <v>715</v>
      </c>
      <c r="F553" s="76" t="s">
        <v>676</v>
      </c>
      <c r="G553" s="20" t="s">
        <v>725</v>
      </c>
      <c r="H553" s="55" t="n">
        <v>28</v>
      </c>
      <c r="I553" s="76" t="s">
        <v>512</v>
      </c>
      <c r="J553" s="76" t="s">
        <v>164</v>
      </c>
      <c r="K553" s="82" t="n">
        <v>1</v>
      </c>
      <c r="L553" s="55" t="n">
        <v>2</v>
      </c>
      <c r="M553" s="73" t="n">
        <v>3.6</v>
      </c>
      <c r="N553" s="74" t="n">
        <f aca="false">K553*L553*M553</f>
        <v>7.2</v>
      </c>
      <c r="O553" s="41" t="n">
        <f aca="false">IFERROR(INDEX(Исходные!$B$21:$B$33,MATCH(H553,Исходные!$A$21:$A$33,0)),0)</f>
        <v>4.834</v>
      </c>
      <c r="P553" s="83" t="n">
        <f aca="false">N553*O553</f>
        <v>34.8048</v>
      </c>
      <c r="Q553" s="20" t="s">
        <v>1319</v>
      </c>
      <c r="R553" s="84" t="s">
        <v>660</v>
      </c>
      <c r="S553" s="20" t="s">
        <v>726</v>
      </c>
      <c r="T553" s="20" t="s">
        <v>123</v>
      </c>
      <c r="U553" s="53" t="n">
        <v>0</v>
      </c>
      <c r="V553" s="76" t="s">
        <v>715</v>
      </c>
      <c r="W553" s="53" t="n">
        <v>2</v>
      </c>
    </row>
    <row r="554" customFormat="false" ht="35.05" hidden="false" customHeight="false" outlineLevel="0" collapsed="false">
      <c r="A554" s="76" t="n">
        <v>538</v>
      </c>
      <c r="B554" s="20" t="s">
        <v>1167</v>
      </c>
      <c r="C554" s="20" t="s">
        <v>655</v>
      </c>
      <c r="D554" s="20" t="s">
        <v>1317</v>
      </c>
      <c r="E554" s="20" t="s">
        <v>715</v>
      </c>
      <c r="F554" s="76" t="s">
        <v>676</v>
      </c>
      <c r="G554" s="20" t="s">
        <v>1323</v>
      </c>
      <c r="H554" s="55" t="n">
        <v>28</v>
      </c>
      <c r="I554" s="76" t="s">
        <v>512</v>
      </c>
      <c r="J554" s="76" t="s">
        <v>164</v>
      </c>
      <c r="K554" s="82" t="n">
        <v>1</v>
      </c>
      <c r="L554" s="55" t="n">
        <v>2</v>
      </c>
      <c r="M554" s="73" t="n">
        <v>2.05</v>
      </c>
      <c r="N554" s="74" t="n">
        <f aca="false">K554*L554*M554</f>
        <v>4.1</v>
      </c>
      <c r="O554" s="41" t="n">
        <f aca="false">IFERROR(INDEX(Исходные!$B$21:$B$33,MATCH(H554,Исходные!$A$21:$A$33,0)),0)</f>
        <v>4.834</v>
      </c>
      <c r="P554" s="83" t="n">
        <f aca="false">N554*O554</f>
        <v>19.8194</v>
      </c>
      <c r="Q554" s="20" t="s">
        <v>1319</v>
      </c>
      <c r="R554" s="84" t="s">
        <v>660</v>
      </c>
      <c r="S554" s="20" t="s">
        <v>1324</v>
      </c>
      <c r="T554" s="20" t="s">
        <v>123</v>
      </c>
      <c r="U554" s="53" t="n">
        <v>0</v>
      </c>
      <c r="V554" s="76" t="s">
        <v>715</v>
      </c>
      <c r="W554" s="53" t="n">
        <v>2</v>
      </c>
    </row>
    <row r="555" customFormat="false" ht="35.05" hidden="false" customHeight="false" outlineLevel="0" collapsed="false">
      <c r="A555" s="76" t="n">
        <v>539</v>
      </c>
      <c r="B555" s="20" t="s">
        <v>1167</v>
      </c>
      <c r="C555" s="20" t="s">
        <v>655</v>
      </c>
      <c r="D555" s="20" t="s">
        <v>1317</v>
      </c>
      <c r="E555" s="20" t="s">
        <v>715</v>
      </c>
      <c r="F555" s="76" t="s">
        <v>676</v>
      </c>
      <c r="G555" s="20" t="s">
        <v>729</v>
      </c>
      <c r="H555" s="55" t="n">
        <v>16</v>
      </c>
      <c r="I555" s="76" t="s">
        <v>512</v>
      </c>
      <c r="J555" s="76" t="s">
        <v>164</v>
      </c>
      <c r="K555" s="82" t="n">
        <v>1</v>
      </c>
      <c r="L555" s="55" t="n">
        <v>2</v>
      </c>
      <c r="M555" s="73" t="n">
        <v>2.9</v>
      </c>
      <c r="N555" s="74" t="n">
        <f aca="false">K555*L555*M555</f>
        <v>5.8</v>
      </c>
      <c r="O555" s="41" t="n">
        <f aca="false">IFERROR(INDEX(Исходные!$B$21:$B$33,MATCH(H555,Исходные!$A$21:$A$33,0)),0)</f>
        <v>1.578</v>
      </c>
      <c r="P555" s="83" t="n">
        <f aca="false">N555*O555</f>
        <v>9.1524</v>
      </c>
      <c r="Q555" s="20" t="s">
        <v>1325</v>
      </c>
      <c r="R555" s="84" t="s">
        <v>660</v>
      </c>
      <c r="S555" s="20" t="s">
        <v>731</v>
      </c>
      <c r="T555" s="20" t="s">
        <v>123</v>
      </c>
      <c r="U555" s="53" t="n">
        <v>0</v>
      </c>
      <c r="V555" s="76" t="s">
        <v>715</v>
      </c>
      <c r="W555" s="53" t="n">
        <v>2</v>
      </c>
    </row>
    <row r="556" customFormat="false" ht="35.05" hidden="false" customHeight="false" outlineLevel="0" collapsed="false">
      <c r="A556" s="76" t="n">
        <v>540</v>
      </c>
      <c r="B556" s="20" t="s">
        <v>1167</v>
      </c>
      <c r="C556" s="20" t="s">
        <v>655</v>
      </c>
      <c r="D556" s="20" t="s">
        <v>1317</v>
      </c>
      <c r="E556" s="20" t="s">
        <v>715</v>
      </c>
      <c r="F556" s="76" t="s">
        <v>676</v>
      </c>
      <c r="G556" s="20" t="s">
        <v>732</v>
      </c>
      <c r="H556" s="55" t="n">
        <v>22</v>
      </c>
      <c r="I556" s="76" t="s">
        <v>512</v>
      </c>
      <c r="J556" s="76" t="s">
        <v>164</v>
      </c>
      <c r="K556" s="82" t="n">
        <v>1</v>
      </c>
      <c r="L556" s="55" t="n">
        <v>2</v>
      </c>
      <c r="M556" s="73" t="n">
        <v>3.2</v>
      </c>
      <c r="N556" s="74" t="n">
        <f aca="false">K556*L556*M556</f>
        <v>6.4</v>
      </c>
      <c r="O556" s="41" t="n">
        <f aca="false">IFERROR(INDEX(Исходные!$B$21:$B$33,MATCH(H556,Исходные!$A$21:$A$33,0)),0)</f>
        <v>2.984</v>
      </c>
      <c r="P556" s="83" t="n">
        <f aca="false">N556*O556</f>
        <v>19.0976</v>
      </c>
      <c r="Q556" s="20" t="s">
        <v>1322</v>
      </c>
      <c r="R556" s="84" t="s">
        <v>660</v>
      </c>
      <c r="S556" s="20" t="s">
        <v>734</v>
      </c>
      <c r="T556" s="20" t="s">
        <v>123</v>
      </c>
      <c r="U556" s="53" t="n">
        <v>0</v>
      </c>
      <c r="V556" s="76" t="s">
        <v>715</v>
      </c>
      <c r="W556" s="53" t="n">
        <v>2</v>
      </c>
    </row>
    <row r="557" customFormat="false" ht="35.05" hidden="false" customHeight="false" outlineLevel="0" collapsed="false">
      <c r="A557" s="76" t="n">
        <v>541</v>
      </c>
      <c r="B557" s="20" t="s">
        <v>1167</v>
      </c>
      <c r="C557" s="20" t="s">
        <v>655</v>
      </c>
      <c r="D557" s="20" t="s">
        <v>1317</v>
      </c>
      <c r="E557" s="20" t="s">
        <v>715</v>
      </c>
      <c r="F557" s="76" t="s">
        <v>676</v>
      </c>
      <c r="G557" s="20" t="s">
        <v>1326</v>
      </c>
      <c r="H557" s="55" t="n">
        <v>16</v>
      </c>
      <c r="I557" s="76" t="s">
        <v>512</v>
      </c>
      <c r="J557" s="76" t="s">
        <v>164</v>
      </c>
      <c r="K557" s="82" t="n">
        <v>1</v>
      </c>
      <c r="L557" s="55" t="n">
        <v>2</v>
      </c>
      <c r="M557" s="73" t="n">
        <v>6.5</v>
      </c>
      <c r="N557" s="74" t="n">
        <f aca="false">K557*L557*M557</f>
        <v>13</v>
      </c>
      <c r="O557" s="41" t="n">
        <f aca="false">IFERROR(INDEX(Исходные!$B$21:$B$33,MATCH(H557,Исходные!$A$21:$A$33,0)),0)</f>
        <v>1.578</v>
      </c>
      <c r="P557" s="83" t="n">
        <f aca="false">N557*O557</f>
        <v>20.514</v>
      </c>
      <c r="Q557" s="20" t="s">
        <v>1325</v>
      </c>
      <c r="R557" s="84" t="s">
        <v>660</v>
      </c>
      <c r="S557" s="20" t="s">
        <v>1327</v>
      </c>
      <c r="T557" s="20" t="s">
        <v>123</v>
      </c>
      <c r="U557" s="53" t="n">
        <v>0</v>
      </c>
      <c r="V557" s="76" t="s">
        <v>715</v>
      </c>
      <c r="W557" s="53" t="n">
        <v>2</v>
      </c>
    </row>
    <row r="558" customFormat="false" ht="35.05" hidden="false" customHeight="false" outlineLevel="0" collapsed="false">
      <c r="A558" s="76" t="n">
        <v>542</v>
      </c>
      <c r="B558" s="20" t="s">
        <v>1167</v>
      </c>
      <c r="C558" s="20" t="s">
        <v>655</v>
      </c>
      <c r="D558" s="20" t="s">
        <v>1317</v>
      </c>
      <c r="E558" s="20" t="s">
        <v>715</v>
      </c>
      <c r="F558" s="76" t="s">
        <v>676</v>
      </c>
      <c r="G558" s="20" t="s">
        <v>1328</v>
      </c>
      <c r="H558" s="55" t="n">
        <v>16</v>
      </c>
      <c r="I558" s="76" t="s">
        <v>512</v>
      </c>
      <c r="J558" s="76" t="s">
        <v>164</v>
      </c>
      <c r="K558" s="82" t="n">
        <v>1</v>
      </c>
      <c r="L558" s="55" t="n">
        <v>2</v>
      </c>
      <c r="M558" s="73" t="n">
        <v>2.05</v>
      </c>
      <c r="N558" s="74" t="n">
        <f aca="false">K558*L558*M558</f>
        <v>4.1</v>
      </c>
      <c r="O558" s="41" t="n">
        <f aca="false">IFERROR(INDEX(Исходные!$B$21:$B$33,MATCH(H558,Исходные!$A$21:$A$33,0)),0)</f>
        <v>1.578</v>
      </c>
      <c r="P558" s="83" t="n">
        <f aca="false">N558*O558</f>
        <v>6.4698</v>
      </c>
      <c r="Q558" s="20" t="s">
        <v>1325</v>
      </c>
      <c r="R558" s="84" t="s">
        <v>660</v>
      </c>
      <c r="S558" s="20" t="s">
        <v>1324</v>
      </c>
      <c r="T558" s="20" t="s">
        <v>123</v>
      </c>
      <c r="U558" s="53" t="n">
        <v>0</v>
      </c>
      <c r="V558" s="76" t="s">
        <v>715</v>
      </c>
      <c r="W558" s="53" t="n">
        <v>2</v>
      </c>
    </row>
    <row r="559" customFormat="false" ht="35.05" hidden="false" customHeight="false" outlineLevel="0" collapsed="false">
      <c r="A559" s="76" t="n">
        <v>543</v>
      </c>
      <c r="B559" s="20" t="s">
        <v>1167</v>
      </c>
      <c r="C559" s="20" t="s">
        <v>655</v>
      </c>
      <c r="D559" s="20" t="s">
        <v>1317</v>
      </c>
      <c r="E559" s="20" t="s">
        <v>715</v>
      </c>
      <c r="F559" s="76" t="s">
        <v>676</v>
      </c>
      <c r="G559" s="20" t="s">
        <v>737</v>
      </c>
      <c r="H559" s="55" t="n">
        <v>14</v>
      </c>
      <c r="I559" s="76" t="s">
        <v>512</v>
      </c>
      <c r="J559" s="76" t="s">
        <v>164</v>
      </c>
      <c r="K559" s="82" t="n">
        <v>1</v>
      </c>
      <c r="L559" s="55" t="n">
        <v>2</v>
      </c>
      <c r="M559" s="73" t="n">
        <v>3.7</v>
      </c>
      <c r="N559" s="74" t="n">
        <f aca="false">K559*L559*M559</f>
        <v>7.4</v>
      </c>
      <c r="O559" s="41" t="n">
        <f aca="false">IFERROR(INDEX(Исходные!$B$21:$B$33,MATCH(H559,Исходные!$A$21:$A$33,0)),0)</f>
        <v>1.208</v>
      </c>
      <c r="P559" s="83" t="n">
        <f aca="false">N559*O559</f>
        <v>8.9392</v>
      </c>
      <c r="Q559" s="20" t="s">
        <v>1329</v>
      </c>
      <c r="R559" s="84" t="s">
        <v>660</v>
      </c>
      <c r="S559" s="20" t="s">
        <v>721</v>
      </c>
      <c r="T559" s="20" t="s">
        <v>123</v>
      </c>
      <c r="U559" s="53" t="n">
        <v>0</v>
      </c>
      <c r="V559" s="76" t="s">
        <v>715</v>
      </c>
      <c r="W559" s="53" t="n">
        <v>2</v>
      </c>
    </row>
    <row r="560" customFormat="false" ht="35.05" hidden="false" customHeight="false" outlineLevel="0" collapsed="false">
      <c r="A560" s="76" t="n">
        <v>544</v>
      </c>
      <c r="B560" s="20" t="s">
        <v>1167</v>
      </c>
      <c r="C560" s="20" t="s">
        <v>655</v>
      </c>
      <c r="D560" s="20" t="s">
        <v>1317</v>
      </c>
      <c r="E560" s="20" t="s">
        <v>715</v>
      </c>
      <c r="F560" s="76" t="s">
        <v>676</v>
      </c>
      <c r="G560" s="20" t="s">
        <v>739</v>
      </c>
      <c r="H560" s="55" t="n">
        <v>14</v>
      </c>
      <c r="I560" s="76" t="s">
        <v>512</v>
      </c>
      <c r="J560" s="76" t="s">
        <v>164</v>
      </c>
      <c r="K560" s="82" t="n">
        <v>1</v>
      </c>
      <c r="L560" s="55" t="n">
        <v>2</v>
      </c>
      <c r="M560" s="73" t="n">
        <v>3.7</v>
      </c>
      <c r="N560" s="74" t="n">
        <f aca="false">K560*L560*M560</f>
        <v>7.4</v>
      </c>
      <c r="O560" s="41" t="n">
        <f aca="false">IFERROR(INDEX(Исходные!$B$21:$B$33,MATCH(H560,Исходные!$A$21:$A$33,0)),0)</f>
        <v>1.208</v>
      </c>
      <c r="P560" s="83" t="n">
        <f aca="false">N560*O560</f>
        <v>8.9392</v>
      </c>
      <c r="Q560" s="20" t="s">
        <v>1329</v>
      </c>
      <c r="R560" s="84" t="s">
        <v>660</v>
      </c>
      <c r="S560" s="20" t="s">
        <v>724</v>
      </c>
      <c r="T560" s="20" t="s">
        <v>123</v>
      </c>
      <c r="U560" s="53" t="n">
        <v>0</v>
      </c>
      <c r="V560" s="76" t="s">
        <v>715</v>
      </c>
      <c r="W560" s="53" t="n">
        <v>2</v>
      </c>
    </row>
    <row r="561" customFormat="false" ht="35.05" hidden="false" customHeight="false" outlineLevel="0" collapsed="false">
      <c r="A561" s="76" t="n">
        <v>545</v>
      </c>
      <c r="B561" s="20" t="s">
        <v>1167</v>
      </c>
      <c r="C561" s="20" t="s">
        <v>655</v>
      </c>
      <c r="D561" s="20" t="s">
        <v>1317</v>
      </c>
      <c r="E561" s="20" t="s">
        <v>715</v>
      </c>
      <c r="F561" s="76" t="s">
        <v>676</v>
      </c>
      <c r="G561" s="20" t="s">
        <v>764</v>
      </c>
      <c r="H561" s="55" t="n">
        <v>12</v>
      </c>
      <c r="I561" s="76" t="s">
        <v>512</v>
      </c>
      <c r="J561" s="76" t="s">
        <v>164</v>
      </c>
      <c r="K561" s="82" t="n">
        <v>1</v>
      </c>
      <c r="L561" s="55" t="n">
        <v>4</v>
      </c>
      <c r="M561" s="73" t="n">
        <v>17.1</v>
      </c>
      <c r="N561" s="74" t="n">
        <f aca="false">K561*L561*M561</f>
        <v>68.4</v>
      </c>
      <c r="O561" s="41" t="n">
        <f aca="false">IFERROR(INDEX(Исходные!$B$21:$B$33,MATCH(H561,Исходные!$A$21:$A$33,0)),0)</f>
        <v>0.888</v>
      </c>
      <c r="P561" s="83" t="n">
        <f aca="false">N561*O561</f>
        <v>60.7392</v>
      </c>
      <c r="Q561" s="20" t="s">
        <v>1330</v>
      </c>
      <c r="R561" s="84" t="s">
        <v>660</v>
      </c>
      <c r="S561" s="20" t="s">
        <v>766</v>
      </c>
      <c r="T561" s="20" t="s">
        <v>123</v>
      </c>
      <c r="U561" s="53" t="n">
        <v>0</v>
      </c>
      <c r="V561" s="76" t="s">
        <v>715</v>
      </c>
      <c r="W561" s="53" t="n">
        <v>2</v>
      </c>
    </row>
    <row r="562" customFormat="false" ht="35.05" hidden="false" customHeight="false" outlineLevel="0" collapsed="false">
      <c r="A562" s="76" t="n">
        <v>546</v>
      </c>
      <c r="B562" s="20" t="s">
        <v>1167</v>
      </c>
      <c r="C562" s="20" t="s">
        <v>655</v>
      </c>
      <c r="D562" s="20" t="s">
        <v>1317</v>
      </c>
      <c r="E562" s="20" t="s">
        <v>715</v>
      </c>
      <c r="F562" s="76" t="s">
        <v>767</v>
      </c>
      <c r="G562" s="20" t="s">
        <v>768</v>
      </c>
      <c r="H562" s="55" t="n">
        <v>12</v>
      </c>
      <c r="I562" s="76" t="s">
        <v>512</v>
      </c>
      <c r="J562" s="76" t="s">
        <v>164</v>
      </c>
      <c r="K562" s="82" t="n">
        <v>4</v>
      </c>
      <c r="L562" s="55" t="n">
        <v>1</v>
      </c>
      <c r="M562" s="73" t="n">
        <v>0.096</v>
      </c>
      <c r="N562" s="74" t="n">
        <f aca="false">K562*L562*M562</f>
        <v>0.384</v>
      </c>
      <c r="O562" s="41" t="n">
        <f aca="false">IFERROR(INDEX(Исходные!$B$21:$B$33,MATCH(H562,Исходные!$A$21:$A$33,0)),0)</f>
        <v>0.888</v>
      </c>
      <c r="P562" s="83" t="n">
        <f aca="false">N562*O562</f>
        <v>0.340992</v>
      </c>
      <c r="Q562" s="20" t="s">
        <v>769</v>
      </c>
      <c r="R562" s="84" t="s">
        <v>667</v>
      </c>
      <c r="S562" s="20" t="s">
        <v>770</v>
      </c>
      <c r="T562" s="20" t="s">
        <v>123</v>
      </c>
      <c r="U562" s="53" t="n">
        <v>0</v>
      </c>
      <c r="V562" s="76" t="s">
        <v>715</v>
      </c>
      <c r="W562" s="53" t="n">
        <v>2</v>
      </c>
    </row>
    <row r="563" customFormat="false" ht="35.05" hidden="false" customHeight="false" outlineLevel="0" collapsed="false">
      <c r="A563" s="76" t="n">
        <v>547</v>
      </c>
      <c r="B563" s="20" t="s">
        <v>1167</v>
      </c>
      <c r="C563" s="20" t="s">
        <v>655</v>
      </c>
      <c r="D563" s="20" t="s">
        <v>1317</v>
      </c>
      <c r="E563" s="20" t="s">
        <v>715</v>
      </c>
      <c r="F563" s="76" t="s">
        <v>696</v>
      </c>
      <c r="G563" s="20" t="s">
        <v>1308</v>
      </c>
      <c r="H563" s="55" t="n">
        <v>8</v>
      </c>
      <c r="I563" s="76" t="s">
        <v>546</v>
      </c>
      <c r="J563" s="76" t="s">
        <v>698</v>
      </c>
      <c r="K563" s="82" t="n">
        <v>1</v>
      </c>
      <c r="L563" s="55" t="n">
        <v>90</v>
      </c>
      <c r="M563" s="73" t="n">
        <v>2.06</v>
      </c>
      <c r="N563" s="74" t="n">
        <f aca="false">K563*L563*M563</f>
        <v>185.4</v>
      </c>
      <c r="O563" s="41" t="n">
        <f aca="false">IFERROR(INDEX(Исходные!$B$21:$B$33,MATCH(H563,Исходные!$A$21:$A$33,0)),0)</f>
        <v>0.395</v>
      </c>
      <c r="P563" s="83" t="n">
        <f aca="false">N563*O563</f>
        <v>73.233</v>
      </c>
      <c r="Q563" s="20" t="s">
        <v>1309</v>
      </c>
      <c r="R563" s="84" t="s">
        <v>514</v>
      </c>
      <c r="S563" s="20" t="s">
        <v>1331</v>
      </c>
      <c r="T563" s="20" t="s">
        <v>123</v>
      </c>
      <c r="U563" s="53" t="n">
        <v>0</v>
      </c>
      <c r="V563" s="76" t="s">
        <v>715</v>
      </c>
      <c r="W563" s="53" t="n">
        <v>2</v>
      </c>
    </row>
    <row r="564" customFormat="false" ht="35.05" hidden="false" customHeight="false" outlineLevel="0" collapsed="false">
      <c r="A564" s="76" t="n">
        <v>548</v>
      </c>
      <c r="B564" s="20" t="s">
        <v>1167</v>
      </c>
      <c r="C564" s="20" t="s">
        <v>655</v>
      </c>
      <c r="D564" s="20" t="s">
        <v>1317</v>
      </c>
      <c r="E564" s="20" t="s">
        <v>715</v>
      </c>
      <c r="F564" s="76" t="s">
        <v>561</v>
      </c>
      <c r="G564" s="20" t="s">
        <v>1311</v>
      </c>
      <c r="H564" s="55" t="n">
        <v>10</v>
      </c>
      <c r="I564" s="76" t="s">
        <v>546</v>
      </c>
      <c r="J564" s="76" t="n">
        <v>100</v>
      </c>
      <c r="K564" s="82" t="n">
        <v>1</v>
      </c>
      <c r="L564" s="55" t="n">
        <v>105</v>
      </c>
      <c r="M564" s="73" t="n">
        <v>2.06</v>
      </c>
      <c r="N564" s="74" t="n">
        <f aca="false">K564*L564*M564</f>
        <v>216.3</v>
      </c>
      <c r="O564" s="41" t="n">
        <f aca="false">IFERROR(INDEX(Исходные!$B$21:$B$33,MATCH(H564,Исходные!$A$21:$A$33,0)),0)</f>
        <v>0.617</v>
      </c>
      <c r="P564" s="83" t="n">
        <f aca="false">N564*O564</f>
        <v>133.4571</v>
      </c>
      <c r="Q564" s="20" t="s">
        <v>1332</v>
      </c>
      <c r="R564" s="84" t="s">
        <v>514</v>
      </c>
      <c r="S564" s="20" t="s">
        <v>1333</v>
      </c>
      <c r="T564" s="20" t="s">
        <v>123</v>
      </c>
      <c r="U564" s="53" t="n">
        <v>0</v>
      </c>
      <c r="V564" s="76" t="s">
        <v>715</v>
      </c>
      <c r="W564" s="53" t="n">
        <v>2</v>
      </c>
    </row>
    <row r="565" customFormat="false" ht="35.05" hidden="false" customHeight="false" outlineLevel="0" collapsed="false">
      <c r="A565" s="76" t="n">
        <v>549</v>
      </c>
      <c r="B565" s="20" t="s">
        <v>1167</v>
      </c>
      <c r="C565" s="20" t="s">
        <v>655</v>
      </c>
      <c r="D565" s="20" t="s">
        <v>1317</v>
      </c>
      <c r="E565" s="20" t="s">
        <v>715</v>
      </c>
      <c r="F565" s="76" t="s">
        <v>603</v>
      </c>
      <c r="G565" s="20" t="s">
        <v>704</v>
      </c>
      <c r="H565" s="55" t="n">
        <v>10</v>
      </c>
      <c r="I565" s="76" t="s">
        <v>546</v>
      </c>
      <c r="J565" s="76" t="n">
        <v>100</v>
      </c>
      <c r="K565" s="82" t="n">
        <v>1</v>
      </c>
      <c r="L565" s="55" t="n">
        <v>28</v>
      </c>
      <c r="M565" s="73" t="n">
        <v>1.6</v>
      </c>
      <c r="N565" s="74" t="n">
        <f aca="false">K565*L565*M565</f>
        <v>44.8</v>
      </c>
      <c r="O565" s="41" t="n">
        <f aca="false">IFERROR(INDEX(Исходные!$B$21:$B$33,MATCH(H565,Исходные!$A$21:$A$33,0)),0)</f>
        <v>0.617</v>
      </c>
      <c r="P565" s="83" t="n">
        <f aca="false">N565*O565</f>
        <v>27.6416</v>
      </c>
      <c r="Q565" s="20" t="s">
        <v>747</v>
      </c>
      <c r="R565" s="84" t="s">
        <v>514</v>
      </c>
      <c r="S565" s="20"/>
      <c r="T565" s="20" t="s">
        <v>123</v>
      </c>
      <c r="U565" s="53" t="n">
        <v>0</v>
      </c>
      <c r="V565" s="76" t="s">
        <v>715</v>
      </c>
      <c r="W565" s="53" t="n">
        <v>2</v>
      </c>
    </row>
    <row r="566" customFormat="false" ht="35.05" hidden="false" customHeight="false" outlineLevel="0" collapsed="false">
      <c r="A566" s="76" t="n">
        <v>550</v>
      </c>
      <c r="B566" s="20" t="s">
        <v>1167</v>
      </c>
      <c r="C566" s="20" t="s">
        <v>655</v>
      </c>
      <c r="D566" s="20" t="s">
        <v>1317</v>
      </c>
      <c r="E566" s="20" t="s">
        <v>715</v>
      </c>
      <c r="F566" s="76" t="s">
        <v>706</v>
      </c>
      <c r="G566" s="20" t="s">
        <v>1314</v>
      </c>
      <c r="H566" s="55" t="n">
        <v>8</v>
      </c>
      <c r="I566" s="76" t="s">
        <v>546</v>
      </c>
      <c r="J566" s="76" t="s">
        <v>708</v>
      </c>
      <c r="K566" s="82" t="n">
        <v>1</v>
      </c>
      <c r="L566" s="55" t="n">
        <v>109</v>
      </c>
      <c r="M566" s="73" t="n">
        <v>0.75</v>
      </c>
      <c r="N566" s="74" t="n">
        <f aca="false">K566*L566*M566</f>
        <v>81.75</v>
      </c>
      <c r="O566" s="41" t="n">
        <f aca="false">IFERROR(INDEX(Исходные!$B$21:$B$33,MATCH(H566,Исходные!$A$21:$A$33,0)),0)</f>
        <v>0.395</v>
      </c>
      <c r="P566" s="83" t="n">
        <f aca="false">N566*O566</f>
        <v>32.29125</v>
      </c>
      <c r="Q566" s="20" t="s">
        <v>709</v>
      </c>
      <c r="R566" s="84" t="s">
        <v>514</v>
      </c>
      <c r="S566" s="20"/>
      <c r="T566" s="20" t="s">
        <v>123</v>
      </c>
      <c r="U566" s="53" t="n">
        <v>0</v>
      </c>
      <c r="V566" s="76" t="s">
        <v>715</v>
      </c>
      <c r="W566" s="53" t="n">
        <v>2</v>
      </c>
    </row>
    <row r="567" customFormat="false" ht="35.05" hidden="false" customHeight="false" outlineLevel="0" collapsed="false">
      <c r="A567" s="76" t="n">
        <v>551</v>
      </c>
      <c r="B567" s="20" t="s">
        <v>1167</v>
      </c>
      <c r="C567" s="20" t="s">
        <v>655</v>
      </c>
      <c r="D567" s="20" t="s">
        <v>1317</v>
      </c>
      <c r="E567" s="20" t="s">
        <v>715</v>
      </c>
      <c r="F567" s="76" t="s">
        <v>710</v>
      </c>
      <c r="G567" s="20" t="s">
        <v>1315</v>
      </c>
      <c r="H567" s="55" t="n">
        <v>8</v>
      </c>
      <c r="I567" s="76" t="s">
        <v>546</v>
      </c>
      <c r="J567" s="76" t="n">
        <v>300</v>
      </c>
      <c r="K567" s="82" t="n">
        <v>1</v>
      </c>
      <c r="L567" s="55" t="n">
        <v>77</v>
      </c>
      <c r="M567" s="73" t="n">
        <v>0.58</v>
      </c>
      <c r="N567" s="74" t="n">
        <f aca="false">K567*L567*M567</f>
        <v>44.66</v>
      </c>
      <c r="O567" s="41" t="n">
        <f aca="false">IFERROR(INDEX(Исходные!$B$21:$B$33,MATCH(H567,Исходные!$A$21:$A$33,0)),0)</f>
        <v>0.395</v>
      </c>
      <c r="P567" s="83" t="n">
        <f aca="false">N567*O567</f>
        <v>17.6407</v>
      </c>
      <c r="Q567" s="20" t="s">
        <v>1316</v>
      </c>
      <c r="R567" s="85" t="s">
        <v>638</v>
      </c>
      <c r="S567" s="20"/>
      <c r="T567" s="20" t="s">
        <v>123</v>
      </c>
      <c r="U567" s="53" t="n">
        <v>1</v>
      </c>
      <c r="V567" s="76" t="s">
        <v>715</v>
      </c>
      <c r="W567" s="53" t="n">
        <v>2</v>
      </c>
    </row>
    <row r="568" customFormat="false" ht="35.05" hidden="false" customHeight="false" outlineLevel="0" collapsed="false">
      <c r="A568" s="76" t="n">
        <v>552</v>
      </c>
      <c r="B568" s="20" t="s">
        <v>1167</v>
      </c>
      <c r="C568" s="20" t="s">
        <v>655</v>
      </c>
      <c r="D568" s="20" t="s">
        <v>1334</v>
      </c>
      <c r="E568" s="20" t="s">
        <v>749</v>
      </c>
      <c r="F568" s="76" t="s">
        <v>519</v>
      </c>
      <c r="G568" s="20" t="s">
        <v>658</v>
      </c>
      <c r="H568" s="55" t="n">
        <v>28</v>
      </c>
      <c r="I568" s="76" t="s">
        <v>512</v>
      </c>
      <c r="J568" s="76" t="s">
        <v>164</v>
      </c>
      <c r="K568" s="82" t="n">
        <v>1</v>
      </c>
      <c r="L568" s="55" t="n">
        <v>4</v>
      </c>
      <c r="M568" s="73" t="n">
        <v>25.5</v>
      </c>
      <c r="N568" s="74" t="n">
        <f aca="false">K568*L568*M568</f>
        <v>102</v>
      </c>
      <c r="O568" s="41" t="n">
        <f aca="false">IFERROR(INDEX(Исходные!$B$21:$B$33,MATCH(H568,Исходные!$A$21:$A$33,0)),0)</f>
        <v>4.834</v>
      </c>
      <c r="P568" s="83" t="n">
        <f aca="false">N568*O568</f>
        <v>493.068</v>
      </c>
      <c r="Q568" s="20" t="s">
        <v>1335</v>
      </c>
      <c r="R568" s="84" t="s">
        <v>660</v>
      </c>
      <c r="S568" s="20" t="s">
        <v>661</v>
      </c>
      <c r="T568" s="20" t="s">
        <v>123</v>
      </c>
      <c r="U568" s="53" t="n">
        <v>0</v>
      </c>
      <c r="V568" s="76" t="s">
        <v>749</v>
      </c>
      <c r="W568" s="53" t="n">
        <v>2</v>
      </c>
    </row>
    <row r="569" customFormat="false" ht="35.05" hidden="false" customHeight="false" outlineLevel="0" collapsed="false">
      <c r="A569" s="76" t="n">
        <v>553</v>
      </c>
      <c r="B569" s="20" t="s">
        <v>1167</v>
      </c>
      <c r="C569" s="20" t="s">
        <v>655</v>
      </c>
      <c r="D569" s="20" t="s">
        <v>1334</v>
      </c>
      <c r="E569" s="20" t="s">
        <v>749</v>
      </c>
      <c r="F569" s="76" t="s">
        <v>529</v>
      </c>
      <c r="G569" s="20" t="s">
        <v>662</v>
      </c>
      <c r="H569" s="55" t="n">
        <v>18</v>
      </c>
      <c r="I569" s="76" t="s">
        <v>512</v>
      </c>
      <c r="J569" s="76" t="s">
        <v>164</v>
      </c>
      <c r="K569" s="82" t="n">
        <v>1</v>
      </c>
      <c r="L569" s="55" t="n">
        <v>2</v>
      </c>
      <c r="M569" s="73" t="n">
        <v>25.5</v>
      </c>
      <c r="N569" s="74" t="n">
        <f aca="false">K569*L569*M569</f>
        <v>51</v>
      </c>
      <c r="O569" s="41" t="n">
        <f aca="false">IFERROR(INDEX(Исходные!$B$21:$B$33,MATCH(H569,Исходные!$A$21:$A$33,0)),0)</f>
        <v>1.998</v>
      </c>
      <c r="P569" s="83" t="n">
        <f aca="false">N569*O569</f>
        <v>101.898</v>
      </c>
      <c r="Q569" s="20" t="s">
        <v>663</v>
      </c>
      <c r="R569" s="84" t="s">
        <v>660</v>
      </c>
      <c r="S569" s="20"/>
      <c r="T569" s="20" t="s">
        <v>123</v>
      </c>
      <c r="U569" s="53" t="n">
        <v>0</v>
      </c>
      <c r="V569" s="76" t="s">
        <v>749</v>
      </c>
      <c r="W569" s="53" t="n">
        <v>2</v>
      </c>
    </row>
    <row r="570" customFormat="false" ht="35.05" hidden="false" customHeight="false" outlineLevel="0" collapsed="false">
      <c r="A570" s="76" t="n">
        <v>554</v>
      </c>
      <c r="B570" s="20" t="s">
        <v>1167</v>
      </c>
      <c r="C570" s="20" t="s">
        <v>655</v>
      </c>
      <c r="D570" s="20" t="s">
        <v>1334</v>
      </c>
      <c r="E570" s="20" t="s">
        <v>749</v>
      </c>
      <c r="F570" s="76" t="s">
        <v>664</v>
      </c>
      <c r="G570" s="20" t="s">
        <v>665</v>
      </c>
      <c r="H570" s="55" t="n">
        <v>18</v>
      </c>
      <c r="I570" s="76" t="s">
        <v>512</v>
      </c>
      <c r="J570" s="76" t="s">
        <v>164</v>
      </c>
      <c r="K570" s="82" t="n">
        <v>2</v>
      </c>
      <c r="L570" s="55" t="n">
        <v>2</v>
      </c>
      <c r="M570" s="73" t="n">
        <v>0.144</v>
      </c>
      <c r="N570" s="74" t="n">
        <f aca="false">K570*L570*M570</f>
        <v>0.576</v>
      </c>
      <c r="O570" s="41" t="n">
        <f aca="false">IFERROR(INDEX(Исходные!$B$21:$B$33,MATCH(H570,Исходные!$A$21:$A$33,0)),0)</f>
        <v>1.998</v>
      </c>
      <c r="P570" s="83" t="n">
        <f aca="false">N570*O570</f>
        <v>1.150848</v>
      </c>
      <c r="Q570" s="20" t="s">
        <v>666</v>
      </c>
      <c r="R570" s="84" t="s">
        <v>667</v>
      </c>
      <c r="S570" s="20" t="s">
        <v>668</v>
      </c>
      <c r="T570" s="20" t="s">
        <v>123</v>
      </c>
      <c r="U570" s="53" t="n">
        <v>0</v>
      </c>
      <c r="V570" s="76" t="s">
        <v>749</v>
      </c>
      <c r="W570" s="53" t="n">
        <v>2</v>
      </c>
    </row>
    <row r="571" customFormat="false" ht="35.05" hidden="false" customHeight="false" outlineLevel="0" collapsed="false">
      <c r="A571" s="76" t="n">
        <v>555</v>
      </c>
      <c r="B571" s="20" t="s">
        <v>1167</v>
      </c>
      <c r="C571" s="20" t="s">
        <v>655</v>
      </c>
      <c r="D571" s="20" t="s">
        <v>1334</v>
      </c>
      <c r="E571" s="20" t="s">
        <v>749</v>
      </c>
      <c r="F571" s="76" t="s">
        <v>669</v>
      </c>
      <c r="G571" s="20" t="s">
        <v>670</v>
      </c>
      <c r="H571" s="55" t="n">
        <v>16</v>
      </c>
      <c r="I571" s="76" t="s">
        <v>512</v>
      </c>
      <c r="J571" s="76" t="s">
        <v>164</v>
      </c>
      <c r="K571" s="82" t="n">
        <v>1</v>
      </c>
      <c r="L571" s="55" t="n">
        <v>2</v>
      </c>
      <c r="M571" s="73" t="n">
        <v>25.5</v>
      </c>
      <c r="N571" s="74" t="n">
        <f aca="false">K571*L571*M571</f>
        <v>51</v>
      </c>
      <c r="O571" s="41" t="n">
        <f aca="false">IFERROR(INDEX(Исходные!$B$21:$B$33,MATCH(H571,Исходные!$A$21:$A$33,0)),0)</f>
        <v>1.578</v>
      </c>
      <c r="P571" s="83" t="n">
        <f aca="false">N571*O571</f>
        <v>80.478</v>
      </c>
      <c r="Q571" s="20" t="s">
        <v>671</v>
      </c>
      <c r="R571" s="84" t="s">
        <v>660</v>
      </c>
      <c r="S571" s="20"/>
      <c r="T571" s="20" t="s">
        <v>123</v>
      </c>
      <c r="U571" s="53" t="n">
        <v>0</v>
      </c>
      <c r="V571" s="76" t="s">
        <v>749</v>
      </c>
      <c r="W571" s="53" t="n">
        <v>2</v>
      </c>
    </row>
    <row r="572" customFormat="false" ht="35.05" hidden="false" customHeight="false" outlineLevel="0" collapsed="false">
      <c r="A572" s="76" t="n">
        <v>556</v>
      </c>
      <c r="B572" s="20" t="s">
        <v>1167</v>
      </c>
      <c r="C572" s="20" t="s">
        <v>655</v>
      </c>
      <c r="D572" s="20" t="s">
        <v>1334</v>
      </c>
      <c r="E572" s="20" t="s">
        <v>749</v>
      </c>
      <c r="F572" s="76" t="s">
        <v>672</v>
      </c>
      <c r="G572" s="20" t="s">
        <v>673</v>
      </c>
      <c r="H572" s="55" t="n">
        <v>16</v>
      </c>
      <c r="I572" s="76" t="s">
        <v>512</v>
      </c>
      <c r="J572" s="76" t="s">
        <v>164</v>
      </c>
      <c r="K572" s="82" t="n">
        <v>2</v>
      </c>
      <c r="L572" s="55" t="n">
        <v>2</v>
      </c>
      <c r="M572" s="73" t="n">
        <v>0.128</v>
      </c>
      <c r="N572" s="74" t="n">
        <f aca="false">K572*L572*M572</f>
        <v>0.512</v>
      </c>
      <c r="O572" s="41" t="n">
        <f aca="false">IFERROR(INDEX(Исходные!$B$21:$B$33,MATCH(H572,Исходные!$A$21:$A$33,0)),0)</f>
        <v>1.578</v>
      </c>
      <c r="P572" s="83" t="n">
        <f aca="false">N572*O572</f>
        <v>0.807936</v>
      </c>
      <c r="Q572" s="20" t="s">
        <v>674</v>
      </c>
      <c r="R572" s="84" t="s">
        <v>667</v>
      </c>
      <c r="S572" s="20" t="s">
        <v>675</v>
      </c>
      <c r="T572" s="20" t="s">
        <v>123</v>
      </c>
      <c r="U572" s="53" t="n">
        <v>0</v>
      </c>
      <c r="V572" s="76" t="s">
        <v>749</v>
      </c>
      <c r="W572" s="53" t="n">
        <v>2</v>
      </c>
    </row>
    <row r="573" customFormat="false" ht="35.05" hidden="false" customHeight="false" outlineLevel="0" collapsed="false">
      <c r="A573" s="76" t="n">
        <v>557</v>
      </c>
      <c r="B573" s="20" t="s">
        <v>1167</v>
      </c>
      <c r="C573" s="20" t="s">
        <v>655</v>
      </c>
      <c r="D573" s="20" t="s">
        <v>1334</v>
      </c>
      <c r="E573" s="20" t="s">
        <v>749</v>
      </c>
      <c r="F573" s="76" t="s">
        <v>676</v>
      </c>
      <c r="G573" s="20" t="s">
        <v>677</v>
      </c>
      <c r="H573" s="55" t="n">
        <v>28</v>
      </c>
      <c r="I573" s="76" t="s">
        <v>512</v>
      </c>
      <c r="J573" s="76" t="s">
        <v>164</v>
      </c>
      <c r="K573" s="82" t="n">
        <v>1</v>
      </c>
      <c r="L573" s="55" t="n">
        <v>2</v>
      </c>
      <c r="M573" s="73" t="n">
        <v>2.05</v>
      </c>
      <c r="N573" s="74" t="n">
        <f aca="false">K573*L573*M573</f>
        <v>4.1</v>
      </c>
      <c r="O573" s="41" t="n">
        <f aca="false">IFERROR(INDEX(Исходные!$B$21:$B$33,MATCH(H573,Исходные!$A$21:$A$33,0)),0)</f>
        <v>4.834</v>
      </c>
      <c r="P573" s="83" t="n">
        <f aca="false">N573*O573</f>
        <v>19.8194</v>
      </c>
      <c r="Q573" s="20" t="s">
        <v>1336</v>
      </c>
      <c r="R573" s="84" t="s">
        <v>660</v>
      </c>
      <c r="S573" s="20" t="s">
        <v>1295</v>
      </c>
      <c r="T573" s="20" t="s">
        <v>123</v>
      </c>
      <c r="U573" s="53" t="n">
        <v>0</v>
      </c>
      <c r="V573" s="76" t="s">
        <v>749</v>
      </c>
      <c r="W573" s="53" t="n">
        <v>2</v>
      </c>
    </row>
    <row r="574" customFormat="false" ht="35.05" hidden="false" customHeight="false" outlineLevel="0" collapsed="false">
      <c r="A574" s="76" t="n">
        <v>558</v>
      </c>
      <c r="B574" s="20" t="s">
        <v>1167</v>
      </c>
      <c r="C574" s="20" t="s">
        <v>655</v>
      </c>
      <c r="D574" s="20" t="s">
        <v>1334</v>
      </c>
      <c r="E574" s="20" t="s">
        <v>749</v>
      </c>
      <c r="F574" s="76" t="s">
        <v>676</v>
      </c>
      <c r="G574" s="20" t="s">
        <v>1320</v>
      </c>
      <c r="H574" s="55" t="n">
        <v>28</v>
      </c>
      <c r="I574" s="76" t="s">
        <v>512</v>
      </c>
      <c r="J574" s="76" t="s">
        <v>164</v>
      </c>
      <c r="K574" s="82" t="n">
        <v>1</v>
      </c>
      <c r="L574" s="55" t="n">
        <v>2</v>
      </c>
      <c r="M574" s="73" t="n">
        <v>3.7</v>
      </c>
      <c r="N574" s="74" t="n">
        <f aca="false">K574*L574*M574</f>
        <v>7.4</v>
      </c>
      <c r="O574" s="41" t="n">
        <f aca="false">IFERROR(INDEX(Исходные!$B$21:$B$33,MATCH(H574,Исходные!$A$21:$A$33,0)),0)</f>
        <v>4.834</v>
      </c>
      <c r="P574" s="83" t="n">
        <f aca="false">N574*O574</f>
        <v>35.7716</v>
      </c>
      <c r="Q574" s="20" t="s">
        <v>1336</v>
      </c>
      <c r="R574" s="84" t="s">
        <v>660</v>
      </c>
      <c r="S574" s="20" t="s">
        <v>721</v>
      </c>
      <c r="T574" s="20" t="s">
        <v>123</v>
      </c>
      <c r="U574" s="53" t="n">
        <v>0</v>
      </c>
      <c r="V574" s="76" t="s">
        <v>749</v>
      </c>
      <c r="W574" s="53" t="n">
        <v>2</v>
      </c>
    </row>
    <row r="575" customFormat="false" ht="35.05" hidden="false" customHeight="false" outlineLevel="0" collapsed="false">
      <c r="A575" s="76" t="n">
        <v>559</v>
      </c>
      <c r="B575" s="20" t="s">
        <v>1167</v>
      </c>
      <c r="C575" s="20" t="s">
        <v>655</v>
      </c>
      <c r="D575" s="20" t="s">
        <v>1334</v>
      </c>
      <c r="E575" s="20" t="s">
        <v>749</v>
      </c>
      <c r="F575" s="76" t="s">
        <v>676</v>
      </c>
      <c r="G575" s="20" t="s">
        <v>1337</v>
      </c>
      <c r="H575" s="55" t="n">
        <v>22</v>
      </c>
      <c r="I575" s="76" t="s">
        <v>512</v>
      </c>
      <c r="J575" s="76" t="s">
        <v>164</v>
      </c>
      <c r="K575" s="82" t="n">
        <v>1</v>
      </c>
      <c r="L575" s="55" t="n">
        <v>2</v>
      </c>
      <c r="M575" s="73" t="n">
        <v>4.2</v>
      </c>
      <c r="N575" s="74" t="n">
        <f aca="false">K575*L575*M575</f>
        <v>8.4</v>
      </c>
      <c r="O575" s="41" t="n">
        <f aca="false">IFERROR(INDEX(Исходные!$B$21:$B$33,MATCH(H575,Исходные!$A$21:$A$33,0)),0)</f>
        <v>2.984</v>
      </c>
      <c r="P575" s="83" t="n">
        <f aca="false">N575*O575</f>
        <v>25.0656</v>
      </c>
      <c r="Q575" s="20" t="s">
        <v>1338</v>
      </c>
      <c r="R575" s="84" t="s">
        <v>660</v>
      </c>
      <c r="S575" s="20" t="s">
        <v>757</v>
      </c>
      <c r="T575" s="20" t="s">
        <v>123</v>
      </c>
      <c r="U575" s="53" t="n">
        <v>0</v>
      </c>
      <c r="V575" s="76" t="s">
        <v>749</v>
      </c>
      <c r="W575" s="53" t="n">
        <v>2</v>
      </c>
    </row>
    <row r="576" customFormat="false" ht="35.05" hidden="false" customHeight="false" outlineLevel="0" collapsed="false">
      <c r="A576" s="76" t="n">
        <v>560</v>
      </c>
      <c r="B576" s="20" t="s">
        <v>1167</v>
      </c>
      <c r="C576" s="20" t="s">
        <v>655</v>
      </c>
      <c r="D576" s="20" t="s">
        <v>1334</v>
      </c>
      <c r="E576" s="20" t="s">
        <v>749</v>
      </c>
      <c r="F576" s="76" t="s">
        <v>676</v>
      </c>
      <c r="G576" s="20" t="s">
        <v>753</v>
      </c>
      <c r="H576" s="55" t="n">
        <v>32</v>
      </c>
      <c r="I576" s="76" t="s">
        <v>512</v>
      </c>
      <c r="J576" s="76" t="s">
        <v>164</v>
      </c>
      <c r="K576" s="82" t="n">
        <v>1</v>
      </c>
      <c r="L576" s="55" t="n">
        <v>2</v>
      </c>
      <c r="M576" s="73" t="n">
        <v>3.7</v>
      </c>
      <c r="N576" s="74" t="n">
        <f aca="false">K576*L576*M576</f>
        <v>7.4</v>
      </c>
      <c r="O576" s="41" t="n">
        <f aca="false">IFERROR(INDEX(Исходные!$B$21:$B$33,MATCH(H576,Исходные!$A$21:$A$33,0)),0)</f>
        <v>6.313</v>
      </c>
      <c r="P576" s="83" t="n">
        <f aca="false">N576*O576</f>
        <v>46.7162</v>
      </c>
      <c r="Q576" s="20" t="s">
        <v>1339</v>
      </c>
      <c r="R576" s="84" t="s">
        <v>660</v>
      </c>
      <c r="S576" s="20" t="s">
        <v>724</v>
      </c>
      <c r="T576" s="20" t="s">
        <v>123</v>
      </c>
      <c r="U576" s="53" t="n">
        <v>0</v>
      </c>
      <c r="V576" s="76" t="s">
        <v>749</v>
      </c>
      <c r="W576" s="53" t="n">
        <v>2</v>
      </c>
    </row>
    <row r="577" customFormat="false" ht="35.05" hidden="false" customHeight="false" outlineLevel="0" collapsed="false">
      <c r="A577" s="76" t="n">
        <v>561</v>
      </c>
      <c r="B577" s="20" t="s">
        <v>1167</v>
      </c>
      <c r="C577" s="20" t="s">
        <v>655</v>
      </c>
      <c r="D577" s="20" t="s">
        <v>1334</v>
      </c>
      <c r="E577" s="20" t="s">
        <v>749</v>
      </c>
      <c r="F577" s="76" t="s">
        <v>676</v>
      </c>
      <c r="G577" s="20" t="s">
        <v>1340</v>
      </c>
      <c r="H577" s="55" t="n">
        <v>32</v>
      </c>
      <c r="I577" s="76" t="s">
        <v>512</v>
      </c>
      <c r="J577" s="76" t="s">
        <v>164</v>
      </c>
      <c r="K577" s="82" t="n">
        <v>1</v>
      </c>
      <c r="L577" s="55" t="n">
        <v>2</v>
      </c>
      <c r="M577" s="73" t="n">
        <v>3.6</v>
      </c>
      <c r="N577" s="74" t="n">
        <f aca="false">K577*L577*M577</f>
        <v>7.2</v>
      </c>
      <c r="O577" s="41" t="n">
        <f aca="false">IFERROR(INDEX(Исходные!$B$21:$B$33,MATCH(H577,Исходные!$A$21:$A$33,0)),0)</f>
        <v>6.313</v>
      </c>
      <c r="P577" s="83" t="n">
        <f aca="false">N577*O577</f>
        <v>45.4536</v>
      </c>
      <c r="Q577" s="20" t="s">
        <v>1339</v>
      </c>
      <c r="R577" s="84" t="s">
        <v>660</v>
      </c>
      <c r="S577" s="20" t="s">
        <v>726</v>
      </c>
      <c r="T577" s="20" t="s">
        <v>123</v>
      </c>
      <c r="U577" s="53" t="n">
        <v>0</v>
      </c>
      <c r="V577" s="76" t="s">
        <v>749</v>
      </c>
      <c r="W577" s="53" t="n">
        <v>2</v>
      </c>
    </row>
    <row r="578" customFormat="false" ht="35.05" hidden="false" customHeight="false" outlineLevel="0" collapsed="false">
      <c r="A578" s="76" t="n">
        <v>562</v>
      </c>
      <c r="B578" s="20" t="s">
        <v>1167</v>
      </c>
      <c r="C578" s="20" t="s">
        <v>655</v>
      </c>
      <c r="D578" s="20" t="s">
        <v>1334</v>
      </c>
      <c r="E578" s="20" t="s">
        <v>749</v>
      </c>
      <c r="F578" s="76" t="s">
        <v>676</v>
      </c>
      <c r="G578" s="20" t="s">
        <v>727</v>
      </c>
      <c r="H578" s="55" t="n">
        <v>25</v>
      </c>
      <c r="I578" s="76" t="s">
        <v>512</v>
      </c>
      <c r="J578" s="76" t="s">
        <v>164</v>
      </c>
      <c r="K578" s="82" t="n">
        <v>1</v>
      </c>
      <c r="L578" s="55" t="n">
        <v>2</v>
      </c>
      <c r="M578" s="73" t="n">
        <v>2.05</v>
      </c>
      <c r="N578" s="74" t="n">
        <f aca="false">K578*L578*M578</f>
        <v>4.1</v>
      </c>
      <c r="O578" s="41" t="n">
        <f aca="false">IFERROR(INDEX(Исходные!$B$21:$B$33,MATCH(H578,Исходные!$A$21:$A$33,0)),0)</f>
        <v>3.853</v>
      </c>
      <c r="P578" s="83" t="n">
        <f aca="false">N578*O578</f>
        <v>15.7973</v>
      </c>
      <c r="Q578" s="20" t="s">
        <v>1341</v>
      </c>
      <c r="R578" s="84" t="s">
        <v>660</v>
      </c>
      <c r="S578" s="20" t="s">
        <v>1324</v>
      </c>
      <c r="T578" s="20" t="s">
        <v>123</v>
      </c>
      <c r="U578" s="53" t="n">
        <v>0</v>
      </c>
      <c r="V578" s="76" t="s">
        <v>749</v>
      </c>
      <c r="W578" s="53" t="n">
        <v>2</v>
      </c>
    </row>
    <row r="579" customFormat="false" ht="35.05" hidden="false" customHeight="false" outlineLevel="0" collapsed="false">
      <c r="A579" s="76" t="n">
        <v>563</v>
      </c>
      <c r="B579" s="20" t="s">
        <v>1167</v>
      </c>
      <c r="C579" s="20" t="s">
        <v>655</v>
      </c>
      <c r="D579" s="20" t="s">
        <v>1334</v>
      </c>
      <c r="E579" s="20" t="s">
        <v>749</v>
      </c>
      <c r="F579" s="76" t="s">
        <v>676</v>
      </c>
      <c r="G579" s="20" t="s">
        <v>758</v>
      </c>
      <c r="H579" s="55" t="n">
        <v>14</v>
      </c>
      <c r="I579" s="76" t="s">
        <v>512</v>
      </c>
      <c r="J579" s="76" t="s">
        <v>164</v>
      </c>
      <c r="K579" s="82" t="n">
        <v>1</v>
      </c>
      <c r="L579" s="55" t="n">
        <v>2</v>
      </c>
      <c r="M579" s="73" t="n">
        <v>3.9</v>
      </c>
      <c r="N579" s="74" t="n">
        <f aca="false">K579*L579*M579</f>
        <v>7.8</v>
      </c>
      <c r="O579" s="41" t="n">
        <f aca="false">IFERROR(INDEX(Исходные!$B$21:$B$33,MATCH(H579,Исходные!$A$21:$A$33,0)),0)</f>
        <v>1.208</v>
      </c>
      <c r="P579" s="83" t="n">
        <f aca="false">N579*O579</f>
        <v>9.4224</v>
      </c>
      <c r="Q579" s="20" t="s">
        <v>1342</v>
      </c>
      <c r="R579" s="84" t="s">
        <v>660</v>
      </c>
      <c r="S579" s="20" t="s">
        <v>759</v>
      </c>
      <c r="T579" s="20" t="s">
        <v>123</v>
      </c>
      <c r="U579" s="53" t="n">
        <v>0</v>
      </c>
      <c r="V579" s="76" t="s">
        <v>749</v>
      </c>
      <c r="W579" s="53" t="n">
        <v>2</v>
      </c>
    </row>
    <row r="580" customFormat="false" ht="35.05" hidden="false" customHeight="false" outlineLevel="0" collapsed="false">
      <c r="A580" s="76" t="n">
        <v>564</v>
      </c>
      <c r="B580" s="20" t="s">
        <v>1167</v>
      </c>
      <c r="C580" s="20" t="s">
        <v>655</v>
      </c>
      <c r="D580" s="20" t="s">
        <v>1334</v>
      </c>
      <c r="E580" s="20" t="s">
        <v>749</v>
      </c>
      <c r="F580" s="76" t="s">
        <v>676</v>
      </c>
      <c r="G580" s="20" t="s">
        <v>729</v>
      </c>
      <c r="H580" s="55" t="n">
        <v>16</v>
      </c>
      <c r="I580" s="76" t="s">
        <v>512</v>
      </c>
      <c r="J580" s="76" t="s">
        <v>164</v>
      </c>
      <c r="K580" s="82" t="n">
        <v>1</v>
      </c>
      <c r="L580" s="55" t="n">
        <v>2</v>
      </c>
      <c r="M580" s="73" t="n">
        <v>2.9</v>
      </c>
      <c r="N580" s="74" t="n">
        <f aca="false">K580*L580*M580</f>
        <v>5.8</v>
      </c>
      <c r="O580" s="41" t="n">
        <f aca="false">IFERROR(INDEX(Исходные!$B$21:$B$33,MATCH(H580,Исходные!$A$21:$A$33,0)),0)</f>
        <v>1.578</v>
      </c>
      <c r="P580" s="83" t="n">
        <f aca="false">N580*O580</f>
        <v>9.1524</v>
      </c>
      <c r="Q580" s="20" t="s">
        <v>1343</v>
      </c>
      <c r="R580" s="84" t="s">
        <v>660</v>
      </c>
      <c r="S580" s="20" t="s">
        <v>731</v>
      </c>
      <c r="T580" s="20" t="s">
        <v>123</v>
      </c>
      <c r="U580" s="53" t="n">
        <v>0</v>
      </c>
      <c r="V580" s="76" t="s">
        <v>749</v>
      </c>
      <c r="W580" s="53" t="n">
        <v>2</v>
      </c>
    </row>
    <row r="581" customFormat="false" ht="35.05" hidden="false" customHeight="false" outlineLevel="0" collapsed="false">
      <c r="A581" s="76" t="n">
        <v>565</v>
      </c>
      <c r="B581" s="20" t="s">
        <v>1167</v>
      </c>
      <c r="C581" s="20" t="s">
        <v>655</v>
      </c>
      <c r="D581" s="20" t="s">
        <v>1334</v>
      </c>
      <c r="E581" s="20" t="s">
        <v>749</v>
      </c>
      <c r="F581" s="76" t="s">
        <v>676</v>
      </c>
      <c r="G581" s="20" t="s">
        <v>732</v>
      </c>
      <c r="H581" s="55" t="n">
        <v>22</v>
      </c>
      <c r="I581" s="76" t="s">
        <v>512</v>
      </c>
      <c r="J581" s="76" t="s">
        <v>164</v>
      </c>
      <c r="K581" s="82" t="n">
        <v>1</v>
      </c>
      <c r="L581" s="55" t="n">
        <v>2</v>
      </c>
      <c r="M581" s="73" t="n">
        <v>3.2</v>
      </c>
      <c r="N581" s="74" t="n">
        <f aca="false">K581*L581*M581</f>
        <v>6.4</v>
      </c>
      <c r="O581" s="41" t="n">
        <f aca="false">IFERROR(INDEX(Исходные!$B$21:$B$33,MATCH(H581,Исходные!$A$21:$A$33,0)),0)</f>
        <v>2.984</v>
      </c>
      <c r="P581" s="83" t="n">
        <f aca="false">N581*O581</f>
        <v>19.0976</v>
      </c>
      <c r="Q581" s="20" t="s">
        <v>1338</v>
      </c>
      <c r="R581" s="84" t="s">
        <v>660</v>
      </c>
      <c r="S581" s="20" t="s">
        <v>734</v>
      </c>
      <c r="T581" s="20" t="s">
        <v>123</v>
      </c>
      <c r="U581" s="53" t="n">
        <v>0</v>
      </c>
      <c r="V581" s="76" t="s">
        <v>749</v>
      </c>
      <c r="W581" s="53" t="n">
        <v>2</v>
      </c>
    </row>
    <row r="582" customFormat="false" ht="35.05" hidden="false" customHeight="false" outlineLevel="0" collapsed="false">
      <c r="A582" s="76" t="n">
        <v>566</v>
      </c>
      <c r="B582" s="20" t="s">
        <v>1167</v>
      </c>
      <c r="C582" s="20" t="s">
        <v>655</v>
      </c>
      <c r="D582" s="20" t="s">
        <v>1334</v>
      </c>
      <c r="E582" s="20" t="s">
        <v>749</v>
      </c>
      <c r="F582" s="76" t="s">
        <v>676</v>
      </c>
      <c r="G582" s="20" t="s">
        <v>1326</v>
      </c>
      <c r="H582" s="55" t="n">
        <v>16</v>
      </c>
      <c r="I582" s="76" t="s">
        <v>512</v>
      </c>
      <c r="J582" s="76" t="s">
        <v>164</v>
      </c>
      <c r="K582" s="82" t="n">
        <v>1</v>
      </c>
      <c r="L582" s="55" t="n">
        <v>2</v>
      </c>
      <c r="M582" s="73" t="n">
        <v>6.5</v>
      </c>
      <c r="N582" s="74" t="n">
        <f aca="false">K582*L582*M582</f>
        <v>13</v>
      </c>
      <c r="O582" s="41" t="n">
        <f aca="false">IFERROR(INDEX(Исходные!$B$21:$B$33,MATCH(H582,Исходные!$A$21:$A$33,0)),0)</f>
        <v>1.578</v>
      </c>
      <c r="P582" s="83" t="n">
        <f aca="false">N582*O582</f>
        <v>20.514</v>
      </c>
      <c r="Q582" s="20" t="s">
        <v>1343</v>
      </c>
      <c r="R582" s="84" t="s">
        <v>660</v>
      </c>
      <c r="S582" s="20" t="s">
        <v>1327</v>
      </c>
      <c r="T582" s="20" t="s">
        <v>123</v>
      </c>
      <c r="U582" s="53" t="n">
        <v>0</v>
      </c>
      <c r="V582" s="76" t="s">
        <v>749</v>
      </c>
      <c r="W582" s="53" t="n">
        <v>2</v>
      </c>
    </row>
    <row r="583" customFormat="false" ht="35.05" hidden="false" customHeight="false" outlineLevel="0" collapsed="false">
      <c r="A583" s="76" t="n">
        <v>567</v>
      </c>
      <c r="B583" s="20" t="s">
        <v>1167</v>
      </c>
      <c r="C583" s="20" t="s">
        <v>655</v>
      </c>
      <c r="D583" s="20" t="s">
        <v>1334</v>
      </c>
      <c r="E583" s="20" t="s">
        <v>749</v>
      </c>
      <c r="F583" s="76" t="s">
        <v>676</v>
      </c>
      <c r="G583" s="20" t="s">
        <v>1328</v>
      </c>
      <c r="H583" s="55" t="n">
        <v>16</v>
      </c>
      <c r="I583" s="76" t="s">
        <v>512</v>
      </c>
      <c r="J583" s="76" t="s">
        <v>164</v>
      </c>
      <c r="K583" s="82" t="n">
        <v>1</v>
      </c>
      <c r="L583" s="55" t="n">
        <v>2</v>
      </c>
      <c r="M583" s="73" t="n">
        <v>2.05</v>
      </c>
      <c r="N583" s="74" t="n">
        <f aca="false">K583*L583*M583</f>
        <v>4.1</v>
      </c>
      <c r="O583" s="41" t="n">
        <f aca="false">IFERROR(INDEX(Исходные!$B$21:$B$33,MATCH(H583,Исходные!$A$21:$A$33,0)),0)</f>
        <v>1.578</v>
      </c>
      <c r="P583" s="83" t="n">
        <f aca="false">N583*O583</f>
        <v>6.4698</v>
      </c>
      <c r="Q583" s="20" t="s">
        <v>1343</v>
      </c>
      <c r="R583" s="84" t="s">
        <v>660</v>
      </c>
      <c r="S583" s="20" t="s">
        <v>1324</v>
      </c>
      <c r="T583" s="20" t="s">
        <v>123</v>
      </c>
      <c r="U583" s="53" t="n">
        <v>0</v>
      </c>
      <c r="V583" s="76" t="s">
        <v>749</v>
      </c>
      <c r="W583" s="53" t="n">
        <v>2</v>
      </c>
    </row>
    <row r="584" customFormat="false" ht="35.05" hidden="false" customHeight="false" outlineLevel="0" collapsed="false">
      <c r="A584" s="76" t="n">
        <v>568</v>
      </c>
      <c r="B584" s="20" t="s">
        <v>1167</v>
      </c>
      <c r="C584" s="20" t="s">
        <v>655</v>
      </c>
      <c r="D584" s="20" t="s">
        <v>1334</v>
      </c>
      <c r="E584" s="20" t="s">
        <v>749</v>
      </c>
      <c r="F584" s="76" t="s">
        <v>676</v>
      </c>
      <c r="G584" s="20" t="s">
        <v>737</v>
      </c>
      <c r="H584" s="55" t="n">
        <v>14</v>
      </c>
      <c r="I584" s="76" t="s">
        <v>512</v>
      </c>
      <c r="J584" s="76" t="s">
        <v>164</v>
      </c>
      <c r="K584" s="82" t="n">
        <v>1</v>
      </c>
      <c r="L584" s="55" t="n">
        <v>2</v>
      </c>
      <c r="M584" s="73" t="n">
        <v>3.7</v>
      </c>
      <c r="N584" s="74" t="n">
        <f aca="false">K584*L584*M584</f>
        <v>7.4</v>
      </c>
      <c r="O584" s="41" t="n">
        <f aca="false">IFERROR(INDEX(Исходные!$B$21:$B$33,MATCH(H584,Исходные!$A$21:$A$33,0)),0)</f>
        <v>1.208</v>
      </c>
      <c r="P584" s="83" t="n">
        <f aca="false">N584*O584</f>
        <v>8.9392</v>
      </c>
      <c r="Q584" s="20" t="s">
        <v>1342</v>
      </c>
      <c r="R584" s="84" t="s">
        <v>660</v>
      </c>
      <c r="S584" s="20" t="s">
        <v>721</v>
      </c>
      <c r="T584" s="20" t="s">
        <v>123</v>
      </c>
      <c r="U584" s="53" t="n">
        <v>0</v>
      </c>
      <c r="V584" s="76" t="s">
        <v>749</v>
      </c>
      <c r="W584" s="53" t="n">
        <v>2</v>
      </c>
    </row>
    <row r="585" customFormat="false" ht="35.05" hidden="false" customHeight="false" outlineLevel="0" collapsed="false">
      <c r="A585" s="76" t="n">
        <v>569</v>
      </c>
      <c r="B585" s="20" t="s">
        <v>1167</v>
      </c>
      <c r="C585" s="20" t="s">
        <v>655</v>
      </c>
      <c r="D585" s="20" t="s">
        <v>1334</v>
      </c>
      <c r="E585" s="20" t="s">
        <v>749</v>
      </c>
      <c r="F585" s="76" t="s">
        <v>676</v>
      </c>
      <c r="G585" s="20" t="s">
        <v>762</v>
      </c>
      <c r="H585" s="55" t="n">
        <v>14</v>
      </c>
      <c r="I585" s="76" t="s">
        <v>512</v>
      </c>
      <c r="J585" s="76" t="s">
        <v>164</v>
      </c>
      <c r="K585" s="82" t="n">
        <v>1</v>
      </c>
      <c r="L585" s="55" t="n">
        <v>2</v>
      </c>
      <c r="M585" s="73" t="n">
        <v>4.2</v>
      </c>
      <c r="N585" s="74" t="n">
        <f aca="false">K585*L585*M585</f>
        <v>8.4</v>
      </c>
      <c r="O585" s="41" t="n">
        <f aca="false">IFERROR(INDEX(Исходные!$B$21:$B$33,MATCH(H585,Исходные!$A$21:$A$33,0)),0)</f>
        <v>1.208</v>
      </c>
      <c r="P585" s="83" t="n">
        <f aca="false">N585*O585</f>
        <v>10.1472</v>
      </c>
      <c r="Q585" s="20" t="s">
        <v>1342</v>
      </c>
      <c r="R585" s="84" t="s">
        <v>660</v>
      </c>
      <c r="S585" s="20" t="s">
        <v>763</v>
      </c>
      <c r="T585" s="20" t="s">
        <v>123</v>
      </c>
      <c r="U585" s="53" t="n">
        <v>0</v>
      </c>
      <c r="V585" s="76" t="s">
        <v>749</v>
      </c>
      <c r="W585" s="53" t="n">
        <v>2</v>
      </c>
    </row>
    <row r="586" customFormat="false" ht="35.05" hidden="false" customHeight="false" outlineLevel="0" collapsed="false">
      <c r="A586" s="76" t="n">
        <v>570</v>
      </c>
      <c r="B586" s="20" t="s">
        <v>1167</v>
      </c>
      <c r="C586" s="20" t="s">
        <v>655</v>
      </c>
      <c r="D586" s="20" t="s">
        <v>1334</v>
      </c>
      <c r="E586" s="20" t="s">
        <v>749</v>
      </c>
      <c r="F586" s="76" t="s">
        <v>676</v>
      </c>
      <c r="G586" s="20" t="s">
        <v>764</v>
      </c>
      <c r="H586" s="55" t="n">
        <v>12</v>
      </c>
      <c r="I586" s="76" t="s">
        <v>512</v>
      </c>
      <c r="J586" s="76" t="s">
        <v>164</v>
      </c>
      <c r="K586" s="82" t="n">
        <v>1</v>
      </c>
      <c r="L586" s="55" t="n">
        <v>4</v>
      </c>
      <c r="M586" s="73" t="n">
        <v>17.1</v>
      </c>
      <c r="N586" s="74" t="n">
        <f aca="false">K586*L586*M586</f>
        <v>68.4</v>
      </c>
      <c r="O586" s="41" t="n">
        <f aca="false">IFERROR(INDEX(Исходные!$B$21:$B$33,MATCH(H586,Исходные!$A$21:$A$33,0)),0)</f>
        <v>0.888</v>
      </c>
      <c r="P586" s="83" t="n">
        <f aca="false">N586*O586</f>
        <v>60.7392</v>
      </c>
      <c r="Q586" s="20" t="s">
        <v>1344</v>
      </c>
      <c r="R586" s="84" t="s">
        <v>660</v>
      </c>
      <c r="S586" s="20" t="s">
        <v>766</v>
      </c>
      <c r="T586" s="20" t="s">
        <v>123</v>
      </c>
      <c r="U586" s="53" t="n">
        <v>0</v>
      </c>
      <c r="V586" s="76" t="s">
        <v>749</v>
      </c>
      <c r="W586" s="53" t="n">
        <v>2</v>
      </c>
    </row>
    <row r="587" customFormat="false" ht="35.05" hidden="false" customHeight="false" outlineLevel="0" collapsed="false">
      <c r="A587" s="76" t="n">
        <v>571</v>
      </c>
      <c r="B587" s="20" t="s">
        <v>1167</v>
      </c>
      <c r="C587" s="20" t="s">
        <v>655</v>
      </c>
      <c r="D587" s="20" t="s">
        <v>1334</v>
      </c>
      <c r="E587" s="20" t="s">
        <v>749</v>
      </c>
      <c r="F587" s="76" t="s">
        <v>767</v>
      </c>
      <c r="G587" s="20" t="s">
        <v>768</v>
      </c>
      <c r="H587" s="55" t="n">
        <v>12</v>
      </c>
      <c r="I587" s="76" t="s">
        <v>512</v>
      </c>
      <c r="J587" s="76" t="s">
        <v>164</v>
      </c>
      <c r="K587" s="82" t="n">
        <v>4</v>
      </c>
      <c r="L587" s="55" t="n">
        <v>1</v>
      </c>
      <c r="M587" s="73" t="n">
        <v>0.096</v>
      </c>
      <c r="N587" s="74" t="n">
        <f aca="false">K587*L587*M587</f>
        <v>0.384</v>
      </c>
      <c r="O587" s="41" t="n">
        <f aca="false">IFERROR(INDEX(Исходные!$B$21:$B$33,MATCH(H587,Исходные!$A$21:$A$33,0)),0)</f>
        <v>0.888</v>
      </c>
      <c r="P587" s="83" t="n">
        <f aca="false">N587*O587</f>
        <v>0.340992</v>
      </c>
      <c r="Q587" s="20" t="s">
        <v>769</v>
      </c>
      <c r="R587" s="84" t="s">
        <v>667</v>
      </c>
      <c r="S587" s="20" t="s">
        <v>770</v>
      </c>
      <c r="T587" s="20" t="s">
        <v>123</v>
      </c>
      <c r="U587" s="53" t="n">
        <v>0</v>
      </c>
      <c r="V587" s="76" t="s">
        <v>749</v>
      </c>
      <c r="W587" s="53" t="n">
        <v>2</v>
      </c>
    </row>
    <row r="588" customFormat="false" ht="35.05" hidden="false" customHeight="false" outlineLevel="0" collapsed="false">
      <c r="A588" s="76" t="n">
        <v>572</v>
      </c>
      <c r="B588" s="20" t="s">
        <v>1167</v>
      </c>
      <c r="C588" s="20" t="s">
        <v>655</v>
      </c>
      <c r="D588" s="20" t="s">
        <v>1334</v>
      </c>
      <c r="E588" s="20" t="s">
        <v>749</v>
      </c>
      <c r="F588" s="76" t="s">
        <v>696</v>
      </c>
      <c r="G588" s="20" t="s">
        <v>1308</v>
      </c>
      <c r="H588" s="55" t="n">
        <v>8</v>
      </c>
      <c r="I588" s="76" t="s">
        <v>546</v>
      </c>
      <c r="J588" s="76" t="s">
        <v>698</v>
      </c>
      <c r="K588" s="82" t="n">
        <v>1</v>
      </c>
      <c r="L588" s="55" t="n">
        <v>78</v>
      </c>
      <c r="M588" s="73" t="n">
        <v>2.06</v>
      </c>
      <c r="N588" s="74" t="n">
        <f aca="false">K588*L588*M588</f>
        <v>160.68</v>
      </c>
      <c r="O588" s="41" t="n">
        <f aca="false">IFERROR(INDEX(Исходные!$B$21:$B$33,MATCH(H588,Исходные!$A$21:$A$33,0)),0)</f>
        <v>0.395</v>
      </c>
      <c r="P588" s="83" t="n">
        <f aca="false">N588*O588</f>
        <v>63.4686</v>
      </c>
      <c r="Q588" s="20" t="s">
        <v>1309</v>
      </c>
      <c r="R588" s="84" t="s">
        <v>514</v>
      </c>
      <c r="S588" s="20" t="s">
        <v>1331</v>
      </c>
      <c r="T588" s="20" t="s">
        <v>123</v>
      </c>
      <c r="U588" s="53" t="n">
        <v>0</v>
      </c>
      <c r="V588" s="76" t="s">
        <v>749</v>
      </c>
      <c r="W588" s="53" t="n">
        <v>2</v>
      </c>
    </row>
    <row r="589" customFormat="false" ht="35.05" hidden="false" customHeight="false" outlineLevel="0" collapsed="false">
      <c r="A589" s="76" t="n">
        <v>573</v>
      </c>
      <c r="B589" s="20" t="s">
        <v>1167</v>
      </c>
      <c r="C589" s="20" t="s">
        <v>655</v>
      </c>
      <c r="D589" s="20" t="s">
        <v>1334</v>
      </c>
      <c r="E589" s="20" t="s">
        <v>749</v>
      </c>
      <c r="F589" s="76" t="s">
        <v>561</v>
      </c>
      <c r="G589" s="20" t="s">
        <v>1311</v>
      </c>
      <c r="H589" s="55" t="n">
        <v>10</v>
      </c>
      <c r="I589" s="76" t="s">
        <v>546</v>
      </c>
      <c r="J589" s="76" t="n">
        <v>100</v>
      </c>
      <c r="K589" s="82" t="n">
        <v>1</v>
      </c>
      <c r="L589" s="55" t="n">
        <v>124</v>
      </c>
      <c r="M589" s="73" t="n">
        <v>2.06</v>
      </c>
      <c r="N589" s="74" t="n">
        <f aca="false">K589*L589*M589</f>
        <v>255.44</v>
      </c>
      <c r="O589" s="41" t="n">
        <f aca="false">IFERROR(INDEX(Исходные!$B$21:$B$33,MATCH(H589,Исходные!$A$21:$A$33,0)),0)</f>
        <v>0.617</v>
      </c>
      <c r="P589" s="83" t="n">
        <f aca="false">N589*O589</f>
        <v>157.60648</v>
      </c>
      <c r="Q589" s="20" t="s">
        <v>1345</v>
      </c>
      <c r="R589" s="84" t="s">
        <v>514</v>
      </c>
      <c r="S589" s="20" t="s">
        <v>772</v>
      </c>
      <c r="T589" s="20" t="s">
        <v>123</v>
      </c>
      <c r="U589" s="53" t="n">
        <v>0</v>
      </c>
      <c r="V589" s="76" t="s">
        <v>749</v>
      </c>
      <c r="W589" s="53" t="n">
        <v>2</v>
      </c>
    </row>
    <row r="590" customFormat="false" ht="35.05" hidden="false" customHeight="false" outlineLevel="0" collapsed="false">
      <c r="A590" s="76" t="n">
        <v>574</v>
      </c>
      <c r="B590" s="20" t="s">
        <v>1167</v>
      </c>
      <c r="C590" s="20" t="s">
        <v>655</v>
      </c>
      <c r="D590" s="20" t="s">
        <v>1334</v>
      </c>
      <c r="E590" s="20" t="s">
        <v>749</v>
      </c>
      <c r="F590" s="76" t="s">
        <v>603</v>
      </c>
      <c r="G590" s="20" t="s">
        <v>704</v>
      </c>
      <c r="H590" s="55" t="n">
        <v>10</v>
      </c>
      <c r="I590" s="76" t="s">
        <v>546</v>
      </c>
      <c r="J590" s="76" t="n">
        <v>100</v>
      </c>
      <c r="K590" s="82" t="n">
        <v>1</v>
      </c>
      <c r="L590" s="55" t="n">
        <v>115</v>
      </c>
      <c r="M590" s="73" t="n">
        <v>1.6</v>
      </c>
      <c r="N590" s="74" t="n">
        <f aca="false">K590*L590*M590</f>
        <v>184</v>
      </c>
      <c r="O590" s="41" t="n">
        <f aca="false">IFERROR(INDEX(Исходные!$B$21:$B$33,MATCH(H590,Исходные!$A$21:$A$33,0)),0)</f>
        <v>0.617</v>
      </c>
      <c r="P590" s="83" t="n">
        <f aca="false">N590*O590</f>
        <v>113.528</v>
      </c>
      <c r="Q590" s="20" t="s">
        <v>773</v>
      </c>
      <c r="R590" s="84" t="s">
        <v>514</v>
      </c>
      <c r="S590" s="20"/>
      <c r="T590" s="20" t="s">
        <v>123</v>
      </c>
      <c r="U590" s="53" t="n">
        <v>0</v>
      </c>
      <c r="V590" s="76" t="s">
        <v>749</v>
      </c>
      <c r="W590" s="53" t="n">
        <v>2</v>
      </c>
    </row>
    <row r="591" customFormat="false" ht="35.05" hidden="false" customHeight="false" outlineLevel="0" collapsed="false">
      <c r="A591" s="76" t="n">
        <v>575</v>
      </c>
      <c r="B591" s="20" t="s">
        <v>1167</v>
      </c>
      <c r="C591" s="20" t="s">
        <v>655</v>
      </c>
      <c r="D591" s="20" t="s">
        <v>1334</v>
      </c>
      <c r="E591" s="20" t="s">
        <v>749</v>
      </c>
      <c r="F591" s="76" t="s">
        <v>706</v>
      </c>
      <c r="G591" s="20" t="s">
        <v>1314</v>
      </c>
      <c r="H591" s="55" t="n">
        <v>8</v>
      </c>
      <c r="I591" s="76" t="s">
        <v>546</v>
      </c>
      <c r="J591" s="76" t="s">
        <v>708</v>
      </c>
      <c r="K591" s="82" t="n">
        <v>1</v>
      </c>
      <c r="L591" s="55" t="n">
        <v>54</v>
      </c>
      <c r="M591" s="73" t="n">
        <v>0.75</v>
      </c>
      <c r="N591" s="74" t="n">
        <f aca="false">K591*L591*M591</f>
        <v>40.5</v>
      </c>
      <c r="O591" s="41" t="n">
        <f aca="false">IFERROR(INDEX(Исходные!$B$21:$B$33,MATCH(H591,Исходные!$A$21:$A$33,0)),0)</f>
        <v>0.395</v>
      </c>
      <c r="P591" s="83" t="n">
        <f aca="false">N591*O591</f>
        <v>15.9975</v>
      </c>
      <c r="Q591" s="20" t="s">
        <v>709</v>
      </c>
      <c r="R591" s="84" t="s">
        <v>514</v>
      </c>
      <c r="S591" s="20"/>
      <c r="T591" s="20" t="s">
        <v>123</v>
      </c>
      <c r="U591" s="53" t="n">
        <v>0</v>
      </c>
      <c r="V591" s="76" t="s">
        <v>749</v>
      </c>
      <c r="W591" s="53" t="n">
        <v>2</v>
      </c>
    </row>
    <row r="592" customFormat="false" ht="35.05" hidden="false" customHeight="false" outlineLevel="0" collapsed="false">
      <c r="A592" s="76" t="n">
        <v>576</v>
      </c>
      <c r="B592" s="20" t="s">
        <v>1167</v>
      </c>
      <c r="C592" s="20" t="s">
        <v>655</v>
      </c>
      <c r="D592" s="20" t="s">
        <v>1334</v>
      </c>
      <c r="E592" s="20" t="s">
        <v>749</v>
      </c>
      <c r="F592" s="76" t="s">
        <v>710</v>
      </c>
      <c r="G592" s="20" t="s">
        <v>1315</v>
      </c>
      <c r="H592" s="55" t="n">
        <v>8</v>
      </c>
      <c r="I592" s="76" t="s">
        <v>546</v>
      </c>
      <c r="J592" s="76" t="n">
        <v>300</v>
      </c>
      <c r="K592" s="82" t="n">
        <v>1</v>
      </c>
      <c r="L592" s="55" t="n">
        <v>77</v>
      </c>
      <c r="M592" s="73" t="n">
        <v>0.58</v>
      </c>
      <c r="N592" s="74" t="n">
        <f aca="false">K592*L592*M592</f>
        <v>44.66</v>
      </c>
      <c r="O592" s="41" t="n">
        <f aca="false">IFERROR(INDEX(Исходные!$B$21:$B$33,MATCH(H592,Исходные!$A$21:$A$33,0)),0)</f>
        <v>0.395</v>
      </c>
      <c r="P592" s="83" t="n">
        <f aca="false">N592*O592</f>
        <v>17.6407</v>
      </c>
      <c r="Q592" s="20" t="s">
        <v>1316</v>
      </c>
      <c r="R592" s="85" t="s">
        <v>638</v>
      </c>
      <c r="S592" s="20"/>
      <c r="T592" s="20" t="s">
        <v>123</v>
      </c>
      <c r="U592" s="53" t="n">
        <v>1</v>
      </c>
      <c r="V592" s="76" t="s">
        <v>749</v>
      </c>
      <c r="W592" s="53" t="n">
        <v>2</v>
      </c>
    </row>
    <row r="593" customFormat="false" ht="35.05" hidden="false" customHeight="false" outlineLevel="0" collapsed="false">
      <c r="A593" s="76" t="n">
        <v>577</v>
      </c>
      <c r="B593" s="20" t="s">
        <v>1167</v>
      </c>
      <c r="C593" s="20" t="s">
        <v>655</v>
      </c>
      <c r="D593" s="20" t="s">
        <v>1346</v>
      </c>
      <c r="E593" s="20" t="s">
        <v>775</v>
      </c>
      <c r="F593" s="76" t="s">
        <v>519</v>
      </c>
      <c r="G593" s="20" t="s">
        <v>658</v>
      </c>
      <c r="H593" s="55" t="n">
        <v>28</v>
      </c>
      <c r="I593" s="76" t="s">
        <v>512</v>
      </c>
      <c r="J593" s="76" t="s">
        <v>164</v>
      </c>
      <c r="K593" s="82" t="n">
        <v>1</v>
      </c>
      <c r="L593" s="55" t="n">
        <v>4</v>
      </c>
      <c r="M593" s="73" t="n">
        <v>25.5</v>
      </c>
      <c r="N593" s="74" t="n">
        <f aca="false">K593*L593*M593</f>
        <v>102</v>
      </c>
      <c r="O593" s="41" t="n">
        <f aca="false">IFERROR(INDEX(Исходные!$B$21:$B$33,MATCH(H593,Исходные!$A$21:$A$33,0)),0)</f>
        <v>4.834</v>
      </c>
      <c r="P593" s="83" t="n">
        <f aca="false">N593*O593</f>
        <v>493.068</v>
      </c>
      <c r="Q593" s="20" t="s">
        <v>1347</v>
      </c>
      <c r="R593" s="84" t="s">
        <v>660</v>
      </c>
      <c r="S593" s="20" t="s">
        <v>661</v>
      </c>
      <c r="T593" s="20" t="s">
        <v>123</v>
      </c>
      <c r="U593" s="53" t="n">
        <v>0</v>
      </c>
      <c r="V593" s="76" t="s">
        <v>775</v>
      </c>
      <c r="W593" s="53" t="n">
        <v>2</v>
      </c>
    </row>
    <row r="594" customFormat="false" ht="35.05" hidden="false" customHeight="false" outlineLevel="0" collapsed="false">
      <c r="A594" s="76" t="n">
        <v>578</v>
      </c>
      <c r="B594" s="20" t="s">
        <v>1167</v>
      </c>
      <c r="C594" s="20" t="s">
        <v>655</v>
      </c>
      <c r="D594" s="20" t="s">
        <v>1346</v>
      </c>
      <c r="E594" s="20" t="s">
        <v>775</v>
      </c>
      <c r="F594" s="76" t="s">
        <v>529</v>
      </c>
      <c r="G594" s="20" t="s">
        <v>662</v>
      </c>
      <c r="H594" s="55" t="n">
        <v>18</v>
      </c>
      <c r="I594" s="76" t="s">
        <v>512</v>
      </c>
      <c r="J594" s="76" t="s">
        <v>164</v>
      </c>
      <c r="K594" s="82" t="n">
        <v>1</v>
      </c>
      <c r="L594" s="55" t="n">
        <v>2</v>
      </c>
      <c r="M594" s="73" t="n">
        <v>25.5</v>
      </c>
      <c r="N594" s="74" t="n">
        <f aca="false">K594*L594*M594</f>
        <v>51</v>
      </c>
      <c r="O594" s="41" t="n">
        <f aca="false">IFERROR(INDEX(Исходные!$B$21:$B$33,MATCH(H594,Исходные!$A$21:$A$33,0)),0)</f>
        <v>1.998</v>
      </c>
      <c r="P594" s="83" t="n">
        <f aca="false">N594*O594</f>
        <v>101.898</v>
      </c>
      <c r="Q594" s="20" t="s">
        <v>663</v>
      </c>
      <c r="R594" s="84" t="s">
        <v>660</v>
      </c>
      <c r="S594" s="20"/>
      <c r="T594" s="20" t="s">
        <v>123</v>
      </c>
      <c r="U594" s="53" t="n">
        <v>0</v>
      </c>
      <c r="V594" s="76" t="s">
        <v>775</v>
      </c>
      <c r="W594" s="53" t="n">
        <v>2</v>
      </c>
    </row>
    <row r="595" customFormat="false" ht="35.05" hidden="false" customHeight="false" outlineLevel="0" collapsed="false">
      <c r="A595" s="76" t="n">
        <v>579</v>
      </c>
      <c r="B595" s="20" t="s">
        <v>1167</v>
      </c>
      <c r="C595" s="20" t="s">
        <v>655</v>
      </c>
      <c r="D595" s="20" t="s">
        <v>1346</v>
      </c>
      <c r="E595" s="20" t="s">
        <v>775</v>
      </c>
      <c r="F595" s="76" t="s">
        <v>664</v>
      </c>
      <c r="G595" s="20" t="s">
        <v>665</v>
      </c>
      <c r="H595" s="55" t="n">
        <v>18</v>
      </c>
      <c r="I595" s="76" t="s">
        <v>512</v>
      </c>
      <c r="J595" s="76" t="s">
        <v>164</v>
      </c>
      <c r="K595" s="82" t="n">
        <v>2</v>
      </c>
      <c r="L595" s="55" t="n">
        <v>2</v>
      </c>
      <c r="M595" s="73" t="n">
        <v>0.144</v>
      </c>
      <c r="N595" s="74" t="n">
        <f aca="false">K595*L595*M595</f>
        <v>0.576</v>
      </c>
      <c r="O595" s="41" t="n">
        <f aca="false">IFERROR(INDEX(Исходные!$B$21:$B$33,MATCH(H595,Исходные!$A$21:$A$33,0)),0)</f>
        <v>1.998</v>
      </c>
      <c r="P595" s="83" t="n">
        <f aca="false">N595*O595</f>
        <v>1.150848</v>
      </c>
      <c r="Q595" s="20" t="s">
        <v>666</v>
      </c>
      <c r="R595" s="84" t="s">
        <v>667</v>
      </c>
      <c r="S595" s="20" t="s">
        <v>668</v>
      </c>
      <c r="T595" s="20" t="s">
        <v>123</v>
      </c>
      <c r="U595" s="53" t="n">
        <v>0</v>
      </c>
      <c r="V595" s="76" t="s">
        <v>775</v>
      </c>
      <c r="W595" s="53" t="n">
        <v>2</v>
      </c>
    </row>
    <row r="596" customFormat="false" ht="35.05" hidden="false" customHeight="false" outlineLevel="0" collapsed="false">
      <c r="A596" s="76" t="n">
        <v>580</v>
      </c>
      <c r="B596" s="20" t="s">
        <v>1167</v>
      </c>
      <c r="C596" s="20" t="s">
        <v>655</v>
      </c>
      <c r="D596" s="20" t="s">
        <v>1346</v>
      </c>
      <c r="E596" s="20" t="s">
        <v>775</v>
      </c>
      <c r="F596" s="76" t="s">
        <v>669</v>
      </c>
      <c r="G596" s="20" t="s">
        <v>670</v>
      </c>
      <c r="H596" s="55" t="n">
        <v>16</v>
      </c>
      <c r="I596" s="76" t="s">
        <v>512</v>
      </c>
      <c r="J596" s="76" t="s">
        <v>164</v>
      </c>
      <c r="K596" s="82" t="n">
        <v>1</v>
      </c>
      <c r="L596" s="55" t="n">
        <v>2</v>
      </c>
      <c r="M596" s="73" t="n">
        <v>25.5</v>
      </c>
      <c r="N596" s="74" t="n">
        <f aca="false">K596*L596*M596</f>
        <v>51</v>
      </c>
      <c r="O596" s="41" t="n">
        <f aca="false">IFERROR(INDEX(Исходные!$B$21:$B$33,MATCH(H596,Исходные!$A$21:$A$33,0)),0)</f>
        <v>1.578</v>
      </c>
      <c r="P596" s="83" t="n">
        <f aca="false">N596*O596</f>
        <v>80.478</v>
      </c>
      <c r="Q596" s="20" t="s">
        <v>671</v>
      </c>
      <c r="R596" s="84" t="s">
        <v>660</v>
      </c>
      <c r="S596" s="20"/>
      <c r="T596" s="20" t="s">
        <v>123</v>
      </c>
      <c r="U596" s="53" t="n">
        <v>0</v>
      </c>
      <c r="V596" s="76" t="s">
        <v>775</v>
      </c>
      <c r="W596" s="53" t="n">
        <v>2</v>
      </c>
    </row>
    <row r="597" customFormat="false" ht="35.05" hidden="false" customHeight="false" outlineLevel="0" collapsed="false">
      <c r="A597" s="76" t="n">
        <v>581</v>
      </c>
      <c r="B597" s="20" t="s">
        <v>1167</v>
      </c>
      <c r="C597" s="20" t="s">
        <v>655</v>
      </c>
      <c r="D597" s="20" t="s">
        <v>1346</v>
      </c>
      <c r="E597" s="20" t="s">
        <v>775</v>
      </c>
      <c r="F597" s="76" t="s">
        <v>672</v>
      </c>
      <c r="G597" s="20" t="s">
        <v>673</v>
      </c>
      <c r="H597" s="55" t="n">
        <v>16</v>
      </c>
      <c r="I597" s="76" t="s">
        <v>512</v>
      </c>
      <c r="J597" s="76" t="s">
        <v>164</v>
      </c>
      <c r="K597" s="82" t="n">
        <v>2</v>
      </c>
      <c r="L597" s="55" t="n">
        <v>2</v>
      </c>
      <c r="M597" s="73" t="n">
        <v>0.128</v>
      </c>
      <c r="N597" s="74" t="n">
        <f aca="false">K597*L597*M597</f>
        <v>0.512</v>
      </c>
      <c r="O597" s="41" t="n">
        <f aca="false">IFERROR(INDEX(Исходные!$B$21:$B$33,MATCH(H597,Исходные!$A$21:$A$33,0)),0)</f>
        <v>1.578</v>
      </c>
      <c r="P597" s="83" t="n">
        <f aca="false">N597*O597</f>
        <v>0.807936</v>
      </c>
      <c r="Q597" s="20" t="s">
        <v>674</v>
      </c>
      <c r="R597" s="84" t="s">
        <v>667</v>
      </c>
      <c r="S597" s="20" t="s">
        <v>675</v>
      </c>
      <c r="T597" s="20" t="s">
        <v>123</v>
      </c>
      <c r="U597" s="53" t="n">
        <v>0</v>
      </c>
      <c r="V597" s="76" t="s">
        <v>775</v>
      </c>
      <c r="W597" s="53" t="n">
        <v>2</v>
      </c>
    </row>
    <row r="598" customFormat="false" ht="35.05" hidden="false" customHeight="false" outlineLevel="0" collapsed="false">
      <c r="A598" s="76" t="n">
        <v>582</v>
      </c>
      <c r="B598" s="20" t="s">
        <v>1167</v>
      </c>
      <c r="C598" s="20" t="s">
        <v>655</v>
      </c>
      <c r="D598" s="20" t="s">
        <v>1346</v>
      </c>
      <c r="E598" s="20" t="s">
        <v>775</v>
      </c>
      <c r="F598" s="76" t="s">
        <v>676</v>
      </c>
      <c r="G598" s="20" t="s">
        <v>1348</v>
      </c>
      <c r="H598" s="55" t="n">
        <v>25</v>
      </c>
      <c r="I598" s="76" t="s">
        <v>512</v>
      </c>
      <c r="J598" s="76" t="s">
        <v>164</v>
      </c>
      <c r="K598" s="82" t="n">
        <v>1</v>
      </c>
      <c r="L598" s="55" t="n">
        <v>2</v>
      </c>
      <c r="M598" s="73" t="n">
        <v>1.85</v>
      </c>
      <c r="N598" s="74" t="n">
        <f aca="false">K598*L598*M598</f>
        <v>3.7</v>
      </c>
      <c r="O598" s="41" t="n">
        <f aca="false">IFERROR(INDEX(Исходные!$B$21:$B$33,MATCH(H598,Исходные!$A$21:$A$33,0)),0)</f>
        <v>3.853</v>
      </c>
      <c r="P598" s="83" t="n">
        <f aca="false">N598*O598</f>
        <v>14.2561</v>
      </c>
      <c r="Q598" s="20" t="s">
        <v>1349</v>
      </c>
      <c r="R598" s="84" t="s">
        <v>660</v>
      </c>
      <c r="S598" s="20" t="s">
        <v>1350</v>
      </c>
      <c r="T598" s="20" t="s">
        <v>123</v>
      </c>
      <c r="U598" s="53" t="n">
        <v>0</v>
      </c>
      <c r="V598" s="76" t="s">
        <v>775</v>
      </c>
      <c r="W598" s="53" t="n">
        <v>2</v>
      </c>
    </row>
    <row r="599" customFormat="false" ht="35.05" hidden="false" customHeight="false" outlineLevel="0" collapsed="false">
      <c r="A599" s="76" t="n">
        <v>583</v>
      </c>
      <c r="B599" s="20" t="s">
        <v>1167</v>
      </c>
      <c r="C599" s="20" t="s">
        <v>655</v>
      </c>
      <c r="D599" s="20" t="s">
        <v>1346</v>
      </c>
      <c r="E599" s="20" t="s">
        <v>775</v>
      </c>
      <c r="F599" s="76" t="s">
        <v>676</v>
      </c>
      <c r="G599" s="20" t="s">
        <v>780</v>
      </c>
      <c r="H599" s="55" t="n">
        <v>28</v>
      </c>
      <c r="I599" s="76" t="s">
        <v>512</v>
      </c>
      <c r="J599" s="76" t="s">
        <v>164</v>
      </c>
      <c r="K599" s="82" t="n">
        <v>1</v>
      </c>
      <c r="L599" s="55" t="n">
        <v>2</v>
      </c>
      <c r="M599" s="73" t="n">
        <v>5.5</v>
      </c>
      <c r="N599" s="74" t="n">
        <f aca="false">K599*L599*M599</f>
        <v>11</v>
      </c>
      <c r="O599" s="41" t="n">
        <f aca="false">IFERROR(INDEX(Исходные!$B$21:$B$33,MATCH(H599,Исходные!$A$21:$A$33,0)),0)</f>
        <v>4.834</v>
      </c>
      <c r="P599" s="83" t="n">
        <f aca="false">N599*O599</f>
        <v>53.174</v>
      </c>
      <c r="Q599" s="20" t="s">
        <v>1351</v>
      </c>
      <c r="R599" s="84" t="s">
        <v>660</v>
      </c>
      <c r="S599" s="20" t="s">
        <v>781</v>
      </c>
      <c r="T599" s="20" t="s">
        <v>123</v>
      </c>
      <c r="U599" s="53" t="n">
        <v>0</v>
      </c>
      <c r="V599" s="76" t="s">
        <v>775</v>
      </c>
      <c r="W599" s="53" t="n">
        <v>2</v>
      </c>
    </row>
    <row r="600" customFormat="false" ht="35.05" hidden="false" customHeight="false" outlineLevel="0" collapsed="false">
      <c r="A600" s="76" t="n">
        <v>584</v>
      </c>
      <c r="B600" s="20" t="s">
        <v>1167</v>
      </c>
      <c r="C600" s="20" t="s">
        <v>655</v>
      </c>
      <c r="D600" s="20" t="s">
        <v>1346</v>
      </c>
      <c r="E600" s="20" t="s">
        <v>775</v>
      </c>
      <c r="F600" s="76" t="s">
        <v>676</v>
      </c>
      <c r="G600" s="20" t="s">
        <v>1352</v>
      </c>
      <c r="H600" s="55" t="n">
        <v>25</v>
      </c>
      <c r="I600" s="76" t="s">
        <v>512</v>
      </c>
      <c r="J600" s="76" t="s">
        <v>164</v>
      </c>
      <c r="K600" s="82" t="n">
        <v>1</v>
      </c>
      <c r="L600" s="55" t="n">
        <v>2</v>
      </c>
      <c r="M600" s="73" t="n">
        <v>5.5</v>
      </c>
      <c r="N600" s="74" t="n">
        <f aca="false">K600*L600*M600</f>
        <v>11</v>
      </c>
      <c r="O600" s="41" t="n">
        <f aca="false">IFERROR(INDEX(Исходные!$B$21:$B$33,MATCH(H600,Исходные!$A$21:$A$33,0)),0)</f>
        <v>3.853</v>
      </c>
      <c r="P600" s="83" t="n">
        <f aca="false">N600*O600</f>
        <v>42.383</v>
      </c>
      <c r="Q600" s="20" t="s">
        <v>1349</v>
      </c>
      <c r="R600" s="84" t="s">
        <v>660</v>
      </c>
      <c r="S600" s="20" t="s">
        <v>781</v>
      </c>
      <c r="T600" s="20" t="s">
        <v>123</v>
      </c>
      <c r="U600" s="53" t="n">
        <v>0</v>
      </c>
      <c r="V600" s="76" t="s">
        <v>775</v>
      </c>
      <c r="W600" s="53" t="n">
        <v>2</v>
      </c>
    </row>
    <row r="601" customFormat="false" ht="35.05" hidden="false" customHeight="false" outlineLevel="0" collapsed="false">
      <c r="A601" s="76" t="n">
        <v>585</v>
      </c>
      <c r="B601" s="20" t="s">
        <v>1167</v>
      </c>
      <c r="C601" s="20" t="s">
        <v>655</v>
      </c>
      <c r="D601" s="20" t="s">
        <v>1346</v>
      </c>
      <c r="E601" s="20" t="s">
        <v>775</v>
      </c>
      <c r="F601" s="76" t="s">
        <v>676</v>
      </c>
      <c r="G601" s="20" t="s">
        <v>784</v>
      </c>
      <c r="H601" s="55" t="n">
        <v>28</v>
      </c>
      <c r="I601" s="76" t="s">
        <v>512</v>
      </c>
      <c r="J601" s="76" t="s">
        <v>164</v>
      </c>
      <c r="K601" s="82" t="n">
        <v>1</v>
      </c>
      <c r="L601" s="55" t="n">
        <v>2</v>
      </c>
      <c r="M601" s="73" t="n">
        <v>4.7</v>
      </c>
      <c r="N601" s="74" t="n">
        <f aca="false">K601*L601*M601</f>
        <v>9.4</v>
      </c>
      <c r="O601" s="41" t="n">
        <f aca="false">IFERROR(INDEX(Исходные!$B$21:$B$33,MATCH(H601,Исходные!$A$21:$A$33,0)),0)</f>
        <v>4.834</v>
      </c>
      <c r="P601" s="83" t="n">
        <f aca="false">N601*O601</f>
        <v>45.4396</v>
      </c>
      <c r="Q601" s="20" t="s">
        <v>1351</v>
      </c>
      <c r="R601" s="84" t="s">
        <v>660</v>
      </c>
      <c r="S601" s="20" t="s">
        <v>785</v>
      </c>
      <c r="T601" s="20" t="s">
        <v>123</v>
      </c>
      <c r="U601" s="53" t="n">
        <v>0</v>
      </c>
      <c r="V601" s="76" t="s">
        <v>775</v>
      </c>
      <c r="W601" s="53" t="n">
        <v>2</v>
      </c>
    </row>
    <row r="602" customFormat="false" ht="35.05" hidden="false" customHeight="false" outlineLevel="0" collapsed="false">
      <c r="A602" s="76" t="n">
        <v>586</v>
      </c>
      <c r="B602" s="20" t="s">
        <v>1167</v>
      </c>
      <c r="C602" s="20" t="s">
        <v>655</v>
      </c>
      <c r="D602" s="20" t="s">
        <v>1346</v>
      </c>
      <c r="E602" s="20" t="s">
        <v>775</v>
      </c>
      <c r="F602" s="76" t="s">
        <v>676</v>
      </c>
      <c r="G602" s="20" t="s">
        <v>1353</v>
      </c>
      <c r="H602" s="55" t="n">
        <v>25</v>
      </c>
      <c r="I602" s="76" t="s">
        <v>512</v>
      </c>
      <c r="J602" s="76" t="s">
        <v>164</v>
      </c>
      <c r="K602" s="82" t="n">
        <v>1</v>
      </c>
      <c r="L602" s="55" t="n">
        <v>2</v>
      </c>
      <c r="M602" s="73" t="n">
        <v>4.7</v>
      </c>
      <c r="N602" s="74" t="n">
        <f aca="false">K602*L602*M602</f>
        <v>9.4</v>
      </c>
      <c r="O602" s="41" t="n">
        <f aca="false">IFERROR(INDEX(Исходные!$B$21:$B$33,MATCH(H602,Исходные!$A$21:$A$33,0)),0)</f>
        <v>3.853</v>
      </c>
      <c r="P602" s="83" t="n">
        <f aca="false">N602*O602</f>
        <v>36.2182</v>
      </c>
      <c r="Q602" s="20" t="s">
        <v>1349</v>
      </c>
      <c r="R602" s="84" t="s">
        <v>660</v>
      </c>
      <c r="S602" s="20" t="s">
        <v>785</v>
      </c>
      <c r="T602" s="20" t="s">
        <v>123</v>
      </c>
      <c r="U602" s="53" t="n">
        <v>0</v>
      </c>
      <c r="V602" s="76" t="s">
        <v>775</v>
      </c>
      <c r="W602" s="53" t="n">
        <v>2</v>
      </c>
    </row>
    <row r="603" customFormat="false" ht="35.05" hidden="false" customHeight="false" outlineLevel="0" collapsed="false">
      <c r="A603" s="76" t="n">
        <v>587</v>
      </c>
      <c r="B603" s="20" t="s">
        <v>1167</v>
      </c>
      <c r="C603" s="20" t="s">
        <v>655</v>
      </c>
      <c r="D603" s="20" t="s">
        <v>1346</v>
      </c>
      <c r="E603" s="20" t="s">
        <v>775</v>
      </c>
      <c r="F603" s="76" t="s">
        <v>676</v>
      </c>
      <c r="G603" s="20" t="s">
        <v>1354</v>
      </c>
      <c r="H603" s="55" t="n">
        <v>25</v>
      </c>
      <c r="I603" s="76" t="s">
        <v>512</v>
      </c>
      <c r="J603" s="76" t="s">
        <v>164</v>
      </c>
      <c r="K603" s="82" t="n">
        <v>1</v>
      </c>
      <c r="L603" s="55" t="n">
        <v>2</v>
      </c>
      <c r="M603" s="73" t="n">
        <v>4.3</v>
      </c>
      <c r="N603" s="74" t="n">
        <f aca="false">K603*L603*M603</f>
        <v>8.6</v>
      </c>
      <c r="O603" s="41" t="n">
        <f aca="false">IFERROR(INDEX(Исходные!$B$21:$B$33,MATCH(H603,Исходные!$A$21:$A$33,0)),0)</f>
        <v>3.853</v>
      </c>
      <c r="P603" s="83" t="n">
        <f aca="false">N603*O603</f>
        <v>33.1358</v>
      </c>
      <c r="Q603" s="20" t="s">
        <v>1349</v>
      </c>
      <c r="R603" s="84" t="s">
        <v>660</v>
      </c>
      <c r="S603" s="20" t="s">
        <v>789</v>
      </c>
      <c r="T603" s="20" t="s">
        <v>123</v>
      </c>
      <c r="U603" s="53" t="n">
        <v>0</v>
      </c>
      <c r="V603" s="76" t="s">
        <v>775</v>
      </c>
      <c r="W603" s="53" t="n">
        <v>2</v>
      </c>
    </row>
    <row r="604" customFormat="false" ht="35.05" hidden="false" customHeight="false" outlineLevel="0" collapsed="false">
      <c r="A604" s="76" t="n">
        <v>588</v>
      </c>
      <c r="B604" s="20" t="s">
        <v>1167</v>
      </c>
      <c r="C604" s="20" t="s">
        <v>655</v>
      </c>
      <c r="D604" s="20" t="s">
        <v>1346</v>
      </c>
      <c r="E604" s="20" t="s">
        <v>775</v>
      </c>
      <c r="F604" s="76" t="s">
        <v>676</v>
      </c>
      <c r="G604" s="20" t="s">
        <v>1355</v>
      </c>
      <c r="H604" s="55" t="n">
        <v>22</v>
      </c>
      <c r="I604" s="76" t="s">
        <v>512</v>
      </c>
      <c r="J604" s="76" t="s">
        <v>164</v>
      </c>
      <c r="K604" s="82" t="n">
        <v>1</v>
      </c>
      <c r="L604" s="55" t="n">
        <v>2</v>
      </c>
      <c r="M604" s="73" t="n">
        <v>4.3</v>
      </c>
      <c r="N604" s="74" t="n">
        <f aca="false">K604*L604*M604</f>
        <v>8.6</v>
      </c>
      <c r="O604" s="41" t="n">
        <f aca="false">IFERROR(INDEX(Исходные!$B$21:$B$33,MATCH(H604,Исходные!$A$21:$A$33,0)),0)</f>
        <v>2.984</v>
      </c>
      <c r="P604" s="83" t="n">
        <f aca="false">N604*O604</f>
        <v>25.6624</v>
      </c>
      <c r="Q604" s="20" t="s">
        <v>1356</v>
      </c>
      <c r="R604" s="84" t="s">
        <v>660</v>
      </c>
      <c r="S604" s="20" t="s">
        <v>789</v>
      </c>
      <c r="T604" s="20" t="s">
        <v>123</v>
      </c>
      <c r="U604" s="53" t="n">
        <v>0</v>
      </c>
      <c r="V604" s="76" t="s">
        <v>775</v>
      </c>
      <c r="W604" s="53" t="n">
        <v>2</v>
      </c>
    </row>
    <row r="605" customFormat="false" ht="35.05" hidden="false" customHeight="false" outlineLevel="0" collapsed="false">
      <c r="A605" s="76" t="n">
        <v>589</v>
      </c>
      <c r="B605" s="20" t="s">
        <v>1167</v>
      </c>
      <c r="C605" s="20" t="s">
        <v>655</v>
      </c>
      <c r="D605" s="20" t="s">
        <v>1346</v>
      </c>
      <c r="E605" s="20" t="s">
        <v>775</v>
      </c>
      <c r="F605" s="76" t="s">
        <v>676</v>
      </c>
      <c r="G605" s="20" t="s">
        <v>727</v>
      </c>
      <c r="H605" s="55" t="n">
        <v>25</v>
      </c>
      <c r="I605" s="76" t="s">
        <v>512</v>
      </c>
      <c r="J605" s="76" t="s">
        <v>164</v>
      </c>
      <c r="K605" s="82" t="n">
        <v>1</v>
      </c>
      <c r="L605" s="55" t="n">
        <v>2</v>
      </c>
      <c r="M605" s="73" t="n">
        <v>2.05</v>
      </c>
      <c r="N605" s="74" t="n">
        <f aca="false">K605*L605*M605</f>
        <v>4.1</v>
      </c>
      <c r="O605" s="41" t="n">
        <f aca="false">IFERROR(INDEX(Исходные!$B$21:$B$33,MATCH(H605,Исходные!$A$21:$A$33,0)),0)</f>
        <v>3.853</v>
      </c>
      <c r="P605" s="83" t="n">
        <f aca="false">N605*O605</f>
        <v>15.7973</v>
      </c>
      <c r="Q605" s="20" t="s">
        <v>1349</v>
      </c>
      <c r="R605" s="84" t="s">
        <v>660</v>
      </c>
      <c r="S605" s="20" t="s">
        <v>1324</v>
      </c>
      <c r="T605" s="20" t="s">
        <v>123</v>
      </c>
      <c r="U605" s="53" t="n">
        <v>0</v>
      </c>
      <c r="V605" s="76" t="s">
        <v>775</v>
      </c>
      <c r="W605" s="53" t="n">
        <v>2</v>
      </c>
    </row>
    <row r="606" customFormat="false" ht="35.05" hidden="false" customHeight="false" outlineLevel="0" collapsed="false">
      <c r="A606" s="76" t="n">
        <v>590</v>
      </c>
      <c r="B606" s="20" t="s">
        <v>1167</v>
      </c>
      <c r="C606" s="20" t="s">
        <v>655</v>
      </c>
      <c r="D606" s="20" t="s">
        <v>1346</v>
      </c>
      <c r="E606" s="20" t="s">
        <v>775</v>
      </c>
      <c r="F606" s="76" t="s">
        <v>676</v>
      </c>
      <c r="G606" s="20" t="s">
        <v>791</v>
      </c>
      <c r="H606" s="55" t="n">
        <v>16</v>
      </c>
      <c r="I606" s="76" t="s">
        <v>512</v>
      </c>
      <c r="J606" s="76" t="s">
        <v>164</v>
      </c>
      <c r="K606" s="82" t="n">
        <v>1</v>
      </c>
      <c r="L606" s="55" t="n">
        <v>2</v>
      </c>
      <c r="M606" s="73" t="n">
        <v>1.85</v>
      </c>
      <c r="N606" s="74" t="n">
        <f aca="false">K606*L606*M606</f>
        <v>3.7</v>
      </c>
      <c r="O606" s="41" t="n">
        <f aca="false">IFERROR(INDEX(Исходные!$B$21:$B$33,MATCH(H606,Исходные!$A$21:$A$33,0)),0)</f>
        <v>1.578</v>
      </c>
      <c r="P606" s="83" t="n">
        <f aca="false">N606*O606</f>
        <v>5.8386</v>
      </c>
      <c r="Q606" s="20" t="s">
        <v>1357</v>
      </c>
      <c r="R606" s="84" t="s">
        <v>660</v>
      </c>
      <c r="S606" s="20" t="s">
        <v>1350</v>
      </c>
      <c r="T606" s="20" t="s">
        <v>123</v>
      </c>
      <c r="U606" s="53" t="n">
        <v>0</v>
      </c>
      <c r="V606" s="76" t="s">
        <v>775</v>
      </c>
      <c r="W606" s="53" t="n">
        <v>2</v>
      </c>
    </row>
    <row r="607" customFormat="false" ht="35.05" hidden="false" customHeight="false" outlineLevel="0" collapsed="false">
      <c r="A607" s="76" t="n">
        <v>591</v>
      </c>
      <c r="B607" s="20" t="s">
        <v>1167</v>
      </c>
      <c r="C607" s="20" t="s">
        <v>655</v>
      </c>
      <c r="D607" s="20" t="s">
        <v>1346</v>
      </c>
      <c r="E607" s="20" t="s">
        <v>775</v>
      </c>
      <c r="F607" s="76" t="s">
        <v>676</v>
      </c>
      <c r="G607" s="20" t="s">
        <v>1358</v>
      </c>
      <c r="H607" s="55" t="n">
        <v>25</v>
      </c>
      <c r="I607" s="76" t="s">
        <v>512</v>
      </c>
      <c r="J607" s="76" t="s">
        <v>164</v>
      </c>
      <c r="K607" s="82" t="n">
        <v>1</v>
      </c>
      <c r="L607" s="55" t="n">
        <v>2</v>
      </c>
      <c r="M607" s="73" t="n">
        <v>5.5</v>
      </c>
      <c r="N607" s="74" t="n">
        <f aca="false">K607*L607*M607</f>
        <v>11</v>
      </c>
      <c r="O607" s="41" t="n">
        <f aca="false">IFERROR(INDEX(Исходные!$B$21:$B$33,MATCH(H607,Исходные!$A$21:$A$33,0)),0)</f>
        <v>3.853</v>
      </c>
      <c r="P607" s="83" t="n">
        <f aca="false">N607*O607</f>
        <v>42.383</v>
      </c>
      <c r="Q607" s="20" t="s">
        <v>1349</v>
      </c>
      <c r="R607" s="84" t="s">
        <v>660</v>
      </c>
      <c r="S607" s="20" t="s">
        <v>781</v>
      </c>
      <c r="T607" s="20" t="s">
        <v>123</v>
      </c>
      <c r="U607" s="53" t="n">
        <v>0</v>
      </c>
      <c r="V607" s="76" t="s">
        <v>775</v>
      </c>
      <c r="W607" s="53" t="n">
        <v>2</v>
      </c>
    </row>
    <row r="608" customFormat="false" ht="35.05" hidden="false" customHeight="false" outlineLevel="0" collapsed="false">
      <c r="A608" s="76" t="n">
        <v>592</v>
      </c>
      <c r="B608" s="20" t="s">
        <v>1167</v>
      </c>
      <c r="C608" s="20" t="s">
        <v>655</v>
      </c>
      <c r="D608" s="20" t="s">
        <v>1346</v>
      </c>
      <c r="E608" s="20" t="s">
        <v>775</v>
      </c>
      <c r="F608" s="76" t="s">
        <v>676</v>
      </c>
      <c r="G608" s="20" t="s">
        <v>794</v>
      </c>
      <c r="H608" s="55" t="n">
        <v>28</v>
      </c>
      <c r="I608" s="76" t="s">
        <v>512</v>
      </c>
      <c r="J608" s="76" t="s">
        <v>164</v>
      </c>
      <c r="K608" s="82" t="n">
        <v>1</v>
      </c>
      <c r="L608" s="55" t="n">
        <v>2</v>
      </c>
      <c r="M608" s="73" t="n">
        <v>4.7</v>
      </c>
      <c r="N608" s="74" t="n">
        <f aca="false">K608*L608*M608</f>
        <v>9.4</v>
      </c>
      <c r="O608" s="41" t="n">
        <f aca="false">IFERROR(INDEX(Исходные!$B$21:$B$33,MATCH(H608,Исходные!$A$21:$A$33,0)),0)</f>
        <v>4.834</v>
      </c>
      <c r="P608" s="83" t="n">
        <f aca="false">N608*O608</f>
        <v>45.4396</v>
      </c>
      <c r="Q608" s="20" t="s">
        <v>1351</v>
      </c>
      <c r="R608" s="84" t="s">
        <v>660</v>
      </c>
      <c r="S608" s="20" t="s">
        <v>785</v>
      </c>
      <c r="T608" s="20" t="s">
        <v>123</v>
      </c>
      <c r="U608" s="53" t="n">
        <v>0</v>
      </c>
      <c r="V608" s="76" t="s">
        <v>775</v>
      </c>
      <c r="W608" s="53" t="n">
        <v>2</v>
      </c>
    </row>
    <row r="609" customFormat="false" ht="35.05" hidden="false" customHeight="false" outlineLevel="0" collapsed="false">
      <c r="A609" s="76" t="n">
        <v>593</v>
      </c>
      <c r="B609" s="20" t="s">
        <v>1167</v>
      </c>
      <c r="C609" s="20" t="s">
        <v>655</v>
      </c>
      <c r="D609" s="20" t="s">
        <v>1346</v>
      </c>
      <c r="E609" s="20" t="s">
        <v>775</v>
      </c>
      <c r="F609" s="76" t="s">
        <v>676</v>
      </c>
      <c r="G609" s="20" t="s">
        <v>1359</v>
      </c>
      <c r="H609" s="55" t="n">
        <v>20</v>
      </c>
      <c r="I609" s="76" t="s">
        <v>512</v>
      </c>
      <c r="J609" s="76" t="s">
        <v>164</v>
      </c>
      <c r="K609" s="82" t="n">
        <v>1</v>
      </c>
      <c r="L609" s="55" t="n">
        <v>1</v>
      </c>
      <c r="M609" s="73" t="n">
        <v>4.7</v>
      </c>
      <c r="N609" s="74" t="n">
        <f aca="false">K609*L609*M609</f>
        <v>4.7</v>
      </c>
      <c r="O609" s="41" t="n">
        <f aca="false">IFERROR(INDEX(Исходные!$B$21:$B$33,MATCH(H609,Исходные!$A$21:$A$33,0)),0)</f>
        <v>2.466</v>
      </c>
      <c r="P609" s="83" t="n">
        <f aca="false">N609*O609</f>
        <v>11.5902</v>
      </c>
      <c r="Q609" s="20" t="s">
        <v>1360</v>
      </c>
      <c r="R609" s="84" t="s">
        <v>660</v>
      </c>
      <c r="S609" s="20" t="s">
        <v>785</v>
      </c>
      <c r="T609" s="20" t="s">
        <v>123</v>
      </c>
      <c r="U609" s="53" t="n">
        <v>0</v>
      </c>
      <c r="V609" s="76" t="s">
        <v>775</v>
      </c>
      <c r="W609" s="53" t="n">
        <v>2</v>
      </c>
    </row>
    <row r="610" customFormat="false" ht="35.05" hidden="false" customHeight="false" outlineLevel="0" collapsed="false">
      <c r="A610" s="76" t="n">
        <v>594</v>
      </c>
      <c r="B610" s="20" t="s">
        <v>1167</v>
      </c>
      <c r="C610" s="20" t="s">
        <v>655</v>
      </c>
      <c r="D610" s="20" t="s">
        <v>1346</v>
      </c>
      <c r="E610" s="20" t="s">
        <v>775</v>
      </c>
      <c r="F610" s="76" t="s">
        <v>676</v>
      </c>
      <c r="G610" s="20" t="s">
        <v>795</v>
      </c>
      <c r="H610" s="55" t="n">
        <v>28</v>
      </c>
      <c r="I610" s="76" t="s">
        <v>512</v>
      </c>
      <c r="J610" s="76" t="s">
        <v>164</v>
      </c>
      <c r="K610" s="82" t="n">
        <v>1</v>
      </c>
      <c r="L610" s="55" t="n">
        <v>2</v>
      </c>
      <c r="M610" s="73" t="n">
        <v>4.3</v>
      </c>
      <c r="N610" s="74" t="n">
        <f aca="false">K610*L610*M610</f>
        <v>8.6</v>
      </c>
      <c r="O610" s="41" t="n">
        <f aca="false">IFERROR(INDEX(Исходные!$B$21:$B$33,MATCH(H610,Исходные!$A$21:$A$33,0)),0)</f>
        <v>4.834</v>
      </c>
      <c r="P610" s="83" t="n">
        <f aca="false">N610*O610</f>
        <v>41.5724</v>
      </c>
      <c r="Q610" s="20" t="s">
        <v>1351</v>
      </c>
      <c r="R610" s="84" t="s">
        <v>660</v>
      </c>
      <c r="S610" s="20" t="s">
        <v>789</v>
      </c>
      <c r="T610" s="20" t="s">
        <v>123</v>
      </c>
      <c r="U610" s="53" t="n">
        <v>0</v>
      </c>
      <c r="V610" s="76" t="s">
        <v>775</v>
      </c>
      <c r="W610" s="53" t="n">
        <v>2</v>
      </c>
    </row>
    <row r="611" customFormat="false" ht="35.05" hidden="false" customHeight="false" outlineLevel="0" collapsed="false">
      <c r="A611" s="76" t="n">
        <v>595</v>
      </c>
      <c r="B611" s="20" t="s">
        <v>1167</v>
      </c>
      <c r="C611" s="20" t="s">
        <v>655</v>
      </c>
      <c r="D611" s="20" t="s">
        <v>1346</v>
      </c>
      <c r="E611" s="20" t="s">
        <v>775</v>
      </c>
      <c r="F611" s="76" t="s">
        <v>676</v>
      </c>
      <c r="G611" s="20" t="s">
        <v>796</v>
      </c>
      <c r="H611" s="55" t="n">
        <v>22</v>
      </c>
      <c r="I611" s="76" t="s">
        <v>512</v>
      </c>
      <c r="J611" s="76" t="s">
        <v>164</v>
      </c>
      <c r="K611" s="82" t="n">
        <v>1</v>
      </c>
      <c r="L611" s="55" t="n">
        <v>2</v>
      </c>
      <c r="M611" s="73" t="n">
        <v>2.05</v>
      </c>
      <c r="N611" s="74" t="n">
        <f aca="false">K611*L611*M611</f>
        <v>4.1</v>
      </c>
      <c r="O611" s="41" t="n">
        <f aca="false">IFERROR(INDEX(Исходные!$B$21:$B$33,MATCH(H611,Исходные!$A$21:$A$33,0)),0)</f>
        <v>2.984</v>
      </c>
      <c r="P611" s="83" t="n">
        <f aca="false">N611*O611</f>
        <v>12.2344</v>
      </c>
      <c r="Q611" s="20" t="s">
        <v>1356</v>
      </c>
      <c r="R611" s="84" t="s">
        <v>660</v>
      </c>
      <c r="S611" s="20" t="s">
        <v>1324</v>
      </c>
      <c r="T611" s="20" t="s">
        <v>123</v>
      </c>
      <c r="U611" s="53" t="n">
        <v>0</v>
      </c>
      <c r="V611" s="76" t="s">
        <v>775</v>
      </c>
      <c r="W611" s="53" t="n">
        <v>2</v>
      </c>
    </row>
    <row r="612" customFormat="false" ht="35.05" hidden="false" customHeight="false" outlineLevel="0" collapsed="false">
      <c r="A612" s="76" t="n">
        <v>596</v>
      </c>
      <c r="B612" s="20" t="s">
        <v>1167</v>
      </c>
      <c r="C612" s="20" t="s">
        <v>655</v>
      </c>
      <c r="D612" s="20" t="s">
        <v>1346</v>
      </c>
      <c r="E612" s="20" t="s">
        <v>775</v>
      </c>
      <c r="F612" s="76" t="s">
        <v>676</v>
      </c>
      <c r="G612" s="20" t="s">
        <v>1361</v>
      </c>
      <c r="H612" s="55" t="n">
        <v>12</v>
      </c>
      <c r="I612" s="76" t="s">
        <v>512</v>
      </c>
      <c r="J612" s="76" t="s">
        <v>164</v>
      </c>
      <c r="K612" s="82" t="n">
        <v>1</v>
      </c>
      <c r="L612" s="55" t="n">
        <v>2</v>
      </c>
      <c r="M612" s="73" t="n">
        <v>5.5</v>
      </c>
      <c r="N612" s="74" t="n">
        <f aca="false">K612*L612*M612</f>
        <v>11</v>
      </c>
      <c r="O612" s="41" t="n">
        <f aca="false">IFERROR(INDEX(Исходные!$B$21:$B$33,MATCH(H612,Исходные!$A$21:$A$33,0)),0)</f>
        <v>0.888</v>
      </c>
      <c r="P612" s="83" t="n">
        <f aca="false">N612*O612</f>
        <v>9.768</v>
      </c>
      <c r="Q612" s="20" t="s">
        <v>1362</v>
      </c>
      <c r="R612" s="84" t="s">
        <v>660</v>
      </c>
      <c r="S612" s="20" t="s">
        <v>781</v>
      </c>
      <c r="T612" s="20" t="s">
        <v>123</v>
      </c>
      <c r="U612" s="53" t="n">
        <v>0</v>
      </c>
      <c r="V612" s="76" t="s">
        <v>775</v>
      </c>
      <c r="W612" s="53" t="n">
        <v>2</v>
      </c>
    </row>
    <row r="613" customFormat="false" ht="35.05" hidden="false" customHeight="false" outlineLevel="0" collapsed="false">
      <c r="A613" s="76" t="n">
        <v>597</v>
      </c>
      <c r="B613" s="20" t="s">
        <v>1167</v>
      </c>
      <c r="C613" s="20" t="s">
        <v>655</v>
      </c>
      <c r="D613" s="20" t="s">
        <v>1346</v>
      </c>
      <c r="E613" s="20" t="s">
        <v>775</v>
      </c>
      <c r="F613" s="76" t="s">
        <v>696</v>
      </c>
      <c r="G613" s="20" t="s">
        <v>1308</v>
      </c>
      <c r="H613" s="55" t="n">
        <v>8</v>
      </c>
      <c r="I613" s="76" t="s">
        <v>546</v>
      </c>
      <c r="J613" s="76" t="s">
        <v>698</v>
      </c>
      <c r="K613" s="82" t="n">
        <v>1</v>
      </c>
      <c r="L613" s="55" t="n">
        <v>113</v>
      </c>
      <c r="M613" s="73" t="n">
        <v>2.06</v>
      </c>
      <c r="N613" s="74" t="n">
        <f aca="false">K613*L613*M613</f>
        <v>232.78</v>
      </c>
      <c r="O613" s="41" t="n">
        <f aca="false">IFERROR(INDEX(Исходные!$B$21:$B$33,MATCH(H613,Исходные!$A$21:$A$33,0)),0)</f>
        <v>0.395</v>
      </c>
      <c r="P613" s="83" t="n">
        <f aca="false">N613*O613</f>
        <v>91.9481</v>
      </c>
      <c r="Q613" s="20" t="s">
        <v>1309</v>
      </c>
      <c r="R613" s="84" t="s">
        <v>514</v>
      </c>
      <c r="S613" s="20" t="s">
        <v>1363</v>
      </c>
      <c r="T613" s="20" t="s">
        <v>123</v>
      </c>
      <c r="U613" s="53" t="n">
        <v>0</v>
      </c>
      <c r="V613" s="76" t="s">
        <v>775</v>
      </c>
      <c r="W613" s="53" t="n">
        <v>2</v>
      </c>
    </row>
    <row r="614" customFormat="false" ht="35.05" hidden="false" customHeight="false" outlineLevel="0" collapsed="false">
      <c r="A614" s="76" t="n">
        <v>598</v>
      </c>
      <c r="B614" s="20" t="s">
        <v>1167</v>
      </c>
      <c r="C614" s="20" t="s">
        <v>655</v>
      </c>
      <c r="D614" s="20" t="s">
        <v>1346</v>
      </c>
      <c r="E614" s="20" t="s">
        <v>775</v>
      </c>
      <c r="F614" s="76" t="s">
        <v>561</v>
      </c>
      <c r="G614" s="20" t="s">
        <v>1311</v>
      </c>
      <c r="H614" s="55" t="n">
        <v>10</v>
      </c>
      <c r="I614" s="76" t="s">
        <v>546</v>
      </c>
      <c r="J614" s="76" t="n">
        <v>100</v>
      </c>
      <c r="K614" s="82" t="n">
        <v>1</v>
      </c>
      <c r="L614" s="55" t="n">
        <v>57</v>
      </c>
      <c r="M614" s="73" t="n">
        <v>2.06</v>
      </c>
      <c r="N614" s="74" t="n">
        <f aca="false">K614*L614*M614</f>
        <v>117.42</v>
      </c>
      <c r="O614" s="41" t="n">
        <f aca="false">IFERROR(INDEX(Исходные!$B$21:$B$33,MATCH(H614,Исходные!$A$21:$A$33,0)),0)</f>
        <v>0.617</v>
      </c>
      <c r="P614" s="83" t="n">
        <f aca="false">N614*O614</f>
        <v>72.44814</v>
      </c>
      <c r="Q614" s="20" t="s">
        <v>1364</v>
      </c>
      <c r="R614" s="84" t="s">
        <v>514</v>
      </c>
      <c r="S614" s="20" t="s">
        <v>1365</v>
      </c>
      <c r="T614" s="20" t="s">
        <v>123</v>
      </c>
      <c r="U614" s="53" t="n">
        <v>0</v>
      </c>
      <c r="V614" s="76" t="s">
        <v>775</v>
      </c>
      <c r="W614" s="53" t="n">
        <v>2</v>
      </c>
    </row>
    <row r="615" customFormat="false" ht="35.05" hidden="false" customHeight="false" outlineLevel="0" collapsed="false">
      <c r="A615" s="76" t="n">
        <v>599</v>
      </c>
      <c r="B615" s="20" t="s">
        <v>1167</v>
      </c>
      <c r="C615" s="20" t="s">
        <v>655</v>
      </c>
      <c r="D615" s="20" t="s">
        <v>1346</v>
      </c>
      <c r="E615" s="20" t="s">
        <v>775</v>
      </c>
      <c r="F615" s="76" t="s">
        <v>706</v>
      </c>
      <c r="G615" s="20" t="s">
        <v>1314</v>
      </c>
      <c r="H615" s="55" t="n">
        <v>8</v>
      </c>
      <c r="I615" s="76" t="s">
        <v>546</v>
      </c>
      <c r="J615" s="76" t="s">
        <v>708</v>
      </c>
      <c r="K615" s="82" t="n">
        <v>1</v>
      </c>
      <c r="L615" s="55" t="n">
        <v>106</v>
      </c>
      <c r="M615" s="73" t="n">
        <v>0.75</v>
      </c>
      <c r="N615" s="74" t="n">
        <f aca="false">K615*L615*M615</f>
        <v>79.5</v>
      </c>
      <c r="O615" s="41" t="n">
        <f aca="false">IFERROR(INDEX(Исходные!$B$21:$B$33,MATCH(H615,Исходные!$A$21:$A$33,0)),0)</f>
        <v>0.395</v>
      </c>
      <c r="P615" s="83" t="n">
        <f aca="false">N615*O615</f>
        <v>31.4025</v>
      </c>
      <c r="Q615" s="20" t="s">
        <v>709</v>
      </c>
      <c r="R615" s="84" t="s">
        <v>514</v>
      </c>
      <c r="S615" s="20"/>
      <c r="T615" s="20" t="s">
        <v>123</v>
      </c>
      <c r="U615" s="53" t="n">
        <v>0</v>
      </c>
      <c r="V615" s="76" t="s">
        <v>775</v>
      </c>
      <c r="W615" s="53" t="n">
        <v>2</v>
      </c>
    </row>
    <row r="616" customFormat="false" ht="35.05" hidden="false" customHeight="false" outlineLevel="0" collapsed="false">
      <c r="A616" s="76" t="n">
        <v>600</v>
      </c>
      <c r="B616" s="20" t="s">
        <v>1167</v>
      </c>
      <c r="C616" s="20" t="s">
        <v>655</v>
      </c>
      <c r="D616" s="20" t="s">
        <v>1346</v>
      </c>
      <c r="E616" s="20" t="s">
        <v>775</v>
      </c>
      <c r="F616" s="76" t="s">
        <v>710</v>
      </c>
      <c r="G616" s="20" t="s">
        <v>1315</v>
      </c>
      <c r="H616" s="55" t="n">
        <v>8</v>
      </c>
      <c r="I616" s="76" t="s">
        <v>546</v>
      </c>
      <c r="J616" s="76" t="n">
        <v>300</v>
      </c>
      <c r="K616" s="82" t="n">
        <v>1</v>
      </c>
      <c r="L616" s="55" t="n">
        <v>67</v>
      </c>
      <c r="M616" s="73" t="n">
        <v>0.58</v>
      </c>
      <c r="N616" s="74" t="n">
        <f aca="false">K616*L616*M616</f>
        <v>38.86</v>
      </c>
      <c r="O616" s="41" t="n">
        <f aca="false">IFERROR(INDEX(Исходные!$B$21:$B$33,MATCH(H616,Исходные!$A$21:$A$33,0)),0)</f>
        <v>0.395</v>
      </c>
      <c r="P616" s="83" t="n">
        <f aca="false">N616*O616</f>
        <v>15.3497</v>
      </c>
      <c r="Q616" s="20" t="s">
        <v>1316</v>
      </c>
      <c r="R616" s="85" t="s">
        <v>638</v>
      </c>
      <c r="S616" s="20"/>
      <c r="T616" s="20" t="s">
        <v>123</v>
      </c>
      <c r="U616" s="53" t="n">
        <v>1</v>
      </c>
      <c r="V616" s="76" t="s">
        <v>775</v>
      </c>
      <c r="W616" s="53" t="n">
        <v>2</v>
      </c>
    </row>
    <row r="617" customFormat="false" ht="35.05" hidden="false" customHeight="false" outlineLevel="0" collapsed="false">
      <c r="A617" s="76" t="n">
        <v>601</v>
      </c>
      <c r="B617" s="20" t="s">
        <v>1167</v>
      </c>
      <c r="C617" s="20" t="s">
        <v>655</v>
      </c>
      <c r="D617" s="20" t="s">
        <v>1366</v>
      </c>
      <c r="E617" s="20" t="s">
        <v>801</v>
      </c>
      <c r="F617" s="76" t="s">
        <v>519</v>
      </c>
      <c r="G617" s="20" t="s">
        <v>658</v>
      </c>
      <c r="H617" s="55" t="n">
        <v>28</v>
      </c>
      <c r="I617" s="76" t="s">
        <v>512</v>
      </c>
      <c r="J617" s="76" t="s">
        <v>164</v>
      </c>
      <c r="K617" s="82" t="n">
        <v>2</v>
      </c>
      <c r="L617" s="55" t="n">
        <v>4</v>
      </c>
      <c r="M617" s="73" t="n">
        <v>20.5</v>
      </c>
      <c r="N617" s="74" t="n">
        <f aca="false">K617*L617*M617</f>
        <v>164</v>
      </c>
      <c r="O617" s="41" t="n">
        <f aca="false">IFERROR(INDEX(Исходные!$B$21:$B$33,MATCH(H617,Исходные!$A$21:$A$33,0)),0)</f>
        <v>4.834</v>
      </c>
      <c r="P617" s="83" t="n">
        <f aca="false">N617*O617</f>
        <v>792.776</v>
      </c>
      <c r="Q617" s="20" t="s">
        <v>1367</v>
      </c>
      <c r="R617" s="84" t="s">
        <v>660</v>
      </c>
      <c r="S617" s="20" t="s">
        <v>803</v>
      </c>
      <c r="T617" s="20" t="s">
        <v>123</v>
      </c>
      <c r="U617" s="53" t="n">
        <v>0</v>
      </c>
      <c r="V617" s="76" t="s">
        <v>801</v>
      </c>
      <c r="W617" s="53" t="n">
        <v>2</v>
      </c>
    </row>
    <row r="618" customFormat="false" ht="35.05" hidden="false" customHeight="false" outlineLevel="0" collapsed="false">
      <c r="A618" s="76" t="n">
        <v>602</v>
      </c>
      <c r="B618" s="20" t="s">
        <v>1167</v>
      </c>
      <c r="C618" s="20" t="s">
        <v>655</v>
      </c>
      <c r="D618" s="20" t="s">
        <v>1366</v>
      </c>
      <c r="E618" s="20" t="s">
        <v>801</v>
      </c>
      <c r="F618" s="76" t="s">
        <v>529</v>
      </c>
      <c r="G618" s="20" t="s">
        <v>662</v>
      </c>
      <c r="H618" s="55" t="n">
        <v>18</v>
      </c>
      <c r="I618" s="76" t="s">
        <v>512</v>
      </c>
      <c r="J618" s="76" t="s">
        <v>164</v>
      </c>
      <c r="K618" s="82" t="n">
        <v>2</v>
      </c>
      <c r="L618" s="55" t="n">
        <v>2</v>
      </c>
      <c r="M618" s="73" t="n">
        <v>20.5</v>
      </c>
      <c r="N618" s="74" t="n">
        <f aca="false">K618*L618*M618</f>
        <v>82</v>
      </c>
      <c r="O618" s="41" t="n">
        <f aca="false">IFERROR(INDEX(Исходные!$B$21:$B$33,MATCH(H618,Исходные!$A$21:$A$33,0)),0)</f>
        <v>1.998</v>
      </c>
      <c r="P618" s="83" t="n">
        <f aca="false">N618*O618</f>
        <v>163.836</v>
      </c>
      <c r="Q618" s="20" t="s">
        <v>663</v>
      </c>
      <c r="R618" s="84" t="s">
        <v>660</v>
      </c>
      <c r="S618" s="20"/>
      <c r="T618" s="20" t="s">
        <v>123</v>
      </c>
      <c r="U618" s="53" t="n">
        <v>0</v>
      </c>
      <c r="V618" s="76" t="s">
        <v>801</v>
      </c>
      <c r="W618" s="53" t="n">
        <v>2</v>
      </c>
    </row>
    <row r="619" customFormat="false" ht="35.05" hidden="false" customHeight="false" outlineLevel="0" collapsed="false">
      <c r="A619" s="76" t="n">
        <v>603</v>
      </c>
      <c r="B619" s="20" t="s">
        <v>1167</v>
      </c>
      <c r="C619" s="20" t="s">
        <v>655</v>
      </c>
      <c r="D619" s="20" t="s">
        <v>1366</v>
      </c>
      <c r="E619" s="20" t="s">
        <v>801</v>
      </c>
      <c r="F619" s="76" t="s">
        <v>664</v>
      </c>
      <c r="G619" s="20" t="s">
        <v>804</v>
      </c>
      <c r="H619" s="55" t="n">
        <v>18</v>
      </c>
      <c r="I619" s="76" t="s">
        <v>512</v>
      </c>
      <c r="J619" s="76" t="s">
        <v>164</v>
      </c>
      <c r="K619" s="82" t="n">
        <v>4</v>
      </c>
      <c r="L619" s="55" t="n">
        <v>1</v>
      </c>
      <c r="M619" s="73" t="n">
        <v>0.144</v>
      </c>
      <c r="N619" s="74" t="n">
        <f aca="false">K619*L619*M619</f>
        <v>0.576</v>
      </c>
      <c r="O619" s="41" t="n">
        <f aca="false">IFERROR(INDEX(Исходные!$B$21:$B$33,MATCH(H619,Исходные!$A$21:$A$33,0)),0)</f>
        <v>1.998</v>
      </c>
      <c r="P619" s="83" t="n">
        <f aca="false">N619*O619</f>
        <v>1.150848</v>
      </c>
      <c r="Q619" s="20" t="s">
        <v>666</v>
      </c>
      <c r="R619" s="84" t="s">
        <v>667</v>
      </c>
      <c r="S619" s="20" t="s">
        <v>805</v>
      </c>
      <c r="T619" s="20" t="s">
        <v>123</v>
      </c>
      <c r="U619" s="53" t="n">
        <v>0</v>
      </c>
      <c r="V619" s="76" t="s">
        <v>801</v>
      </c>
      <c r="W619" s="53" t="n">
        <v>2</v>
      </c>
    </row>
    <row r="620" customFormat="false" ht="35.05" hidden="false" customHeight="false" outlineLevel="0" collapsed="false">
      <c r="A620" s="76" t="n">
        <v>604</v>
      </c>
      <c r="B620" s="20" t="s">
        <v>1167</v>
      </c>
      <c r="C620" s="20" t="s">
        <v>655</v>
      </c>
      <c r="D620" s="20" t="s">
        <v>1366</v>
      </c>
      <c r="E620" s="20" t="s">
        <v>801</v>
      </c>
      <c r="F620" s="76" t="s">
        <v>669</v>
      </c>
      <c r="G620" s="20" t="s">
        <v>670</v>
      </c>
      <c r="H620" s="55" t="n">
        <v>16</v>
      </c>
      <c r="I620" s="76" t="s">
        <v>512</v>
      </c>
      <c r="J620" s="76" t="s">
        <v>164</v>
      </c>
      <c r="K620" s="82" t="n">
        <v>2</v>
      </c>
      <c r="L620" s="55" t="n">
        <v>2</v>
      </c>
      <c r="M620" s="73" t="n">
        <v>20.5</v>
      </c>
      <c r="N620" s="74" t="n">
        <f aca="false">K620*L620*M620</f>
        <v>82</v>
      </c>
      <c r="O620" s="41" t="n">
        <f aca="false">IFERROR(INDEX(Исходные!$B$21:$B$33,MATCH(H620,Исходные!$A$21:$A$33,0)),0)</f>
        <v>1.578</v>
      </c>
      <c r="P620" s="83" t="n">
        <f aca="false">N620*O620</f>
        <v>129.396</v>
      </c>
      <c r="Q620" s="20" t="s">
        <v>671</v>
      </c>
      <c r="R620" s="84" t="s">
        <v>660</v>
      </c>
      <c r="S620" s="20"/>
      <c r="T620" s="20" t="s">
        <v>123</v>
      </c>
      <c r="U620" s="53" t="n">
        <v>0</v>
      </c>
      <c r="V620" s="76" t="s">
        <v>801</v>
      </c>
      <c r="W620" s="53" t="n">
        <v>2</v>
      </c>
    </row>
    <row r="621" customFormat="false" ht="35.05" hidden="false" customHeight="false" outlineLevel="0" collapsed="false">
      <c r="A621" s="76" t="n">
        <v>605</v>
      </c>
      <c r="B621" s="20" t="s">
        <v>1167</v>
      </c>
      <c r="C621" s="20" t="s">
        <v>655</v>
      </c>
      <c r="D621" s="20" t="s">
        <v>1366</v>
      </c>
      <c r="E621" s="20" t="s">
        <v>801</v>
      </c>
      <c r="F621" s="76" t="s">
        <v>672</v>
      </c>
      <c r="G621" s="20" t="s">
        <v>806</v>
      </c>
      <c r="H621" s="55" t="n">
        <v>16</v>
      </c>
      <c r="I621" s="76" t="s">
        <v>512</v>
      </c>
      <c r="J621" s="76" t="s">
        <v>164</v>
      </c>
      <c r="K621" s="82" t="n">
        <v>4</v>
      </c>
      <c r="L621" s="55" t="n">
        <v>1</v>
      </c>
      <c r="M621" s="73" t="n">
        <v>0.128</v>
      </c>
      <c r="N621" s="74" t="n">
        <f aca="false">K621*L621*M621</f>
        <v>0.512</v>
      </c>
      <c r="O621" s="41" t="n">
        <f aca="false">IFERROR(INDEX(Исходные!$B$21:$B$33,MATCH(H621,Исходные!$A$21:$A$33,0)),0)</f>
        <v>1.578</v>
      </c>
      <c r="P621" s="83" t="n">
        <f aca="false">N621*O621</f>
        <v>0.807936</v>
      </c>
      <c r="Q621" s="20" t="s">
        <v>674</v>
      </c>
      <c r="R621" s="84" t="s">
        <v>667</v>
      </c>
      <c r="S621" s="20" t="s">
        <v>807</v>
      </c>
      <c r="T621" s="20" t="s">
        <v>123</v>
      </c>
      <c r="U621" s="53" t="n">
        <v>0</v>
      </c>
      <c r="V621" s="76" t="s">
        <v>801</v>
      </c>
      <c r="W621" s="53" t="n">
        <v>2</v>
      </c>
    </row>
    <row r="622" customFormat="false" ht="35.05" hidden="false" customHeight="false" outlineLevel="0" collapsed="false">
      <c r="A622" s="76" t="n">
        <v>606</v>
      </c>
      <c r="B622" s="20" t="s">
        <v>1167</v>
      </c>
      <c r="C622" s="20" t="s">
        <v>655</v>
      </c>
      <c r="D622" s="20" t="s">
        <v>1366</v>
      </c>
      <c r="E622" s="20" t="s">
        <v>801</v>
      </c>
      <c r="F622" s="76" t="s">
        <v>676</v>
      </c>
      <c r="G622" s="20" t="s">
        <v>717</v>
      </c>
      <c r="H622" s="55" t="n">
        <v>25</v>
      </c>
      <c r="I622" s="76" t="s">
        <v>512</v>
      </c>
      <c r="J622" s="76" t="s">
        <v>164</v>
      </c>
      <c r="K622" s="82" t="n">
        <v>2</v>
      </c>
      <c r="L622" s="55" t="n">
        <v>2</v>
      </c>
      <c r="M622" s="73" t="n">
        <v>2.05</v>
      </c>
      <c r="N622" s="74" t="n">
        <f aca="false">K622*L622*M622</f>
        <v>8.2</v>
      </c>
      <c r="O622" s="41" t="n">
        <f aca="false">IFERROR(INDEX(Исходные!$B$21:$B$33,MATCH(H622,Исходные!$A$21:$A$33,0)),0)</f>
        <v>3.853</v>
      </c>
      <c r="P622" s="83" t="n">
        <f aca="false">N622*O622</f>
        <v>31.5946</v>
      </c>
      <c r="Q622" s="20" t="s">
        <v>1368</v>
      </c>
      <c r="R622" s="84" t="s">
        <v>660</v>
      </c>
      <c r="S622" s="20" t="s">
        <v>1369</v>
      </c>
      <c r="T622" s="20" t="s">
        <v>123</v>
      </c>
      <c r="U622" s="53" t="n">
        <v>0</v>
      </c>
      <c r="V622" s="76" t="s">
        <v>801</v>
      </c>
      <c r="W622" s="53" t="n">
        <v>2</v>
      </c>
    </row>
    <row r="623" customFormat="false" ht="35.05" hidden="false" customHeight="false" outlineLevel="0" collapsed="false">
      <c r="A623" s="76" t="n">
        <v>607</v>
      </c>
      <c r="B623" s="20" t="s">
        <v>1167</v>
      </c>
      <c r="C623" s="20" t="s">
        <v>655</v>
      </c>
      <c r="D623" s="20" t="s">
        <v>1366</v>
      </c>
      <c r="E623" s="20" t="s">
        <v>801</v>
      </c>
      <c r="F623" s="76" t="s">
        <v>676</v>
      </c>
      <c r="G623" s="20" t="s">
        <v>810</v>
      </c>
      <c r="H623" s="55" t="n">
        <v>28</v>
      </c>
      <c r="I623" s="76" t="s">
        <v>512</v>
      </c>
      <c r="J623" s="76" t="s">
        <v>164</v>
      </c>
      <c r="K623" s="82" t="n">
        <v>2</v>
      </c>
      <c r="L623" s="55" t="n">
        <v>2</v>
      </c>
      <c r="M623" s="73" t="n">
        <v>3.8</v>
      </c>
      <c r="N623" s="74" t="n">
        <f aca="false">K623*L623*M623</f>
        <v>15.2</v>
      </c>
      <c r="O623" s="41" t="n">
        <f aca="false">IFERROR(INDEX(Исходные!$B$21:$B$33,MATCH(H623,Исходные!$A$21:$A$33,0)),0)</f>
        <v>4.834</v>
      </c>
      <c r="P623" s="83" t="n">
        <f aca="false">N623*O623</f>
        <v>73.4768</v>
      </c>
      <c r="Q623" s="20" t="s">
        <v>1370</v>
      </c>
      <c r="R623" s="84" t="s">
        <v>660</v>
      </c>
      <c r="S623" s="20" t="s">
        <v>812</v>
      </c>
      <c r="T623" s="20" t="s">
        <v>123</v>
      </c>
      <c r="U623" s="53" t="n">
        <v>0</v>
      </c>
      <c r="V623" s="76" t="s">
        <v>801</v>
      </c>
      <c r="W623" s="53" t="n">
        <v>2</v>
      </c>
    </row>
    <row r="624" customFormat="false" ht="35.05" hidden="false" customHeight="false" outlineLevel="0" collapsed="false">
      <c r="A624" s="76" t="n">
        <v>608</v>
      </c>
      <c r="B624" s="20" t="s">
        <v>1167</v>
      </c>
      <c r="C624" s="20" t="s">
        <v>655</v>
      </c>
      <c r="D624" s="20" t="s">
        <v>1366</v>
      </c>
      <c r="E624" s="20" t="s">
        <v>801</v>
      </c>
      <c r="F624" s="76" t="s">
        <v>676</v>
      </c>
      <c r="G624" s="20" t="s">
        <v>813</v>
      </c>
      <c r="H624" s="55" t="n">
        <v>32</v>
      </c>
      <c r="I624" s="76" t="s">
        <v>512</v>
      </c>
      <c r="J624" s="76" t="s">
        <v>164</v>
      </c>
      <c r="K624" s="82" t="n">
        <v>2</v>
      </c>
      <c r="L624" s="55" t="n">
        <v>2</v>
      </c>
      <c r="M624" s="73" t="n">
        <v>3.8</v>
      </c>
      <c r="N624" s="74" t="n">
        <f aca="false">K624*L624*M624</f>
        <v>15.2</v>
      </c>
      <c r="O624" s="41" t="n">
        <f aca="false">IFERROR(INDEX(Исходные!$B$21:$B$33,MATCH(H624,Исходные!$A$21:$A$33,0)),0)</f>
        <v>6.313</v>
      </c>
      <c r="P624" s="83" t="n">
        <f aca="false">N624*O624</f>
        <v>95.9576</v>
      </c>
      <c r="Q624" s="20" t="s">
        <v>1371</v>
      </c>
      <c r="R624" s="84" t="s">
        <v>660</v>
      </c>
      <c r="S624" s="20" t="s">
        <v>815</v>
      </c>
      <c r="T624" s="20" t="s">
        <v>123</v>
      </c>
      <c r="U624" s="53" t="n">
        <v>0</v>
      </c>
      <c r="V624" s="76" t="s">
        <v>801</v>
      </c>
      <c r="W624" s="53" t="n">
        <v>2</v>
      </c>
    </row>
    <row r="625" customFormat="false" ht="35.05" hidden="false" customHeight="false" outlineLevel="0" collapsed="false">
      <c r="A625" s="76" t="n">
        <v>609</v>
      </c>
      <c r="B625" s="20" t="s">
        <v>1167</v>
      </c>
      <c r="C625" s="20" t="s">
        <v>655</v>
      </c>
      <c r="D625" s="20" t="s">
        <v>1366</v>
      </c>
      <c r="E625" s="20" t="s">
        <v>801</v>
      </c>
      <c r="F625" s="76" t="s">
        <v>676</v>
      </c>
      <c r="G625" s="20" t="s">
        <v>872</v>
      </c>
      <c r="H625" s="55" t="n">
        <v>32</v>
      </c>
      <c r="I625" s="76" t="s">
        <v>512</v>
      </c>
      <c r="J625" s="76" t="s">
        <v>164</v>
      </c>
      <c r="K625" s="82" t="n">
        <v>2</v>
      </c>
      <c r="L625" s="55" t="n">
        <v>2</v>
      </c>
      <c r="M625" s="73" t="n">
        <v>2.05</v>
      </c>
      <c r="N625" s="74" t="n">
        <f aca="false">K625*L625*M625</f>
        <v>8.2</v>
      </c>
      <c r="O625" s="41" t="n">
        <f aca="false">IFERROR(INDEX(Исходные!$B$21:$B$33,MATCH(H625,Исходные!$A$21:$A$33,0)),0)</f>
        <v>6.313</v>
      </c>
      <c r="P625" s="83" t="n">
        <f aca="false">N625*O625</f>
        <v>51.7666</v>
      </c>
      <c r="Q625" s="20" t="s">
        <v>1371</v>
      </c>
      <c r="R625" s="84" t="s">
        <v>660</v>
      </c>
      <c r="S625" s="20" t="s">
        <v>1372</v>
      </c>
      <c r="T625" s="20" t="s">
        <v>123</v>
      </c>
      <c r="U625" s="53" t="n">
        <v>0</v>
      </c>
      <c r="V625" s="76" t="s">
        <v>801</v>
      </c>
      <c r="W625" s="53" t="n">
        <v>2</v>
      </c>
    </row>
    <row r="626" customFormat="false" ht="35.05" hidden="false" customHeight="false" outlineLevel="0" collapsed="false">
      <c r="A626" s="76" t="n">
        <v>610</v>
      </c>
      <c r="B626" s="20" t="s">
        <v>1167</v>
      </c>
      <c r="C626" s="20" t="s">
        <v>655</v>
      </c>
      <c r="D626" s="20" t="s">
        <v>1366</v>
      </c>
      <c r="E626" s="20" t="s">
        <v>801</v>
      </c>
      <c r="F626" s="76" t="s">
        <v>676</v>
      </c>
      <c r="G626" s="20" t="s">
        <v>821</v>
      </c>
      <c r="H626" s="55" t="n">
        <v>16</v>
      </c>
      <c r="I626" s="76" t="s">
        <v>512</v>
      </c>
      <c r="J626" s="76" t="s">
        <v>164</v>
      </c>
      <c r="K626" s="82" t="n">
        <v>2</v>
      </c>
      <c r="L626" s="55" t="n">
        <v>2</v>
      </c>
      <c r="M626" s="73" t="n">
        <v>3</v>
      </c>
      <c r="N626" s="74" t="n">
        <f aca="false">K626*L626*M626</f>
        <v>12</v>
      </c>
      <c r="O626" s="41" t="n">
        <f aca="false">IFERROR(INDEX(Исходные!$B$21:$B$33,MATCH(H626,Исходные!$A$21:$A$33,0)),0)</f>
        <v>1.578</v>
      </c>
      <c r="P626" s="83" t="n">
        <f aca="false">N626*O626</f>
        <v>18.936</v>
      </c>
      <c r="Q626" s="20" t="s">
        <v>1373</v>
      </c>
      <c r="R626" s="84" t="s">
        <v>660</v>
      </c>
      <c r="S626" s="20" t="s">
        <v>822</v>
      </c>
      <c r="T626" s="20" t="s">
        <v>123</v>
      </c>
      <c r="U626" s="53" t="n">
        <v>0</v>
      </c>
      <c r="V626" s="76" t="s">
        <v>801</v>
      </c>
      <c r="W626" s="53" t="n">
        <v>2</v>
      </c>
    </row>
    <row r="627" customFormat="false" ht="35.05" hidden="false" customHeight="false" outlineLevel="0" collapsed="false">
      <c r="A627" s="76" t="n">
        <v>611</v>
      </c>
      <c r="B627" s="20" t="s">
        <v>1167</v>
      </c>
      <c r="C627" s="20" t="s">
        <v>655</v>
      </c>
      <c r="D627" s="20" t="s">
        <v>1366</v>
      </c>
      <c r="E627" s="20" t="s">
        <v>801</v>
      </c>
      <c r="F627" s="76" t="s">
        <v>676</v>
      </c>
      <c r="G627" s="20" t="s">
        <v>735</v>
      </c>
      <c r="H627" s="55" t="n">
        <v>16</v>
      </c>
      <c r="I627" s="76" t="s">
        <v>512</v>
      </c>
      <c r="J627" s="76" t="s">
        <v>164</v>
      </c>
      <c r="K627" s="82" t="n">
        <v>2</v>
      </c>
      <c r="L627" s="55" t="n">
        <v>2</v>
      </c>
      <c r="M627" s="73" t="n">
        <v>2.9</v>
      </c>
      <c r="N627" s="74" t="n">
        <f aca="false">K627*L627*M627</f>
        <v>11.6</v>
      </c>
      <c r="O627" s="41" t="n">
        <f aca="false">IFERROR(INDEX(Исходные!$B$21:$B$33,MATCH(H627,Исходные!$A$21:$A$33,0)),0)</f>
        <v>1.578</v>
      </c>
      <c r="P627" s="83" t="n">
        <f aca="false">N627*O627</f>
        <v>18.3048</v>
      </c>
      <c r="Q627" s="20" t="s">
        <v>1373</v>
      </c>
      <c r="R627" s="84" t="s">
        <v>660</v>
      </c>
      <c r="S627" s="20" t="s">
        <v>823</v>
      </c>
      <c r="T627" s="20" t="s">
        <v>123</v>
      </c>
      <c r="U627" s="53" t="n">
        <v>0</v>
      </c>
      <c r="V627" s="76" t="s">
        <v>801</v>
      </c>
      <c r="W627" s="53" t="n">
        <v>2</v>
      </c>
    </row>
    <row r="628" customFormat="false" ht="35.05" hidden="false" customHeight="false" outlineLevel="0" collapsed="false">
      <c r="A628" s="76" t="n">
        <v>612</v>
      </c>
      <c r="B628" s="20" t="s">
        <v>1167</v>
      </c>
      <c r="C628" s="20" t="s">
        <v>655</v>
      </c>
      <c r="D628" s="20" t="s">
        <v>1366</v>
      </c>
      <c r="E628" s="20" t="s">
        <v>801</v>
      </c>
      <c r="F628" s="76" t="s">
        <v>676</v>
      </c>
      <c r="G628" s="20" t="s">
        <v>824</v>
      </c>
      <c r="H628" s="55" t="n">
        <v>12</v>
      </c>
      <c r="I628" s="76" t="s">
        <v>512</v>
      </c>
      <c r="J628" s="76" t="s">
        <v>164</v>
      </c>
      <c r="K628" s="82" t="n">
        <v>2</v>
      </c>
      <c r="L628" s="55" t="n">
        <v>4</v>
      </c>
      <c r="M628" s="73" t="n">
        <v>2.05</v>
      </c>
      <c r="N628" s="74" t="n">
        <f aca="false">K628*L628*M628</f>
        <v>16.4</v>
      </c>
      <c r="O628" s="41" t="n">
        <f aca="false">IFERROR(INDEX(Исходные!$B$21:$B$33,MATCH(H628,Исходные!$A$21:$A$33,0)),0)</f>
        <v>0.888</v>
      </c>
      <c r="P628" s="83" t="n">
        <f aca="false">N628*O628</f>
        <v>14.5632</v>
      </c>
      <c r="Q628" s="20" t="s">
        <v>1374</v>
      </c>
      <c r="R628" s="84" t="s">
        <v>660</v>
      </c>
      <c r="S628" s="20" t="s">
        <v>1369</v>
      </c>
      <c r="T628" s="20" t="s">
        <v>123</v>
      </c>
      <c r="U628" s="53" t="n">
        <v>0</v>
      </c>
      <c r="V628" s="76" t="s">
        <v>801</v>
      </c>
      <c r="W628" s="53" t="n">
        <v>2</v>
      </c>
    </row>
    <row r="629" customFormat="false" ht="35.05" hidden="false" customHeight="false" outlineLevel="0" collapsed="false">
      <c r="A629" s="76" t="n">
        <v>613</v>
      </c>
      <c r="B629" s="20" t="s">
        <v>1167</v>
      </c>
      <c r="C629" s="20" t="s">
        <v>655</v>
      </c>
      <c r="D629" s="20" t="s">
        <v>1366</v>
      </c>
      <c r="E629" s="20" t="s">
        <v>801</v>
      </c>
      <c r="F629" s="76" t="s">
        <v>696</v>
      </c>
      <c r="G629" s="20" t="s">
        <v>1308</v>
      </c>
      <c r="H629" s="55" t="n">
        <v>8</v>
      </c>
      <c r="I629" s="76" t="s">
        <v>546</v>
      </c>
      <c r="J629" s="76" t="s">
        <v>698</v>
      </c>
      <c r="K629" s="82" t="n">
        <v>2</v>
      </c>
      <c r="L629" s="55" t="n">
        <v>101</v>
      </c>
      <c r="M629" s="73" t="n">
        <v>2.06</v>
      </c>
      <c r="N629" s="74" t="n">
        <f aca="false">K629*L629*M629</f>
        <v>416.12</v>
      </c>
      <c r="O629" s="41" t="n">
        <f aca="false">IFERROR(INDEX(Исходные!$B$21:$B$33,MATCH(H629,Исходные!$A$21:$A$33,0)),0)</f>
        <v>0.395</v>
      </c>
      <c r="P629" s="83" t="n">
        <f aca="false">N629*O629</f>
        <v>164.3674</v>
      </c>
      <c r="Q629" s="20" t="s">
        <v>1309</v>
      </c>
      <c r="R629" s="84" t="s">
        <v>514</v>
      </c>
      <c r="S629" s="20" t="s">
        <v>1375</v>
      </c>
      <c r="T629" s="20" t="s">
        <v>123</v>
      </c>
      <c r="U629" s="53" t="n">
        <v>0</v>
      </c>
      <c r="V629" s="76" t="s">
        <v>801</v>
      </c>
      <c r="W629" s="53" t="n">
        <v>2</v>
      </c>
    </row>
    <row r="630" customFormat="false" ht="35.05" hidden="false" customHeight="false" outlineLevel="0" collapsed="false">
      <c r="A630" s="76" t="n">
        <v>614</v>
      </c>
      <c r="B630" s="20" t="s">
        <v>1167</v>
      </c>
      <c r="C630" s="20" t="s">
        <v>655</v>
      </c>
      <c r="D630" s="20" t="s">
        <v>1366</v>
      </c>
      <c r="E630" s="20" t="s">
        <v>801</v>
      </c>
      <c r="F630" s="76" t="s">
        <v>561</v>
      </c>
      <c r="G630" s="20" t="s">
        <v>1311</v>
      </c>
      <c r="H630" s="55" t="n">
        <v>10</v>
      </c>
      <c r="I630" s="76" t="s">
        <v>546</v>
      </c>
      <c r="J630" s="76" t="n">
        <v>100</v>
      </c>
      <c r="K630" s="82" t="n">
        <v>2</v>
      </c>
      <c r="L630" s="55" t="n">
        <v>47</v>
      </c>
      <c r="M630" s="73" t="n">
        <v>2.06</v>
      </c>
      <c r="N630" s="74" t="n">
        <f aca="false">K630*L630*M630</f>
        <v>193.64</v>
      </c>
      <c r="O630" s="41" t="n">
        <f aca="false">IFERROR(INDEX(Исходные!$B$21:$B$33,MATCH(H630,Исходные!$A$21:$A$33,0)),0)</f>
        <v>0.617</v>
      </c>
      <c r="P630" s="83" t="n">
        <f aca="false">N630*O630</f>
        <v>119.47588</v>
      </c>
      <c r="Q630" s="20" t="s">
        <v>1376</v>
      </c>
      <c r="R630" s="84" t="s">
        <v>514</v>
      </c>
      <c r="S630" s="20" t="s">
        <v>1377</v>
      </c>
      <c r="T630" s="20" t="s">
        <v>123</v>
      </c>
      <c r="U630" s="53" t="n">
        <v>0</v>
      </c>
      <c r="V630" s="76" t="s">
        <v>801</v>
      </c>
      <c r="W630" s="53" t="n">
        <v>2</v>
      </c>
    </row>
    <row r="631" customFormat="false" ht="35.05" hidden="false" customHeight="false" outlineLevel="0" collapsed="false">
      <c r="A631" s="76" t="n">
        <v>615</v>
      </c>
      <c r="B631" s="20" t="s">
        <v>1167</v>
      </c>
      <c r="C631" s="20" t="s">
        <v>655</v>
      </c>
      <c r="D631" s="20" t="s">
        <v>1366</v>
      </c>
      <c r="E631" s="20" t="s">
        <v>801</v>
      </c>
      <c r="F631" s="76" t="s">
        <v>706</v>
      </c>
      <c r="G631" s="20" t="s">
        <v>1314</v>
      </c>
      <c r="H631" s="55" t="n">
        <v>8</v>
      </c>
      <c r="I631" s="76" t="s">
        <v>546</v>
      </c>
      <c r="J631" s="76" t="s">
        <v>708</v>
      </c>
      <c r="K631" s="82" t="n">
        <v>2</v>
      </c>
      <c r="L631" s="55" t="n">
        <v>99</v>
      </c>
      <c r="M631" s="73" t="n">
        <v>0.75</v>
      </c>
      <c r="N631" s="74" t="n">
        <f aca="false">K631*L631*M631</f>
        <v>148.5</v>
      </c>
      <c r="O631" s="41" t="n">
        <f aca="false">IFERROR(INDEX(Исходные!$B$21:$B$33,MATCH(H631,Исходные!$A$21:$A$33,0)),0)</f>
        <v>0.395</v>
      </c>
      <c r="P631" s="83" t="n">
        <f aca="false">N631*O631</f>
        <v>58.6575</v>
      </c>
      <c r="Q631" s="20" t="s">
        <v>709</v>
      </c>
      <c r="R631" s="84" t="s">
        <v>514</v>
      </c>
      <c r="S631" s="20"/>
      <c r="T631" s="20" t="s">
        <v>123</v>
      </c>
      <c r="U631" s="53" t="n">
        <v>0</v>
      </c>
      <c r="V631" s="76" t="s">
        <v>801</v>
      </c>
      <c r="W631" s="53" t="n">
        <v>2</v>
      </c>
    </row>
    <row r="632" customFormat="false" ht="35.05" hidden="false" customHeight="false" outlineLevel="0" collapsed="false">
      <c r="A632" s="76" t="n">
        <v>616</v>
      </c>
      <c r="B632" s="20" t="s">
        <v>1167</v>
      </c>
      <c r="C632" s="20" t="s">
        <v>655</v>
      </c>
      <c r="D632" s="20" t="s">
        <v>1366</v>
      </c>
      <c r="E632" s="20" t="s">
        <v>801</v>
      </c>
      <c r="F632" s="76" t="s">
        <v>710</v>
      </c>
      <c r="G632" s="20" t="s">
        <v>1315</v>
      </c>
      <c r="H632" s="55" t="n">
        <v>8</v>
      </c>
      <c r="I632" s="76" t="s">
        <v>546</v>
      </c>
      <c r="J632" s="76" t="n">
        <v>300</v>
      </c>
      <c r="K632" s="82" t="n">
        <v>2</v>
      </c>
      <c r="L632" s="55" t="n">
        <v>62</v>
      </c>
      <c r="M632" s="73" t="n">
        <v>0.58</v>
      </c>
      <c r="N632" s="74" t="n">
        <f aca="false">K632*L632*M632</f>
        <v>71.92</v>
      </c>
      <c r="O632" s="41" t="n">
        <f aca="false">IFERROR(INDEX(Исходные!$B$21:$B$33,MATCH(H632,Исходные!$A$21:$A$33,0)),0)</f>
        <v>0.395</v>
      </c>
      <c r="P632" s="83" t="n">
        <f aca="false">N632*O632</f>
        <v>28.4084</v>
      </c>
      <c r="Q632" s="20" t="s">
        <v>1316</v>
      </c>
      <c r="R632" s="85" t="s">
        <v>638</v>
      </c>
      <c r="S632" s="20"/>
      <c r="T632" s="20" t="s">
        <v>123</v>
      </c>
      <c r="U632" s="53" t="n">
        <v>1</v>
      </c>
      <c r="V632" s="76" t="s">
        <v>801</v>
      </c>
      <c r="W632" s="53" t="n">
        <v>2</v>
      </c>
    </row>
    <row r="633" customFormat="false" ht="35.05" hidden="false" customHeight="false" outlineLevel="0" collapsed="false">
      <c r="A633" s="76" t="n">
        <v>617</v>
      </c>
      <c r="B633" s="20" t="s">
        <v>1167</v>
      </c>
      <c r="C633" s="20" t="s">
        <v>655</v>
      </c>
      <c r="D633" s="20" t="s">
        <v>1378</v>
      </c>
      <c r="E633" s="20" t="s">
        <v>830</v>
      </c>
      <c r="F633" s="76" t="s">
        <v>519</v>
      </c>
      <c r="G633" s="20" t="s">
        <v>658</v>
      </c>
      <c r="H633" s="55" t="n">
        <v>28</v>
      </c>
      <c r="I633" s="76" t="s">
        <v>512</v>
      </c>
      <c r="J633" s="76" t="s">
        <v>164</v>
      </c>
      <c r="K633" s="82" t="n">
        <v>1</v>
      </c>
      <c r="L633" s="55" t="n">
        <v>4</v>
      </c>
      <c r="M633" s="73" t="n">
        <v>20.5</v>
      </c>
      <c r="N633" s="74" t="n">
        <f aca="false">K633*L633*M633</f>
        <v>82</v>
      </c>
      <c r="O633" s="41" t="n">
        <f aca="false">IFERROR(INDEX(Исходные!$B$21:$B$33,MATCH(H633,Исходные!$A$21:$A$33,0)),0)</f>
        <v>4.834</v>
      </c>
      <c r="P633" s="83" t="n">
        <f aca="false">N633*O633</f>
        <v>396.388</v>
      </c>
      <c r="Q633" s="20" t="s">
        <v>1379</v>
      </c>
      <c r="R633" s="84" t="s">
        <v>660</v>
      </c>
      <c r="S633" s="20" t="s">
        <v>832</v>
      </c>
      <c r="T633" s="20" t="s">
        <v>123</v>
      </c>
      <c r="U633" s="53" t="n">
        <v>0</v>
      </c>
      <c r="V633" s="76" t="s">
        <v>830</v>
      </c>
      <c r="W633" s="53" t="n">
        <v>2</v>
      </c>
    </row>
    <row r="634" customFormat="false" ht="35.05" hidden="false" customHeight="false" outlineLevel="0" collapsed="false">
      <c r="A634" s="76" t="n">
        <v>618</v>
      </c>
      <c r="B634" s="20" t="s">
        <v>1167</v>
      </c>
      <c r="C634" s="20" t="s">
        <v>655</v>
      </c>
      <c r="D634" s="20" t="s">
        <v>1378</v>
      </c>
      <c r="E634" s="20" t="s">
        <v>830</v>
      </c>
      <c r="F634" s="76" t="s">
        <v>529</v>
      </c>
      <c r="G634" s="20" t="s">
        <v>662</v>
      </c>
      <c r="H634" s="55" t="n">
        <v>18</v>
      </c>
      <c r="I634" s="76" t="s">
        <v>512</v>
      </c>
      <c r="J634" s="76" t="s">
        <v>164</v>
      </c>
      <c r="K634" s="82" t="n">
        <v>1</v>
      </c>
      <c r="L634" s="55" t="n">
        <v>2</v>
      </c>
      <c r="M634" s="73" t="n">
        <v>20.5</v>
      </c>
      <c r="N634" s="74" t="n">
        <f aca="false">K634*L634*M634</f>
        <v>41</v>
      </c>
      <c r="O634" s="41" t="n">
        <f aca="false">IFERROR(INDEX(Исходные!$B$21:$B$33,MATCH(H634,Исходные!$A$21:$A$33,0)),0)</f>
        <v>1.998</v>
      </c>
      <c r="P634" s="83" t="n">
        <f aca="false">N634*O634</f>
        <v>81.918</v>
      </c>
      <c r="Q634" s="20" t="s">
        <v>663</v>
      </c>
      <c r="R634" s="84" t="s">
        <v>660</v>
      </c>
      <c r="S634" s="20"/>
      <c r="T634" s="20" t="s">
        <v>123</v>
      </c>
      <c r="U634" s="53" t="n">
        <v>0</v>
      </c>
      <c r="V634" s="76" t="s">
        <v>830</v>
      </c>
      <c r="W634" s="53" t="n">
        <v>2</v>
      </c>
    </row>
    <row r="635" customFormat="false" ht="35.05" hidden="false" customHeight="false" outlineLevel="0" collapsed="false">
      <c r="A635" s="76" t="n">
        <v>619</v>
      </c>
      <c r="B635" s="20" t="s">
        <v>1167</v>
      </c>
      <c r="C635" s="20" t="s">
        <v>655</v>
      </c>
      <c r="D635" s="20" t="s">
        <v>1378</v>
      </c>
      <c r="E635" s="20" t="s">
        <v>830</v>
      </c>
      <c r="F635" s="76" t="s">
        <v>664</v>
      </c>
      <c r="G635" s="20" t="s">
        <v>833</v>
      </c>
      <c r="H635" s="55" t="n">
        <v>18</v>
      </c>
      <c r="I635" s="76" t="s">
        <v>512</v>
      </c>
      <c r="J635" s="76" t="s">
        <v>164</v>
      </c>
      <c r="K635" s="82" t="n">
        <v>2</v>
      </c>
      <c r="L635" s="55" t="n">
        <v>1</v>
      </c>
      <c r="M635" s="73" t="n">
        <v>0.144</v>
      </c>
      <c r="N635" s="74" t="n">
        <f aca="false">K635*L635*M635</f>
        <v>0.288</v>
      </c>
      <c r="O635" s="41" t="n">
        <f aca="false">IFERROR(INDEX(Исходные!$B$21:$B$33,MATCH(H635,Исходные!$A$21:$A$33,0)),0)</f>
        <v>1.998</v>
      </c>
      <c r="P635" s="83" t="n">
        <f aca="false">N635*O635</f>
        <v>0.575424</v>
      </c>
      <c r="Q635" s="20" t="s">
        <v>666</v>
      </c>
      <c r="R635" s="84" t="s">
        <v>667</v>
      </c>
      <c r="S635" s="20" t="s">
        <v>805</v>
      </c>
      <c r="T635" s="20" t="s">
        <v>123</v>
      </c>
      <c r="U635" s="53" t="n">
        <v>0</v>
      </c>
      <c r="V635" s="76" t="s">
        <v>830</v>
      </c>
      <c r="W635" s="53" t="n">
        <v>2</v>
      </c>
    </row>
    <row r="636" customFormat="false" ht="35.05" hidden="false" customHeight="false" outlineLevel="0" collapsed="false">
      <c r="A636" s="76" t="n">
        <v>620</v>
      </c>
      <c r="B636" s="20" t="s">
        <v>1167</v>
      </c>
      <c r="C636" s="20" t="s">
        <v>655</v>
      </c>
      <c r="D636" s="20" t="s">
        <v>1378</v>
      </c>
      <c r="E636" s="20" t="s">
        <v>830</v>
      </c>
      <c r="F636" s="76" t="s">
        <v>669</v>
      </c>
      <c r="G636" s="20" t="s">
        <v>670</v>
      </c>
      <c r="H636" s="55" t="n">
        <v>16</v>
      </c>
      <c r="I636" s="76" t="s">
        <v>512</v>
      </c>
      <c r="J636" s="76" t="s">
        <v>164</v>
      </c>
      <c r="K636" s="82" t="n">
        <v>1</v>
      </c>
      <c r="L636" s="55" t="n">
        <v>2</v>
      </c>
      <c r="M636" s="73" t="n">
        <v>20.5</v>
      </c>
      <c r="N636" s="74" t="n">
        <f aca="false">K636*L636*M636</f>
        <v>41</v>
      </c>
      <c r="O636" s="41" t="n">
        <f aca="false">IFERROR(INDEX(Исходные!$B$21:$B$33,MATCH(H636,Исходные!$A$21:$A$33,0)),0)</f>
        <v>1.578</v>
      </c>
      <c r="P636" s="83" t="n">
        <f aca="false">N636*O636</f>
        <v>64.698</v>
      </c>
      <c r="Q636" s="20" t="s">
        <v>671</v>
      </c>
      <c r="R636" s="84" t="s">
        <v>660</v>
      </c>
      <c r="S636" s="20"/>
      <c r="T636" s="20" t="s">
        <v>123</v>
      </c>
      <c r="U636" s="53" t="n">
        <v>0</v>
      </c>
      <c r="V636" s="76" t="s">
        <v>830</v>
      </c>
      <c r="W636" s="53" t="n">
        <v>2</v>
      </c>
    </row>
    <row r="637" customFormat="false" ht="35.05" hidden="false" customHeight="false" outlineLevel="0" collapsed="false">
      <c r="A637" s="76" t="n">
        <v>621</v>
      </c>
      <c r="B637" s="20" t="s">
        <v>1167</v>
      </c>
      <c r="C637" s="20" t="s">
        <v>655</v>
      </c>
      <c r="D637" s="20" t="s">
        <v>1378</v>
      </c>
      <c r="E637" s="20" t="s">
        <v>830</v>
      </c>
      <c r="F637" s="76" t="s">
        <v>672</v>
      </c>
      <c r="G637" s="20" t="s">
        <v>834</v>
      </c>
      <c r="H637" s="55" t="n">
        <v>16</v>
      </c>
      <c r="I637" s="76" t="s">
        <v>512</v>
      </c>
      <c r="J637" s="76" t="s">
        <v>164</v>
      </c>
      <c r="K637" s="82" t="n">
        <v>2</v>
      </c>
      <c r="L637" s="55" t="n">
        <v>1</v>
      </c>
      <c r="M637" s="73" t="n">
        <v>0.128</v>
      </c>
      <c r="N637" s="74" t="n">
        <f aca="false">K637*L637*M637</f>
        <v>0.256</v>
      </c>
      <c r="O637" s="41" t="n">
        <f aca="false">IFERROR(INDEX(Исходные!$B$21:$B$33,MATCH(H637,Исходные!$A$21:$A$33,0)),0)</f>
        <v>1.578</v>
      </c>
      <c r="P637" s="83" t="n">
        <f aca="false">N637*O637</f>
        <v>0.403968</v>
      </c>
      <c r="Q637" s="20" t="s">
        <v>674</v>
      </c>
      <c r="R637" s="84" t="s">
        <v>667</v>
      </c>
      <c r="S637" s="20" t="s">
        <v>807</v>
      </c>
      <c r="T637" s="20" t="s">
        <v>123</v>
      </c>
      <c r="U637" s="53" t="n">
        <v>0</v>
      </c>
      <c r="V637" s="76" t="s">
        <v>830</v>
      </c>
      <c r="W637" s="53" t="n">
        <v>2</v>
      </c>
    </row>
    <row r="638" customFormat="false" ht="35.05" hidden="false" customHeight="false" outlineLevel="0" collapsed="false">
      <c r="A638" s="76" t="n">
        <v>622</v>
      </c>
      <c r="B638" s="20" t="s">
        <v>1167</v>
      </c>
      <c r="C638" s="20" t="s">
        <v>655</v>
      </c>
      <c r="D638" s="20" t="s">
        <v>1378</v>
      </c>
      <c r="E638" s="20" t="s">
        <v>830</v>
      </c>
      <c r="F638" s="76" t="s">
        <v>676</v>
      </c>
      <c r="G638" s="20" t="s">
        <v>841</v>
      </c>
      <c r="H638" s="55" t="n">
        <v>32</v>
      </c>
      <c r="I638" s="76" t="s">
        <v>512</v>
      </c>
      <c r="J638" s="76" t="s">
        <v>164</v>
      </c>
      <c r="K638" s="82" t="n">
        <v>1</v>
      </c>
      <c r="L638" s="55" t="n">
        <v>2</v>
      </c>
      <c r="M638" s="73" t="n">
        <v>7.5</v>
      </c>
      <c r="N638" s="74" t="n">
        <f aca="false">K638*L638*M638</f>
        <v>15</v>
      </c>
      <c r="O638" s="41" t="n">
        <f aca="false">IFERROR(INDEX(Исходные!$B$21:$B$33,MATCH(H638,Исходные!$A$21:$A$33,0)),0)</f>
        <v>6.313</v>
      </c>
      <c r="P638" s="83" t="n">
        <f aca="false">N638*O638</f>
        <v>94.695</v>
      </c>
      <c r="Q638" s="20" t="s">
        <v>1380</v>
      </c>
      <c r="R638" s="84" t="s">
        <v>660</v>
      </c>
      <c r="S638" s="20" t="s">
        <v>843</v>
      </c>
      <c r="T638" s="20" t="s">
        <v>123</v>
      </c>
      <c r="U638" s="53" t="n">
        <v>0</v>
      </c>
      <c r="V638" s="76" t="s">
        <v>830</v>
      </c>
      <c r="W638" s="53" t="n">
        <v>2</v>
      </c>
    </row>
    <row r="639" customFormat="false" ht="35.05" hidden="false" customHeight="false" outlineLevel="0" collapsed="false">
      <c r="A639" s="76" t="n">
        <v>623</v>
      </c>
      <c r="B639" s="20" t="s">
        <v>1167</v>
      </c>
      <c r="C639" s="20" t="s">
        <v>655</v>
      </c>
      <c r="D639" s="20" t="s">
        <v>1378</v>
      </c>
      <c r="E639" s="20" t="s">
        <v>830</v>
      </c>
      <c r="F639" s="76" t="s">
        <v>676</v>
      </c>
      <c r="G639" s="20" t="s">
        <v>844</v>
      </c>
      <c r="H639" s="55" t="n">
        <v>32</v>
      </c>
      <c r="I639" s="76" t="s">
        <v>512</v>
      </c>
      <c r="J639" s="76" t="s">
        <v>164</v>
      </c>
      <c r="K639" s="82" t="n">
        <v>1</v>
      </c>
      <c r="L639" s="55" t="n">
        <v>2</v>
      </c>
      <c r="M639" s="73" t="n">
        <v>3.6</v>
      </c>
      <c r="N639" s="74" t="n">
        <f aca="false">K639*L639*M639</f>
        <v>7.2</v>
      </c>
      <c r="O639" s="41" t="n">
        <f aca="false">IFERROR(INDEX(Исходные!$B$21:$B$33,MATCH(H639,Исходные!$A$21:$A$33,0)),0)</f>
        <v>6.313</v>
      </c>
      <c r="P639" s="83" t="n">
        <f aca="false">N639*O639</f>
        <v>45.4536</v>
      </c>
      <c r="Q639" s="20" t="s">
        <v>1380</v>
      </c>
      <c r="R639" s="84" t="s">
        <v>660</v>
      </c>
      <c r="S639" s="20" t="s">
        <v>845</v>
      </c>
      <c r="T639" s="20" t="s">
        <v>123</v>
      </c>
      <c r="U639" s="53" t="n">
        <v>0</v>
      </c>
      <c r="V639" s="76" t="s">
        <v>830</v>
      </c>
      <c r="W639" s="53" t="n">
        <v>2</v>
      </c>
    </row>
    <row r="640" customFormat="false" ht="35.05" hidden="false" customHeight="false" outlineLevel="0" collapsed="false">
      <c r="A640" s="76" t="n">
        <v>624</v>
      </c>
      <c r="B640" s="20" t="s">
        <v>1167</v>
      </c>
      <c r="C640" s="20" t="s">
        <v>655</v>
      </c>
      <c r="D640" s="20" t="s">
        <v>1378</v>
      </c>
      <c r="E640" s="20" t="s">
        <v>830</v>
      </c>
      <c r="F640" s="76" t="s">
        <v>676</v>
      </c>
      <c r="G640" s="20" t="s">
        <v>846</v>
      </c>
      <c r="H640" s="55" t="n">
        <v>32</v>
      </c>
      <c r="I640" s="76" t="s">
        <v>512</v>
      </c>
      <c r="J640" s="76" t="s">
        <v>164</v>
      </c>
      <c r="K640" s="82" t="n">
        <v>1</v>
      </c>
      <c r="L640" s="55" t="n">
        <v>2</v>
      </c>
      <c r="M640" s="73" t="n">
        <v>2.85</v>
      </c>
      <c r="N640" s="74" t="n">
        <f aca="false">K640*L640*M640</f>
        <v>5.7</v>
      </c>
      <c r="O640" s="41" t="n">
        <f aca="false">IFERROR(INDEX(Исходные!$B$21:$B$33,MATCH(H640,Исходные!$A$21:$A$33,0)),0)</f>
        <v>6.313</v>
      </c>
      <c r="P640" s="83" t="n">
        <f aca="false">N640*O640</f>
        <v>35.9841</v>
      </c>
      <c r="Q640" s="20" t="s">
        <v>1380</v>
      </c>
      <c r="R640" s="84" t="s">
        <v>660</v>
      </c>
      <c r="S640" s="20" t="s">
        <v>1381</v>
      </c>
      <c r="T640" s="20" t="s">
        <v>123</v>
      </c>
      <c r="U640" s="53" t="n">
        <v>0</v>
      </c>
      <c r="V640" s="76" t="s">
        <v>830</v>
      </c>
      <c r="W640" s="53" t="n">
        <v>2</v>
      </c>
    </row>
    <row r="641" customFormat="false" ht="35.05" hidden="false" customHeight="false" outlineLevel="0" collapsed="false">
      <c r="A641" s="76" t="n">
        <v>625</v>
      </c>
      <c r="B641" s="20" t="s">
        <v>1167</v>
      </c>
      <c r="C641" s="20" t="s">
        <v>655</v>
      </c>
      <c r="D641" s="20" t="s">
        <v>1378</v>
      </c>
      <c r="E641" s="20" t="s">
        <v>830</v>
      </c>
      <c r="F641" s="76" t="s">
        <v>676</v>
      </c>
      <c r="G641" s="20" t="s">
        <v>1382</v>
      </c>
      <c r="H641" s="55" t="n">
        <v>22</v>
      </c>
      <c r="I641" s="76" t="s">
        <v>512</v>
      </c>
      <c r="J641" s="76" t="s">
        <v>164</v>
      </c>
      <c r="K641" s="82" t="n">
        <v>1</v>
      </c>
      <c r="L641" s="55" t="n">
        <v>1</v>
      </c>
      <c r="M641" s="73" t="n">
        <v>2.4</v>
      </c>
      <c r="N641" s="74" t="n">
        <f aca="false">K641*L641*M641</f>
        <v>2.4</v>
      </c>
      <c r="O641" s="41" t="n">
        <f aca="false">IFERROR(INDEX(Исходные!$B$21:$B$33,MATCH(H641,Исходные!$A$21:$A$33,0)),0)</f>
        <v>2.984</v>
      </c>
      <c r="P641" s="83" t="n">
        <f aca="false">N641*O641</f>
        <v>7.1616</v>
      </c>
      <c r="Q641" s="20" t="s">
        <v>1383</v>
      </c>
      <c r="R641" s="84" t="s">
        <v>660</v>
      </c>
      <c r="S641" s="20" t="s">
        <v>837</v>
      </c>
      <c r="T641" s="20" t="s">
        <v>123</v>
      </c>
      <c r="U641" s="53" t="n">
        <v>0</v>
      </c>
      <c r="V641" s="76" t="s">
        <v>830</v>
      </c>
      <c r="W641" s="53" t="n">
        <v>2</v>
      </c>
    </row>
    <row r="642" customFormat="false" ht="35.05" hidden="false" customHeight="false" outlineLevel="0" collapsed="false">
      <c r="A642" s="76" t="n">
        <v>626</v>
      </c>
      <c r="B642" s="20" t="s">
        <v>1167</v>
      </c>
      <c r="C642" s="20" t="s">
        <v>655</v>
      </c>
      <c r="D642" s="20" t="s">
        <v>1378</v>
      </c>
      <c r="E642" s="20" t="s">
        <v>830</v>
      </c>
      <c r="F642" s="76" t="s">
        <v>676</v>
      </c>
      <c r="G642" s="20" t="s">
        <v>838</v>
      </c>
      <c r="H642" s="55" t="n">
        <v>14</v>
      </c>
      <c r="I642" s="76" t="s">
        <v>512</v>
      </c>
      <c r="J642" s="76" t="s">
        <v>164</v>
      </c>
      <c r="K642" s="82" t="n">
        <v>1</v>
      </c>
      <c r="L642" s="55" t="n">
        <v>2</v>
      </c>
      <c r="M642" s="73" t="n">
        <v>4</v>
      </c>
      <c r="N642" s="74" t="n">
        <f aca="false">K642*L642*M642</f>
        <v>8</v>
      </c>
      <c r="O642" s="41" t="n">
        <f aca="false">IFERROR(INDEX(Исходные!$B$21:$B$33,MATCH(H642,Исходные!$A$21:$A$33,0)),0)</f>
        <v>1.208</v>
      </c>
      <c r="P642" s="83" t="n">
        <f aca="false">N642*O642</f>
        <v>9.664</v>
      </c>
      <c r="Q642" s="20" t="s">
        <v>1384</v>
      </c>
      <c r="R642" s="84" t="s">
        <v>660</v>
      </c>
      <c r="S642" s="20" t="s">
        <v>840</v>
      </c>
      <c r="T642" s="20" t="s">
        <v>123</v>
      </c>
      <c r="U642" s="53" t="n">
        <v>0</v>
      </c>
      <c r="V642" s="76" t="s">
        <v>830</v>
      </c>
      <c r="W642" s="53" t="n">
        <v>2</v>
      </c>
    </row>
    <row r="643" customFormat="false" ht="35.05" hidden="false" customHeight="false" outlineLevel="0" collapsed="false">
      <c r="A643" s="76" t="n">
        <v>627</v>
      </c>
      <c r="B643" s="20" t="s">
        <v>1167</v>
      </c>
      <c r="C643" s="20" t="s">
        <v>655</v>
      </c>
      <c r="D643" s="20" t="s">
        <v>1378</v>
      </c>
      <c r="E643" s="20" t="s">
        <v>830</v>
      </c>
      <c r="F643" s="76" t="s">
        <v>676</v>
      </c>
      <c r="G643" s="20" t="s">
        <v>1385</v>
      </c>
      <c r="H643" s="55" t="n">
        <v>28</v>
      </c>
      <c r="I643" s="76" t="s">
        <v>512</v>
      </c>
      <c r="J643" s="76" t="s">
        <v>164</v>
      </c>
      <c r="K643" s="82" t="n">
        <v>1</v>
      </c>
      <c r="L643" s="55" t="n">
        <v>2</v>
      </c>
      <c r="M643" s="73" t="n">
        <v>10.5</v>
      </c>
      <c r="N643" s="74" t="n">
        <f aca="false">K643*L643*M643</f>
        <v>21</v>
      </c>
      <c r="O643" s="41" t="n">
        <f aca="false">IFERROR(INDEX(Исходные!$B$21:$B$33,MATCH(H643,Исходные!$A$21:$A$33,0)),0)</f>
        <v>4.834</v>
      </c>
      <c r="P643" s="83" t="n">
        <f aca="false">N643*O643</f>
        <v>101.514</v>
      </c>
      <c r="Q643" s="20" t="s">
        <v>1386</v>
      </c>
      <c r="R643" s="84" t="s">
        <v>660</v>
      </c>
      <c r="S643" s="20" t="s">
        <v>850</v>
      </c>
      <c r="T643" s="20" t="s">
        <v>123</v>
      </c>
      <c r="U643" s="53" t="n">
        <v>0</v>
      </c>
      <c r="V643" s="76" t="s">
        <v>830</v>
      </c>
      <c r="W643" s="53" t="n">
        <v>2</v>
      </c>
    </row>
    <row r="644" customFormat="false" ht="35.05" hidden="false" customHeight="false" outlineLevel="0" collapsed="false">
      <c r="A644" s="76" t="n">
        <v>628</v>
      </c>
      <c r="B644" s="20" t="s">
        <v>1167</v>
      </c>
      <c r="C644" s="20" t="s">
        <v>655</v>
      </c>
      <c r="D644" s="20" t="s">
        <v>1378</v>
      </c>
      <c r="E644" s="20" t="s">
        <v>830</v>
      </c>
      <c r="F644" s="76" t="s">
        <v>676</v>
      </c>
      <c r="G644" s="20" t="s">
        <v>1387</v>
      </c>
      <c r="H644" s="55" t="n">
        <v>20</v>
      </c>
      <c r="I644" s="76" t="s">
        <v>512</v>
      </c>
      <c r="J644" s="76" t="s">
        <v>164</v>
      </c>
      <c r="K644" s="82" t="n">
        <v>1</v>
      </c>
      <c r="L644" s="55" t="n">
        <v>2</v>
      </c>
      <c r="M644" s="73" t="n">
        <v>2.3</v>
      </c>
      <c r="N644" s="74" t="n">
        <f aca="false">K644*L644*M644</f>
        <v>4.6</v>
      </c>
      <c r="O644" s="41" t="n">
        <f aca="false">IFERROR(INDEX(Исходные!$B$21:$B$33,MATCH(H644,Исходные!$A$21:$A$33,0)),0)</f>
        <v>2.466</v>
      </c>
      <c r="P644" s="83" t="n">
        <f aca="false">N644*O644</f>
        <v>11.3436</v>
      </c>
      <c r="Q644" s="20" t="s">
        <v>1388</v>
      </c>
      <c r="R644" s="84" t="s">
        <v>660</v>
      </c>
      <c r="S644" s="20" t="s">
        <v>1389</v>
      </c>
      <c r="T644" s="20" t="s">
        <v>123</v>
      </c>
      <c r="U644" s="53" t="n">
        <v>0</v>
      </c>
      <c r="V644" s="76" t="s">
        <v>830</v>
      </c>
      <c r="W644" s="53" t="n">
        <v>2</v>
      </c>
    </row>
    <row r="645" customFormat="false" ht="35.05" hidden="false" customHeight="false" outlineLevel="0" collapsed="false">
      <c r="A645" s="76" t="n">
        <v>629</v>
      </c>
      <c r="B645" s="20" t="s">
        <v>1167</v>
      </c>
      <c r="C645" s="20" t="s">
        <v>655</v>
      </c>
      <c r="D645" s="20" t="s">
        <v>1378</v>
      </c>
      <c r="E645" s="20" t="s">
        <v>830</v>
      </c>
      <c r="F645" s="76" t="s">
        <v>676</v>
      </c>
      <c r="G645" s="20" t="s">
        <v>851</v>
      </c>
      <c r="H645" s="55" t="n">
        <v>20</v>
      </c>
      <c r="I645" s="76" t="s">
        <v>512</v>
      </c>
      <c r="J645" s="76" t="s">
        <v>164</v>
      </c>
      <c r="K645" s="82" t="n">
        <v>1</v>
      </c>
      <c r="L645" s="55" t="n">
        <v>2</v>
      </c>
      <c r="M645" s="73" t="n">
        <v>2.85</v>
      </c>
      <c r="N645" s="74" t="n">
        <f aca="false">K645*L645*M645</f>
        <v>5.7</v>
      </c>
      <c r="O645" s="41" t="n">
        <f aca="false">IFERROR(INDEX(Исходные!$B$21:$B$33,MATCH(H645,Исходные!$A$21:$A$33,0)),0)</f>
        <v>2.466</v>
      </c>
      <c r="P645" s="83" t="n">
        <f aca="false">N645*O645</f>
        <v>14.0562</v>
      </c>
      <c r="Q645" s="20" t="s">
        <v>1388</v>
      </c>
      <c r="R645" s="84" t="s">
        <v>660</v>
      </c>
      <c r="S645" s="20" t="s">
        <v>1381</v>
      </c>
      <c r="T645" s="20" t="s">
        <v>123</v>
      </c>
      <c r="U645" s="53" t="n">
        <v>0</v>
      </c>
      <c r="V645" s="76" t="s">
        <v>830</v>
      </c>
      <c r="W645" s="53" t="n">
        <v>2</v>
      </c>
    </row>
    <row r="646" customFormat="false" ht="35.05" hidden="false" customHeight="false" outlineLevel="0" collapsed="false">
      <c r="A646" s="76" t="n">
        <v>630</v>
      </c>
      <c r="B646" s="20" t="s">
        <v>1167</v>
      </c>
      <c r="C646" s="20" t="s">
        <v>655</v>
      </c>
      <c r="D646" s="20" t="s">
        <v>1378</v>
      </c>
      <c r="E646" s="20" t="s">
        <v>830</v>
      </c>
      <c r="F646" s="76" t="s">
        <v>676</v>
      </c>
      <c r="G646" s="20" t="s">
        <v>1390</v>
      </c>
      <c r="H646" s="55" t="n">
        <v>14</v>
      </c>
      <c r="I646" s="76" t="s">
        <v>512</v>
      </c>
      <c r="J646" s="76" t="s">
        <v>164</v>
      </c>
      <c r="K646" s="82" t="n">
        <v>1</v>
      </c>
      <c r="L646" s="55" t="n">
        <v>2</v>
      </c>
      <c r="M646" s="73" t="n">
        <v>2.7</v>
      </c>
      <c r="N646" s="74" t="n">
        <f aca="false">K646*L646*M646</f>
        <v>5.4</v>
      </c>
      <c r="O646" s="41" t="n">
        <f aca="false">IFERROR(INDEX(Исходные!$B$21:$B$33,MATCH(H646,Исходные!$A$21:$A$33,0)),0)</f>
        <v>1.208</v>
      </c>
      <c r="P646" s="83" t="n">
        <f aca="false">N646*O646</f>
        <v>6.5232</v>
      </c>
      <c r="Q646" s="20" t="s">
        <v>1384</v>
      </c>
      <c r="R646" s="84" t="s">
        <v>660</v>
      </c>
      <c r="S646" s="20" t="s">
        <v>1391</v>
      </c>
      <c r="T646" s="20" t="s">
        <v>123</v>
      </c>
      <c r="U646" s="53" t="n">
        <v>0</v>
      </c>
      <c r="V646" s="76" t="s">
        <v>830</v>
      </c>
      <c r="W646" s="53" t="n">
        <v>2</v>
      </c>
    </row>
    <row r="647" customFormat="false" ht="35.05" hidden="false" customHeight="false" outlineLevel="0" collapsed="false">
      <c r="A647" s="76" t="n">
        <v>631</v>
      </c>
      <c r="B647" s="20" t="s">
        <v>1167</v>
      </c>
      <c r="C647" s="20" t="s">
        <v>655</v>
      </c>
      <c r="D647" s="20" t="s">
        <v>1378</v>
      </c>
      <c r="E647" s="20" t="s">
        <v>830</v>
      </c>
      <c r="F647" s="76" t="s">
        <v>676</v>
      </c>
      <c r="G647" s="20" t="s">
        <v>855</v>
      </c>
      <c r="H647" s="55" t="n">
        <v>14</v>
      </c>
      <c r="I647" s="76" t="s">
        <v>512</v>
      </c>
      <c r="J647" s="76" t="s">
        <v>164</v>
      </c>
      <c r="K647" s="82" t="n">
        <v>1</v>
      </c>
      <c r="L647" s="55" t="n">
        <v>2</v>
      </c>
      <c r="M647" s="73" t="n">
        <v>2.4</v>
      </c>
      <c r="N647" s="74" t="n">
        <f aca="false">K647*L647*M647</f>
        <v>4.8</v>
      </c>
      <c r="O647" s="41" t="n">
        <f aca="false">IFERROR(INDEX(Исходные!$B$21:$B$33,MATCH(H647,Исходные!$A$21:$A$33,0)),0)</f>
        <v>1.208</v>
      </c>
      <c r="P647" s="83" t="n">
        <f aca="false">N647*O647</f>
        <v>5.7984</v>
      </c>
      <c r="Q647" s="20" t="s">
        <v>1392</v>
      </c>
      <c r="R647" s="84" t="s">
        <v>660</v>
      </c>
      <c r="S647" s="20" t="s">
        <v>837</v>
      </c>
      <c r="T647" s="20" t="s">
        <v>123</v>
      </c>
      <c r="U647" s="53" t="n">
        <v>0</v>
      </c>
      <c r="V647" s="76" t="s">
        <v>830</v>
      </c>
      <c r="W647" s="53" t="n">
        <v>2</v>
      </c>
    </row>
    <row r="648" customFormat="false" ht="35.05" hidden="false" customHeight="false" outlineLevel="0" collapsed="false">
      <c r="A648" s="76" t="n">
        <v>632</v>
      </c>
      <c r="B648" s="20" t="s">
        <v>1167</v>
      </c>
      <c r="C648" s="20" t="s">
        <v>655</v>
      </c>
      <c r="D648" s="20" t="s">
        <v>1378</v>
      </c>
      <c r="E648" s="20" t="s">
        <v>830</v>
      </c>
      <c r="F648" s="76" t="s">
        <v>676</v>
      </c>
      <c r="G648" s="20" t="s">
        <v>1393</v>
      </c>
      <c r="H648" s="55" t="n">
        <v>14</v>
      </c>
      <c r="I648" s="76" t="s">
        <v>512</v>
      </c>
      <c r="J648" s="76" t="s">
        <v>164</v>
      </c>
      <c r="K648" s="82" t="n">
        <v>1</v>
      </c>
      <c r="L648" s="55" t="n">
        <v>4</v>
      </c>
      <c r="M648" s="73" t="n">
        <v>9.1</v>
      </c>
      <c r="N648" s="74" t="n">
        <f aca="false">K648*L648*M648</f>
        <v>36.4</v>
      </c>
      <c r="O648" s="41" t="n">
        <f aca="false">IFERROR(INDEX(Исходные!$B$21:$B$33,MATCH(H648,Исходные!$A$21:$A$33,0)),0)</f>
        <v>1.208</v>
      </c>
      <c r="P648" s="83" t="n">
        <f aca="false">N648*O648</f>
        <v>43.9712</v>
      </c>
      <c r="Q648" s="20" t="s">
        <v>1394</v>
      </c>
      <c r="R648" s="84" t="s">
        <v>660</v>
      </c>
      <c r="S648" s="20" t="s">
        <v>858</v>
      </c>
      <c r="T648" s="20" t="s">
        <v>123</v>
      </c>
      <c r="U648" s="53" t="n">
        <v>0</v>
      </c>
      <c r="V648" s="76" t="s">
        <v>830</v>
      </c>
      <c r="W648" s="53" t="n">
        <v>2</v>
      </c>
    </row>
    <row r="649" customFormat="false" ht="35.05" hidden="false" customHeight="false" outlineLevel="0" collapsed="false">
      <c r="A649" s="76" t="n">
        <v>633</v>
      </c>
      <c r="B649" s="20" t="s">
        <v>1167</v>
      </c>
      <c r="C649" s="20" t="s">
        <v>655</v>
      </c>
      <c r="D649" s="20" t="s">
        <v>1378</v>
      </c>
      <c r="E649" s="20" t="s">
        <v>830</v>
      </c>
      <c r="F649" s="76" t="s">
        <v>676</v>
      </c>
      <c r="G649" s="20" t="s">
        <v>859</v>
      </c>
      <c r="H649" s="55" t="n">
        <v>14</v>
      </c>
      <c r="I649" s="76" t="s">
        <v>512</v>
      </c>
      <c r="J649" s="76" t="s">
        <v>164</v>
      </c>
      <c r="K649" s="82" t="n">
        <v>1</v>
      </c>
      <c r="L649" s="55" t="n">
        <v>2</v>
      </c>
      <c r="M649" s="73" t="n">
        <v>2.85</v>
      </c>
      <c r="N649" s="74" t="n">
        <f aca="false">K649*L649*M649</f>
        <v>5.7</v>
      </c>
      <c r="O649" s="41" t="n">
        <f aca="false">IFERROR(INDEX(Исходные!$B$21:$B$33,MATCH(H649,Исходные!$A$21:$A$33,0)),0)</f>
        <v>1.208</v>
      </c>
      <c r="P649" s="83" t="n">
        <f aca="false">N649*O649</f>
        <v>6.8856</v>
      </c>
      <c r="Q649" s="20" t="s">
        <v>1392</v>
      </c>
      <c r="R649" s="84" t="s">
        <v>660</v>
      </c>
      <c r="S649" s="20" t="s">
        <v>1381</v>
      </c>
      <c r="T649" s="20" t="s">
        <v>123</v>
      </c>
      <c r="U649" s="53" t="n">
        <v>0</v>
      </c>
      <c r="V649" s="76" t="s">
        <v>830</v>
      </c>
      <c r="W649" s="53" t="n">
        <v>2</v>
      </c>
    </row>
    <row r="650" customFormat="false" ht="35.05" hidden="false" customHeight="false" outlineLevel="0" collapsed="false">
      <c r="A650" s="76" t="n">
        <v>634</v>
      </c>
      <c r="B650" s="20" t="s">
        <v>1167</v>
      </c>
      <c r="C650" s="20" t="s">
        <v>655</v>
      </c>
      <c r="D650" s="20" t="s">
        <v>1378</v>
      </c>
      <c r="E650" s="20" t="s">
        <v>830</v>
      </c>
      <c r="F650" s="76" t="s">
        <v>696</v>
      </c>
      <c r="G650" s="20" t="s">
        <v>1308</v>
      </c>
      <c r="H650" s="55" t="n">
        <v>8</v>
      </c>
      <c r="I650" s="76" t="s">
        <v>546</v>
      </c>
      <c r="J650" s="76" t="s">
        <v>698</v>
      </c>
      <c r="K650" s="82" t="n">
        <v>1</v>
      </c>
      <c r="L650" s="55" t="n">
        <v>47</v>
      </c>
      <c r="M650" s="73" t="n">
        <v>2.06</v>
      </c>
      <c r="N650" s="74" t="n">
        <f aca="false">K650*L650*M650</f>
        <v>96.82</v>
      </c>
      <c r="O650" s="41" t="n">
        <f aca="false">IFERROR(INDEX(Исходные!$B$21:$B$33,MATCH(H650,Исходные!$A$21:$A$33,0)),0)</f>
        <v>0.395</v>
      </c>
      <c r="P650" s="83" t="n">
        <f aca="false">N650*O650</f>
        <v>38.2439</v>
      </c>
      <c r="Q650" s="20" t="s">
        <v>1309</v>
      </c>
      <c r="R650" s="84" t="s">
        <v>514</v>
      </c>
      <c r="S650" s="20" t="s">
        <v>1395</v>
      </c>
      <c r="T650" s="20" t="s">
        <v>123</v>
      </c>
      <c r="U650" s="53" t="n">
        <v>0</v>
      </c>
      <c r="V650" s="76" t="s">
        <v>830</v>
      </c>
      <c r="W650" s="53" t="n">
        <v>2</v>
      </c>
    </row>
    <row r="651" customFormat="false" ht="35.05" hidden="false" customHeight="false" outlineLevel="0" collapsed="false">
      <c r="A651" s="76" t="n">
        <v>635</v>
      </c>
      <c r="B651" s="20" t="s">
        <v>1167</v>
      </c>
      <c r="C651" s="20" t="s">
        <v>655</v>
      </c>
      <c r="D651" s="20" t="s">
        <v>1378</v>
      </c>
      <c r="E651" s="20" t="s">
        <v>830</v>
      </c>
      <c r="F651" s="76" t="s">
        <v>561</v>
      </c>
      <c r="G651" s="20" t="s">
        <v>1311</v>
      </c>
      <c r="H651" s="55" t="n">
        <v>10</v>
      </c>
      <c r="I651" s="76" t="s">
        <v>546</v>
      </c>
      <c r="J651" s="76" t="n">
        <v>100</v>
      </c>
      <c r="K651" s="82" t="n">
        <v>1</v>
      </c>
      <c r="L651" s="55" t="n">
        <v>92</v>
      </c>
      <c r="M651" s="73" t="n">
        <v>2.06</v>
      </c>
      <c r="N651" s="74" t="n">
        <f aca="false">K651*L651*M651</f>
        <v>189.52</v>
      </c>
      <c r="O651" s="41" t="n">
        <f aca="false">IFERROR(INDEX(Исходные!$B$21:$B$33,MATCH(H651,Исходные!$A$21:$A$33,0)),0)</f>
        <v>0.617</v>
      </c>
      <c r="P651" s="83" t="n">
        <f aca="false">N651*O651</f>
        <v>116.93384</v>
      </c>
      <c r="Q651" s="20" t="s">
        <v>1396</v>
      </c>
      <c r="R651" s="84" t="s">
        <v>514</v>
      </c>
      <c r="S651" s="20" t="s">
        <v>862</v>
      </c>
      <c r="T651" s="20" t="s">
        <v>123</v>
      </c>
      <c r="U651" s="53" t="n">
        <v>0</v>
      </c>
      <c r="V651" s="76" t="s">
        <v>830</v>
      </c>
      <c r="W651" s="53" t="n">
        <v>2</v>
      </c>
    </row>
    <row r="652" customFormat="false" ht="35.05" hidden="false" customHeight="false" outlineLevel="0" collapsed="false">
      <c r="A652" s="76" t="n">
        <v>636</v>
      </c>
      <c r="B652" s="20" t="s">
        <v>1167</v>
      </c>
      <c r="C652" s="20" t="s">
        <v>655</v>
      </c>
      <c r="D652" s="20" t="s">
        <v>1378</v>
      </c>
      <c r="E652" s="20" t="s">
        <v>830</v>
      </c>
      <c r="F652" s="76" t="s">
        <v>603</v>
      </c>
      <c r="G652" s="20" t="s">
        <v>704</v>
      </c>
      <c r="H652" s="55" t="n">
        <v>10</v>
      </c>
      <c r="I652" s="76" t="s">
        <v>546</v>
      </c>
      <c r="J652" s="76" t="n">
        <v>100</v>
      </c>
      <c r="K652" s="82" t="n">
        <v>1</v>
      </c>
      <c r="L652" s="55" t="n">
        <v>86</v>
      </c>
      <c r="M652" s="73" t="n">
        <v>1.6</v>
      </c>
      <c r="N652" s="74" t="n">
        <f aca="false">K652*L652*M652</f>
        <v>137.6</v>
      </c>
      <c r="O652" s="41" t="n">
        <f aca="false">IFERROR(INDEX(Исходные!$B$21:$B$33,MATCH(H652,Исходные!$A$21:$A$33,0)),0)</f>
        <v>0.617</v>
      </c>
      <c r="P652" s="83" t="n">
        <f aca="false">N652*O652</f>
        <v>84.8992</v>
      </c>
      <c r="Q652" s="20" t="s">
        <v>863</v>
      </c>
      <c r="R652" s="84" t="s">
        <v>514</v>
      </c>
      <c r="S652" s="20"/>
      <c r="T652" s="20" t="s">
        <v>123</v>
      </c>
      <c r="U652" s="53" t="n">
        <v>0</v>
      </c>
      <c r="V652" s="76" t="s">
        <v>830</v>
      </c>
      <c r="W652" s="53" t="n">
        <v>2</v>
      </c>
    </row>
    <row r="653" customFormat="false" ht="35.05" hidden="false" customHeight="false" outlineLevel="0" collapsed="false">
      <c r="A653" s="76" t="n">
        <v>637</v>
      </c>
      <c r="B653" s="20" t="s">
        <v>1167</v>
      </c>
      <c r="C653" s="20" t="s">
        <v>655</v>
      </c>
      <c r="D653" s="20" t="s">
        <v>1378</v>
      </c>
      <c r="E653" s="20" t="s">
        <v>830</v>
      </c>
      <c r="F653" s="76" t="s">
        <v>706</v>
      </c>
      <c r="G653" s="20" t="s">
        <v>1314</v>
      </c>
      <c r="H653" s="55" t="n">
        <v>8</v>
      </c>
      <c r="I653" s="76" t="s">
        <v>546</v>
      </c>
      <c r="J653" s="76" t="s">
        <v>708</v>
      </c>
      <c r="K653" s="82" t="n">
        <v>1</v>
      </c>
      <c r="L653" s="55" t="n">
        <v>35</v>
      </c>
      <c r="M653" s="73" t="n">
        <v>0.75</v>
      </c>
      <c r="N653" s="74" t="n">
        <f aca="false">K653*L653*M653</f>
        <v>26.25</v>
      </c>
      <c r="O653" s="41" t="n">
        <f aca="false">IFERROR(INDEX(Исходные!$B$21:$B$33,MATCH(H653,Исходные!$A$21:$A$33,0)),0)</f>
        <v>0.395</v>
      </c>
      <c r="P653" s="83" t="n">
        <f aca="false">N653*O653</f>
        <v>10.36875</v>
      </c>
      <c r="Q653" s="20" t="s">
        <v>709</v>
      </c>
      <c r="R653" s="84" t="s">
        <v>514</v>
      </c>
      <c r="S653" s="20"/>
      <c r="T653" s="20" t="s">
        <v>123</v>
      </c>
      <c r="U653" s="53" t="n">
        <v>0</v>
      </c>
      <c r="V653" s="76" t="s">
        <v>830</v>
      </c>
      <c r="W653" s="53" t="n">
        <v>2</v>
      </c>
    </row>
    <row r="654" customFormat="false" ht="35.05" hidden="false" customHeight="false" outlineLevel="0" collapsed="false">
      <c r="A654" s="76" t="n">
        <v>638</v>
      </c>
      <c r="B654" s="20" t="s">
        <v>1167</v>
      </c>
      <c r="C654" s="20" t="s">
        <v>655</v>
      </c>
      <c r="D654" s="20" t="s">
        <v>1378</v>
      </c>
      <c r="E654" s="20" t="s">
        <v>830</v>
      </c>
      <c r="F654" s="76" t="s">
        <v>710</v>
      </c>
      <c r="G654" s="20" t="s">
        <v>1315</v>
      </c>
      <c r="H654" s="55" t="n">
        <v>8</v>
      </c>
      <c r="I654" s="76" t="s">
        <v>546</v>
      </c>
      <c r="J654" s="76" t="n">
        <v>300</v>
      </c>
      <c r="K654" s="82" t="n">
        <v>1</v>
      </c>
      <c r="L654" s="55" t="n">
        <v>54</v>
      </c>
      <c r="M654" s="73" t="n">
        <v>0.58</v>
      </c>
      <c r="N654" s="74" t="n">
        <f aca="false">K654*L654*M654</f>
        <v>31.32</v>
      </c>
      <c r="O654" s="41" t="n">
        <f aca="false">IFERROR(INDEX(Исходные!$B$21:$B$33,MATCH(H654,Исходные!$A$21:$A$33,0)),0)</f>
        <v>0.395</v>
      </c>
      <c r="P654" s="83" t="n">
        <f aca="false">N654*O654</f>
        <v>12.3714</v>
      </c>
      <c r="Q654" s="20" t="s">
        <v>1316</v>
      </c>
      <c r="R654" s="85" t="s">
        <v>638</v>
      </c>
      <c r="S654" s="20"/>
      <c r="T654" s="20" t="s">
        <v>123</v>
      </c>
      <c r="U654" s="53" t="n">
        <v>1</v>
      </c>
      <c r="V654" s="76" t="s">
        <v>830</v>
      </c>
      <c r="W654" s="53" t="n">
        <v>2</v>
      </c>
    </row>
    <row r="655" customFormat="false" ht="35.05" hidden="false" customHeight="false" outlineLevel="0" collapsed="false">
      <c r="A655" s="76" t="n">
        <v>639</v>
      </c>
      <c r="B655" s="20" t="s">
        <v>1167</v>
      </c>
      <c r="C655" s="20" t="s">
        <v>655</v>
      </c>
      <c r="D655" s="20" t="s">
        <v>1397</v>
      </c>
      <c r="E655" s="20" t="s">
        <v>865</v>
      </c>
      <c r="F655" s="76" t="s">
        <v>519</v>
      </c>
      <c r="G655" s="20" t="s">
        <v>658</v>
      </c>
      <c r="H655" s="55" t="n">
        <v>28</v>
      </c>
      <c r="I655" s="76" t="s">
        <v>512</v>
      </c>
      <c r="J655" s="76" t="s">
        <v>164</v>
      </c>
      <c r="K655" s="82" t="n">
        <v>1</v>
      </c>
      <c r="L655" s="55" t="n">
        <v>4</v>
      </c>
      <c r="M655" s="73" t="n">
        <v>20.5</v>
      </c>
      <c r="N655" s="74" t="n">
        <f aca="false">K655*L655*M655</f>
        <v>82</v>
      </c>
      <c r="O655" s="41" t="n">
        <f aca="false">IFERROR(INDEX(Исходные!$B$21:$B$33,MATCH(H655,Исходные!$A$21:$A$33,0)),0)</f>
        <v>4.834</v>
      </c>
      <c r="P655" s="83" t="n">
        <f aca="false">N655*O655</f>
        <v>396.388</v>
      </c>
      <c r="Q655" s="20" t="s">
        <v>1398</v>
      </c>
      <c r="R655" s="84" t="s">
        <v>660</v>
      </c>
      <c r="S655" s="20" t="s">
        <v>832</v>
      </c>
      <c r="T655" s="20" t="s">
        <v>123</v>
      </c>
      <c r="U655" s="53" t="n">
        <v>0</v>
      </c>
      <c r="V655" s="76" t="s">
        <v>865</v>
      </c>
      <c r="W655" s="53" t="n">
        <v>2</v>
      </c>
    </row>
    <row r="656" customFormat="false" ht="35.05" hidden="false" customHeight="false" outlineLevel="0" collapsed="false">
      <c r="A656" s="76" t="n">
        <v>640</v>
      </c>
      <c r="B656" s="20" t="s">
        <v>1167</v>
      </c>
      <c r="C656" s="20" t="s">
        <v>655</v>
      </c>
      <c r="D656" s="20" t="s">
        <v>1397</v>
      </c>
      <c r="E656" s="20" t="s">
        <v>865</v>
      </c>
      <c r="F656" s="76" t="s">
        <v>529</v>
      </c>
      <c r="G656" s="20" t="s">
        <v>662</v>
      </c>
      <c r="H656" s="55" t="n">
        <v>18</v>
      </c>
      <c r="I656" s="76" t="s">
        <v>512</v>
      </c>
      <c r="J656" s="76" t="s">
        <v>164</v>
      </c>
      <c r="K656" s="82" t="n">
        <v>1</v>
      </c>
      <c r="L656" s="55" t="n">
        <v>2</v>
      </c>
      <c r="M656" s="73" t="n">
        <v>20.5</v>
      </c>
      <c r="N656" s="74" t="n">
        <f aca="false">K656*L656*M656</f>
        <v>41</v>
      </c>
      <c r="O656" s="41" t="n">
        <f aca="false">IFERROR(INDEX(Исходные!$B$21:$B$33,MATCH(H656,Исходные!$A$21:$A$33,0)),0)</f>
        <v>1.998</v>
      </c>
      <c r="P656" s="83" t="n">
        <f aca="false">N656*O656</f>
        <v>81.918</v>
      </c>
      <c r="Q656" s="20" t="s">
        <v>663</v>
      </c>
      <c r="R656" s="84" t="s">
        <v>660</v>
      </c>
      <c r="S656" s="20"/>
      <c r="T656" s="20" t="s">
        <v>123</v>
      </c>
      <c r="U656" s="53" t="n">
        <v>0</v>
      </c>
      <c r="V656" s="76" t="s">
        <v>865</v>
      </c>
      <c r="W656" s="53" t="n">
        <v>2</v>
      </c>
    </row>
    <row r="657" customFormat="false" ht="35.05" hidden="false" customHeight="false" outlineLevel="0" collapsed="false">
      <c r="A657" s="76" t="n">
        <v>641</v>
      </c>
      <c r="B657" s="20" t="s">
        <v>1167</v>
      </c>
      <c r="C657" s="20" t="s">
        <v>655</v>
      </c>
      <c r="D657" s="20" t="s">
        <v>1397</v>
      </c>
      <c r="E657" s="20" t="s">
        <v>865</v>
      </c>
      <c r="F657" s="76" t="s">
        <v>664</v>
      </c>
      <c r="G657" s="20" t="s">
        <v>833</v>
      </c>
      <c r="H657" s="55" t="n">
        <v>18</v>
      </c>
      <c r="I657" s="76" t="s">
        <v>512</v>
      </c>
      <c r="J657" s="76" t="s">
        <v>164</v>
      </c>
      <c r="K657" s="82" t="n">
        <v>2</v>
      </c>
      <c r="L657" s="55" t="n">
        <v>1</v>
      </c>
      <c r="M657" s="73" t="n">
        <v>0.144</v>
      </c>
      <c r="N657" s="74" t="n">
        <f aca="false">K657*L657*M657</f>
        <v>0.288</v>
      </c>
      <c r="O657" s="41" t="n">
        <f aca="false">IFERROR(INDEX(Исходные!$B$21:$B$33,MATCH(H657,Исходные!$A$21:$A$33,0)),0)</f>
        <v>1.998</v>
      </c>
      <c r="P657" s="83" t="n">
        <f aca="false">N657*O657</f>
        <v>0.575424</v>
      </c>
      <c r="Q657" s="20" t="s">
        <v>666</v>
      </c>
      <c r="R657" s="84" t="s">
        <v>667</v>
      </c>
      <c r="S657" s="20" t="s">
        <v>805</v>
      </c>
      <c r="T657" s="20" t="s">
        <v>123</v>
      </c>
      <c r="U657" s="53" t="n">
        <v>0</v>
      </c>
      <c r="V657" s="76" t="s">
        <v>865</v>
      </c>
      <c r="W657" s="53" t="n">
        <v>2</v>
      </c>
    </row>
    <row r="658" customFormat="false" ht="35.05" hidden="false" customHeight="false" outlineLevel="0" collapsed="false">
      <c r="A658" s="76" t="n">
        <v>642</v>
      </c>
      <c r="B658" s="20" t="s">
        <v>1167</v>
      </c>
      <c r="C658" s="20" t="s">
        <v>655</v>
      </c>
      <c r="D658" s="20" t="s">
        <v>1397</v>
      </c>
      <c r="E658" s="20" t="s">
        <v>865</v>
      </c>
      <c r="F658" s="76" t="s">
        <v>669</v>
      </c>
      <c r="G658" s="20" t="s">
        <v>670</v>
      </c>
      <c r="H658" s="55" t="n">
        <v>16</v>
      </c>
      <c r="I658" s="76" t="s">
        <v>512</v>
      </c>
      <c r="J658" s="76" t="s">
        <v>164</v>
      </c>
      <c r="K658" s="82" t="n">
        <v>1</v>
      </c>
      <c r="L658" s="55" t="n">
        <v>2</v>
      </c>
      <c r="M658" s="73" t="n">
        <v>20.5</v>
      </c>
      <c r="N658" s="74" t="n">
        <f aca="false">K658*L658*M658</f>
        <v>41</v>
      </c>
      <c r="O658" s="41" t="n">
        <f aca="false">IFERROR(INDEX(Исходные!$B$21:$B$33,MATCH(H658,Исходные!$A$21:$A$33,0)),0)</f>
        <v>1.578</v>
      </c>
      <c r="P658" s="83" t="n">
        <f aca="false">N658*O658</f>
        <v>64.698</v>
      </c>
      <c r="Q658" s="20" t="s">
        <v>671</v>
      </c>
      <c r="R658" s="84" t="s">
        <v>660</v>
      </c>
      <c r="S658" s="20"/>
      <c r="T658" s="20" t="s">
        <v>123</v>
      </c>
      <c r="U658" s="53" t="n">
        <v>0</v>
      </c>
      <c r="V658" s="76" t="s">
        <v>865</v>
      </c>
      <c r="W658" s="53" t="n">
        <v>2</v>
      </c>
    </row>
    <row r="659" customFormat="false" ht="35.05" hidden="false" customHeight="false" outlineLevel="0" collapsed="false">
      <c r="A659" s="76" t="n">
        <v>643</v>
      </c>
      <c r="B659" s="20" t="s">
        <v>1167</v>
      </c>
      <c r="C659" s="20" t="s">
        <v>655</v>
      </c>
      <c r="D659" s="20" t="s">
        <v>1397</v>
      </c>
      <c r="E659" s="20" t="s">
        <v>865</v>
      </c>
      <c r="F659" s="76" t="s">
        <v>672</v>
      </c>
      <c r="G659" s="20" t="s">
        <v>834</v>
      </c>
      <c r="H659" s="55" t="n">
        <v>16</v>
      </c>
      <c r="I659" s="76" t="s">
        <v>512</v>
      </c>
      <c r="J659" s="76" t="s">
        <v>164</v>
      </c>
      <c r="K659" s="82" t="n">
        <v>2</v>
      </c>
      <c r="L659" s="55" t="n">
        <v>1</v>
      </c>
      <c r="M659" s="73" t="n">
        <v>0.128</v>
      </c>
      <c r="N659" s="74" t="n">
        <f aca="false">K659*L659*M659</f>
        <v>0.256</v>
      </c>
      <c r="O659" s="41" t="n">
        <f aca="false">IFERROR(INDEX(Исходные!$B$21:$B$33,MATCH(H659,Исходные!$A$21:$A$33,0)),0)</f>
        <v>1.578</v>
      </c>
      <c r="P659" s="83" t="n">
        <f aca="false">N659*O659</f>
        <v>0.403968</v>
      </c>
      <c r="Q659" s="20" t="s">
        <v>674</v>
      </c>
      <c r="R659" s="84" t="s">
        <v>667</v>
      </c>
      <c r="S659" s="20" t="s">
        <v>807</v>
      </c>
      <c r="T659" s="20" t="s">
        <v>123</v>
      </c>
      <c r="U659" s="53" t="n">
        <v>0</v>
      </c>
      <c r="V659" s="76" t="s">
        <v>865</v>
      </c>
      <c r="W659" s="53" t="n">
        <v>2</v>
      </c>
    </row>
    <row r="660" customFormat="false" ht="35.05" hidden="false" customHeight="false" outlineLevel="0" collapsed="false">
      <c r="A660" s="76" t="n">
        <v>644</v>
      </c>
      <c r="B660" s="20" t="s">
        <v>1167</v>
      </c>
      <c r="C660" s="20" t="s">
        <v>655</v>
      </c>
      <c r="D660" s="20" t="s">
        <v>1397</v>
      </c>
      <c r="E660" s="20" t="s">
        <v>865</v>
      </c>
      <c r="F660" s="76" t="s">
        <v>676</v>
      </c>
      <c r="G660" s="20" t="s">
        <v>677</v>
      </c>
      <c r="H660" s="55" t="n">
        <v>28</v>
      </c>
      <c r="I660" s="76" t="s">
        <v>512</v>
      </c>
      <c r="J660" s="76" t="s">
        <v>164</v>
      </c>
      <c r="K660" s="82" t="n">
        <v>1</v>
      </c>
      <c r="L660" s="55" t="n">
        <v>2</v>
      </c>
      <c r="M660" s="73" t="n">
        <v>2.05</v>
      </c>
      <c r="N660" s="74" t="n">
        <f aca="false">K660*L660*M660</f>
        <v>4.1</v>
      </c>
      <c r="O660" s="41" t="n">
        <f aca="false">IFERROR(INDEX(Исходные!$B$21:$B$33,MATCH(H660,Исходные!$A$21:$A$33,0)),0)</f>
        <v>4.834</v>
      </c>
      <c r="P660" s="83" t="n">
        <f aca="false">N660*O660</f>
        <v>19.8194</v>
      </c>
      <c r="Q660" s="20" t="s">
        <v>1399</v>
      </c>
      <c r="R660" s="84" t="s">
        <v>660</v>
      </c>
      <c r="S660" s="20" t="s">
        <v>1369</v>
      </c>
      <c r="T660" s="20" t="s">
        <v>123</v>
      </c>
      <c r="U660" s="53" t="n">
        <v>0</v>
      </c>
      <c r="V660" s="76" t="s">
        <v>865</v>
      </c>
      <c r="W660" s="53" t="n">
        <v>2</v>
      </c>
    </row>
    <row r="661" customFormat="false" ht="35.05" hidden="false" customHeight="false" outlineLevel="0" collapsed="false">
      <c r="A661" s="76" t="n">
        <v>645</v>
      </c>
      <c r="B661" s="20" t="s">
        <v>1167</v>
      </c>
      <c r="C661" s="20" t="s">
        <v>655</v>
      </c>
      <c r="D661" s="20" t="s">
        <v>1397</v>
      </c>
      <c r="E661" s="20" t="s">
        <v>865</v>
      </c>
      <c r="F661" s="76" t="s">
        <v>676</v>
      </c>
      <c r="G661" s="20" t="s">
        <v>810</v>
      </c>
      <c r="H661" s="55" t="n">
        <v>28</v>
      </c>
      <c r="I661" s="76" t="s">
        <v>512</v>
      </c>
      <c r="J661" s="76" t="s">
        <v>164</v>
      </c>
      <c r="K661" s="82" t="n">
        <v>1</v>
      </c>
      <c r="L661" s="55" t="n">
        <v>2</v>
      </c>
      <c r="M661" s="73" t="n">
        <v>3.8</v>
      </c>
      <c r="N661" s="74" t="n">
        <f aca="false">K661*L661*M661</f>
        <v>7.6</v>
      </c>
      <c r="O661" s="41" t="n">
        <f aca="false">IFERROR(INDEX(Исходные!$B$21:$B$33,MATCH(H661,Исходные!$A$21:$A$33,0)),0)</f>
        <v>4.834</v>
      </c>
      <c r="P661" s="83" t="n">
        <f aca="false">N661*O661</f>
        <v>36.7384</v>
      </c>
      <c r="Q661" s="20" t="s">
        <v>1399</v>
      </c>
      <c r="R661" s="84" t="s">
        <v>660</v>
      </c>
      <c r="S661" s="20" t="s">
        <v>812</v>
      </c>
      <c r="T661" s="20" t="s">
        <v>123</v>
      </c>
      <c r="U661" s="53" t="n">
        <v>0</v>
      </c>
      <c r="V661" s="76" t="s">
        <v>865</v>
      </c>
      <c r="W661" s="53" t="n">
        <v>2</v>
      </c>
    </row>
    <row r="662" customFormat="false" ht="35.05" hidden="false" customHeight="false" outlineLevel="0" collapsed="false">
      <c r="A662" s="76" t="n">
        <v>646</v>
      </c>
      <c r="B662" s="20" t="s">
        <v>1167</v>
      </c>
      <c r="C662" s="20" t="s">
        <v>655</v>
      </c>
      <c r="D662" s="20" t="s">
        <v>1397</v>
      </c>
      <c r="E662" s="20" t="s">
        <v>865</v>
      </c>
      <c r="F662" s="76" t="s">
        <v>676</v>
      </c>
      <c r="G662" s="20" t="s">
        <v>868</v>
      </c>
      <c r="H662" s="55" t="n">
        <v>25</v>
      </c>
      <c r="I662" s="76" t="s">
        <v>512</v>
      </c>
      <c r="J662" s="76" t="s">
        <v>164</v>
      </c>
      <c r="K662" s="82" t="n">
        <v>1</v>
      </c>
      <c r="L662" s="55" t="n">
        <v>2</v>
      </c>
      <c r="M662" s="73" t="n">
        <v>3.8</v>
      </c>
      <c r="N662" s="74" t="n">
        <f aca="false">K662*L662*M662</f>
        <v>7.6</v>
      </c>
      <c r="O662" s="41" t="n">
        <f aca="false">IFERROR(INDEX(Исходные!$B$21:$B$33,MATCH(H662,Исходные!$A$21:$A$33,0)),0)</f>
        <v>3.853</v>
      </c>
      <c r="P662" s="83" t="n">
        <f aca="false">N662*O662</f>
        <v>29.2828</v>
      </c>
      <c r="Q662" s="20" t="s">
        <v>1400</v>
      </c>
      <c r="R662" s="84" t="s">
        <v>660</v>
      </c>
      <c r="S662" s="20" t="s">
        <v>812</v>
      </c>
      <c r="T662" s="20" t="s">
        <v>123</v>
      </c>
      <c r="U662" s="53" t="n">
        <v>0</v>
      </c>
      <c r="V662" s="76" t="s">
        <v>865</v>
      </c>
      <c r="W662" s="53" t="n">
        <v>2</v>
      </c>
    </row>
    <row r="663" customFormat="false" ht="35.05" hidden="false" customHeight="false" outlineLevel="0" collapsed="false">
      <c r="A663" s="76" t="n">
        <v>647</v>
      </c>
      <c r="B663" s="20" t="s">
        <v>1167</v>
      </c>
      <c r="C663" s="20" t="s">
        <v>655</v>
      </c>
      <c r="D663" s="20" t="s">
        <v>1397</v>
      </c>
      <c r="E663" s="20" t="s">
        <v>865</v>
      </c>
      <c r="F663" s="76" t="s">
        <v>676</v>
      </c>
      <c r="G663" s="20" t="s">
        <v>1401</v>
      </c>
      <c r="H663" s="55" t="n">
        <v>28</v>
      </c>
      <c r="I663" s="76" t="s">
        <v>512</v>
      </c>
      <c r="J663" s="76" t="s">
        <v>164</v>
      </c>
      <c r="K663" s="82" t="n">
        <v>1</v>
      </c>
      <c r="L663" s="55" t="n">
        <v>2</v>
      </c>
      <c r="M663" s="73" t="n">
        <v>3.8</v>
      </c>
      <c r="N663" s="74" t="n">
        <f aca="false">K663*L663*M663</f>
        <v>7.6</v>
      </c>
      <c r="O663" s="41" t="n">
        <f aca="false">IFERROR(INDEX(Исходные!$B$21:$B$33,MATCH(H663,Исходные!$A$21:$A$33,0)),0)</f>
        <v>4.834</v>
      </c>
      <c r="P663" s="83" t="n">
        <f aca="false">N663*O663</f>
        <v>36.7384</v>
      </c>
      <c r="Q663" s="20" t="s">
        <v>1399</v>
      </c>
      <c r="R663" s="84" t="s">
        <v>660</v>
      </c>
      <c r="S663" s="20" t="s">
        <v>815</v>
      </c>
      <c r="T663" s="20" t="s">
        <v>123</v>
      </c>
      <c r="U663" s="53" t="n">
        <v>0</v>
      </c>
      <c r="V663" s="76" t="s">
        <v>865</v>
      </c>
      <c r="W663" s="53" t="n">
        <v>2</v>
      </c>
    </row>
    <row r="664" customFormat="false" ht="35.05" hidden="false" customHeight="false" outlineLevel="0" collapsed="false">
      <c r="A664" s="76" t="n">
        <v>648</v>
      </c>
      <c r="B664" s="20" t="s">
        <v>1167</v>
      </c>
      <c r="C664" s="20" t="s">
        <v>655</v>
      </c>
      <c r="D664" s="20" t="s">
        <v>1397</v>
      </c>
      <c r="E664" s="20" t="s">
        <v>865</v>
      </c>
      <c r="F664" s="76" t="s">
        <v>676</v>
      </c>
      <c r="G664" s="20" t="s">
        <v>871</v>
      </c>
      <c r="H664" s="55" t="n">
        <v>25</v>
      </c>
      <c r="I664" s="76" t="s">
        <v>512</v>
      </c>
      <c r="J664" s="76" t="s">
        <v>164</v>
      </c>
      <c r="K664" s="82" t="n">
        <v>1</v>
      </c>
      <c r="L664" s="55" t="n">
        <v>2</v>
      </c>
      <c r="M664" s="73" t="n">
        <v>3.8</v>
      </c>
      <c r="N664" s="74" t="n">
        <f aca="false">K664*L664*M664</f>
        <v>7.6</v>
      </c>
      <c r="O664" s="41" t="n">
        <f aca="false">IFERROR(INDEX(Исходные!$B$21:$B$33,MATCH(H664,Исходные!$A$21:$A$33,0)),0)</f>
        <v>3.853</v>
      </c>
      <c r="P664" s="83" t="n">
        <f aca="false">N664*O664</f>
        <v>29.2828</v>
      </c>
      <c r="Q664" s="20" t="s">
        <v>1400</v>
      </c>
      <c r="R664" s="84" t="s">
        <v>660</v>
      </c>
      <c r="S664" s="20" t="s">
        <v>815</v>
      </c>
      <c r="T664" s="20" t="s">
        <v>123</v>
      </c>
      <c r="U664" s="53" t="n">
        <v>0</v>
      </c>
      <c r="V664" s="76" t="s">
        <v>865</v>
      </c>
      <c r="W664" s="53" t="n">
        <v>2</v>
      </c>
    </row>
    <row r="665" customFormat="false" ht="35.05" hidden="false" customHeight="false" outlineLevel="0" collapsed="false">
      <c r="A665" s="76" t="n">
        <v>649</v>
      </c>
      <c r="B665" s="20" t="s">
        <v>1167</v>
      </c>
      <c r="C665" s="20" t="s">
        <v>655</v>
      </c>
      <c r="D665" s="20" t="s">
        <v>1397</v>
      </c>
      <c r="E665" s="20" t="s">
        <v>865</v>
      </c>
      <c r="F665" s="76" t="s">
        <v>676</v>
      </c>
      <c r="G665" s="20" t="s">
        <v>872</v>
      </c>
      <c r="H665" s="55" t="n">
        <v>32</v>
      </c>
      <c r="I665" s="76" t="s">
        <v>512</v>
      </c>
      <c r="J665" s="76" t="s">
        <v>164</v>
      </c>
      <c r="K665" s="82" t="n">
        <v>1</v>
      </c>
      <c r="L665" s="55" t="n">
        <v>2</v>
      </c>
      <c r="M665" s="73" t="n">
        <v>2.05</v>
      </c>
      <c r="N665" s="74" t="n">
        <f aca="false">K665*L665*M665</f>
        <v>4.1</v>
      </c>
      <c r="O665" s="41" t="n">
        <f aca="false">IFERROR(INDEX(Исходные!$B$21:$B$33,MATCH(H665,Исходные!$A$21:$A$33,0)),0)</f>
        <v>6.313</v>
      </c>
      <c r="P665" s="83" t="n">
        <f aca="false">N665*O665</f>
        <v>25.8833</v>
      </c>
      <c r="Q665" s="20" t="s">
        <v>1402</v>
      </c>
      <c r="R665" s="84" t="s">
        <v>660</v>
      </c>
      <c r="S665" s="20" t="s">
        <v>1372</v>
      </c>
      <c r="T665" s="20" t="s">
        <v>123</v>
      </c>
      <c r="U665" s="53" t="n">
        <v>0</v>
      </c>
      <c r="V665" s="76" t="s">
        <v>865</v>
      </c>
      <c r="W665" s="53" t="n">
        <v>2</v>
      </c>
    </row>
    <row r="666" customFormat="false" ht="35.05" hidden="false" customHeight="false" outlineLevel="0" collapsed="false">
      <c r="A666" s="76" t="n">
        <v>650</v>
      </c>
      <c r="B666" s="20" t="s">
        <v>1167</v>
      </c>
      <c r="C666" s="20" t="s">
        <v>655</v>
      </c>
      <c r="D666" s="20" t="s">
        <v>1397</v>
      </c>
      <c r="E666" s="20" t="s">
        <v>865</v>
      </c>
      <c r="F666" s="76" t="s">
        <v>676</v>
      </c>
      <c r="G666" s="20" t="s">
        <v>729</v>
      </c>
      <c r="H666" s="55" t="n">
        <v>16</v>
      </c>
      <c r="I666" s="76" t="s">
        <v>512</v>
      </c>
      <c r="J666" s="76" t="s">
        <v>164</v>
      </c>
      <c r="K666" s="82" t="n">
        <v>1</v>
      </c>
      <c r="L666" s="55" t="n">
        <v>2</v>
      </c>
      <c r="M666" s="73" t="n">
        <v>2.9</v>
      </c>
      <c r="N666" s="74" t="n">
        <f aca="false">K666*L666*M666</f>
        <v>5.8</v>
      </c>
      <c r="O666" s="41" t="n">
        <f aca="false">IFERROR(INDEX(Исходные!$B$21:$B$33,MATCH(H666,Исходные!$A$21:$A$33,0)),0)</f>
        <v>1.578</v>
      </c>
      <c r="P666" s="83" t="n">
        <f aca="false">N666*O666</f>
        <v>9.1524</v>
      </c>
      <c r="Q666" s="20" t="s">
        <v>1403</v>
      </c>
      <c r="R666" s="84" t="s">
        <v>660</v>
      </c>
      <c r="S666" s="20" t="s">
        <v>875</v>
      </c>
      <c r="T666" s="20" t="s">
        <v>123</v>
      </c>
      <c r="U666" s="53" t="n">
        <v>0</v>
      </c>
      <c r="V666" s="76" t="s">
        <v>865</v>
      </c>
      <c r="W666" s="53" t="n">
        <v>2</v>
      </c>
    </row>
    <row r="667" customFormat="false" ht="35.05" hidden="false" customHeight="false" outlineLevel="0" collapsed="false">
      <c r="A667" s="76" t="n">
        <v>651</v>
      </c>
      <c r="B667" s="20" t="s">
        <v>1167</v>
      </c>
      <c r="C667" s="20" t="s">
        <v>655</v>
      </c>
      <c r="D667" s="20" t="s">
        <v>1397</v>
      </c>
      <c r="E667" s="20" t="s">
        <v>865</v>
      </c>
      <c r="F667" s="76" t="s">
        <v>676</v>
      </c>
      <c r="G667" s="20" t="s">
        <v>876</v>
      </c>
      <c r="H667" s="55" t="n">
        <v>28</v>
      </c>
      <c r="I667" s="76" t="s">
        <v>512</v>
      </c>
      <c r="J667" s="76" t="s">
        <v>164</v>
      </c>
      <c r="K667" s="82" t="n">
        <v>1</v>
      </c>
      <c r="L667" s="55" t="n">
        <v>2</v>
      </c>
      <c r="M667" s="73" t="n">
        <v>3</v>
      </c>
      <c r="N667" s="74" t="n">
        <f aca="false">K667*L667*M667</f>
        <v>6</v>
      </c>
      <c r="O667" s="41" t="n">
        <f aca="false">IFERROR(INDEX(Исходные!$B$21:$B$33,MATCH(H667,Исходные!$A$21:$A$33,0)),0)</f>
        <v>4.834</v>
      </c>
      <c r="P667" s="83" t="n">
        <f aca="false">N667*O667</f>
        <v>29.004</v>
      </c>
      <c r="Q667" s="20" t="s">
        <v>1399</v>
      </c>
      <c r="R667" s="84" t="s">
        <v>660</v>
      </c>
      <c r="S667" s="20" t="s">
        <v>822</v>
      </c>
      <c r="T667" s="20" t="s">
        <v>123</v>
      </c>
      <c r="U667" s="53" t="n">
        <v>0</v>
      </c>
      <c r="V667" s="76" t="s">
        <v>865</v>
      </c>
      <c r="W667" s="53" t="n">
        <v>2</v>
      </c>
    </row>
    <row r="668" customFormat="false" ht="35.05" hidden="false" customHeight="false" outlineLevel="0" collapsed="false">
      <c r="A668" s="76" t="n">
        <v>652</v>
      </c>
      <c r="B668" s="20" t="s">
        <v>1167</v>
      </c>
      <c r="C668" s="20" t="s">
        <v>655</v>
      </c>
      <c r="D668" s="20" t="s">
        <v>1397</v>
      </c>
      <c r="E668" s="20" t="s">
        <v>865</v>
      </c>
      <c r="F668" s="76" t="s">
        <v>676</v>
      </c>
      <c r="G668" s="20" t="s">
        <v>1404</v>
      </c>
      <c r="H668" s="55" t="n">
        <v>18</v>
      </c>
      <c r="I668" s="76" t="s">
        <v>512</v>
      </c>
      <c r="J668" s="76" t="s">
        <v>164</v>
      </c>
      <c r="K668" s="82" t="n">
        <v>1</v>
      </c>
      <c r="L668" s="55" t="n">
        <v>2</v>
      </c>
      <c r="M668" s="73" t="n">
        <v>4.95</v>
      </c>
      <c r="N668" s="74" t="n">
        <f aca="false">K668*L668*M668</f>
        <v>9.9</v>
      </c>
      <c r="O668" s="41" t="n">
        <f aca="false">IFERROR(INDEX(Исходные!$B$21:$B$33,MATCH(H668,Исходные!$A$21:$A$33,0)),0)</f>
        <v>1.998</v>
      </c>
      <c r="P668" s="83" t="n">
        <f aca="false">N668*O668</f>
        <v>19.7802</v>
      </c>
      <c r="Q668" s="20" t="s">
        <v>1405</v>
      </c>
      <c r="R668" s="84" t="s">
        <v>660</v>
      </c>
      <c r="S668" s="20" t="s">
        <v>1406</v>
      </c>
      <c r="T668" s="20" t="s">
        <v>123</v>
      </c>
      <c r="U668" s="53" t="n">
        <v>0</v>
      </c>
      <c r="V668" s="76" t="s">
        <v>865</v>
      </c>
      <c r="W668" s="53" t="n">
        <v>2</v>
      </c>
    </row>
    <row r="669" customFormat="false" ht="35.05" hidden="false" customHeight="false" outlineLevel="0" collapsed="false">
      <c r="A669" s="76" t="n">
        <v>653</v>
      </c>
      <c r="B669" s="20" t="s">
        <v>1167</v>
      </c>
      <c r="C669" s="20" t="s">
        <v>655</v>
      </c>
      <c r="D669" s="20" t="s">
        <v>1397</v>
      </c>
      <c r="E669" s="20" t="s">
        <v>865</v>
      </c>
      <c r="F669" s="76" t="s">
        <v>676</v>
      </c>
      <c r="G669" s="20" t="s">
        <v>879</v>
      </c>
      <c r="H669" s="55" t="n">
        <v>12</v>
      </c>
      <c r="I669" s="76" t="s">
        <v>512</v>
      </c>
      <c r="J669" s="76" t="s">
        <v>164</v>
      </c>
      <c r="K669" s="82" t="n">
        <v>1</v>
      </c>
      <c r="L669" s="55" t="n">
        <v>4</v>
      </c>
      <c r="M669" s="73" t="n">
        <v>3.8</v>
      </c>
      <c r="N669" s="74" t="n">
        <f aca="false">K669*L669*M669</f>
        <v>15.2</v>
      </c>
      <c r="O669" s="41" t="n">
        <f aca="false">IFERROR(INDEX(Исходные!$B$21:$B$33,MATCH(H669,Исходные!$A$21:$A$33,0)),0)</f>
        <v>0.888</v>
      </c>
      <c r="P669" s="83" t="n">
        <f aca="false">N669*O669</f>
        <v>13.4976</v>
      </c>
      <c r="Q669" s="20" t="s">
        <v>1407</v>
      </c>
      <c r="R669" s="84" t="s">
        <v>660</v>
      </c>
      <c r="S669" s="20" t="s">
        <v>812</v>
      </c>
      <c r="T669" s="20" t="s">
        <v>123</v>
      </c>
      <c r="U669" s="53" t="n">
        <v>0</v>
      </c>
      <c r="V669" s="76" t="s">
        <v>865</v>
      </c>
      <c r="W669" s="53" t="n">
        <v>2</v>
      </c>
    </row>
    <row r="670" customFormat="false" ht="35.05" hidden="false" customHeight="false" outlineLevel="0" collapsed="false">
      <c r="A670" s="76" t="n">
        <v>654</v>
      </c>
      <c r="B670" s="20" t="s">
        <v>1167</v>
      </c>
      <c r="C670" s="20" t="s">
        <v>655</v>
      </c>
      <c r="D670" s="20" t="s">
        <v>1397</v>
      </c>
      <c r="E670" s="20" t="s">
        <v>865</v>
      </c>
      <c r="F670" s="76" t="s">
        <v>676</v>
      </c>
      <c r="G670" s="20" t="s">
        <v>881</v>
      </c>
      <c r="H670" s="55" t="n">
        <v>12</v>
      </c>
      <c r="I670" s="76" t="s">
        <v>512</v>
      </c>
      <c r="J670" s="76" t="s">
        <v>164</v>
      </c>
      <c r="K670" s="82" t="n">
        <v>1</v>
      </c>
      <c r="L670" s="55" t="n">
        <v>4</v>
      </c>
      <c r="M670" s="73" t="n">
        <v>3.8</v>
      </c>
      <c r="N670" s="74" t="n">
        <f aca="false">K670*L670*M670</f>
        <v>15.2</v>
      </c>
      <c r="O670" s="41" t="n">
        <f aca="false">IFERROR(INDEX(Исходные!$B$21:$B$33,MATCH(H670,Исходные!$A$21:$A$33,0)),0)</f>
        <v>0.888</v>
      </c>
      <c r="P670" s="83" t="n">
        <f aca="false">N670*O670</f>
        <v>13.4976</v>
      </c>
      <c r="Q670" s="20" t="s">
        <v>1407</v>
      </c>
      <c r="R670" s="84" t="s">
        <v>660</v>
      </c>
      <c r="S670" s="20" t="s">
        <v>815</v>
      </c>
      <c r="T670" s="20" t="s">
        <v>123</v>
      </c>
      <c r="U670" s="53" t="n">
        <v>0</v>
      </c>
      <c r="V670" s="76" t="s">
        <v>865</v>
      </c>
      <c r="W670" s="53" t="n">
        <v>2</v>
      </c>
    </row>
    <row r="671" customFormat="false" ht="35.05" hidden="false" customHeight="false" outlineLevel="0" collapsed="false">
      <c r="A671" s="76" t="n">
        <v>655</v>
      </c>
      <c r="B671" s="20" t="s">
        <v>1167</v>
      </c>
      <c r="C671" s="20" t="s">
        <v>655</v>
      </c>
      <c r="D671" s="20" t="s">
        <v>1397</v>
      </c>
      <c r="E671" s="20" t="s">
        <v>865</v>
      </c>
      <c r="F671" s="76" t="s">
        <v>676</v>
      </c>
      <c r="G671" s="20" t="s">
        <v>882</v>
      </c>
      <c r="H671" s="55" t="n">
        <v>12</v>
      </c>
      <c r="I671" s="76" t="s">
        <v>512</v>
      </c>
      <c r="J671" s="76" t="s">
        <v>164</v>
      </c>
      <c r="K671" s="82" t="n">
        <v>1</v>
      </c>
      <c r="L671" s="55" t="n">
        <v>4</v>
      </c>
      <c r="M671" s="73" t="n">
        <v>2.05</v>
      </c>
      <c r="N671" s="74" t="n">
        <f aca="false">K671*L671*M671</f>
        <v>8.2</v>
      </c>
      <c r="O671" s="41" t="n">
        <f aca="false">IFERROR(INDEX(Исходные!$B$21:$B$33,MATCH(H671,Исходные!$A$21:$A$33,0)),0)</f>
        <v>0.888</v>
      </c>
      <c r="P671" s="83" t="n">
        <f aca="false">N671*O671</f>
        <v>7.2816</v>
      </c>
      <c r="Q671" s="20" t="s">
        <v>1407</v>
      </c>
      <c r="R671" s="84" t="s">
        <v>660</v>
      </c>
      <c r="S671" s="20" t="s">
        <v>1372</v>
      </c>
      <c r="T671" s="20" t="s">
        <v>123</v>
      </c>
      <c r="U671" s="53" t="n">
        <v>0</v>
      </c>
      <c r="V671" s="76" t="s">
        <v>865</v>
      </c>
      <c r="W671" s="53" t="n">
        <v>2</v>
      </c>
    </row>
    <row r="672" customFormat="false" ht="35.05" hidden="false" customHeight="false" outlineLevel="0" collapsed="false">
      <c r="A672" s="76" t="n">
        <v>656</v>
      </c>
      <c r="B672" s="20" t="s">
        <v>1167</v>
      </c>
      <c r="C672" s="20" t="s">
        <v>655</v>
      </c>
      <c r="D672" s="20" t="s">
        <v>1397</v>
      </c>
      <c r="E672" s="20" t="s">
        <v>865</v>
      </c>
      <c r="F672" s="76" t="s">
        <v>696</v>
      </c>
      <c r="G672" s="20" t="s">
        <v>1308</v>
      </c>
      <c r="H672" s="55" t="n">
        <v>8</v>
      </c>
      <c r="I672" s="76" t="s">
        <v>546</v>
      </c>
      <c r="J672" s="76" t="s">
        <v>698</v>
      </c>
      <c r="K672" s="82" t="n">
        <v>1</v>
      </c>
      <c r="L672" s="55" t="n">
        <v>52</v>
      </c>
      <c r="M672" s="73" t="n">
        <v>2.06</v>
      </c>
      <c r="N672" s="74" t="n">
        <f aca="false">K672*L672*M672</f>
        <v>107.12</v>
      </c>
      <c r="O672" s="41" t="n">
        <f aca="false">IFERROR(INDEX(Исходные!$B$21:$B$33,MATCH(H672,Исходные!$A$21:$A$33,0)),0)</f>
        <v>0.395</v>
      </c>
      <c r="P672" s="83" t="n">
        <f aca="false">N672*O672</f>
        <v>42.3124</v>
      </c>
      <c r="Q672" s="20" t="s">
        <v>1309</v>
      </c>
      <c r="R672" s="84" t="s">
        <v>514</v>
      </c>
      <c r="S672" s="20" t="s">
        <v>1375</v>
      </c>
      <c r="T672" s="20" t="s">
        <v>123</v>
      </c>
      <c r="U672" s="53" t="n">
        <v>0</v>
      </c>
      <c r="V672" s="76" t="s">
        <v>865</v>
      </c>
      <c r="W672" s="53" t="n">
        <v>2</v>
      </c>
    </row>
    <row r="673" customFormat="false" ht="35.05" hidden="false" customHeight="false" outlineLevel="0" collapsed="false">
      <c r="A673" s="76" t="n">
        <v>657</v>
      </c>
      <c r="B673" s="20" t="s">
        <v>1167</v>
      </c>
      <c r="C673" s="20" t="s">
        <v>655</v>
      </c>
      <c r="D673" s="20" t="s">
        <v>1397</v>
      </c>
      <c r="E673" s="20" t="s">
        <v>865</v>
      </c>
      <c r="F673" s="76" t="s">
        <v>561</v>
      </c>
      <c r="G673" s="20" t="s">
        <v>1311</v>
      </c>
      <c r="H673" s="55" t="n">
        <v>10</v>
      </c>
      <c r="I673" s="76" t="s">
        <v>546</v>
      </c>
      <c r="J673" s="76" t="n">
        <v>100</v>
      </c>
      <c r="K673" s="82" t="n">
        <v>1</v>
      </c>
      <c r="L673" s="55" t="n">
        <v>106</v>
      </c>
      <c r="M673" s="73" t="n">
        <v>2.06</v>
      </c>
      <c r="N673" s="74" t="n">
        <f aca="false">K673*L673*M673</f>
        <v>218.36</v>
      </c>
      <c r="O673" s="41" t="n">
        <f aca="false">IFERROR(INDEX(Исходные!$B$21:$B$33,MATCH(H673,Исходные!$A$21:$A$33,0)),0)</f>
        <v>0.617</v>
      </c>
      <c r="P673" s="83" t="n">
        <f aca="false">N673*O673</f>
        <v>134.72812</v>
      </c>
      <c r="Q673" s="20" t="s">
        <v>1408</v>
      </c>
      <c r="R673" s="84" t="s">
        <v>514</v>
      </c>
      <c r="S673" s="20" t="s">
        <v>1409</v>
      </c>
      <c r="T673" s="20" t="s">
        <v>123</v>
      </c>
      <c r="U673" s="53" t="n">
        <v>0</v>
      </c>
      <c r="V673" s="76" t="s">
        <v>865</v>
      </c>
      <c r="W673" s="53" t="n">
        <v>2</v>
      </c>
    </row>
    <row r="674" customFormat="false" ht="35.05" hidden="false" customHeight="false" outlineLevel="0" collapsed="false">
      <c r="A674" s="76" t="n">
        <v>658</v>
      </c>
      <c r="B674" s="20" t="s">
        <v>1167</v>
      </c>
      <c r="C674" s="20" t="s">
        <v>655</v>
      </c>
      <c r="D674" s="20" t="s">
        <v>1397</v>
      </c>
      <c r="E674" s="20" t="s">
        <v>865</v>
      </c>
      <c r="F674" s="76" t="s">
        <v>603</v>
      </c>
      <c r="G674" s="20" t="s">
        <v>704</v>
      </c>
      <c r="H674" s="55" t="n">
        <v>10</v>
      </c>
      <c r="I674" s="76" t="s">
        <v>546</v>
      </c>
      <c r="J674" s="76" t="n">
        <v>100</v>
      </c>
      <c r="K674" s="82" t="n">
        <v>1</v>
      </c>
      <c r="L674" s="55" t="n">
        <v>51</v>
      </c>
      <c r="M674" s="73" t="n">
        <v>1.6</v>
      </c>
      <c r="N674" s="74" t="n">
        <f aca="false">K674*L674*M674</f>
        <v>81.6</v>
      </c>
      <c r="O674" s="41" t="n">
        <f aca="false">IFERROR(INDEX(Исходные!$B$21:$B$33,MATCH(H674,Исходные!$A$21:$A$33,0)),0)</f>
        <v>0.617</v>
      </c>
      <c r="P674" s="83" t="n">
        <f aca="false">N674*O674</f>
        <v>50.3472</v>
      </c>
      <c r="Q674" s="20" t="s">
        <v>885</v>
      </c>
      <c r="R674" s="84" t="s">
        <v>514</v>
      </c>
      <c r="S674" s="20"/>
      <c r="T674" s="20" t="s">
        <v>123</v>
      </c>
      <c r="U674" s="53" t="n">
        <v>0</v>
      </c>
      <c r="V674" s="76" t="s">
        <v>865</v>
      </c>
      <c r="W674" s="53" t="n">
        <v>2</v>
      </c>
    </row>
    <row r="675" customFormat="false" ht="35.05" hidden="false" customHeight="false" outlineLevel="0" collapsed="false">
      <c r="A675" s="76" t="n">
        <v>659</v>
      </c>
      <c r="B675" s="20" t="s">
        <v>1167</v>
      </c>
      <c r="C675" s="20" t="s">
        <v>655</v>
      </c>
      <c r="D675" s="20" t="s">
        <v>1397</v>
      </c>
      <c r="E675" s="20" t="s">
        <v>865</v>
      </c>
      <c r="F675" s="76" t="s">
        <v>706</v>
      </c>
      <c r="G675" s="20" t="s">
        <v>1314</v>
      </c>
      <c r="H675" s="55" t="n">
        <v>8</v>
      </c>
      <c r="I675" s="76" t="s">
        <v>546</v>
      </c>
      <c r="J675" s="76" t="s">
        <v>708</v>
      </c>
      <c r="K675" s="82" t="n">
        <v>1</v>
      </c>
      <c r="L675" s="55" t="n">
        <v>72</v>
      </c>
      <c r="M675" s="73" t="n">
        <v>0.75</v>
      </c>
      <c r="N675" s="74" t="n">
        <f aca="false">K675*L675*M675</f>
        <v>54</v>
      </c>
      <c r="O675" s="41" t="n">
        <f aca="false">IFERROR(INDEX(Исходные!$B$21:$B$33,MATCH(H675,Исходные!$A$21:$A$33,0)),0)</f>
        <v>0.395</v>
      </c>
      <c r="P675" s="83" t="n">
        <f aca="false">N675*O675</f>
        <v>21.33</v>
      </c>
      <c r="Q675" s="20" t="s">
        <v>709</v>
      </c>
      <c r="R675" s="84" t="s">
        <v>514</v>
      </c>
      <c r="S675" s="20"/>
      <c r="T675" s="20" t="s">
        <v>123</v>
      </c>
      <c r="U675" s="53" t="n">
        <v>0</v>
      </c>
      <c r="V675" s="76" t="s">
        <v>865</v>
      </c>
      <c r="W675" s="53" t="n">
        <v>2</v>
      </c>
    </row>
    <row r="676" customFormat="false" ht="35.05" hidden="false" customHeight="false" outlineLevel="0" collapsed="false">
      <c r="A676" s="76" t="n">
        <v>660</v>
      </c>
      <c r="B676" s="20" t="s">
        <v>1167</v>
      </c>
      <c r="C676" s="20" t="s">
        <v>655</v>
      </c>
      <c r="D676" s="20" t="s">
        <v>1397</v>
      </c>
      <c r="E676" s="20" t="s">
        <v>865</v>
      </c>
      <c r="F676" s="76" t="s">
        <v>710</v>
      </c>
      <c r="G676" s="20" t="s">
        <v>1315</v>
      </c>
      <c r="H676" s="55" t="n">
        <v>8</v>
      </c>
      <c r="I676" s="76" t="s">
        <v>546</v>
      </c>
      <c r="J676" s="76" t="n">
        <v>300</v>
      </c>
      <c r="K676" s="82" t="n">
        <v>1</v>
      </c>
      <c r="L676" s="55" t="n">
        <v>62</v>
      </c>
      <c r="M676" s="73" t="n">
        <v>0.58</v>
      </c>
      <c r="N676" s="74" t="n">
        <f aca="false">K676*L676*M676</f>
        <v>35.96</v>
      </c>
      <c r="O676" s="41" t="n">
        <f aca="false">IFERROR(INDEX(Исходные!$B$21:$B$33,MATCH(H676,Исходные!$A$21:$A$33,0)),0)</f>
        <v>0.395</v>
      </c>
      <c r="P676" s="83" t="n">
        <f aca="false">N676*O676</f>
        <v>14.2042</v>
      </c>
      <c r="Q676" s="20" t="s">
        <v>1316</v>
      </c>
      <c r="R676" s="85" t="s">
        <v>638</v>
      </c>
      <c r="S676" s="20"/>
      <c r="T676" s="20" t="s">
        <v>123</v>
      </c>
      <c r="U676" s="53" t="n">
        <v>1</v>
      </c>
      <c r="V676" s="76" t="s">
        <v>865</v>
      </c>
      <c r="W676" s="53" t="n">
        <v>2</v>
      </c>
    </row>
    <row r="677" customFormat="false" ht="35.05" hidden="false" customHeight="false" outlineLevel="0" collapsed="false">
      <c r="A677" s="76" t="n">
        <v>661</v>
      </c>
      <c r="B677" s="20" t="s">
        <v>1167</v>
      </c>
      <c r="C677" s="20" t="s">
        <v>655</v>
      </c>
      <c r="D677" s="20" t="s">
        <v>1410</v>
      </c>
      <c r="E677" s="20" t="s">
        <v>887</v>
      </c>
      <c r="F677" s="76" t="s">
        <v>519</v>
      </c>
      <c r="G677" s="20" t="s">
        <v>658</v>
      </c>
      <c r="H677" s="55" t="n">
        <v>28</v>
      </c>
      <c r="I677" s="76" t="s">
        <v>512</v>
      </c>
      <c r="J677" s="76" t="s">
        <v>164</v>
      </c>
      <c r="K677" s="82" t="n">
        <v>1</v>
      </c>
      <c r="L677" s="55" t="n">
        <v>4</v>
      </c>
      <c r="M677" s="73" t="n">
        <v>20.5</v>
      </c>
      <c r="N677" s="74" t="n">
        <f aca="false">K677*L677*M677</f>
        <v>82</v>
      </c>
      <c r="O677" s="41" t="n">
        <f aca="false">IFERROR(INDEX(Исходные!$B$21:$B$33,MATCH(H677,Исходные!$A$21:$A$33,0)),0)</f>
        <v>4.834</v>
      </c>
      <c r="P677" s="83" t="n">
        <f aca="false">N677*O677</f>
        <v>396.388</v>
      </c>
      <c r="Q677" s="20" t="s">
        <v>1411</v>
      </c>
      <c r="R677" s="84" t="s">
        <v>660</v>
      </c>
      <c r="S677" s="20" t="s">
        <v>832</v>
      </c>
      <c r="T677" s="20" t="s">
        <v>123</v>
      </c>
      <c r="U677" s="53" t="n">
        <v>0</v>
      </c>
      <c r="V677" s="76" t="s">
        <v>887</v>
      </c>
      <c r="W677" s="53" t="n">
        <v>2</v>
      </c>
    </row>
    <row r="678" customFormat="false" ht="35.05" hidden="false" customHeight="false" outlineLevel="0" collapsed="false">
      <c r="A678" s="76" t="n">
        <v>662</v>
      </c>
      <c r="B678" s="20" t="s">
        <v>1167</v>
      </c>
      <c r="C678" s="20" t="s">
        <v>655</v>
      </c>
      <c r="D678" s="20" t="s">
        <v>1410</v>
      </c>
      <c r="E678" s="20" t="s">
        <v>887</v>
      </c>
      <c r="F678" s="76" t="s">
        <v>529</v>
      </c>
      <c r="G678" s="20" t="s">
        <v>662</v>
      </c>
      <c r="H678" s="55" t="n">
        <v>18</v>
      </c>
      <c r="I678" s="76" t="s">
        <v>512</v>
      </c>
      <c r="J678" s="76" t="s">
        <v>164</v>
      </c>
      <c r="K678" s="82" t="n">
        <v>1</v>
      </c>
      <c r="L678" s="55" t="n">
        <v>2</v>
      </c>
      <c r="M678" s="73" t="n">
        <v>20.5</v>
      </c>
      <c r="N678" s="74" t="n">
        <f aca="false">K678*L678*M678</f>
        <v>41</v>
      </c>
      <c r="O678" s="41" t="n">
        <f aca="false">IFERROR(INDEX(Исходные!$B$21:$B$33,MATCH(H678,Исходные!$A$21:$A$33,0)),0)</f>
        <v>1.998</v>
      </c>
      <c r="P678" s="83" t="n">
        <f aca="false">N678*O678</f>
        <v>81.918</v>
      </c>
      <c r="Q678" s="20" t="s">
        <v>663</v>
      </c>
      <c r="R678" s="84" t="s">
        <v>660</v>
      </c>
      <c r="S678" s="20"/>
      <c r="T678" s="20" t="s">
        <v>123</v>
      </c>
      <c r="U678" s="53" t="n">
        <v>0</v>
      </c>
      <c r="V678" s="76" t="s">
        <v>887</v>
      </c>
      <c r="W678" s="53" t="n">
        <v>2</v>
      </c>
    </row>
    <row r="679" customFormat="false" ht="35.05" hidden="false" customHeight="false" outlineLevel="0" collapsed="false">
      <c r="A679" s="76" t="n">
        <v>663</v>
      </c>
      <c r="B679" s="20" t="s">
        <v>1167</v>
      </c>
      <c r="C679" s="20" t="s">
        <v>655</v>
      </c>
      <c r="D679" s="20" t="s">
        <v>1410</v>
      </c>
      <c r="E679" s="20" t="s">
        <v>887</v>
      </c>
      <c r="F679" s="76" t="s">
        <v>664</v>
      </c>
      <c r="G679" s="20" t="s">
        <v>833</v>
      </c>
      <c r="H679" s="55" t="n">
        <v>18</v>
      </c>
      <c r="I679" s="76" t="s">
        <v>512</v>
      </c>
      <c r="J679" s="76" t="s">
        <v>164</v>
      </c>
      <c r="K679" s="82" t="n">
        <v>2</v>
      </c>
      <c r="L679" s="55" t="n">
        <v>1</v>
      </c>
      <c r="M679" s="73" t="n">
        <v>0.144</v>
      </c>
      <c r="N679" s="74" t="n">
        <f aca="false">K679*L679*M679</f>
        <v>0.288</v>
      </c>
      <c r="O679" s="41" t="n">
        <f aca="false">IFERROR(INDEX(Исходные!$B$21:$B$33,MATCH(H679,Исходные!$A$21:$A$33,0)),0)</f>
        <v>1.998</v>
      </c>
      <c r="P679" s="83" t="n">
        <f aca="false">N679*O679</f>
        <v>0.575424</v>
      </c>
      <c r="Q679" s="20" t="s">
        <v>666</v>
      </c>
      <c r="R679" s="84" t="s">
        <v>667</v>
      </c>
      <c r="S679" s="20" t="s">
        <v>805</v>
      </c>
      <c r="T679" s="20" t="s">
        <v>123</v>
      </c>
      <c r="U679" s="53" t="n">
        <v>0</v>
      </c>
      <c r="V679" s="76" t="s">
        <v>887</v>
      </c>
      <c r="W679" s="53" t="n">
        <v>2</v>
      </c>
    </row>
    <row r="680" customFormat="false" ht="35.05" hidden="false" customHeight="false" outlineLevel="0" collapsed="false">
      <c r="A680" s="76" t="n">
        <v>664</v>
      </c>
      <c r="B680" s="20" t="s">
        <v>1167</v>
      </c>
      <c r="C680" s="20" t="s">
        <v>655</v>
      </c>
      <c r="D680" s="20" t="s">
        <v>1410</v>
      </c>
      <c r="E680" s="20" t="s">
        <v>887</v>
      </c>
      <c r="F680" s="76" t="s">
        <v>669</v>
      </c>
      <c r="G680" s="20" t="s">
        <v>670</v>
      </c>
      <c r="H680" s="55" t="n">
        <v>16</v>
      </c>
      <c r="I680" s="76" t="s">
        <v>512</v>
      </c>
      <c r="J680" s="76" t="s">
        <v>164</v>
      </c>
      <c r="K680" s="82" t="n">
        <v>1</v>
      </c>
      <c r="L680" s="55" t="n">
        <v>2</v>
      </c>
      <c r="M680" s="73" t="n">
        <v>20.5</v>
      </c>
      <c r="N680" s="74" t="n">
        <f aca="false">K680*L680*M680</f>
        <v>41</v>
      </c>
      <c r="O680" s="41" t="n">
        <f aca="false">IFERROR(INDEX(Исходные!$B$21:$B$33,MATCH(H680,Исходные!$A$21:$A$33,0)),0)</f>
        <v>1.578</v>
      </c>
      <c r="P680" s="83" t="n">
        <f aca="false">N680*O680</f>
        <v>64.698</v>
      </c>
      <c r="Q680" s="20" t="s">
        <v>671</v>
      </c>
      <c r="R680" s="84" t="s">
        <v>660</v>
      </c>
      <c r="S680" s="20"/>
      <c r="T680" s="20" t="s">
        <v>123</v>
      </c>
      <c r="U680" s="53" t="n">
        <v>0</v>
      </c>
      <c r="V680" s="76" t="s">
        <v>887</v>
      </c>
      <c r="W680" s="53" t="n">
        <v>2</v>
      </c>
    </row>
    <row r="681" customFormat="false" ht="35.05" hidden="false" customHeight="false" outlineLevel="0" collapsed="false">
      <c r="A681" s="76" t="n">
        <v>665</v>
      </c>
      <c r="B681" s="20" t="s">
        <v>1167</v>
      </c>
      <c r="C681" s="20" t="s">
        <v>655</v>
      </c>
      <c r="D681" s="20" t="s">
        <v>1410</v>
      </c>
      <c r="E681" s="20" t="s">
        <v>887</v>
      </c>
      <c r="F681" s="76" t="s">
        <v>672</v>
      </c>
      <c r="G681" s="20" t="s">
        <v>834</v>
      </c>
      <c r="H681" s="55" t="n">
        <v>16</v>
      </c>
      <c r="I681" s="76" t="s">
        <v>512</v>
      </c>
      <c r="J681" s="76" t="s">
        <v>164</v>
      </c>
      <c r="K681" s="82" t="n">
        <v>2</v>
      </c>
      <c r="L681" s="55" t="n">
        <v>1</v>
      </c>
      <c r="M681" s="73" t="n">
        <v>0.128</v>
      </c>
      <c r="N681" s="74" t="n">
        <f aca="false">K681*L681*M681</f>
        <v>0.256</v>
      </c>
      <c r="O681" s="41" t="n">
        <f aca="false">IFERROR(INDEX(Исходные!$B$21:$B$33,MATCH(H681,Исходные!$A$21:$A$33,0)),0)</f>
        <v>1.578</v>
      </c>
      <c r="P681" s="83" t="n">
        <f aca="false">N681*O681</f>
        <v>0.403968</v>
      </c>
      <c r="Q681" s="20" t="s">
        <v>674</v>
      </c>
      <c r="R681" s="84" t="s">
        <v>667</v>
      </c>
      <c r="S681" s="20" t="s">
        <v>807</v>
      </c>
      <c r="T681" s="20" t="s">
        <v>123</v>
      </c>
      <c r="U681" s="53" t="n">
        <v>0</v>
      </c>
      <c r="V681" s="76" t="s">
        <v>887</v>
      </c>
      <c r="W681" s="53" t="n">
        <v>2</v>
      </c>
    </row>
    <row r="682" customFormat="false" ht="35.05" hidden="false" customHeight="false" outlineLevel="0" collapsed="false">
      <c r="A682" s="76" t="n">
        <v>666</v>
      </c>
      <c r="B682" s="20" t="s">
        <v>1167</v>
      </c>
      <c r="C682" s="20" t="s">
        <v>655</v>
      </c>
      <c r="D682" s="20" t="s">
        <v>1410</v>
      </c>
      <c r="E682" s="20" t="s">
        <v>887</v>
      </c>
      <c r="F682" s="76" t="s">
        <v>676</v>
      </c>
      <c r="G682" s="20" t="s">
        <v>1412</v>
      </c>
      <c r="H682" s="55" t="n">
        <v>25</v>
      </c>
      <c r="I682" s="76" t="s">
        <v>512</v>
      </c>
      <c r="J682" s="76" t="s">
        <v>164</v>
      </c>
      <c r="K682" s="82" t="n">
        <v>1</v>
      </c>
      <c r="L682" s="55" t="n">
        <v>2</v>
      </c>
      <c r="M682" s="73" t="n">
        <v>2.4</v>
      </c>
      <c r="N682" s="74" t="n">
        <f aca="false">K682*L682*M682</f>
        <v>4.8</v>
      </c>
      <c r="O682" s="41" t="n">
        <f aca="false">IFERROR(INDEX(Исходные!$B$21:$B$33,MATCH(H682,Исходные!$A$21:$A$33,0)),0)</f>
        <v>3.853</v>
      </c>
      <c r="P682" s="83" t="n">
        <f aca="false">N682*O682</f>
        <v>18.4944</v>
      </c>
      <c r="Q682" s="20" t="s">
        <v>1413</v>
      </c>
      <c r="R682" s="84" t="s">
        <v>660</v>
      </c>
      <c r="S682" s="20" t="s">
        <v>837</v>
      </c>
      <c r="T682" s="20" t="s">
        <v>123</v>
      </c>
      <c r="U682" s="53" t="n">
        <v>0</v>
      </c>
      <c r="V682" s="76" t="s">
        <v>887</v>
      </c>
      <c r="W682" s="53" t="n">
        <v>2</v>
      </c>
    </row>
    <row r="683" customFormat="false" ht="35.05" hidden="false" customHeight="false" outlineLevel="0" collapsed="false">
      <c r="A683" s="76" t="n">
        <v>667</v>
      </c>
      <c r="B683" s="20" t="s">
        <v>1167</v>
      </c>
      <c r="C683" s="20" t="s">
        <v>655</v>
      </c>
      <c r="D683" s="20" t="s">
        <v>1410</v>
      </c>
      <c r="E683" s="20" t="s">
        <v>887</v>
      </c>
      <c r="F683" s="76" t="s">
        <v>676</v>
      </c>
      <c r="G683" s="20" t="s">
        <v>1414</v>
      </c>
      <c r="H683" s="55" t="n">
        <v>25</v>
      </c>
      <c r="I683" s="76" t="s">
        <v>512</v>
      </c>
      <c r="J683" s="76" t="s">
        <v>164</v>
      </c>
      <c r="K683" s="82" t="n">
        <v>1</v>
      </c>
      <c r="L683" s="55" t="n">
        <v>2</v>
      </c>
      <c r="M683" s="73" t="n">
        <v>2.4</v>
      </c>
      <c r="N683" s="74" t="n">
        <f aca="false">K683*L683*M683</f>
        <v>4.8</v>
      </c>
      <c r="O683" s="41" t="n">
        <f aca="false">IFERROR(INDEX(Исходные!$B$21:$B$33,MATCH(H683,Исходные!$A$21:$A$33,0)),0)</f>
        <v>3.853</v>
      </c>
      <c r="P683" s="83" t="n">
        <f aca="false">N683*O683</f>
        <v>18.4944</v>
      </c>
      <c r="Q683" s="20" t="s">
        <v>1413</v>
      </c>
      <c r="R683" s="84" t="s">
        <v>660</v>
      </c>
      <c r="S683" s="20" t="s">
        <v>837</v>
      </c>
      <c r="T683" s="20" t="s">
        <v>123</v>
      </c>
      <c r="U683" s="53" t="n">
        <v>0</v>
      </c>
      <c r="V683" s="76" t="s">
        <v>887</v>
      </c>
      <c r="W683" s="53" t="n">
        <v>2</v>
      </c>
    </row>
    <row r="684" customFormat="false" ht="35.05" hidden="false" customHeight="false" outlineLevel="0" collapsed="false">
      <c r="A684" s="76" t="n">
        <v>668</v>
      </c>
      <c r="B684" s="20" t="s">
        <v>1167</v>
      </c>
      <c r="C684" s="20" t="s">
        <v>655</v>
      </c>
      <c r="D684" s="20" t="s">
        <v>1410</v>
      </c>
      <c r="E684" s="20" t="s">
        <v>887</v>
      </c>
      <c r="F684" s="76" t="s">
        <v>676</v>
      </c>
      <c r="G684" s="20" t="s">
        <v>891</v>
      </c>
      <c r="H684" s="55" t="n">
        <v>32</v>
      </c>
      <c r="I684" s="76" t="s">
        <v>512</v>
      </c>
      <c r="J684" s="76" t="s">
        <v>164</v>
      </c>
      <c r="K684" s="82" t="n">
        <v>1</v>
      </c>
      <c r="L684" s="55" t="n">
        <v>2</v>
      </c>
      <c r="M684" s="73" t="n">
        <v>3.4</v>
      </c>
      <c r="N684" s="74" t="n">
        <f aca="false">K684*L684*M684</f>
        <v>6.8</v>
      </c>
      <c r="O684" s="41" t="n">
        <f aca="false">IFERROR(INDEX(Исходные!$B$21:$B$33,MATCH(H684,Исходные!$A$21:$A$33,0)),0)</f>
        <v>6.313</v>
      </c>
      <c r="P684" s="83" t="n">
        <f aca="false">N684*O684</f>
        <v>42.9284</v>
      </c>
      <c r="Q684" s="20" t="s">
        <v>1415</v>
      </c>
      <c r="R684" s="84" t="s">
        <v>660</v>
      </c>
      <c r="S684" s="20" t="s">
        <v>892</v>
      </c>
      <c r="T684" s="20" t="s">
        <v>123</v>
      </c>
      <c r="U684" s="53" t="n">
        <v>0</v>
      </c>
      <c r="V684" s="76" t="s">
        <v>887</v>
      </c>
      <c r="W684" s="53" t="n">
        <v>2</v>
      </c>
    </row>
    <row r="685" customFormat="false" ht="35.05" hidden="false" customHeight="false" outlineLevel="0" collapsed="false">
      <c r="A685" s="76" t="n">
        <v>669</v>
      </c>
      <c r="B685" s="20" t="s">
        <v>1167</v>
      </c>
      <c r="C685" s="20" t="s">
        <v>655</v>
      </c>
      <c r="D685" s="20" t="s">
        <v>1410</v>
      </c>
      <c r="E685" s="20" t="s">
        <v>887</v>
      </c>
      <c r="F685" s="76" t="s">
        <v>676</v>
      </c>
      <c r="G685" s="20" t="s">
        <v>844</v>
      </c>
      <c r="H685" s="55" t="n">
        <v>32</v>
      </c>
      <c r="I685" s="76" t="s">
        <v>512</v>
      </c>
      <c r="J685" s="76" t="s">
        <v>164</v>
      </c>
      <c r="K685" s="82" t="n">
        <v>1</v>
      </c>
      <c r="L685" s="55" t="n">
        <v>2</v>
      </c>
      <c r="M685" s="73" t="n">
        <v>3.6</v>
      </c>
      <c r="N685" s="74" t="n">
        <f aca="false">K685*L685*M685</f>
        <v>7.2</v>
      </c>
      <c r="O685" s="41" t="n">
        <f aca="false">IFERROR(INDEX(Исходные!$B$21:$B$33,MATCH(H685,Исходные!$A$21:$A$33,0)),0)</f>
        <v>6.313</v>
      </c>
      <c r="P685" s="83" t="n">
        <f aca="false">N685*O685</f>
        <v>45.4536</v>
      </c>
      <c r="Q685" s="20" t="s">
        <v>1415</v>
      </c>
      <c r="R685" s="84" t="s">
        <v>660</v>
      </c>
      <c r="S685" s="20" t="s">
        <v>845</v>
      </c>
      <c r="T685" s="20" t="s">
        <v>123</v>
      </c>
      <c r="U685" s="53" t="n">
        <v>0</v>
      </c>
      <c r="V685" s="76" t="s">
        <v>887</v>
      </c>
      <c r="W685" s="53" t="n">
        <v>2</v>
      </c>
    </row>
    <row r="686" customFormat="false" ht="35.05" hidden="false" customHeight="false" outlineLevel="0" collapsed="false">
      <c r="A686" s="76" t="n">
        <v>670</v>
      </c>
      <c r="B686" s="20" t="s">
        <v>1167</v>
      </c>
      <c r="C686" s="20" t="s">
        <v>655</v>
      </c>
      <c r="D686" s="20" t="s">
        <v>1410</v>
      </c>
      <c r="E686" s="20" t="s">
        <v>887</v>
      </c>
      <c r="F686" s="76" t="s">
        <v>676</v>
      </c>
      <c r="G686" s="20" t="s">
        <v>846</v>
      </c>
      <c r="H686" s="55" t="n">
        <v>32</v>
      </c>
      <c r="I686" s="76" t="s">
        <v>512</v>
      </c>
      <c r="J686" s="76" t="s">
        <v>164</v>
      </c>
      <c r="K686" s="82" t="n">
        <v>1</v>
      </c>
      <c r="L686" s="55" t="n">
        <v>2</v>
      </c>
      <c r="M686" s="73" t="n">
        <v>2.85</v>
      </c>
      <c r="N686" s="74" t="n">
        <f aca="false">K686*L686*M686</f>
        <v>5.7</v>
      </c>
      <c r="O686" s="41" t="n">
        <f aca="false">IFERROR(INDEX(Исходные!$B$21:$B$33,MATCH(H686,Исходные!$A$21:$A$33,0)),0)</f>
        <v>6.313</v>
      </c>
      <c r="P686" s="83" t="n">
        <f aca="false">N686*O686</f>
        <v>35.9841</v>
      </c>
      <c r="Q686" s="20" t="s">
        <v>1415</v>
      </c>
      <c r="R686" s="84" t="s">
        <v>660</v>
      </c>
      <c r="S686" s="20" t="s">
        <v>1381</v>
      </c>
      <c r="T686" s="20" t="s">
        <v>123</v>
      </c>
      <c r="U686" s="53" t="n">
        <v>0</v>
      </c>
      <c r="V686" s="76" t="s">
        <v>887</v>
      </c>
      <c r="W686" s="53" t="n">
        <v>2</v>
      </c>
    </row>
    <row r="687" customFormat="false" ht="35.05" hidden="false" customHeight="false" outlineLevel="0" collapsed="false">
      <c r="A687" s="76" t="n">
        <v>671</v>
      </c>
      <c r="B687" s="20" t="s">
        <v>1167</v>
      </c>
      <c r="C687" s="20" t="s">
        <v>655</v>
      </c>
      <c r="D687" s="20" t="s">
        <v>1410</v>
      </c>
      <c r="E687" s="20" t="s">
        <v>887</v>
      </c>
      <c r="F687" s="76" t="s">
        <v>676</v>
      </c>
      <c r="G687" s="20" t="s">
        <v>1416</v>
      </c>
      <c r="H687" s="55" t="n">
        <v>28</v>
      </c>
      <c r="I687" s="76" t="s">
        <v>512</v>
      </c>
      <c r="J687" s="76" t="s">
        <v>164</v>
      </c>
      <c r="K687" s="82" t="n">
        <v>1</v>
      </c>
      <c r="L687" s="55" t="n">
        <v>2</v>
      </c>
      <c r="M687" s="73" t="n">
        <v>6.2</v>
      </c>
      <c r="N687" s="74" t="n">
        <f aca="false">K687*L687*M687</f>
        <v>12.4</v>
      </c>
      <c r="O687" s="41" t="n">
        <f aca="false">IFERROR(INDEX(Исходные!$B$21:$B$33,MATCH(H687,Исходные!$A$21:$A$33,0)),0)</f>
        <v>4.834</v>
      </c>
      <c r="P687" s="83" t="n">
        <f aca="false">N687*O687</f>
        <v>59.9416</v>
      </c>
      <c r="Q687" s="20" t="s">
        <v>1417</v>
      </c>
      <c r="R687" s="84" t="s">
        <v>660</v>
      </c>
      <c r="S687" s="20" t="s">
        <v>897</v>
      </c>
      <c r="T687" s="20" t="s">
        <v>123</v>
      </c>
      <c r="U687" s="53" t="n">
        <v>0</v>
      </c>
      <c r="V687" s="76" t="s">
        <v>887</v>
      </c>
      <c r="W687" s="53" t="n">
        <v>2</v>
      </c>
    </row>
    <row r="688" customFormat="false" ht="35.05" hidden="false" customHeight="false" outlineLevel="0" collapsed="false">
      <c r="A688" s="76" t="n">
        <v>672</v>
      </c>
      <c r="B688" s="20" t="s">
        <v>1167</v>
      </c>
      <c r="C688" s="20" t="s">
        <v>655</v>
      </c>
      <c r="D688" s="20" t="s">
        <v>1410</v>
      </c>
      <c r="E688" s="20" t="s">
        <v>887</v>
      </c>
      <c r="F688" s="76" t="s">
        <v>676</v>
      </c>
      <c r="G688" s="20" t="s">
        <v>898</v>
      </c>
      <c r="H688" s="55" t="n">
        <v>20</v>
      </c>
      <c r="I688" s="76" t="s">
        <v>512</v>
      </c>
      <c r="J688" s="76" t="s">
        <v>164</v>
      </c>
      <c r="K688" s="82" t="n">
        <v>1</v>
      </c>
      <c r="L688" s="55" t="n">
        <v>2</v>
      </c>
      <c r="M688" s="73" t="n">
        <v>3</v>
      </c>
      <c r="N688" s="74" t="n">
        <f aca="false">K688*L688*M688</f>
        <v>6</v>
      </c>
      <c r="O688" s="41" t="n">
        <f aca="false">IFERROR(INDEX(Исходные!$B$21:$B$33,MATCH(H688,Исходные!$A$21:$A$33,0)),0)</f>
        <v>2.466</v>
      </c>
      <c r="P688" s="83" t="n">
        <f aca="false">N688*O688</f>
        <v>14.796</v>
      </c>
      <c r="Q688" s="20" t="s">
        <v>1418</v>
      </c>
      <c r="R688" s="84" t="s">
        <v>660</v>
      </c>
      <c r="S688" s="20" t="s">
        <v>822</v>
      </c>
      <c r="T688" s="20" t="s">
        <v>123</v>
      </c>
      <c r="U688" s="53" t="n">
        <v>0</v>
      </c>
      <c r="V688" s="76" t="s">
        <v>887</v>
      </c>
      <c r="W688" s="53" t="n">
        <v>2</v>
      </c>
    </row>
    <row r="689" customFormat="false" ht="35.05" hidden="false" customHeight="false" outlineLevel="0" collapsed="false">
      <c r="A689" s="76" t="n">
        <v>673</v>
      </c>
      <c r="B689" s="20" t="s">
        <v>1167</v>
      </c>
      <c r="C689" s="20" t="s">
        <v>655</v>
      </c>
      <c r="D689" s="20" t="s">
        <v>1410</v>
      </c>
      <c r="E689" s="20" t="s">
        <v>887</v>
      </c>
      <c r="F689" s="76" t="s">
        <v>676</v>
      </c>
      <c r="G689" s="20" t="s">
        <v>1419</v>
      </c>
      <c r="H689" s="55" t="n">
        <v>16</v>
      </c>
      <c r="I689" s="76" t="s">
        <v>512</v>
      </c>
      <c r="J689" s="76" t="s">
        <v>164</v>
      </c>
      <c r="K689" s="82" t="n">
        <v>1</v>
      </c>
      <c r="L689" s="55" t="n">
        <v>2</v>
      </c>
      <c r="M689" s="73" t="n">
        <v>3.6</v>
      </c>
      <c r="N689" s="74" t="n">
        <f aca="false">K689*L689*M689</f>
        <v>7.2</v>
      </c>
      <c r="O689" s="41" t="n">
        <f aca="false">IFERROR(INDEX(Исходные!$B$21:$B$33,MATCH(H689,Исходные!$A$21:$A$33,0)),0)</f>
        <v>1.578</v>
      </c>
      <c r="P689" s="83" t="n">
        <f aca="false">N689*O689</f>
        <v>11.3616</v>
      </c>
      <c r="Q689" s="20" t="s">
        <v>1420</v>
      </c>
      <c r="R689" s="84" t="s">
        <v>660</v>
      </c>
      <c r="S689" s="20" t="s">
        <v>845</v>
      </c>
      <c r="T689" s="20" t="s">
        <v>123</v>
      </c>
      <c r="U689" s="53" t="n">
        <v>0</v>
      </c>
      <c r="V689" s="76" t="s">
        <v>887</v>
      </c>
      <c r="W689" s="53" t="n">
        <v>2</v>
      </c>
    </row>
    <row r="690" customFormat="false" ht="35.05" hidden="false" customHeight="false" outlineLevel="0" collapsed="false">
      <c r="A690" s="76" t="n">
        <v>674</v>
      </c>
      <c r="B690" s="20" t="s">
        <v>1167</v>
      </c>
      <c r="C690" s="20" t="s">
        <v>655</v>
      </c>
      <c r="D690" s="20" t="s">
        <v>1410</v>
      </c>
      <c r="E690" s="20" t="s">
        <v>887</v>
      </c>
      <c r="F690" s="76" t="s">
        <v>676</v>
      </c>
      <c r="G690" s="20" t="s">
        <v>900</v>
      </c>
      <c r="H690" s="55" t="n">
        <v>16</v>
      </c>
      <c r="I690" s="76" t="s">
        <v>512</v>
      </c>
      <c r="J690" s="76" t="s">
        <v>164</v>
      </c>
      <c r="K690" s="82" t="n">
        <v>1</v>
      </c>
      <c r="L690" s="55" t="n">
        <v>2</v>
      </c>
      <c r="M690" s="73" t="n">
        <v>2.3</v>
      </c>
      <c r="N690" s="74" t="n">
        <f aca="false">K690*L690*M690</f>
        <v>4.6</v>
      </c>
      <c r="O690" s="41" t="n">
        <f aca="false">IFERROR(INDEX(Исходные!$B$21:$B$33,MATCH(H690,Исходные!$A$21:$A$33,0)),0)</f>
        <v>1.578</v>
      </c>
      <c r="P690" s="83" t="n">
        <f aca="false">N690*O690</f>
        <v>7.2588</v>
      </c>
      <c r="Q690" s="20" t="s">
        <v>1420</v>
      </c>
      <c r="R690" s="84" t="s">
        <v>660</v>
      </c>
      <c r="S690" s="20" t="s">
        <v>902</v>
      </c>
      <c r="T690" s="20" t="s">
        <v>123</v>
      </c>
      <c r="U690" s="53" t="n">
        <v>0</v>
      </c>
      <c r="V690" s="76" t="s">
        <v>887</v>
      </c>
      <c r="W690" s="53" t="n">
        <v>2</v>
      </c>
    </row>
    <row r="691" customFormat="false" ht="35.05" hidden="false" customHeight="false" outlineLevel="0" collapsed="false">
      <c r="A691" s="76" t="n">
        <v>675</v>
      </c>
      <c r="B691" s="20" t="s">
        <v>1167</v>
      </c>
      <c r="C691" s="20" t="s">
        <v>655</v>
      </c>
      <c r="D691" s="20" t="s">
        <v>1410</v>
      </c>
      <c r="E691" s="20" t="s">
        <v>887</v>
      </c>
      <c r="F691" s="76" t="s">
        <v>676</v>
      </c>
      <c r="G691" s="20" t="s">
        <v>1421</v>
      </c>
      <c r="H691" s="55" t="n">
        <v>14</v>
      </c>
      <c r="I691" s="76" t="s">
        <v>512</v>
      </c>
      <c r="J691" s="76" t="s">
        <v>164</v>
      </c>
      <c r="K691" s="82" t="n">
        <v>1</v>
      </c>
      <c r="L691" s="55" t="n">
        <v>2</v>
      </c>
      <c r="M691" s="73" t="n">
        <v>3.4</v>
      </c>
      <c r="N691" s="74" t="n">
        <f aca="false">K691*L691*M691</f>
        <v>6.8</v>
      </c>
      <c r="O691" s="41" t="n">
        <f aca="false">IFERROR(INDEX(Исходные!$B$21:$B$33,MATCH(H691,Исходные!$A$21:$A$33,0)),0)</f>
        <v>1.208</v>
      </c>
      <c r="P691" s="83" t="n">
        <f aca="false">N691*O691</f>
        <v>8.2144</v>
      </c>
      <c r="Q691" s="20" t="s">
        <v>1422</v>
      </c>
      <c r="R691" s="84" t="s">
        <v>660</v>
      </c>
      <c r="S691" s="20" t="s">
        <v>892</v>
      </c>
      <c r="T691" s="20" t="s">
        <v>123</v>
      </c>
      <c r="U691" s="53" t="n">
        <v>0</v>
      </c>
      <c r="V691" s="76" t="s">
        <v>887</v>
      </c>
      <c r="W691" s="53" t="n">
        <v>2</v>
      </c>
    </row>
    <row r="692" customFormat="false" ht="35.05" hidden="false" customHeight="false" outlineLevel="0" collapsed="false">
      <c r="A692" s="76" t="n">
        <v>676</v>
      </c>
      <c r="B692" s="20" t="s">
        <v>1167</v>
      </c>
      <c r="C692" s="20" t="s">
        <v>655</v>
      </c>
      <c r="D692" s="20" t="s">
        <v>1410</v>
      </c>
      <c r="E692" s="20" t="s">
        <v>887</v>
      </c>
      <c r="F692" s="76" t="s">
        <v>676</v>
      </c>
      <c r="G692" s="20" t="s">
        <v>903</v>
      </c>
      <c r="H692" s="55" t="n">
        <v>12</v>
      </c>
      <c r="I692" s="76" t="s">
        <v>512</v>
      </c>
      <c r="J692" s="76" t="s">
        <v>164</v>
      </c>
      <c r="K692" s="82" t="n">
        <v>1</v>
      </c>
      <c r="L692" s="55" t="n">
        <v>4</v>
      </c>
      <c r="M692" s="73" t="n">
        <v>2.4</v>
      </c>
      <c r="N692" s="74" t="n">
        <f aca="false">K692*L692*M692</f>
        <v>9.6</v>
      </c>
      <c r="O692" s="41" t="n">
        <f aca="false">IFERROR(INDEX(Исходные!$B$21:$B$33,MATCH(H692,Исходные!$A$21:$A$33,0)),0)</f>
        <v>0.888</v>
      </c>
      <c r="P692" s="83" t="n">
        <f aca="false">N692*O692</f>
        <v>8.5248</v>
      </c>
      <c r="Q692" s="20" t="s">
        <v>1423</v>
      </c>
      <c r="R692" s="84" t="s">
        <v>660</v>
      </c>
      <c r="S692" s="20" t="s">
        <v>837</v>
      </c>
      <c r="T692" s="20" t="s">
        <v>123</v>
      </c>
      <c r="U692" s="53" t="n">
        <v>0</v>
      </c>
      <c r="V692" s="76" t="s">
        <v>887</v>
      </c>
      <c r="W692" s="53" t="n">
        <v>2</v>
      </c>
    </row>
    <row r="693" customFormat="false" ht="35.05" hidden="false" customHeight="false" outlineLevel="0" collapsed="false">
      <c r="A693" s="76" t="n">
        <v>677</v>
      </c>
      <c r="B693" s="20" t="s">
        <v>1167</v>
      </c>
      <c r="C693" s="20" t="s">
        <v>655</v>
      </c>
      <c r="D693" s="20" t="s">
        <v>1410</v>
      </c>
      <c r="E693" s="20" t="s">
        <v>887</v>
      </c>
      <c r="F693" s="76" t="s">
        <v>676</v>
      </c>
      <c r="G693" s="20" t="s">
        <v>905</v>
      </c>
      <c r="H693" s="55" t="n">
        <v>12</v>
      </c>
      <c r="I693" s="76" t="s">
        <v>512</v>
      </c>
      <c r="J693" s="76" t="s">
        <v>164</v>
      </c>
      <c r="K693" s="82" t="n">
        <v>1</v>
      </c>
      <c r="L693" s="55" t="n">
        <v>4</v>
      </c>
      <c r="M693" s="73" t="n">
        <v>3.4</v>
      </c>
      <c r="N693" s="74" t="n">
        <f aca="false">K693*L693*M693</f>
        <v>13.6</v>
      </c>
      <c r="O693" s="41" t="n">
        <f aca="false">IFERROR(INDEX(Исходные!$B$21:$B$33,MATCH(H693,Исходные!$A$21:$A$33,0)),0)</f>
        <v>0.888</v>
      </c>
      <c r="P693" s="83" t="n">
        <f aca="false">N693*O693</f>
        <v>12.0768</v>
      </c>
      <c r="Q693" s="20" t="s">
        <v>1423</v>
      </c>
      <c r="R693" s="84" t="s">
        <v>660</v>
      </c>
      <c r="S693" s="20" t="s">
        <v>892</v>
      </c>
      <c r="T693" s="20" t="s">
        <v>123</v>
      </c>
      <c r="U693" s="53" t="n">
        <v>0</v>
      </c>
      <c r="V693" s="76" t="s">
        <v>887</v>
      </c>
      <c r="W693" s="53" t="n">
        <v>2</v>
      </c>
    </row>
    <row r="694" customFormat="false" ht="35.05" hidden="false" customHeight="false" outlineLevel="0" collapsed="false">
      <c r="A694" s="76" t="n">
        <v>678</v>
      </c>
      <c r="B694" s="20" t="s">
        <v>1167</v>
      </c>
      <c r="C694" s="20" t="s">
        <v>655</v>
      </c>
      <c r="D694" s="20" t="s">
        <v>1410</v>
      </c>
      <c r="E694" s="20" t="s">
        <v>887</v>
      </c>
      <c r="F694" s="76" t="s">
        <v>676</v>
      </c>
      <c r="G694" s="20" t="s">
        <v>906</v>
      </c>
      <c r="H694" s="55" t="n">
        <v>12</v>
      </c>
      <c r="I694" s="76" t="s">
        <v>512</v>
      </c>
      <c r="J694" s="76" t="s">
        <v>164</v>
      </c>
      <c r="K694" s="82" t="n">
        <v>1</v>
      </c>
      <c r="L694" s="55" t="n">
        <v>4</v>
      </c>
      <c r="M694" s="73" t="n">
        <v>3.6</v>
      </c>
      <c r="N694" s="74" t="n">
        <f aca="false">K694*L694*M694</f>
        <v>14.4</v>
      </c>
      <c r="O694" s="41" t="n">
        <f aca="false">IFERROR(INDEX(Исходные!$B$21:$B$33,MATCH(H694,Исходные!$A$21:$A$33,0)),0)</f>
        <v>0.888</v>
      </c>
      <c r="P694" s="83" t="n">
        <f aca="false">N694*O694</f>
        <v>12.7872</v>
      </c>
      <c r="Q694" s="20" t="s">
        <v>1423</v>
      </c>
      <c r="R694" s="84" t="s">
        <v>660</v>
      </c>
      <c r="S694" s="20" t="s">
        <v>845</v>
      </c>
      <c r="T694" s="20" t="s">
        <v>123</v>
      </c>
      <c r="U694" s="53" t="n">
        <v>0</v>
      </c>
      <c r="V694" s="76" t="s">
        <v>887</v>
      </c>
      <c r="W694" s="53" t="n">
        <v>2</v>
      </c>
    </row>
    <row r="695" customFormat="false" ht="35.05" hidden="false" customHeight="false" outlineLevel="0" collapsed="false">
      <c r="A695" s="76" t="n">
        <v>679</v>
      </c>
      <c r="B695" s="20" t="s">
        <v>1167</v>
      </c>
      <c r="C695" s="20" t="s">
        <v>655</v>
      </c>
      <c r="D695" s="20" t="s">
        <v>1410</v>
      </c>
      <c r="E695" s="20" t="s">
        <v>887</v>
      </c>
      <c r="F695" s="76" t="s">
        <v>676</v>
      </c>
      <c r="G695" s="20" t="s">
        <v>907</v>
      </c>
      <c r="H695" s="55" t="n">
        <v>12</v>
      </c>
      <c r="I695" s="76" t="s">
        <v>512</v>
      </c>
      <c r="J695" s="76" t="s">
        <v>164</v>
      </c>
      <c r="K695" s="82" t="n">
        <v>1</v>
      </c>
      <c r="L695" s="55" t="n">
        <v>4</v>
      </c>
      <c r="M695" s="73" t="n">
        <v>2.3</v>
      </c>
      <c r="N695" s="74" t="n">
        <f aca="false">K695*L695*M695</f>
        <v>9.2</v>
      </c>
      <c r="O695" s="41" t="n">
        <f aca="false">IFERROR(INDEX(Исходные!$B$21:$B$33,MATCH(H695,Исходные!$A$21:$A$33,0)),0)</f>
        <v>0.888</v>
      </c>
      <c r="P695" s="83" t="n">
        <f aca="false">N695*O695</f>
        <v>8.1696</v>
      </c>
      <c r="Q695" s="20" t="s">
        <v>1423</v>
      </c>
      <c r="R695" s="84" t="s">
        <v>660</v>
      </c>
      <c r="S695" s="20" t="s">
        <v>902</v>
      </c>
      <c r="T695" s="20" t="s">
        <v>123</v>
      </c>
      <c r="U695" s="53" t="n">
        <v>0</v>
      </c>
      <c r="V695" s="76" t="s">
        <v>887</v>
      </c>
      <c r="W695" s="53" t="n">
        <v>2</v>
      </c>
    </row>
    <row r="696" customFormat="false" ht="35.05" hidden="false" customHeight="false" outlineLevel="0" collapsed="false">
      <c r="A696" s="76" t="n">
        <v>680</v>
      </c>
      <c r="B696" s="20" t="s">
        <v>1167</v>
      </c>
      <c r="C696" s="20" t="s">
        <v>655</v>
      </c>
      <c r="D696" s="20" t="s">
        <v>1410</v>
      </c>
      <c r="E696" s="20" t="s">
        <v>887</v>
      </c>
      <c r="F696" s="76" t="s">
        <v>696</v>
      </c>
      <c r="G696" s="20" t="s">
        <v>1308</v>
      </c>
      <c r="H696" s="55" t="n">
        <v>8</v>
      </c>
      <c r="I696" s="76" t="s">
        <v>546</v>
      </c>
      <c r="J696" s="76" t="s">
        <v>698</v>
      </c>
      <c r="K696" s="82" t="n">
        <v>1</v>
      </c>
      <c r="L696" s="55" t="n">
        <v>51</v>
      </c>
      <c r="M696" s="73" t="n">
        <v>2.06</v>
      </c>
      <c r="N696" s="74" t="n">
        <f aca="false">K696*L696*M696</f>
        <v>105.06</v>
      </c>
      <c r="O696" s="41" t="n">
        <f aca="false">IFERROR(INDEX(Исходные!$B$21:$B$33,MATCH(H696,Исходные!$A$21:$A$33,0)),0)</f>
        <v>0.395</v>
      </c>
      <c r="P696" s="83" t="n">
        <f aca="false">N696*O696</f>
        <v>41.4987</v>
      </c>
      <c r="Q696" s="20" t="s">
        <v>1309</v>
      </c>
      <c r="R696" s="84" t="s">
        <v>514</v>
      </c>
      <c r="S696" s="20" t="s">
        <v>1395</v>
      </c>
      <c r="T696" s="20" t="s">
        <v>123</v>
      </c>
      <c r="U696" s="53" t="n">
        <v>0</v>
      </c>
      <c r="V696" s="76" t="s">
        <v>887</v>
      </c>
      <c r="W696" s="53" t="n">
        <v>2</v>
      </c>
    </row>
    <row r="697" customFormat="false" ht="35.05" hidden="false" customHeight="false" outlineLevel="0" collapsed="false">
      <c r="A697" s="76" t="n">
        <v>681</v>
      </c>
      <c r="B697" s="20" t="s">
        <v>1167</v>
      </c>
      <c r="C697" s="20" t="s">
        <v>655</v>
      </c>
      <c r="D697" s="20" t="s">
        <v>1410</v>
      </c>
      <c r="E697" s="20" t="s">
        <v>887</v>
      </c>
      <c r="F697" s="76" t="s">
        <v>561</v>
      </c>
      <c r="G697" s="20" t="s">
        <v>1311</v>
      </c>
      <c r="H697" s="55" t="n">
        <v>10</v>
      </c>
      <c r="I697" s="76" t="s">
        <v>546</v>
      </c>
      <c r="J697" s="76" t="n">
        <v>100</v>
      </c>
      <c r="K697" s="82" t="n">
        <v>1</v>
      </c>
      <c r="L697" s="55" t="n">
        <v>87</v>
      </c>
      <c r="M697" s="73" t="n">
        <v>2.06</v>
      </c>
      <c r="N697" s="74" t="n">
        <f aca="false">K697*L697*M697</f>
        <v>179.22</v>
      </c>
      <c r="O697" s="41" t="n">
        <f aca="false">IFERROR(INDEX(Исходные!$B$21:$B$33,MATCH(H697,Исходные!$A$21:$A$33,0)),0)</f>
        <v>0.617</v>
      </c>
      <c r="P697" s="83" t="n">
        <f aca="false">N697*O697</f>
        <v>110.57874</v>
      </c>
      <c r="Q697" s="20" t="s">
        <v>1424</v>
      </c>
      <c r="R697" s="84" t="s">
        <v>514</v>
      </c>
      <c r="S697" s="20" t="s">
        <v>1425</v>
      </c>
      <c r="T697" s="20" t="s">
        <v>123</v>
      </c>
      <c r="U697" s="53" t="n">
        <v>0</v>
      </c>
      <c r="V697" s="76" t="s">
        <v>887</v>
      </c>
      <c r="W697" s="53" t="n">
        <v>2</v>
      </c>
    </row>
    <row r="698" customFormat="false" ht="35.05" hidden="false" customHeight="false" outlineLevel="0" collapsed="false">
      <c r="A698" s="76" t="n">
        <v>682</v>
      </c>
      <c r="B698" s="20" t="s">
        <v>1167</v>
      </c>
      <c r="C698" s="20" t="s">
        <v>655</v>
      </c>
      <c r="D698" s="20" t="s">
        <v>1410</v>
      </c>
      <c r="E698" s="20" t="s">
        <v>887</v>
      </c>
      <c r="F698" s="76" t="s">
        <v>603</v>
      </c>
      <c r="G698" s="20" t="s">
        <v>704</v>
      </c>
      <c r="H698" s="55" t="n">
        <v>10</v>
      </c>
      <c r="I698" s="76" t="s">
        <v>546</v>
      </c>
      <c r="J698" s="76" t="n">
        <v>100</v>
      </c>
      <c r="K698" s="82" t="n">
        <v>1</v>
      </c>
      <c r="L698" s="55" t="n">
        <v>61</v>
      </c>
      <c r="M698" s="73" t="n">
        <v>1.6</v>
      </c>
      <c r="N698" s="74" t="n">
        <f aca="false">K698*L698*M698</f>
        <v>97.6</v>
      </c>
      <c r="O698" s="41" t="n">
        <f aca="false">IFERROR(INDEX(Исходные!$B$21:$B$33,MATCH(H698,Исходные!$A$21:$A$33,0)),0)</f>
        <v>0.617</v>
      </c>
      <c r="P698" s="83" t="n">
        <f aca="false">N698*O698</f>
        <v>60.2192</v>
      </c>
      <c r="Q698" s="20" t="s">
        <v>910</v>
      </c>
      <c r="R698" s="84" t="s">
        <v>514</v>
      </c>
      <c r="S698" s="20"/>
      <c r="T698" s="20" t="s">
        <v>123</v>
      </c>
      <c r="U698" s="53" t="n">
        <v>0</v>
      </c>
      <c r="V698" s="76" t="s">
        <v>887</v>
      </c>
      <c r="W698" s="53" t="n">
        <v>2</v>
      </c>
    </row>
    <row r="699" customFormat="false" ht="35.05" hidden="false" customHeight="false" outlineLevel="0" collapsed="false">
      <c r="A699" s="76" t="n">
        <v>683</v>
      </c>
      <c r="B699" s="20" t="s">
        <v>1167</v>
      </c>
      <c r="C699" s="20" t="s">
        <v>655</v>
      </c>
      <c r="D699" s="20" t="s">
        <v>1410</v>
      </c>
      <c r="E699" s="20" t="s">
        <v>887</v>
      </c>
      <c r="F699" s="76" t="s">
        <v>706</v>
      </c>
      <c r="G699" s="20" t="s">
        <v>1314</v>
      </c>
      <c r="H699" s="55" t="n">
        <v>8</v>
      </c>
      <c r="I699" s="76" t="s">
        <v>546</v>
      </c>
      <c r="J699" s="76" t="s">
        <v>708</v>
      </c>
      <c r="K699" s="82" t="n">
        <v>1</v>
      </c>
      <c r="L699" s="55" t="n">
        <v>52</v>
      </c>
      <c r="M699" s="73" t="n">
        <v>0.75</v>
      </c>
      <c r="N699" s="74" t="n">
        <f aca="false">K699*L699*M699</f>
        <v>39</v>
      </c>
      <c r="O699" s="41" t="n">
        <f aca="false">IFERROR(INDEX(Исходные!$B$21:$B$33,MATCH(H699,Исходные!$A$21:$A$33,0)),0)</f>
        <v>0.395</v>
      </c>
      <c r="P699" s="83" t="n">
        <f aca="false">N699*O699</f>
        <v>15.405</v>
      </c>
      <c r="Q699" s="20" t="s">
        <v>709</v>
      </c>
      <c r="R699" s="84" t="s">
        <v>514</v>
      </c>
      <c r="S699" s="20"/>
      <c r="T699" s="20" t="s">
        <v>123</v>
      </c>
      <c r="U699" s="53" t="n">
        <v>0</v>
      </c>
      <c r="V699" s="76" t="s">
        <v>887</v>
      </c>
      <c r="W699" s="53" t="n">
        <v>2</v>
      </c>
    </row>
    <row r="700" customFormat="false" ht="35.05" hidden="false" customHeight="false" outlineLevel="0" collapsed="false">
      <c r="A700" s="76" t="n">
        <v>684</v>
      </c>
      <c r="B700" s="20" t="s">
        <v>1167</v>
      </c>
      <c r="C700" s="20" t="s">
        <v>655</v>
      </c>
      <c r="D700" s="20" t="s">
        <v>1410</v>
      </c>
      <c r="E700" s="20" t="s">
        <v>887</v>
      </c>
      <c r="F700" s="76" t="s">
        <v>710</v>
      </c>
      <c r="G700" s="20" t="s">
        <v>1315</v>
      </c>
      <c r="H700" s="55" t="n">
        <v>8</v>
      </c>
      <c r="I700" s="76" t="s">
        <v>546</v>
      </c>
      <c r="J700" s="76" t="n">
        <v>300</v>
      </c>
      <c r="K700" s="82" t="n">
        <v>1</v>
      </c>
      <c r="L700" s="55" t="n">
        <v>54</v>
      </c>
      <c r="M700" s="73" t="n">
        <v>0.58</v>
      </c>
      <c r="N700" s="74" t="n">
        <f aca="false">K700*L700*M700</f>
        <v>31.32</v>
      </c>
      <c r="O700" s="41" t="n">
        <f aca="false">IFERROR(INDEX(Исходные!$B$21:$B$33,MATCH(H700,Исходные!$A$21:$A$33,0)),0)</f>
        <v>0.395</v>
      </c>
      <c r="P700" s="83" t="n">
        <f aca="false">N700*O700</f>
        <v>12.3714</v>
      </c>
      <c r="Q700" s="20" t="s">
        <v>1316</v>
      </c>
      <c r="R700" s="85" t="s">
        <v>638</v>
      </c>
      <c r="S700" s="20"/>
      <c r="T700" s="20" t="s">
        <v>123</v>
      </c>
      <c r="U700" s="53" t="n">
        <v>1</v>
      </c>
      <c r="V700" s="76" t="s">
        <v>887</v>
      </c>
      <c r="W700" s="53" t="n">
        <v>2</v>
      </c>
    </row>
    <row r="701" customFormat="false" ht="15" hidden="false" customHeight="true" outlineLevel="0" collapsed="false">
      <c r="A701" s="81" t="s">
        <v>1426</v>
      </c>
      <c r="B701" s="81"/>
      <c r="C701" s="81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</row>
    <row r="702" customFormat="false" ht="35.05" hidden="false" customHeight="false" outlineLevel="0" collapsed="false">
      <c r="A702" s="76" t="n">
        <v>685</v>
      </c>
      <c r="B702" s="20" t="s">
        <v>1167</v>
      </c>
      <c r="C702" s="20" t="s">
        <v>912</v>
      </c>
      <c r="D702" s="20" t="s">
        <v>913</v>
      </c>
      <c r="E702" s="20" t="s">
        <v>1427</v>
      </c>
      <c r="F702" s="76" t="s">
        <v>915</v>
      </c>
      <c r="G702" s="20" t="s">
        <v>916</v>
      </c>
      <c r="H702" s="55" t="n">
        <v>10</v>
      </c>
      <c r="I702" s="76" t="s">
        <v>512</v>
      </c>
      <c r="J702" s="76" t="n">
        <v>200</v>
      </c>
      <c r="K702" s="82" t="n">
        <v>1</v>
      </c>
      <c r="L702" s="55" t="n">
        <v>26</v>
      </c>
      <c r="M702" s="73" t="n">
        <v>27.32</v>
      </c>
      <c r="N702" s="74" t="n">
        <f aca="false">K702*L702*M702</f>
        <v>710.32</v>
      </c>
      <c r="O702" s="41" t="n">
        <f aca="false">IFERROR(INDEX(Исходные!$B$21:$B$33,MATCH(H702,Исходные!$A$21:$A$33,0)),0)</f>
        <v>0.617</v>
      </c>
      <c r="P702" s="83" t="n">
        <f aca="false">N702*O702</f>
        <v>438.26744</v>
      </c>
      <c r="Q702" s="20" t="s">
        <v>1428</v>
      </c>
      <c r="R702" s="84" t="s">
        <v>660</v>
      </c>
      <c r="S702" s="20"/>
      <c r="T702" s="20" t="s">
        <v>123</v>
      </c>
      <c r="U702" s="53" t="n">
        <v>0</v>
      </c>
      <c r="V702" s="76" t="s">
        <v>918</v>
      </c>
      <c r="W702" s="53" t="n">
        <v>2</v>
      </c>
    </row>
    <row r="703" customFormat="false" ht="35.05" hidden="false" customHeight="false" outlineLevel="0" collapsed="false">
      <c r="A703" s="76" t="n">
        <v>686</v>
      </c>
      <c r="B703" s="20" t="s">
        <v>1167</v>
      </c>
      <c r="C703" s="20" t="s">
        <v>912</v>
      </c>
      <c r="D703" s="20" t="s">
        <v>913</v>
      </c>
      <c r="E703" s="20" t="s">
        <v>1427</v>
      </c>
      <c r="F703" s="76" t="s">
        <v>919</v>
      </c>
      <c r="G703" s="20" t="s">
        <v>1429</v>
      </c>
      <c r="H703" s="55" t="n">
        <v>10</v>
      </c>
      <c r="I703" s="76" t="s">
        <v>512</v>
      </c>
      <c r="J703" s="76" t="s">
        <v>164</v>
      </c>
      <c r="K703" s="82" t="n">
        <v>26</v>
      </c>
      <c r="L703" s="55" t="n">
        <v>2</v>
      </c>
      <c r="M703" s="73" t="n">
        <v>0.4</v>
      </c>
      <c r="N703" s="74" t="n">
        <f aca="false">K703*L703*M703</f>
        <v>20.8</v>
      </c>
      <c r="O703" s="41" t="n">
        <f aca="false">IFERROR(INDEX(Исходные!$B$21:$B$33,MATCH(H703,Исходные!$A$21:$A$33,0)),0)</f>
        <v>0.617</v>
      </c>
      <c r="P703" s="83" t="n">
        <f aca="false">N703*O703</f>
        <v>12.8336</v>
      </c>
      <c r="Q703" s="20" t="s">
        <v>921</v>
      </c>
      <c r="R703" s="84" t="s">
        <v>667</v>
      </c>
      <c r="S703" s="20" t="s">
        <v>1430</v>
      </c>
      <c r="T703" s="20" t="s">
        <v>123</v>
      </c>
      <c r="U703" s="53" t="n">
        <v>0</v>
      </c>
      <c r="V703" s="76" t="s">
        <v>918</v>
      </c>
      <c r="W703" s="53" t="n">
        <v>2</v>
      </c>
    </row>
    <row r="704" customFormat="false" ht="35.05" hidden="false" customHeight="false" outlineLevel="0" collapsed="false">
      <c r="A704" s="76" t="n">
        <v>687</v>
      </c>
      <c r="B704" s="20" t="s">
        <v>1167</v>
      </c>
      <c r="C704" s="20" t="s">
        <v>912</v>
      </c>
      <c r="D704" s="20" t="s">
        <v>913</v>
      </c>
      <c r="E704" s="20" t="s">
        <v>1427</v>
      </c>
      <c r="F704" s="76" t="s">
        <v>915</v>
      </c>
      <c r="G704" s="20" t="s">
        <v>916</v>
      </c>
      <c r="H704" s="55" t="n">
        <v>10</v>
      </c>
      <c r="I704" s="76" t="s">
        <v>512</v>
      </c>
      <c r="J704" s="76" t="n">
        <v>200</v>
      </c>
      <c r="K704" s="82" t="n">
        <v>1</v>
      </c>
      <c r="L704" s="55" t="n">
        <v>49</v>
      </c>
      <c r="M704" s="73" t="n">
        <v>25.6</v>
      </c>
      <c r="N704" s="74" t="n">
        <f aca="false">K704*L704*M704</f>
        <v>1254.4</v>
      </c>
      <c r="O704" s="41" t="n">
        <f aca="false">IFERROR(INDEX(Исходные!$B$21:$B$33,MATCH(H704,Исходные!$A$21:$A$33,0)),0)</f>
        <v>0.617</v>
      </c>
      <c r="P704" s="83" t="n">
        <f aca="false">N704*O704</f>
        <v>773.9648</v>
      </c>
      <c r="Q704" s="20" t="s">
        <v>1428</v>
      </c>
      <c r="R704" s="84" t="s">
        <v>660</v>
      </c>
      <c r="S704" s="20"/>
      <c r="T704" s="20" t="s">
        <v>123</v>
      </c>
      <c r="U704" s="53" t="n">
        <v>0</v>
      </c>
      <c r="V704" s="76" t="s">
        <v>918</v>
      </c>
      <c r="W704" s="53" t="n">
        <v>2</v>
      </c>
    </row>
    <row r="705" customFormat="false" ht="35.05" hidden="false" customHeight="false" outlineLevel="0" collapsed="false">
      <c r="A705" s="76" t="n">
        <v>688</v>
      </c>
      <c r="B705" s="20" t="s">
        <v>1167</v>
      </c>
      <c r="C705" s="20" t="s">
        <v>912</v>
      </c>
      <c r="D705" s="20" t="s">
        <v>913</v>
      </c>
      <c r="E705" s="20" t="s">
        <v>1427</v>
      </c>
      <c r="F705" s="76" t="s">
        <v>919</v>
      </c>
      <c r="G705" s="20" t="s">
        <v>1431</v>
      </c>
      <c r="H705" s="55" t="n">
        <v>10</v>
      </c>
      <c r="I705" s="76" t="s">
        <v>512</v>
      </c>
      <c r="J705" s="76" t="s">
        <v>164</v>
      </c>
      <c r="K705" s="82" t="n">
        <v>49</v>
      </c>
      <c r="L705" s="55" t="n">
        <v>2</v>
      </c>
      <c r="M705" s="73" t="n">
        <v>0.4</v>
      </c>
      <c r="N705" s="74" t="n">
        <f aca="false">K705*L705*M705</f>
        <v>39.2</v>
      </c>
      <c r="O705" s="41" t="n">
        <f aca="false">IFERROR(INDEX(Исходные!$B$21:$B$33,MATCH(H705,Исходные!$A$21:$A$33,0)),0)</f>
        <v>0.617</v>
      </c>
      <c r="P705" s="83" t="n">
        <f aca="false">N705*O705</f>
        <v>24.1864</v>
      </c>
      <c r="Q705" s="20" t="s">
        <v>921</v>
      </c>
      <c r="R705" s="84" t="s">
        <v>667</v>
      </c>
      <c r="S705" s="20" t="s">
        <v>1432</v>
      </c>
      <c r="T705" s="20" t="s">
        <v>123</v>
      </c>
      <c r="U705" s="53" t="n">
        <v>0</v>
      </c>
      <c r="V705" s="76" t="s">
        <v>918</v>
      </c>
      <c r="W705" s="53" t="n">
        <v>2</v>
      </c>
    </row>
    <row r="706" customFormat="false" ht="35.05" hidden="false" customHeight="false" outlineLevel="0" collapsed="false">
      <c r="A706" s="76" t="n">
        <v>689</v>
      </c>
      <c r="B706" s="20" t="s">
        <v>1167</v>
      </c>
      <c r="C706" s="20" t="s">
        <v>912</v>
      </c>
      <c r="D706" s="20" t="s">
        <v>913</v>
      </c>
      <c r="E706" s="20" t="s">
        <v>1427</v>
      </c>
      <c r="F706" s="76" t="s">
        <v>915</v>
      </c>
      <c r="G706" s="20" t="s">
        <v>916</v>
      </c>
      <c r="H706" s="55" t="n">
        <v>10</v>
      </c>
      <c r="I706" s="76" t="s">
        <v>512</v>
      </c>
      <c r="J706" s="76" t="n">
        <v>200</v>
      </c>
      <c r="K706" s="82" t="n">
        <v>1</v>
      </c>
      <c r="L706" s="55" t="n">
        <v>1</v>
      </c>
      <c r="M706" s="73" t="n">
        <v>22.2</v>
      </c>
      <c r="N706" s="74" t="n">
        <f aca="false">K706*L706*M706</f>
        <v>22.2</v>
      </c>
      <c r="O706" s="41" t="n">
        <f aca="false">IFERROR(INDEX(Исходные!$B$21:$B$33,MATCH(H706,Исходные!$A$21:$A$33,0)),0)</f>
        <v>0.617</v>
      </c>
      <c r="P706" s="83" t="n">
        <f aca="false">N706*O706</f>
        <v>13.6974</v>
      </c>
      <c r="Q706" s="20" t="s">
        <v>1428</v>
      </c>
      <c r="R706" s="84" t="s">
        <v>660</v>
      </c>
      <c r="S706" s="20"/>
      <c r="T706" s="20" t="s">
        <v>123</v>
      </c>
      <c r="U706" s="53" t="n">
        <v>0</v>
      </c>
      <c r="V706" s="76" t="s">
        <v>918</v>
      </c>
      <c r="W706" s="53" t="n">
        <v>2</v>
      </c>
    </row>
    <row r="707" customFormat="false" ht="35.05" hidden="false" customHeight="false" outlineLevel="0" collapsed="false">
      <c r="A707" s="76" t="n">
        <v>690</v>
      </c>
      <c r="B707" s="20" t="s">
        <v>1167</v>
      </c>
      <c r="C707" s="20" t="s">
        <v>912</v>
      </c>
      <c r="D707" s="20" t="s">
        <v>913</v>
      </c>
      <c r="E707" s="20" t="s">
        <v>1427</v>
      </c>
      <c r="F707" s="76" t="s">
        <v>919</v>
      </c>
      <c r="G707" s="20" t="s">
        <v>925</v>
      </c>
      <c r="H707" s="55" t="n">
        <v>10</v>
      </c>
      <c r="I707" s="76" t="s">
        <v>512</v>
      </c>
      <c r="J707" s="76" t="s">
        <v>164</v>
      </c>
      <c r="K707" s="82" t="n">
        <v>1</v>
      </c>
      <c r="L707" s="55" t="n">
        <v>1</v>
      </c>
      <c r="M707" s="73" t="n">
        <v>0.4</v>
      </c>
      <c r="N707" s="74" t="n">
        <f aca="false">K707*L707*M707</f>
        <v>0.4</v>
      </c>
      <c r="O707" s="41" t="n">
        <f aca="false">IFERROR(INDEX(Исходные!$B$21:$B$33,MATCH(H707,Исходные!$A$21:$A$33,0)),0)</f>
        <v>0.617</v>
      </c>
      <c r="P707" s="83" t="n">
        <f aca="false">N707*O707</f>
        <v>0.2468</v>
      </c>
      <c r="Q707" s="20" t="s">
        <v>921</v>
      </c>
      <c r="R707" s="84" t="s">
        <v>667</v>
      </c>
      <c r="S707" s="20" t="s">
        <v>926</v>
      </c>
      <c r="T707" s="20" t="s">
        <v>123</v>
      </c>
      <c r="U707" s="53" t="n">
        <v>0</v>
      </c>
      <c r="V707" s="76" t="s">
        <v>918</v>
      </c>
      <c r="W707" s="53" t="n">
        <v>2</v>
      </c>
    </row>
    <row r="708" customFormat="false" ht="35.05" hidden="false" customHeight="false" outlineLevel="0" collapsed="false">
      <c r="A708" s="76" t="n">
        <v>691</v>
      </c>
      <c r="B708" s="20" t="s">
        <v>1167</v>
      </c>
      <c r="C708" s="20" t="s">
        <v>912</v>
      </c>
      <c r="D708" s="20" t="s">
        <v>913</v>
      </c>
      <c r="E708" s="20" t="s">
        <v>1427</v>
      </c>
      <c r="F708" s="76" t="s">
        <v>915</v>
      </c>
      <c r="G708" s="20" t="s">
        <v>916</v>
      </c>
      <c r="H708" s="55" t="n">
        <v>10</v>
      </c>
      <c r="I708" s="76" t="s">
        <v>512</v>
      </c>
      <c r="J708" s="76" t="n">
        <v>200</v>
      </c>
      <c r="K708" s="82" t="n">
        <v>1</v>
      </c>
      <c r="L708" s="55" t="n">
        <v>16</v>
      </c>
      <c r="M708" s="73" t="n">
        <v>15.62</v>
      </c>
      <c r="N708" s="74" t="n">
        <f aca="false">K708*L708*M708</f>
        <v>249.92</v>
      </c>
      <c r="O708" s="41" t="n">
        <f aca="false">IFERROR(INDEX(Исходные!$B$21:$B$33,MATCH(H708,Исходные!$A$21:$A$33,0)),0)</f>
        <v>0.617</v>
      </c>
      <c r="P708" s="83" t="n">
        <f aca="false">N708*O708</f>
        <v>154.20064</v>
      </c>
      <c r="Q708" s="20" t="s">
        <v>1428</v>
      </c>
      <c r="R708" s="84" t="s">
        <v>660</v>
      </c>
      <c r="S708" s="20"/>
      <c r="T708" s="20" t="s">
        <v>123</v>
      </c>
      <c r="U708" s="53" t="n">
        <v>0</v>
      </c>
      <c r="V708" s="76" t="s">
        <v>918</v>
      </c>
      <c r="W708" s="53" t="n">
        <v>2</v>
      </c>
    </row>
    <row r="709" customFormat="false" ht="35.05" hidden="false" customHeight="false" outlineLevel="0" collapsed="false">
      <c r="A709" s="76" t="n">
        <v>692</v>
      </c>
      <c r="B709" s="20" t="s">
        <v>1167</v>
      </c>
      <c r="C709" s="20" t="s">
        <v>912</v>
      </c>
      <c r="D709" s="20" t="s">
        <v>913</v>
      </c>
      <c r="E709" s="20" t="s">
        <v>1427</v>
      </c>
      <c r="F709" s="76" t="s">
        <v>919</v>
      </c>
      <c r="G709" s="20" t="s">
        <v>927</v>
      </c>
      <c r="H709" s="55" t="n">
        <v>10</v>
      </c>
      <c r="I709" s="76" t="s">
        <v>512</v>
      </c>
      <c r="J709" s="76" t="s">
        <v>164</v>
      </c>
      <c r="K709" s="82" t="n">
        <v>16</v>
      </c>
      <c r="L709" s="55" t="n">
        <v>1</v>
      </c>
      <c r="M709" s="73" t="n">
        <v>0.4</v>
      </c>
      <c r="N709" s="74" t="n">
        <f aca="false">K709*L709*M709</f>
        <v>6.4</v>
      </c>
      <c r="O709" s="41" t="n">
        <f aca="false">IFERROR(INDEX(Исходные!$B$21:$B$33,MATCH(H709,Исходные!$A$21:$A$33,0)),0)</f>
        <v>0.617</v>
      </c>
      <c r="P709" s="83" t="n">
        <f aca="false">N709*O709</f>
        <v>3.9488</v>
      </c>
      <c r="Q709" s="20" t="s">
        <v>921</v>
      </c>
      <c r="R709" s="84" t="s">
        <v>667</v>
      </c>
      <c r="S709" s="20" t="s">
        <v>928</v>
      </c>
      <c r="T709" s="20" t="s">
        <v>123</v>
      </c>
      <c r="U709" s="53" t="n">
        <v>0</v>
      </c>
      <c r="V709" s="76" t="s">
        <v>918</v>
      </c>
      <c r="W709" s="53" t="n">
        <v>2</v>
      </c>
    </row>
    <row r="710" customFormat="false" ht="35.05" hidden="false" customHeight="false" outlineLevel="0" collapsed="false">
      <c r="A710" s="76" t="n">
        <v>693</v>
      </c>
      <c r="B710" s="20" t="s">
        <v>1167</v>
      </c>
      <c r="C710" s="20" t="s">
        <v>912</v>
      </c>
      <c r="D710" s="20" t="s">
        <v>913</v>
      </c>
      <c r="E710" s="20" t="s">
        <v>1427</v>
      </c>
      <c r="F710" s="76" t="s">
        <v>915</v>
      </c>
      <c r="G710" s="20" t="s">
        <v>916</v>
      </c>
      <c r="H710" s="55" t="n">
        <v>10</v>
      </c>
      <c r="I710" s="76" t="s">
        <v>512</v>
      </c>
      <c r="J710" s="76" t="n">
        <v>200</v>
      </c>
      <c r="K710" s="82" t="n">
        <v>1</v>
      </c>
      <c r="L710" s="55" t="n">
        <v>12</v>
      </c>
      <c r="M710" s="73" t="n">
        <v>13.9</v>
      </c>
      <c r="N710" s="74" t="n">
        <f aca="false">K710*L710*M710</f>
        <v>166.8</v>
      </c>
      <c r="O710" s="41" t="n">
        <f aca="false">IFERROR(INDEX(Исходные!$B$21:$B$33,MATCH(H710,Исходные!$A$21:$A$33,0)),0)</f>
        <v>0.617</v>
      </c>
      <c r="P710" s="83" t="n">
        <f aca="false">N710*O710</f>
        <v>102.9156</v>
      </c>
      <c r="Q710" s="20" t="s">
        <v>1428</v>
      </c>
      <c r="R710" s="84" t="s">
        <v>660</v>
      </c>
      <c r="S710" s="20"/>
      <c r="T710" s="20" t="s">
        <v>123</v>
      </c>
      <c r="U710" s="53" t="n">
        <v>0</v>
      </c>
      <c r="V710" s="76" t="s">
        <v>918</v>
      </c>
      <c r="W710" s="53" t="n">
        <v>2</v>
      </c>
    </row>
    <row r="711" customFormat="false" ht="35.05" hidden="false" customHeight="false" outlineLevel="0" collapsed="false">
      <c r="A711" s="76" t="n">
        <v>694</v>
      </c>
      <c r="B711" s="20" t="s">
        <v>1167</v>
      </c>
      <c r="C711" s="20" t="s">
        <v>912</v>
      </c>
      <c r="D711" s="20" t="s">
        <v>913</v>
      </c>
      <c r="E711" s="20" t="s">
        <v>1427</v>
      </c>
      <c r="F711" s="76" t="s">
        <v>919</v>
      </c>
      <c r="G711" s="20" t="s">
        <v>929</v>
      </c>
      <c r="H711" s="55" t="n">
        <v>10</v>
      </c>
      <c r="I711" s="76" t="s">
        <v>512</v>
      </c>
      <c r="J711" s="76" t="s">
        <v>164</v>
      </c>
      <c r="K711" s="82" t="n">
        <v>12</v>
      </c>
      <c r="L711" s="55" t="n">
        <v>1</v>
      </c>
      <c r="M711" s="73" t="n">
        <v>0.4</v>
      </c>
      <c r="N711" s="74" t="n">
        <f aca="false">K711*L711*M711</f>
        <v>4.8</v>
      </c>
      <c r="O711" s="41" t="n">
        <f aca="false">IFERROR(INDEX(Исходные!$B$21:$B$33,MATCH(H711,Исходные!$A$21:$A$33,0)),0)</f>
        <v>0.617</v>
      </c>
      <c r="P711" s="83" t="n">
        <f aca="false">N711*O711</f>
        <v>2.9616</v>
      </c>
      <c r="Q711" s="20" t="s">
        <v>921</v>
      </c>
      <c r="R711" s="84" t="s">
        <v>667</v>
      </c>
      <c r="S711" s="20" t="s">
        <v>930</v>
      </c>
      <c r="T711" s="20" t="s">
        <v>123</v>
      </c>
      <c r="U711" s="53" t="n">
        <v>0</v>
      </c>
      <c r="V711" s="76" t="s">
        <v>918</v>
      </c>
      <c r="W711" s="53" t="n">
        <v>2</v>
      </c>
    </row>
    <row r="712" customFormat="false" ht="35.05" hidden="false" customHeight="false" outlineLevel="0" collapsed="false">
      <c r="A712" s="76" t="n">
        <v>695</v>
      </c>
      <c r="B712" s="20" t="s">
        <v>1167</v>
      </c>
      <c r="C712" s="20" t="s">
        <v>912</v>
      </c>
      <c r="D712" s="20" t="s">
        <v>913</v>
      </c>
      <c r="E712" s="20" t="s">
        <v>1427</v>
      </c>
      <c r="F712" s="76" t="s">
        <v>915</v>
      </c>
      <c r="G712" s="20" t="s">
        <v>916</v>
      </c>
      <c r="H712" s="55" t="n">
        <v>10</v>
      </c>
      <c r="I712" s="76" t="s">
        <v>512</v>
      </c>
      <c r="J712" s="76" t="n">
        <v>200</v>
      </c>
      <c r="K712" s="82" t="n">
        <v>1</v>
      </c>
      <c r="L712" s="55" t="n">
        <v>1</v>
      </c>
      <c r="M712" s="73" t="n">
        <v>10.77</v>
      </c>
      <c r="N712" s="74" t="n">
        <f aca="false">K712*L712*M712</f>
        <v>10.77</v>
      </c>
      <c r="O712" s="41" t="n">
        <f aca="false">IFERROR(INDEX(Исходные!$B$21:$B$33,MATCH(H712,Исходные!$A$21:$A$33,0)),0)</f>
        <v>0.617</v>
      </c>
      <c r="P712" s="83" t="n">
        <f aca="false">N712*O712</f>
        <v>6.64509</v>
      </c>
      <c r="Q712" s="20" t="s">
        <v>1428</v>
      </c>
      <c r="R712" s="84" t="s">
        <v>660</v>
      </c>
      <c r="S712" s="20"/>
      <c r="T712" s="20" t="s">
        <v>123</v>
      </c>
      <c r="U712" s="53" t="n">
        <v>0</v>
      </c>
      <c r="V712" s="76" t="s">
        <v>918</v>
      </c>
      <c r="W712" s="53" t="n">
        <v>2</v>
      </c>
    </row>
    <row r="713" customFormat="false" ht="35.05" hidden="false" customHeight="false" outlineLevel="0" collapsed="false">
      <c r="A713" s="76" t="n">
        <v>696</v>
      </c>
      <c r="B713" s="20" t="s">
        <v>1167</v>
      </c>
      <c r="C713" s="20" t="s">
        <v>912</v>
      </c>
      <c r="D713" s="20" t="s">
        <v>913</v>
      </c>
      <c r="E713" s="20" t="s">
        <v>1427</v>
      </c>
      <c r="F713" s="76" t="s">
        <v>915</v>
      </c>
      <c r="G713" s="20" t="s">
        <v>916</v>
      </c>
      <c r="H713" s="55" t="n">
        <v>10</v>
      </c>
      <c r="I713" s="76" t="s">
        <v>512</v>
      </c>
      <c r="J713" s="76" t="n">
        <v>200</v>
      </c>
      <c r="K713" s="82" t="n">
        <v>1</v>
      </c>
      <c r="L713" s="55" t="n">
        <v>14</v>
      </c>
      <c r="M713" s="73" t="n">
        <v>7.97</v>
      </c>
      <c r="N713" s="74" t="n">
        <f aca="false">K713*L713*M713</f>
        <v>111.58</v>
      </c>
      <c r="O713" s="41" t="n">
        <f aca="false">IFERROR(INDEX(Исходные!$B$21:$B$33,MATCH(H713,Исходные!$A$21:$A$33,0)),0)</f>
        <v>0.617</v>
      </c>
      <c r="P713" s="83" t="n">
        <f aca="false">N713*O713</f>
        <v>68.84486</v>
      </c>
      <c r="Q713" s="20" t="s">
        <v>1428</v>
      </c>
      <c r="R713" s="84" t="s">
        <v>660</v>
      </c>
      <c r="S713" s="20"/>
      <c r="T713" s="20" t="s">
        <v>123</v>
      </c>
      <c r="U713" s="53" t="n">
        <v>0</v>
      </c>
      <c r="V713" s="76" t="s">
        <v>918</v>
      </c>
      <c r="W713" s="53" t="n">
        <v>2</v>
      </c>
    </row>
    <row r="714" customFormat="false" ht="35.05" hidden="false" customHeight="false" outlineLevel="0" collapsed="false">
      <c r="A714" s="76" t="n">
        <v>697</v>
      </c>
      <c r="B714" s="20" t="s">
        <v>1167</v>
      </c>
      <c r="C714" s="20" t="s">
        <v>912</v>
      </c>
      <c r="D714" s="20" t="s">
        <v>913</v>
      </c>
      <c r="E714" s="20" t="s">
        <v>1427</v>
      </c>
      <c r="F714" s="76" t="s">
        <v>915</v>
      </c>
      <c r="G714" s="20" t="s">
        <v>916</v>
      </c>
      <c r="H714" s="55" t="n">
        <v>10</v>
      </c>
      <c r="I714" s="76" t="s">
        <v>512</v>
      </c>
      <c r="J714" s="76" t="n">
        <v>200</v>
      </c>
      <c r="K714" s="82" t="n">
        <v>1</v>
      </c>
      <c r="L714" s="55" t="n">
        <v>9</v>
      </c>
      <c r="M714" s="73" t="n">
        <v>7.95</v>
      </c>
      <c r="N714" s="74" t="n">
        <f aca="false">K714*L714*M714</f>
        <v>71.55</v>
      </c>
      <c r="O714" s="41" t="n">
        <f aca="false">IFERROR(INDEX(Исходные!$B$21:$B$33,MATCH(H714,Исходные!$A$21:$A$33,0)),0)</f>
        <v>0.617</v>
      </c>
      <c r="P714" s="83" t="n">
        <f aca="false">N714*O714</f>
        <v>44.14635</v>
      </c>
      <c r="Q714" s="20" t="s">
        <v>1428</v>
      </c>
      <c r="R714" s="84" t="s">
        <v>660</v>
      </c>
      <c r="S714" s="20"/>
      <c r="T714" s="20" t="s">
        <v>123</v>
      </c>
      <c r="U714" s="53" t="n">
        <v>0</v>
      </c>
      <c r="V714" s="76" t="s">
        <v>918</v>
      </c>
      <c r="W714" s="53" t="n">
        <v>2</v>
      </c>
    </row>
    <row r="715" customFormat="false" ht="35.05" hidden="false" customHeight="false" outlineLevel="0" collapsed="false">
      <c r="A715" s="76" t="n">
        <v>698</v>
      </c>
      <c r="B715" s="20" t="s">
        <v>1167</v>
      </c>
      <c r="C715" s="20" t="s">
        <v>912</v>
      </c>
      <c r="D715" s="20" t="s">
        <v>913</v>
      </c>
      <c r="E715" s="20" t="s">
        <v>1427</v>
      </c>
      <c r="F715" s="76" t="s">
        <v>915</v>
      </c>
      <c r="G715" s="20" t="s">
        <v>916</v>
      </c>
      <c r="H715" s="55" t="n">
        <v>10</v>
      </c>
      <c r="I715" s="76" t="s">
        <v>512</v>
      </c>
      <c r="J715" s="76" t="n">
        <v>200</v>
      </c>
      <c r="K715" s="82" t="n">
        <v>1</v>
      </c>
      <c r="L715" s="55" t="n">
        <v>13</v>
      </c>
      <c r="M715" s="73" t="n">
        <v>7.17</v>
      </c>
      <c r="N715" s="74" t="n">
        <f aca="false">K715*L715*M715</f>
        <v>93.21</v>
      </c>
      <c r="O715" s="41" t="n">
        <f aca="false">IFERROR(INDEX(Исходные!$B$21:$B$33,MATCH(H715,Исходные!$A$21:$A$33,0)),0)</f>
        <v>0.617</v>
      </c>
      <c r="P715" s="83" t="n">
        <f aca="false">N715*O715</f>
        <v>57.51057</v>
      </c>
      <c r="Q715" s="20" t="s">
        <v>1428</v>
      </c>
      <c r="R715" s="84" t="s">
        <v>660</v>
      </c>
      <c r="S715" s="20"/>
      <c r="T715" s="20" t="s">
        <v>123</v>
      </c>
      <c r="U715" s="53" t="n">
        <v>0</v>
      </c>
      <c r="V715" s="76" t="s">
        <v>918</v>
      </c>
      <c r="W715" s="53" t="n">
        <v>2</v>
      </c>
    </row>
    <row r="716" customFormat="false" ht="35.05" hidden="false" customHeight="false" outlineLevel="0" collapsed="false">
      <c r="A716" s="76" t="n">
        <v>699</v>
      </c>
      <c r="B716" s="20" t="s">
        <v>1167</v>
      </c>
      <c r="C716" s="20" t="s">
        <v>912</v>
      </c>
      <c r="D716" s="20" t="s">
        <v>913</v>
      </c>
      <c r="E716" s="20" t="s">
        <v>1427</v>
      </c>
      <c r="F716" s="76" t="s">
        <v>915</v>
      </c>
      <c r="G716" s="20" t="s">
        <v>916</v>
      </c>
      <c r="H716" s="55" t="n">
        <v>10</v>
      </c>
      <c r="I716" s="76" t="s">
        <v>512</v>
      </c>
      <c r="J716" s="76" t="n">
        <v>200</v>
      </c>
      <c r="K716" s="82" t="n">
        <v>1</v>
      </c>
      <c r="L716" s="55" t="n">
        <v>9</v>
      </c>
      <c r="M716" s="73" t="n">
        <v>3.78</v>
      </c>
      <c r="N716" s="74" t="n">
        <f aca="false">K716*L716*M716</f>
        <v>34.02</v>
      </c>
      <c r="O716" s="41" t="n">
        <f aca="false">IFERROR(INDEX(Исходные!$B$21:$B$33,MATCH(H716,Исходные!$A$21:$A$33,0)),0)</f>
        <v>0.617</v>
      </c>
      <c r="P716" s="83" t="n">
        <f aca="false">N716*O716</f>
        <v>20.99034</v>
      </c>
      <c r="Q716" s="20" t="s">
        <v>1428</v>
      </c>
      <c r="R716" s="84" t="s">
        <v>660</v>
      </c>
      <c r="S716" s="20"/>
      <c r="T716" s="20" t="s">
        <v>123</v>
      </c>
      <c r="U716" s="53" t="n">
        <v>0</v>
      </c>
      <c r="V716" s="76" t="s">
        <v>918</v>
      </c>
      <c r="W716" s="53" t="n">
        <v>2</v>
      </c>
    </row>
    <row r="717" customFormat="false" ht="35.05" hidden="false" customHeight="false" outlineLevel="0" collapsed="false">
      <c r="A717" s="76" t="n">
        <v>700</v>
      </c>
      <c r="B717" s="20" t="s">
        <v>1167</v>
      </c>
      <c r="C717" s="20" t="s">
        <v>912</v>
      </c>
      <c r="D717" s="20" t="s">
        <v>913</v>
      </c>
      <c r="E717" s="20" t="s">
        <v>1427</v>
      </c>
      <c r="F717" s="76" t="s">
        <v>931</v>
      </c>
      <c r="G717" s="20" t="s">
        <v>932</v>
      </c>
      <c r="H717" s="55" t="n">
        <v>10</v>
      </c>
      <c r="I717" s="76" t="s">
        <v>512</v>
      </c>
      <c r="J717" s="76" t="n">
        <v>200</v>
      </c>
      <c r="K717" s="82" t="n">
        <v>1</v>
      </c>
      <c r="L717" s="55" t="n">
        <v>40</v>
      </c>
      <c r="M717" s="73" t="n">
        <v>22.32</v>
      </c>
      <c r="N717" s="74" t="n">
        <f aca="false">K717*L717*M717</f>
        <v>892.8</v>
      </c>
      <c r="O717" s="41" t="n">
        <f aca="false">IFERROR(INDEX(Исходные!$B$21:$B$33,MATCH(H717,Исходные!$A$21:$A$33,0)),0)</f>
        <v>0.617</v>
      </c>
      <c r="P717" s="83" t="n">
        <f aca="false">N717*O717</f>
        <v>550.8576</v>
      </c>
      <c r="Q717" s="20" t="s">
        <v>1428</v>
      </c>
      <c r="R717" s="84" t="s">
        <v>660</v>
      </c>
      <c r="S717" s="20"/>
      <c r="T717" s="20" t="s">
        <v>123</v>
      </c>
      <c r="U717" s="53" t="n">
        <v>0</v>
      </c>
      <c r="V717" s="76" t="s">
        <v>918</v>
      </c>
      <c r="W717" s="53" t="n">
        <v>2</v>
      </c>
    </row>
    <row r="718" customFormat="false" ht="35.05" hidden="false" customHeight="false" outlineLevel="0" collapsed="false">
      <c r="A718" s="76" t="n">
        <v>701</v>
      </c>
      <c r="B718" s="20" t="s">
        <v>1167</v>
      </c>
      <c r="C718" s="20" t="s">
        <v>912</v>
      </c>
      <c r="D718" s="20" t="s">
        <v>913</v>
      </c>
      <c r="E718" s="20" t="s">
        <v>1427</v>
      </c>
      <c r="F718" s="76" t="s">
        <v>933</v>
      </c>
      <c r="G718" s="20" t="s">
        <v>1433</v>
      </c>
      <c r="H718" s="55" t="n">
        <v>10</v>
      </c>
      <c r="I718" s="76" t="s">
        <v>512</v>
      </c>
      <c r="J718" s="76" t="s">
        <v>164</v>
      </c>
      <c r="K718" s="82" t="n">
        <v>40</v>
      </c>
      <c r="L718" s="55" t="n">
        <v>1</v>
      </c>
      <c r="M718" s="73" t="n">
        <v>0.4</v>
      </c>
      <c r="N718" s="74" t="n">
        <f aca="false">K718*L718*M718</f>
        <v>16</v>
      </c>
      <c r="O718" s="41" t="n">
        <f aca="false">IFERROR(INDEX(Исходные!$B$21:$B$33,MATCH(H718,Исходные!$A$21:$A$33,0)),0)</f>
        <v>0.617</v>
      </c>
      <c r="P718" s="83" t="n">
        <f aca="false">N718*O718</f>
        <v>9.872</v>
      </c>
      <c r="Q718" s="20" t="s">
        <v>921</v>
      </c>
      <c r="R718" s="84" t="s">
        <v>667</v>
      </c>
      <c r="S718" s="20" t="s">
        <v>1434</v>
      </c>
      <c r="T718" s="20" t="s">
        <v>123</v>
      </c>
      <c r="U718" s="53" t="n">
        <v>0</v>
      </c>
      <c r="V718" s="76" t="s">
        <v>918</v>
      </c>
      <c r="W718" s="53" t="n">
        <v>2</v>
      </c>
    </row>
    <row r="719" customFormat="false" ht="35.05" hidden="false" customHeight="false" outlineLevel="0" collapsed="false">
      <c r="A719" s="76" t="n">
        <v>702</v>
      </c>
      <c r="B719" s="20" t="s">
        <v>1167</v>
      </c>
      <c r="C719" s="20" t="s">
        <v>912</v>
      </c>
      <c r="D719" s="20" t="s">
        <v>913</v>
      </c>
      <c r="E719" s="20" t="s">
        <v>1427</v>
      </c>
      <c r="F719" s="76" t="s">
        <v>931</v>
      </c>
      <c r="G719" s="20" t="s">
        <v>932</v>
      </c>
      <c r="H719" s="55" t="n">
        <v>10</v>
      </c>
      <c r="I719" s="76" t="s">
        <v>512</v>
      </c>
      <c r="J719" s="76" t="n">
        <v>200</v>
      </c>
      <c r="K719" s="82" t="n">
        <v>1</v>
      </c>
      <c r="L719" s="55" t="n">
        <v>41</v>
      </c>
      <c r="M719" s="73" t="n">
        <v>20.6</v>
      </c>
      <c r="N719" s="74" t="n">
        <f aca="false">K719*L719*M719</f>
        <v>844.6</v>
      </c>
      <c r="O719" s="41" t="n">
        <f aca="false">IFERROR(INDEX(Исходные!$B$21:$B$33,MATCH(H719,Исходные!$A$21:$A$33,0)),0)</f>
        <v>0.617</v>
      </c>
      <c r="P719" s="83" t="n">
        <f aca="false">N719*O719</f>
        <v>521.1182</v>
      </c>
      <c r="Q719" s="20" t="s">
        <v>1428</v>
      </c>
      <c r="R719" s="84" t="s">
        <v>660</v>
      </c>
      <c r="S719" s="20"/>
      <c r="T719" s="20" t="s">
        <v>123</v>
      </c>
      <c r="U719" s="53" t="n">
        <v>0</v>
      </c>
      <c r="V719" s="76" t="s">
        <v>918</v>
      </c>
      <c r="W719" s="53" t="n">
        <v>2</v>
      </c>
    </row>
    <row r="720" customFormat="false" ht="35.05" hidden="false" customHeight="false" outlineLevel="0" collapsed="false">
      <c r="A720" s="76" t="n">
        <v>703</v>
      </c>
      <c r="B720" s="20" t="s">
        <v>1167</v>
      </c>
      <c r="C720" s="20" t="s">
        <v>912</v>
      </c>
      <c r="D720" s="20" t="s">
        <v>913</v>
      </c>
      <c r="E720" s="20" t="s">
        <v>1427</v>
      </c>
      <c r="F720" s="76" t="s">
        <v>933</v>
      </c>
      <c r="G720" s="20" t="s">
        <v>1435</v>
      </c>
      <c r="H720" s="55" t="n">
        <v>10</v>
      </c>
      <c r="I720" s="76" t="s">
        <v>512</v>
      </c>
      <c r="J720" s="76" t="s">
        <v>164</v>
      </c>
      <c r="K720" s="82" t="n">
        <v>41</v>
      </c>
      <c r="L720" s="55" t="n">
        <v>1</v>
      </c>
      <c r="M720" s="73" t="n">
        <v>0.4</v>
      </c>
      <c r="N720" s="74" t="n">
        <f aca="false">K720*L720*M720</f>
        <v>16.4</v>
      </c>
      <c r="O720" s="41" t="n">
        <f aca="false">IFERROR(INDEX(Исходные!$B$21:$B$33,MATCH(H720,Исходные!$A$21:$A$33,0)),0)</f>
        <v>0.617</v>
      </c>
      <c r="P720" s="83" t="n">
        <f aca="false">N720*O720</f>
        <v>10.1188</v>
      </c>
      <c r="Q720" s="20" t="s">
        <v>921</v>
      </c>
      <c r="R720" s="84" t="s">
        <v>667</v>
      </c>
      <c r="S720" s="20" t="s">
        <v>1436</v>
      </c>
      <c r="T720" s="20" t="s">
        <v>123</v>
      </c>
      <c r="U720" s="53" t="n">
        <v>0</v>
      </c>
      <c r="V720" s="76" t="s">
        <v>918</v>
      </c>
      <c r="W720" s="53" t="n">
        <v>2</v>
      </c>
    </row>
    <row r="721" customFormat="false" ht="35.05" hidden="false" customHeight="false" outlineLevel="0" collapsed="false">
      <c r="A721" s="76" t="n">
        <v>704</v>
      </c>
      <c r="B721" s="20" t="s">
        <v>1167</v>
      </c>
      <c r="C721" s="20" t="s">
        <v>912</v>
      </c>
      <c r="D721" s="20" t="s">
        <v>913</v>
      </c>
      <c r="E721" s="20" t="s">
        <v>1427</v>
      </c>
      <c r="F721" s="76" t="s">
        <v>931</v>
      </c>
      <c r="G721" s="20" t="s">
        <v>932</v>
      </c>
      <c r="H721" s="55" t="n">
        <v>10</v>
      </c>
      <c r="I721" s="76" t="s">
        <v>512</v>
      </c>
      <c r="J721" s="76" t="n">
        <v>200</v>
      </c>
      <c r="K721" s="82" t="n">
        <v>1</v>
      </c>
      <c r="L721" s="55" t="n">
        <v>26</v>
      </c>
      <c r="M721" s="73" t="n">
        <v>20.48</v>
      </c>
      <c r="N721" s="74" t="n">
        <f aca="false">K721*L721*M721</f>
        <v>532.48</v>
      </c>
      <c r="O721" s="41" t="n">
        <f aca="false">IFERROR(INDEX(Исходные!$B$21:$B$33,MATCH(H721,Исходные!$A$21:$A$33,0)),0)</f>
        <v>0.617</v>
      </c>
      <c r="P721" s="83" t="n">
        <f aca="false">N721*O721</f>
        <v>328.54016</v>
      </c>
      <c r="Q721" s="20" t="s">
        <v>1428</v>
      </c>
      <c r="R721" s="84" t="s">
        <v>660</v>
      </c>
      <c r="S721" s="20"/>
      <c r="T721" s="20" t="s">
        <v>123</v>
      </c>
      <c r="U721" s="53" t="n">
        <v>0</v>
      </c>
      <c r="V721" s="76" t="s">
        <v>918</v>
      </c>
      <c r="W721" s="53" t="n">
        <v>2</v>
      </c>
    </row>
    <row r="722" customFormat="false" ht="35.05" hidden="false" customHeight="false" outlineLevel="0" collapsed="false">
      <c r="A722" s="76" t="n">
        <v>705</v>
      </c>
      <c r="B722" s="20" t="s">
        <v>1167</v>
      </c>
      <c r="C722" s="20" t="s">
        <v>912</v>
      </c>
      <c r="D722" s="20" t="s">
        <v>913</v>
      </c>
      <c r="E722" s="20" t="s">
        <v>1427</v>
      </c>
      <c r="F722" s="76" t="s">
        <v>933</v>
      </c>
      <c r="G722" s="20" t="s">
        <v>938</v>
      </c>
      <c r="H722" s="55" t="n">
        <v>10</v>
      </c>
      <c r="I722" s="76" t="s">
        <v>512</v>
      </c>
      <c r="J722" s="76" t="s">
        <v>164</v>
      </c>
      <c r="K722" s="82" t="n">
        <v>26</v>
      </c>
      <c r="L722" s="55" t="n">
        <v>1</v>
      </c>
      <c r="M722" s="73" t="n">
        <v>0.4</v>
      </c>
      <c r="N722" s="74" t="n">
        <f aca="false">K722*L722*M722</f>
        <v>10.4</v>
      </c>
      <c r="O722" s="41" t="n">
        <f aca="false">IFERROR(INDEX(Исходные!$B$21:$B$33,MATCH(H722,Исходные!$A$21:$A$33,0)),0)</f>
        <v>0.617</v>
      </c>
      <c r="P722" s="83" t="n">
        <f aca="false">N722*O722</f>
        <v>6.4168</v>
      </c>
      <c r="Q722" s="20" t="s">
        <v>921</v>
      </c>
      <c r="R722" s="84" t="s">
        <v>667</v>
      </c>
      <c r="S722" s="20" t="s">
        <v>939</v>
      </c>
      <c r="T722" s="20" t="s">
        <v>123</v>
      </c>
      <c r="U722" s="53" t="n">
        <v>0</v>
      </c>
      <c r="V722" s="76" t="s">
        <v>918</v>
      </c>
      <c r="W722" s="53" t="n">
        <v>2</v>
      </c>
    </row>
    <row r="723" customFormat="false" ht="35.05" hidden="false" customHeight="false" outlineLevel="0" collapsed="false">
      <c r="A723" s="76" t="n">
        <v>706</v>
      </c>
      <c r="B723" s="20" t="s">
        <v>1167</v>
      </c>
      <c r="C723" s="20" t="s">
        <v>912</v>
      </c>
      <c r="D723" s="20" t="s">
        <v>913</v>
      </c>
      <c r="E723" s="20" t="s">
        <v>1427</v>
      </c>
      <c r="F723" s="76" t="s">
        <v>931</v>
      </c>
      <c r="G723" s="20" t="s">
        <v>932</v>
      </c>
      <c r="H723" s="55" t="n">
        <v>10</v>
      </c>
      <c r="I723" s="76" t="s">
        <v>512</v>
      </c>
      <c r="J723" s="76" t="n">
        <v>200</v>
      </c>
      <c r="K723" s="82" t="n">
        <v>1</v>
      </c>
      <c r="L723" s="55" t="n">
        <v>2</v>
      </c>
      <c r="M723" s="73" t="n">
        <v>19.01</v>
      </c>
      <c r="N723" s="74" t="n">
        <f aca="false">K723*L723*M723</f>
        <v>38.02</v>
      </c>
      <c r="O723" s="41" t="n">
        <f aca="false">IFERROR(INDEX(Исходные!$B$21:$B$33,MATCH(H723,Исходные!$A$21:$A$33,0)),0)</f>
        <v>0.617</v>
      </c>
      <c r="P723" s="83" t="n">
        <f aca="false">N723*O723</f>
        <v>23.45834</v>
      </c>
      <c r="Q723" s="20" t="s">
        <v>1428</v>
      </c>
      <c r="R723" s="84" t="s">
        <v>660</v>
      </c>
      <c r="S723" s="20"/>
      <c r="T723" s="20" t="s">
        <v>123</v>
      </c>
      <c r="U723" s="53" t="n">
        <v>0</v>
      </c>
      <c r="V723" s="76" t="s">
        <v>918</v>
      </c>
      <c r="W723" s="53" t="n">
        <v>2</v>
      </c>
    </row>
    <row r="724" customFormat="false" ht="35.05" hidden="false" customHeight="false" outlineLevel="0" collapsed="false">
      <c r="A724" s="76" t="n">
        <v>707</v>
      </c>
      <c r="B724" s="20" t="s">
        <v>1167</v>
      </c>
      <c r="C724" s="20" t="s">
        <v>912</v>
      </c>
      <c r="D724" s="20" t="s">
        <v>913</v>
      </c>
      <c r="E724" s="20" t="s">
        <v>1427</v>
      </c>
      <c r="F724" s="76" t="s">
        <v>933</v>
      </c>
      <c r="G724" s="20" t="s">
        <v>940</v>
      </c>
      <c r="H724" s="55" t="n">
        <v>10</v>
      </c>
      <c r="I724" s="76" t="s">
        <v>512</v>
      </c>
      <c r="J724" s="76" t="s">
        <v>164</v>
      </c>
      <c r="K724" s="82" t="n">
        <v>2</v>
      </c>
      <c r="L724" s="55" t="n">
        <v>1</v>
      </c>
      <c r="M724" s="73" t="n">
        <v>0.4</v>
      </c>
      <c r="N724" s="74" t="n">
        <f aca="false">K724*L724*M724</f>
        <v>0.8</v>
      </c>
      <c r="O724" s="41" t="n">
        <f aca="false">IFERROR(INDEX(Исходные!$B$21:$B$33,MATCH(H724,Исходные!$A$21:$A$33,0)),0)</f>
        <v>0.617</v>
      </c>
      <c r="P724" s="83" t="n">
        <f aca="false">N724*O724</f>
        <v>0.4936</v>
      </c>
      <c r="Q724" s="20" t="s">
        <v>921</v>
      </c>
      <c r="R724" s="84" t="s">
        <v>667</v>
      </c>
      <c r="S724" s="20" t="s">
        <v>941</v>
      </c>
      <c r="T724" s="20" t="s">
        <v>123</v>
      </c>
      <c r="U724" s="53" t="n">
        <v>0</v>
      </c>
      <c r="V724" s="76" t="s">
        <v>918</v>
      </c>
      <c r="W724" s="53" t="n">
        <v>2</v>
      </c>
    </row>
    <row r="725" customFormat="false" ht="35.05" hidden="false" customHeight="false" outlineLevel="0" collapsed="false">
      <c r="A725" s="76" t="n">
        <v>708</v>
      </c>
      <c r="B725" s="20" t="s">
        <v>1167</v>
      </c>
      <c r="C725" s="20" t="s">
        <v>912</v>
      </c>
      <c r="D725" s="20" t="s">
        <v>913</v>
      </c>
      <c r="E725" s="20" t="s">
        <v>1427</v>
      </c>
      <c r="F725" s="76" t="s">
        <v>931</v>
      </c>
      <c r="G725" s="20" t="s">
        <v>932</v>
      </c>
      <c r="H725" s="55" t="n">
        <v>10</v>
      </c>
      <c r="I725" s="76" t="s">
        <v>512</v>
      </c>
      <c r="J725" s="76" t="n">
        <v>200</v>
      </c>
      <c r="K725" s="82" t="n">
        <v>1</v>
      </c>
      <c r="L725" s="55" t="n">
        <v>3</v>
      </c>
      <c r="M725" s="73" t="n">
        <v>17.28</v>
      </c>
      <c r="N725" s="74" t="n">
        <f aca="false">K725*L725*M725</f>
        <v>51.84</v>
      </c>
      <c r="O725" s="41" t="n">
        <f aca="false">IFERROR(INDEX(Исходные!$B$21:$B$33,MATCH(H725,Исходные!$A$21:$A$33,0)),0)</f>
        <v>0.617</v>
      </c>
      <c r="P725" s="83" t="n">
        <f aca="false">N725*O725</f>
        <v>31.98528</v>
      </c>
      <c r="Q725" s="20" t="s">
        <v>1428</v>
      </c>
      <c r="R725" s="84" t="s">
        <v>660</v>
      </c>
      <c r="S725" s="20"/>
      <c r="T725" s="20" t="s">
        <v>123</v>
      </c>
      <c r="U725" s="53" t="n">
        <v>0</v>
      </c>
      <c r="V725" s="76" t="s">
        <v>918</v>
      </c>
      <c r="W725" s="53" t="n">
        <v>2</v>
      </c>
    </row>
    <row r="726" customFormat="false" ht="35.05" hidden="false" customHeight="false" outlineLevel="0" collapsed="false">
      <c r="A726" s="76" t="n">
        <v>709</v>
      </c>
      <c r="B726" s="20" t="s">
        <v>1167</v>
      </c>
      <c r="C726" s="20" t="s">
        <v>912</v>
      </c>
      <c r="D726" s="20" t="s">
        <v>913</v>
      </c>
      <c r="E726" s="20" t="s">
        <v>1427</v>
      </c>
      <c r="F726" s="76" t="s">
        <v>933</v>
      </c>
      <c r="G726" s="20" t="s">
        <v>1437</v>
      </c>
      <c r="H726" s="55" t="n">
        <v>10</v>
      </c>
      <c r="I726" s="76" t="s">
        <v>512</v>
      </c>
      <c r="J726" s="76" t="s">
        <v>164</v>
      </c>
      <c r="K726" s="82" t="n">
        <v>3</v>
      </c>
      <c r="L726" s="55" t="n">
        <v>1</v>
      </c>
      <c r="M726" s="73" t="n">
        <v>0.4</v>
      </c>
      <c r="N726" s="74" t="n">
        <f aca="false">K726*L726*M726</f>
        <v>1.2</v>
      </c>
      <c r="O726" s="41" t="n">
        <f aca="false">IFERROR(INDEX(Исходные!$B$21:$B$33,MATCH(H726,Исходные!$A$21:$A$33,0)),0)</f>
        <v>0.617</v>
      </c>
      <c r="P726" s="83" t="n">
        <f aca="false">N726*O726</f>
        <v>0.7404</v>
      </c>
      <c r="Q726" s="20" t="s">
        <v>921</v>
      </c>
      <c r="R726" s="84" t="s">
        <v>667</v>
      </c>
      <c r="S726" s="20" t="s">
        <v>943</v>
      </c>
      <c r="T726" s="20" t="s">
        <v>123</v>
      </c>
      <c r="U726" s="53" t="n">
        <v>0</v>
      </c>
      <c r="V726" s="76" t="s">
        <v>918</v>
      </c>
      <c r="W726" s="53" t="n">
        <v>2</v>
      </c>
    </row>
    <row r="727" customFormat="false" ht="35.05" hidden="false" customHeight="false" outlineLevel="0" collapsed="false">
      <c r="A727" s="76" t="n">
        <v>710</v>
      </c>
      <c r="B727" s="20" t="s">
        <v>1167</v>
      </c>
      <c r="C727" s="20" t="s">
        <v>912</v>
      </c>
      <c r="D727" s="20" t="s">
        <v>913</v>
      </c>
      <c r="E727" s="20" t="s">
        <v>1427</v>
      </c>
      <c r="F727" s="76" t="s">
        <v>931</v>
      </c>
      <c r="G727" s="20" t="s">
        <v>932</v>
      </c>
      <c r="H727" s="55" t="n">
        <v>10</v>
      </c>
      <c r="I727" s="76" t="s">
        <v>512</v>
      </c>
      <c r="J727" s="76" t="n">
        <v>200</v>
      </c>
      <c r="K727" s="82" t="n">
        <v>1</v>
      </c>
      <c r="L727" s="55" t="n">
        <v>17</v>
      </c>
      <c r="M727" s="73" t="n">
        <v>15.6</v>
      </c>
      <c r="N727" s="74" t="n">
        <f aca="false">K727*L727*M727</f>
        <v>265.2</v>
      </c>
      <c r="O727" s="41" t="n">
        <f aca="false">IFERROR(INDEX(Исходные!$B$21:$B$33,MATCH(H727,Исходные!$A$21:$A$33,0)),0)</f>
        <v>0.617</v>
      </c>
      <c r="P727" s="83" t="n">
        <f aca="false">N727*O727</f>
        <v>163.6284</v>
      </c>
      <c r="Q727" s="20" t="s">
        <v>1428</v>
      </c>
      <c r="R727" s="84" t="s">
        <v>660</v>
      </c>
      <c r="S727" s="20"/>
      <c r="T727" s="20" t="s">
        <v>123</v>
      </c>
      <c r="U727" s="53" t="n">
        <v>0</v>
      </c>
      <c r="V727" s="76" t="s">
        <v>918</v>
      </c>
      <c r="W727" s="53" t="n">
        <v>2</v>
      </c>
    </row>
    <row r="728" customFormat="false" ht="35.05" hidden="false" customHeight="false" outlineLevel="0" collapsed="false">
      <c r="A728" s="76" t="n">
        <v>711</v>
      </c>
      <c r="B728" s="20" t="s">
        <v>1167</v>
      </c>
      <c r="C728" s="20" t="s">
        <v>912</v>
      </c>
      <c r="D728" s="20" t="s">
        <v>913</v>
      </c>
      <c r="E728" s="20" t="s">
        <v>1427</v>
      </c>
      <c r="F728" s="76" t="s">
        <v>933</v>
      </c>
      <c r="G728" s="20" t="s">
        <v>944</v>
      </c>
      <c r="H728" s="55" t="n">
        <v>10</v>
      </c>
      <c r="I728" s="76" t="s">
        <v>512</v>
      </c>
      <c r="J728" s="76" t="s">
        <v>164</v>
      </c>
      <c r="K728" s="82" t="n">
        <v>17</v>
      </c>
      <c r="L728" s="55" t="n">
        <v>1</v>
      </c>
      <c r="M728" s="73" t="n">
        <v>0.4</v>
      </c>
      <c r="N728" s="74" t="n">
        <f aca="false">K728*L728*M728</f>
        <v>6.8</v>
      </c>
      <c r="O728" s="41" t="n">
        <f aca="false">IFERROR(INDEX(Исходные!$B$21:$B$33,MATCH(H728,Исходные!$A$21:$A$33,0)),0)</f>
        <v>0.617</v>
      </c>
      <c r="P728" s="83" t="n">
        <f aca="false">N728*O728</f>
        <v>4.1956</v>
      </c>
      <c r="Q728" s="20" t="s">
        <v>921</v>
      </c>
      <c r="R728" s="84" t="s">
        <v>667</v>
      </c>
      <c r="S728" s="20" t="s">
        <v>945</v>
      </c>
      <c r="T728" s="20" t="s">
        <v>123</v>
      </c>
      <c r="U728" s="53" t="n">
        <v>0</v>
      </c>
      <c r="V728" s="76" t="s">
        <v>918</v>
      </c>
      <c r="W728" s="53" t="n">
        <v>2</v>
      </c>
    </row>
    <row r="729" customFormat="false" ht="35.05" hidden="false" customHeight="false" outlineLevel="0" collapsed="false">
      <c r="A729" s="76" t="n">
        <v>712</v>
      </c>
      <c r="B729" s="20" t="s">
        <v>1167</v>
      </c>
      <c r="C729" s="20" t="s">
        <v>912</v>
      </c>
      <c r="D729" s="20" t="s">
        <v>913</v>
      </c>
      <c r="E729" s="20" t="s">
        <v>1427</v>
      </c>
      <c r="F729" s="76" t="s">
        <v>931</v>
      </c>
      <c r="G729" s="20" t="s">
        <v>932</v>
      </c>
      <c r="H729" s="55" t="n">
        <v>10</v>
      </c>
      <c r="I729" s="76" t="s">
        <v>512</v>
      </c>
      <c r="J729" s="76" t="n">
        <v>200</v>
      </c>
      <c r="K729" s="82" t="n">
        <v>1</v>
      </c>
      <c r="L729" s="55" t="n">
        <v>18</v>
      </c>
      <c r="M729" s="73" t="n">
        <v>4.15</v>
      </c>
      <c r="N729" s="74" t="n">
        <f aca="false">K729*L729*M729</f>
        <v>74.7</v>
      </c>
      <c r="O729" s="41" t="n">
        <f aca="false">IFERROR(INDEX(Исходные!$B$21:$B$33,MATCH(H729,Исходные!$A$21:$A$33,0)),0)</f>
        <v>0.617</v>
      </c>
      <c r="P729" s="83" t="n">
        <f aca="false">N729*O729</f>
        <v>46.0899</v>
      </c>
      <c r="Q729" s="20" t="s">
        <v>1428</v>
      </c>
      <c r="R729" s="84" t="s">
        <v>660</v>
      </c>
      <c r="S729" s="20"/>
      <c r="T729" s="20" t="s">
        <v>123</v>
      </c>
      <c r="U729" s="53" t="n">
        <v>0</v>
      </c>
      <c r="V729" s="76" t="s">
        <v>918</v>
      </c>
      <c r="W729" s="53" t="n">
        <v>2</v>
      </c>
    </row>
    <row r="730" customFormat="false" ht="35.05" hidden="false" customHeight="false" outlineLevel="0" collapsed="false">
      <c r="A730" s="76" t="n">
        <v>713</v>
      </c>
      <c r="B730" s="20" t="s">
        <v>1167</v>
      </c>
      <c r="C730" s="20" t="s">
        <v>912</v>
      </c>
      <c r="D730" s="20" t="s">
        <v>913</v>
      </c>
      <c r="E730" s="20" t="s">
        <v>1427</v>
      </c>
      <c r="F730" s="76" t="s">
        <v>931</v>
      </c>
      <c r="G730" s="20" t="s">
        <v>932</v>
      </c>
      <c r="H730" s="55" t="n">
        <v>10</v>
      </c>
      <c r="I730" s="76" t="s">
        <v>512</v>
      </c>
      <c r="J730" s="76" t="n">
        <v>200</v>
      </c>
      <c r="K730" s="82" t="n">
        <v>1</v>
      </c>
      <c r="L730" s="55" t="n">
        <v>22</v>
      </c>
      <c r="M730" s="73" t="n">
        <v>0.6</v>
      </c>
      <c r="N730" s="74" t="n">
        <f aca="false">K730*L730*M730</f>
        <v>13.2</v>
      </c>
      <c r="O730" s="41" t="n">
        <f aca="false">IFERROR(INDEX(Исходные!$B$21:$B$33,MATCH(H730,Исходные!$A$21:$A$33,0)),0)</f>
        <v>0.617</v>
      </c>
      <c r="P730" s="83" t="n">
        <f aca="false">N730*O730</f>
        <v>8.1444</v>
      </c>
      <c r="Q730" s="20" t="s">
        <v>1428</v>
      </c>
      <c r="R730" s="84" t="s">
        <v>660</v>
      </c>
      <c r="S730" s="20"/>
      <c r="T730" s="20" t="s">
        <v>123</v>
      </c>
      <c r="U730" s="53" t="n">
        <v>0</v>
      </c>
      <c r="V730" s="76" t="s">
        <v>918</v>
      </c>
      <c r="W730" s="53" t="n">
        <v>2</v>
      </c>
    </row>
    <row r="731" customFormat="false" ht="35.05" hidden="false" customHeight="false" outlineLevel="0" collapsed="false">
      <c r="A731" s="76" t="n">
        <v>714</v>
      </c>
      <c r="B731" s="20" t="s">
        <v>1167</v>
      </c>
      <c r="C731" s="20" t="s">
        <v>912</v>
      </c>
      <c r="D731" s="20" t="s">
        <v>913</v>
      </c>
      <c r="E731" s="20" t="s">
        <v>1427</v>
      </c>
      <c r="F731" s="76" t="s">
        <v>946</v>
      </c>
      <c r="G731" s="20" t="s">
        <v>947</v>
      </c>
      <c r="H731" s="55" t="n">
        <v>10</v>
      </c>
      <c r="I731" s="76" t="s">
        <v>512</v>
      </c>
      <c r="J731" s="76" t="n">
        <v>200</v>
      </c>
      <c r="K731" s="82" t="n">
        <v>1</v>
      </c>
      <c r="L731" s="55" t="n">
        <v>26</v>
      </c>
      <c r="M731" s="73" t="n">
        <v>27.32</v>
      </c>
      <c r="N731" s="74" t="n">
        <f aca="false">K731*L731*M731</f>
        <v>710.32</v>
      </c>
      <c r="O731" s="41" t="n">
        <f aca="false">IFERROR(INDEX(Исходные!$B$21:$B$33,MATCH(H731,Исходные!$A$21:$A$33,0)),0)</f>
        <v>0.617</v>
      </c>
      <c r="P731" s="83" t="n">
        <f aca="false">N731*O731</f>
        <v>438.26744</v>
      </c>
      <c r="Q731" s="20" t="s">
        <v>1428</v>
      </c>
      <c r="R731" s="84" t="s">
        <v>660</v>
      </c>
      <c r="S731" s="20"/>
      <c r="T731" s="20" t="s">
        <v>123</v>
      </c>
      <c r="U731" s="53" t="n">
        <v>0</v>
      </c>
      <c r="V731" s="76" t="s">
        <v>918</v>
      </c>
      <c r="W731" s="53" t="n">
        <v>2</v>
      </c>
    </row>
    <row r="732" customFormat="false" ht="35.05" hidden="false" customHeight="false" outlineLevel="0" collapsed="false">
      <c r="A732" s="76" t="n">
        <v>715</v>
      </c>
      <c r="B732" s="20" t="s">
        <v>1167</v>
      </c>
      <c r="C732" s="20" t="s">
        <v>912</v>
      </c>
      <c r="D732" s="20" t="s">
        <v>913</v>
      </c>
      <c r="E732" s="20" t="s">
        <v>1427</v>
      </c>
      <c r="F732" s="76" t="s">
        <v>948</v>
      </c>
      <c r="G732" s="20" t="s">
        <v>1438</v>
      </c>
      <c r="H732" s="55" t="n">
        <v>10</v>
      </c>
      <c r="I732" s="76" t="s">
        <v>512</v>
      </c>
      <c r="J732" s="76" t="s">
        <v>164</v>
      </c>
      <c r="K732" s="82" t="n">
        <v>26</v>
      </c>
      <c r="L732" s="55" t="n">
        <v>2</v>
      </c>
      <c r="M732" s="73" t="n">
        <v>0.4</v>
      </c>
      <c r="N732" s="74" t="n">
        <f aca="false">K732*L732*M732</f>
        <v>20.8</v>
      </c>
      <c r="O732" s="41" t="n">
        <f aca="false">IFERROR(INDEX(Исходные!$B$21:$B$33,MATCH(H732,Исходные!$A$21:$A$33,0)),0)</f>
        <v>0.617</v>
      </c>
      <c r="P732" s="83" t="n">
        <f aca="false">N732*O732</f>
        <v>12.8336</v>
      </c>
      <c r="Q732" s="20" t="s">
        <v>921</v>
      </c>
      <c r="R732" s="84" t="s">
        <v>667</v>
      </c>
      <c r="S732" s="20" t="s">
        <v>1430</v>
      </c>
      <c r="T732" s="20" t="s">
        <v>123</v>
      </c>
      <c r="U732" s="53" t="n">
        <v>0</v>
      </c>
      <c r="V732" s="76" t="s">
        <v>918</v>
      </c>
      <c r="W732" s="53" t="n">
        <v>2</v>
      </c>
    </row>
    <row r="733" customFormat="false" ht="35.05" hidden="false" customHeight="false" outlineLevel="0" collapsed="false">
      <c r="A733" s="76" t="n">
        <v>716</v>
      </c>
      <c r="B733" s="20" t="s">
        <v>1167</v>
      </c>
      <c r="C733" s="20" t="s">
        <v>912</v>
      </c>
      <c r="D733" s="20" t="s">
        <v>913</v>
      </c>
      <c r="E733" s="20" t="s">
        <v>1427</v>
      </c>
      <c r="F733" s="76" t="s">
        <v>946</v>
      </c>
      <c r="G733" s="20" t="s">
        <v>947</v>
      </c>
      <c r="H733" s="55" t="n">
        <v>10</v>
      </c>
      <c r="I733" s="76" t="s">
        <v>512</v>
      </c>
      <c r="J733" s="76" t="n">
        <v>200</v>
      </c>
      <c r="K733" s="82" t="n">
        <v>1</v>
      </c>
      <c r="L733" s="55" t="n">
        <v>49</v>
      </c>
      <c r="M733" s="73" t="n">
        <v>25.6</v>
      </c>
      <c r="N733" s="74" t="n">
        <f aca="false">K733*L733*M733</f>
        <v>1254.4</v>
      </c>
      <c r="O733" s="41" t="n">
        <f aca="false">IFERROR(INDEX(Исходные!$B$21:$B$33,MATCH(H733,Исходные!$A$21:$A$33,0)),0)</f>
        <v>0.617</v>
      </c>
      <c r="P733" s="83" t="n">
        <f aca="false">N733*O733</f>
        <v>773.9648</v>
      </c>
      <c r="Q733" s="20" t="s">
        <v>1428</v>
      </c>
      <c r="R733" s="84" t="s">
        <v>660</v>
      </c>
      <c r="S733" s="20"/>
      <c r="T733" s="20" t="s">
        <v>123</v>
      </c>
      <c r="U733" s="53" t="n">
        <v>0</v>
      </c>
      <c r="V733" s="76" t="s">
        <v>918</v>
      </c>
      <c r="W733" s="53" t="n">
        <v>2</v>
      </c>
    </row>
    <row r="734" customFormat="false" ht="35.05" hidden="false" customHeight="false" outlineLevel="0" collapsed="false">
      <c r="A734" s="76" t="n">
        <v>717</v>
      </c>
      <c r="B734" s="20" t="s">
        <v>1167</v>
      </c>
      <c r="C734" s="20" t="s">
        <v>912</v>
      </c>
      <c r="D734" s="20" t="s">
        <v>913</v>
      </c>
      <c r="E734" s="20" t="s">
        <v>1427</v>
      </c>
      <c r="F734" s="76" t="s">
        <v>948</v>
      </c>
      <c r="G734" s="20" t="s">
        <v>1439</v>
      </c>
      <c r="H734" s="55" t="n">
        <v>10</v>
      </c>
      <c r="I734" s="76" t="s">
        <v>512</v>
      </c>
      <c r="J734" s="76" t="s">
        <v>164</v>
      </c>
      <c r="K734" s="82" t="n">
        <v>49</v>
      </c>
      <c r="L734" s="55" t="n">
        <v>2</v>
      </c>
      <c r="M734" s="73" t="n">
        <v>0.4</v>
      </c>
      <c r="N734" s="74" t="n">
        <f aca="false">K734*L734*M734</f>
        <v>39.2</v>
      </c>
      <c r="O734" s="41" t="n">
        <f aca="false">IFERROR(INDEX(Исходные!$B$21:$B$33,MATCH(H734,Исходные!$A$21:$A$33,0)),0)</f>
        <v>0.617</v>
      </c>
      <c r="P734" s="83" t="n">
        <f aca="false">N734*O734</f>
        <v>24.1864</v>
      </c>
      <c r="Q734" s="20" t="s">
        <v>921</v>
      </c>
      <c r="R734" s="84" t="s">
        <v>667</v>
      </c>
      <c r="S734" s="20" t="s">
        <v>1432</v>
      </c>
      <c r="T734" s="20" t="s">
        <v>123</v>
      </c>
      <c r="U734" s="53" t="n">
        <v>0</v>
      </c>
      <c r="V734" s="76" t="s">
        <v>918</v>
      </c>
      <c r="W734" s="53" t="n">
        <v>2</v>
      </c>
    </row>
    <row r="735" customFormat="false" ht="35.05" hidden="false" customHeight="false" outlineLevel="0" collapsed="false">
      <c r="A735" s="76" t="n">
        <v>718</v>
      </c>
      <c r="B735" s="20" t="s">
        <v>1167</v>
      </c>
      <c r="C735" s="20" t="s">
        <v>912</v>
      </c>
      <c r="D735" s="20" t="s">
        <v>913</v>
      </c>
      <c r="E735" s="20" t="s">
        <v>1427</v>
      </c>
      <c r="F735" s="76" t="s">
        <v>946</v>
      </c>
      <c r="G735" s="20" t="s">
        <v>947</v>
      </c>
      <c r="H735" s="55" t="n">
        <v>10</v>
      </c>
      <c r="I735" s="76" t="s">
        <v>512</v>
      </c>
      <c r="J735" s="76" t="n">
        <v>200</v>
      </c>
      <c r="K735" s="82" t="n">
        <v>1</v>
      </c>
      <c r="L735" s="55" t="n">
        <v>1</v>
      </c>
      <c r="M735" s="73" t="n">
        <v>22.2</v>
      </c>
      <c r="N735" s="74" t="n">
        <f aca="false">K735*L735*M735</f>
        <v>22.2</v>
      </c>
      <c r="O735" s="41" t="n">
        <f aca="false">IFERROR(INDEX(Исходные!$B$21:$B$33,MATCH(H735,Исходные!$A$21:$A$33,0)),0)</f>
        <v>0.617</v>
      </c>
      <c r="P735" s="83" t="n">
        <f aca="false">N735*O735</f>
        <v>13.6974</v>
      </c>
      <c r="Q735" s="20" t="s">
        <v>1428</v>
      </c>
      <c r="R735" s="84" t="s">
        <v>660</v>
      </c>
      <c r="S735" s="20"/>
      <c r="T735" s="20" t="s">
        <v>123</v>
      </c>
      <c r="U735" s="53" t="n">
        <v>0</v>
      </c>
      <c r="V735" s="76" t="s">
        <v>918</v>
      </c>
      <c r="W735" s="53" t="n">
        <v>2</v>
      </c>
    </row>
    <row r="736" customFormat="false" ht="35.05" hidden="false" customHeight="false" outlineLevel="0" collapsed="false">
      <c r="A736" s="76" t="n">
        <v>719</v>
      </c>
      <c r="B736" s="20" t="s">
        <v>1167</v>
      </c>
      <c r="C736" s="20" t="s">
        <v>912</v>
      </c>
      <c r="D736" s="20" t="s">
        <v>913</v>
      </c>
      <c r="E736" s="20" t="s">
        <v>1427</v>
      </c>
      <c r="F736" s="76" t="s">
        <v>948</v>
      </c>
      <c r="G736" s="20" t="s">
        <v>951</v>
      </c>
      <c r="H736" s="55" t="n">
        <v>10</v>
      </c>
      <c r="I736" s="76" t="s">
        <v>512</v>
      </c>
      <c r="J736" s="76" t="s">
        <v>164</v>
      </c>
      <c r="K736" s="82" t="n">
        <v>1</v>
      </c>
      <c r="L736" s="55" t="n">
        <v>1</v>
      </c>
      <c r="M736" s="73" t="n">
        <v>0.4</v>
      </c>
      <c r="N736" s="74" t="n">
        <f aca="false">K736*L736*M736</f>
        <v>0.4</v>
      </c>
      <c r="O736" s="41" t="n">
        <f aca="false">IFERROR(INDEX(Исходные!$B$21:$B$33,MATCH(H736,Исходные!$A$21:$A$33,0)),0)</f>
        <v>0.617</v>
      </c>
      <c r="P736" s="83" t="n">
        <f aca="false">N736*O736</f>
        <v>0.2468</v>
      </c>
      <c r="Q736" s="20" t="s">
        <v>921</v>
      </c>
      <c r="R736" s="84" t="s">
        <v>667</v>
      </c>
      <c r="S736" s="20" t="s">
        <v>926</v>
      </c>
      <c r="T736" s="20" t="s">
        <v>123</v>
      </c>
      <c r="U736" s="53" t="n">
        <v>0</v>
      </c>
      <c r="V736" s="76" t="s">
        <v>918</v>
      </c>
      <c r="W736" s="53" t="n">
        <v>2</v>
      </c>
    </row>
    <row r="737" customFormat="false" ht="35.05" hidden="false" customHeight="false" outlineLevel="0" collapsed="false">
      <c r="A737" s="76" t="n">
        <v>720</v>
      </c>
      <c r="B737" s="20" t="s">
        <v>1167</v>
      </c>
      <c r="C737" s="20" t="s">
        <v>912</v>
      </c>
      <c r="D737" s="20" t="s">
        <v>913</v>
      </c>
      <c r="E737" s="20" t="s">
        <v>1427</v>
      </c>
      <c r="F737" s="76" t="s">
        <v>946</v>
      </c>
      <c r="G737" s="20" t="s">
        <v>947</v>
      </c>
      <c r="H737" s="55" t="n">
        <v>10</v>
      </c>
      <c r="I737" s="76" t="s">
        <v>512</v>
      </c>
      <c r="J737" s="76" t="n">
        <v>200</v>
      </c>
      <c r="K737" s="82" t="n">
        <v>1</v>
      </c>
      <c r="L737" s="55" t="n">
        <v>16</v>
      </c>
      <c r="M737" s="73" t="n">
        <v>15.62</v>
      </c>
      <c r="N737" s="74" t="n">
        <f aca="false">K737*L737*M737</f>
        <v>249.92</v>
      </c>
      <c r="O737" s="41" t="n">
        <f aca="false">IFERROR(INDEX(Исходные!$B$21:$B$33,MATCH(H737,Исходные!$A$21:$A$33,0)),0)</f>
        <v>0.617</v>
      </c>
      <c r="P737" s="83" t="n">
        <f aca="false">N737*O737</f>
        <v>154.20064</v>
      </c>
      <c r="Q737" s="20" t="s">
        <v>1428</v>
      </c>
      <c r="R737" s="84" t="s">
        <v>660</v>
      </c>
      <c r="S737" s="20"/>
      <c r="T737" s="20" t="s">
        <v>123</v>
      </c>
      <c r="U737" s="53" t="n">
        <v>0</v>
      </c>
      <c r="V737" s="76" t="s">
        <v>918</v>
      </c>
      <c r="W737" s="53" t="n">
        <v>2</v>
      </c>
    </row>
    <row r="738" customFormat="false" ht="35.05" hidden="false" customHeight="false" outlineLevel="0" collapsed="false">
      <c r="A738" s="76" t="n">
        <v>721</v>
      </c>
      <c r="B738" s="20" t="s">
        <v>1167</v>
      </c>
      <c r="C738" s="20" t="s">
        <v>912</v>
      </c>
      <c r="D738" s="20" t="s">
        <v>913</v>
      </c>
      <c r="E738" s="20" t="s">
        <v>1427</v>
      </c>
      <c r="F738" s="76" t="s">
        <v>948</v>
      </c>
      <c r="G738" s="20" t="s">
        <v>952</v>
      </c>
      <c r="H738" s="55" t="n">
        <v>10</v>
      </c>
      <c r="I738" s="76" t="s">
        <v>512</v>
      </c>
      <c r="J738" s="76" t="s">
        <v>164</v>
      </c>
      <c r="K738" s="82" t="n">
        <v>16</v>
      </c>
      <c r="L738" s="55" t="n">
        <v>1</v>
      </c>
      <c r="M738" s="73" t="n">
        <v>0.4</v>
      </c>
      <c r="N738" s="74" t="n">
        <f aca="false">K738*L738*M738</f>
        <v>6.4</v>
      </c>
      <c r="O738" s="41" t="n">
        <f aca="false">IFERROR(INDEX(Исходные!$B$21:$B$33,MATCH(H738,Исходные!$A$21:$A$33,0)),0)</f>
        <v>0.617</v>
      </c>
      <c r="P738" s="83" t="n">
        <f aca="false">N738*O738</f>
        <v>3.9488</v>
      </c>
      <c r="Q738" s="20" t="s">
        <v>921</v>
      </c>
      <c r="R738" s="84" t="s">
        <v>667</v>
      </c>
      <c r="S738" s="20" t="s">
        <v>928</v>
      </c>
      <c r="T738" s="20" t="s">
        <v>123</v>
      </c>
      <c r="U738" s="53" t="n">
        <v>0</v>
      </c>
      <c r="V738" s="76" t="s">
        <v>918</v>
      </c>
      <c r="W738" s="53" t="n">
        <v>2</v>
      </c>
    </row>
    <row r="739" customFormat="false" ht="35.05" hidden="false" customHeight="false" outlineLevel="0" collapsed="false">
      <c r="A739" s="76" t="n">
        <v>722</v>
      </c>
      <c r="B739" s="20" t="s">
        <v>1167</v>
      </c>
      <c r="C739" s="20" t="s">
        <v>912</v>
      </c>
      <c r="D739" s="20" t="s">
        <v>913</v>
      </c>
      <c r="E739" s="20" t="s">
        <v>1427</v>
      </c>
      <c r="F739" s="76" t="s">
        <v>946</v>
      </c>
      <c r="G739" s="20" t="s">
        <v>947</v>
      </c>
      <c r="H739" s="55" t="n">
        <v>10</v>
      </c>
      <c r="I739" s="76" t="s">
        <v>512</v>
      </c>
      <c r="J739" s="76" t="n">
        <v>200</v>
      </c>
      <c r="K739" s="82" t="n">
        <v>1</v>
      </c>
      <c r="L739" s="55" t="n">
        <v>12</v>
      </c>
      <c r="M739" s="73" t="n">
        <v>13.9</v>
      </c>
      <c r="N739" s="74" t="n">
        <f aca="false">K739*L739*M739</f>
        <v>166.8</v>
      </c>
      <c r="O739" s="41" t="n">
        <f aca="false">IFERROR(INDEX(Исходные!$B$21:$B$33,MATCH(H739,Исходные!$A$21:$A$33,0)),0)</f>
        <v>0.617</v>
      </c>
      <c r="P739" s="83" t="n">
        <f aca="false">N739*O739</f>
        <v>102.9156</v>
      </c>
      <c r="Q739" s="20" t="s">
        <v>1428</v>
      </c>
      <c r="R739" s="84" t="s">
        <v>660</v>
      </c>
      <c r="S739" s="20"/>
      <c r="T739" s="20" t="s">
        <v>123</v>
      </c>
      <c r="U739" s="53" t="n">
        <v>0</v>
      </c>
      <c r="V739" s="76" t="s">
        <v>918</v>
      </c>
      <c r="W739" s="53" t="n">
        <v>2</v>
      </c>
    </row>
    <row r="740" customFormat="false" ht="35.05" hidden="false" customHeight="false" outlineLevel="0" collapsed="false">
      <c r="A740" s="76" t="n">
        <v>723</v>
      </c>
      <c r="B740" s="20" t="s">
        <v>1167</v>
      </c>
      <c r="C740" s="20" t="s">
        <v>912</v>
      </c>
      <c r="D740" s="20" t="s">
        <v>913</v>
      </c>
      <c r="E740" s="20" t="s">
        <v>1427</v>
      </c>
      <c r="F740" s="76" t="s">
        <v>948</v>
      </c>
      <c r="G740" s="20" t="s">
        <v>953</v>
      </c>
      <c r="H740" s="55" t="n">
        <v>10</v>
      </c>
      <c r="I740" s="76" t="s">
        <v>512</v>
      </c>
      <c r="J740" s="76" t="s">
        <v>164</v>
      </c>
      <c r="K740" s="82" t="n">
        <v>12</v>
      </c>
      <c r="L740" s="55" t="n">
        <v>1</v>
      </c>
      <c r="M740" s="73" t="n">
        <v>0.4</v>
      </c>
      <c r="N740" s="74" t="n">
        <f aca="false">K740*L740*M740</f>
        <v>4.8</v>
      </c>
      <c r="O740" s="41" t="n">
        <f aca="false">IFERROR(INDEX(Исходные!$B$21:$B$33,MATCH(H740,Исходные!$A$21:$A$33,0)),0)</f>
        <v>0.617</v>
      </c>
      <c r="P740" s="83" t="n">
        <f aca="false">N740*O740</f>
        <v>2.9616</v>
      </c>
      <c r="Q740" s="20" t="s">
        <v>921</v>
      </c>
      <c r="R740" s="84" t="s">
        <v>667</v>
      </c>
      <c r="S740" s="20" t="s">
        <v>930</v>
      </c>
      <c r="T740" s="20" t="s">
        <v>123</v>
      </c>
      <c r="U740" s="53" t="n">
        <v>0</v>
      </c>
      <c r="V740" s="76" t="s">
        <v>918</v>
      </c>
      <c r="W740" s="53" t="n">
        <v>2</v>
      </c>
    </row>
    <row r="741" customFormat="false" ht="35.05" hidden="false" customHeight="false" outlineLevel="0" collapsed="false">
      <c r="A741" s="76" t="n">
        <v>724</v>
      </c>
      <c r="B741" s="20" t="s">
        <v>1167</v>
      </c>
      <c r="C741" s="20" t="s">
        <v>912</v>
      </c>
      <c r="D741" s="20" t="s">
        <v>913</v>
      </c>
      <c r="E741" s="20" t="s">
        <v>1427</v>
      </c>
      <c r="F741" s="76" t="s">
        <v>946</v>
      </c>
      <c r="G741" s="20" t="s">
        <v>947</v>
      </c>
      <c r="H741" s="55" t="n">
        <v>10</v>
      </c>
      <c r="I741" s="76" t="s">
        <v>512</v>
      </c>
      <c r="J741" s="76" t="n">
        <v>200</v>
      </c>
      <c r="K741" s="82" t="n">
        <v>1</v>
      </c>
      <c r="L741" s="55" t="n">
        <v>1</v>
      </c>
      <c r="M741" s="73" t="n">
        <v>10.77</v>
      </c>
      <c r="N741" s="74" t="n">
        <f aca="false">K741*L741*M741</f>
        <v>10.77</v>
      </c>
      <c r="O741" s="41" t="n">
        <f aca="false">IFERROR(INDEX(Исходные!$B$21:$B$33,MATCH(H741,Исходные!$A$21:$A$33,0)),0)</f>
        <v>0.617</v>
      </c>
      <c r="P741" s="83" t="n">
        <f aca="false">N741*O741</f>
        <v>6.64509</v>
      </c>
      <c r="Q741" s="20" t="s">
        <v>1428</v>
      </c>
      <c r="R741" s="84" t="s">
        <v>660</v>
      </c>
      <c r="S741" s="20"/>
      <c r="T741" s="20" t="s">
        <v>123</v>
      </c>
      <c r="U741" s="53" t="n">
        <v>0</v>
      </c>
      <c r="V741" s="76" t="s">
        <v>918</v>
      </c>
      <c r="W741" s="53" t="n">
        <v>2</v>
      </c>
    </row>
    <row r="742" customFormat="false" ht="35.05" hidden="false" customHeight="false" outlineLevel="0" collapsed="false">
      <c r="A742" s="76" t="n">
        <v>725</v>
      </c>
      <c r="B742" s="20" t="s">
        <v>1167</v>
      </c>
      <c r="C742" s="20" t="s">
        <v>912</v>
      </c>
      <c r="D742" s="20" t="s">
        <v>913</v>
      </c>
      <c r="E742" s="20" t="s">
        <v>1427</v>
      </c>
      <c r="F742" s="76" t="s">
        <v>946</v>
      </c>
      <c r="G742" s="20" t="s">
        <v>947</v>
      </c>
      <c r="H742" s="55" t="n">
        <v>10</v>
      </c>
      <c r="I742" s="76" t="s">
        <v>512</v>
      </c>
      <c r="J742" s="76" t="n">
        <v>200</v>
      </c>
      <c r="K742" s="82" t="n">
        <v>1</v>
      </c>
      <c r="L742" s="55" t="n">
        <v>14</v>
      </c>
      <c r="M742" s="73" t="n">
        <v>7.97</v>
      </c>
      <c r="N742" s="74" t="n">
        <f aca="false">K742*L742*M742</f>
        <v>111.58</v>
      </c>
      <c r="O742" s="41" t="n">
        <f aca="false">IFERROR(INDEX(Исходные!$B$21:$B$33,MATCH(H742,Исходные!$A$21:$A$33,0)),0)</f>
        <v>0.617</v>
      </c>
      <c r="P742" s="83" t="n">
        <f aca="false">N742*O742</f>
        <v>68.84486</v>
      </c>
      <c r="Q742" s="20" t="s">
        <v>1428</v>
      </c>
      <c r="R742" s="84" t="s">
        <v>660</v>
      </c>
      <c r="S742" s="20"/>
      <c r="T742" s="20" t="s">
        <v>123</v>
      </c>
      <c r="U742" s="53" t="n">
        <v>0</v>
      </c>
      <c r="V742" s="76" t="s">
        <v>918</v>
      </c>
      <c r="W742" s="53" t="n">
        <v>2</v>
      </c>
    </row>
    <row r="743" customFormat="false" ht="35.05" hidden="false" customHeight="false" outlineLevel="0" collapsed="false">
      <c r="A743" s="76" t="n">
        <v>726</v>
      </c>
      <c r="B743" s="20" t="s">
        <v>1167</v>
      </c>
      <c r="C743" s="20" t="s">
        <v>912</v>
      </c>
      <c r="D743" s="20" t="s">
        <v>913</v>
      </c>
      <c r="E743" s="20" t="s">
        <v>1427</v>
      </c>
      <c r="F743" s="76" t="s">
        <v>946</v>
      </c>
      <c r="G743" s="20" t="s">
        <v>947</v>
      </c>
      <c r="H743" s="55" t="n">
        <v>10</v>
      </c>
      <c r="I743" s="76" t="s">
        <v>512</v>
      </c>
      <c r="J743" s="76" t="n">
        <v>200</v>
      </c>
      <c r="K743" s="82" t="n">
        <v>1</v>
      </c>
      <c r="L743" s="55" t="n">
        <v>9</v>
      </c>
      <c r="M743" s="73" t="n">
        <v>7.95</v>
      </c>
      <c r="N743" s="74" t="n">
        <f aca="false">K743*L743*M743</f>
        <v>71.55</v>
      </c>
      <c r="O743" s="41" t="n">
        <f aca="false">IFERROR(INDEX(Исходные!$B$21:$B$33,MATCH(H743,Исходные!$A$21:$A$33,0)),0)</f>
        <v>0.617</v>
      </c>
      <c r="P743" s="83" t="n">
        <f aca="false">N743*O743</f>
        <v>44.14635</v>
      </c>
      <c r="Q743" s="20" t="s">
        <v>1428</v>
      </c>
      <c r="R743" s="84" t="s">
        <v>660</v>
      </c>
      <c r="S743" s="20"/>
      <c r="T743" s="20" t="s">
        <v>123</v>
      </c>
      <c r="U743" s="53" t="n">
        <v>0</v>
      </c>
      <c r="V743" s="76" t="s">
        <v>918</v>
      </c>
      <c r="W743" s="53" t="n">
        <v>2</v>
      </c>
    </row>
    <row r="744" customFormat="false" ht="35.05" hidden="false" customHeight="false" outlineLevel="0" collapsed="false">
      <c r="A744" s="76" t="n">
        <v>727</v>
      </c>
      <c r="B744" s="20" t="s">
        <v>1167</v>
      </c>
      <c r="C744" s="20" t="s">
        <v>912</v>
      </c>
      <c r="D744" s="20" t="s">
        <v>913</v>
      </c>
      <c r="E744" s="20" t="s">
        <v>1427</v>
      </c>
      <c r="F744" s="76" t="s">
        <v>946</v>
      </c>
      <c r="G744" s="20" t="s">
        <v>947</v>
      </c>
      <c r="H744" s="55" t="n">
        <v>10</v>
      </c>
      <c r="I744" s="76" t="s">
        <v>512</v>
      </c>
      <c r="J744" s="76" t="n">
        <v>200</v>
      </c>
      <c r="K744" s="82" t="n">
        <v>1</v>
      </c>
      <c r="L744" s="55" t="n">
        <v>13</v>
      </c>
      <c r="M744" s="73" t="n">
        <v>7.17</v>
      </c>
      <c r="N744" s="74" t="n">
        <f aca="false">K744*L744*M744</f>
        <v>93.21</v>
      </c>
      <c r="O744" s="41" t="n">
        <f aca="false">IFERROR(INDEX(Исходные!$B$21:$B$33,MATCH(H744,Исходные!$A$21:$A$33,0)),0)</f>
        <v>0.617</v>
      </c>
      <c r="P744" s="83" t="n">
        <f aca="false">N744*O744</f>
        <v>57.51057</v>
      </c>
      <c r="Q744" s="20" t="s">
        <v>1428</v>
      </c>
      <c r="R744" s="84" t="s">
        <v>660</v>
      </c>
      <c r="S744" s="20"/>
      <c r="T744" s="20" t="s">
        <v>123</v>
      </c>
      <c r="U744" s="53" t="n">
        <v>0</v>
      </c>
      <c r="V744" s="76" t="s">
        <v>918</v>
      </c>
      <c r="W744" s="53" t="n">
        <v>2</v>
      </c>
    </row>
    <row r="745" customFormat="false" ht="35.05" hidden="false" customHeight="false" outlineLevel="0" collapsed="false">
      <c r="A745" s="76" t="n">
        <v>728</v>
      </c>
      <c r="B745" s="20" t="s">
        <v>1167</v>
      </c>
      <c r="C745" s="20" t="s">
        <v>912</v>
      </c>
      <c r="D745" s="20" t="s">
        <v>913</v>
      </c>
      <c r="E745" s="20" t="s">
        <v>1427</v>
      </c>
      <c r="F745" s="76" t="s">
        <v>946</v>
      </c>
      <c r="G745" s="20" t="s">
        <v>947</v>
      </c>
      <c r="H745" s="55" t="n">
        <v>10</v>
      </c>
      <c r="I745" s="76" t="s">
        <v>512</v>
      </c>
      <c r="J745" s="76" t="n">
        <v>200</v>
      </c>
      <c r="K745" s="82" t="n">
        <v>1</v>
      </c>
      <c r="L745" s="55" t="n">
        <v>9</v>
      </c>
      <c r="M745" s="73" t="n">
        <v>3.78</v>
      </c>
      <c r="N745" s="74" t="n">
        <f aca="false">K745*L745*M745</f>
        <v>34.02</v>
      </c>
      <c r="O745" s="41" t="n">
        <f aca="false">IFERROR(INDEX(Исходные!$B$21:$B$33,MATCH(H745,Исходные!$A$21:$A$33,0)),0)</f>
        <v>0.617</v>
      </c>
      <c r="P745" s="83" t="n">
        <f aca="false">N745*O745</f>
        <v>20.99034</v>
      </c>
      <c r="Q745" s="20" t="s">
        <v>1428</v>
      </c>
      <c r="R745" s="84" t="s">
        <v>660</v>
      </c>
      <c r="S745" s="20"/>
      <c r="T745" s="20" t="s">
        <v>123</v>
      </c>
      <c r="U745" s="53" t="n">
        <v>0</v>
      </c>
      <c r="V745" s="76" t="s">
        <v>918</v>
      </c>
      <c r="W745" s="53" t="n">
        <v>2</v>
      </c>
    </row>
    <row r="746" customFormat="false" ht="35.05" hidden="false" customHeight="false" outlineLevel="0" collapsed="false">
      <c r="A746" s="76" t="n">
        <v>729</v>
      </c>
      <c r="B746" s="20" t="s">
        <v>1167</v>
      </c>
      <c r="C746" s="20" t="s">
        <v>912</v>
      </c>
      <c r="D746" s="20" t="s">
        <v>913</v>
      </c>
      <c r="E746" s="20" t="s">
        <v>1427</v>
      </c>
      <c r="F746" s="76" t="s">
        <v>954</v>
      </c>
      <c r="G746" s="20" t="s">
        <v>955</v>
      </c>
      <c r="H746" s="55" t="n">
        <v>10</v>
      </c>
      <c r="I746" s="76" t="s">
        <v>512</v>
      </c>
      <c r="J746" s="76" t="n">
        <v>200</v>
      </c>
      <c r="K746" s="82" t="n">
        <v>1</v>
      </c>
      <c r="L746" s="55" t="n">
        <v>40</v>
      </c>
      <c r="M746" s="73" t="n">
        <v>22.32</v>
      </c>
      <c r="N746" s="74" t="n">
        <f aca="false">K746*L746*M746</f>
        <v>892.8</v>
      </c>
      <c r="O746" s="41" t="n">
        <f aca="false">IFERROR(INDEX(Исходные!$B$21:$B$33,MATCH(H746,Исходные!$A$21:$A$33,0)),0)</f>
        <v>0.617</v>
      </c>
      <c r="P746" s="83" t="n">
        <f aca="false">N746*O746</f>
        <v>550.8576</v>
      </c>
      <c r="Q746" s="20" t="s">
        <v>1428</v>
      </c>
      <c r="R746" s="84" t="s">
        <v>660</v>
      </c>
      <c r="S746" s="20"/>
      <c r="T746" s="20" t="s">
        <v>123</v>
      </c>
      <c r="U746" s="53" t="n">
        <v>0</v>
      </c>
      <c r="V746" s="76" t="s">
        <v>918</v>
      </c>
      <c r="W746" s="53" t="n">
        <v>2</v>
      </c>
    </row>
    <row r="747" customFormat="false" ht="35.05" hidden="false" customHeight="false" outlineLevel="0" collapsed="false">
      <c r="A747" s="76" t="n">
        <v>730</v>
      </c>
      <c r="B747" s="20" t="s">
        <v>1167</v>
      </c>
      <c r="C747" s="20" t="s">
        <v>912</v>
      </c>
      <c r="D747" s="20" t="s">
        <v>913</v>
      </c>
      <c r="E747" s="20" t="s">
        <v>1427</v>
      </c>
      <c r="F747" s="76" t="s">
        <v>956</v>
      </c>
      <c r="G747" s="20" t="s">
        <v>1440</v>
      </c>
      <c r="H747" s="55" t="n">
        <v>10</v>
      </c>
      <c r="I747" s="76" t="s">
        <v>512</v>
      </c>
      <c r="J747" s="76" t="s">
        <v>164</v>
      </c>
      <c r="K747" s="82" t="n">
        <v>40</v>
      </c>
      <c r="L747" s="55" t="n">
        <v>1</v>
      </c>
      <c r="M747" s="73" t="n">
        <v>0.4</v>
      </c>
      <c r="N747" s="74" t="n">
        <f aca="false">K747*L747*M747</f>
        <v>16</v>
      </c>
      <c r="O747" s="41" t="n">
        <f aca="false">IFERROR(INDEX(Исходные!$B$21:$B$33,MATCH(H747,Исходные!$A$21:$A$33,0)),0)</f>
        <v>0.617</v>
      </c>
      <c r="P747" s="83" t="n">
        <f aca="false">N747*O747</f>
        <v>9.872</v>
      </c>
      <c r="Q747" s="20" t="s">
        <v>921</v>
      </c>
      <c r="R747" s="84" t="s">
        <v>667</v>
      </c>
      <c r="S747" s="20" t="s">
        <v>1434</v>
      </c>
      <c r="T747" s="20" t="s">
        <v>123</v>
      </c>
      <c r="U747" s="53" t="n">
        <v>0</v>
      </c>
      <c r="V747" s="76" t="s">
        <v>918</v>
      </c>
      <c r="W747" s="53" t="n">
        <v>2</v>
      </c>
    </row>
    <row r="748" customFormat="false" ht="35.05" hidden="false" customHeight="false" outlineLevel="0" collapsed="false">
      <c r="A748" s="76" t="n">
        <v>731</v>
      </c>
      <c r="B748" s="20" t="s">
        <v>1167</v>
      </c>
      <c r="C748" s="20" t="s">
        <v>912</v>
      </c>
      <c r="D748" s="20" t="s">
        <v>913</v>
      </c>
      <c r="E748" s="20" t="s">
        <v>1427</v>
      </c>
      <c r="F748" s="76" t="s">
        <v>954</v>
      </c>
      <c r="G748" s="20" t="s">
        <v>955</v>
      </c>
      <c r="H748" s="55" t="n">
        <v>10</v>
      </c>
      <c r="I748" s="76" t="s">
        <v>512</v>
      </c>
      <c r="J748" s="76" t="n">
        <v>200</v>
      </c>
      <c r="K748" s="82" t="n">
        <v>1</v>
      </c>
      <c r="L748" s="55" t="n">
        <v>41</v>
      </c>
      <c r="M748" s="73" t="n">
        <v>20.6</v>
      </c>
      <c r="N748" s="74" t="n">
        <f aca="false">K748*L748*M748</f>
        <v>844.6</v>
      </c>
      <c r="O748" s="41" t="n">
        <f aca="false">IFERROR(INDEX(Исходные!$B$21:$B$33,MATCH(H748,Исходные!$A$21:$A$33,0)),0)</f>
        <v>0.617</v>
      </c>
      <c r="P748" s="83" t="n">
        <f aca="false">N748*O748</f>
        <v>521.1182</v>
      </c>
      <c r="Q748" s="20" t="s">
        <v>1428</v>
      </c>
      <c r="R748" s="84" t="s">
        <v>660</v>
      </c>
      <c r="S748" s="20"/>
      <c r="T748" s="20" t="s">
        <v>123</v>
      </c>
      <c r="U748" s="53" t="n">
        <v>0</v>
      </c>
      <c r="V748" s="76" t="s">
        <v>918</v>
      </c>
      <c r="W748" s="53" t="n">
        <v>2</v>
      </c>
    </row>
    <row r="749" customFormat="false" ht="35.05" hidden="false" customHeight="false" outlineLevel="0" collapsed="false">
      <c r="A749" s="76" t="n">
        <v>732</v>
      </c>
      <c r="B749" s="20" t="s">
        <v>1167</v>
      </c>
      <c r="C749" s="20" t="s">
        <v>912</v>
      </c>
      <c r="D749" s="20" t="s">
        <v>913</v>
      </c>
      <c r="E749" s="20" t="s">
        <v>1427</v>
      </c>
      <c r="F749" s="76" t="s">
        <v>956</v>
      </c>
      <c r="G749" s="20" t="s">
        <v>1441</v>
      </c>
      <c r="H749" s="55" t="n">
        <v>10</v>
      </c>
      <c r="I749" s="76" t="s">
        <v>512</v>
      </c>
      <c r="J749" s="76" t="s">
        <v>164</v>
      </c>
      <c r="K749" s="82" t="n">
        <v>41</v>
      </c>
      <c r="L749" s="55" t="n">
        <v>1</v>
      </c>
      <c r="M749" s="73" t="n">
        <v>0.4</v>
      </c>
      <c r="N749" s="74" t="n">
        <f aca="false">K749*L749*M749</f>
        <v>16.4</v>
      </c>
      <c r="O749" s="41" t="n">
        <f aca="false">IFERROR(INDEX(Исходные!$B$21:$B$33,MATCH(H749,Исходные!$A$21:$A$33,0)),0)</f>
        <v>0.617</v>
      </c>
      <c r="P749" s="83" t="n">
        <f aca="false">N749*O749</f>
        <v>10.1188</v>
      </c>
      <c r="Q749" s="20" t="s">
        <v>921</v>
      </c>
      <c r="R749" s="84" t="s">
        <v>667</v>
      </c>
      <c r="S749" s="20" t="s">
        <v>1436</v>
      </c>
      <c r="T749" s="20" t="s">
        <v>123</v>
      </c>
      <c r="U749" s="53" t="n">
        <v>0</v>
      </c>
      <c r="V749" s="76" t="s">
        <v>918</v>
      </c>
      <c r="W749" s="53" t="n">
        <v>2</v>
      </c>
    </row>
    <row r="750" customFormat="false" ht="35.05" hidden="false" customHeight="false" outlineLevel="0" collapsed="false">
      <c r="A750" s="76" t="n">
        <v>733</v>
      </c>
      <c r="B750" s="20" t="s">
        <v>1167</v>
      </c>
      <c r="C750" s="20" t="s">
        <v>912</v>
      </c>
      <c r="D750" s="20" t="s">
        <v>913</v>
      </c>
      <c r="E750" s="20" t="s">
        <v>1427</v>
      </c>
      <c r="F750" s="76" t="s">
        <v>954</v>
      </c>
      <c r="G750" s="20" t="s">
        <v>955</v>
      </c>
      <c r="H750" s="55" t="n">
        <v>10</v>
      </c>
      <c r="I750" s="76" t="s">
        <v>512</v>
      </c>
      <c r="J750" s="76" t="n">
        <v>200</v>
      </c>
      <c r="K750" s="82" t="n">
        <v>1</v>
      </c>
      <c r="L750" s="55" t="n">
        <v>26</v>
      </c>
      <c r="M750" s="73" t="n">
        <v>20.48</v>
      </c>
      <c r="N750" s="74" t="n">
        <f aca="false">K750*L750*M750</f>
        <v>532.48</v>
      </c>
      <c r="O750" s="41" t="n">
        <f aca="false">IFERROR(INDEX(Исходные!$B$21:$B$33,MATCH(H750,Исходные!$A$21:$A$33,0)),0)</f>
        <v>0.617</v>
      </c>
      <c r="P750" s="83" t="n">
        <f aca="false">N750*O750</f>
        <v>328.54016</v>
      </c>
      <c r="Q750" s="20" t="s">
        <v>1428</v>
      </c>
      <c r="R750" s="84" t="s">
        <v>660</v>
      </c>
      <c r="S750" s="20"/>
      <c r="T750" s="20" t="s">
        <v>123</v>
      </c>
      <c r="U750" s="53" t="n">
        <v>0</v>
      </c>
      <c r="V750" s="76" t="s">
        <v>918</v>
      </c>
      <c r="W750" s="53" t="n">
        <v>2</v>
      </c>
    </row>
    <row r="751" customFormat="false" ht="35.05" hidden="false" customHeight="false" outlineLevel="0" collapsed="false">
      <c r="A751" s="76" t="n">
        <v>734</v>
      </c>
      <c r="B751" s="20" t="s">
        <v>1167</v>
      </c>
      <c r="C751" s="20" t="s">
        <v>912</v>
      </c>
      <c r="D751" s="20" t="s">
        <v>913</v>
      </c>
      <c r="E751" s="20" t="s">
        <v>1427</v>
      </c>
      <c r="F751" s="76" t="s">
        <v>956</v>
      </c>
      <c r="G751" s="20" t="s">
        <v>959</v>
      </c>
      <c r="H751" s="55" t="n">
        <v>10</v>
      </c>
      <c r="I751" s="76" t="s">
        <v>512</v>
      </c>
      <c r="J751" s="76" t="s">
        <v>164</v>
      </c>
      <c r="K751" s="82" t="n">
        <v>26</v>
      </c>
      <c r="L751" s="55" t="n">
        <v>1</v>
      </c>
      <c r="M751" s="73" t="n">
        <v>0.4</v>
      </c>
      <c r="N751" s="74" t="n">
        <f aca="false">K751*L751*M751</f>
        <v>10.4</v>
      </c>
      <c r="O751" s="41" t="n">
        <f aca="false">IFERROR(INDEX(Исходные!$B$21:$B$33,MATCH(H751,Исходные!$A$21:$A$33,0)),0)</f>
        <v>0.617</v>
      </c>
      <c r="P751" s="83" t="n">
        <f aca="false">N751*O751</f>
        <v>6.4168</v>
      </c>
      <c r="Q751" s="20" t="s">
        <v>921</v>
      </c>
      <c r="R751" s="84" t="s">
        <v>667</v>
      </c>
      <c r="S751" s="20" t="s">
        <v>939</v>
      </c>
      <c r="T751" s="20" t="s">
        <v>123</v>
      </c>
      <c r="U751" s="53" t="n">
        <v>0</v>
      </c>
      <c r="V751" s="76" t="s">
        <v>918</v>
      </c>
      <c r="W751" s="53" t="n">
        <v>2</v>
      </c>
    </row>
    <row r="752" customFormat="false" ht="35.05" hidden="false" customHeight="false" outlineLevel="0" collapsed="false">
      <c r="A752" s="76" t="n">
        <v>735</v>
      </c>
      <c r="B752" s="20" t="s">
        <v>1167</v>
      </c>
      <c r="C752" s="20" t="s">
        <v>912</v>
      </c>
      <c r="D752" s="20" t="s">
        <v>913</v>
      </c>
      <c r="E752" s="20" t="s">
        <v>1427</v>
      </c>
      <c r="F752" s="76" t="s">
        <v>954</v>
      </c>
      <c r="G752" s="20" t="s">
        <v>955</v>
      </c>
      <c r="H752" s="55" t="n">
        <v>10</v>
      </c>
      <c r="I752" s="76" t="s">
        <v>512</v>
      </c>
      <c r="J752" s="76" t="n">
        <v>200</v>
      </c>
      <c r="K752" s="82" t="n">
        <v>1</v>
      </c>
      <c r="L752" s="55" t="n">
        <v>2</v>
      </c>
      <c r="M752" s="73" t="n">
        <v>19.01</v>
      </c>
      <c r="N752" s="74" t="n">
        <f aca="false">K752*L752*M752</f>
        <v>38.02</v>
      </c>
      <c r="O752" s="41" t="n">
        <f aca="false">IFERROR(INDEX(Исходные!$B$21:$B$33,MATCH(H752,Исходные!$A$21:$A$33,0)),0)</f>
        <v>0.617</v>
      </c>
      <c r="P752" s="83" t="n">
        <f aca="false">N752*O752</f>
        <v>23.45834</v>
      </c>
      <c r="Q752" s="20" t="s">
        <v>1428</v>
      </c>
      <c r="R752" s="84" t="s">
        <v>660</v>
      </c>
      <c r="S752" s="20"/>
      <c r="T752" s="20" t="s">
        <v>123</v>
      </c>
      <c r="U752" s="53" t="n">
        <v>0</v>
      </c>
      <c r="V752" s="76" t="s">
        <v>918</v>
      </c>
      <c r="W752" s="53" t="n">
        <v>2</v>
      </c>
    </row>
    <row r="753" customFormat="false" ht="35.05" hidden="false" customHeight="false" outlineLevel="0" collapsed="false">
      <c r="A753" s="76" t="n">
        <v>736</v>
      </c>
      <c r="B753" s="20" t="s">
        <v>1167</v>
      </c>
      <c r="C753" s="20" t="s">
        <v>912</v>
      </c>
      <c r="D753" s="20" t="s">
        <v>913</v>
      </c>
      <c r="E753" s="20" t="s">
        <v>1427</v>
      </c>
      <c r="F753" s="76" t="s">
        <v>956</v>
      </c>
      <c r="G753" s="20" t="s">
        <v>960</v>
      </c>
      <c r="H753" s="55" t="n">
        <v>10</v>
      </c>
      <c r="I753" s="76" t="s">
        <v>512</v>
      </c>
      <c r="J753" s="76" t="s">
        <v>164</v>
      </c>
      <c r="K753" s="82" t="n">
        <v>2</v>
      </c>
      <c r="L753" s="55" t="n">
        <v>1</v>
      </c>
      <c r="M753" s="73" t="n">
        <v>0.4</v>
      </c>
      <c r="N753" s="74" t="n">
        <f aca="false">K753*L753*M753</f>
        <v>0.8</v>
      </c>
      <c r="O753" s="41" t="n">
        <f aca="false">IFERROR(INDEX(Исходные!$B$21:$B$33,MATCH(H753,Исходные!$A$21:$A$33,0)),0)</f>
        <v>0.617</v>
      </c>
      <c r="P753" s="83" t="n">
        <f aca="false">N753*O753</f>
        <v>0.4936</v>
      </c>
      <c r="Q753" s="20" t="s">
        <v>921</v>
      </c>
      <c r="R753" s="84" t="s">
        <v>667</v>
      </c>
      <c r="S753" s="20" t="s">
        <v>941</v>
      </c>
      <c r="T753" s="20" t="s">
        <v>123</v>
      </c>
      <c r="U753" s="53" t="n">
        <v>0</v>
      </c>
      <c r="V753" s="76" t="s">
        <v>918</v>
      </c>
      <c r="W753" s="53" t="n">
        <v>2</v>
      </c>
    </row>
    <row r="754" customFormat="false" ht="35.05" hidden="false" customHeight="false" outlineLevel="0" collapsed="false">
      <c r="A754" s="76" t="n">
        <v>737</v>
      </c>
      <c r="B754" s="20" t="s">
        <v>1167</v>
      </c>
      <c r="C754" s="20" t="s">
        <v>912</v>
      </c>
      <c r="D754" s="20" t="s">
        <v>913</v>
      </c>
      <c r="E754" s="20" t="s">
        <v>1427</v>
      </c>
      <c r="F754" s="76" t="s">
        <v>954</v>
      </c>
      <c r="G754" s="20" t="s">
        <v>955</v>
      </c>
      <c r="H754" s="55" t="n">
        <v>10</v>
      </c>
      <c r="I754" s="76" t="s">
        <v>512</v>
      </c>
      <c r="J754" s="76" t="n">
        <v>200</v>
      </c>
      <c r="K754" s="82" t="n">
        <v>1</v>
      </c>
      <c r="L754" s="55" t="n">
        <v>3</v>
      </c>
      <c r="M754" s="73" t="n">
        <v>17.28</v>
      </c>
      <c r="N754" s="74" t="n">
        <f aca="false">K754*L754*M754</f>
        <v>51.84</v>
      </c>
      <c r="O754" s="41" t="n">
        <f aca="false">IFERROR(INDEX(Исходные!$B$21:$B$33,MATCH(H754,Исходные!$A$21:$A$33,0)),0)</f>
        <v>0.617</v>
      </c>
      <c r="P754" s="83" t="n">
        <f aca="false">N754*O754</f>
        <v>31.98528</v>
      </c>
      <c r="Q754" s="20" t="s">
        <v>1428</v>
      </c>
      <c r="R754" s="84" t="s">
        <v>660</v>
      </c>
      <c r="S754" s="20"/>
      <c r="T754" s="20" t="s">
        <v>123</v>
      </c>
      <c r="U754" s="53" t="n">
        <v>0</v>
      </c>
      <c r="V754" s="76" t="s">
        <v>918</v>
      </c>
      <c r="W754" s="53" t="n">
        <v>2</v>
      </c>
    </row>
    <row r="755" customFormat="false" ht="35.05" hidden="false" customHeight="false" outlineLevel="0" collapsed="false">
      <c r="A755" s="76" t="n">
        <v>738</v>
      </c>
      <c r="B755" s="20" t="s">
        <v>1167</v>
      </c>
      <c r="C755" s="20" t="s">
        <v>912</v>
      </c>
      <c r="D755" s="20" t="s">
        <v>913</v>
      </c>
      <c r="E755" s="20" t="s">
        <v>1427</v>
      </c>
      <c r="F755" s="76" t="s">
        <v>956</v>
      </c>
      <c r="G755" s="20" t="s">
        <v>1442</v>
      </c>
      <c r="H755" s="55" t="n">
        <v>10</v>
      </c>
      <c r="I755" s="76" t="s">
        <v>512</v>
      </c>
      <c r="J755" s="76" t="s">
        <v>164</v>
      </c>
      <c r="K755" s="82" t="n">
        <v>3</v>
      </c>
      <c r="L755" s="55" t="n">
        <v>1</v>
      </c>
      <c r="M755" s="73" t="n">
        <v>0.4</v>
      </c>
      <c r="N755" s="74" t="n">
        <f aca="false">K755*L755*M755</f>
        <v>1.2</v>
      </c>
      <c r="O755" s="41" t="n">
        <f aca="false">IFERROR(INDEX(Исходные!$B$21:$B$33,MATCH(H755,Исходные!$A$21:$A$33,0)),0)</f>
        <v>0.617</v>
      </c>
      <c r="P755" s="83" t="n">
        <f aca="false">N755*O755</f>
        <v>0.7404</v>
      </c>
      <c r="Q755" s="20" t="s">
        <v>921</v>
      </c>
      <c r="R755" s="84" t="s">
        <v>667</v>
      </c>
      <c r="S755" s="20" t="s">
        <v>943</v>
      </c>
      <c r="T755" s="20" t="s">
        <v>123</v>
      </c>
      <c r="U755" s="53" t="n">
        <v>0</v>
      </c>
      <c r="V755" s="76" t="s">
        <v>918</v>
      </c>
      <c r="W755" s="53" t="n">
        <v>2</v>
      </c>
    </row>
    <row r="756" customFormat="false" ht="35.05" hidden="false" customHeight="false" outlineLevel="0" collapsed="false">
      <c r="A756" s="76" t="n">
        <v>739</v>
      </c>
      <c r="B756" s="20" t="s">
        <v>1167</v>
      </c>
      <c r="C756" s="20" t="s">
        <v>912</v>
      </c>
      <c r="D756" s="20" t="s">
        <v>913</v>
      </c>
      <c r="E756" s="20" t="s">
        <v>1427</v>
      </c>
      <c r="F756" s="76" t="s">
        <v>954</v>
      </c>
      <c r="G756" s="20" t="s">
        <v>955</v>
      </c>
      <c r="H756" s="55" t="n">
        <v>10</v>
      </c>
      <c r="I756" s="76" t="s">
        <v>512</v>
      </c>
      <c r="J756" s="76" t="n">
        <v>200</v>
      </c>
      <c r="K756" s="82" t="n">
        <v>1</v>
      </c>
      <c r="L756" s="55" t="n">
        <v>17</v>
      </c>
      <c r="M756" s="73" t="n">
        <v>15.6</v>
      </c>
      <c r="N756" s="74" t="n">
        <f aca="false">K756*L756*M756</f>
        <v>265.2</v>
      </c>
      <c r="O756" s="41" t="n">
        <f aca="false">IFERROR(INDEX(Исходные!$B$21:$B$33,MATCH(H756,Исходные!$A$21:$A$33,0)),0)</f>
        <v>0.617</v>
      </c>
      <c r="P756" s="83" t="n">
        <f aca="false">N756*O756</f>
        <v>163.6284</v>
      </c>
      <c r="Q756" s="20" t="s">
        <v>1428</v>
      </c>
      <c r="R756" s="84" t="s">
        <v>660</v>
      </c>
      <c r="S756" s="20"/>
      <c r="T756" s="20" t="s">
        <v>123</v>
      </c>
      <c r="U756" s="53" t="n">
        <v>0</v>
      </c>
      <c r="V756" s="76" t="s">
        <v>918</v>
      </c>
      <c r="W756" s="53" t="n">
        <v>2</v>
      </c>
    </row>
    <row r="757" customFormat="false" ht="35.05" hidden="false" customHeight="false" outlineLevel="0" collapsed="false">
      <c r="A757" s="76" t="n">
        <v>740</v>
      </c>
      <c r="B757" s="20" t="s">
        <v>1167</v>
      </c>
      <c r="C757" s="20" t="s">
        <v>912</v>
      </c>
      <c r="D757" s="20" t="s">
        <v>913</v>
      </c>
      <c r="E757" s="20" t="s">
        <v>1427</v>
      </c>
      <c r="F757" s="76" t="s">
        <v>956</v>
      </c>
      <c r="G757" s="20" t="s">
        <v>962</v>
      </c>
      <c r="H757" s="55" t="n">
        <v>10</v>
      </c>
      <c r="I757" s="76" t="s">
        <v>512</v>
      </c>
      <c r="J757" s="76" t="s">
        <v>164</v>
      </c>
      <c r="K757" s="82" t="n">
        <v>17</v>
      </c>
      <c r="L757" s="55" t="n">
        <v>1</v>
      </c>
      <c r="M757" s="73" t="n">
        <v>0.4</v>
      </c>
      <c r="N757" s="74" t="n">
        <f aca="false">K757*L757*M757</f>
        <v>6.8</v>
      </c>
      <c r="O757" s="41" t="n">
        <f aca="false">IFERROR(INDEX(Исходные!$B$21:$B$33,MATCH(H757,Исходные!$A$21:$A$33,0)),0)</f>
        <v>0.617</v>
      </c>
      <c r="P757" s="83" t="n">
        <f aca="false">N757*O757</f>
        <v>4.1956</v>
      </c>
      <c r="Q757" s="20" t="s">
        <v>921</v>
      </c>
      <c r="R757" s="84" t="s">
        <v>667</v>
      </c>
      <c r="S757" s="20" t="s">
        <v>945</v>
      </c>
      <c r="T757" s="20" t="s">
        <v>123</v>
      </c>
      <c r="U757" s="53" t="n">
        <v>0</v>
      </c>
      <c r="V757" s="76" t="s">
        <v>918</v>
      </c>
      <c r="W757" s="53" t="n">
        <v>2</v>
      </c>
    </row>
    <row r="758" customFormat="false" ht="35.05" hidden="false" customHeight="false" outlineLevel="0" collapsed="false">
      <c r="A758" s="76" t="n">
        <v>741</v>
      </c>
      <c r="B758" s="20" t="s">
        <v>1167</v>
      </c>
      <c r="C758" s="20" t="s">
        <v>912</v>
      </c>
      <c r="D758" s="20" t="s">
        <v>913</v>
      </c>
      <c r="E758" s="20" t="s">
        <v>1427</v>
      </c>
      <c r="F758" s="76" t="s">
        <v>954</v>
      </c>
      <c r="G758" s="20" t="s">
        <v>955</v>
      </c>
      <c r="H758" s="55" t="n">
        <v>10</v>
      </c>
      <c r="I758" s="76" t="s">
        <v>512</v>
      </c>
      <c r="J758" s="76" t="n">
        <v>200</v>
      </c>
      <c r="K758" s="82" t="n">
        <v>1</v>
      </c>
      <c r="L758" s="55" t="n">
        <v>18</v>
      </c>
      <c r="M758" s="73" t="n">
        <v>4.15</v>
      </c>
      <c r="N758" s="74" t="n">
        <f aca="false">K758*L758*M758</f>
        <v>74.7</v>
      </c>
      <c r="O758" s="41" t="n">
        <f aca="false">IFERROR(INDEX(Исходные!$B$21:$B$33,MATCH(H758,Исходные!$A$21:$A$33,0)),0)</f>
        <v>0.617</v>
      </c>
      <c r="P758" s="83" t="n">
        <f aca="false">N758*O758</f>
        <v>46.0899</v>
      </c>
      <c r="Q758" s="20" t="s">
        <v>1428</v>
      </c>
      <c r="R758" s="84" t="s">
        <v>660</v>
      </c>
      <c r="S758" s="20"/>
      <c r="T758" s="20" t="s">
        <v>123</v>
      </c>
      <c r="U758" s="53" t="n">
        <v>0</v>
      </c>
      <c r="V758" s="76" t="s">
        <v>918</v>
      </c>
      <c r="W758" s="53" t="n">
        <v>2</v>
      </c>
    </row>
    <row r="759" customFormat="false" ht="35.05" hidden="false" customHeight="false" outlineLevel="0" collapsed="false">
      <c r="A759" s="76" t="n">
        <v>742</v>
      </c>
      <c r="B759" s="20" t="s">
        <v>1167</v>
      </c>
      <c r="C759" s="20" t="s">
        <v>912</v>
      </c>
      <c r="D759" s="20" t="s">
        <v>913</v>
      </c>
      <c r="E759" s="20" t="s">
        <v>1427</v>
      </c>
      <c r="F759" s="76" t="s">
        <v>954</v>
      </c>
      <c r="G759" s="20" t="s">
        <v>955</v>
      </c>
      <c r="H759" s="55" t="n">
        <v>10</v>
      </c>
      <c r="I759" s="76" t="s">
        <v>512</v>
      </c>
      <c r="J759" s="76" t="n">
        <v>200</v>
      </c>
      <c r="K759" s="82" t="n">
        <v>1</v>
      </c>
      <c r="L759" s="55" t="n">
        <v>22</v>
      </c>
      <c r="M759" s="73" t="n">
        <v>0.6</v>
      </c>
      <c r="N759" s="74" t="n">
        <f aca="false">K759*L759*M759</f>
        <v>13.2</v>
      </c>
      <c r="O759" s="41" t="n">
        <f aca="false">IFERROR(INDEX(Исходные!$B$21:$B$33,MATCH(H759,Исходные!$A$21:$A$33,0)),0)</f>
        <v>0.617</v>
      </c>
      <c r="P759" s="83" t="n">
        <f aca="false">N759*O759</f>
        <v>8.1444</v>
      </c>
      <c r="Q759" s="20" t="s">
        <v>1428</v>
      </c>
      <c r="R759" s="84" t="s">
        <v>660</v>
      </c>
      <c r="S759" s="20"/>
      <c r="T759" s="20" t="s">
        <v>123</v>
      </c>
      <c r="U759" s="53" t="n">
        <v>0</v>
      </c>
      <c r="V759" s="76" t="s">
        <v>918</v>
      </c>
      <c r="W759" s="53" t="n">
        <v>2</v>
      </c>
    </row>
    <row r="760" customFormat="false" ht="35.05" hidden="false" customHeight="false" outlineLevel="0" collapsed="false">
      <c r="A760" s="76" t="n">
        <v>743</v>
      </c>
      <c r="B760" s="20" t="s">
        <v>1167</v>
      </c>
      <c r="C760" s="20" t="s">
        <v>912</v>
      </c>
      <c r="D760" s="20" t="s">
        <v>963</v>
      </c>
      <c r="E760" s="20" t="s">
        <v>1427</v>
      </c>
      <c r="F760" s="76" t="s">
        <v>964</v>
      </c>
      <c r="G760" s="20" t="s">
        <v>965</v>
      </c>
      <c r="H760" s="55" t="n">
        <v>10</v>
      </c>
      <c r="I760" s="76" t="s">
        <v>512</v>
      </c>
      <c r="J760" s="76" t="n">
        <v>200</v>
      </c>
      <c r="K760" s="82" t="n">
        <v>1</v>
      </c>
      <c r="L760" s="55" t="n">
        <v>22</v>
      </c>
      <c r="M760" s="73" t="n">
        <v>5.05</v>
      </c>
      <c r="N760" s="74" t="n">
        <f aca="false">K760*L760*M760</f>
        <v>111.1</v>
      </c>
      <c r="O760" s="41" t="n">
        <f aca="false">IFERROR(INDEX(Исходные!$B$21:$B$33,MATCH(H760,Исходные!$A$21:$A$33,0)),0)</f>
        <v>0.617</v>
      </c>
      <c r="P760" s="83" t="n">
        <f aca="false">N760*O760</f>
        <v>68.5487</v>
      </c>
      <c r="Q760" s="20" t="s">
        <v>1443</v>
      </c>
      <c r="R760" s="84" t="s">
        <v>514</v>
      </c>
      <c r="S760" s="20"/>
      <c r="T760" s="20" t="s">
        <v>123</v>
      </c>
      <c r="U760" s="53" t="n">
        <v>0</v>
      </c>
      <c r="V760" s="76" t="s">
        <v>967</v>
      </c>
      <c r="W760" s="53" t="n">
        <v>2</v>
      </c>
    </row>
    <row r="761" customFormat="false" ht="35.05" hidden="false" customHeight="false" outlineLevel="0" collapsed="false">
      <c r="A761" s="76" t="n">
        <v>744</v>
      </c>
      <c r="B761" s="20" t="s">
        <v>1167</v>
      </c>
      <c r="C761" s="20" t="s">
        <v>912</v>
      </c>
      <c r="D761" s="20" t="s">
        <v>963</v>
      </c>
      <c r="E761" s="20" t="s">
        <v>1427</v>
      </c>
      <c r="F761" s="76" t="s">
        <v>964</v>
      </c>
      <c r="G761" s="20" t="s">
        <v>968</v>
      </c>
      <c r="H761" s="55" t="n">
        <v>10</v>
      </c>
      <c r="I761" s="76" t="s">
        <v>512</v>
      </c>
      <c r="J761" s="76" t="n">
        <v>200</v>
      </c>
      <c r="K761" s="82" t="n">
        <v>1</v>
      </c>
      <c r="L761" s="55" t="n">
        <v>25</v>
      </c>
      <c r="M761" s="73" t="n">
        <v>4.5</v>
      </c>
      <c r="N761" s="74" t="n">
        <f aca="false">K761*L761*M761</f>
        <v>112.5</v>
      </c>
      <c r="O761" s="41" t="n">
        <f aca="false">IFERROR(INDEX(Исходные!$B$21:$B$33,MATCH(H761,Исходные!$A$21:$A$33,0)),0)</f>
        <v>0.617</v>
      </c>
      <c r="P761" s="83" t="n">
        <f aca="false">N761*O761</f>
        <v>69.4125</v>
      </c>
      <c r="Q761" s="20" t="s">
        <v>1443</v>
      </c>
      <c r="R761" s="84" t="s">
        <v>514</v>
      </c>
      <c r="S761" s="20"/>
      <c r="T761" s="20" t="s">
        <v>123</v>
      </c>
      <c r="U761" s="53" t="n">
        <v>0</v>
      </c>
      <c r="V761" s="76" t="s">
        <v>967</v>
      </c>
      <c r="W761" s="53" t="n">
        <v>2</v>
      </c>
    </row>
    <row r="762" customFormat="false" ht="35.05" hidden="false" customHeight="false" outlineLevel="0" collapsed="false">
      <c r="A762" s="76" t="n">
        <v>745</v>
      </c>
      <c r="B762" s="20" t="s">
        <v>1167</v>
      </c>
      <c r="C762" s="20" t="s">
        <v>912</v>
      </c>
      <c r="D762" s="20" t="s">
        <v>963</v>
      </c>
      <c r="E762" s="20" t="s">
        <v>1427</v>
      </c>
      <c r="F762" s="76" t="s">
        <v>964</v>
      </c>
      <c r="G762" s="20" t="s">
        <v>969</v>
      </c>
      <c r="H762" s="55" t="n">
        <v>10</v>
      </c>
      <c r="I762" s="76" t="s">
        <v>512</v>
      </c>
      <c r="J762" s="76" t="n">
        <v>200</v>
      </c>
      <c r="K762" s="82" t="n">
        <v>1</v>
      </c>
      <c r="L762" s="55" t="n">
        <v>20</v>
      </c>
      <c r="M762" s="73" t="n">
        <v>3.625</v>
      </c>
      <c r="N762" s="74" t="n">
        <f aca="false">K762*L762*M762</f>
        <v>72.5</v>
      </c>
      <c r="O762" s="41" t="n">
        <f aca="false">IFERROR(INDEX(Исходные!$B$21:$B$33,MATCH(H762,Исходные!$A$21:$A$33,0)),0)</f>
        <v>0.617</v>
      </c>
      <c r="P762" s="83" t="n">
        <f aca="false">N762*O762</f>
        <v>44.7325</v>
      </c>
      <c r="Q762" s="20" t="s">
        <v>1443</v>
      </c>
      <c r="R762" s="84" t="s">
        <v>514</v>
      </c>
      <c r="S762" s="20"/>
      <c r="T762" s="20" t="s">
        <v>123</v>
      </c>
      <c r="U762" s="53" t="n">
        <v>0</v>
      </c>
      <c r="V762" s="76" t="s">
        <v>967</v>
      </c>
      <c r="W762" s="53" t="n">
        <v>2</v>
      </c>
    </row>
    <row r="763" customFormat="false" ht="35.05" hidden="false" customHeight="false" outlineLevel="0" collapsed="false">
      <c r="A763" s="76" t="n">
        <v>746</v>
      </c>
      <c r="B763" s="20" t="s">
        <v>1167</v>
      </c>
      <c r="C763" s="20" t="s">
        <v>912</v>
      </c>
      <c r="D763" s="20" t="s">
        <v>963</v>
      </c>
      <c r="E763" s="20" t="s">
        <v>1427</v>
      </c>
      <c r="F763" s="76" t="s">
        <v>964</v>
      </c>
      <c r="G763" s="20" t="s">
        <v>970</v>
      </c>
      <c r="H763" s="55" t="n">
        <v>10</v>
      </c>
      <c r="I763" s="76" t="s">
        <v>512</v>
      </c>
      <c r="J763" s="76" t="n">
        <v>200</v>
      </c>
      <c r="K763" s="82" t="n">
        <v>1</v>
      </c>
      <c r="L763" s="55" t="n">
        <v>17</v>
      </c>
      <c r="M763" s="73" t="n">
        <v>4.5</v>
      </c>
      <c r="N763" s="74" t="n">
        <f aca="false">K763*L763*M763</f>
        <v>76.5</v>
      </c>
      <c r="O763" s="41" t="n">
        <f aca="false">IFERROR(INDEX(Исходные!$B$21:$B$33,MATCH(H763,Исходные!$A$21:$A$33,0)),0)</f>
        <v>0.617</v>
      </c>
      <c r="P763" s="83" t="n">
        <f aca="false">N763*O763</f>
        <v>47.2005</v>
      </c>
      <c r="Q763" s="20" t="s">
        <v>1443</v>
      </c>
      <c r="R763" s="84" t="s">
        <v>514</v>
      </c>
      <c r="S763" s="20"/>
      <c r="T763" s="20" t="s">
        <v>123</v>
      </c>
      <c r="U763" s="53" t="n">
        <v>0</v>
      </c>
      <c r="V763" s="76" t="s">
        <v>967</v>
      </c>
      <c r="W763" s="53" t="n">
        <v>2</v>
      </c>
    </row>
    <row r="764" customFormat="false" ht="35.05" hidden="false" customHeight="false" outlineLevel="0" collapsed="false">
      <c r="A764" s="76" t="n">
        <v>747</v>
      </c>
      <c r="B764" s="20" t="s">
        <v>1167</v>
      </c>
      <c r="C764" s="20" t="s">
        <v>912</v>
      </c>
      <c r="D764" s="20" t="s">
        <v>963</v>
      </c>
      <c r="E764" s="20" t="s">
        <v>1427</v>
      </c>
      <c r="F764" s="76" t="s">
        <v>964</v>
      </c>
      <c r="G764" s="20" t="s">
        <v>971</v>
      </c>
      <c r="H764" s="55" t="n">
        <v>10</v>
      </c>
      <c r="I764" s="76" t="s">
        <v>512</v>
      </c>
      <c r="J764" s="76" t="n">
        <v>200</v>
      </c>
      <c r="K764" s="82" t="n">
        <v>1</v>
      </c>
      <c r="L764" s="55" t="n">
        <v>17</v>
      </c>
      <c r="M764" s="73" t="n">
        <v>1.2</v>
      </c>
      <c r="N764" s="74" t="n">
        <f aca="false">K764*L764*M764</f>
        <v>20.4</v>
      </c>
      <c r="O764" s="41" t="n">
        <f aca="false">IFERROR(INDEX(Исходные!$B$21:$B$33,MATCH(H764,Исходные!$A$21:$A$33,0)),0)</f>
        <v>0.617</v>
      </c>
      <c r="P764" s="83" t="n">
        <f aca="false">N764*O764</f>
        <v>12.5868</v>
      </c>
      <c r="Q764" s="20" t="s">
        <v>1443</v>
      </c>
      <c r="R764" s="84" t="s">
        <v>514</v>
      </c>
      <c r="S764" s="20"/>
      <c r="T764" s="20" t="s">
        <v>123</v>
      </c>
      <c r="U764" s="53" t="n">
        <v>0</v>
      </c>
      <c r="V764" s="76" t="s">
        <v>967</v>
      </c>
      <c r="W764" s="53" t="n">
        <v>2</v>
      </c>
    </row>
    <row r="765" customFormat="false" ht="35.05" hidden="false" customHeight="false" outlineLevel="0" collapsed="false">
      <c r="A765" s="76" t="n">
        <v>748</v>
      </c>
      <c r="B765" s="20" t="s">
        <v>1167</v>
      </c>
      <c r="C765" s="20" t="s">
        <v>912</v>
      </c>
      <c r="D765" s="20" t="s">
        <v>963</v>
      </c>
      <c r="E765" s="20" t="s">
        <v>1427</v>
      </c>
      <c r="F765" s="76" t="s">
        <v>972</v>
      </c>
      <c r="G765" s="20" t="s">
        <v>973</v>
      </c>
      <c r="H765" s="55" t="n">
        <v>10</v>
      </c>
      <c r="I765" s="76" t="s">
        <v>512</v>
      </c>
      <c r="J765" s="76" t="n">
        <v>200</v>
      </c>
      <c r="K765" s="82" t="n">
        <v>1</v>
      </c>
      <c r="L765" s="55" t="n">
        <v>18</v>
      </c>
      <c r="M765" s="73" t="n">
        <v>1.2</v>
      </c>
      <c r="N765" s="74" t="n">
        <f aca="false">K765*L765*M765</f>
        <v>21.6</v>
      </c>
      <c r="O765" s="41" t="n">
        <f aca="false">IFERROR(INDEX(Исходные!$B$21:$B$33,MATCH(H765,Исходные!$A$21:$A$33,0)),0)</f>
        <v>0.617</v>
      </c>
      <c r="P765" s="83" t="n">
        <f aca="false">N765*O765</f>
        <v>13.3272</v>
      </c>
      <c r="Q765" s="20" t="s">
        <v>1444</v>
      </c>
      <c r="R765" s="84" t="s">
        <v>514</v>
      </c>
      <c r="S765" s="20"/>
      <c r="T765" s="20" t="s">
        <v>123</v>
      </c>
      <c r="U765" s="53" t="n">
        <v>0</v>
      </c>
      <c r="V765" s="76" t="s">
        <v>975</v>
      </c>
      <c r="W765" s="53" t="n">
        <v>2</v>
      </c>
    </row>
    <row r="766" customFormat="false" ht="35.05" hidden="false" customHeight="false" outlineLevel="0" collapsed="false">
      <c r="A766" s="76" t="n">
        <v>749</v>
      </c>
      <c r="B766" s="20" t="s">
        <v>1167</v>
      </c>
      <c r="C766" s="20" t="s">
        <v>912</v>
      </c>
      <c r="D766" s="20" t="s">
        <v>963</v>
      </c>
      <c r="E766" s="20" t="s">
        <v>1427</v>
      </c>
      <c r="F766" s="76" t="s">
        <v>972</v>
      </c>
      <c r="G766" s="20" t="s">
        <v>976</v>
      </c>
      <c r="H766" s="55" t="n">
        <v>10</v>
      </c>
      <c r="I766" s="76" t="s">
        <v>512</v>
      </c>
      <c r="J766" s="76" t="n">
        <v>200</v>
      </c>
      <c r="K766" s="82" t="n">
        <v>1</v>
      </c>
      <c r="L766" s="55" t="n">
        <v>11</v>
      </c>
      <c r="M766" s="73" t="n">
        <v>1.2</v>
      </c>
      <c r="N766" s="74" t="n">
        <f aca="false">K766*L766*M766</f>
        <v>13.2</v>
      </c>
      <c r="O766" s="41" t="n">
        <f aca="false">IFERROR(INDEX(Исходные!$B$21:$B$33,MATCH(H766,Исходные!$A$21:$A$33,0)),0)</f>
        <v>0.617</v>
      </c>
      <c r="P766" s="83" t="n">
        <f aca="false">N766*O766</f>
        <v>8.1444</v>
      </c>
      <c r="Q766" s="20" t="s">
        <v>1444</v>
      </c>
      <c r="R766" s="84" t="s">
        <v>514</v>
      </c>
      <c r="S766" s="20"/>
      <c r="T766" s="20" t="s">
        <v>123</v>
      </c>
      <c r="U766" s="53" t="n">
        <v>0</v>
      </c>
      <c r="V766" s="76" t="s">
        <v>975</v>
      </c>
      <c r="W766" s="53" t="n">
        <v>2</v>
      </c>
    </row>
    <row r="767" customFormat="false" ht="35.05" hidden="false" customHeight="false" outlineLevel="0" collapsed="false">
      <c r="A767" s="76" t="n">
        <v>750</v>
      </c>
      <c r="B767" s="20" t="s">
        <v>1167</v>
      </c>
      <c r="C767" s="20" t="s">
        <v>912</v>
      </c>
      <c r="D767" s="20" t="s">
        <v>963</v>
      </c>
      <c r="E767" s="20" t="s">
        <v>1427</v>
      </c>
      <c r="F767" s="76" t="s">
        <v>972</v>
      </c>
      <c r="G767" s="20" t="s">
        <v>977</v>
      </c>
      <c r="H767" s="55" t="n">
        <v>10</v>
      </c>
      <c r="I767" s="76" t="s">
        <v>512</v>
      </c>
      <c r="J767" s="76" t="n">
        <v>200</v>
      </c>
      <c r="K767" s="82" t="n">
        <v>1</v>
      </c>
      <c r="L767" s="55" t="n">
        <v>18</v>
      </c>
      <c r="M767" s="73" t="n">
        <v>1.2</v>
      </c>
      <c r="N767" s="74" t="n">
        <f aca="false">K767*L767*M767</f>
        <v>21.6</v>
      </c>
      <c r="O767" s="41" t="n">
        <f aca="false">IFERROR(INDEX(Исходные!$B$21:$B$33,MATCH(H767,Исходные!$A$21:$A$33,0)),0)</f>
        <v>0.617</v>
      </c>
      <c r="P767" s="83" t="n">
        <f aca="false">N767*O767</f>
        <v>13.3272</v>
      </c>
      <c r="Q767" s="20" t="s">
        <v>1444</v>
      </c>
      <c r="R767" s="84" t="s">
        <v>514</v>
      </c>
      <c r="S767" s="20"/>
      <c r="T767" s="20" t="s">
        <v>123</v>
      </c>
      <c r="U767" s="53" t="n">
        <v>0</v>
      </c>
      <c r="V767" s="76" t="s">
        <v>975</v>
      </c>
      <c r="W767" s="53" t="n">
        <v>2</v>
      </c>
    </row>
    <row r="768" customFormat="false" ht="35.05" hidden="false" customHeight="false" outlineLevel="0" collapsed="false">
      <c r="A768" s="76" t="n">
        <v>751</v>
      </c>
      <c r="B768" s="20" t="s">
        <v>1167</v>
      </c>
      <c r="C768" s="20" t="s">
        <v>912</v>
      </c>
      <c r="D768" s="20" t="s">
        <v>963</v>
      </c>
      <c r="E768" s="20" t="s">
        <v>1427</v>
      </c>
      <c r="F768" s="76" t="s">
        <v>972</v>
      </c>
      <c r="G768" s="20" t="s">
        <v>978</v>
      </c>
      <c r="H768" s="55" t="n">
        <v>12</v>
      </c>
      <c r="I768" s="76" t="s">
        <v>512</v>
      </c>
      <c r="J768" s="76" t="n">
        <v>200</v>
      </c>
      <c r="K768" s="82" t="n">
        <v>1</v>
      </c>
      <c r="L768" s="55" t="n">
        <v>12</v>
      </c>
      <c r="M768" s="73" t="n">
        <v>1.4</v>
      </c>
      <c r="N768" s="74" t="n">
        <f aca="false">K768*L768*M768</f>
        <v>16.8</v>
      </c>
      <c r="O768" s="41" t="n">
        <f aca="false">IFERROR(INDEX(Исходные!$B$21:$B$33,MATCH(H768,Исходные!$A$21:$A$33,0)),0)</f>
        <v>0.888</v>
      </c>
      <c r="P768" s="83" t="n">
        <f aca="false">N768*O768</f>
        <v>14.9184</v>
      </c>
      <c r="Q768" s="20" t="s">
        <v>1444</v>
      </c>
      <c r="R768" s="84" t="s">
        <v>514</v>
      </c>
      <c r="S768" s="20"/>
      <c r="T768" s="20" t="s">
        <v>123</v>
      </c>
      <c r="U768" s="53" t="n">
        <v>0</v>
      </c>
      <c r="V768" s="76" t="s">
        <v>975</v>
      </c>
      <c r="W768" s="53" t="n">
        <v>2</v>
      </c>
    </row>
    <row r="769" customFormat="false" ht="35.05" hidden="false" customHeight="false" outlineLevel="0" collapsed="false">
      <c r="A769" s="76" t="n">
        <v>752</v>
      </c>
      <c r="B769" s="20" t="s">
        <v>1167</v>
      </c>
      <c r="C769" s="20" t="s">
        <v>912</v>
      </c>
      <c r="D769" s="20" t="s">
        <v>963</v>
      </c>
      <c r="E769" s="20" t="s">
        <v>1427</v>
      </c>
      <c r="F769" s="76" t="s">
        <v>972</v>
      </c>
      <c r="G769" s="20" t="s">
        <v>979</v>
      </c>
      <c r="H769" s="55" t="n">
        <v>10</v>
      </c>
      <c r="I769" s="76" t="s">
        <v>512</v>
      </c>
      <c r="J769" s="76" t="n">
        <v>200</v>
      </c>
      <c r="K769" s="82" t="n">
        <v>1</v>
      </c>
      <c r="L769" s="55" t="n">
        <v>18</v>
      </c>
      <c r="M769" s="73" t="n">
        <v>1.4</v>
      </c>
      <c r="N769" s="74" t="n">
        <f aca="false">K769*L769*M769</f>
        <v>25.2</v>
      </c>
      <c r="O769" s="41" t="n">
        <f aca="false">IFERROR(INDEX(Исходные!$B$21:$B$33,MATCH(H769,Исходные!$A$21:$A$33,0)),0)</f>
        <v>0.617</v>
      </c>
      <c r="P769" s="83" t="n">
        <f aca="false">N769*O769</f>
        <v>15.5484</v>
      </c>
      <c r="Q769" s="20" t="s">
        <v>1444</v>
      </c>
      <c r="R769" s="84" t="s">
        <v>514</v>
      </c>
      <c r="S769" s="20"/>
      <c r="T769" s="20" t="s">
        <v>123</v>
      </c>
      <c r="U769" s="53" t="n">
        <v>0</v>
      </c>
      <c r="V769" s="76" t="s">
        <v>975</v>
      </c>
      <c r="W769" s="53" t="n">
        <v>2</v>
      </c>
    </row>
    <row r="770" customFormat="false" ht="35.05" hidden="false" customHeight="false" outlineLevel="0" collapsed="false">
      <c r="A770" s="76" t="n">
        <v>753</v>
      </c>
      <c r="B770" s="20" t="s">
        <v>1167</v>
      </c>
      <c r="C770" s="20" t="s">
        <v>912</v>
      </c>
      <c r="D770" s="20" t="s">
        <v>963</v>
      </c>
      <c r="E770" s="20" t="s">
        <v>1427</v>
      </c>
      <c r="F770" s="76" t="s">
        <v>972</v>
      </c>
      <c r="G770" s="20" t="s">
        <v>980</v>
      </c>
      <c r="H770" s="55" t="n">
        <v>12</v>
      </c>
      <c r="I770" s="76" t="s">
        <v>512</v>
      </c>
      <c r="J770" s="76" t="n">
        <v>200</v>
      </c>
      <c r="K770" s="82" t="n">
        <v>1</v>
      </c>
      <c r="L770" s="55" t="n">
        <v>12</v>
      </c>
      <c r="M770" s="73" t="n">
        <v>2.2</v>
      </c>
      <c r="N770" s="74" t="n">
        <f aca="false">K770*L770*M770</f>
        <v>26.4</v>
      </c>
      <c r="O770" s="41" t="n">
        <f aca="false">IFERROR(INDEX(Исходные!$B$21:$B$33,MATCH(H770,Исходные!$A$21:$A$33,0)),0)</f>
        <v>0.888</v>
      </c>
      <c r="P770" s="83" t="n">
        <f aca="false">N770*O770</f>
        <v>23.4432</v>
      </c>
      <c r="Q770" s="20" t="s">
        <v>1444</v>
      </c>
      <c r="R770" s="84" t="s">
        <v>514</v>
      </c>
      <c r="S770" s="20"/>
      <c r="T770" s="20" t="s">
        <v>123</v>
      </c>
      <c r="U770" s="53" t="n">
        <v>0</v>
      </c>
      <c r="V770" s="76" t="s">
        <v>975</v>
      </c>
      <c r="W770" s="53" t="n">
        <v>2</v>
      </c>
    </row>
    <row r="771" customFormat="false" ht="35.05" hidden="false" customHeight="false" outlineLevel="0" collapsed="false">
      <c r="A771" s="76" t="n">
        <v>754</v>
      </c>
      <c r="B771" s="20" t="s">
        <v>1167</v>
      </c>
      <c r="C771" s="20" t="s">
        <v>912</v>
      </c>
      <c r="D771" s="20" t="s">
        <v>963</v>
      </c>
      <c r="E771" s="20" t="s">
        <v>1427</v>
      </c>
      <c r="F771" s="76" t="s">
        <v>972</v>
      </c>
      <c r="G771" s="20" t="s">
        <v>981</v>
      </c>
      <c r="H771" s="55" t="n">
        <v>10</v>
      </c>
      <c r="I771" s="76" t="s">
        <v>512</v>
      </c>
      <c r="J771" s="76" t="n">
        <v>200</v>
      </c>
      <c r="K771" s="82" t="n">
        <v>1</v>
      </c>
      <c r="L771" s="55" t="n">
        <v>18</v>
      </c>
      <c r="M771" s="73" t="n">
        <v>2.2</v>
      </c>
      <c r="N771" s="74" t="n">
        <f aca="false">K771*L771*M771</f>
        <v>39.6</v>
      </c>
      <c r="O771" s="41" t="n">
        <f aca="false">IFERROR(INDEX(Исходные!$B$21:$B$33,MATCH(H771,Исходные!$A$21:$A$33,0)),0)</f>
        <v>0.617</v>
      </c>
      <c r="P771" s="83" t="n">
        <f aca="false">N771*O771</f>
        <v>24.4332</v>
      </c>
      <c r="Q771" s="20" t="s">
        <v>1444</v>
      </c>
      <c r="R771" s="84" t="s">
        <v>514</v>
      </c>
      <c r="S771" s="20"/>
      <c r="T771" s="20" t="s">
        <v>123</v>
      </c>
      <c r="U771" s="53" t="n">
        <v>0</v>
      </c>
      <c r="V771" s="76" t="s">
        <v>975</v>
      </c>
      <c r="W771" s="53" t="n">
        <v>2</v>
      </c>
    </row>
    <row r="772" customFormat="false" ht="35.05" hidden="false" customHeight="false" outlineLevel="0" collapsed="false">
      <c r="A772" s="76" t="n">
        <v>755</v>
      </c>
      <c r="B772" s="20" t="s">
        <v>1167</v>
      </c>
      <c r="C772" s="20" t="s">
        <v>912</v>
      </c>
      <c r="D772" s="20" t="s">
        <v>963</v>
      </c>
      <c r="E772" s="20" t="s">
        <v>1427</v>
      </c>
      <c r="F772" s="76" t="s">
        <v>972</v>
      </c>
      <c r="G772" s="20" t="s">
        <v>982</v>
      </c>
      <c r="H772" s="55" t="n">
        <v>10</v>
      </c>
      <c r="I772" s="76" t="s">
        <v>512</v>
      </c>
      <c r="J772" s="76" t="n">
        <v>200</v>
      </c>
      <c r="K772" s="82" t="n">
        <v>1</v>
      </c>
      <c r="L772" s="55" t="n">
        <v>24</v>
      </c>
      <c r="M772" s="73" t="n">
        <v>1.2</v>
      </c>
      <c r="N772" s="74" t="n">
        <f aca="false">K772*L772*M772</f>
        <v>28.8</v>
      </c>
      <c r="O772" s="41" t="n">
        <f aca="false">IFERROR(INDEX(Исходные!$B$21:$B$33,MATCH(H772,Исходные!$A$21:$A$33,0)),0)</f>
        <v>0.617</v>
      </c>
      <c r="P772" s="83" t="n">
        <f aca="false">N772*O772</f>
        <v>17.7696</v>
      </c>
      <c r="Q772" s="20" t="s">
        <v>1444</v>
      </c>
      <c r="R772" s="84" t="s">
        <v>514</v>
      </c>
      <c r="S772" s="20"/>
      <c r="T772" s="20" t="s">
        <v>123</v>
      </c>
      <c r="U772" s="53" t="n">
        <v>0</v>
      </c>
      <c r="V772" s="76" t="s">
        <v>975</v>
      </c>
      <c r="W772" s="53" t="n">
        <v>2</v>
      </c>
    </row>
    <row r="773" customFormat="false" ht="35.05" hidden="false" customHeight="false" outlineLevel="0" collapsed="false">
      <c r="A773" s="76" t="n">
        <v>756</v>
      </c>
      <c r="B773" s="20" t="s">
        <v>1167</v>
      </c>
      <c r="C773" s="20" t="s">
        <v>912</v>
      </c>
      <c r="D773" s="20" t="s">
        <v>963</v>
      </c>
      <c r="E773" s="20" t="s">
        <v>1427</v>
      </c>
      <c r="F773" s="76" t="s">
        <v>972</v>
      </c>
      <c r="G773" s="20" t="s">
        <v>983</v>
      </c>
      <c r="H773" s="55" t="n">
        <v>10</v>
      </c>
      <c r="I773" s="76" t="s">
        <v>512</v>
      </c>
      <c r="J773" s="76" t="n">
        <v>200</v>
      </c>
      <c r="K773" s="82" t="n">
        <v>1</v>
      </c>
      <c r="L773" s="55" t="n">
        <v>25</v>
      </c>
      <c r="M773" s="73" t="n">
        <v>2</v>
      </c>
      <c r="N773" s="74" t="n">
        <f aca="false">K773*L773*M773</f>
        <v>50</v>
      </c>
      <c r="O773" s="41" t="n">
        <f aca="false">IFERROR(INDEX(Исходные!$B$21:$B$33,MATCH(H773,Исходные!$A$21:$A$33,0)),0)</f>
        <v>0.617</v>
      </c>
      <c r="P773" s="83" t="n">
        <f aca="false">N773*O773</f>
        <v>30.85</v>
      </c>
      <c r="Q773" s="20" t="s">
        <v>1444</v>
      </c>
      <c r="R773" s="84" t="s">
        <v>514</v>
      </c>
      <c r="S773" s="20"/>
      <c r="T773" s="20" t="s">
        <v>123</v>
      </c>
      <c r="U773" s="53" t="n">
        <v>0</v>
      </c>
      <c r="V773" s="76" t="s">
        <v>975</v>
      </c>
      <c r="W773" s="53" t="n">
        <v>2</v>
      </c>
    </row>
    <row r="774" customFormat="false" ht="35.05" hidden="false" customHeight="false" outlineLevel="0" collapsed="false">
      <c r="A774" s="76" t="n">
        <v>757</v>
      </c>
      <c r="B774" s="20" t="s">
        <v>1167</v>
      </c>
      <c r="C774" s="20" t="s">
        <v>912</v>
      </c>
      <c r="D774" s="20" t="s">
        <v>963</v>
      </c>
      <c r="E774" s="20" t="s">
        <v>1427</v>
      </c>
      <c r="F774" s="76" t="s">
        <v>972</v>
      </c>
      <c r="G774" s="20" t="s">
        <v>984</v>
      </c>
      <c r="H774" s="55" t="n">
        <v>10</v>
      </c>
      <c r="I774" s="76" t="s">
        <v>512</v>
      </c>
      <c r="J774" s="76" t="n">
        <v>200</v>
      </c>
      <c r="K774" s="82" t="n">
        <v>1</v>
      </c>
      <c r="L774" s="55" t="n">
        <v>25</v>
      </c>
      <c r="M774" s="73" t="n">
        <v>1.2</v>
      </c>
      <c r="N774" s="74" t="n">
        <f aca="false">K774*L774*M774</f>
        <v>30</v>
      </c>
      <c r="O774" s="41" t="n">
        <f aca="false">IFERROR(INDEX(Исходные!$B$21:$B$33,MATCH(H774,Исходные!$A$21:$A$33,0)),0)</f>
        <v>0.617</v>
      </c>
      <c r="P774" s="83" t="n">
        <f aca="false">N774*O774</f>
        <v>18.51</v>
      </c>
      <c r="Q774" s="20" t="s">
        <v>1444</v>
      </c>
      <c r="R774" s="84" t="s">
        <v>514</v>
      </c>
      <c r="S774" s="20"/>
      <c r="T774" s="20" t="s">
        <v>123</v>
      </c>
      <c r="U774" s="53" t="n">
        <v>0</v>
      </c>
      <c r="V774" s="76" t="s">
        <v>975</v>
      </c>
      <c r="W774" s="53" t="n">
        <v>2</v>
      </c>
    </row>
    <row r="775" customFormat="false" ht="35.05" hidden="false" customHeight="false" outlineLevel="0" collapsed="false">
      <c r="A775" s="76" t="n">
        <v>758</v>
      </c>
      <c r="B775" s="20" t="s">
        <v>1167</v>
      </c>
      <c r="C775" s="20" t="s">
        <v>912</v>
      </c>
      <c r="D775" s="20" t="s">
        <v>963</v>
      </c>
      <c r="E775" s="20" t="s">
        <v>1427</v>
      </c>
      <c r="F775" s="76" t="s">
        <v>972</v>
      </c>
      <c r="G775" s="20" t="s">
        <v>985</v>
      </c>
      <c r="H775" s="55" t="n">
        <v>10</v>
      </c>
      <c r="I775" s="76" t="s">
        <v>512</v>
      </c>
      <c r="J775" s="76" t="n">
        <v>200</v>
      </c>
      <c r="K775" s="82" t="n">
        <v>1</v>
      </c>
      <c r="L775" s="55" t="n">
        <v>17</v>
      </c>
      <c r="M775" s="73" t="n">
        <v>1.2</v>
      </c>
      <c r="N775" s="74" t="n">
        <f aca="false">K775*L775*M775</f>
        <v>20.4</v>
      </c>
      <c r="O775" s="41" t="n">
        <f aca="false">IFERROR(INDEX(Исходные!$B$21:$B$33,MATCH(H775,Исходные!$A$21:$A$33,0)),0)</f>
        <v>0.617</v>
      </c>
      <c r="P775" s="83" t="n">
        <f aca="false">N775*O775</f>
        <v>12.5868</v>
      </c>
      <c r="Q775" s="20" t="s">
        <v>1444</v>
      </c>
      <c r="R775" s="84" t="s">
        <v>514</v>
      </c>
      <c r="S775" s="20"/>
      <c r="T775" s="20" t="s">
        <v>123</v>
      </c>
      <c r="U775" s="53" t="n">
        <v>0</v>
      </c>
      <c r="V775" s="76" t="s">
        <v>975</v>
      </c>
      <c r="W775" s="53" t="n">
        <v>2</v>
      </c>
    </row>
    <row r="776" customFormat="false" ht="35.05" hidden="false" customHeight="false" outlineLevel="0" collapsed="false">
      <c r="A776" s="76" t="n">
        <v>759</v>
      </c>
      <c r="B776" s="20" t="s">
        <v>1167</v>
      </c>
      <c r="C776" s="20" t="s">
        <v>912</v>
      </c>
      <c r="D776" s="20" t="s">
        <v>963</v>
      </c>
      <c r="E776" s="20" t="s">
        <v>1427</v>
      </c>
      <c r="F776" s="76" t="s">
        <v>972</v>
      </c>
      <c r="G776" s="20" t="s">
        <v>986</v>
      </c>
      <c r="H776" s="55" t="n">
        <v>10</v>
      </c>
      <c r="I776" s="76" t="s">
        <v>512</v>
      </c>
      <c r="J776" s="76" t="n">
        <v>200</v>
      </c>
      <c r="K776" s="82" t="n">
        <v>1</v>
      </c>
      <c r="L776" s="55" t="n">
        <v>36</v>
      </c>
      <c r="M776" s="73" t="n">
        <v>1.2</v>
      </c>
      <c r="N776" s="74" t="n">
        <f aca="false">K776*L776*M776</f>
        <v>43.2</v>
      </c>
      <c r="O776" s="41" t="n">
        <f aca="false">IFERROR(INDEX(Исходные!$B$21:$B$33,MATCH(H776,Исходные!$A$21:$A$33,0)),0)</f>
        <v>0.617</v>
      </c>
      <c r="P776" s="83" t="n">
        <f aca="false">N776*O776</f>
        <v>26.6544</v>
      </c>
      <c r="Q776" s="20" t="s">
        <v>1444</v>
      </c>
      <c r="R776" s="84" t="s">
        <v>514</v>
      </c>
      <c r="S776" s="20"/>
      <c r="T776" s="20" t="s">
        <v>123</v>
      </c>
      <c r="U776" s="53" t="n">
        <v>0</v>
      </c>
      <c r="V776" s="76" t="s">
        <v>975</v>
      </c>
      <c r="W776" s="53" t="n">
        <v>2</v>
      </c>
    </row>
    <row r="777" customFormat="false" ht="35.05" hidden="false" customHeight="false" outlineLevel="0" collapsed="false">
      <c r="A777" s="76" t="n">
        <v>760</v>
      </c>
      <c r="B777" s="20" t="s">
        <v>1167</v>
      </c>
      <c r="C777" s="20" t="s">
        <v>912</v>
      </c>
      <c r="D777" s="20" t="s">
        <v>963</v>
      </c>
      <c r="E777" s="20" t="s">
        <v>1427</v>
      </c>
      <c r="F777" s="76" t="s">
        <v>972</v>
      </c>
      <c r="G777" s="20" t="s">
        <v>987</v>
      </c>
      <c r="H777" s="55" t="n">
        <v>10</v>
      </c>
      <c r="I777" s="76" t="s">
        <v>512</v>
      </c>
      <c r="J777" s="76" t="n">
        <v>200</v>
      </c>
      <c r="K777" s="82" t="n">
        <v>1</v>
      </c>
      <c r="L777" s="55" t="n">
        <v>15</v>
      </c>
      <c r="M777" s="73" t="n">
        <v>1.4</v>
      </c>
      <c r="N777" s="74" t="n">
        <f aca="false">K777*L777*M777</f>
        <v>21</v>
      </c>
      <c r="O777" s="41" t="n">
        <f aca="false">IFERROR(INDEX(Исходные!$B$21:$B$33,MATCH(H777,Исходные!$A$21:$A$33,0)),0)</f>
        <v>0.617</v>
      </c>
      <c r="P777" s="83" t="n">
        <f aca="false">N777*O777</f>
        <v>12.957</v>
      </c>
      <c r="Q777" s="20" t="s">
        <v>1444</v>
      </c>
      <c r="R777" s="84" t="s">
        <v>514</v>
      </c>
      <c r="S777" s="20"/>
      <c r="T777" s="20" t="s">
        <v>123</v>
      </c>
      <c r="U777" s="53" t="n">
        <v>0</v>
      </c>
      <c r="V777" s="76" t="s">
        <v>975</v>
      </c>
      <c r="W777" s="53" t="n">
        <v>2</v>
      </c>
    </row>
    <row r="778" customFormat="false" ht="35.05" hidden="false" customHeight="false" outlineLevel="0" collapsed="false">
      <c r="A778" s="76" t="n">
        <v>761</v>
      </c>
      <c r="B778" s="20" t="s">
        <v>1167</v>
      </c>
      <c r="C778" s="20" t="s">
        <v>912</v>
      </c>
      <c r="D778" s="20" t="s">
        <v>963</v>
      </c>
      <c r="E778" s="20" t="s">
        <v>1427</v>
      </c>
      <c r="F778" s="76" t="s">
        <v>972</v>
      </c>
      <c r="G778" s="20" t="s">
        <v>988</v>
      </c>
      <c r="H778" s="55" t="n">
        <v>10</v>
      </c>
      <c r="I778" s="76" t="s">
        <v>512</v>
      </c>
      <c r="J778" s="76" t="n">
        <v>200</v>
      </c>
      <c r="K778" s="82" t="n">
        <v>1</v>
      </c>
      <c r="L778" s="55" t="n">
        <v>17</v>
      </c>
      <c r="M778" s="73" t="n">
        <v>2.2</v>
      </c>
      <c r="N778" s="74" t="n">
        <f aca="false">K778*L778*M778</f>
        <v>37.4</v>
      </c>
      <c r="O778" s="41" t="n">
        <f aca="false">IFERROR(INDEX(Исходные!$B$21:$B$33,MATCH(H778,Исходные!$A$21:$A$33,0)),0)</f>
        <v>0.617</v>
      </c>
      <c r="P778" s="83" t="n">
        <f aca="false">N778*O778</f>
        <v>23.0758</v>
      </c>
      <c r="Q778" s="20" t="s">
        <v>1444</v>
      </c>
      <c r="R778" s="84" t="s">
        <v>514</v>
      </c>
      <c r="S778" s="20"/>
      <c r="T778" s="20" t="s">
        <v>123</v>
      </c>
      <c r="U778" s="53" t="n">
        <v>0</v>
      </c>
      <c r="V778" s="76" t="s">
        <v>975</v>
      </c>
      <c r="W778" s="53" t="n">
        <v>2</v>
      </c>
    </row>
    <row r="779" customFormat="false" ht="35.05" hidden="false" customHeight="false" outlineLevel="0" collapsed="false">
      <c r="A779" s="76" t="n">
        <v>762</v>
      </c>
      <c r="B779" s="20" t="s">
        <v>1167</v>
      </c>
      <c r="C779" s="20" t="s">
        <v>912</v>
      </c>
      <c r="D779" s="20" t="s">
        <v>963</v>
      </c>
      <c r="E779" s="20" t="s">
        <v>1427</v>
      </c>
      <c r="F779" s="76" t="s">
        <v>972</v>
      </c>
      <c r="G779" s="20" t="s">
        <v>989</v>
      </c>
      <c r="H779" s="55" t="n">
        <v>10</v>
      </c>
      <c r="I779" s="76" t="s">
        <v>512</v>
      </c>
      <c r="J779" s="76" t="n">
        <v>200</v>
      </c>
      <c r="K779" s="82" t="n">
        <v>1</v>
      </c>
      <c r="L779" s="55" t="n">
        <v>29</v>
      </c>
      <c r="M779" s="73" t="n">
        <v>1.4</v>
      </c>
      <c r="N779" s="74" t="n">
        <f aca="false">K779*L779*M779</f>
        <v>40.6</v>
      </c>
      <c r="O779" s="41" t="n">
        <f aca="false">IFERROR(INDEX(Исходные!$B$21:$B$33,MATCH(H779,Исходные!$A$21:$A$33,0)),0)</f>
        <v>0.617</v>
      </c>
      <c r="P779" s="83" t="n">
        <f aca="false">N779*O779</f>
        <v>25.0502</v>
      </c>
      <c r="Q779" s="20" t="s">
        <v>1444</v>
      </c>
      <c r="R779" s="84" t="s">
        <v>514</v>
      </c>
      <c r="S779" s="20"/>
      <c r="T779" s="20" t="s">
        <v>123</v>
      </c>
      <c r="U779" s="53" t="n">
        <v>0</v>
      </c>
      <c r="V779" s="76" t="s">
        <v>975</v>
      </c>
      <c r="W779" s="53" t="n">
        <v>2</v>
      </c>
    </row>
    <row r="780" customFormat="false" ht="35.05" hidden="false" customHeight="false" outlineLevel="0" collapsed="false">
      <c r="A780" s="76" t="n">
        <v>763</v>
      </c>
      <c r="B780" s="20" t="s">
        <v>1167</v>
      </c>
      <c r="C780" s="20" t="s">
        <v>912</v>
      </c>
      <c r="D780" s="20" t="s">
        <v>963</v>
      </c>
      <c r="E780" s="20" t="s">
        <v>1427</v>
      </c>
      <c r="F780" s="76" t="s">
        <v>972</v>
      </c>
      <c r="G780" s="20" t="s">
        <v>990</v>
      </c>
      <c r="H780" s="55" t="n">
        <v>10</v>
      </c>
      <c r="I780" s="76" t="s">
        <v>512</v>
      </c>
      <c r="J780" s="76" t="n">
        <v>200</v>
      </c>
      <c r="K780" s="82" t="n">
        <v>1</v>
      </c>
      <c r="L780" s="55" t="n">
        <v>62</v>
      </c>
      <c r="M780" s="73" t="n">
        <v>2.2</v>
      </c>
      <c r="N780" s="74" t="n">
        <f aca="false">K780*L780*M780</f>
        <v>136.4</v>
      </c>
      <c r="O780" s="41" t="n">
        <f aca="false">IFERROR(INDEX(Исходные!$B$21:$B$33,MATCH(H780,Исходные!$A$21:$A$33,0)),0)</f>
        <v>0.617</v>
      </c>
      <c r="P780" s="83" t="n">
        <f aca="false">N780*O780</f>
        <v>84.1588</v>
      </c>
      <c r="Q780" s="20" t="s">
        <v>1444</v>
      </c>
      <c r="R780" s="84" t="s">
        <v>514</v>
      </c>
      <c r="S780" s="20"/>
      <c r="T780" s="20" t="s">
        <v>123</v>
      </c>
      <c r="U780" s="53" t="n">
        <v>0</v>
      </c>
      <c r="V780" s="76" t="s">
        <v>975</v>
      </c>
      <c r="W780" s="53" t="n">
        <v>2</v>
      </c>
    </row>
    <row r="781" customFormat="false" ht="35.05" hidden="false" customHeight="false" outlineLevel="0" collapsed="false">
      <c r="A781" s="76" t="n">
        <v>764</v>
      </c>
      <c r="B781" s="20" t="s">
        <v>1167</v>
      </c>
      <c r="C781" s="20" t="s">
        <v>912</v>
      </c>
      <c r="D781" s="20" t="s">
        <v>991</v>
      </c>
      <c r="E781" s="20" t="s">
        <v>1427</v>
      </c>
      <c r="F781" s="76" t="s">
        <v>972</v>
      </c>
      <c r="G781" s="20" t="s">
        <v>1445</v>
      </c>
      <c r="H781" s="55" t="n">
        <v>20</v>
      </c>
      <c r="I781" s="76" t="s">
        <v>512</v>
      </c>
      <c r="J781" s="76" t="s">
        <v>164</v>
      </c>
      <c r="K781" s="82" t="n">
        <v>4</v>
      </c>
      <c r="L781" s="55" t="n">
        <v>2</v>
      </c>
      <c r="M781" s="73" t="n">
        <v>3</v>
      </c>
      <c r="N781" s="74" t="n">
        <f aca="false">K781*L781*M781</f>
        <v>24</v>
      </c>
      <c r="O781" s="41" t="n">
        <f aca="false">IFERROR(INDEX(Исходные!$B$21:$B$33,MATCH(H781,Исходные!$A$21:$A$33,0)),0)</f>
        <v>2.466</v>
      </c>
      <c r="P781" s="83" t="n">
        <f aca="false">N781*O781</f>
        <v>59.184</v>
      </c>
      <c r="Q781" s="20" t="s">
        <v>1446</v>
      </c>
      <c r="R781" s="84" t="s">
        <v>514</v>
      </c>
      <c r="S781" s="20"/>
      <c r="T781" s="20" t="s">
        <v>123</v>
      </c>
      <c r="U781" s="53" t="n">
        <v>0</v>
      </c>
      <c r="V781" s="76" t="s">
        <v>975</v>
      </c>
      <c r="W781" s="53" t="n">
        <v>2</v>
      </c>
    </row>
    <row r="782" customFormat="false" ht="35.05" hidden="false" customHeight="false" outlineLevel="0" collapsed="false">
      <c r="A782" s="76" t="n">
        <v>765</v>
      </c>
      <c r="B782" s="20" t="s">
        <v>1167</v>
      </c>
      <c r="C782" s="20" t="s">
        <v>912</v>
      </c>
      <c r="D782" s="20" t="s">
        <v>1447</v>
      </c>
      <c r="E782" s="20" t="s">
        <v>1427</v>
      </c>
      <c r="F782" s="76" t="s">
        <v>972</v>
      </c>
      <c r="G782" s="20" t="s">
        <v>1448</v>
      </c>
      <c r="H782" s="55" t="n">
        <v>18</v>
      </c>
      <c r="I782" s="76" t="s">
        <v>512</v>
      </c>
      <c r="J782" s="76" t="s">
        <v>164</v>
      </c>
      <c r="K782" s="82" t="n">
        <v>1</v>
      </c>
      <c r="L782" s="55" t="n">
        <v>1</v>
      </c>
      <c r="M782" s="73" t="n">
        <v>3</v>
      </c>
      <c r="N782" s="74" t="n">
        <f aca="false">K782*L782*M782</f>
        <v>3</v>
      </c>
      <c r="O782" s="41" t="n">
        <f aca="false">IFERROR(INDEX(Исходные!$B$21:$B$33,MATCH(H782,Исходные!$A$21:$A$33,0)),0)</f>
        <v>1.998</v>
      </c>
      <c r="P782" s="83" t="n">
        <f aca="false">N782*O782</f>
        <v>5.994</v>
      </c>
      <c r="Q782" s="20" t="s">
        <v>1449</v>
      </c>
      <c r="R782" s="84" t="s">
        <v>514</v>
      </c>
      <c r="S782" s="20"/>
      <c r="T782" s="20" t="s">
        <v>123</v>
      </c>
      <c r="U782" s="53" t="n">
        <v>0</v>
      </c>
      <c r="V782" s="76" t="s">
        <v>975</v>
      </c>
      <c r="W782" s="53" t="n">
        <v>2</v>
      </c>
    </row>
    <row r="783" customFormat="false" ht="35.05" hidden="false" customHeight="false" outlineLevel="0" collapsed="false">
      <c r="A783" s="76" t="n">
        <v>766</v>
      </c>
      <c r="B783" s="20" t="s">
        <v>1167</v>
      </c>
      <c r="C783" s="20" t="s">
        <v>912</v>
      </c>
      <c r="D783" s="20" t="s">
        <v>1450</v>
      </c>
      <c r="E783" s="20" t="s">
        <v>1427</v>
      </c>
      <c r="F783" s="76" t="s">
        <v>972</v>
      </c>
      <c r="G783" s="20" t="s">
        <v>1451</v>
      </c>
      <c r="H783" s="55" t="n">
        <v>18</v>
      </c>
      <c r="I783" s="76" t="s">
        <v>512</v>
      </c>
      <c r="J783" s="76" t="s">
        <v>164</v>
      </c>
      <c r="K783" s="82" t="n">
        <v>1</v>
      </c>
      <c r="L783" s="55" t="n">
        <v>1</v>
      </c>
      <c r="M783" s="73" t="n">
        <v>1.7</v>
      </c>
      <c r="N783" s="74" t="n">
        <f aca="false">K783*L783*M783</f>
        <v>1.7</v>
      </c>
      <c r="O783" s="41" t="n">
        <f aca="false">IFERROR(INDEX(Исходные!$B$21:$B$33,MATCH(H783,Исходные!$A$21:$A$33,0)),0)</f>
        <v>1.998</v>
      </c>
      <c r="P783" s="83" t="n">
        <f aca="false">N783*O783</f>
        <v>3.3966</v>
      </c>
      <c r="Q783" s="20" t="s">
        <v>1452</v>
      </c>
      <c r="R783" s="84" t="s">
        <v>514</v>
      </c>
      <c r="S783" s="20"/>
      <c r="T783" s="20" t="s">
        <v>123</v>
      </c>
      <c r="U783" s="53" t="n">
        <v>0</v>
      </c>
      <c r="V783" s="76" t="s">
        <v>975</v>
      </c>
      <c r="W783" s="53" t="n">
        <v>2</v>
      </c>
    </row>
    <row r="784" customFormat="false" ht="35.05" hidden="false" customHeight="false" outlineLevel="0" collapsed="false">
      <c r="A784" s="76" t="n">
        <v>767</v>
      </c>
      <c r="B784" s="20" t="s">
        <v>1167</v>
      </c>
      <c r="C784" s="20" t="s">
        <v>912</v>
      </c>
      <c r="D784" s="20" t="s">
        <v>994</v>
      </c>
      <c r="E784" s="20" t="s">
        <v>1427</v>
      </c>
      <c r="F784" s="76" t="s">
        <v>995</v>
      </c>
      <c r="G784" s="20" t="s">
        <v>996</v>
      </c>
      <c r="H784" s="55" t="n">
        <v>14</v>
      </c>
      <c r="I784" s="76" t="s">
        <v>512</v>
      </c>
      <c r="J784" s="76" t="s">
        <v>164</v>
      </c>
      <c r="K784" s="82" t="n">
        <v>1</v>
      </c>
      <c r="L784" s="55" t="n">
        <v>2</v>
      </c>
      <c r="M784" s="73" t="n">
        <v>25.795</v>
      </c>
      <c r="N784" s="74" t="n">
        <f aca="false">K784*L784*M784</f>
        <v>51.59</v>
      </c>
      <c r="O784" s="41" t="n">
        <f aca="false">IFERROR(INDEX(Исходные!$B$21:$B$33,MATCH(H784,Исходные!$A$21:$A$33,0)),0)</f>
        <v>1.208</v>
      </c>
      <c r="P784" s="83" t="n">
        <f aca="false">N784*O784</f>
        <v>62.32072</v>
      </c>
      <c r="Q784" s="20" t="s">
        <v>1453</v>
      </c>
      <c r="R784" s="84" t="s">
        <v>660</v>
      </c>
      <c r="S784" s="20"/>
      <c r="T784" s="20" t="s">
        <v>123</v>
      </c>
      <c r="U784" s="53" t="n">
        <v>0</v>
      </c>
      <c r="V784" s="76" t="s">
        <v>998</v>
      </c>
      <c r="W784" s="53" t="n">
        <v>2</v>
      </c>
    </row>
    <row r="785" customFormat="false" ht="35.05" hidden="false" customHeight="false" outlineLevel="0" collapsed="false">
      <c r="A785" s="76" t="n">
        <v>768</v>
      </c>
      <c r="B785" s="20" t="s">
        <v>1167</v>
      </c>
      <c r="C785" s="20" t="s">
        <v>912</v>
      </c>
      <c r="D785" s="20" t="s">
        <v>994</v>
      </c>
      <c r="E785" s="20" t="s">
        <v>1427</v>
      </c>
      <c r="F785" s="76" t="s">
        <v>999</v>
      </c>
      <c r="G785" s="20" t="s">
        <v>1454</v>
      </c>
      <c r="H785" s="55" t="n">
        <v>14</v>
      </c>
      <c r="I785" s="76" t="s">
        <v>512</v>
      </c>
      <c r="J785" s="76" t="s">
        <v>164</v>
      </c>
      <c r="K785" s="82" t="n">
        <v>2</v>
      </c>
      <c r="L785" s="55" t="n">
        <v>2</v>
      </c>
      <c r="M785" s="73" t="n">
        <v>0.56</v>
      </c>
      <c r="N785" s="74" t="n">
        <f aca="false">K785*L785*M785</f>
        <v>2.24</v>
      </c>
      <c r="O785" s="41" t="n">
        <f aca="false">IFERROR(INDEX(Исходные!$B$21:$B$33,MATCH(H785,Исходные!$A$21:$A$33,0)),0)</f>
        <v>1.208</v>
      </c>
      <c r="P785" s="83" t="n">
        <f aca="false">N785*O785</f>
        <v>2.70592</v>
      </c>
      <c r="Q785" s="20" t="s">
        <v>1001</v>
      </c>
      <c r="R785" s="84" t="s">
        <v>667</v>
      </c>
      <c r="S785" s="20" t="s">
        <v>1455</v>
      </c>
      <c r="T785" s="20" t="s">
        <v>123</v>
      </c>
      <c r="U785" s="53" t="n">
        <v>0</v>
      </c>
      <c r="V785" s="76" t="s">
        <v>998</v>
      </c>
      <c r="W785" s="53" t="n">
        <v>2</v>
      </c>
    </row>
    <row r="786" customFormat="false" ht="35.05" hidden="false" customHeight="false" outlineLevel="0" collapsed="false">
      <c r="A786" s="76" t="n">
        <v>769</v>
      </c>
      <c r="B786" s="20" t="s">
        <v>1167</v>
      </c>
      <c r="C786" s="20" t="s">
        <v>912</v>
      </c>
      <c r="D786" s="20" t="s">
        <v>994</v>
      </c>
      <c r="E786" s="20" t="s">
        <v>1427</v>
      </c>
      <c r="F786" s="76" t="s">
        <v>995</v>
      </c>
      <c r="G786" s="20" t="s">
        <v>1003</v>
      </c>
      <c r="H786" s="55" t="n">
        <v>14</v>
      </c>
      <c r="I786" s="76" t="s">
        <v>512</v>
      </c>
      <c r="J786" s="76" t="s">
        <v>164</v>
      </c>
      <c r="K786" s="82" t="n">
        <v>1</v>
      </c>
      <c r="L786" s="55" t="n">
        <v>2</v>
      </c>
      <c r="M786" s="73" t="n">
        <v>20.495</v>
      </c>
      <c r="N786" s="74" t="n">
        <f aca="false">K786*L786*M786</f>
        <v>40.99</v>
      </c>
      <c r="O786" s="41" t="n">
        <f aca="false">IFERROR(INDEX(Исходные!$B$21:$B$33,MATCH(H786,Исходные!$A$21:$A$33,0)),0)</f>
        <v>1.208</v>
      </c>
      <c r="P786" s="83" t="n">
        <f aca="false">N786*O786</f>
        <v>49.51592</v>
      </c>
      <c r="Q786" s="20" t="s">
        <v>1004</v>
      </c>
      <c r="R786" s="84" t="s">
        <v>660</v>
      </c>
      <c r="S786" s="20"/>
      <c r="T786" s="20" t="s">
        <v>123</v>
      </c>
      <c r="U786" s="53" t="n">
        <v>0</v>
      </c>
      <c r="V786" s="76" t="s">
        <v>998</v>
      </c>
      <c r="W786" s="53" t="n">
        <v>2</v>
      </c>
    </row>
    <row r="787" customFormat="false" ht="35.05" hidden="false" customHeight="false" outlineLevel="0" collapsed="false">
      <c r="A787" s="76" t="n">
        <v>770</v>
      </c>
      <c r="B787" s="20" t="s">
        <v>1167</v>
      </c>
      <c r="C787" s="20" t="s">
        <v>912</v>
      </c>
      <c r="D787" s="20" t="s">
        <v>994</v>
      </c>
      <c r="E787" s="20" t="s">
        <v>1427</v>
      </c>
      <c r="F787" s="76" t="s">
        <v>999</v>
      </c>
      <c r="G787" s="20" t="s">
        <v>1456</v>
      </c>
      <c r="H787" s="55" t="n">
        <v>14</v>
      </c>
      <c r="I787" s="76" t="s">
        <v>512</v>
      </c>
      <c r="J787" s="76" t="s">
        <v>164</v>
      </c>
      <c r="K787" s="82" t="n">
        <v>2</v>
      </c>
      <c r="L787" s="55" t="n">
        <v>1</v>
      </c>
      <c r="M787" s="73" t="n">
        <v>0.56</v>
      </c>
      <c r="N787" s="74" t="n">
        <f aca="false">K787*L787*M787</f>
        <v>1.12</v>
      </c>
      <c r="O787" s="41" t="n">
        <f aca="false">IFERROR(INDEX(Исходные!$B$21:$B$33,MATCH(H787,Исходные!$A$21:$A$33,0)),0)</f>
        <v>1.208</v>
      </c>
      <c r="P787" s="83" t="n">
        <f aca="false">N787*O787</f>
        <v>1.35296</v>
      </c>
      <c r="Q787" s="20" t="s">
        <v>1001</v>
      </c>
      <c r="R787" s="84" t="s">
        <v>667</v>
      </c>
      <c r="S787" s="20" t="s">
        <v>1457</v>
      </c>
      <c r="T787" s="20" t="s">
        <v>123</v>
      </c>
      <c r="U787" s="53" t="n">
        <v>0</v>
      </c>
      <c r="V787" s="76" t="s">
        <v>998</v>
      </c>
      <c r="W787" s="53" t="n">
        <v>2</v>
      </c>
    </row>
    <row r="788" customFormat="false" ht="35.05" hidden="false" customHeight="false" outlineLevel="0" collapsed="false">
      <c r="A788" s="76" t="n">
        <v>771</v>
      </c>
      <c r="B788" s="20" t="s">
        <v>1167</v>
      </c>
      <c r="C788" s="20" t="s">
        <v>912</v>
      </c>
      <c r="D788" s="20" t="s">
        <v>994</v>
      </c>
      <c r="E788" s="20" t="s">
        <v>1427</v>
      </c>
      <c r="F788" s="76" t="s">
        <v>544</v>
      </c>
      <c r="G788" s="20" t="s">
        <v>1458</v>
      </c>
      <c r="H788" s="55" t="n">
        <v>10</v>
      </c>
      <c r="I788" s="76" t="s">
        <v>546</v>
      </c>
      <c r="J788" s="76" t="n">
        <v>400</v>
      </c>
      <c r="K788" s="82" t="n">
        <v>1</v>
      </c>
      <c r="L788" s="55" t="n">
        <v>119</v>
      </c>
      <c r="M788" s="73" t="n">
        <v>0.7</v>
      </c>
      <c r="N788" s="74" t="n">
        <f aca="false">K788*L788*M788</f>
        <v>83.3</v>
      </c>
      <c r="O788" s="41" t="n">
        <f aca="false">IFERROR(INDEX(Исходные!$B$21:$B$33,MATCH(H788,Исходные!$A$21:$A$33,0)),0)</f>
        <v>0.617</v>
      </c>
      <c r="P788" s="83" t="n">
        <f aca="false">N788*O788</f>
        <v>51.3961</v>
      </c>
      <c r="Q788" s="20" t="s">
        <v>1008</v>
      </c>
      <c r="R788" s="84" t="s">
        <v>514</v>
      </c>
      <c r="S788" s="20"/>
      <c r="T788" s="20" t="s">
        <v>123</v>
      </c>
      <c r="U788" s="53" t="n">
        <v>0</v>
      </c>
      <c r="V788" s="76" t="s">
        <v>998</v>
      </c>
      <c r="W788" s="53" t="n">
        <v>2</v>
      </c>
    </row>
    <row r="789" customFormat="false" ht="35.05" hidden="false" customHeight="false" outlineLevel="0" collapsed="false">
      <c r="A789" s="76" t="n">
        <v>772</v>
      </c>
      <c r="B789" s="20" t="s">
        <v>1167</v>
      </c>
      <c r="C789" s="20" t="s">
        <v>912</v>
      </c>
      <c r="D789" s="20" t="s">
        <v>1009</v>
      </c>
      <c r="E789" s="20" t="s">
        <v>1010</v>
      </c>
      <c r="F789" s="76" t="s">
        <v>1010</v>
      </c>
      <c r="G789" s="20" t="s">
        <v>1459</v>
      </c>
      <c r="H789" s="55" t="n">
        <v>10</v>
      </c>
      <c r="I789" s="76" t="s">
        <v>546</v>
      </c>
      <c r="J789" s="76" t="s">
        <v>1012</v>
      </c>
      <c r="K789" s="82" t="n">
        <v>1</v>
      </c>
      <c r="L789" s="55" t="n">
        <v>847</v>
      </c>
      <c r="M789" s="73" t="n">
        <v>0.42</v>
      </c>
      <c r="N789" s="74" t="n">
        <f aca="false">K789*L789*M789</f>
        <v>355.74</v>
      </c>
      <c r="O789" s="41" t="n">
        <f aca="false">IFERROR(INDEX(Исходные!$B$21:$B$33,MATCH(H789,Исходные!$A$21:$A$33,0)),0)</f>
        <v>0.617</v>
      </c>
      <c r="P789" s="83" t="n">
        <f aca="false">N789*O789</f>
        <v>219.49158</v>
      </c>
      <c r="Q789" s="20" t="s">
        <v>1460</v>
      </c>
      <c r="R789" s="86" t="s">
        <v>1014</v>
      </c>
      <c r="S789" s="20"/>
      <c r="T789" s="20" t="s">
        <v>123</v>
      </c>
      <c r="U789" s="53" t="n">
        <v>1</v>
      </c>
      <c r="V789" s="76" t="s">
        <v>1015</v>
      </c>
      <c r="W789" s="53" t="n">
        <v>2</v>
      </c>
    </row>
    <row r="790" customFormat="false" ht="35.05" hidden="false" customHeight="false" outlineLevel="0" collapsed="false">
      <c r="A790" s="76" t="n">
        <v>773</v>
      </c>
      <c r="B790" s="20" t="s">
        <v>1167</v>
      </c>
      <c r="C790" s="20" t="s">
        <v>912</v>
      </c>
      <c r="D790" s="20" t="s">
        <v>1009</v>
      </c>
      <c r="E790" s="20" t="s">
        <v>1016</v>
      </c>
      <c r="F790" s="76" t="s">
        <v>1016</v>
      </c>
      <c r="G790" s="20" t="s">
        <v>1017</v>
      </c>
      <c r="H790" s="55" t="n">
        <v>8</v>
      </c>
      <c r="I790" s="76" t="s">
        <v>546</v>
      </c>
      <c r="J790" s="76" t="s">
        <v>1018</v>
      </c>
      <c r="K790" s="82" t="n">
        <v>1</v>
      </c>
      <c r="L790" s="55" t="n">
        <v>847</v>
      </c>
      <c r="M790" s="73" t="n">
        <v>0.22</v>
      </c>
      <c r="N790" s="74" t="n">
        <f aca="false">K790*L790*M790</f>
        <v>186.34</v>
      </c>
      <c r="O790" s="41" t="n">
        <f aca="false">IFERROR(INDEX(Исходные!$B$21:$B$33,MATCH(H790,Исходные!$A$21:$A$33,0)),0)</f>
        <v>0.395</v>
      </c>
      <c r="P790" s="83" t="n">
        <f aca="false">N790*O790</f>
        <v>73.6043</v>
      </c>
      <c r="Q790" s="20" t="s">
        <v>1461</v>
      </c>
      <c r="R790" s="86" t="s">
        <v>1014</v>
      </c>
      <c r="S790" s="20"/>
      <c r="T790" s="20" t="s">
        <v>123</v>
      </c>
      <c r="U790" s="53" t="n">
        <v>1</v>
      </c>
      <c r="V790" s="76" t="s">
        <v>1015</v>
      </c>
      <c r="W790" s="53" t="n">
        <v>2</v>
      </c>
    </row>
    <row r="791" customFormat="false" ht="15" hidden="false" customHeight="true" outlineLevel="0" collapsed="false">
      <c r="A791" s="81" t="s">
        <v>1462</v>
      </c>
      <c r="B791" s="81"/>
      <c r="C791" s="81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</row>
    <row r="792" customFormat="false" ht="35.05" hidden="false" customHeight="false" outlineLevel="0" collapsed="false">
      <c r="A792" s="76" t="n">
        <v>774</v>
      </c>
      <c r="B792" s="20" t="s">
        <v>1167</v>
      </c>
      <c r="C792" s="20" t="s">
        <v>1021</v>
      </c>
      <c r="D792" s="20" t="s">
        <v>1022</v>
      </c>
      <c r="E792" s="20" t="s">
        <v>1023</v>
      </c>
      <c r="F792" s="76" t="s">
        <v>522</v>
      </c>
      <c r="G792" s="20" t="s">
        <v>1024</v>
      </c>
      <c r="H792" s="55" t="n">
        <v>25</v>
      </c>
      <c r="I792" s="76" t="s">
        <v>512</v>
      </c>
      <c r="J792" s="76" t="s">
        <v>164</v>
      </c>
      <c r="K792" s="82" t="n">
        <v>1</v>
      </c>
      <c r="L792" s="55" t="n">
        <v>4</v>
      </c>
      <c r="M792" s="73" t="n">
        <v>20.4</v>
      </c>
      <c r="N792" s="74" t="n">
        <f aca="false">K792*L792*M792</f>
        <v>81.6</v>
      </c>
      <c r="O792" s="41" t="n">
        <f aca="false">IFERROR(INDEX(Исходные!$B$21:$B$33,MATCH(H792,Исходные!$A$21:$A$33,0)),0)</f>
        <v>3.853</v>
      </c>
      <c r="P792" s="83" t="n">
        <f aca="false">N792*O792</f>
        <v>314.4048</v>
      </c>
      <c r="Q792" s="20" t="s">
        <v>1463</v>
      </c>
      <c r="R792" s="84" t="s">
        <v>660</v>
      </c>
      <c r="S792" s="20" t="s">
        <v>832</v>
      </c>
      <c r="T792" s="20" t="s">
        <v>123</v>
      </c>
      <c r="U792" s="53" t="n">
        <v>0</v>
      </c>
      <c r="V792" s="76" t="s">
        <v>1026</v>
      </c>
      <c r="W792" s="53" t="n">
        <v>2</v>
      </c>
    </row>
    <row r="793" customFormat="false" ht="35.05" hidden="false" customHeight="false" outlineLevel="0" collapsed="false">
      <c r="A793" s="76" t="n">
        <v>775</v>
      </c>
      <c r="B793" s="20" t="s">
        <v>1167</v>
      </c>
      <c r="C793" s="20" t="s">
        <v>1021</v>
      </c>
      <c r="D793" s="20" t="s">
        <v>1027</v>
      </c>
      <c r="E793" s="20" t="s">
        <v>1023</v>
      </c>
      <c r="F793" s="76" t="s">
        <v>522</v>
      </c>
      <c r="G793" s="20" t="s">
        <v>1028</v>
      </c>
      <c r="H793" s="55" t="n">
        <v>25</v>
      </c>
      <c r="I793" s="76" t="s">
        <v>512</v>
      </c>
      <c r="J793" s="76" t="s">
        <v>164</v>
      </c>
      <c r="K793" s="82" t="n">
        <v>1</v>
      </c>
      <c r="L793" s="55" t="n">
        <v>4</v>
      </c>
      <c r="M793" s="73" t="n">
        <v>20.4</v>
      </c>
      <c r="N793" s="74" t="n">
        <f aca="false">K793*L793*M793</f>
        <v>81.6</v>
      </c>
      <c r="O793" s="41" t="n">
        <f aca="false">IFERROR(INDEX(Исходные!$B$21:$B$33,MATCH(H793,Исходные!$A$21:$A$33,0)),0)</f>
        <v>3.853</v>
      </c>
      <c r="P793" s="83" t="n">
        <f aca="false">N793*O793</f>
        <v>314.4048</v>
      </c>
      <c r="Q793" s="20" t="s">
        <v>1463</v>
      </c>
      <c r="R793" s="84" t="s">
        <v>660</v>
      </c>
      <c r="S793" s="20" t="s">
        <v>832</v>
      </c>
      <c r="T793" s="20" t="s">
        <v>123</v>
      </c>
      <c r="U793" s="53" t="n">
        <v>0</v>
      </c>
      <c r="V793" s="76" t="s">
        <v>1026</v>
      </c>
      <c r="W793" s="53" t="n">
        <v>2</v>
      </c>
    </row>
    <row r="794" customFormat="false" ht="35.05" hidden="false" customHeight="false" outlineLevel="0" collapsed="false">
      <c r="A794" s="76" t="n">
        <v>776</v>
      </c>
      <c r="B794" s="20" t="s">
        <v>1167</v>
      </c>
      <c r="C794" s="20" t="s">
        <v>1021</v>
      </c>
      <c r="D794" s="20" t="s">
        <v>1029</v>
      </c>
      <c r="E794" s="20" t="s">
        <v>1023</v>
      </c>
      <c r="F794" s="76" t="s">
        <v>522</v>
      </c>
      <c r="G794" s="20" t="s">
        <v>1030</v>
      </c>
      <c r="H794" s="55" t="n">
        <v>25</v>
      </c>
      <c r="I794" s="76" t="s">
        <v>512</v>
      </c>
      <c r="J794" s="76" t="s">
        <v>164</v>
      </c>
      <c r="K794" s="82" t="n">
        <v>1</v>
      </c>
      <c r="L794" s="55" t="n">
        <v>4</v>
      </c>
      <c r="M794" s="73" t="n">
        <v>13.9</v>
      </c>
      <c r="N794" s="74" t="n">
        <f aca="false">K794*L794*M794</f>
        <v>55.6</v>
      </c>
      <c r="O794" s="41" t="n">
        <f aca="false">IFERROR(INDEX(Исходные!$B$21:$B$33,MATCH(H794,Исходные!$A$21:$A$33,0)),0)</f>
        <v>3.853</v>
      </c>
      <c r="P794" s="83" t="n">
        <f aca="false">N794*O794</f>
        <v>214.2268</v>
      </c>
      <c r="Q794" s="20" t="s">
        <v>1463</v>
      </c>
      <c r="R794" s="84" t="s">
        <v>660</v>
      </c>
      <c r="S794" s="20" t="s">
        <v>832</v>
      </c>
      <c r="T794" s="20" t="s">
        <v>123</v>
      </c>
      <c r="U794" s="53" t="n">
        <v>0</v>
      </c>
      <c r="V794" s="76" t="s">
        <v>1026</v>
      </c>
      <c r="W794" s="53" t="n">
        <v>2</v>
      </c>
    </row>
    <row r="795" customFormat="false" ht="35.05" hidden="false" customHeight="false" outlineLevel="0" collapsed="false">
      <c r="A795" s="76" t="n">
        <v>777</v>
      </c>
      <c r="B795" s="20" t="s">
        <v>1167</v>
      </c>
      <c r="C795" s="20" t="s">
        <v>1021</v>
      </c>
      <c r="D795" s="20" t="s">
        <v>1031</v>
      </c>
      <c r="E795" s="20" t="s">
        <v>1023</v>
      </c>
      <c r="F795" s="76" t="s">
        <v>522</v>
      </c>
      <c r="G795" s="20" t="s">
        <v>1032</v>
      </c>
      <c r="H795" s="55" t="n">
        <v>25</v>
      </c>
      <c r="I795" s="76" t="s">
        <v>512</v>
      </c>
      <c r="J795" s="76" t="s">
        <v>164</v>
      </c>
      <c r="K795" s="82" t="n">
        <v>1</v>
      </c>
      <c r="L795" s="55" t="n">
        <v>4</v>
      </c>
      <c r="M795" s="73" t="n">
        <v>20.4</v>
      </c>
      <c r="N795" s="74" t="n">
        <f aca="false">K795*L795*M795</f>
        <v>81.6</v>
      </c>
      <c r="O795" s="41" t="n">
        <f aca="false">IFERROR(INDEX(Исходные!$B$21:$B$33,MATCH(H795,Исходные!$A$21:$A$33,0)),0)</f>
        <v>3.853</v>
      </c>
      <c r="P795" s="83" t="n">
        <f aca="false">N795*O795</f>
        <v>314.4048</v>
      </c>
      <c r="Q795" s="20" t="s">
        <v>1463</v>
      </c>
      <c r="R795" s="84" t="s">
        <v>660</v>
      </c>
      <c r="S795" s="20" t="s">
        <v>832</v>
      </c>
      <c r="T795" s="20" t="s">
        <v>123</v>
      </c>
      <c r="U795" s="53" t="n">
        <v>0</v>
      </c>
      <c r="V795" s="76" t="s">
        <v>1026</v>
      </c>
      <c r="W795" s="53" t="n">
        <v>2</v>
      </c>
    </row>
    <row r="796" customFormat="false" ht="35.05" hidden="false" customHeight="false" outlineLevel="0" collapsed="false">
      <c r="A796" s="76" t="n">
        <v>778</v>
      </c>
      <c r="B796" s="20" t="s">
        <v>1167</v>
      </c>
      <c r="C796" s="20" t="s">
        <v>1021</v>
      </c>
      <c r="D796" s="20" t="s">
        <v>1033</v>
      </c>
      <c r="E796" s="20" t="s">
        <v>1023</v>
      </c>
      <c r="F796" s="76" t="s">
        <v>522</v>
      </c>
      <c r="G796" s="20" t="s">
        <v>1034</v>
      </c>
      <c r="H796" s="55" t="n">
        <v>25</v>
      </c>
      <c r="I796" s="76" t="s">
        <v>512</v>
      </c>
      <c r="J796" s="76" t="s">
        <v>164</v>
      </c>
      <c r="K796" s="82" t="n">
        <v>1</v>
      </c>
      <c r="L796" s="55" t="n">
        <v>4</v>
      </c>
      <c r="M796" s="73" t="n">
        <v>25.4</v>
      </c>
      <c r="N796" s="74" t="n">
        <f aca="false">K796*L796*M796</f>
        <v>101.6</v>
      </c>
      <c r="O796" s="41" t="n">
        <f aca="false">IFERROR(INDEX(Исходные!$B$21:$B$33,MATCH(H796,Исходные!$A$21:$A$33,0)),0)</f>
        <v>3.853</v>
      </c>
      <c r="P796" s="83" t="n">
        <f aca="false">N796*O796</f>
        <v>391.4648</v>
      </c>
      <c r="Q796" s="20" t="s">
        <v>1463</v>
      </c>
      <c r="R796" s="84" t="s">
        <v>660</v>
      </c>
      <c r="S796" s="20" t="s">
        <v>661</v>
      </c>
      <c r="T796" s="20" t="s">
        <v>123</v>
      </c>
      <c r="U796" s="53" t="n">
        <v>0</v>
      </c>
      <c r="V796" s="76" t="s">
        <v>1026</v>
      </c>
      <c r="W796" s="53" t="n">
        <v>2</v>
      </c>
    </row>
    <row r="797" customFormat="false" ht="35.05" hidden="false" customHeight="false" outlineLevel="0" collapsed="false">
      <c r="A797" s="76" t="n">
        <v>779</v>
      </c>
      <c r="B797" s="20" t="s">
        <v>1167</v>
      </c>
      <c r="C797" s="20" t="s">
        <v>1021</v>
      </c>
      <c r="D797" s="20" t="s">
        <v>1035</v>
      </c>
      <c r="E797" s="20" t="s">
        <v>1023</v>
      </c>
      <c r="F797" s="76" t="s">
        <v>522</v>
      </c>
      <c r="G797" s="20" t="s">
        <v>1036</v>
      </c>
      <c r="H797" s="55" t="n">
        <v>25</v>
      </c>
      <c r="I797" s="76" t="s">
        <v>512</v>
      </c>
      <c r="J797" s="76" t="s">
        <v>164</v>
      </c>
      <c r="K797" s="82" t="n">
        <v>1</v>
      </c>
      <c r="L797" s="55" t="n">
        <v>4</v>
      </c>
      <c r="M797" s="73" t="n">
        <v>25.4</v>
      </c>
      <c r="N797" s="74" t="n">
        <f aca="false">K797*L797*M797</f>
        <v>101.6</v>
      </c>
      <c r="O797" s="41" t="n">
        <f aca="false">IFERROR(INDEX(Исходные!$B$21:$B$33,MATCH(H797,Исходные!$A$21:$A$33,0)),0)</f>
        <v>3.853</v>
      </c>
      <c r="P797" s="83" t="n">
        <f aca="false">N797*O797</f>
        <v>391.4648</v>
      </c>
      <c r="Q797" s="20" t="s">
        <v>1463</v>
      </c>
      <c r="R797" s="84" t="s">
        <v>660</v>
      </c>
      <c r="S797" s="20" t="s">
        <v>661</v>
      </c>
      <c r="T797" s="20" t="s">
        <v>123</v>
      </c>
      <c r="U797" s="53" t="n">
        <v>0</v>
      </c>
      <c r="V797" s="76" t="s">
        <v>1026</v>
      </c>
      <c r="W797" s="53" t="n">
        <v>2</v>
      </c>
    </row>
    <row r="798" customFormat="false" ht="35.05" hidden="false" customHeight="false" outlineLevel="0" collapsed="false">
      <c r="A798" s="76" t="n">
        <v>780</v>
      </c>
      <c r="B798" s="20" t="s">
        <v>1167</v>
      </c>
      <c r="C798" s="20" t="s">
        <v>1021</v>
      </c>
      <c r="D798" s="20" t="s">
        <v>1037</v>
      </c>
      <c r="E798" s="20" t="s">
        <v>1023</v>
      </c>
      <c r="F798" s="76" t="s">
        <v>522</v>
      </c>
      <c r="G798" s="20" t="s">
        <v>1038</v>
      </c>
      <c r="H798" s="55" t="n">
        <v>25</v>
      </c>
      <c r="I798" s="76" t="s">
        <v>512</v>
      </c>
      <c r="J798" s="76" t="s">
        <v>164</v>
      </c>
      <c r="K798" s="82" t="n">
        <v>1</v>
      </c>
      <c r="L798" s="55" t="n">
        <v>4</v>
      </c>
      <c r="M798" s="73" t="n">
        <v>13.9</v>
      </c>
      <c r="N798" s="74" t="n">
        <f aca="false">K798*L798*M798</f>
        <v>55.6</v>
      </c>
      <c r="O798" s="41" t="n">
        <f aca="false">IFERROR(INDEX(Исходные!$B$21:$B$33,MATCH(H798,Исходные!$A$21:$A$33,0)),0)</f>
        <v>3.853</v>
      </c>
      <c r="P798" s="83" t="n">
        <f aca="false">N798*O798</f>
        <v>214.2268</v>
      </c>
      <c r="Q798" s="20" t="s">
        <v>1463</v>
      </c>
      <c r="R798" s="84" t="s">
        <v>660</v>
      </c>
      <c r="S798" s="20" t="s">
        <v>832</v>
      </c>
      <c r="T798" s="20" t="s">
        <v>123</v>
      </c>
      <c r="U798" s="53" t="n">
        <v>0</v>
      </c>
      <c r="V798" s="76" t="s">
        <v>1026</v>
      </c>
      <c r="W798" s="53" t="n">
        <v>2</v>
      </c>
    </row>
    <row r="799" customFormat="false" ht="35.05" hidden="false" customHeight="false" outlineLevel="0" collapsed="false">
      <c r="A799" s="76" t="n">
        <v>781</v>
      </c>
      <c r="B799" s="20" t="s">
        <v>1167</v>
      </c>
      <c r="C799" s="20" t="s">
        <v>1021</v>
      </c>
      <c r="D799" s="20" t="s">
        <v>1039</v>
      </c>
      <c r="E799" s="20" t="s">
        <v>1040</v>
      </c>
      <c r="F799" s="76" t="s">
        <v>522</v>
      </c>
      <c r="G799" s="20" t="s">
        <v>1041</v>
      </c>
      <c r="H799" s="55" t="n">
        <v>25</v>
      </c>
      <c r="I799" s="76" t="s">
        <v>512</v>
      </c>
      <c r="J799" s="76" t="s">
        <v>164</v>
      </c>
      <c r="K799" s="82" t="n">
        <v>1</v>
      </c>
      <c r="L799" s="55" t="n">
        <v>4</v>
      </c>
      <c r="M799" s="73" t="n">
        <v>11.9</v>
      </c>
      <c r="N799" s="74" t="n">
        <f aca="false">K799*L799*M799</f>
        <v>47.6</v>
      </c>
      <c r="O799" s="41" t="n">
        <f aca="false">IFERROR(INDEX(Исходные!$B$21:$B$33,MATCH(H799,Исходные!$A$21:$A$33,0)),0)</f>
        <v>3.853</v>
      </c>
      <c r="P799" s="83" t="n">
        <f aca="false">N799*O799</f>
        <v>183.4028</v>
      </c>
      <c r="Q799" s="20" t="s">
        <v>1464</v>
      </c>
      <c r="R799" s="84" t="s">
        <v>660</v>
      </c>
      <c r="S799" s="20" t="s">
        <v>832</v>
      </c>
      <c r="T799" s="20" t="s">
        <v>123</v>
      </c>
      <c r="U799" s="53" t="n">
        <v>0</v>
      </c>
      <c r="V799" s="76" t="s">
        <v>1026</v>
      </c>
      <c r="W799" s="53" t="n">
        <v>2</v>
      </c>
    </row>
    <row r="800" customFormat="false" ht="35.05" hidden="false" customHeight="false" outlineLevel="0" collapsed="false">
      <c r="A800" s="76" t="n">
        <v>782</v>
      </c>
      <c r="B800" s="20" t="s">
        <v>1167</v>
      </c>
      <c r="C800" s="20" t="s">
        <v>1021</v>
      </c>
      <c r="D800" s="20" t="s">
        <v>1043</v>
      </c>
      <c r="E800" s="20" t="s">
        <v>1044</v>
      </c>
      <c r="F800" s="76" t="s">
        <v>522</v>
      </c>
      <c r="G800" s="20" t="s">
        <v>1045</v>
      </c>
      <c r="H800" s="55" t="n">
        <v>25</v>
      </c>
      <c r="I800" s="76" t="s">
        <v>512</v>
      </c>
      <c r="J800" s="76" t="s">
        <v>164</v>
      </c>
      <c r="K800" s="82" t="n">
        <v>1</v>
      </c>
      <c r="L800" s="55" t="n">
        <v>4</v>
      </c>
      <c r="M800" s="73" t="n">
        <v>3.785</v>
      </c>
      <c r="N800" s="74" t="n">
        <f aca="false">K800*L800*M800</f>
        <v>15.14</v>
      </c>
      <c r="O800" s="41" t="n">
        <f aca="false">IFERROR(INDEX(Исходные!$B$21:$B$33,MATCH(H800,Исходные!$A$21:$A$33,0)),0)</f>
        <v>3.853</v>
      </c>
      <c r="P800" s="83" t="n">
        <f aca="false">N800*O800</f>
        <v>58.33442</v>
      </c>
      <c r="Q800" s="20" t="s">
        <v>1465</v>
      </c>
      <c r="R800" s="84" t="s">
        <v>660</v>
      </c>
      <c r="S800" s="20"/>
      <c r="T800" s="20" t="s">
        <v>123</v>
      </c>
      <c r="U800" s="53" t="n">
        <v>0</v>
      </c>
      <c r="V800" s="76" t="s">
        <v>1026</v>
      </c>
      <c r="W800" s="53" t="n">
        <v>2</v>
      </c>
    </row>
    <row r="801" customFormat="false" ht="35.05" hidden="false" customHeight="false" outlineLevel="0" collapsed="false">
      <c r="A801" s="76" t="n">
        <v>783</v>
      </c>
      <c r="B801" s="20" t="s">
        <v>1167</v>
      </c>
      <c r="C801" s="20" t="s">
        <v>1021</v>
      </c>
      <c r="D801" s="20" t="s">
        <v>1047</v>
      </c>
      <c r="E801" s="20" t="s">
        <v>1044</v>
      </c>
      <c r="F801" s="76" t="s">
        <v>522</v>
      </c>
      <c r="G801" s="20" t="s">
        <v>1048</v>
      </c>
      <c r="H801" s="55" t="n">
        <v>25</v>
      </c>
      <c r="I801" s="76" t="s">
        <v>512</v>
      </c>
      <c r="J801" s="76" t="s">
        <v>164</v>
      </c>
      <c r="K801" s="82" t="n">
        <v>1</v>
      </c>
      <c r="L801" s="55" t="n">
        <v>4</v>
      </c>
      <c r="M801" s="73" t="n">
        <v>3.365</v>
      </c>
      <c r="N801" s="74" t="n">
        <f aca="false">K801*L801*M801</f>
        <v>13.46</v>
      </c>
      <c r="O801" s="41" t="n">
        <f aca="false">IFERROR(INDEX(Исходные!$B$21:$B$33,MATCH(H801,Исходные!$A$21:$A$33,0)),0)</f>
        <v>3.853</v>
      </c>
      <c r="P801" s="83" t="n">
        <f aca="false">N801*O801</f>
        <v>51.86138</v>
      </c>
      <c r="Q801" s="20" t="s">
        <v>1465</v>
      </c>
      <c r="R801" s="84" t="s">
        <v>660</v>
      </c>
      <c r="S801" s="20"/>
      <c r="T801" s="20" t="s">
        <v>123</v>
      </c>
      <c r="U801" s="53" t="n">
        <v>0</v>
      </c>
      <c r="V801" s="76" t="s">
        <v>1026</v>
      </c>
      <c r="W801" s="53" t="n">
        <v>2</v>
      </c>
    </row>
    <row r="802" customFormat="false" ht="35.05" hidden="false" customHeight="false" outlineLevel="0" collapsed="false">
      <c r="A802" s="76" t="n">
        <v>784</v>
      </c>
      <c r="B802" s="20" t="s">
        <v>1167</v>
      </c>
      <c r="C802" s="20" t="s">
        <v>1021</v>
      </c>
      <c r="D802" s="20" t="s">
        <v>1049</v>
      </c>
      <c r="E802" s="20" t="s">
        <v>1050</v>
      </c>
      <c r="F802" s="76" t="s">
        <v>516</v>
      </c>
      <c r="G802" s="20" t="s">
        <v>1051</v>
      </c>
      <c r="H802" s="55" t="n">
        <v>20</v>
      </c>
      <c r="I802" s="76" t="s">
        <v>512</v>
      </c>
      <c r="J802" s="76" t="s">
        <v>164</v>
      </c>
      <c r="K802" s="82" t="n">
        <v>1</v>
      </c>
      <c r="L802" s="55" t="n">
        <v>4</v>
      </c>
      <c r="M802" s="73" t="n">
        <v>3.05</v>
      </c>
      <c r="N802" s="74" t="n">
        <f aca="false">K802*L802*M802</f>
        <v>12.2</v>
      </c>
      <c r="O802" s="41" t="n">
        <f aca="false">IFERROR(INDEX(Исходные!$B$21:$B$33,MATCH(H802,Исходные!$A$21:$A$33,0)),0)</f>
        <v>2.466</v>
      </c>
      <c r="P802" s="83" t="n">
        <f aca="false">N802*O802</f>
        <v>30.0852</v>
      </c>
      <c r="Q802" s="20" t="s">
        <v>1466</v>
      </c>
      <c r="R802" s="84" t="s">
        <v>660</v>
      </c>
      <c r="S802" s="20"/>
      <c r="T802" s="20" t="s">
        <v>123</v>
      </c>
      <c r="U802" s="53" t="n">
        <v>0</v>
      </c>
      <c r="V802" s="76" t="s">
        <v>1026</v>
      </c>
      <c r="W802" s="53" t="n">
        <v>2</v>
      </c>
    </row>
    <row r="803" customFormat="false" ht="35.05" hidden="false" customHeight="false" outlineLevel="0" collapsed="false">
      <c r="A803" s="76" t="n">
        <v>785</v>
      </c>
      <c r="B803" s="20" t="s">
        <v>1167</v>
      </c>
      <c r="C803" s="20" t="s">
        <v>1021</v>
      </c>
      <c r="D803" s="20" t="s">
        <v>1053</v>
      </c>
      <c r="E803" s="20" t="s">
        <v>1050</v>
      </c>
      <c r="F803" s="76" t="s">
        <v>516</v>
      </c>
      <c r="G803" s="20" t="s">
        <v>1054</v>
      </c>
      <c r="H803" s="55" t="n">
        <v>20</v>
      </c>
      <c r="I803" s="76" t="s">
        <v>512</v>
      </c>
      <c r="J803" s="76" t="s">
        <v>164</v>
      </c>
      <c r="K803" s="82" t="n">
        <v>1</v>
      </c>
      <c r="L803" s="55" t="n">
        <v>4</v>
      </c>
      <c r="M803" s="73" t="n">
        <v>3.785</v>
      </c>
      <c r="N803" s="74" t="n">
        <f aca="false">K803*L803*M803</f>
        <v>15.14</v>
      </c>
      <c r="O803" s="41" t="n">
        <f aca="false">IFERROR(INDEX(Исходные!$B$21:$B$33,MATCH(H803,Исходные!$A$21:$A$33,0)),0)</f>
        <v>2.466</v>
      </c>
      <c r="P803" s="83" t="n">
        <f aca="false">N803*O803</f>
        <v>37.33524</v>
      </c>
      <c r="Q803" s="20" t="s">
        <v>1466</v>
      </c>
      <c r="R803" s="84" t="s">
        <v>660</v>
      </c>
      <c r="S803" s="20"/>
      <c r="T803" s="20" t="s">
        <v>123</v>
      </c>
      <c r="U803" s="53" t="n">
        <v>0</v>
      </c>
      <c r="V803" s="76" t="s">
        <v>1026</v>
      </c>
      <c r="W803" s="53" t="n">
        <v>2</v>
      </c>
    </row>
    <row r="804" customFormat="false" ht="35.05" hidden="false" customHeight="false" outlineLevel="0" collapsed="false">
      <c r="A804" s="76" t="n">
        <v>786</v>
      </c>
      <c r="B804" s="20" t="s">
        <v>1167</v>
      </c>
      <c r="C804" s="20" t="s">
        <v>1021</v>
      </c>
      <c r="D804" s="20" t="s">
        <v>1055</v>
      </c>
      <c r="E804" s="20" t="s">
        <v>1050</v>
      </c>
      <c r="F804" s="76" t="s">
        <v>516</v>
      </c>
      <c r="G804" s="20" t="s">
        <v>1056</v>
      </c>
      <c r="H804" s="55" t="n">
        <v>20</v>
      </c>
      <c r="I804" s="76" t="s">
        <v>512</v>
      </c>
      <c r="J804" s="76" t="s">
        <v>164</v>
      </c>
      <c r="K804" s="82" t="n">
        <v>1</v>
      </c>
      <c r="L804" s="55" t="n">
        <v>4</v>
      </c>
      <c r="M804" s="73" t="n">
        <v>4.1</v>
      </c>
      <c r="N804" s="74" t="n">
        <f aca="false">K804*L804*M804</f>
        <v>16.4</v>
      </c>
      <c r="O804" s="41" t="n">
        <f aca="false">IFERROR(INDEX(Исходные!$B$21:$B$33,MATCH(H804,Исходные!$A$21:$A$33,0)),0)</f>
        <v>2.466</v>
      </c>
      <c r="P804" s="83" t="n">
        <f aca="false">N804*O804</f>
        <v>40.4424</v>
      </c>
      <c r="Q804" s="20" t="s">
        <v>1466</v>
      </c>
      <c r="R804" s="84" t="s">
        <v>660</v>
      </c>
      <c r="S804" s="20"/>
      <c r="T804" s="20" t="s">
        <v>123</v>
      </c>
      <c r="U804" s="53" t="n">
        <v>0</v>
      </c>
      <c r="V804" s="76" t="s">
        <v>1026</v>
      </c>
      <c r="W804" s="53" t="n">
        <v>2</v>
      </c>
    </row>
    <row r="805" customFormat="false" ht="35.05" hidden="false" customHeight="false" outlineLevel="0" collapsed="false">
      <c r="A805" s="76" t="n">
        <v>787</v>
      </c>
      <c r="B805" s="20" t="s">
        <v>1167</v>
      </c>
      <c r="C805" s="20" t="s">
        <v>1021</v>
      </c>
      <c r="D805" s="20" t="s">
        <v>1057</v>
      </c>
      <c r="E805" s="20" t="s">
        <v>1050</v>
      </c>
      <c r="F805" s="76" t="s">
        <v>516</v>
      </c>
      <c r="G805" s="20" t="s">
        <v>1058</v>
      </c>
      <c r="H805" s="55" t="n">
        <v>20</v>
      </c>
      <c r="I805" s="76" t="s">
        <v>512</v>
      </c>
      <c r="J805" s="76" t="s">
        <v>164</v>
      </c>
      <c r="K805" s="82" t="n">
        <v>1</v>
      </c>
      <c r="L805" s="55" t="n">
        <v>4</v>
      </c>
      <c r="M805" s="73" t="n">
        <v>3.325</v>
      </c>
      <c r="N805" s="74" t="n">
        <f aca="false">K805*L805*M805</f>
        <v>13.3</v>
      </c>
      <c r="O805" s="41" t="n">
        <f aca="false">IFERROR(INDEX(Исходные!$B$21:$B$33,MATCH(H805,Исходные!$A$21:$A$33,0)),0)</f>
        <v>2.466</v>
      </c>
      <c r="P805" s="83" t="n">
        <f aca="false">N805*O805</f>
        <v>32.7978</v>
      </c>
      <c r="Q805" s="20" t="s">
        <v>1466</v>
      </c>
      <c r="R805" s="84" t="s">
        <v>660</v>
      </c>
      <c r="S805" s="20"/>
      <c r="T805" s="20" t="s">
        <v>123</v>
      </c>
      <c r="U805" s="53" t="n">
        <v>0</v>
      </c>
      <c r="V805" s="76" t="s">
        <v>1026</v>
      </c>
      <c r="W805" s="53" t="n">
        <v>2</v>
      </c>
    </row>
    <row r="806" customFormat="false" ht="35.05" hidden="false" customHeight="false" outlineLevel="0" collapsed="false">
      <c r="A806" s="76" t="n">
        <v>788</v>
      </c>
      <c r="B806" s="20" t="s">
        <v>1167</v>
      </c>
      <c r="C806" s="20" t="s">
        <v>1021</v>
      </c>
      <c r="D806" s="20" t="s">
        <v>1467</v>
      </c>
      <c r="E806" s="20" t="s">
        <v>1050</v>
      </c>
      <c r="F806" s="76" t="s">
        <v>516</v>
      </c>
      <c r="G806" s="20" t="s">
        <v>1468</v>
      </c>
      <c r="H806" s="55" t="n">
        <v>20</v>
      </c>
      <c r="I806" s="76" t="s">
        <v>512</v>
      </c>
      <c r="J806" s="76" t="s">
        <v>164</v>
      </c>
      <c r="K806" s="82" t="n">
        <v>1</v>
      </c>
      <c r="L806" s="55" t="n">
        <v>4</v>
      </c>
      <c r="M806" s="73" t="n">
        <v>3.78</v>
      </c>
      <c r="N806" s="74" t="n">
        <f aca="false">K806*L806*M806</f>
        <v>15.12</v>
      </c>
      <c r="O806" s="41" t="n">
        <f aca="false">IFERROR(INDEX(Исходные!$B$21:$B$33,MATCH(H806,Исходные!$A$21:$A$33,0)),0)</f>
        <v>2.466</v>
      </c>
      <c r="P806" s="83" t="n">
        <f aca="false">N806*O806</f>
        <v>37.28592</v>
      </c>
      <c r="Q806" s="20" t="s">
        <v>1466</v>
      </c>
      <c r="R806" s="84" t="s">
        <v>660</v>
      </c>
      <c r="S806" s="20"/>
      <c r="T806" s="20" t="s">
        <v>123</v>
      </c>
      <c r="U806" s="53" t="n">
        <v>0</v>
      </c>
      <c r="V806" s="76" t="s">
        <v>1026</v>
      </c>
      <c r="W806" s="53" t="n">
        <v>2</v>
      </c>
    </row>
    <row r="807" customFormat="false" ht="46.25" hidden="false" customHeight="false" outlineLevel="0" collapsed="false">
      <c r="A807" s="76" t="n">
        <v>789</v>
      </c>
      <c r="B807" s="20" t="s">
        <v>1167</v>
      </c>
      <c r="C807" s="20" t="s">
        <v>1021</v>
      </c>
      <c r="D807" s="20" t="s">
        <v>1469</v>
      </c>
      <c r="E807" s="20" t="s">
        <v>1050</v>
      </c>
      <c r="F807" s="76" t="s">
        <v>516</v>
      </c>
      <c r="G807" s="20" t="s">
        <v>1470</v>
      </c>
      <c r="H807" s="55" t="n">
        <v>20</v>
      </c>
      <c r="I807" s="76" t="s">
        <v>512</v>
      </c>
      <c r="J807" s="76" t="s">
        <v>164</v>
      </c>
      <c r="K807" s="82" t="n">
        <v>1</v>
      </c>
      <c r="L807" s="55" t="n">
        <v>4</v>
      </c>
      <c r="M807" s="73" t="n">
        <v>3.59</v>
      </c>
      <c r="N807" s="74" t="n">
        <f aca="false">K807*L807*M807</f>
        <v>14.36</v>
      </c>
      <c r="O807" s="41" t="n">
        <f aca="false">IFERROR(INDEX(Исходные!$B$21:$B$33,MATCH(H807,Исходные!$A$21:$A$33,0)),0)</f>
        <v>2.466</v>
      </c>
      <c r="P807" s="83" t="n">
        <f aca="false">N807*O807</f>
        <v>35.41176</v>
      </c>
      <c r="Q807" s="20" t="s">
        <v>1466</v>
      </c>
      <c r="R807" s="84" t="s">
        <v>660</v>
      </c>
      <c r="S807" s="20"/>
      <c r="T807" s="20" t="s">
        <v>123</v>
      </c>
      <c r="U807" s="53" t="n">
        <v>0</v>
      </c>
      <c r="V807" s="76" t="s">
        <v>1026</v>
      </c>
      <c r="W807" s="53" t="n">
        <v>2</v>
      </c>
    </row>
    <row r="808" customFormat="false" ht="35.05" hidden="false" customHeight="false" outlineLevel="0" collapsed="false">
      <c r="A808" s="76" t="n">
        <v>790</v>
      </c>
      <c r="B808" s="20" t="s">
        <v>1167</v>
      </c>
      <c r="C808" s="20" t="s">
        <v>1021</v>
      </c>
      <c r="D808" s="20" t="s">
        <v>1059</v>
      </c>
      <c r="E808" s="20" t="s">
        <v>1060</v>
      </c>
      <c r="F808" s="76" t="s">
        <v>575</v>
      </c>
      <c r="G808" s="20" t="s">
        <v>1061</v>
      </c>
      <c r="H808" s="55" t="n">
        <v>22</v>
      </c>
      <c r="I808" s="76" t="s">
        <v>512</v>
      </c>
      <c r="J808" s="76" t="s">
        <v>164</v>
      </c>
      <c r="K808" s="82" t="n">
        <v>1</v>
      </c>
      <c r="L808" s="55" t="n">
        <v>4</v>
      </c>
      <c r="M808" s="73" t="n">
        <v>2.175</v>
      </c>
      <c r="N808" s="74" t="n">
        <f aca="false">K808*L808*M808</f>
        <v>8.7</v>
      </c>
      <c r="O808" s="41" t="n">
        <f aca="false">IFERROR(INDEX(Исходные!$B$21:$B$33,MATCH(H808,Исходные!$A$21:$A$33,0)),0)</f>
        <v>2.984</v>
      </c>
      <c r="P808" s="83" t="n">
        <f aca="false">N808*O808</f>
        <v>25.9608</v>
      </c>
      <c r="Q808" s="20" t="s">
        <v>1471</v>
      </c>
      <c r="R808" s="84" t="s">
        <v>660</v>
      </c>
      <c r="S808" s="20"/>
      <c r="T808" s="20" t="s">
        <v>123</v>
      </c>
      <c r="U808" s="53" t="n">
        <v>0</v>
      </c>
      <c r="V808" s="76" t="s">
        <v>1026</v>
      </c>
      <c r="W808" s="53" t="n">
        <v>2</v>
      </c>
    </row>
    <row r="809" customFormat="false" ht="35.05" hidden="false" customHeight="false" outlineLevel="0" collapsed="false">
      <c r="A809" s="76" t="n">
        <v>791</v>
      </c>
      <c r="B809" s="20" t="s">
        <v>1167</v>
      </c>
      <c r="C809" s="20" t="s">
        <v>1021</v>
      </c>
      <c r="D809" s="20" t="s">
        <v>1059</v>
      </c>
      <c r="E809" s="20" t="s">
        <v>1060</v>
      </c>
      <c r="F809" s="76" t="s">
        <v>575</v>
      </c>
      <c r="G809" s="20" t="s">
        <v>1063</v>
      </c>
      <c r="H809" s="55" t="n">
        <v>22</v>
      </c>
      <c r="I809" s="76" t="s">
        <v>512</v>
      </c>
      <c r="J809" s="76" t="s">
        <v>164</v>
      </c>
      <c r="K809" s="82" t="n">
        <v>1</v>
      </c>
      <c r="L809" s="55" t="n">
        <v>4</v>
      </c>
      <c r="M809" s="73" t="n">
        <v>4.15</v>
      </c>
      <c r="N809" s="74" t="n">
        <f aca="false">K809*L809*M809</f>
        <v>16.6</v>
      </c>
      <c r="O809" s="41" t="n">
        <f aca="false">IFERROR(INDEX(Исходные!$B$21:$B$33,MATCH(H809,Исходные!$A$21:$A$33,0)),0)</f>
        <v>2.984</v>
      </c>
      <c r="P809" s="83" t="n">
        <f aca="false">N809*O809</f>
        <v>49.5344</v>
      </c>
      <c r="Q809" s="20" t="s">
        <v>1471</v>
      </c>
      <c r="R809" s="84" t="s">
        <v>660</v>
      </c>
      <c r="S809" s="20"/>
      <c r="T809" s="20" t="s">
        <v>123</v>
      </c>
      <c r="U809" s="53" t="n">
        <v>0</v>
      </c>
      <c r="V809" s="76" t="s">
        <v>1026</v>
      </c>
      <c r="W809" s="53" t="n">
        <v>2</v>
      </c>
    </row>
    <row r="810" customFormat="false" ht="35.05" hidden="false" customHeight="false" outlineLevel="0" collapsed="false">
      <c r="A810" s="76" t="n">
        <v>792</v>
      </c>
      <c r="B810" s="20" t="s">
        <v>1167</v>
      </c>
      <c r="C810" s="20" t="s">
        <v>1021</v>
      </c>
      <c r="D810" s="20" t="s">
        <v>1059</v>
      </c>
      <c r="E810" s="20" t="s">
        <v>1060</v>
      </c>
      <c r="F810" s="76" t="s">
        <v>575</v>
      </c>
      <c r="G810" s="20" t="s">
        <v>1064</v>
      </c>
      <c r="H810" s="55" t="n">
        <v>22</v>
      </c>
      <c r="I810" s="76" t="s">
        <v>512</v>
      </c>
      <c r="J810" s="76" t="s">
        <v>164</v>
      </c>
      <c r="K810" s="82" t="n">
        <v>1</v>
      </c>
      <c r="L810" s="55" t="n">
        <v>4</v>
      </c>
      <c r="M810" s="73" t="n">
        <v>2.175</v>
      </c>
      <c r="N810" s="74" t="n">
        <f aca="false">K810*L810*M810</f>
        <v>8.7</v>
      </c>
      <c r="O810" s="41" t="n">
        <f aca="false">IFERROR(INDEX(Исходные!$B$21:$B$33,MATCH(H810,Исходные!$A$21:$A$33,0)),0)</f>
        <v>2.984</v>
      </c>
      <c r="P810" s="83" t="n">
        <f aca="false">N810*O810</f>
        <v>25.9608</v>
      </c>
      <c r="Q810" s="20" t="s">
        <v>1471</v>
      </c>
      <c r="R810" s="84" t="s">
        <v>660</v>
      </c>
      <c r="S810" s="20"/>
      <c r="T810" s="20" t="s">
        <v>123</v>
      </c>
      <c r="U810" s="53" t="n">
        <v>0</v>
      </c>
      <c r="V810" s="76" t="s">
        <v>1026</v>
      </c>
      <c r="W810" s="53" t="n">
        <v>2</v>
      </c>
    </row>
    <row r="811" customFormat="false" ht="35.05" hidden="false" customHeight="false" outlineLevel="0" collapsed="false">
      <c r="A811" s="76" t="n">
        <v>793</v>
      </c>
      <c r="B811" s="20" t="s">
        <v>1167</v>
      </c>
      <c r="C811" s="20" t="s">
        <v>1021</v>
      </c>
      <c r="D811" s="20" t="s">
        <v>1065</v>
      </c>
      <c r="E811" s="20" t="s">
        <v>1060</v>
      </c>
      <c r="F811" s="76" t="s">
        <v>575</v>
      </c>
      <c r="G811" s="20" t="s">
        <v>1061</v>
      </c>
      <c r="H811" s="55" t="n">
        <v>22</v>
      </c>
      <c r="I811" s="76" t="s">
        <v>512</v>
      </c>
      <c r="J811" s="76" t="s">
        <v>164</v>
      </c>
      <c r="K811" s="82" t="n">
        <v>1</v>
      </c>
      <c r="L811" s="55" t="n">
        <v>4</v>
      </c>
      <c r="M811" s="73" t="n">
        <v>2.175</v>
      </c>
      <c r="N811" s="74" t="n">
        <f aca="false">K811*L811*M811</f>
        <v>8.7</v>
      </c>
      <c r="O811" s="41" t="n">
        <f aca="false">IFERROR(INDEX(Исходные!$B$21:$B$33,MATCH(H811,Исходные!$A$21:$A$33,0)),0)</f>
        <v>2.984</v>
      </c>
      <c r="P811" s="83" t="n">
        <f aca="false">N811*O811</f>
        <v>25.9608</v>
      </c>
      <c r="Q811" s="20" t="s">
        <v>1471</v>
      </c>
      <c r="R811" s="84" t="s">
        <v>660</v>
      </c>
      <c r="S811" s="20"/>
      <c r="T811" s="20" t="s">
        <v>123</v>
      </c>
      <c r="U811" s="53" t="n">
        <v>0</v>
      </c>
      <c r="V811" s="76" t="s">
        <v>1026</v>
      </c>
      <c r="W811" s="53" t="n">
        <v>2</v>
      </c>
    </row>
    <row r="812" customFormat="false" ht="35.05" hidden="false" customHeight="false" outlineLevel="0" collapsed="false">
      <c r="A812" s="76" t="n">
        <v>794</v>
      </c>
      <c r="B812" s="20" t="s">
        <v>1167</v>
      </c>
      <c r="C812" s="20" t="s">
        <v>1021</v>
      </c>
      <c r="D812" s="20" t="s">
        <v>1065</v>
      </c>
      <c r="E812" s="20" t="s">
        <v>1060</v>
      </c>
      <c r="F812" s="76" t="s">
        <v>575</v>
      </c>
      <c r="G812" s="20" t="s">
        <v>1063</v>
      </c>
      <c r="H812" s="55" t="n">
        <v>22</v>
      </c>
      <c r="I812" s="76" t="s">
        <v>512</v>
      </c>
      <c r="J812" s="76" t="s">
        <v>164</v>
      </c>
      <c r="K812" s="82" t="n">
        <v>1</v>
      </c>
      <c r="L812" s="55" t="n">
        <v>4</v>
      </c>
      <c r="M812" s="73" t="n">
        <v>4.15</v>
      </c>
      <c r="N812" s="74" t="n">
        <f aca="false">K812*L812*M812</f>
        <v>16.6</v>
      </c>
      <c r="O812" s="41" t="n">
        <f aca="false">IFERROR(INDEX(Исходные!$B$21:$B$33,MATCH(H812,Исходные!$A$21:$A$33,0)),0)</f>
        <v>2.984</v>
      </c>
      <c r="P812" s="83" t="n">
        <f aca="false">N812*O812</f>
        <v>49.5344</v>
      </c>
      <c r="Q812" s="20" t="s">
        <v>1471</v>
      </c>
      <c r="R812" s="84" t="s">
        <v>660</v>
      </c>
      <c r="S812" s="20"/>
      <c r="T812" s="20" t="s">
        <v>123</v>
      </c>
      <c r="U812" s="53" t="n">
        <v>0</v>
      </c>
      <c r="V812" s="76" t="s">
        <v>1026</v>
      </c>
      <c r="W812" s="53" t="n">
        <v>2</v>
      </c>
    </row>
    <row r="813" customFormat="false" ht="35.05" hidden="false" customHeight="false" outlineLevel="0" collapsed="false">
      <c r="A813" s="76" t="n">
        <v>795</v>
      </c>
      <c r="B813" s="20" t="s">
        <v>1167</v>
      </c>
      <c r="C813" s="20" t="s">
        <v>1021</v>
      </c>
      <c r="D813" s="20" t="s">
        <v>1065</v>
      </c>
      <c r="E813" s="20" t="s">
        <v>1060</v>
      </c>
      <c r="F813" s="76" t="s">
        <v>575</v>
      </c>
      <c r="G813" s="20" t="s">
        <v>1064</v>
      </c>
      <c r="H813" s="55" t="n">
        <v>22</v>
      </c>
      <c r="I813" s="76" t="s">
        <v>512</v>
      </c>
      <c r="J813" s="76" t="s">
        <v>164</v>
      </c>
      <c r="K813" s="82" t="n">
        <v>1</v>
      </c>
      <c r="L813" s="55" t="n">
        <v>4</v>
      </c>
      <c r="M813" s="73" t="n">
        <v>2.175</v>
      </c>
      <c r="N813" s="74" t="n">
        <f aca="false">K813*L813*M813</f>
        <v>8.7</v>
      </c>
      <c r="O813" s="41" t="n">
        <f aca="false">IFERROR(INDEX(Исходные!$B$21:$B$33,MATCH(H813,Исходные!$A$21:$A$33,0)),0)</f>
        <v>2.984</v>
      </c>
      <c r="P813" s="83" t="n">
        <f aca="false">N813*O813</f>
        <v>25.9608</v>
      </c>
      <c r="Q813" s="20" t="s">
        <v>1471</v>
      </c>
      <c r="R813" s="84" t="s">
        <v>660</v>
      </c>
      <c r="S813" s="20"/>
      <c r="T813" s="20" t="s">
        <v>123</v>
      </c>
      <c r="U813" s="53" t="n">
        <v>0</v>
      </c>
      <c r="V813" s="76" t="s">
        <v>1026</v>
      </c>
      <c r="W813" s="53" t="n">
        <v>2</v>
      </c>
    </row>
    <row r="814" customFormat="false" ht="35.05" hidden="false" customHeight="false" outlineLevel="0" collapsed="false">
      <c r="A814" s="76" t="n">
        <v>796</v>
      </c>
      <c r="B814" s="20" t="s">
        <v>1167</v>
      </c>
      <c r="C814" s="20" t="s">
        <v>1021</v>
      </c>
      <c r="D814" s="20" t="s">
        <v>1066</v>
      </c>
      <c r="E814" s="20" t="s">
        <v>1060</v>
      </c>
      <c r="F814" s="76" t="s">
        <v>575</v>
      </c>
      <c r="G814" s="20" t="s">
        <v>1061</v>
      </c>
      <c r="H814" s="55" t="n">
        <v>22</v>
      </c>
      <c r="I814" s="76" t="s">
        <v>512</v>
      </c>
      <c r="J814" s="76" t="s">
        <v>164</v>
      </c>
      <c r="K814" s="82" t="n">
        <v>1</v>
      </c>
      <c r="L814" s="55" t="n">
        <v>4</v>
      </c>
      <c r="M814" s="73" t="n">
        <v>2.15</v>
      </c>
      <c r="N814" s="74" t="n">
        <f aca="false">K814*L814*M814</f>
        <v>8.6</v>
      </c>
      <c r="O814" s="41" t="n">
        <f aca="false">IFERROR(INDEX(Исходные!$B$21:$B$33,MATCH(H814,Исходные!$A$21:$A$33,0)),0)</f>
        <v>2.984</v>
      </c>
      <c r="P814" s="83" t="n">
        <f aca="false">N814*O814</f>
        <v>25.6624</v>
      </c>
      <c r="Q814" s="20" t="s">
        <v>1471</v>
      </c>
      <c r="R814" s="84" t="s">
        <v>660</v>
      </c>
      <c r="S814" s="20"/>
      <c r="T814" s="20" t="s">
        <v>123</v>
      </c>
      <c r="U814" s="53" t="n">
        <v>0</v>
      </c>
      <c r="V814" s="76" t="s">
        <v>1026</v>
      </c>
      <c r="W814" s="53" t="n">
        <v>2</v>
      </c>
    </row>
    <row r="815" customFormat="false" ht="35.05" hidden="false" customHeight="false" outlineLevel="0" collapsed="false">
      <c r="A815" s="76" t="n">
        <v>797</v>
      </c>
      <c r="B815" s="20" t="s">
        <v>1167</v>
      </c>
      <c r="C815" s="20" t="s">
        <v>1021</v>
      </c>
      <c r="D815" s="20" t="s">
        <v>1066</v>
      </c>
      <c r="E815" s="20" t="s">
        <v>1060</v>
      </c>
      <c r="F815" s="76" t="s">
        <v>575</v>
      </c>
      <c r="G815" s="20" t="s">
        <v>1063</v>
      </c>
      <c r="H815" s="55" t="n">
        <v>22</v>
      </c>
      <c r="I815" s="76" t="s">
        <v>512</v>
      </c>
      <c r="J815" s="76" t="s">
        <v>164</v>
      </c>
      <c r="K815" s="82" t="n">
        <v>1</v>
      </c>
      <c r="L815" s="55" t="n">
        <v>4</v>
      </c>
      <c r="M815" s="73" t="n">
        <v>3.775</v>
      </c>
      <c r="N815" s="74" t="n">
        <f aca="false">K815*L815*M815</f>
        <v>15.1</v>
      </c>
      <c r="O815" s="41" t="n">
        <f aca="false">IFERROR(INDEX(Исходные!$B$21:$B$33,MATCH(H815,Исходные!$A$21:$A$33,0)),0)</f>
        <v>2.984</v>
      </c>
      <c r="P815" s="83" t="n">
        <f aca="false">N815*O815</f>
        <v>45.0584</v>
      </c>
      <c r="Q815" s="20" t="s">
        <v>1471</v>
      </c>
      <c r="R815" s="84" t="s">
        <v>660</v>
      </c>
      <c r="S815" s="20"/>
      <c r="T815" s="20" t="s">
        <v>123</v>
      </c>
      <c r="U815" s="53" t="n">
        <v>0</v>
      </c>
      <c r="V815" s="76" t="s">
        <v>1026</v>
      </c>
      <c r="W815" s="53" t="n">
        <v>2</v>
      </c>
    </row>
    <row r="816" customFormat="false" ht="35.05" hidden="false" customHeight="false" outlineLevel="0" collapsed="false">
      <c r="A816" s="76" t="n">
        <v>798</v>
      </c>
      <c r="B816" s="20" t="s">
        <v>1167</v>
      </c>
      <c r="C816" s="20" t="s">
        <v>1021</v>
      </c>
      <c r="D816" s="20" t="s">
        <v>1066</v>
      </c>
      <c r="E816" s="20" t="s">
        <v>1060</v>
      </c>
      <c r="F816" s="76" t="s">
        <v>575</v>
      </c>
      <c r="G816" s="20" t="s">
        <v>1064</v>
      </c>
      <c r="H816" s="55" t="n">
        <v>22</v>
      </c>
      <c r="I816" s="76" t="s">
        <v>512</v>
      </c>
      <c r="J816" s="76" t="s">
        <v>164</v>
      </c>
      <c r="K816" s="82" t="n">
        <v>1</v>
      </c>
      <c r="L816" s="55" t="n">
        <v>4</v>
      </c>
      <c r="M816" s="73" t="n">
        <v>2.15</v>
      </c>
      <c r="N816" s="74" t="n">
        <f aca="false">K816*L816*M816</f>
        <v>8.6</v>
      </c>
      <c r="O816" s="41" t="n">
        <f aca="false">IFERROR(INDEX(Исходные!$B$21:$B$33,MATCH(H816,Исходные!$A$21:$A$33,0)),0)</f>
        <v>2.984</v>
      </c>
      <c r="P816" s="83" t="n">
        <f aca="false">N816*O816</f>
        <v>25.6624</v>
      </c>
      <c r="Q816" s="20" t="s">
        <v>1471</v>
      </c>
      <c r="R816" s="84" t="s">
        <v>660</v>
      </c>
      <c r="S816" s="20"/>
      <c r="T816" s="20" t="s">
        <v>123</v>
      </c>
      <c r="U816" s="53" t="n">
        <v>0</v>
      </c>
      <c r="V816" s="76" t="s">
        <v>1026</v>
      </c>
      <c r="W816" s="53" t="n">
        <v>2</v>
      </c>
    </row>
    <row r="817" customFormat="false" ht="35.05" hidden="false" customHeight="false" outlineLevel="0" collapsed="false">
      <c r="A817" s="76" t="n">
        <v>799</v>
      </c>
      <c r="B817" s="20" t="s">
        <v>1167</v>
      </c>
      <c r="C817" s="20" t="s">
        <v>1021</v>
      </c>
      <c r="D817" s="20" t="s">
        <v>1067</v>
      </c>
      <c r="E817" s="20" t="s">
        <v>1060</v>
      </c>
      <c r="F817" s="76" t="s">
        <v>575</v>
      </c>
      <c r="G817" s="20" t="s">
        <v>1061</v>
      </c>
      <c r="H817" s="55" t="n">
        <v>22</v>
      </c>
      <c r="I817" s="76" t="s">
        <v>512</v>
      </c>
      <c r="J817" s="76" t="s">
        <v>164</v>
      </c>
      <c r="K817" s="82" t="n">
        <v>1</v>
      </c>
      <c r="L817" s="55" t="n">
        <v>4</v>
      </c>
      <c r="M817" s="73" t="n">
        <v>2.15</v>
      </c>
      <c r="N817" s="74" t="n">
        <f aca="false">K817*L817*M817</f>
        <v>8.6</v>
      </c>
      <c r="O817" s="41" t="n">
        <f aca="false">IFERROR(INDEX(Исходные!$B$21:$B$33,MATCH(H817,Исходные!$A$21:$A$33,0)),0)</f>
        <v>2.984</v>
      </c>
      <c r="P817" s="83" t="n">
        <f aca="false">N817*O817</f>
        <v>25.6624</v>
      </c>
      <c r="Q817" s="20" t="s">
        <v>1471</v>
      </c>
      <c r="R817" s="84" t="s">
        <v>660</v>
      </c>
      <c r="S817" s="20"/>
      <c r="T817" s="20" t="s">
        <v>123</v>
      </c>
      <c r="U817" s="53" t="n">
        <v>0</v>
      </c>
      <c r="V817" s="76" t="s">
        <v>1026</v>
      </c>
      <c r="W817" s="53" t="n">
        <v>2</v>
      </c>
    </row>
    <row r="818" customFormat="false" ht="35.05" hidden="false" customHeight="false" outlineLevel="0" collapsed="false">
      <c r="A818" s="76" t="n">
        <v>800</v>
      </c>
      <c r="B818" s="20" t="s">
        <v>1167</v>
      </c>
      <c r="C818" s="20" t="s">
        <v>1021</v>
      </c>
      <c r="D818" s="20" t="s">
        <v>1067</v>
      </c>
      <c r="E818" s="20" t="s">
        <v>1060</v>
      </c>
      <c r="F818" s="76" t="s">
        <v>575</v>
      </c>
      <c r="G818" s="20" t="s">
        <v>1063</v>
      </c>
      <c r="H818" s="55" t="n">
        <v>22</v>
      </c>
      <c r="I818" s="76" t="s">
        <v>512</v>
      </c>
      <c r="J818" s="76" t="s">
        <v>164</v>
      </c>
      <c r="K818" s="82" t="n">
        <v>1</v>
      </c>
      <c r="L818" s="55" t="n">
        <v>4</v>
      </c>
      <c r="M818" s="73" t="n">
        <v>7.95</v>
      </c>
      <c r="N818" s="74" t="n">
        <f aca="false">K818*L818*M818</f>
        <v>31.8</v>
      </c>
      <c r="O818" s="41" t="n">
        <f aca="false">IFERROR(INDEX(Исходные!$B$21:$B$33,MATCH(H818,Исходные!$A$21:$A$33,0)),0)</f>
        <v>2.984</v>
      </c>
      <c r="P818" s="83" t="n">
        <f aca="false">N818*O818</f>
        <v>94.8912</v>
      </c>
      <c r="Q818" s="20" t="s">
        <v>1471</v>
      </c>
      <c r="R818" s="84" t="s">
        <v>660</v>
      </c>
      <c r="S818" s="20"/>
      <c r="T818" s="20" t="s">
        <v>123</v>
      </c>
      <c r="U818" s="53" t="n">
        <v>0</v>
      </c>
      <c r="V818" s="76" t="s">
        <v>1026</v>
      </c>
      <c r="W818" s="53" t="n">
        <v>2</v>
      </c>
    </row>
    <row r="819" customFormat="false" ht="35.05" hidden="false" customHeight="false" outlineLevel="0" collapsed="false">
      <c r="A819" s="76" t="n">
        <v>801</v>
      </c>
      <c r="B819" s="20" t="s">
        <v>1167</v>
      </c>
      <c r="C819" s="20" t="s">
        <v>1021</v>
      </c>
      <c r="D819" s="20" t="s">
        <v>1067</v>
      </c>
      <c r="E819" s="20" t="s">
        <v>1060</v>
      </c>
      <c r="F819" s="76" t="s">
        <v>575</v>
      </c>
      <c r="G819" s="20" t="s">
        <v>1064</v>
      </c>
      <c r="H819" s="55" t="n">
        <v>22</v>
      </c>
      <c r="I819" s="76" t="s">
        <v>512</v>
      </c>
      <c r="J819" s="76" t="s">
        <v>164</v>
      </c>
      <c r="K819" s="82" t="n">
        <v>1</v>
      </c>
      <c r="L819" s="55" t="n">
        <v>4</v>
      </c>
      <c r="M819" s="73" t="n">
        <v>2.15</v>
      </c>
      <c r="N819" s="74" t="n">
        <f aca="false">K819*L819*M819</f>
        <v>8.6</v>
      </c>
      <c r="O819" s="41" t="n">
        <f aca="false">IFERROR(INDEX(Исходные!$B$21:$B$33,MATCH(H819,Исходные!$A$21:$A$33,0)),0)</f>
        <v>2.984</v>
      </c>
      <c r="P819" s="83" t="n">
        <f aca="false">N819*O819</f>
        <v>25.6624</v>
      </c>
      <c r="Q819" s="20" t="s">
        <v>1471</v>
      </c>
      <c r="R819" s="84" t="s">
        <v>660</v>
      </c>
      <c r="S819" s="20"/>
      <c r="T819" s="20" t="s">
        <v>123</v>
      </c>
      <c r="U819" s="53" t="n">
        <v>0</v>
      </c>
      <c r="V819" s="76" t="s">
        <v>1026</v>
      </c>
      <c r="W819" s="53" t="n">
        <v>2</v>
      </c>
    </row>
    <row r="820" customFormat="false" ht="35.05" hidden="false" customHeight="false" outlineLevel="0" collapsed="false">
      <c r="A820" s="76" t="n">
        <v>802</v>
      </c>
      <c r="B820" s="20" t="s">
        <v>1167</v>
      </c>
      <c r="C820" s="20" t="s">
        <v>1021</v>
      </c>
      <c r="D820" s="20" t="s">
        <v>1067</v>
      </c>
      <c r="E820" s="20" t="s">
        <v>1060</v>
      </c>
      <c r="F820" s="76" t="s">
        <v>575</v>
      </c>
      <c r="G820" s="20" t="s">
        <v>1068</v>
      </c>
      <c r="H820" s="55" t="n">
        <v>22</v>
      </c>
      <c r="I820" s="76" t="s">
        <v>512</v>
      </c>
      <c r="J820" s="76" t="s">
        <v>164</v>
      </c>
      <c r="K820" s="82" t="n">
        <v>1</v>
      </c>
      <c r="L820" s="55" t="n">
        <v>4</v>
      </c>
      <c r="M820" s="73" t="n">
        <v>2.375</v>
      </c>
      <c r="N820" s="74" t="n">
        <f aca="false">K820*L820*M820</f>
        <v>9.5</v>
      </c>
      <c r="O820" s="41" t="n">
        <f aca="false">IFERROR(INDEX(Исходные!$B$21:$B$33,MATCH(H820,Исходные!$A$21:$A$33,0)),0)</f>
        <v>2.984</v>
      </c>
      <c r="P820" s="83" t="n">
        <f aca="false">N820*O820</f>
        <v>28.348</v>
      </c>
      <c r="Q820" s="20" t="s">
        <v>1471</v>
      </c>
      <c r="R820" s="84" t="s">
        <v>660</v>
      </c>
      <c r="S820" s="20"/>
      <c r="T820" s="20" t="s">
        <v>123</v>
      </c>
      <c r="U820" s="53" t="n">
        <v>0</v>
      </c>
      <c r="V820" s="76" t="s">
        <v>1026</v>
      </c>
      <c r="W820" s="53" t="n">
        <v>2</v>
      </c>
    </row>
    <row r="821" customFormat="false" ht="35.05" hidden="false" customHeight="false" outlineLevel="0" collapsed="false">
      <c r="A821" s="76" t="n">
        <v>803</v>
      </c>
      <c r="B821" s="20" t="s">
        <v>1167</v>
      </c>
      <c r="C821" s="20" t="s">
        <v>1021</v>
      </c>
      <c r="D821" s="20" t="s">
        <v>1069</v>
      </c>
      <c r="E821" s="20" t="s">
        <v>1070</v>
      </c>
      <c r="F821" s="76" t="s">
        <v>164</v>
      </c>
      <c r="G821" s="20" t="s">
        <v>1472</v>
      </c>
      <c r="H821" s="55" t="n">
        <v>18</v>
      </c>
      <c r="I821" s="76" t="s">
        <v>512</v>
      </c>
      <c r="J821" s="76" t="s">
        <v>164</v>
      </c>
      <c r="K821" s="82" t="n">
        <v>1</v>
      </c>
      <c r="L821" s="55" t="n">
        <v>20</v>
      </c>
      <c r="M821" s="73" t="n">
        <v>1.2</v>
      </c>
      <c r="N821" s="74" t="n">
        <f aca="false">K821*L821*M821</f>
        <v>24</v>
      </c>
      <c r="O821" s="41" t="n">
        <f aca="false">IFERROR(INDEX(Исходные!$B$21:$B$33,MATCH(H821,Исходные!$A$21:$A$33,0)),0)</f>
        <v>1.998</v>
      </c>
      <c r="P821" s="83" t="n">
        <f aca="false">N821*O821</f>
        <v>47.952</v>
      </c>
      <c r="Q821" s="20" t="s">
        <v>1473</v>
      </c>
      <c r="R821" s="85" t="s">
        <v>638</v>
      </c>
      <c r="S821" s="20"/>
      <c r="T821" s="20" t="s">
        <v>123</v>
      </c>
      <c r="U821" s="53" t="n">
        <v>1</v>
      </c>
      <c r="V821" s="76" t="s">
        <v>1073</v>
      </c>
      <c r="W821" s="53" t="n">
        <v>2</v>
      </c>
    </row>
    <row r="822" customFormat="false" ht="35.05" hidden="false" customHeight="false" outlineLevel="0" collapsed="false">
      <c r="A822" s="76" t="n">
        <v>804</v>
      </c>
      <c r="B822" s="20" t="s">
        <v>1167</v>
      </c>
      <c r="C822" s="20" t="s">
        <v>1021</v>
      </c>
      <c r="D822" s="20" t="s">
        <v>1074</v>
      </c>
      <c r="E822" s="20" t="s">
        <v>1075</v>
      </c>
      <c r="F822" s="76" t="s">
        <v>555</v>
      </c>
      <c r="G822" s="20" t="s">
        <v>1474</v>
      </c>
      <c r="H822" s="55" t="n">
        <v>8</v>
      </c>
      <c r="I822" s="76" t="s">
        <v>546</v>
      </c>
      <c r="J822" s="76" t="s">
        <v>644</v>
      </c>
      <c r="K822" s="82" t="n">
        <v>1</v>
      </c>
      <c r="L822" s="55" t="n">
        <v>925</v>
      </c>
      <c r="M822" s="73" t="n">
        <v>1.24</v>
      </c>
      <c r="N822" s="74" t="n">
        <f aca="false">K822*L822*M822</f>
        <v>1147</v>
      </c>
      <c r="O822" s="41" t="n">
        <f aca="false">IFERROR(INDEX(Исходные!$B$21:$B$33,MATCH(H822,Исходные!$A$21:$A$33,0)),0)</f>
        <v>0.395</v>
      </c>
      <c r="P822" s="83" t="n">
        <f aca="false">N822*O822</f>
        <v>453.065</v>
      </c>
      <c r="Q822" s="20" t="s">
        <v>1475</v>
      </c>
      <c r="R822" s="84" t="s">
        <v>514</v>
      </c>
      <c r="S822" s="20"/>
      <c r="T822" s="20" t="s">
        <v>123</v>
      </c>
      <c r="U822" s="53" t="n">
        <v>0</v>
      </c>
      <c r="V822" s="76" t="s">
        <v>1078</v>
      </c>
      <c r="W822" s="53" t="n">
        <v>2</v>
      </c>
    </row>
    <row r="823" customFormat="false" ht="35.05" hidden="false" customHeight="false" outlineLevel="0" collapsed="false">
      <c r="A823" s="76" t="n">
        <v>805</v>
      </c>
      <c r="B823" s="20" t="s">
        <v>1167</v>
      </c>
      <c r="C823" s="20" t="s">
        <v>1021</v>
      </c>
      <c r="D823" s="20" t="s">
        <v>1079</v>
      </c>
      <c r="E823" s="20" t="s">
        <v>1080</v>
      </c>
      <c r="F823" s="76" t="s">
        <v>555</v>
      </c>
      <c r="G823" s="20" t="s">
        <v>1476</v>
      </c>
      <c r="H823" s="55" t="n">
        <v>8</v>
      </c>
      <c r="I823" s="76" t="s">
        <v>546</v>
      </c>
      <c r="J823" s="76" t="s">
        <v>644</v>
      </c>
      <c r="K823" s="82" t="n">
        <v>1</v>
      </c>
      <c r="L823" s="55" t="n">
        <v>44</v>
      </c>
      <c r="M823" s="73" t="n">
        <v>1.24</v>
      </c>
      <c r="N823" s="74" t="n">
        <f aca="false">K823*L823*M823</f>
        <v>54.56</v>
      </c>
      <c r="O823" s="41" t="n">
        <f aca="false">IFERROR(INDEX(Исходные!$B$21:$B$33,MATCH(H823,Исходные!$A$21:$A$33,0)),0)</f>
        <v>0.395</v>
      </c>
      <c r="P823" s="83" t="n">
        <f aca="false">N823*O823</f>
        <v>21.5512</v>
      </c>
      <c r="Q823" s="20" t="s">
        <v>1477</v>
      </c>
      <c r="R823" s="84" t="s">
        <v>514</v>
      </c>
      <c r="S823" s="20"/>
      <c r="T823" s="20" t="s">
        <v>123</v>
      </c>
      <c r="U823" s="53" t="n">
        <v>0</v>
      </c>
      <c r="V823" s="76" t="s">
        <v>1078</v>
      </c>
      <c r="W823" s="53" t="n">
        <v>2</v>
      </c>
    </row>
    <row r="824" customFormat="false" ht="35.05" hidden="false" customHeight="false" outlineLevel="0" collapsed="false">
      <c r="A824" s="76" t="n">
        <v>806</v>
      </c>
      <c r="B824" s="20" t="s">
        <v>1167</v>
      </c>
      <c r="C824" s="20" t="s">
        <v>1021</v>
      </c>
      <c r="D824" s="20" t="s">
        <v>1083</v>
      </c>
      <c r="E824" s="20" t="s">
        <v>1084</v>
      </c>
      <c r="F824" s="76" t="s">
        <v>696</v>
      </c>
      <c r="G824" s="20" t="s">
        <v>1478</v>
      </c>
      <c r="H824" s="55" t="n">
        <v>8</v>
      </c>
      <c r="I824" s="76" t="s">
        <v>546</v>
      </c>
      <c r="J824" s="76" t="s">
        <v>644</v>
      </c>
      <c r="K824" s="82" t="n">
        <v>1</v>
      </c>
      <c r="L824" s="55" t="n">
        <v>44</v>
      </c>
      <c r="M824" s="73" t="n">
        <v>1.44</v>
      </c>
      <c r="N824" s="74" t="n">
        <f aca="false">K824*L824*M824</f>
        <v>63.36</v>
      </c>
      <c r="O824" s="41" t="n">
        <f aca="false">IFERROR(INDEX(Исходные!$B$21:$B$33,MATCH(H824,Исходные!$A$21:$A$33,0)),0)</f>
        <v>0.395</v>
      </c>
      <c r="P824" s="83" t="n">
        <f aca="false">N824*O824</f>
        <v>25.0272</v>
      </c>
      <c r="Q824" s="20" t="s">
        <v>1479</v>
      </c>
      <c r="R824" s="84" t="s">
        <v>514</v>
      </c>
      <c r="S824" s="20"/>
      <c r="T824" s="20" t="s">
        <v>123</v>
      </c>
      <c r="U824" s="53" t="n">
        <v>0</v>
      </c>
      <c r="V824" s="76" t="s">
        <v>1078</v>
      </c>
      <c r="W824" s="53" t="n">
        <v>2</v>
      </c>
    </row>
    <row r="825" customFormat="false" ht="35.05" hidden="false" customHeight="false" outlineLevel="0" collapsed="false">
      <c r="A825" s="76" t="n">
        <v>807</v>
      </c>
      <c r="B825" s="20" t="s">
        <v>1167</v>
      </c>
      <c r="C825" s="20" t="s">
        <v>1021</v>
      </c>
      <c r="D825" s="20" t="s">
        <v>1087</v>
      </c>
      <c r="E825" s="20" t="s">
        <v>1088</v>
      </c>
      <c r="F825" s="76" t="s">
        <v>561</v>
      </c>
      <c r="G825" s="20" t="s">
        <v>1480</v>
      </c>
      <c r="H825" s="55" t="n">
        <v>8</v>
      </c>
      <c r="I825" s="76" t="s">
        <v>546</v>
      </c>
      <c r="J825" s="76" t="s">
        <v>644</v>
      </c>
      <c r="K825" s="82" t="n">
        <v>1</v>
      </c>
      <c r="L825" s="55" t="n">
        <v>133</v>
      </c>
      <c r="M825" s="73" t="n">
        <v>1.04</v>
      </c>
      <c r="N825" s="74" t="n">
        <f aca="false">K825*L825*M825</f>
        <v>138.32</v>
      </c>
      <c r="O825" s="41" t="n">
        <f aca="false">IFERROR(INDEX(Исходные!$B$21:$B$33,MATCH(H825,Исходные!$A$21:$A$33,0)),0)</f>
        <v>0.395</v>
      </c>
      <c r="P825" s="83" t="n">
        <f aca="false">N825*O825</f>
        <v>54.6364</v>
      </c>
      <c r="Q825" s="20" t="s">
        <v>1481</v>
      </c>
      <c r="R825" s="84" t="s">
        <v>514</v>
      </c>
      <c r="S825" s="20"/>
      <c r="T825" s="20" t="s">
        <v>123</v>
      </c>
      <c r="U825" s="53" t="n">
        <v>0</v>
      </c>
      <c r="V825" s="76" t="s">
        <v>1078</v>
      </c>
      <c r="W825" s="53" t="n">
        <v>2</v>
      </c>
    </row>
    <row r="826" customFormat="false" ht="35.05" hidden="false" customHeight="false" outlineLevel="0" collapsed="false">
      <c r="A826" s="76" t="n">
        <v>808</v>
      </c>
      <c r="B826" s="20" t="s">
        <v>1167</v>
      </c>
      <c r="C826" s="20" t="s">
        <v>1021</v>
      </c>
      <c r="D826" s="20" t="s">
        <v>1091</v>
      </c>
      <c r="E826" s="20" t="s">
        <v>1092</v>
      </c>
      <c r="F826" s="76" t="s">
        <v>558</v>
      </c>
      <c r="G826" s="20" t="s">
        <v>1482</v>
      </c>
      <c r="H826" s="55" t="n">
        <v>8</v>
      </c>
      <c r="I826" s="76" t="s">
        <v>546</v>
      </c>
      <c r="J826" s="76" t="s">
        <v>644</v>
      </c>
      <c r="K826" s="82" t="n">
        <v>1</v>
      </c>
      <c r="L826" s="55" t="n">
        <v>272</v>
      </c>
      <c r="M826" s="73" t="n">
        <v>1.14</v>
      </c>
      <c r="N826" s="74" t="n">
        <f aca="false">K826*L826*M826</f>
        <v>310.08</v>
      </c>
      <c r="O826" s="41" t="n">
        <f aca="false">IFERROR(INDEX(Исходные!$B$21:$B$33,MATCH(H826,Исходные!$A$21:$A$33,0)),0)</f>
        <v>0.395</v>
      </c>
      <c r="P826" s="83" t="n">
        <f aca="false">N826*O826</f>
        <v>122.4816</v>
      </c>
      <c r="Q826" s="20" t="s">
        <v>1483</v>
      </c>
      <c r="R826" s="84" t="s">
        <v>514</v>
      </c>
      <c r="S826" s="20"/>
      <c r="T826" s="20" t="s">
        <v>123</v>
      </c>
      <c r="U826" s="53" t="n">
        <v>0</v>
      </c>
      <c r="V826" s="76" t="s">
        <v>1078</v>
      </c>
      <c r="W826" s="53" t="n">
        <v>2</v>
      </c>
    </row>
    <row r="827" customFormat="false" ht="15" hidden="false" customHeight="true" outlineLevel="0" collapsed="false">
      <c r="A827" s="81" t="s">
        <v>1484</v>
      </c>
      <c r="B827" s="81"/>
      <c r="C827" s="81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</row>
    <row r="828" customFormat="false" ht="35.05" hidden="false" customHeight="false" outlineLevel="0" collapsed="false">
      <c r="A828" s="76" t="n">
        <v>809</v>
      </c>
      <c r="B828" s="20" t="s">
        <v>1167</v>
      </c>
      <c r="C828" s="20" t="s">
        <v>1096</v>
      </c>
      <c r="D828" s="20" t="s">
        <v>1485</v>
      </c>
      <c r="E828" s="20" t="s">
        <v>140</v>
      </c>
      <c r="F828" s="76" t="s">
        <v>510</v>
      </c>
      <c r="G828" s="20" t="s">
        <v>1098</v>
      </c>
      <c r="H828" s="55" t="n">
        <v>10</v>
      </c>
      <c r="I828" s="76" t="s">
        <v>512</v>
      </c>
      <c r="J828" s="76" t="n">
        <v>90</v>
      </c>
      <c r="K828" s="82" t="n">
        <v>200</v>
      </c>
      <c r="L828" s="55" t="n">
        <v>7</v>
      </c>
      <c r="M828" s="73" t="n">
        <v>0.57</v>
      </c>
      <c r="N828" s="74" t="n">
        <f aca="false">K828*L828*M828</f>
        <v>798</v>
      </c>
      <c r="O828" s="41" t="n">
        <f aca="false">IFERROR(INDEX(Исходные!$B$21:$B$33,MATCH(H828,Исходные!$A$21:$A$33,0)),0)</f>
        <v>0.617</v>
      </c>
      <c r="P828" s="83" t="n">
        <f aca="false">N828*O828</f>
        <v>492.366</v>
      </c>
      <c r="Q828" s="20" t="s">
        <v>1486</v>
      </c>
      <c r="R828" s="85" t="s">
        <v>638</v>
      </c>
      <c r="S828" s="20"/>
      <c r="T828" s="20" t="s">
        <v>123</v>
      </c>
      <c r="U828" s="53" t="n">
        <v>1</v>
      </c>
      <c r="V828" s="76" t="s">
        <v>140</v>
      </c>
      <c r="W828" s="53" t="n">
        <v>2</v>
      </c>
    </row>
    <row r="829" customFormat="false" ht="15" hidden="false" customHeight="true" outlineLevel="0" collapsed="false">
      <c r="A829" s="81" t="s">
        <v>1487</v>
      </c>
      <c r="B829" s="81"/>
      <c r="C829" s="81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</row>
    <row r="830" customFormat="false" ht="35.05" hidden="false" customHeight="false" outlineLevel="0" collapsed="false">
      <c r="A830" s="76" t="n">
        <v>810</v>
      </c>
      <c r="B830" s="20" t="s">
        <v>1167</v>
      </c>
      <c r="C830" s="20" t="s">
        <v>1101</v>
      </c>
      <c r="D830" s="20" t="s">
        <v>1102</v>
      </c>
      <c r="E830" s="20" t="s">
        <v>1488</v>
      </c>
      <c r="F830" s="76" t="s">
        <v>510</v>
      </c>
      <c r="G830" s="20" t="s">
        <v>1489</v>
      </c>
      <c r="H830" s="55" t="n">
        <v>18</v>
      </c>
      <c r="I830" s="76" t="s">
        <v>512</v>
      </c>
      <c r="J830" s="76" t="n">
        <v>150</v>
      </c>
      <c r="K830" s="82" t="n">
        <v>1</v>
      </c>
      <c r="L830" s="55" t="n">
        <v>18</v>
      </c>
      <c r="M830" s="73" t="n">
        <v>6.109</v>
      </c>
      <c r="N830" s="74" t="n">
        <f aca="false">K830*L830*M830</f>
        <v>109.962</v>
      </c>
      <c r="O830" s="41" t="n">
        <f aca="false">IFERROR(INDEX(Исходные!$B$21:$B$33,MATCH(H830,Исходные!$A$21:$A$33,0)),0)</f>
        <v>1.998</v>
      </c>
      <c r="P830" s="83" t="n">
        <f aca="false">N830*O830</f>
        <v>219.704076</v>
      </c>
      <c r="Q830" s="20" t="s">
        <v>1490</v>
      </c>
      <c r="R830" s="85" t="s">
        <v>535</v>
      </c>
      <c r="S830" s="20" t="s">
        <v>1491</v>
      </c>
      <c r="T830" s="20" t="s">
        <v>124</v>
      </c>
      <c r="U830" s="53" t="n">
        <v>1</v>
      </c>
      <c r="V830" s="76" t="s">
        <v>141</v>
      </c>
      <c r="W830" s="53" t="n">
        <v>2</v>
      </c>
    </row>
    <row r="831" customFormat="false" ht="35.05" hidden="false" customHeight="false" outlineLevel="0" collapsed="false">
      <c r="A831" s="76" t="n">
        <v>811</v>
      </c>
      <c r="B831" s="20" t="s">
        <v>1167</v>
      </c>
      <c r="C831" s="20" t="s">
        <v>1101</v>
      </c>
      <c r="D831" s="20" t="s">
        <v>1107</v>
      </c>
      <c r="E831" s="20" t="s">
        <v>1488</v>
      </c>
      <c r="F831" s="76" t="s">
        <v>519</v>
      </c>
      <c r="G831" s="20" t="s">
        <v>1492</v>
      </c>
      <c r="H831" s="55" t="n">
        <v>10</v>
      </c>
      <c r="I831" s="76" t="s">
        <v>512</v>
      </c>
      <c r="J831" s="76" t="s">
        <v>1109</v>
      </c>
      <c r="K831" s="82" t="n">
        <v>1</v>
      </c>
      <c r="L831" s="55" t="n">
        <v>60</v>
      </c>
      <c r="M831" s="73" t="n">
        <v>1.19</v>
      </c>
      <c r="N831" s="74" t="n">
        <f aca="false">K831*L831*M831</f>
        <v>71.4</v>
      </c>
      <c r="O831" s="41" t="n">
        <f aca="false">IFERROR(INDEX(Исходные!$B$21:$B$33,MATCH(H831,Исходные!$A$21:$A$33,0)),0)</f>
        <v>0.617</v>
      </c>
      <c r="P831" s="83" t="n">
        <f aca="false">N831*O831</f>
        <v>44.0538</v>
      </c>
      <c r="Q831" s="20" t="s">
        <v>1493</v>
      </c>
      <c r="R831" s="84" t="s">
        <v>514</v>
      </c>
      <c r="S831" s="20" t="s">
        <v>1494</v>
      </c>
      <c r="T831" s="20" t="s">
        <v>124</v>
      </c>
      <c r="U831" s="53" t="n">
        <v>0</v>
      </c>
      <c r="V831" s="76" t="s">
        <v>141</v>
      </c>
      <c r="W831" s="53" t="n">
        <v>2</v>
      </c>
    </row>
    <row r="832" customFormat="false" ht="35.05" hidden="false" customHeight="false" outlineLevel="0" collapsed="false">
      <c r="A832" s="76" t="n">
        <v>812</v>
      </c>
      <c r="B832" s="20" t="s">
        <v>1167</v>
      </c>
      <c r="C832" s="20" t="s">
        <v>1101</v>
      </c>
      <c r="D832" s="20" t="s">
        <v>1107</v>
      </c>
      <c r="E832" s="20" t="s">
        <v>1488</v>
      </c>
      <c r="F832" s="76" t="s">
        <v>575</v>
      </c>
      <c r="G832" s="20" t="s">
        <v>1495</v>
      </c>
      <c r="H832" s="55" t="n">
        <v>10</v>
      </c>
      <c r="I832" s="76" t="s">
        <v>546</v>
      </c>
      <c r="J832" s="76" t="s">
        <v>1109</v>
      </c>
      <c r="K832" s="82" t="n">
        <v>1</v>
      </c>
      <c r="L832" s="55" t="n">
        <v>60</v>
      </c>
      <c r="M832" s="73" t="n">
        <v>0.52</v>
      </c>
      <c r="N832" s="74" t="n">
        <f aca="false">K832*L832*M832</f>
        <v>31.2</v>
      </c>
      <c r="O832" s="41" t="n">
        <f aca="false">IFERROR(INDEX(Исходные!$B$21:$B$33,MATCH(H832,Исходные!$A$21:$A$33,0)),0)</f>
        <v>0.617</v>
      </c>
      <c r="P832" s="83" t="n">
        <f aca="false">N832*O832</f>
        <v>19.2504</v>
      </c>
      <c r="Q832" s="20" t="s">
        <v>1496</v>
      </c>
      <c r="R832" s="84" t="s">
        <v>514</v>
      </c>
      <c r="S832" s="20"/>
      <c r="T832" s="20" t="s">
        <v>124</v>
      </c>
      <c r="U832" s="53" t="n">
        <v>0</v>
      </c>
      <c r="V832" s="76" t="s">
        <v>141</v>
      </c>
      <c r="W832" s="53" t="n">
        <v>2</v>
      </c>
    </row>
    <row r="833" customFormat="false" ht="35.05" hidden="false" customHeight="false" outlineLevel="0" collapsed="false">
      <c r="A833" s="76" t="n">
        <v>813</v>
      </c>
      <c r="B833" s="20" t="s">
        <v>1167</v>
      </c>
      <c r="C833" s="20" t="s">
        <v>1101</v>
      </c>
      <c r="D833" s="20" t="s">
        <v>1107</v>
      </c>
      <c r="E833" s="20" t="s">
        <v>1488</v>
      </c>
      <c r="F833" s="76" t="s">
        <v>522</v>
      </c>
      <c r="G833" s="20" t="s">
        <v>1139</v>
      </c>
      <c r="H833" s="55" t="n">
        <v>6</v>
      </c>
      <c r="I833" s="76" t="s">
        <v>546</v>
      </c>
      <c r="J833" s="76" t="s">
        <v>1115</v>
      </c>
      <c r="K833" s="82" t="n">
        <v>1</v>
      </c>
      <c r="L833" s="55" t="n">
        <v>38</v>
      </c>
      <c r="M833" s="73" t="n">
        <v>0.28</v>
      </c>
      <c r="N833" s="74" t="n">
        <f aca="false">K833*L833*M833</f>
        <v>10.64</v>
      </c>
      <c r="O833" s="41" t="n">
        <f aca="false">IFERROR(INDEX(Исходные!$B$21:$B$33,MATCH(H833,Исходные!$A$21:$A$33,0)),0)</f>
        <v>0.222</v>
      </c>
      <c r="P833" s="83" t="n">
        <f aca="false">N833*O833</f>
        <v>2.36208</v>
      </c>
      <c r="Q833" s="20" t="s">
        <v>1497</v>
      </c>
      <c r="R833" s="85" t="s">
        <v>638</v>
      </c>
      <c r="S833" s="20" t="s">
        <v>1498</v>
      </c>
      <c r="T833" s="20" t="s">
        <v>124</v>
      </c>
      <c r="U833" s="53" t="n">
        <v>1</v>
      </c>
      <c r="V833" s="76" t="s">
        <v>141</v>
      </c>
      <c r="W833" s="53" t="n">
        <v>2</v>
      </c>
    </row>
    <row r="834" customFormat="false" ht="35.05" hidden="false" customHeight="false" outlineLevel="0" collapsed="false">
      <c r="A834" s="76" t="n">
        <v>814</v>
      </c>
      <c r="B834" s="20" t="s">
        <v>1167</v>
      </c>
      <c r="C834" s="20" t="s">
        <v>1101</v>
      </c>
      <c r="D834" s="20" t="s">
        <v>1107</v>
      </c>
      <c r="E834" s="20" t="s">
        <v>1488</v>
      </c>
      <c r="F834" s="76" t="s">
        <v>140</v>
      </c>
      <c r="G834" s="20" t="s">
        <v>1499</v>
      </c>
      <c r="H834" s="55" t="n">
        <v>5</v>
      </c>
      <c r="I834" s="76" t="s">
        <v>1119</v>
      </c>
      <c r="J834" s="76" t="s">
        <v>1120</v>
      </c>
      <c r="K834" s="82" t="n">
        <v>6.38</v>
      </c>
      <c r="L834" s="55" t="n">
        <v>20</v>
      </c>
      <c r="M834" s="73" t="n">
        <v>1</v>
      </c>
      <c r="N834" s="74" t="n">
        <f aca="false">K834*L834*M834</f>
        <v>127.6</v>
      </c>
      <c r="O834" s="41" t="n">
        <f aca="false">IFERROR(INDEX(Исходные!$B$21:$B$33,MATCH(H834,Исходные!$A$21:$A$33,0)),0)</f>
        <v>0.154</v>
      </c>
      <c r="P834" s="83" t="n">
        <f aca="false">N834*O834</f>
        <v>19.6504</v>
      </c>
      <c r="Q834" s="20" t="s">
        <v>1500</v>
      </c>
      <c r="R834" s="85" t="s">
        <v>535</v>
      </c>
      <c r="S834" s="20" t="s">
        <v>1501</v>
      </c>
      <c r="T834" s="20" t="s">
        <v>124</v>
      </c>
      <c r="U834" s="53" t="n">
        <v>1</v>
      </c>
      <c r="V834" s="76" t="s">
        <v>141</v>
      </c>
      <c r="W834" s="53" t="n">
        <v>2</v>
      </c>
    </row>
    <row r="835" customFormat="false" ht="35.05" hidden="false" customHeight="false" outlineLevel="0" collapsed="false">
      <c r="A835" s="76" t="n">
        <v>815</v>
      </c>
      <c r="B835" s="20" t="s">
        <v>1167</v>
      </c>
      <c r="C835" s="20" t="s">
        <v>1101</v>
      </c>
      <c r="D835" s="20" t="s">
        <v>1102</v>
      </c>
      <c r="E835" s="20" t="s">
        <v>1502</v>
      </c>
      <c r="F835" s="76" t="s">
        <v>510</v>
      </c>
      <c r="G835" s="20" t="s">
        <v>1503</v>
      </c>
      <c r="H835" s="55" t="n">
        <v>18</v>
      </c>
      <c r="I835" s="76" t="s">
        <v>512</v>
      </c>
      <c r="J835" s="76" t="n">
        <v>150</v>
      </c>
      <c r="K835" s="82" t="n">
        <v>1</v>
      </c>
      <c r="L835" s="55" t="n">
        <v>18</v>
      </c>
      <c r="M835" s="73" t="n">
        <v>6.109</v>
      </c>
      <c r="N835" s="74" t="n">
        <f aca="false">K835*L835*M835</f>
        <v>109.962</v>
      </c>
      <c r="O835" s="41" t="n">
        <f aca="false">IFERROR(INDEX(Исходные!$B$21:$B$33,MATCH(H835,Исходные!$A$21:$A$33,0)),0)</f>
        <v>1.998</v>
      </c>
      <c r="P835" s="83" t="n">
        <f aca="false">N835*O835</f>
        <v>219.704076</v>
      </c>
      <c r="Q835" s="20" t="s">
        <v>1490</v>
      </c>
      <c r="R835" s="85" t="s">
        <v>535</v>
      </c>
      <c r="S835" s="20" t="s">
        <v>1491</v>
      </c>
      <c r="T835" s="20" t="s">
        <v>124</v>
      </c>
      <c r="U835" s="53" t="n">
        <v>1</v>
      </c>
      <c r="V835" s="76" t="s">
        <v>142</v>
      </c>
      <c r="W835" s="53" t="n">
        <v>2</v>
      </c>
    </row>
    <row r="836" customFormat="false" ht="35.05" hidden="false" customHeight="false" outlineLevel="0" collapsed="false">
      <c r="A836" s="76" t="n">
        <v>816</v>
      </c>
      <c r="B836" s="20" t="s">
        <v>1167</v>
      </c>
      <c r="C836" s="20" t="s">
        <v>1101</v>
      </c>
      <c r="D836" s="20" t="s">
        <v>1107</v>
      </c>
      <c r="E836" s="20" t="s">
        <v>1502</v>
      </c>
      <c r="F836" s="76" t="s">
        <v>519</v>
      </c>
      <c r="G836" s="20" t="s">
        <v>1492</v>
      </c>
      <c r="H836" s="55" t="n">
        <v>10</v>
      </c>
      <c r="I836" s="76" t="s">
        <v>512</v>
      </c>
      <c r="J836" s="76" t="s">
        <v>1109</v>
      </c>
      <c r="K836" s="82" t="n">
        <v>1</v>
      </c>
      <c r="L836" s="55" t="n">
        <v>60</v>
      </c>
      <c r="M836" s="73" t="n">
        <v>1.19</v>
      </c>
      <c r="N836" s="74" t="n">
        <f aca="false">K836*L836*M836</f>
        <v>71.4</v>
      </c>
      <c r="O836" s="41" t="n">
        <f aca="false">IFERROR(INDEX(Исходные!$B$21:$B$33,MATCH(H836,Исходные!$A$21:$A$33,0)),0)</f>
        <v>0.617</v>
      </c>
      <c r="P836" s="83" t="n">
        <f aca="false">N836*O836</f>
        <v>44.0538</v>
      </c>
      <c r="Q836" s="20" t="s">
        <v>1493</v>
      </c>
      <c r="R836" s="84" t="s">
        <v>514</v>
      </c>
      <c r="S836" s="20" t="s">
        <v>1494</v>
      </c>
      <c r="T836" s="20" t="s">
        <v>124</v>
      </c>
      <c r="U836" s="53" t="n">
        <v>0</v>
      </c>
      <c r="V836" s="76" t="s">
        <v>142</v>
      </c>
      <c r="W836" s="53" t="n">
        <v>2</v>
      </c>
    </row>
    <row r="837" customFormat="false" ht="35.05" hidden="false" customHeight="false" outlineLevel="0" collapsed="false">
      <c r="A837" s="76" t="n">
        <v>817</v>
      </c>
      <c r="B837" s="20" t="s">
        <v>1167</v>
      </c>
      <c r="C837" s="20" t="s">
        <v>1101</v>
      </c>
      <c r="D837" s="20" t="s">
        <v>1107</v>
      </c>
      <c r="E837" s="20" t="s">
        <v>1502</v>
      </c>
      <c r="F837" s="76" t="s">
        <v>575</v>
      </c>
      <c r="G837" s="20" t="s">
        <v>1495</v>
      </c>
      <c r="H837" s="55" t="n">
        <v>10</v>
      </c>
      <c r="I837" s="76" t="s">
        <v>546</v>
      </c>
      <c r="J837" s="76" t="s">
        <v>1109</v>
      </c>
      <c r="K837" s="82" t="n">
        <v>1</v>
      </c>
      <c r="L837" s="55" t="n">
        <v>60</v>
      </c>
      <c r="M837" s="73" t="n">
        <v>0.52</v>
      </c>
      <c r="N837" s="74" t="n">
        <f aca="false">K837*L837*M837</f>
        <v>31.2</v>
      </c>
      <c r="O837" s="41" t="n">
        <f aca="false">IFERROR(INDEX(Исходные!$B$21:$B$33,MATCH(H837,Исходные!$A$21:$A$33,0)),0)</f>
        <v>0.617</v>
      </c>
      <c r="P837" s="83" t="n">
        <f aca="false">N837*O837</f>
        <v>19.2504</v>
      </c>
      <c r="Q837" s="20" t="s">
        <v>1496</v>
      </c>
      <c r="R837" s="84" t="s">
        <v>514</v>
      </c>
      <c r="S837" s="20"/>
      <c r="T837" s="20" t="s">
        <v>124</v>
      </c>
      <c r="U837" s="53" t="n">
        <v>0</v>
      </c>
      <c r="V837" s="76" t="s">
        <v>142</v>
      </c>
      <c r="W837" s="53" t="n">
        <v>2</v>
      </c>
    </row>
    <row r="838" customFormat="false" ht="35.05" hidden="false" customHeight="false" outlineLevel="0" collapsed="false">
      <c r="A838" s="76" t="n">
        <v>818</v>
      </c>
      <c r="B838" s="20" t="s">
        <v>1167</v>
      </c>
      <c r="C838" s="20" t="s">
        <v>1101</v>
      </c>
      <c r="D838" s="20" t="s">
        <v>1107</v>
      </c>
      <c r="E838" s="20" t="s">
        <v>1502</v>
      </c>
      <c r="F838" s="76" t="s">
        <v>522</v>
      </c>
      <c r="G838" s="20" t="s">
        <v>1139</v>
      </c>
      <c r="H838" s="55" t="n">
        <v>6</v>
      </c>
      <c r="I838" s="76" t="s">
        <v>546</v>
      </c>
      <c r="J838" s="76" t="s">
        <v>1115</v>
      </c>
      <c r="K838" s="82" t="n">
        <v>1</v>
      </c>
      <c r="L838" s="55" t="n">
        <v>38</v>
      </c>
      <c r="M838" s="73" t="n">
        <v>0.28</v>
      </c>
      <c r="N838" s="74" t="n">
        <f aca="false">K838*L838*M838</f>
        <v>10.64</v>
      </c>
      <c r="O838" s="41" t="n">
        <f aca="false">IFERROR(INDEX(Исходные!$B$21:$B$33,MATCH(H838,Исходные!$A$21:$A$33,0)),0)</f>
        <v>0.222</v>
      </c>
      <c r="P838" s="83" t="n">
        <f aca="false">N838*O838</f>
        <v>2.36208</v>
      </c>
      <c r="Q838" s="20" t="s">
        <v>1497</v>
      </c>
      <c r="R838" s="85" t="s">
        <v>638</v>
      </c>
      <c r="S838" s="20" t="s">
        <v>1498</v>
      </c>
      <c r="T838" s="20" t="s">
        <v>124</v>
      </c>
      <c r="U838" s="53" t="n">
        <v>1</v>
      </c>
      <c r="V838" s="76" t="s">
        <v>142</v>
      </c>
      <c r="W838" s="53" t="n">
        <v>2</v>
      </c>
    </row>
    <row r="839" customFormat="false" ht="35.05" hidden="false" customHeight="false" outlineLevel="0" collapsed="false">
      <c r="A839" s="76" t="n">
        <v>819</v>
      </c>
      <c r="B839" s="20" t="s">
        <v>1167</v>
      </c>
      <c r="C839" s="20" t="s">
        <v>1101</v>
      </c>
      <c r="D839" s="20" t="s">
        <v>1107</v>
      </c>
      <c r="E839" s="20" t="s">
        <v>1502</v>
      </c>
      <c r="F839" s="76" t="s">
        <v>140</v>
      </c>
      <c r="G839" s="20" t="s">
        <v>1499</v>
      </c>
      <c r="H839" s="55" t="n">
        <v>5</v>
      </c>
      <c r="I839" s="76" t="s">
        <v>1119</v>
      </c>
      <c r="J839" s="76" t="s">
        <v>1120</v>
      </c>
      <c r="K839" s="82" t="n">
        <v>6.38</v>
      </c>
      <c r="L839" s="55" t="n">
        <v>20</v>
      </c>
      <c r="M839" s="73" t="n">
        <v>1</v>
      </c>
      <c r="N839" s="74" t="n">
        <f aca="false">K839*L839*M839</f>
        <v>127.6</v>
      </c>
      <c r="O839" s="41" t="n">
        <f aca="false">IFERROR(INDEX(Исходные!$B$21:$B$33,MATCH(H839,Исходные!$A$21:$A$33,0)),0)</f>
        <v>0.154</v>
      </c>
      <c r="P839" s="83" t="n">
        <f aca="false">N839*O839</f>
        <v>19.6504</v>
      </c>
      <c r="Q839" s="20" t="s">
        <v>1500</v>
      </c>
      <c r="R839" s="85" t="s">
        <v>535</v>
      </c>
      <c r="S839" s="20" t="s">
        <v>1501</v>
      </c>
      <c r="T839" s="20" t="s">
        <v>124</v>
      </c>
      <c r="U839" s="53" t="n">
        <v>1</v>
      </c>
      <c r="V839" s="76" t="s">
        <v>142</v>
      </c>
      <c r="W839" s="53" t="n">
        <v>2</v>
      </c>
    </row>
    <row r="840" customFormat="false" ht="35.05" hidden="false" customHeight="false" outlineLevel="0" collapsed="false">
      <c r="A840" s="76" t="n">
        <v>820</v>
      </c>
      <c r="B840" s="20" t="s">
        <v>1167</v>
      </c>
      <c r="C840" s="20" t="s">
        <v>1101</v>
      </c>
      <c r="D840" s="20" t="s">
        <v>1504</v>
      </c>
      <c r="E840" s="20" t="s">
        <v>1505</v>
      </c>
      <c r="F840" s="76" t="s">
        <v>519</v>
      </c>
      <c r="G840" s="20" t="s">
        <v>1506</v>
      </c>
      <c r="H840" s="55" t="n">
        <v>10</v>
      </c>
      <c r="I840" s="76" t="s">
        <v>512</v>
      </c>
      <c r="J840" s="76" t="n">
        <v>100</v>
      </c>
      <c r="K840" s="82" t="n">
        <v>2</v>
      </c>
      <c r="L840" s="55" t="n">
        <v>28</v>
      </c>
      <c r="M840" s="73" t="n">
        <v>1.19</v>
      </c>
      <c r="N840" s="74" t="n">
        <f aca="false">K840*L840*M840</f>
        <v>66.64</v>
      </c>
      <c r="O840" s="41" t="n">
        <f aca="false">IFERROR(INDEX(Исходные!$B$21:$B$33,MATCH(H840,Исходные!$A$21:$A$33,0)),0)</f>
        <v>0.617</v>
      </c>
      <c r="P840" s="83" t="n">
        <f aca="false">N840*O840</f>
        <v>41.11688</v>
      </c>
      <c r="Q840" s="20" t="s">
        <v>1507</v>
      </c>
      <c r="R840" s="84" t="s">
        <v>514</v>
      </c>
      <c r="S840" s="20"/>
      <c r="T840" s="20" t="s">
        <v>124</v>
      </c>
      <c r="U840" s="53" t="n">
        <v>0</v>
      </c>
      <c r="V840" s="76" t="s">
        <v>1134</v>
      </c>
      <c r="W840" s="53" t="n">
        <v>2</v>
      </c>
    </row>
    <row r="841" customFormat="false" ht="35.05" hidden="false" customHeight="false" outlineLevel="0" collapsed="false">
      <c r="A841" s="76" t="n">
        <v>821</v>
      </c>
      <c r="B841" s="20" t="s">
        <v>1167</v>
      </c>
      <c r="C841" s="20" t="s">
        <v>1101</v>
      </c>
      <c r="D841" s="20" t="s">
        <v>1504</v>
      </c>
      <c r="E841" s="20" t="s">
        <v>1505</v>
      </c>
      <c r="F841" s="76" t="s">
        <v>575</v>
      </c>
      <c r="G841" s="20" t="s">
        <v>1508</v>
      </c>
      <c r="H841" s="55" t="n">
        <v>10</v>
      </c>
      <c r="I841" s="76" t="s">
        <v>546</v>
      </c>
      <c r="J841" s="76" t="n">
        <v>100</v>
      </c>
      <c r="K841" s="82" t="n">
        <v>2</v>
      </c>
      <c r="L841" s="55" t="n">
        <v>28</v>
      </c>
      <c r="M841" s="73" t="n">
        <v>0.52</v>
      </c>
      <c r="N841" s="74" t="n">
        <f aca="false">K841*L841*M841</f>
        <v>29.12</v>
      </c>
      <c r="O841" s="41" t="n">
        <f aca="false">IFERROR(INDEX(Исходные!$B$21:$B$33,MATCH(H841,Исходные!$A$21:$A$33,0)),0)</f>
        <v>0.617</v>
      </c>
      <c r="P841" s="83" t="n">
        <f aca="false">N841*O841</f>
        <v>17.96704</v>
      </c>
      <c r="Q841" s="20" t="s">
        <v>1136</v>
      </c>
      <c r="R841" s="84" t="s">
        <v>514</v>
      </c>
      <c r="S841" s="20"/>
      <c r="T841" s="20" t="s">
        <v>124</v>
      </c>
      <c r="U841" s="53" t="n">
        <v>0</v>
      </c>
      <c r="V841" s="76" t="s">
        <v>1134</v>
      </c>
      <c r="W841" s="53" t="n">
        <v>2</v>
      </c>
    </row>
    <row r="842" customFormat="false" ht="35.05" hidden="false" customHeight="false" outlineLevel="0" collapsed="false">
      <c r="A842" s="76" t="n">
        <v>822</v>
      </c>
      <c r="B842" s="20" t="s">
        <v>1167</v>
      </c>
      <c r="C842" s="20" t="s">
        <v>1101</v>
      </c>
      <c r="D842" s="20" t="s">
        <v>1504</v>
      </c>
      <c r="E842" s="20" t="s">
        <v>1505</v>
      </c>
      <c r="F842" s="76" t="s">
        <v>516</v>
      </c>
      <c r="G842" s="20" t="s">
        <v>1509</v>
      </c>
      <c r="H842" s="55" t="n">
        <v>10</v>
      </c>
      <c r="I842" s="76" t="s">
        <v>512</v>
      </c>
      <c r="J842" s="76" t="n">
        <v>100</v>
      </c>
      <c r="K842" s="82" t="n">
        <v>1</v>
      </c>
      <c r="L842" s="55" t="n">
        <v>28</v>
      </c>
      <c r="M842" s="73" t="n">
        <v>0.6</v>
      </c>
      <c r="N842" s="74" t="n">
        <f aca="false">K842*L842*M842</f>
        <v>16.8</v>
      </c>
      <c r="O842" s="41" t="n">
        <f aca="false">IFERROR(INDEX(Исходные!$B$21:$B$33,MATCH(H842,Исходные!$A$21:$A$33,0)),0)</f>
        <v>0.617</v>
      </c>
      <c r="P842" s="83" t="n">
        <f aca="false">N842*O842</f>
        <v>10.3656</v>
      </c>
      <c r="Q842" s="20" t="s">
        <v>1510</v>
      </c>
      <c r="R842" s="84" t="s">
        <v>514</v>
      </c>
      <c r="S842" s="20"/>
      <c r="T842" s="20" t="s">
        <v>124</v>
      </c>
      <c r="U842" s="53" t="n">
        <v>0</v>
      </c>
      <c r="V842" s="76" t="s">
        <v>1134</v>
      </c>
      <c r="W842" s="53" t="n">
        <v>2</v>
      </c>
    </row>
    <row r="843" customFormat="false" ht="35.05" hidden="false" customHeight="false" outlineLevel="0" collapsed="false">
      <c r="A843" s="76" t="n">
        <v>823</v>
      </c>
      <c r="B843" s="20" t="s">
        <v>1167</v>
      </c>
      <c r="C843" s="20" t="s">
        <v>1101</v>
      </c>
      <c r="D843" s="20" t="s">
        <v>1504</v>
      </c>
      <c r="E843" s="20" t="s">
        <v>1505</v>
      </c>
      <c r="F843" s="76" t="s">
        <v>522</v>
      </c>
      <c r="G843" s="20" t="s">
        <v>1511</v>
      </c>
      <c r="H843" s="55" t="n">
        <v>6</v>
      </c>
      <c r="I843" s="76" t="s">
        <v>546</v>
      </c>
      <c r="J843" s="76" t="s">
        <v>1115</v>
      </c>
      <c r="K843" s="82" t="n">
        <v>1</v>
      </c>
      <c r="L843" s="55" t="n">
        <v>28</v>
      </c>
      <c r="M843" s="73" t="n">
        <v>0.28</v>
      </c>
      <c r="N843" s="74" t="n">
        <f aca="false">K843*L843*M843</f>
        <v>7.84</v>
      </c>
      <c r="O843" s="41" t="n">
        <f aca="false">IFERROR(INDEX(Исходные!$B$21:$B$33,MATCH(H843,Исходные!$A$21:$A$33,0)),0)</f>
        <v>0.222</v>
      </c>
      <c r="P843" s="83" t="n">
        <f aca="false">N843*O843</f>
        <v>1.74048</v>
      </c>
      <c r="Q843" s="20" t="s">
        <v>1140</v>
      </c>
      <c r="R843" s="85" t="s">
        <v>638</v>
      </c>
      <c r="S843" s="20"/>
      <c r="T843" s="20" t="s">
        <v>124</v>
      </c>
      <c r="U843" s="53" t="n">
        <v>1</v>
      </c>
      <c r="V843" s="76" t="s">
        <v>1134</v>
      </c>
      <c r="W843" s="53" t="n">
        <v>2</v>
      </c>
    </row>
    <row r="844" customFormat="false" ht="35.05" hidden="false" customHeight="false" outlineLevel="0" collapsed="false">
      <c r="A844" s="76" t="n">
        <v>824</v>
      </c>
      <c r="B844" s="20" t="s">
        <v>1167</v>
      </c>
      <c r="C844" s="20" t="s">
        <v>1101</v>
      </c>
      <c r="D844" s="20" t="s">
        <v>1504</v>
      </c>
      <c r="E844" s="20" t="s">
        <v>1505</v>
      </c>
      <c r="F844" s="76" t="s">
        <v>1142</v>
      </c>
      <c r="G844" s="20" t="s">
        <v>1512</v>
      </c>
      <c r="H844" s="55" t="n">
        <v>10</v>
      </c>
      <c r="I844" s="76" t="s">
        <v>512</v>
      </c>
      <c r="J844" s="76" t="s">
        <v>164</v>
      </c>
      <c r="K844" s="82" t="n">
        <v>2</v>
      </c>
      <c r="L844" s="55" t="n">
        <v>4</v>
      </c>
      <c r="M844" s="73" t="n">
        <v>0.48</v>
      </c>
      <c r="N844" s="74" t="n">
        <f aca="false">K844*L844*M844</f>
        <v>3.84</v>
      </c>
      <c r="O844" s="41" t="n">
        <f aca="false">IFERROR(INDEX(Исходные!$B$21:$B$33,MATCH(H844,Исходные!$A$21:$A$33,0)),0)</f>
        <v>0.617</v>
      </c>
      <c r="P844" s="83" t="n">
        <f aca="false">N844*O844</f>
        <v>2.36928</v>
      </c>
      <c r="Q844" s="20" t="s">
        <v>1513</v>
      </c>
      <c r="R844" s="85" t="s">
        <v>638</v>
      </c>
      <c r="S844" s="20"/>
      <c r="T844" s="20" t="s">
        <v>124</v>
      </c>
      <c r="U844" s="53" t="n">
        <v>1</v>
      </c>
      <c r="V844" s="76" t="s">
        <v>1134</v>
      </c>
      <c r="W844" s="53" t="n">
        <v>2</v>
      </c>
    </row>
    <row r="845" customFormat="false" ht="35.05" hidden="false" customHeight="false" outlineLevel="0" collapsed="false">
      <c r="A845" s="76" t="n">
        <v>825</v>
      </c>
      <c r="B845" s="20" t="s">
        <v>1167</v>
      </c>
      <c r="C845" s="20" t="s">
        <v>1101</v>
      </c>
      <c r="D845" s="20" t="s">
        <v>1146</v>
      </c>
      <c r="E845" s="20" t="s">
        <v>220</v>
      </c>
      <c r="F845" s="76" t="s">
        <v>510</v>
      </c>
      <c r="G845" s="20" t="s">
        <v>1147</v>
      </c>
      <c r="H845" s="55" t="n">
        <v>25</v>
      </c>
      <c r="I845" s="76" t="s">
        <v>512</v>
      </c>
      <c r="J845" s="76" t="s">
        <v>164</v>
      </c>
      <c r="K845" s="82" t="n">
        <v>1</v>
      </c>
      <c r="L845" s="55" t="n">
        <v>4</v>
      </c>
      <c r="M845" s="73" t="n">
        <v>3.065</v>
      </c>
      <c r="N845" s="74" t="n">
        <f aca="false">K845*L845*M845</f>
        <v>12.26</v>
      </c>
      <c r="O845" s="41" t="n">
        <f aca="false">IFERROR(INDEX(Исходные!$B$21:$B$33,MATCH(H845,Исходные!$A$21:$A$33,0)),0)</f>
        <v>3.853</v>
      </c>
      <c r="P845" s="83" t="n">
        <f aca="false">N845*O845</f>
        <v>47.23778</v>
      </c>
      <c r="Q845" s="20" t="s">
        <v>1514</v>
      </c>
      <c r="R845" s="85" t="s">
        <v>535</v>
      </c>
      <c r="S845" s="20"/>
      <c r="T845" s="20" t="s">
        <v>124</v>
      </c>
      <c r="U845" s="53" t="n">
        <v>1</v>
      </c>
      <c r="V845" s="76" t="s">
        <v>1150</v>
      </c>
      <c r="W845" s="53" t="n">
        <v>2</v>
      </c>
    </row>
    <row r="846" customFormat="false" ht="35.05" hidden="false" customHeight="false" outlineLevel="0" collapsed="false">
      <c r="A846" s="76" t="n">
        <v>826</v>
      </c>
      <c r="B846" s="20" t="s">
        <v>1167</v>
      </c>
      <c r="C846" s="20" t="s">
        <v>1101</v>
      </c>
      <c r="D846" s="20" t="s">
        <v>1146</v>
      </c>
      <c r="E846" s="20" t="s">
        <v>220</v>
      </c>
      <c r="F846" s="76" t="s">
        <v>510</v>
      </c>
      <c r="G846" s="20" t="s">
        <v>1515</v>
      </c>
      <c r="H846" s="55" t="n">
        <v>25</v>
      </c>
      <c r="I846" s="76" t="s">
        <v>512</v>
      </c>
      <c r="J846" s="76" t="s">
        <v>164</v>
      </c>
      <c r="K846" s="82" t="n">
        <v>1</v>
      </c>
      <c r="L846" s="55" t="n">
        <v>4</v>
      </c>
      <c r="M846" s="73" t="n">
        <v>2.21</v>
      </c>
      <c r="N846" s="74" t="n">
        <f aca="false">K846*L846*M846</f>
        <v>8.84</v>
      </c>
      <c r="O846" s="41" t="n">
        <f aca="false">IFERROR(INDEX(Исходные!$B$21:$B$33,MATCH(H846,Исходные!$A$21:$A$33,0)),0)</f>
        <v>3.853</v>
      </c>
      <c r="P846" s="83" t="n">
        <f aca="false">N846*O846</f>
        <v>34.06052</v>
      </c>
      <c r="Q846" s="20" t="s">
        <v>1516</v>
      </c>
      <c r="R846" s="85" t="s">
        <v>535</v>
      </c>
      <c r="S846" s="20" t="s">
        <v>1517</v>
      </c>
      <c r="T846" s="20" t="s">
        <v>124</v>
      </c>
      <c r="U846" s="53" t="n">
        <v>1</v>
      </c>
      <c r="V846" s="76" t="s">
        <v>1150</v>
      </c>
      <c r="W846" s="53" t="n">
        <v>2</v>
      </c>
    </row>
    <row r="847" customFormat="false" ht="35.05" hidden="false" customHeight="false" outlineLevel="0" collapsed="false">
      <c r="A847" s="76" t="n">
        <v>827</v>
      </c>
      <c r="B847" s="20" t="s">
        <v>1167</v>
      </c>
      <c r="C847" s="20" t="s">
        <v>1101</v>
      </c>
      <c r="D847" s="20" t="s">
        <v>1154</v>
      </c>
      <c r="E847" s="20" t="s">
        <v>220</v>
      </c>
      <c r="F847" s="76" t="s">
        <v>1155</v>
      </c>
      <c r="G847" s="20" t="s">
        <v>1518</v>
      </c>
      <c r="H847" s="55" t="n">
        <v>8</v>
      </c>
      <c r="I847" s="76" t="s">
        <v>546</v>
      </c>
      <c r="J847" s="76" t="n">
        <v>100</v>
      </c>
      <c r="K847" s="82" t="n">
        <v>1</v>
      </c>
      <c r="L847" s="55" t="n">
        <v>14</v>
      </c>
      <c r="M847" s="73" t="n">
        <v>1.28</v>
      </c>
      <c r="N847" s="74" t="n">
        <f aca="false">K847*L847*M847</f>
        <v>17.92</v>
      </c>
      <c r="O847" s="41" t="n">
        <f aca="false">IFERROR(INDEX(Исходные!$B$21:$B$33,MATCH(H847,Исходные!$A$21:$A$33,0)),0)</f>
        <v>0.395</v>
      </c>
      <c r="P847" s="83" t="n">
        <f aca="false">N847*O847</f>
        <v>7.0784</v>
      </c>
      <c r="Q847" s="20" t="s">
        <v>1519</v>
      </c>
      <c r="R847" s="84" t="s">
        <v>514</v>
      </c>
      <c r="S847" s="20"/>
      <c r="T847" s="20" t="s">
        <v>124</v>
      </c>
      <c r="U847" s="53" t="n">
        <v>0</v>
      </c>
      <c r="V847" s="76" t="s">
        <v>1150</v>
      </c>
      <c r="W847" s="53" t="n">
        <v>2</v>
      </c>
    </row>
    <row r="848" customFormat="false" ht="35.05" hidden="false" customHeight="false" outlineLevel="0" collapsed="false">
      <c r="A848" s="76" t="n">
        <v>828</v>
      </c>
      <c r="B848" s="20" t="s">
        <v>1167</v>
      </c>
      <c r="C848" s="20" t="s">
        <v>1101</v>
      </c>
      <c r="D848" s="20" t="s">
        <v>1154</v>
      </c>
      <c r="E848" s="20" t="s">
        <v>220</v>
      </c>
      <c r="F848" s="76" t="s">
        <v>1158</v>
      </c>
      <c r="G848" s="20" t="s">
        <v>1520</v>
      </c>
      <c r="H848" s="55" t="n">
        <v>8</v>
      </c>
      <c r="I848" s="76" t="s">
        <v>546</v>
      </c>
      <c r="J848" s="76" t="n">
        <v>100</v>
      </c>
      <c r="K848" s="82" t="n">
        <v>1</v>
      </c>
      <c r="L848" s="55" t="n">
        <v>22</v>
      </c>
      <c r="M848" s="73" t="n">
        <v>1.16</v>
      </c>
      <c r="N848" s="74" t="n">
        <f aca="false">K848*L848*M848</f>
        <v>25.52</v>
      </c>
      <c r="O848" s="41" t="n">
        <f aca="false">IFERROR(INDEX(Исходные!$B$21:$B$33,MATCH(H848,Исходные!$A$21:$A$33,0)),0)</f>
        <v>0.395</v>
      </c>
      <c r="P848" s="83" t="n">
        <f aca="false">N848*O848</f>
        <v>10.0804</v>
      </c>
      <c r="Q848" s="20" t="s">
        <v>1521</v>
      </c>
      <c r="R848" s="84" t="s">
        <v>514</v>
      </c>
      <c r="S848" s="20"/>
      <c r="T848" s="20" t="s">
        <v>124</v>
      </c>
      <c r="U848" s="53" t="n">
        <v>0</v>
      </c>
      <c r="V848" s="76" t="s">
        <v>1150</v>
      </c>
      <c r="W848" s="53" t="n">
        <v>2</v>
      </c>
    </row>
    <row r="849" customFormat="false" ht="35.05" hidden="false" customHeight="false" outlineLevel="0" collapsed="false">
      <c r="A849" s="76" t="n">
        <v>829</v>
      </c>
      <c r="B849" s="20" t="s">
        <v>1167</v>
      </c>
      <c r="C849" s="20" t="s">
        <v>1101</v>
      </c>
      <c r="D849" s="20" t="s">
        <v>1154</v>
      </c>
      <c r="E849" s="20" t="s">
        <v>220</v>
      </c>
      <c r="F849" s="76" t="s">
        <v>1161</v>
      </c>
      <c r="G849" s="20" t="s">
        <v>1522</v>
      </c>
      <c r="H849" s="55" t="n">
        <v>16</v>
      </c>
      <c r="I849" s="76" t="s">
        <v>546</v>
      </c>
      <c r="J849" s="76" t="s">
        <v>164</v>
      </c>
      <c r="K849" s="82" t="n">
        <v>1</v>
      </c>
      <c r="L849" s="55" t="n">
        <v>2</v>
      </c>
      <c r="M849" s="73" t="n">
        <v>0.42</v>
      </c>
      <c r="N849" s="74" t="n">
        <f aca="false">K849*L849*M849</f>
        <v>0.84</v>
      </c>
      <c r="O849" s="41" t="n">
        <f aca="false">IFERROR(INDEX(Исходные!$B$21:$B$33,MATCH(H849,Исходные!$A$21:$A$33,0)),0)</f>
        <v>1.578</v>
      </c>
      <c r="P849" s="83" t="n">
        <f aca="false">N849*O849</f>
        <v>1.32552</v>
      </c>
      <c r="Q849" s="20" t="s">
        <v>1523</v>
      </c>
      <c r="R849" s="85" t="s">
        <v>638</v>
      </c>
      <c r="S849" s="20"/>
      <c r="T849" s="20" t="s">
        <v>124</v>
      </c>
      <c r="U849" s="53" t="n">
        <v>1</v>
      </c>
      <c r="V849" s="76" t="s">
        <v>1150</v>
      </c>
      <c r="W849" s="53" t="n">
        <v>2</v>
      </c>
    </row>
    <row r="850" customFormat="false" ht="15" hidden="false" customHeight="true" outlineLevel="0" collapsed="false">
      <c r="A850" s="80" t="s">
        <v>1524</v>
      </c>
      <c r="B850" s="80"/>
      <c r="C850" s="80"/>
      <c r="D850" s="80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80"/>
      <c r="P850" s="80"/>
      <c r="Q850" s="80"/>
      <c r="R850" s="80"/>
      <c r="S850" s="80"/>
      <c r="T850" s="80"/>
      <c r="U850" s="80"/>
      <c r="V850" s="80"/>
      <c r="W850" s="80"/>
    </row>
    <row r="851" customFormat="false" ht="15" hidden="false" customHeight="true" outlineLevel="0" collapsed="false">
      <c r="A851" s="81" t="s">
        <v>1525</v>
      </c>
      <c r="B851" s="81"/>
      <c r="C851" s="81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</row>
    <row r="852" customFormat="false" ht="35.05" hidden="false" customHeight="false" outlineLevel="0" collapsed="false">
      <c r="A852" s="76" t="n">
        <v>830</v>
      </c>
      <c r="B852" s="20" t="s">
        <v>1526</v>
      </c>
      <c r="C852" s="20" t="s">
        <v>508</v>
      </c>
      <c r="D852" s="20" t="s">
        <v>509</v>
      </c>
      <c r="E852" s="20" t="s">
        <v>148</v>
      </c>
      <c r="F852" s="76" t="s">
        <v>519</v>
      </c>
      <c r="G852" s="20" t="s">
        <v>1168</v>
      </c>
      <c r="H852" s="55" t="n">
        <v>28</v>
      </c>
      <c r="I852" s="76" t="s">
        <v>512</v>
      </c>
      <c r="J852" s="76" t="s">
        <v>164</v>
      </c>
      <c r="K852" s="82" t="n">
        <v>1</v>
      </c>
      <c r="L852" s="55" t="n">
        <v>4</v>
      </c>
      <c r="M852" s="73" t="n">
        <v>3.6</v>
      </c>
      <c r="N852" s="74" t="n">
        <f aca="false">K852*L852*M852</f>
        <v>14.4</v>
      </c>
      <c r="O852" s="41" t="n">
        <f aca="false">IFERROR(INDEX(Исходные!$B$21:$B$33,MATCH(H852,Исходные!$A$21:$A$33,0)),0)</f>
        <v>4.834</v>
      </c>
      <c r="P852" s="83" t="n">
        <f aca="false">N852*O852</f>
        <v>69.6096</v>
      </c>
      <c r="Q852" s="20" t="s">
        <v>1527</v>
      </c>
      <c r="R852" s="84" t="s">
        <v>514</v>
      </c>
      <c r="S852" s="20" t="s">
        <v>1170</v>
      </c>
      <c r="T852" s="20" t="s">
        <v>12</v>
      </c>
      <c r="U852" s="53" t="n">
        <v>0</v>
      </c>
      <c r="V852" s="76" t="s">
        <v>148</v>
      </c>
      <c r="W852" s="53" t="n">
        <v>3</v>
      </c>
    </row>
    <row r="853" customFormat="false" ht="35.05" hidden="false" customHeight="false" outlineLevel="0" collapsed="false">
      <c r="A853" s="76" t="n">
        <v>831</v>
      </c>
      <c r="B853" s="20" t="s">
        <v>1526</v>
      </c>
      <c r="C853" s="20" t="s">
        <v>508</v>
      </c>
      <c r="D853" s="20" t="s">
        <v>509</v>
      </c>
      <c r="E853" s="20" t="s">
        <v>148</v>
      </c>
      <c r="F853" s="76" t="s">
        <v>516</v>
      </c>
      <c r="G853" s="20" t="s">
        <v>1171</v>
      </c>
      <c r="H853" s="55" t="n">
        <v>20</v>
      </c>
      <c r="I853" s="76" t="s">
        <v>512</v>
      </c>
      <c r="J853" s="76" t="s">
        <v>164</v>
      </c>
      <c r="K853" s="82" t="n">
        <v>1</v>
      </c>
      <c r="L853" s="55" t="n">
        <v>8</v>
      </c>
      <c r="M853" s="73" t="n">
        <v>3.6</v>
      </c>
      <c r="N853" s="74" t="n">
        <f aca="false">K853*L853*M853</f>
        <v>28.8</v>
      </c>
      <c r="O853" s="41" t="n">
        <f aca="false">IFERROR(INDEX(Исходные!$B$21:$B$33,MATCH(H853,Исходные!$A$21:$A$33,0)),0)</f>
        <v>2.466</v>
      </c>
      <c r="P853" s="83" t="n">
        <f aca="false">N853*O853</f>
        <v>71.0208</v>
      </c>
      <c r="Q853" s="20" t="s">
        <v>1527</v>
      </c>
      <c r="R853" s="84" t="s">
        <v>514</v>
      </c>
      <c r="S853" s="20" t="s">
        <v>1172</v>
      </c>
      <c r="T853" s="20" t="s">
        <v>12</v>
      </c>
      <c r="U853" s="53" t="n">
        <v>0</v>
      </c>
      <c r="V853" s="76" t="s">
        <v>148</v>
      </c>
      <c r="W853" s="53" t="n">
        <v>3</v>
      </c>
    </row>
    <row r="854" customFormat="false" ht="35.05" hidden="false" customHeight="false" outlineLevel="0" collapsed="false">
      <c r="A854" s="76" t="n">
        <v>832</v>
      </c>
      <c r="B854" s="20" t="s">
        <v>1526</v>
      </c>
      <c r="C854" s="20" t="s">
        <v>508</v>
      </c>
      <c r="D854" s="20" t="s">
        <v>509</v>
      </c>
      <c r="E854" s="20" t="s">
        <v>148</v>
      </c>
      <c r="F854" s="76" t="s">
        <v>575</v>
      </c>
      <c r="G854" s="20" t="s">
        <v>1528</v>
      </c>
      <c r="H854" s="55" t="n">
        <v>22</v>
      </c>
      <c r="I854" s="76" t="s">
        <v>512</v>
      </c>
      <c r="J854" s="76" t="s">
        <v>164</v>
      </c>
      <c r="K854" s="82" t="n">
        <v>1</v>
      </c>
      <c r="L854" s="55" t="n">
        <v>12</v>
      </c>
      <c r="M854" s="73" t="n">
        <v>3.6</v>
      </c>
      <c r="N854" s="74" t="n">
        <f aca="false">K854*L854*M854</f>
        <v>43.2</v>
      </c>
      <c r="O854" s="41" t="n">
        <f aca="false">IFERROR(INDEX(Исходные!$B$21:$B$33,MATCH(H854,Исходные!$A$21:$A$33,0)),0)</f>
        <v>2.984</v>
      </c>
      <c r="P854" s="83" t="n">
        <f aca="false">N854*O854</f>
        <v>128.9088</v>
      </c>
      <c r="Q854" s="20" t="s">
        <v>1527</v>
      </c>
      <c r="R854" s="84" t="s">
        <v>514</v>
      </c>
      <c r="S854" s="20" t="s">
        <v>1529</v>
      </c>
      <c r="T854" s="20" t="s">
        <v>12</v>
      </c>
      <c r="U854" s="53" t="n">
        <v>0</v>
      </c>
      <c r="V854" s="76" t="s">
        <v>148</v>
      </c>
      <c r="W854" s="53" t="n">
        <v>3</v>
      </c>
    </row>
    <row r="855" customFormat="false" ht="35.05" hidden="false" customHeight="false" outlineLevel="0" collapsed="false">
      <c r="A855" s="76" t="n">
        <v>833</v>
      </c>
      <c r="B855" s="20" t="s">
        <v>1526</v>
      </c>
      <c r="C855" s="20" t="s">
        <v>508</v>
      </c>
      <c r="D855" s="20" t="s">
        <v>509</v>
      </c>
      <c r="E855" s="20" t="s">
        <v>148</v>
      </c>
      <c r="F855" s="76" t="s">
        <v>669</v>
      </c>
      <c r="G855" s="20" t="s">
        <v>1530</v>
      </c>
      <c r="H855" s="55" t="n">
        <v>14</v>
      </c>
      <c r="I855" s="76" t="s">
        <v>512</v>
      </c>
      <c r="J855" s="76" t="s">
        <v>164</v>
      </c>
      <c r="K855" s="82" t="n">
        <v>1</v>
      </c>
      <c r="L855" s="55" t="n">
        <v>8</v>
      </c>
      <c r="M855" s="73" t="n">
        <v>3.712</v>
      </c>
      <c r="N855" s="74" t="n">
        <f aca="false">K855*L855*M855</f>
        <v>29.696</v>
      </c>
      <c r="O855" s="41" t="n">
        <f aca="false">IFERROR(INDEX(Исходные!$B$21:$B$33,MATCH(H855,Исходные!$A$21:$A$33,0)),0)</f>
        <v>1.208</v>
      </c>
      <c r="P855" s="83" t="n">
        <f aca="false">N855*O855</f>
        <v>35.872768</v>
      </c>
      <c r="Q855" s="20" t="s">
        <v>1527</v>
      </c>
      <c r="R855" s="84" t="s">
        <v>514</v>
      </c>
      <c r="S855" s="20" t="s">
        <v>1531</v>
      </c>
      <c r="T855" s="20" t="s">
        <v>12</v>
      </c>
      <c r="U855" s="53" t="n">
        <v>0</v>
      </c>
      <c r="V855" s="76" t="s">
        <v>148</v>
      </c>
      <c r="W855" s="53" t="n">
        <v>3</v>
      </c>
    </row>
    <row r="856" customFormat="false" ht="35.05" hidden="false" customHeight="false" outlineLevel="0" collapsed="false">
      <c r="A856" s="76" t="n">
        <v>834</v>
      </c>
      <c r="B856" s="20" t="s">
        <v>1526</v>
      </c>
      <c r="C856" s="20" t="s">
        <v>508</v>
      </c>
      <c r="D856" s="20" t="s">
        <v>509</v>
      </c>
      <c r="E856" s="20" t="s">
        <v>148</v>
      </c>
      <c r="F856" s="76" t="s">
        <v>522</v>
      </c>
      <c r="G856" s="20" t="s">
        <v>1177</v>
      </c>
      <c r="H856" s="55" t="n">
        <v>25</v>
      </c>
      <c r="I856" s="76" t="s">
        <v>512</v>
      </c>
      <c r="J856" s="76" t="s">
        <v>164</v>
      </c>
      <c r="K856" s="82" t="n">
        <v>1</v>
      </c>
      <c r="L856" s="55" t="n">
        <v>6</v>
      </c>
      <c r="M856" s="73" t="n">
        <v>3.6</v>
      </c>
      <c r="N856" s="74" t="n">
        <f aca="false">K856*L856*M856</f>
        <v>21.6</v>
      </c>
      <c r="O856" s="41" t="n">
        <f aca="false">IFERROR(INDEX(Исходные!$B$21:$B$33,MATCH(H856,Исходные!$A$21:$A$33,0)),0)</f>
        <v>3.853</v>
      </c>
      <c r="P856" s="83" t="n">
        <f aca="false">N856*O856</f>
        <v>83.2248</v>
      </c>
      <c r="Q856" s="20" t="s">
        <v>1527</v>
      </c>
      <c r="R856" s="84" t="s">
        <v>514</v>
      </c>
      <c r="S856" s="20" t="s">
        <v>1178</v>
      </c>
      <c r="T856" s="20" t="s">
        <v>12</v>
      </c>
      <c r="U856" s="53" t="n">
        <v>0</v>
      </c>
      <c r="V856" s="76" t="s">
        <v>148</v>
      </c>
      <c r="W856" s="53" t="n">
        <v>3</v>
      </c>
    </row>
    <row r="857" customFormat="false" ht="35.05" hidden="false" customHeight="false" outlineLevel="0" collapsed="false">
      <c r="A857" s="76" t="n">
        <v>835</v>
      </c>
      <c r="B857" s="20" t="s">
        <v>1526</v>
      </c>
      <c r="C857" s="20" t="s">
        <v>508</v>
      </c>
      <c r="D857" s="20" t="s">
        <v>509</v>
      </c>
      <c r="E857" s="20" t="s">
        <v>148</v>
      </c>
      <c r="F857" s="76" t="s">
        <v>669</v>
      </c>
      <c r="G857" s="20" t="s">
        <v>1532</v>
      </c>
      <c r="H857" s="55" t="n">
        <v>18</v>
      </c>
      <c r="I857" s="76" t="s">
        <v>512</v>
      </c>
      <c r="J857" s="76" t="s">
        <v>164</v>
      </c>
      <c r="K857" s="82" t="n">
        <v>1</v>
      </c>
      <c r="L857" s="55" t="n">
        <v>4</v>
      </c>
      <c r="M857" s="73" t="n">
        <v>3.744</v>
      </c>
      <c r="N857" s="74" t="n">
        <f aca="false">K857*L857*M857</f>
        <v>14.976</v>
      </c>
      <c r="O857" s="41" t="n">
        <f aca="false">IFERROR(INDEX(Исходные!$B$21:$B$33,MATCH(H857,Исходные!$A$21:$A$33,0)),0)</f>
        <v>1.998</v>
      </c>
      <c r="P857" s="83" t="n">
        <f aca="false">N857*O857</f>
        <v>29.922048</v>
      </c>
      <c r="Q857" s="20" t="s">
        <v>1527</v>
      </c>
      <c r="R857" s="84" t="s">
        <v>514</v>
      </c>
      <c r="S857" s="20" t="s">
        <v>1533</v>
      </c>
      <c r="T857" s="20" t="s">
        <v>12</v>
      </c>
      <c r="U857" s="53" t="n">
        <v>0</v>
      </c>
      <c r="V857" s="76" t="s">
        <v>148</v>
      </c>
      <c r="W857" s="53" t="n">
        <v>3</v>
      </c>
    </row>
    <row r="858" customFormat="false" ht="35.05" hidden="false" customHeight="false" outlineLevel="0" collapsed="false">
      <c r="A858" s="76" t="n">
        <v>836</v>
      </c>
      <c r="B858" s="20" t="s">
        <v>1526</v>
      </c>
      <c r="C858" s="20" t="s">
        <v>508</v>
      </c>
      <c r="D858" s="20" t="s">
        <v>509</v>
      </c>
      <c r="E858" s="20" t="s">
        <v>148</v>
      </c>
      <c r="F858" s="76" t="s">
        <v>669</v>
      </c>
      <c r="G858" s="20" t="s">
        <v>1181</v>
      </c>
      <c r="H858" s="55" t="n">
        <v>14</v>
      </c>
      <c r="I858" s="76" t="s">
        <v>512</v>
      </c>
      <c r="J858" s="76" t="s">
        <v>164</v>
      </c>
      <c r="K858" s="82" t="n">
        <v>1</v>
      </c>
      <c r="L858" s="55" t="n">
        <v>8</v>
      </c>
      <c r="M858" s="73" t="n">
        <v>3.712</v>
      </c>
      <c r="N858" s="74" t="n">
        <f aca="false">K858*L858*M858</f>
        <v>29.696</v>
      </c>
      <c r="O858" s="41" t="n">
        <f aca="false">IFERROR(INDEX(Исходные!$B$21:$B$33,MATCH(H858,Исходные!$A$21:$A$33,0)),0)</f>
        <v>1.208</v>
      </c>
      <c r="P858" s="83" t="n">
        <f aca="false">N858*O858</f>
        <v>35.872768</v>
      </c>
      <c r="Q858" s="20" t="s">
        <v>1527</v>
      </c>
      <c r="R858" s="84" t="s">
        <v>514</v>
      </c>
      <c r="S858" s="20" t="s">
        <v>1182</v>
      </c>
      <c r="T858" s="20" t="s">
        <v>12</v>
      </c>
      <c r="U858" s="53" t="n">
        <v>0</v>
      </c>
      <c r="V858" s="76" t="s">
        <v>148</v>
      </c>
      <c r="W858" s="53" t="n">
        <v>3</v>
      </c>
    </row>
    <row r="859" customFormat="false" ht="35.05" hidden="false" customHeight="false" outlineLevel="0" collapsed="false">
      <c r="A859" s="76" t="n">
        <v>837</v>
      </c>
      <c r="B859" s="20" t="s">
        <v>1526</v>
      </c>
      <c r="C859" s="20" t="s">
        <v>508</v>
      </c>
      <c r="D859" s="20" t="s">
        <v>509</v>
      </c>
      <c r="E859" s="20" t="s">
        <v>148</v>
      </c>
      <c r="F859" s="76" t="s">
        <v>532</v>
      </c>
      <c r="G859" s="20" t="s">
        <v>533</v>
      </c>
      <c r="H859" s="55" t="n">
        <v>14</v>
      </c>
      <c r="I859" s="76" t="s">
        <v>512</v>
      </c>
      <c r="J859" s="76" t="n">
        <v>200</v>
      </c>
      <c r="K859" s="82" t="n">
        <v>1</v>
      </c>
      <c r="L859" s="55" t="n">
        <v>32</v>
      </c>
      <c r="M859" s="73" t="n">
        <v>1.95</v>
      </c>
      <c r="N859" s="74" t="n">
        <f aca="false">K859*L859*M859</f>
        <v>62.4</v>
      </c>
      <c r="O859" s="41" t="n">
        <f aca="false">IFERROR(INDEX(Исходные!$B$21:$B$33,MATCH(H859,Исходные!$A$21:$A$33,0)),0)</f>
        <v>1.208</v>
      </c>
      <c r="P859" s="83" t="n">
        <f aca="false">N859*O859</f>
        <v>75.3792</v>
      </c>
      <c r="Q859" s="20" t="s">
        <v>1534</v>
      </c>
      <c r="R859" s="85" t="s">
        <v>535</v>
      </c>
      <c r="S859" s="20" t="s">
        <v>1535</v>
      </c>
      <c r="T859" s="20" t="s">
        <v>12</v>
      </c>
      <c r="U859" s="53" t="n">
        <v>1</v>
      </c>
      <c r="V859" s="76" t="s">
        <v>148</v>
      </c>
      <c r="W859" s="53" t="n">
        <v>3</v>
      </c>
    </row>
    <row r="860" customFormat="false" ht="35.05" hidden="false" customHeight="false" outlineLevel="0" collapsed="false">
      <c r="A860" s="76" t="n">
        <v>838</v>
      </c>
      <c r="B860" s="20" t="s">
        <v>1526</v>
      </c>
      <c r="C860" s="20" t="s">
        <v>508</v>
      </c>
      <c r="D860" s="20" t="s">
        <v>509</v>
      </c>
      <c r="E860" s="20" t="s">
        <v>148</v>
      </c>
      <c r="F860" s="76" t="s">
        <v>532</v>
      </c>
      <c r="G860" s="20" t="s">
        <v>537</v>
      </c>
      <c r="H860" s="55" t="n">
        <v>14</v>
      </c>
      <c r="I860" s="76" t="s">
        <v>512</v>
      </c>
      <c r="J860" s="76" t="n">
        <v>200</v>
      </c>
      <c r="K860" s="82" t="n">
        <v>1</v>
      </c>
      <c r="L860" s="55" t="n">
        <v>32</v>
      </c>
      <c r="M860" s="73" t="n">
        <v>2.25</v>
      </c>
      <c r="N860" s="74" t="n">
        <f aca="false">K860*L860*M860</f>
        <v>72</v>
      </c>
      <c r="O860" s="41" t="n">
        <f aca="false">IFERROR(INDEX(Исходные!$B$21:$B$33,MATCH(H860,Исходные!$A$21:$A$33,0)),0)</f>
        <v>1.208</v>
      </c>
      <c r="P860" s="83" t="n">
        <f aca="false">N860*O860</f>
        <v>86.976</v>
      </c>
      <c r="Q860" s="20" t="s">
        <v>1534</v>
      </c>
      <c r="R860" s="85" t="s">
        <v>535</v>
      </c>
      <c r="S860" s="20" t="s">
        <v>1535</v>
      </c>
      <c r="T860" s="20" t="s">
        <v>12</v>
      </c>
      <c r="U860" s="53" t="n">
        <v>1</v>
      </c>
      <c r="V860" s="76" t="s">
        <v>148</v>
      </c>
      <c r="W860" s="53" t="n">
        <v>3</v>
      </c>
    </row>
    <row r="861" customFormat="false" ht="35.05" hidden="false" customHeight="false" outlineLevel="0" collapsed="false">
      <c r="A861" s="76" t="n">
        <v>839</v>
      </c>
      <c r="B861" s="20" t="s">
        <v>1526</v>
      </c>
      <c r="C861" s="20" t="s">
        <v>508</v>
      </c>
      <c r="D861" s="20" t="s">
        <v>509</v>
      </c>
      <c r="E861" s="20" t="s">
        <v>148</v>
      </c>
      <c r="F861" s="76" t="s">
        <v>539</v>
      </c>
      <c r="G861" s="20" t="s">
        <v>1536</v>
      </c>
      <c r="H861" s="55" t="n">
        <v>12</v>
      </c>
      <c r="I861" s="76" t="s">
        <v>512</v>
      </c>
      <c r="J861" s="76" t="n">
        <v>200</v>
      </c>
      <c r="K861" s="82" t="n">
        <v>1</v>
      </c>
      <c r="L861" s="55" t="n">
        <v>6</v>
      </c>
      <c r="M861" s="73" t="n">
        <v>1.95</v>
      </c>
      <c r="N861" s="74" t="n">
        <f aca="false">K861*L861*M861</f>
        <v>11.7</v>
      </c>
      <c r="O861" s="41" t="n">
        <f aca="false">IFERROR(INDEX(Исходные!$B$21:$B$33,MATCH(H861,Исходные!$A$21:$A$33,0)),0)</f>
        <v>0.888</v>
      </c>
      <c r="P861" s="83" t="n">
        <f aca="false">N861*O861</f>
        <v>10.3896</v>
      </c>
      <c r="Q861" s="20" t="s">
        <v>1187</v>
      </c>
      <c r="R861" s="84" t="s">
        <v>514</v>
      </c>
      <c r="S861" s="20"/>
      <c r="T861" s="20" t="s">
        <v>12</v>
      </c>
      <c r="U861" s="53" t="n">
        <v>0</v>
      </c>
      <c r="V861" s="76" t="s">
        <v>148</v>
      </c>
      <c r="W861" s="53" t="n">
        <v>3</v>
      </c>
    </row>
    <row r="862" customFormat="false" ht="35.05" hidden="false" customHeight="false" outlineLevel="0" collapsed="false">
      <c r="A862" s="76" t="n">
        <v>840</v>
      </c>
      <c r="B862" s="20" t="s">
        <v>1526</v>
      </c>
      <c r="C862" s="20" t="s">
        <v>508</v>
      </c>
      <c r="D862" s="20" t="s">
        <v>509</v>
      </c>
      <c r="E862" s="20" t="s">
        <v>148</v>
      </c>
      <c r="F862" s="76" t="s">
        <v>539</v>
      </c>
      <c r="G862" s="20" t="s">
        <v>1537</v>
      </c>
      <c r="H862" s="55" t="n">
        <v>12</v>
      </c>
      <c r="I862" s="76" t="s">
        <v>512</v>
      </c>
      <c r="J862" s="76" t="n">
        <v>200</v>
      </c>
      <c r="K862" s="82" t="n">
        <v>1</v>
      </c>
      <c r="L862" s="55" t="n">
        <v>6</v>
      </c>
      <c r="M862" s="73" t="n">
        <v>1.2</v>
      </c>
      <c r="N862" s="74" t="n">
        <f aca="false">K862*L862*M862</f>
        <v>7.2</v>
      </c>
      <c r="O862" s="41" t="n">
        <f aca="false">IFERROR(INDEX(Исходные!$B$21:$B$33,MATCH(H862,Исходные!$A$21:$A$33,0)),0)</f>
        <v>0.888</v>
      </c>
      <c r="P862" s="83" t="n">
        <f aca="false">N862*O862</f>
        <v>6.3936</v>
      </c>
      <c r="Q862" s="20" t="s">
        <v>1187</v>
      </c>
      <c r="R862" s="85" t="s">
        <v>638</v>
      </c>
      <c r="S862" s="20"/>
      <c r="T862" s="20" t="s">
        <v>12</v>
      </c>
      <c r="U862" s="53" t="n">
        <v>1</v>
      </c>
      <c r="V862" s="76" t="s">
        <v>148</v>
      </c>
      <c r="W862" s="53" t="n">
        <v>3</v>
      </c>
    </row>
    <row r="863" customFormat="false" ht="35.05" hidden="false" customHeight="false" outlineLevel="0" collapsed="false">
      <c r="A863" s="76" t="n">
        <v>841</v>
      </c>
      <c r="B863" s="20" t="s">
        <v>1526</v>
      </c>
      <c r="C863" s="20" t="s">
        <v>508</v>
      </c>
      <c r="D863" s="20" t="s">
        <v>509</v>
      </c>
      <c r="E863" s="20" t="s">
        <v>148</v>
      </c>
      <c r="F863" s="76" t="s">
        <v>1538</v>
      </c>
      <c r="G863" s="20" t="s">
        <v>1539</v>
      </c>
      <c r="H863" s="55" t="n">
        <v>16</v>
      </c>
      <c r="I863" s="76" t="s">
        <v>512</v>
      </c>
      <c r="J863" s="76" t="s">
        <v>164</v>
      </c>
      <c r="K863" s="82" t="n">
        <v>1</v>
      </c>
      <c r="L863" s="55" t="n">
        <v>8</v>
      </c>
      <c r="M863" s="73" t="n">
        <v>1.6</v>
      </c>
      <c r="N863" s="74" t="n">
        <f aca="false">K863*L863*M863</f>
        <v>12.8</v>
      </c>
      <c r="O863" s="41" t="n">
        <f aca="false">IFERROR(INDEX(Исходные!$B$21:$B$33,MATCH(H863,Исходные!$A$21:$A$33,0)),0)</f>
        <v>1.578</v>
      </c>
      <c r="P863" s="83" t="n">
        <f aca="false">N863*O863</f>
        <v>20.1984</v>
      </c>
      <c r="Q863" s="20" t="s">
        <v>1540</v>
      </c>
      <c r="R863" s="85" t="s">
        <v>535</v>
      </c>
      <c r="S863" s="20" t="s">
        <v>1541</v>
      </c>
      <c r="T863" s="20" t="s">
        <v>12</v>
      </c>
      <c r="U863" s="53" t="n">
        <v>1</v>
      </c>
      <c r="V863" s="76" t="s">
        <v>148</v>
      </c>
      <c r="W863" s="53" t="n">
        <v>3</v>
      </c>
    </row>
    <row r="864" customFormat="false" ht="35.05" hidden="false" customHeight="false" outlineLevel="0" collapsed="false">
      <c r="A864" s="76" t="n">
        <v>842</v>
      </c>
      <c r="B864" s="20" t="s">
        <v>1526</v>
      </c>
      <c r="C864" s="20" t="s">
        <v>508</v>
      </c>
      <c r="D864" s="20" t="s">
        <v>509</v>
      </c>
      <c r="E864" s="20" t="s">
        <v>148</v>
      </c>
      <c r="F864" s="76" t="s">
        <v>544</v>
      </c>
      <c r="G864" s="20" t="s">
        <v>1191</v>
      </c>
      <c r="H864" s="55" t="n">
        <v>10</v>
      </c>
      <c r="I864" s="76" t="s">
        <v>546</v>
      </c>
      <c r="J864" s="76" t="s">
        <v>547</v>
      </c>
      <c r="K864" s="82" t="n">
        <v>1</v>
      </c>
      <c r="L864" s="55" t="n">
        <v>48</v>
      </c>
      <c r="M864" s="73" t="n">
        <v>1.33</v>
      </c>
      <c r="N864" s="74" t="n">
        <f aca="false">K864*L864*M864</f>
        <v>63.84</v>
      </c>
      <c r="O864" s="41" t="n">
        <f aca="false">IFERROR(INDEX(Исходные!$B$21:$B$33,MATCH(H864,Исходные!$A$21:$A$33,0)),0)</f>
        <v>0.617</v>
      </c>
      <c r="P864" s="83" t="n">
        <f aca="false">N864*O864</f>
        <v>39.38928</v>
      </c>
      <c r="Q864" s="20" t="s">
        <v>1218</v>
      </c>
      <c r="R864" s="84" t="s">
        <v>514</v>
      </c>
      <c r="S864" s="20"/>
      <c r="T864" s="20" t="s">
        <v>12</v>
      </c>
      <c r="U864" s="53" t="n">
        <v>0</v>
      </c>
      <c r="V864" s="76" t="s">
        <v>148</v>
      </c>
      <c r="W864" s="53" t="n">
        <v>3</v>
      </c>
    </row>
    <row r="865" customFormat="false" ht="35.05" hidden="false" customHeight="false" outlineLevel="0" collapsed="false">
      <c r="A865" s="76" t="n">
        <v>843</v>
      </c>
      <c r="B865" s="20" t="s">
        <v>1526</v>
      </c>
      <c r="C865" s="20" t="s">
        <v>508</v>
      </c>
      <c r="D865" s="20" t="s">
        <v>509</v>
      </c>
      <c r="E865" s="20" t="s">
        <v>148</v>
      </c>
      <c r="F865" s="76" t="s">
        <v>696</v>
      </c>
      <c r="G865" s="20" t="s">
        <v>1193</v>
      </c>
      <c r="H865" s="55" t="n">
        <v>8</v>
      </c>
      <c r="I865" s="76" t="s">
        <v>546</v>
      </c>
      <c r="J865" s="76" t="s">
        <v>547</v>
      </c>
      <c r="K865" s="82" t="n">
        <v>1</v>
      </c>
      <c r="L865" s="55" t="n">
        <v>32</v>
      </c>
      <c r="M865" s="73" t="n">
        <v>1.56</v>
      </c>
      <c r="N865" s="74" t="n">
        <f aca="false">K865*L865*M865</f>
        <v>49.92</v>
      </c>
      <c r="O865" s="41" t="n">
        <f aca="false">IFERROR(INDEX(Исходные!$B$21:$B$33,MATCH(H865,Исходные!$A$21:$A$33,0)),0)</f>
        <v>0.395</v>
      </c>
      <c r="P865" s="83" t="n">
        <f aca="false">N865*O865</f>
        <v>19.7184</v>
      </c>
      <c r="Q865" s="20" t="s">
        <v>1220</v>
      </c>
      <c r="R865" s="84" t="s">
        <v>514</v>
      </c>
      <c r="S865" s="20"/>
      <c r="T865" s="20" t="s">
        <v>12</v>
      </c>
      <c r="U865" s="53" t="n">
        <v>0</v>
      </c>
      <c r="V865" s="76" t="s">
        <v>148</v>
      </c>
      <c r="W865" s="53" t="n">
        <v>3</v>
      </c>
    </row>
    <row r="866" customFormat="false" ht="35.05" hidden="false" customHeight="false" outlineLevel="0" collapsed="false">
      <c r="A866" s="76" t="n">
        <v>844</v>
      </c>
      <c r="B866" s="20" t="s">
        <v>1526</v>
      </c>
      <c r="C866" s="20" t="s">
        <v>508</v>
      </c>
      <c r="D866" s="20" t="s">
        <v>509</v>
      </c>
      <c r="E866" s="20" t="s">
        <v>148</v>
      </c>
      <c r="F866" s="76" t="s">
        <v>603</v>
      </c>
      <c r="G866" s="20" t="s">
        <v>1195</v>
      </c>
      <c r="H866" s="55" t="n">
        <v>8</v>
      </c>
      <c r="I866" s="76" t="s">
        <v>546</v>
      </c>
      <c r="J866" s="76" t="s">
        <v>547</v>
      </c>
      <c r="K866" s="82" t="n">
        <v>1</v>
      </c>
      <c r="L866" s="55" t="n">
        <v>16</v>
      </c>
      <c r="M866" s="73" t="n">
        <v>1.76</v>
      </c>
      <c r="N866" s="74" t="n">
        <f aca="false">K866*L866*M866</f>
        <v>28.16</v>
      </c>
      <c r="O866" s="41" t="n">
        <f aca="false">IFERROR(INDEX(Исходные!$B$21:$B$33,MATCH(H866,Исходные!$A$21:$A$33,0)),0)</f>
        <v>0.395</v>
      </c>
      <c r="P866" s="83" t="n">
        <f aca="false">N866*O866</f>
        <v>11.1232</v>
      </c>
      <c r="Q866" s="20" t="s">
        <v>1221</v>
      </c>
      <c r="R866" s="84" t="s">
        <v>514</v>
      </c>
      <c r="S866" s="20"/>
      <c r="T866" s="20" t="s">
        <v>12</v>
      </c>
      <c r="U866" s="53" t="n">
        <v>0</v>
      </c>
      <c r="V866" s="76" t="s">
        <v>148</v>
      </c>
      <c r="W866" s="53" t="n">
        <v>3</v>
      </c>
    </row>
    <row r="867" customFormat="false" ht="35.05" hidden="false" customHeight="false" outlineLevel="0" collapsed="false">
      <c r="A867" s="76" t="n">
        <v>845</v>
      </c>
      <c r="B867" s="20" t="s">
        <v>1526</v>
      </c>
      <c r="C867" s="20" t="s">
        <v>508</v>
      </c>
      <c r="D867" s="20" t="s">
        <v>509</v>
      </c>
      <c r="E867" s="20" t="s">
        <v>148</v>
      </c>
      <c r="F867" s="76" t="s">
        <v>555</v>
      </c>
      <c r="G867" s="20" t="s">
        <v>1197</v>
      </c>
      <c r="H867" s="55" t="n">
        <v>8</v>
      </c>
      <c r="I867" s="76" t="s">
        <v>546</v>
      </c>
      <c r="J867" s="76" t="s">
        <v>547</v>
      </c>
      <c r="K867" s="82" t="n">
        <v>1</v>
      </c>
      <c r="L867" s="55" t="n">
        <v>28</v>
      </c>
      <c r="M867" s="73" t="n">
        <v>2.44</v>
      </c>
      <c r="N867" s="74" t="n">
        <f aca="false">K867*L867*M867</f>
        <v>68.32</v>
      </c>
      <c r="O867" s="41" t="n">
        <f aca="false">IFERROR(INDEX(Исходные!$B$21:$B$33,MATCH(H867,Исходные!$A$21:$A$33,0)),0)</f>
        <v>0.395</v>
      </c>
      <c r="P867" s="83" t="n">
        <f aca="false">N867*O867</f>
        <v>26.9864</v>
      </c>
      <c r="Q867" s="20" t="s">
        <v>1198</v>
      </c>
      <c r="R867" s="84" t="s">
        <v>514</v>
      </c>
      <c r="S867" s="20"/>
      <c r="T867" s="20" t="s">
        <v>12</v>
      </c>
      <c r="U867" s="53" t="n">
        <v>0</v>
      </c>
      <c r="V867" s="76" t="s">
        <v>148</v>
      </c>
      <c r="W867" s="53" t="n">
        <v>3</v>
      </c>
    </row>
    <row r="868" customFormat="false" ht="35.05" hidden="false" customHeight="false" outlineLevel="0" collapsed="false">
      <c r="A868" s="76" t="n">
        <v>846</v>
      </c>
      <c r="B868" s="20" t="s">
        <v>1526</v>
      </c>
      <c r="C868" s="20" t="s">
        <v>508</v>
      </c>
      <c r="D868" s="20" t="s">
        <v>509</v>
      </c>
      <c r="E868" s="20" t="s">
        <v>148</v>
      </c>
      <c r="F868" s="76" t="s">
        <v>558</v>
      </c>
      <c r="G868" s="20" t="s">
        <v>1199</v>
      </c>
      <c r="H868" s="55" t="n">
        <v>8</v>
      </c>
      <c r="I868" s="76" t="s">
        <v>546</v>
      </c>
      <c r="J868" s="76" t="s">
        <v>547</v>
      </c>
      <c r="K868" s="82" t="n">
        <v>1</v>
      </c>
      <c r="L868" s="55" t="n">
        <v>32</v>
      </c>
      <c r="M868" s="73" t="n">
        <v>1.96</v>
      </c>
      <c r="N868" s="74" t="n">
        <f aca="false">K868*L868*M868</f>
        <v>62.72</v>
      </c>
      <c r="O868" s="41" t="n">
        <f aca="false">IFERROR(INDEX(Исходные!$B$21:$B$33,MATCH(H868,Исходные!$A$21:$A$33,0)),0)</f>
        <v>0.395</v>
      </c>
      <c r="P868" s="83" t="n">
        <f aca="false">N868*O868</f>
        <v>24.7744</v>
      </c>
      <c r="Q868" s="20" t="s">
        <v>1222</v>
      </c>
      <c r="R868" s="84" t="s">
        <v>514</v>
      </c>
      <c r="S868" s="20"/>
      <c r="T868" s="20" t="s">
        <v>12</v>
      </c>
      <c r="U868" s="53" t="n">
        <v>0</v>
      </c>
      <c r="V868" s="76" t="s">
        <v>148</v>
      </c>
      <c r="W868" s="53" t="n">
        <v>3</v>
      </c>
    </row>
    <row r="869" customFormat="false" ht="35.05" hidden="false" customHeight="false" outlineLevel="0" collapsed="false">
      <c r="A869" s="76" t="n">
        <v>847</v>
      </c>
      <c r="B869" s="20" t="s">
        <v>1526</v>
      </c>
      <c r="C869" s="20" t="s">
        <v>508</v>
      </c>
      <c r="D869" s="20" t="s">
        <v>509</v>
      </c>
      <c r="E869" s="20" t="s">
        <v>148</v>
      </c>
      <c r="F869" s="76" t="s">
        <v>561</v>
      </c>
      <c r="G869" s="20" t="s">
        <v>1201</v>
      </c>
      <c r="H869" s="55" t="n">
        <v>8</v>
      </c>
      <c r="I869" s="76" t="s">
        <v>546</v>
      </c>
      <c r="J869" s="76" t="s">
        <v>547</v>
      </c>
      <c r="K869" s="82" t="n">
        <v>1</v>
      </c>
      <c r="L869" s="55" t="n">
        <v>80</v>
      </c>
      <c r="M869" s="73" t="n">
        <v>0.53</v>
      </c>
      <c r="N869" s="74" t="n">
        <f aca="false">K869*L869*M869</f>
        <v>42.4</v>
      </c>
      <c r="O869" s="41" t="n">
        <f aca="false">IFERROR(INDEX(Исходные!$B$21:$B$33,MATCH(H869,Исходные!$A$21:$A$33,0)),0)</f>
        <v>0.395</v>
      </c>
      <c r="P869" s="83" t="n">
        <f aca="false">N869*O869</f>
        <v>16.748</v>
      </c>
      <c r="Q869" s="20" t="s">
        <v>1224</v>
      </c>
      <c r="R869" s="84" t="s">
        <v>514</v>
      </c>
      <c r="S869" s="20"/>
      <c r="T869" s="20" t="s">
        <v>12</v>
      </c>
      <c r="U869" s="53" t="n">
        <v>0</v>
      </c>
      <c r="V869" s="76" t="s">
        <v>148</v>
      </c>
      <c r="W869" s="53" t="n">
        <v>3</v>
      </c>
    </row>
    <row r="870" customFormat="false" ht="35.05" hidden="false" customHeight="false" outlineLevel="0" collapsed="false">
      <c r="A870" s="76" t="n">
        <v>848</v>
      </c>
      <c r="B870" s="20" t="s">
        <v>1526</v>
      </c>
      <c r="C870" s="20" t="s">
        <v>508</v>
      </c>
      <c r="D870" s="20" t="s">
        <v>564</v>
      </c>
      <c r="E870" s="20" t="s">
        <v>149</v>
      </c>
      <c r="F870" s="76" t="s">
        <v>519</v>
      </c>
      <c r="G870" s="20" t="s">
        <v>1168</v>
      </c>
      <c r="H870" s="55" t="n">
        <v>28</v>
      </c>
      <c r="I870" s="76" t="s">
        <v>512</v>
      </c>
      <c r="J870" s="76" t="s">
        <v>164</v>
      </c>
      <c r="K870" s="82" t="n">
        <v>1</v>
      </c>
      <c r="L870" s="55" t="n">
        <v>4</v>
      </c>
      <c r="M870" s="73" t="n">
        <v>3.6</v>
      </c>
      <c r="N870" s="74" t="n">
        <f aca="false">K870*L870*M870</f>
        <v>14.4</v>
      </c>
      <c r="O870" s="41" t="n">
        <f aca="false">IFERROR(INDEX(Исходные!$B$21:$B$33,MATCH(H870,Исходные!$A$21:$A$33,0)),0)</f>
        <v>4.834</v>
      </c>
      <c r="P870" s="83" t="n">
        <f aca="false">N870*O870</f>
        <v>69.6096</v>
      </c>
      <c r="Q870" s="20" t="s">
        <v>1542</v>
      </c>
      <c r="R870" s="84" t="s">
        <v>514</v>
      </c>
      <c r="S870" s="20" t="s">
        <v>1204</v>
      </c>
      <c r="T870" s="20" t="s">
        <v>12</v>
      </c>
      <c r="U870" s="53" t="n">
        <v>0</v>
      </c>
      <c r="V870" s="76" t="s">
        <v>149</v>
      </c>
      <c r="W870" s="53" t="n">
        <v>3</v>
      </c>
    </row>
    <row r="871" customFormat="false" ht="35.05" hidden="false" customHeight="false" outlineLevel="0" collapsed="false">
      <c r="A871" s="76" t="n">
        <v>849</v>
      </c>
      <c r="B871" s="20" t="s">
        <v>1526</v>
      </c>
      <c r="C871" s="20" t="s">
        <v>508</v>
      </c>
      <c r="D871" s="20" t="s">
        <v>564</v>
      </c>
      <c r="E871" s="20" t="s">
        <v>149</v>
      </c>
      <c r="F871" s="76" t="s">
        <v>516</v>
      </c>
      <c r="G871" s="20" t="s">
        <v>1205</v>
      </c>
      <c r="H871" s="55" t="n">
        <v>20</v>
      </c>
      <c r="I871" s="76" t="s">
        <v>512</v>
      </c>
      <c r="J871" s="76" t="s">
        <v>164</v>
      </c>
      <c r="K871" s="82" t="n">
        <v>1</v>
      </c>
      <c r="L871" s="55" t="n">
        <v>8</v>
      </c>
      <c r="M871" s="73" t="n">
        <v>3.6</v>
      </c>
      <c r="N871" s="74" t="n">
        <f aca="false">K871*L871*M871</f>
        <v>28.8</v>
      </c>
      <c r="O871" s="41" t="n">
        <f aca="false">IFERROR(INDEX(Исходные!$B$21:$B$33,MATCH(H871,Исходные!$A$21:$A$33,0)),0)</f>
        <v>2.466</v>
      </c>
      <c r="P871" s="83" t="n">
        <f aca="false">N871*O871</f>
        <v>71.0208</v>
      </c>
      <c r="Q871" s="20" t="s">
        <v>1542</v>
      </c>
      <c r="R871" s="84" t="s">
        <v>514</v>
      </c>
      <c r="S871" s="20" t="s">
        <v>1206</v>
      </c>
      <c r="T871" s="20" t="s">
        <v>12</v>
      </c>
      <c r="U871" s="53" t="n">
        <v>0</v>
      </c>
      <c r="V871" s="76" t="s">
        <v>149</v>
      </c>
      <c r="W871" s="53" t="n">
        <v>3</v>
      </c>
    </row>
    <row r="872" customFormat="false" ht="35.05" hidden="false" customHeight="false" outlineLevel="0" collapsed="false">
      <c r="A872" s="76" t="n">
        <v>850</v>
      </c>
      <c r="B872" s="20" t="s">
        <v>1526</v>
      </c>
      <c r="C872" s="20" t="s">
        <v>508</v>
      </c>
      <c r="D872" s="20" t="s">
        <v>564</v>
      </c>
      <c r="E872" s="20" t="s">
        <v>149</v>
      </c>
      <c r="F872" s="76" t="s">
        <v>575</v>
      </c>
      <c r="G872" s="20" t="s">
        <v>1543</v>
      </c>
      <c r="H872" s="55" t="n">
        <v>22</v>
      </c>
      <c r="I872" s="76" t="s">
        <v>512</v>
      </c>
      <c r="J872" s="76" t="s">
        <v>164</v>
      </c>
      <c r="K872" s="82" t="n">
        <v>1</v>
      </c>
      <c r="L872" s="55" t="n">
        <v>6</v>
      </c>
      <c r="M872" s="73" t="n">
        <v>3.6</v>
      </c>
      <c r="N872" s="74" t="n">
        <f aca="false">K872*L872*M872</f>
        <v>21.6</v>
      </c>
      <c r="O872" s="41" t="n">
        <f aca="false">IFERROR(INDEX(Исходные!$B$21:$B$33,MATCH(H872,Исходные!$A$21:$A$33,0)),0)</f>
        <v>2.984</v>
      </c>
      <c r="P872" s="83" t="n">
        <f aca="false">N872*O872</f>
        <v>64.4544</v>
      </c>
      <c r="Q872" s="20" t="s">
        <v>1542</v>
      </c>
      <c r="R872" s="84" t="s">
        <v>514</v>
      </c>
      <c r="S872" s="20" t="s">
        <v>1255</v>
      </c>
      <c r="T872" s="20" t="s">
        <v>12</v>
      </c>
      <c r="U872" s="53" t="n">
        <v>0</v>
      </c>
      <c r="V872" s="76" t="s">
        <v>149</v>
      </c>
      <c r="W872" s="53" t="n">
        <v>3</v>
      </c>
    </row>
    <row r="873" customFormat="false" ht="35.05" hidden="false" customHeight="false" outlineLevel="0" collapsed="false">
      <c r="A873" s="76" t="n">
        <v>851</v>
      </c>
      <c r="B873" s="20" t="s">
        <v>1526</v>
      </c>
      <c r="C873" s="20" t="s">
        <v>508</v>
      </c>
      <c r="D873" s="20" t="s">
        <v>564</v>
      </c>
      <c r="E873" s="20" t="s">
        <v>149</v>
      </c>
      <c r="F873" s="76" t="s">
        <v>575</v>
      </c>
      <c r="G873" s="20" t="s">
        <v>1544</v>
      </c>
      <c r="H873" s="55" t="n">
        <v>22</v>
      </c>
      <c r="I873" s="76" t="s">
        <v>512</v>
      </c>
      <c r="J873" s="76" t="s">
        <v>164</v>
      </c>
      <c r="K873" s="82" t="n">
        <v>1</v>
      </c>
      <c r="L873" s="55" t="n">
        <v>6</v>
      </c>
      <c r="M873" s="73" t="n">
        <v>3.6</v>
      </c>
      <c r="N873" s="74" t="n">
        <f aca="false">K873*L873*M873</f>
        <v>21.6</v>
      </c>
      <c r="O873" s="41" t="n">
        <f aca="false">IFERROR(INDEX(Исходные!$B$21:$B$33,MATCH(H873,Исходные!$A$21:$A$33,0)),0)</f>
        <v>2.984</v>
      </c>
      <c r="P873" s="83" t="n">
        <f aca="false">N873*O873</f>
        <v>64.4544</v>
      </c>
      <c r="Q873" s="20" t="s">
        <v>1542</v>
      </c>
      <c r="R873" s="84" t="s">
        <v>514</v>
      </c>
      <c r="S873" s="20" t="s">
        <v>1255</v>
      </c>
      <c r="T873" s="20" t="s">
        <v>12</v>
      </c>
      <c r="U873" s="53" t="n">
        <v>0</v>
      </c>
      <c r="V873" s="76" t="s">
        <v>149</v>
      </c>
      <c r="W873" s="53" t="n">
        <v>3</v>
      </c>
    </row>
    <row r="874" customFormat="false" ht="35.05" hidden="false" customHeight="false" outlineLevel="0" collapsed="false">
      <c r="A874" s="76" t="n">
        <v>852</v>
      </c>
      <c r="B874" s="20" t="s">
        <v>1526</v>
      </c>
      <c r="C874" s="20" t="s">
        <v>508</v>
      </c>
      <c r="D874" s="20" t="s">
        <v>564</v>
      </c>
      <c r="E874" s="20" t="s">
        <v>149</v>
      </c>
      <c r="F874" s="76" t="s">
        <v>529</v>
      </c>
      <c r="G874" s="20" t="s">
        <v>1532</v>
      </c>
      <c r="H874" s="55" t="n">
        <v>18</v>
      </c>
      <c r="I874" s="76" t="s">
        <v>512</v>
      </c>
      <c r="J874" s="76" t="s">
        <v>164</v>
      </c>
      <c r="K874" s="82" t="n">
        <v>1</v>
      </c>
      <c r="L874" s="55" t="n">
        <v>4</v>
      </c>
      <c r="M874" s="73" t="n">
        <v>3.744</v>
      </c>
      <c r="N874" s="74" t="n">
        <f aca="false">K874*L874*M874</f>
        <v>14.976</v>
      </c>
      <c r="O874" s="41" t="n">
        <f aca="false">IFERROR(INDEX(Исходные!$B$21:$B$33,MATCH(H874,Исходные!$A$21:$A$33,0)),0)</f>
        <v>1.998</v>
      </c>
      <c r="P874" s="83" t="n">
        <f aca="false">N874*O874</f>
        <v>29.922048</v>
      </c>
      <c r="Q874" s="20" t="s">
        <v>1542</v>
      </c>
      <c r="R874" s="84" t="s">
        <v>514</v>
      </c>
      <c r="S874" s="20" t="s">
        <v>1545</v>
      </c>
      <c r="T874" s="20" t="s">
        <v>12</v>
      </c>
      <c r="U874" s="53" t="n">
        <v>0</v>
      </c>
      <c r="V874" s="76" t="s">
        <v>149</v>
      </c>
      <c r="W874" s="53" t="n">
        <v>3</v>
      </c>
    </row>
    <row r="875" customFormat="false" ht="35.05" hidden="false" customHeight="false" outlineLevel="0" collapsed="false">
      <c r="A875" s="76" t="n">
        <v>853</v>
      </c>
      <c r="B875" s="20" t="s">
        <v>1526</v>
      </c>
      <c r="C875" s="20" t="s">
        <v>508</v>
      </c>
      <c r="D875" s="20" t="s">
        <v>564</v>
      </c>
      <c r="E875" s="20" t="s">
        <v>149</v>
      </c>
      <c r="F875" s="76" t="s">
        <v>669</v>
      </c>
      <c r="G875" s="20" t="s">
        <v>1181</v>
      </c>
      <c r="H875" s="55" t="n">
        <v>14</v>
      </c>
      <c r="I875" s="76" t="s">
        <v>512</v>
      </c>
      <c r="J875" s="76" t="s">
        <v>164</v>
      </c>
      <c r="K875" s="82" t="n">
        <v>1</v>
      </c>
      <c r="L875" s="55" t="n">
        <v>8</v>
      </c>
      <c r="M875" s="73" t="n">
        <v>3.712</v>
      </c>
      <c r="N875" s="74" t="n">
        <f aca="false">K875*L875*M875</f>
        <v>29.696</v>
      </c>
      <c r="O875" s="41" t="n">
        <f aca="false">IFERROR(INDEX(Исходные!$B$21:$B$33,MATCH(H875,Исходные!$A$21:$A$33,0)),0)</f>
        <v>1.208</v>
      </c>
      <c r="P875" s="83" t="n">
        <f aca="false">N875*O875</f>
        <v>35.872768</v>
      </c>
      <c r="Q875" s="20" t="s">
        <v>1542</v>
      </c>
      <c r="R875" s="84" t="s">
        <v>514</v>
      </c>
      <c r="S875" s="20" t="s">
        <v>1182</v>
      </c>
      <c r="T875" s="20" t="s">
        <v>12</v>
      </c>
      <c r="U875" s="53" t="n">
        <v>0</v>
      </c>
      <c r="V875" s="76" t="s">
        <v>149</v>
      </c>
      <c r="W875" s="53" t="n">
        <v>3</v>
      </c>
    </row>
    <row r="876" customFormat="false" ht="35.05" hidden="false" customHeight="false" outlineLevel="0" collapsed="false">
      <c r="A876" s="76" t="n">
        <v>854</v>
      </c>
      <c r="B876" s="20" t="s">
        <v>1526</v>
      </c>
      <c r="C876" s="20" t="s">
        <v>508</v>
      </c>
      <c r="D876" s="20" t="s">
        <v>564</v>
      </c>
      <c r="E876" s="20" t="s">
        <v>149</v>
      </c>
      <c r="F876" s="76" t="s">
        <v>529</v>
      </c>
      <c r="G876" s="20" t="s">
        <v>1546</v>
      </c>
      <c r="H876" s="55" t="n">
        <v>16</v>
      </c>
      <c r="I876" s="76" t="s">
        <v>512</v>
      </c>
      <c r="J876" s="76" t="s">
        <v>164</v>
      </c>
      <c r="K876" s="82" t="n">
        <v>1</v>
      </c>
      <c r="L876" s="55" t="n">
        <v>4</v>
      </c>
      <c r="M876" s="73" t="n">
        <v>3.728</v>
      </c>
      <c r="N876" s="74" t="n">
        <f aca="false">K876*L876*M876</f>
        <v>14.912</v>
      </c>
      <c r="O876" s="41" t="n">
        <f aca="false">IFERROR(INDEX(Исходные!$B$21:$B$33,MATCH(H876,Исходные!$A$21:$A$33,0)),0)</f>
        <v>1.578</v>
      </c>
      <c r="P876" s="83" t="n">
        <f aca="false">N876*O876</f>
        <v>23.531136</v>
      </c>
      <c r="Q876" s="20" t="s">
        <v>1542</v>
      </c>
      <c r="R876" s="84" t="s">
        <v>514</v>
      </c>
      <c r="S876" s="20" t="s">
        <v>1180</v>
      </c>
      <c r="T876" s="20" t="s">
        <v>12</v>
      </c>
      <c r="U876" s="53" t="n">
        <v>0</v>
      </c>
      <c r="V876" s="76" t="s">
        <v>149</v>
      </c>
      <c r="W876" s="53" t="n">
        <v>3</v>
      </c>
    </row>
    <row r="877" customFormat="false" ht="35.05" hidden="false" customHeight="false" outlineLevel="0" collapsed="false">
      <c r="A877" s="76" t="n">
        <v>855</v>
      </c>
      <c r="B877" s="20" t="s">
        <v>1526</v>
      </c>
      <c r="C877" s="20" t="s">
        <v>508</v>
      </c>
      <c r="D877" s="20" t="s">
        <v>564</v>
      </c>
      <c r="E877" s="20" t="s">
        <v>149</v>
      </c>
      <c r="F877" s="76" t="s">
        <v>532</v>
      </c>
      <c r="G877" s="20" t="s">
        <v>577</v>
      </c>
      <c r="H877" s="55" t="n">
        <v>14</v>
      </c>
      <c r="I877" s="76" t="s">
        <v>512</v>
      </c>
      <c r="J877" s="76" t="n">
        <v>200</v>
      </c>
      <c r="K877" s="82" t="n">
        <v>1</v>
      </c>
      <c r="L877" s="55" t="n">
        <v>32</v>
      </c>
      <c r="M877" s="73" t="n">
        <v>1.25</v>
      </c>
      <c r="N877" s="74" t="n">
        <f aca="false">K877*L877*M877</f>
        <v>40</v>
      </c>
      <c r="O877" s="41" t="n">
        <f aca="false">IFERROR(INDEX(Исходные!$B$21:$B$33,MATCH(H877,Исходные!$A$21:$A$33,0)),0)</f>
        <v>1.208</v>
      </c>
      <c r="P877" s="83" t="n">
        <f aca="false">N877*O877</f>
        <v>48.32</v>
      </c>
      <c r="Q877" s="20" t="s">
        <v>1547</v>
      </c>
      <c r="R877" s="85" t="s">
        <v>535</v>
      </c>
      <c r="S877" s="20" t="s">
        <v>1535</v>
      </c>
      <c r="T877" s="20" t="s">
        <v>12</v>
      </c>
      <c r="U877" s="53" t="n">
        <v>1</v>
      </c>
      <c r="V877" s="76" t="s">
        <v>149</v>
      </c>
      <c r="W877" s="53" t="n">
        <v>3</v>
      </c>
    </row>
    <row r="878" customFormat="false" ht="35.05" hidden="false" customHeight="false" outlineLevel="0" collapsed="false">
      <c r="A878" s="76" t="n">
        <v>856</v>
      </c>
      <c r="B878" s="20" t="s">
        <v>1526</v>
      </c>
      <c r="C878" s="20" t="s">
        <v>508</v>
      </c>
      <c r="D878" s="20" t="s">
        <v>564</v>
      </c>
      <c r="E878" s="20" t="s">
        <v>149</v>
      </c>
      <c r="F878" s="76" t="s">
        <v>532</v>
      </c>
      <c r="G878" s="20" t="s">
        <v>580</v>
      </c>
      <c r="H878" s="55" t="n">
        <v>14</v>
      </c>
      <c r="I878" s="76" t="s">
        <v>512</v>
      </c>
      <c r="J878" s="76" t="n">
        <v>200</v>
      </c>
      <c r="K878" s="82" t="n">
        <v>1</v>
      </c>
      <c r="L878" s="55" t="n">
        <v>32</v>
      </c>
      <c r="M878" s="73" t="n">
        <v>2.25</v>
      </c>
      <c r="N878" s="74" t="n">
        <f aca="false">K878*L878*M878</f>
        <v>72</v>
      </c>
      <c r="O878" s="41" t="n">
        <f aca="false">IFERROR(INDEX(Исходные!$B$21:$B$33,MATCH(H878,Исходные!$A$21:$A$33,0)),0)</f>
        <v>1.208</v>
      </c>
      <c r="P878" s="83" t="n">
        <f aca="false">N878*O878</f>
        <v>86.976</v>
      </c>
      <c r="Q878" s="20" t="s">
        <v>1547</v>
      </c>
      <c r="R878" s="85" t="s">
        <v>535</v>
      </c>
      <c r="S878" s="20" t="s">
        <v>1535</v>
      </c>
      <c r="T878" s="20" t="s">
        <v>12</v>
      </c>
      <c r="U878" s="53" t="n">
        <v>1</v>
      </c>
      <c r="V878" s="76" t="s">
        <v>149</v>
      </c>
      <c r="W878" s="53" t="n">
        <v>3</v>
      </c>
    </row>
    <row r="879" customFormat="false" ht="35.05" hidden="false" customHeight="false" outlineLevel="0" collapsed="false">
      <c r="A879" s="76" t="n">
        <v>857</v>
      </c>
      <c r="B879" s="20" t="s">
        <v>1526</v>
      </c>
      <c r="C879" s="20" t="s">
        <v>508</v>
      </c>
      <c r="D879" s="20" t="s">
        <v>564</v>
      </c>
      <c r="E879" s="20" t="s">
        <v>149</v>
      </c>
      <c r="F879" s="76" t="s">
        <v>539</v>
      </c>
      <c r="G879" s="20" t="s">
        <v>1548</v>
      </c>
      <c r="H879" s="55" t="n">
        <v>10</v>
      </c>
      <c r="I879" s="76" t="s">
        <v>512</v>
      </c>
      <c r="J879" s="76" t="n">
        <v>200</v>
      </c>
      <c r="K879" s="82" t="n">
        <v>1</v>
      </c>
      <c r="L879" s="55" t="n">
        <v>6</v>
      </c>
      <c r="M879" s="73" t="n">
        <v>1.25</v>
      </c>
      <c r="N879" s="74" t="n">
        <f aca="false">K879*L879*M879</f>
        <v>7.5</v>
      </c>
      <c r="O879" s="41" t="n">
        <f aca="false">IFERROR(INDEX(Исходные!$B$21:$B$33,MATCH(H879,Исходные!$A$21:$A$33,0)),0)</f>
        <v>0.617</v>
      </c>
      <c r="P879" s="83" t="n">
        <f aca="false">N879*O879</f>
        <v>4.6275</v>
      </c>
      <c r="Q879" s="20" t="s">
        <v>1214</v>
      </c>
      <c r="R879" s="84" t="s">
        <v>514</v>
      </c>
      <c r="S879" s="20"/>
      <c r="T879" s="20" t="s">
        <v>12</v>
      </c>
      <c r="U879" s="53" t="n">
        <v>0</v>
      </c>
      <c r="V879" s="76" t="s">
        <v>149</v>
      </c>
      <c r="W879" s="53" t="n">
        <v>3</v>
      </c>
    </row>
    <row r="880" customFormat="false" ht="35.05" hidden="false" customHeight="false" outlineLevel="0" collapsed="false">
      <c r="A880" s="76" t="n">
        <v>858</v>
      </c>
      <c r="B880" s="20" t="s">
        <v>1526</v>
      </c>
      <c r="C880" s="20" t="s">
        <v>508</v>
      </c>
      <c r="D880" s="20" t="s">
        <v>564</v>
      </c>
      <c r="E880" s="20" t="s">
        <v>149</v>
      </c>
      <c r="F880" s="76" t="s">
        <v>539</v>
      </c>
      <c r="G880" s="20" t="s">
        <v>1549</v>
      </c>
      <c r="H880" s="55" t="n">
        <v>12</v>
      </c>
      <c r="I880" s="76" t="s">
        <v>512</v>
      </c>
      <c r="J880" s="76" t="n">
        <v>200</v>
      </c>
      <c r="K880" s="82" t="n">
        <v>1</v>
      </c>
      <c r="L880" s="55" t="n">
        <v>6</v>
      </c>
      <c r="M880" s="73" t="n">
        <v>1.2</v>
      </c>
      <c r="N880" s="74" t="n">
        <f aca="false">K880*L880*M880</f>
        <v>7.2</v>
      </c>
      <c r="O880" s="41" t="n">
        <f aca="false">IFERROR(INDEX(Исходные!$B$21:$B$33,MATCH(H880,Исходные!$A$21:$A$33,0)),0)</f>
        <v>0.888</v>
      </c>
      <c r="P880" s="83" t="n">
        <f aca="false">N880*O880</f>
        <v>6.3936</v>
      </c>
      <c r="Q880" s="20" t="s">
        <v>1214</v>
      </c>
      <c r="R880" s="84" t="s">
        <v>514</v>
      </c>
      <c r="S880" s="20"/>
      <c r="T880" s="20" t="s">
        <v>12</v>
      </c>
      <c r="U880" s="53" t="n">
        <v>0</v>
      </c>
      <c r="V880" s="76" t="s">
        <v>149</v>
      </c>
      <c r="W880" s="53" t="n">
        <v>3</v>
      </c>
    </row>
    <row r="881" customFormat="false" ht="35.05" hidden="false" customHeight="false" outlineLevel="0" collapsed="false">
      <c r="A881" s="76" t="n">
        <v>859</v>
      </c>
      <c r="B881" s="20" t="s">
        <v>1526</v>
      </c>
      <c r="C881" s="20" t="s">
        <v>508</v>
      </c>
      <c r="D881" s="20" t="s">
        <v>564</v>
      </c>
      <c r="E881" s="20" t="s">
        <v>149</v>
      </c>
      <c r="F881" s="76" t="s">
        <v>1538</v>
      </c>
      <c r="G881" s="20" t="s">
        <v>1550</v>
      </c>
      <c r="H881" s="55" t="n">
        <v>16</v>
      </c>
      <c r="I881" s="76" t="s">
        <v>512</v>
      </c>
      <c r="J881" s="76" t="s">
        <v>164</v>
      </c>
      <c r="K881" s="82" t="n">
        <v>1</v>
      </c>
      <c r="L881" s="55" t="n">
        <v>4</v>
      </c>
      <c r="M881" s="73" t="n">
        <v>1.6</v>
      </c>
      <c r="N881" s="74" t="n">
        <f aca="false">K881*L881*M881</f>
        <v>6.4</v>
      </c>
      <c r="O881" s="41" t="n">
        <f aca="false">IFERROR(INDEX(Исходные!$B$21:$B$33,MATCH(H881,Исходные!$A$21:$A$33,0)),0)</f>
        <v>1.578</v>
      </c>
      <c r="P881" s="83" t="n">
        <f aca="false">N881*O881</f>
        <v>10.0992</v>
      </c>
      <c r="Q881" s="20" t="s">
        <v>1551</v>
      </c>
      <c r="R881" s="85" t="s">
        <v>535</v>
      </c>
      <c r="S881" s="20" t="s">
        <v>1541</v>
      </c>
      <c r="T881" s="20" t="s">
        <v>12</v>
      </c>
      <c r="U881" s="53" t="n">
        <v>1</v>
      </c>
      <c r="V881" s="76" t="s">
        <v>149</v>
      </c>
      <c r="W881" s="53" t="n">
        <v>3</v>
      </c>
    </row>
    <row r="882" customFormat="false" ht="35.05" hidden="false" customHeight="false" outlineLevel="0" collapsed="false">
      <c r="A882" s="76" t="n">
        <v>860</v>
      </c>
      <c r="B882" s="20" t="s">
        <v>1526</v>
      </c>
      <c r="C882" s="20" t="s">
        <v>508</v>
      </c>
      <c r="D882" s="20" t="s">
        <v>564</v>
      </c>
      <c r="E882" s="20" t="s">
        <v>149</v>
      </c>
      <c r="F882" s="76" t="s">
        <v>544</v>
      </c>
      <c r="G882" s="20" t="s">
        <v>1217</v>
      </c>
      <c r="H882" s="55" t="n">
        <v>10</v>
      </c>
      <c r="I882" s="76" t="s">
        <v>546</v>
      </c>
      <c r="J882" s="76" t="s">
        <v>547</v>
      </c>
      <c r="K882" s="82" t="n">
        <v>1</v>
      </c>
      <c r="L882" s="55" t="n">
        <v>32</v>
      </c>
      <c r="M882" s="73" t="n">
        <v>1.33</v>
      </c>
      <c r="N882" s="74" t="n">
        <f aca="false">K882*L882*M882</f>
        <v>42.56</v>
      </c>
      <c r="O882" s="41" t="n">
        <f aca="false">IFERROR(INDEX(Исходные!$B$21:$B$33,MATCH(H882,Исходные!$A$21:$A$33,0)),0)</f>
        <v>0.617</v>
      </c>
      <c r="P882" s="83" t="n">
        <f aca="false">N882*O882</f>
        <v>26.25952</v>
      </c>
      <c r="Q882" s="20" t="s">
        <v>1552</v>
      </c>
      <c r="R882" s="84" t="s">
        <v>514</v>
      </c>
      <c r="S882" s="20"/>
      <c r="T882" s="20" t="s">
        <v>12</v>
      </c>
      <c r="U882" s="53" t="n">
        <v>0</v>
      </c>
      <c r="V882" s="76" t="s">
        <v>149</v>
      </c>
      <c r="W882" s="53" t="n">
        <v>3</v>
      </c>
    </row>
    <row r="883" customFormat="false" ht="35.05" hidden="false" customHeight="false" outlineLevel="0" collapsed="false">
      <c r="A883" s="76" t="n">
        <v>861</v>
      </c>
      <c r="B883" s="20" t="s">
        <v>1526</v>
      </c>
      <c r="C883" s="20" t="s">
        <v>508</v>
      </c>
      <c r="D883" s="20" t="s">
        <v>564</v>
      </c>
      <c r="E883" s="20" t="s">
        <v>149</v>
      </c>
      <c r="F883" s="76" t="s">
        <v>696</v>
      </c>
      <c r="G883" s="20" t="s">
        <v>1219</v>
      </c>
      <c r="H883" s="55" t="n">
        <v>8</v>
      </c>
      <c r="I883" s="76" t="s">
        <v>546</v>
      </c>
      <c r="J883" s="76" t="s">
        <v>547</v>
      </c>
      <c r="K883" s="82" t="n">
        <v>1</v>
      </c>
      <c r="L883" s="55" t="n">
        <v>16</v>
      </c>
      <c r="M883" s="73" t="n">
        <v>1.56</v>
      </c>
      <c r="N883" s="74" t="n">
        <f aca="false">K883*L883*M883</f>
        <v>24.96</v>
      </c>
      <c r="O883" s="41" t="n">
        <f aca="false">IFERROR(INDEX(Исходные!$B$21:$B$33,MATCH(H883,Исходные!$A$21:$A$33,0)),0)</f>
        <v>0.395</v>
      </c>
      <c r="P883" s="83" t="n">
        <f aca="false">N883*O883</f>
        <v>9.8592</v>
      </c>
      <c r="Q883" s="20" t="s">
        <v>1553</v>
      </c>
      <c r="R883" s="84" t="s">
        <v>514</v>
      </c>
      <c r="S883" s="20"/>
      <c r="T883" s="20" t="s">
        <v>12</v>
      </c>
      <c r="U883" s="53" t="n">
        <v>0</v>
      </c>
      <c r="V883" s="76" t="s">
        <v>149</v>
      </c>
      <c r="W883" s="53" t="n">
        <v>3</v>
      </c>
    </row>
    <row r="884" customFormat="false" ht="35.05" hidden="false" customHeight="false" outlineLevel="0" collapsed="false">
      <c r="A884" s="76" t="n">
        <v>862</v>
      </c>
      <c r="B884" s="20" t="s">
        <v>1526</v>
      </c>
      <c r="C884" s="20" t="s">
        <v>508</v>
      </c>
      <c r="D884" s="20" t="s">
        <v>564</v>
      </c>
      <c r="E884" s="20" t="s">
        <v>149</v>
      </c>
      <c r="F884" s="76" t="s">
        <v>603</v>
      </c>
      <c r="G884" s="20" t="s">
        <v>1195</v>
      </c>
      <c r="H884" s="55" t="n">
        <v>8</v>
      </c>
      <c r="I884" s="76" t="s">
        <v>546</v>
      </c>
      <c r="J884" s="76" t="s">
        <v>547</v>
      </c>
      <c r="K884" s="82" t="n">
        <v>1</v>
      </c>
      <c r="L884" s="55" t="n">
        <v>16</v>
      </c>
      <c r="M884" s="73" t="n">
        <v>1.76</v>
      </c>
      <c r="N884" s="74" t="n">
        <f aca="false">K884*L884*M884</f>
        <v>28.16</v>
      </c>
      <c r="O884" s="41" t="n">
        <f aca="false">IFERROR(INDEX(Исходные!$B$21:$B$33,MATCH(H884,Исходные!$A$21:$A$33,0)),0)</f>
        <v>0.395</v>
      </c>
      <c r="P884" s="83" t="n">
        <f aca="false">N884*O884</f>
        <v>11.1232</v>
      </c>
      <c r="Q884" s="20" t="s">
        <v>1554</v>
      </c>
      <c r="R884" s="84" t="s">
        <v>514</v>
      </c>
      <c r="S884" s="20"/>
      <c r="T884" s="20" t="s">
        <v>12</v>
      </c>
      <c r="U884" s="53" t="n">
        <v>0</v>
      </c>
      <c r="V884" s="76" t="s">
        <v>149</v>
      </c>
      <c r="W884" s="53" t="n">
        <v>3</v>
      </c>
    </row>
    <row r="885" customFormat="false" ht="35.05" hidden="false" customHeight="false" outlineLevel="0" collapsed="false">
      <c r="A885" s="76" t="n">
        <v>863</v>
      </c>
      <c r="B885" s="20" t="s">
        <v>1526</v>
      </c>
      <c r="C885" s="20" t="s">
        <v>508</v>
      </c>
      <c r="D885" s="20" t="s">
        <v>564</v>
      </c>
      <c r="E885" s="20" t="s">
        <v>149</v>
      </c>
      <c r="F885" s="76" t="s">
        <v>555</v>
      </c>
      <c r="G885" s="20" t="s">
        <v>1197</v>
      </c>
      <c r="H885" s="55" t="n">
        <v>8</v>
      </c>
      <c r="I885" s="76" t="s">
        <v>546</v>
      </c>
      <c r="J885" s="76" t="s">
        <v>547</v>
      </c>
      <c r="K885" s="82" t="n">
        <v>1</v>
      </c>
      <c r="L885" s="55" t="n">
        <v>28</v>
      </c>
      <c r="M885" s="73" t="n">
        <v>2.44</v>
      </c>
      <c r="N885" s="74" t="n">
        <f aca="false">K885*L885*M885</f>
        <v>68.32</v>
      </c>
      <c r="O885" s="41" t="n">
        <f aca="false">IFERROR(INDEX(Исходные!$B$21:$B$33,MATCH(H885,Исходные!$A$21:$A$33,0)),0)</f>
        <v>0.395</v>
      </c>
      <c r="P885" s="83" t="n">
        <f aca="false">N885*O885</f>
        <v>26.9864</v>
      </c>
      <c r="Q885" s="20" t="s">
        <v>1198</v>
      </c>
      <c r="R885" s="84" t="s">
        <v>514</v>
      </c>
      <c r="S885" s="20"/>
      <c r="T885" s="20" t="s">
        <v>12</v>
      </c>
      <c r="U885" s="53" t="n">
        <v>0</v>
      </c>
      <c r="V885" s="76" t="s">
        <v>149</v>
      </c>
      <c r="W885" s="53" t="n">
        <v>3</v>
      </c>
    </row>
    <row r="886" customFormat="false" ht="35.05" hidden="false" customHeight="false" outlineLevel="0" collapsed="false">
      <c r="A886" s="76" t="n">
        <v>864</v>
      </c>
      <c r="B886" s="20" t="s">
        <v>1526</v>
      </c>
      <c r="C886" s="20" t="s">
        <v>508</v>
      </c>
      <c r="D886" s="20" t="s">
        <v>564</v>
      </c>
      <c r="E886" s="20" t="s">
        <v>149</v>
      </c>
      <c r="F886" s="76" t="s">
        <v>558</v>
      </c>
      <c r="G886" s="20" t="s">
        <v>1199</v>
      </c>
      <c r="H886" s="55" t="n">
        <v>8</v>
      </c>
      <c r="I886" s="76" t="s">
        <v>546</v>
      </c>
      <c r="J886" s="76" t="s">
        <v>547</v>
      </c>
      <c r="K886" s="82" t="n">
        <v>1</v>
      </c>
      <c r="L886" s="55" t="n">
        <v>32</v>
      </c>
      <c r="M886" s="73" t="n">
        <v>1.96</v>
      </c>
      <c r="N886" s="74" t="n">
        <f aca="false">K886*L886*M886</f>
        <v>62.72</v>
      </c>
      <c r="O886" s="41" t="n">
        <f aca="false">IFERROR(INDEX(Исходные!$B$21:$B$33,MATCH(H886,Исходные!$A$21:$A$33,0)),0)</f>
        <v>0.395</v>
      </c>
      <c r="P886" s="83" t="n">
        <f aca="false">N886*O886</f>
        <v>24.7744</v>
      </c>
      <c r="Q886" s="20" t="s">
        <v>1555</v>
      </c>
      <c r="R886" s="84" t="s">
        <v>514</v>
      </c>
      <c r="S886" s="20"/>
      <c r="T886" s="20" t="s">
        <v>12</v>
      </c>
      <c r="U886" s="53" t="n">
        <v>0</v>
      </c>
      <c r="V886" s="76" t="s">
        <v>149</v>
      </c>
      <c r="W886" s="53" t="n">
        <v>3</v>
      </c>
    </row>
    <row r="887" customFormat="false" ht="35.05" hidden="false" customHeight="false" outlineLevel="0" collapsed="false">
      <c r="A887" s="76" t="n">
        <v>865</v>
      </c>
      <c r="B887" s="20" t="s">
        <v>1526</v>
      </c>
      <c r="C887" s="20" t="s">
        <v>508</v>
      </c>
      <c r="D887" s="20" t="s">
        <v>564</v>
      </c>
      <c r="E887" s="20" t="s">
        <v>149</v>
      </c>
      <c r="F887" s="76" t="s">
        <v>561</v>
      </c>
      <c r="G887" s="20" t="s">
        <v>1223</v>
      </c>
      <c r="H887" s="55" t="n">
        <v>8</v>
      </c>
      <c r="I887" s="76" t="s">
        <v>546</v>
      </c>
      <c r="J887" s="76" t="s">
        <v>547</v>
      </c>
      <c r="K887" s="82" t="n">
        <v>1</v>
      </c>
      <c r="L887" s="55" t="n">
        <v>56</v>
      </c>
      <c r="M887" s="73" t="n">
        <v>0.53</v>
      </c>
      <c r="N887" s="74" t="n">
        <f aca="false">K887*L887*M887</f>
        <v>29.68</v>
      </c>
      <c r="O887" s="41" t="n">
        <f aca="false">IFERROR(INDEX(Исходные!$B$21:$B$33,MATCH(H887,Исходные!$A$21:$A$33,0)),0)</f>
        <v>0.395</v>
      </c>
      <c r="P887" s="83" t="n">
        <f aca="false">N887*O887</f>
        <v>11.7236</v>
      </c>
      <c r="Q887" s="20" t="s">
        <v>1556</v>
      </c>
      <c r="R887" s="84" t="s">
        <v>514</v>
      </c>
      <c r="S887" s="20"/>
      <c r="T887" s="20" t="s">
        <v>12</v>
      </c>
      <c r="U887" s="53" t="n">
        <v>0</v>
      </c>
      <c r="V887" s="76" t="s">
        <v>149</v>
      </c>
      <c r="W887" s="53" t="n">
        <v>3</v>
      </c>
    </row>
    <row r="888" customFormat="false" ht="35.05" hidden="false" customHeight="false" outlineLevel="0" collapsed="false">
      <c r="A888" s="76" t="n">
        <v>866</v>
      </c>
      <c r="B888" s="20" t="s">
        <v>1526</v>
      </c>
      <c r="C888" s="20" t="s">
        <v>508</v>
      </c>
      <c r="D888" s="20" t="s">
        <v>586</v>
      </c>
      <c r="E888" s="20" t="s">
        <v>154</v>
      </c>
      <c r="F888" s="76" t="s">
        <v>519</v>
      </c>
      <c r="G888" s="20" t="s">
        <v>1168</v>
      </c>
      <c r="H888" s="55" t="n">
        <v>28</v>
      </c>
      <c r="I888" s="76" t="s">
        <v>512</v>
      </c>
      <c r="J888" s="76" t="s">
        <v>164</v>
      </c>
      <c r="K888" s="82" t="n">
        <v>1</v>
      </c>
      <c r="L888" s="55" t="n">
        <v>4</v>
      </c>
      <c r="M888" s="73" t="n">
        <v>3.6</v>
      </c>
      <c r="N888" s="74" t="n">
        <f aca="false">K888*L888*M888</f>
        <v>14.4</v>
      </c>
      <c r="O888" s="41" t="n">
        <f aca="false">IFERROR(INDEX(Исходные!$B$21:$B$33,MATCH(H888,Исходные!$A$21:$A$33,0)),0)</f>
        <v>4.834</v>
      </c>
      <c r="P888" s="83" t="n">
        <f aca="false">N888*O888</f>
        <v>69.6096</v>
      </c>
      <c r="Q888" s="20" t="s">
        <v>1557</v>
      </c>
      <c r="R888" s="84" t="s">
        <v>514</v>
      </c>
      <c r="S888" s="20" t="s">
        <v>1204</v>
      </c>
      <c r="T888" s="20" t="s">
        <v>12</v>
      </c>
      <c r="U888" s="53" t="n">
        <v>0</v>
      </c>
      <c r="V888" s="76" t="s">
        <v>154</v>
      </c>
      <c r="W888" s="53" t="n">
        <v>3</v>
      </c>
    </row>
    <row r="889" customFormat="false" ht="35.05" hidden="false" customHeight="false" outlineLevel="0" collapsed="false">
      <c r="A889" s="76" t="n">
        <v>867</v>
      </c>
      <c r="B889" s="20" t="s">
        <v>1526</v>
      </c>
      <c r="C889" s="20" t="s">
        <v>508</v>
      </c>
      <c r="D889" s="20" t="s">
        <v>586</v>
      </c>
      <c r="E889" s="20" t="s">
        <v>154</v>
      </c>
      <c r="F889" s="76" t="s">
        <v>516</v>
      </c>
      <c r="G889" s="20" t="s">
        <v>1171</v>
      </c>
      <c r="H889" s="55" t="n">
        <v>20</v>
      </c>
      <c r="I889" s="76" t="s">
        <v>512</v>
      </c>
      <c r="J889" s="76" t="s">
        <v>164</v>
      </c>
      <c r="K889" s="82" t="n">
        <v>1</v>
      </c>
      <c r="L889" s="55" t="n">
        <v>8</v>
      </c>
      <c r="M889" s="73" t="n">
        <v>3.6</v>
      </c>
      <c r="N889" s="74" t="n">
        <f aca="false">K889*L889*M889</f>
        <v>28.8</v>
      </c>
      <c r="O889" s="41" t="n">
        <f aca="false">IFERROR(INDEX(Исходные!$B$21:$B$33,MATCH(H889,Исходные!$A$21:$A$33,0)),0)</f>
        <v>2.466</v>
      </c>
      <c r="P889" s="83" t="n">
        <f aca="false">N889*O889</f>
        <v>71.0208</v>
      </c>
      <c r="Q889" s="20" t="s">
        <v>1557</v>
      </c>
      <c r="R889" s="84" t="s">
        <v>514</v>
      </c>
      <c r="S889" s="20" t="s">
        <v>1206</v>
      </c>
      <c r="T889" s="20" t="s">
        <v>12</v>
      </c>
      <c r="U889" s="53" t="n">
        <v>0</v>
      </c>
      <c r="V889" s="76" t="s">
        <v>154</v>
      </c>
      <c r="W889" s="53" t="n">
        <v>3</v>
      </c>
    </row>
    <row r="890" customFormat="false" ht="35.05" hidden="false" customHeight="false" outlineLevel="0" collapsed="false">
      <c r="A890" s="76" t="n">
        <v>868</v>
      </c>
      <c r="B890" s="20" t="s">
        <v>1526</v>
      </c>
      <c r="C890" s="20" t="s">
        <v>508</v>
      </c>
      <c r="D890" s="20" t="s">
        <v>586</v>
      </c>
      <c r="E890" s="20" t="s">
        <v>154</v>
      </c>
      <c r="F890" s="76" t="s">
        <v>522</v>
      </c>
      <c r="G890" s="20" t="s">
        <v>1226</v>
      </c>
      <c r="H890" s="55" t="n">
        <v>25</v>
      </c>
      <c r="I890" s="76" t="s">
        <v>512</v>
      </c>
      <c r="J890" s="76" t="s">
        <v>164</v>
      </c>
      <c r="K890" s="82" t="n">
        <v>1</v>
      </c>
      <c r="L890" s="55" t="n">
        <v>12</v>
      </c>
      <c r="M890" s="73" t="n">
        <v>3.6</v>
      </c>
      <c r="N890" s="74" t="n">
        <f aca="false">K890*L890*M890</f>
        <v>43.2</v>
      </c>
      <c r="O890" s="41" t="n">
        <f aca="false">IFERROR(INDEX(Исходные!$B$21:$B$33,MATCH(H890,Исходные!$A$21:$A$33,0)),0)</f>
        <v>3.853</v>
      </c>
      <c r="P890" s="83" t="n">
        <f aca="false">N890*O890</f>
        <v>166.4496</v>
      </c>
      <c r="Q890" s="20" t="s">
        <v>1557</v>
      </c>
      <c r="R890" s="84" t="s">
        <v>514</v>
      </c>
      <c r="S890" s="20" t="s">
        <v>1227</v>
      </c>
      <c r="T890" s="20" t="s">
        <v>12</v>
      </c>
      <c r="U890" s="53" t="n">
        <v>0</v>
      </c>
      <c r="V890" s="76" t="s">
        <v>154</v>
      </c>
      <c r="W890" s="53" t="n">
        <v>3</v>
      </c>
    </row>
    <row r="891" customFormat="false" ht="35.05" hidden="false" customHeight="false" outlineLevel="0" collapsed="false">
      <c r="A891" s="76" t="n">
        <v>869</v>
      </c>
      <c r="B891" s="20" t="s">
        <v>1526</v>
      </c>
      <c r="C891" s="20" t="s">
        <v>508</v>
      </c>
      <c r="D891" s="20" t="s">
        <v>586</v>
      </c>
      <c r="E891" s="20" t="s">
        <v>154</v>
      </c>
      <c r="F891" s="76" t="s">
        <v>529</v>
      </c>
      <c r="G891" s="20" t="s">
        <v>1228</v>
      </c>
      <c r="H891" s="55" t="n">
        <v>18</v>
      </c>
      <c r="I891" s="76" t="s">
        <v>512</v>
      </c>
      <c r="J891" s="76" t="s">
        <v>164</v>
      </c>
      <c r="K891" s="82" t="n">
        <v>1</v>
      </c>
      <c r="L891" s="55" t="n">
        <v>8</v>
      </c>
      <c r="M891" s="73" t="n">
        <v>3.744</v>
      </c>
      <c r="N891" s="74" t="n">
        <f aca="false">K891*L891*M891</f>
        <v>29.952</v>
      </c>
      <c r="O891" s="41" t="n">
        <f aca="false">IFERROR(INDEX(Исходные!$B$21:$B$33,MATCH(H891,Исходные!$A$21:$A$33,0)),0)</f>
        <v>1.998</v>
      </c>
      <c r="P891" s="83" t="n">
        <f aca="false">N891*O891</f>
        <v>59.844096</v>
      </c>
      <c r="Q891" s="20" t="s">
        <v>1557</v>
      </c>
      <c r="R891" s="84" t="s">
        <v>514</v>
      </c>
      <c r="S891" s="20" t="s">
        <v>1229</v>
      </c>
      <c r="T891" s="20" t="s">
        <v>12</v>
      </c>
      <c r="U891" s="53" t="n">
        <v>0</v>
      </c>
      <c r="V891" s="76" t="s">
        <v>154</v>
      </c>
      <c r="W891" s="53" t="n">
        <v>3</v>
      </c>
    </row>
    <row r="892" customFormat="false" ht="35.05" hidden="false" customHeight="false" outlineLevel="0" collapsed="false">
      <c r="A892" s="76" t="n">
        <v>870</v>
      </c>
      <c r="B892" s="20" t="s">
        <v>1526</v>
      </c>
      <c r="C892" s="20" t="s">
        <v>508</v>
      </c>
      <c r="D892" s="20" t="s">
        <v>586</v>
      </c>
      <c r="E892" s="20" t="s">
        <v>154</v>
      </c>
      <c r="F892" s="76" t="s">
        <v>529</v>
      </c>
      <c r="G892" s="20" t="s">
        <v>1230</v>
      </c>
      <c r="H892" s="55" t="n">
        <v>18</v>
      </c>
      <c r="I892" s="76" t="s">
        <v>512</v>
      </c>
      <c r="J892" s="76" t="s">
        <v>164</v>
      </c>
      <c r="K892" s="82" t="n">
        <v>1</v>
      </c>
      <c r="L892" s="55" t="n">
        <v>6</v>
      </c>
      <c r="M892" s="73" t="n">
        <v>3.744</v>
      </c>
      <c r="N892" s="74" t="n">
        <f aca="false">K892*L892*M892</f>
        <v>22.464</v>
      </c>
      <c r="O892" s="41" t="n">
        <f aca="false">IFERROR(INDEX(Исходные!$B$21:$B$33,MATCH(H892,Исходные!$A$21:$A$33,0)),0)</f>
        <v>1.998</v>
      </c>
      <c r="P892" s="83" t="n">
        <f aca="false">N892*O892</f>
        <v>44.883072</v>
      </c>
      <c r="Q892" s="20" t="s">
        <v>1557</v>
      </c>
      <c r="R892" s="84" t="s">
        <v>514</v>
      </c>
      <c r="S892" s="20" t="s">
        <v>1231</v>
      </c>
      <c r="T892" s="20" t="s">
        <v>12</v>
      </c>
      <c r="U892" s="53" t="n">
        <v>0</v>
      </c>
      <c r="V892" s="76" t="s">
        <v>154</v>
      </c>
      <c r="W892" s="53" t="n">
        <v>3</v>
      </c>
    </row>
    <row r="893" customFormat="false" ht="35.05" hidden="false" customHeight="false" outlineLevel="0" collapsed="false">
      <c r="A893" s="76" t="n">
        <v>871</v>
      </c>
      <c r="B893" s="20" t="s">
        <v>1526</v>
      </c>
      <c r="C893" s="20" t="s">
        <v>508</v>
      </c>
      <c r="D893" s="20" t="s">
        <v>586</v>
      </c>
      <c r="E893" s="20" t="s">
        <v>154</v>
      </c>
      <c r="F893" s="76" t="s">
        <v>522</v>
      </c>
      <c r="G893" s="20" t="s">
        <v>1232</v>
      </c>
      <c r="H893" s="55" t="n">
        <v>25</v>
      </c>
      <c r="I893" s="76" t="s">
        <v>512</v>
      </c>
      <c r="J893" s="76" t="s">
        <v>164</v>
      </c>
      <c r="K893" s="82" t="n">
        <v>1</v>
      </c>
      <c r="L893" s="55" t="n">
        <v>6</v>
      </c>
      <c r="M893" s="73" t="n">
        <v>3.6</v>
      </c>
      <c r="N893" s="74" t="n">
        <f aca="false">K893*L893*M893</f>
        <v>21.6</v>
      </c>
      <c r="O893" s="41" t="n">
        <f aca="false">IFERROR(INDEX(Исходные!$B$21:$B$33,MATCH(H893,Исходные!$A$21:$A$33,0)),0)</f>
        <v>3.853</v>
      </c>
      <c r="P893" s="83" t="n">
        <f aca="false">N893*O893</f>
        <v>83.2248</v>
      </c>
      <c r="Q893" s="20" t="s">
        <v>1557</v>
      </c>
      <c r="R893" s="84" t="s">
        <v>514</v>
      </c>
      <c r="S893" s="20" t="s">
        <v>1178</v>
      </c>
      <c r="T893" s="20" t="s">
        <v>12</v>
      </c>
      <c r="U893" s="53" t="n">
        <v>0</v>
      </c>
      <c r="V893" s="76" t="s">
        <v>154</v>
      </c>
      <c r="W893" s="53" t="n">
        <v>3</v>
      </c>
    </row>
    <row r="894" customFormat="false" ht="35.05" hidden="false" customHeight="false" outlineLevel="0" collapsed="false">
      <c r="A894" s="76" t="n">
        <v>872</v>
      </c>
      <c r="B894" s="20" t="s">
        <v>1526</v>
      </c>
      <c r="C894" s="20" t="s">
        <v>508</v>
      </c>
      <c r="D894" s="20" t="s">
        <v>586</v>
      </c>
      <c r="E894" s="20" t="s">
        <v>154</v>
      </c>
      <c r="F894" s="76" t="s">
        <v>532</v>
      </c>
      <c r="G894" s="20" t="s">
        <v>595</v>
      </c>
      <c r="H894" s="55" t="n">
        <v>14</v>
      </c>
      <c r="I894" s="76" t="s">
        <v>512</v>
      </c>
      <c r="J894" s="76" t="n">
        <v>200</v>
      </c>
      <c r="K894" s="82" t="n">
        <v>1</v>
      </c>
      <c r="L894" s="55" t="n">
        <v>32</v>
      </c>
      <c r="M894" s="73" t="n">
        <v>1.95</v>
      </c>
      <c r="N894" s="74" t="n">
        <f aca="false">K894*L894*M894</f>
        <v>62.4</v>
      </c>
      <c r="O894" s="41" t="n">
        <f aca="false">IFERROR(INDEX(Исходные!$B$21:$B$33,MATCH(H894,Исходные!$A$21:$A$33,0)),0)</f>
        <v>1.208</v>
      </c>
      <c r="P894" s="83" t="n">
        <f aca="false">N894*O894</f>
        <v>75.3792</v>
      </c>
      <c r="Q894" s="20" t="s">
        <v>1558</v>
      </c>
      <c r="R894" s="85" t="s">
        <v>535</v>
      </c>
      <c r="S894" s="20" t="s">
        <v>1535</v>
      </c>
      <c r="T894" s="20" t="s">
        <v>12</v>
      </c>
      <c r="U894" s="53" t="n">
        <v>1</v>
      </c>
      <c r="V894" s="76" t="s">
        <v>154</v>
      </c>
      <c r="W894" s="53" t="n">
        <v>3</v>
      </c>
    </row>
    <row r="895" customFormat="false" ht="35.05" hidden="false" customHeight="false" outlineLevel="0" collapsed="false">
      <c r="A895" s="76" t="n">
        <v>873</v>
      </c>
      <c r="B895" s="20" t="s">
        <v>1526</v>
      </c>
      <c r="C895" s="20" t="s">
        <v>508</v>
      </c>
      <c r="D895" s="20" t="s">
        <v>586</v>
      </c>
      <c r="E895" s="20" t="s">
        <v>154</v>
      </c>
      <c r="F895" s="76" t="s">
        <v>532</v>
      </c>
      <c r="G895" s="20" t="s">
        <v>597</v>
      </c>
      <c r="H895" s="55" t="n">
        <v>14</v>
      </c>
      <c r="I895" s="76" t="s">
        <v>512</v>
      </c>
      <c r="J895" s="76" t="n">
        <v>200</v>
      </c>
      <c r="K895" s="82" t="n">
        <v>1</v>
      </c>
      <c r="L895" s="55" t="n">
        <v>32</v>
      </c>
      <c r="M895" s="73" t="n">
        <v>1.45</v>
      </c>
      <c r="N895" s="74" t="n">
        <f aca="false">K895*L895*M895</f>
        <v>46.4</v>
      </c>
      <c r="O895" s="41" t="n">
        <f aca="false">IFERROR(INDEX(Исходные!$B$21:$B$33,MATCH(H895,Исходные!$A$21:$A$33,0)),0)</f>
        <v>1.208</v>
      </c>
      <c r="P895" s="83" t="n">
        <f aca="false">N895*O895</f>
        <v>56.0512</v>
      </c>
      <c r="Q895" s="20" t="s">
        <v>1558</v>
      </c>
      <c r="R895" s="85" t="s">
        <v>535</v>
      </c>
      <c r="S895" s="20" t="s">
        <v>1535</v>
      </c>
      <c r="T895" s="20" t="s">
        <v>12</v>
      </c>
      <c r="U895" s="53" t="n">
        <v>1</v>
      </c>
      <c r="V895" s="76" t="s">
        <v>154</v>
      </c>
      <c r="W895" s="53" t="n">
        <v>3</v>
      </c>
    </row>
    <row r="896" customFormat="false" ht="35.05" hidden="false" customHeight="false" outlineLevel="0" collapsed="false">
      <c r="A896" s="76" t="n">
        <v>874</v>
      </c>
      <c r="B896" s="20" t="s">
        <v>1526</v>
      </c>
      <c r="C896" s="20" t="s">
        <v>508</v>
      </c>
      <c r="D896" s="20" t="s">
        <v>586</v>
      </c>
      <c r="E896" s="20" t="s">
        <v>154</v>
      </c>
      <c r="F896" s="76" t="s">
        <v>539</v>
      </c>
      <c r="G896" s="20" t="s">
        <v>1559</v>
      </c>
      <c r="H896" s="55" t="n">
        <v>10</v>
      </c>
      <c r="I896" s="76" t="s">
        <v>512</v>
      </c>
      <c r="J896" s="76" t="n">
        <v>200</v>
      </c>
      <c r="K896" s="82" t="n">
        <v>1</v>
      </c>
      <c r="L896" s="55" t="n">
        <v>6</v>
      </c>
      <c r="M896" s="73" t="n">
        <v>1.95</v>
      </c>
      <c r="N896" s="74" t="n">
        <f aca="false">K896*L896*M896</f>
        <v>11.7</v>
      </c>
      <c r="O896" s="41" t="n">
        <f aca="false">IFERROR(INDEX(Исходные!$B$21:$B$33,MATCH(H896,Исходные!$A$21:$A$33,0)),0)</f>
        <v>0.617</v>
      </c>
      <c r="P896" s="83" t="n">
        <f aca="false">N896*O896</f>
        <v>7.2189</v>
      </c>
      <c r="Q896" s="20" t="s">
        <v>1235</v>
      </c>
      <c r="R896" s="84" t="s">
        <v>514</v>
      </c>
      <c r="S896" s="20"/>
      <c r="T896" s="20" t="s">
        <v>12</v>
      </c>
      <c r="U896" s="53" t="n">
        <v>0</v>
      </c>
      <c r="V896" s="76" t="s">
        <v>154</v>
      </c>
      <c r="W896" s="53" t="n">
        <v>3</v>
      </c>
    </row>
    <row r="897" customFormat="false" ht="35.05" hidden="false" customHeight="false" outlineLevel="0" collapsed="false">
      <c r="A897" s="76" t="n">
        <v>875</v>
      </c>
      <c r="B897" s="20" t="s">
        <v>1526</v>
      </c>
      <c r="C897" s="20" t="s">
        <v>508</v>
      </c>
      <c r="D897" s="20" t="s">
        <v>586</v>
      </c>
      <c r="E897" s="20" t="s">
        <v>154</v>
      </c>
      <c r="F897" s="76" t="s">
        <v>539</v>
      </c>
      <c r="G897" s="20" t="s">
        <v>1560</v>
      </c>
      <c r="H897" s="55" t="n">
        <v>10</v>
      </c>
      <c r="I897" s="76" t="s">
        <v>512</v>
      </c>
      <c r="J897" s="76" t="n">
        <v>200</v>
      </c>
      <c r="K897" s="82" t="n">
        <v>1</v>
      </c>
      <c r="L897" s="55" t="n">
        <v>6</v>
      </c>
      <c r="M897" s="73" t="n">
        <v>1.95</v>
      </c>
      <c r="N897" s="74" t="n">
        <f aca="false">K897*L897*M897</f>
        <v>11.7</v>
      </c>
      <c r="O897" s="41" t="n">
        <f aca="false">IFERROR(INDEX(Исходные!$B$21:$B$33,MATCH(H897,Исходные!$A$21:$A$33,0)),0)</f>
        <v>0.617</v>
      </c>
      <c r="P897" s="83" t="n">
        <f aca="false">N897*O897</f>
        <v>7.2189</v>
      </c>
      <c r="Q897" s="20" t="s">
        <v>1235</v>
      </c>
      <c r="R897" s="84" t="s">
        <v>514</v>
      </c>
      <c r="S897" s="20"/>
      <c r="T897" s="20" t="s">
        <v>12</v>
      </c>
      <c r="U897" s="53" t="n">
        <v>0</v>
      </c>
      <c r="V897" s="76" t="s">
        <v>154</v>
      </c>
      <c r="W897" s="53" t="n">
        <v>3</v>
      </c>
    </row>
    <row r="898" customFormat="false" ht="35.05" hidden="false" customHeight="false" outlineLevel="0" collapsed="false">
      <c r="A898" s="76" t="n">
        <v>876</v>
      </c>
      <c r="B898" s="20" t="s">
        <v>1526</v>
      </c>
      <c r="C898" s="20" t="s">
        <v>508</v>
      </c>
      <c r="D898" s="20" t="s">
        <v>586</v>
      </c>
      <c r="E898" s="20" t="s">
        <v>154</v>
      </c>
      <c r="F898" s="76" t="s">
        <v>539</v>
      </c>
      <c r="G898" s="20" t="s">
        <v>1561</v>
      </c>
      <c r="H898" s="55" t="n">
        <v>10</v>
      </c>
      <c r="I898" s="76" t="s">
        <v>512</v>
      </c>
      <c r="J898" s="76" t="n">
        <v>200</v>
      </c>
      <c r="K898" s="82" t="n">
        <v>1</v>
      </c>
      <c r="L898" s="55" t="n">
        <v>6</v>
      </c>
      <c r="M898" s="73" t="n">
        <v>1.45</v>
      </c>
      <c r="N898" s="74" t="n">
        <f aca="false">K898*L898*M898</f>
        <v>8.7</v>
      </c>
      <c r="O898" s="41" t="n">
        <f aca="false">IFERROR(INDEX(Исходные!$B$21:$B$33,MATCH(H898,Исходные!$A$21:$A$33,0)),0)</f>
        <v>0.617</v>
      </c>
      <c r="P898" s="83" t="n">
        <f aca="false">N898*O898</f>
        <v>5.3679</v>
      </c>
      <c r="Q898" s="20" t="s">
        <v>1235</v>
      </c>
      <c r="R898" s="84" t="s">
        <v>514</v>
      </c>
      <c r="S898" s="20"/>
      <c r="T898" s="20" t="s">
        <v>12</v>
      </c>
      <c r="U898" s="53" t="n">
        <v>0</v>
      </c>
      <c r="V898" s="76" t="s">
        <v>154</v>
      </c>
      <c r="W898" s="53" t="n">
        <v>3</v>
      </c>
    </row>
    <row r="899" customFormat="false" ht="35.05" hidden="false" customHeight="false" outlineLevel="0" collapsed="false">
      <c r="A899" s="76" t="n">
        <v>877</v>
      </c>
      <c r="B899" s="20" t="s">
        <v>1526</v>
      </c>
      <c r="C899" s="20" t="s">
        <v>508</v>
      </c>
      <c r="D899" s="20" t="s">
        <v>586</v>
      </c>
      <c r="E899" s="20" t="s">
        <v>154</v>
      </c>
      <c r="F899" s="76" t="s">
        <v>539</v>
      </c>
      <c r="G899" s="20" t="s">
        <v>1562</v>
      </c>
      <c r="H899" s="55" t="n">
        <v>10</v>
      </c>
      <c r="I899" s="76" t="s">
        <v>512</v>
      </c>
      <c r="J899" s="76" t="n">
        <v>200</v>
      </c>
      <c r="K899" s="82" t="n">
        <v>1</v>
      </c>
      <c r="L899" s="55" t="n">
        <v>6</v>
      </c>
      <c r="M899" s="73" t="n">
        <v>1.45</v>
      </c>
      <c r="N899" s="74" t="n">
        <f aca="false">K899*L899*M899</f>
        <v>8.7</v>
      </c>
      <c r="O899" s="41" t="n">
        <f aca="false">IFERROR(INDEX(Исходные!$B$21:$B$33,MATCH(H899,Исходные!$A$21:$A$33,0)),0)</f>
        <v>0.617</v>
      </c>
      <c r="P899" s="83" t="n">
        <f aca="false">N899*O899</f>
        <v>5.3679</v>
      </c>
      <c r="Q899" s="20" t="s">
        <v>1235</v>
      </c>
      <c r="R899" s="84" t="s">
        <v>514</v>
      </c>
      <c r="S899" s="20"/>
      <c r="T899" s="20" t="s">
        <v>12</v>
      </c>
      <c r="U899" s="53" t="n">
        <v>0</v>
      </c>
      <c r="V899" s="76" t="s">
        <v>154</v>
      </c>
      <c r="W899" s="53" t="n">
        <v>3</v>
      </c>
    </row>
    <row r="900" customFormat="false" ht="35.05" hidden="false" customHeight="false" outlineLevel="0" collapsed="false">
      <c r="A900" s="76" t="n">
        <v>878</v>
      </c>
      <c r="B900" s="20" t="s">
        <v>1526</v>
      </c>
      <c r="C900" s="20" t="s">
        <v>508</v>
      </c>
      <c r="D900" s="20" t="s">
        <v>586</v>
      </c>
      <c r="E900" s="20" t="s">
        <v>154</v>
      </c>
      <c r="F900" s="76" t="s">
        <v>1538</v>
      </c>
      <c r="G900" s="20" t="s">
        <v>1563</v>
      </c>
      <c r="H900" s="55" t="n">
        <v>16</v>
      </c>
      <c r="I900" s="76" t="s">
        <v>512</v>
      </c>
      <c r="J900" s="76" t="s">
        <v>164</v>
      </c>
      <c r="K900" s="82" t="n">
        <v>1</v>
      </c>
      <c r="L900" s="55" t="n">
        <v>8</v>
      </c>
      <c r="M900" s="73" t="n">
        <v>1.6</v>
      </c>
      <c r="N900" s="74" t="n">
        <f aca="false">K900*L900*M900</f>
        <v>12.8</v>
      </c>
      <c r="O900" s="41" t="n">
        <f aca="false">IFERROR(INDEX(Исходные!$B$21:$B$33,MATCH(H900,Исходные!$A$21:$A$33,0)),0)</f>
        <v>1.578</v>
      </c>
      <c r="P900" s="83" t="n">
        <f aca="false">N900*O900</f>
        <v>20.1984</v>
      </c>
      <c r="Q900" s="20" t="s">
        <v>1564</v>
      </c>
      <c r="R900" s="85" t="s">
        <v>535</v>
      </c>
      <c r="S900" s="20" t="s">
        <v>1541</v>
      </c>
      <c r="T900" s="20" t="s">
        <v>12</v>
      </c>
      <c r="U900" s="53" t="n">
        <v>1</v>
      </c>
      <c r="V900" s="76" t="s">
        <v>154</v>
      </c>
      <c r="W900" s="53" t="n">
        <v>3</v>
      </c>
    </row>
    <row r="901" customFormat="false" ht="35.05" hidden="false" customHeight="false" outlineLevel="0" collapsed="false">
      <c r="A901" s="76" t="n">
        <v>879</v>
      </c>
      <c r="B901" s="20" t="s">
        <v>1526</v>
      </c>
      <c r="C901" s="20" t="s">
        <v>508</v>
      </c>
      <c r="D901" s="20" t="s">
        <v>586</v>
      </c>
      <c r="E901" s="20" t="s">
        <v>154</v>
      </c>
      <c r="F901" s="76" t="s">
        <v>544</v>
      </c>
      <c r="G901" s="20" t="s">
        <v>1191</v>
      </c>
      <c r="H901" s="55" t="n">
        <v>10</v>
      </c>
      <c r="I901" s="76" t="s">
        <v>546</v>
      </c>
      <c r="J901" s="76" t="s">
        <v>547</v>
      </c>
      <c r="K901" s="82" t="n">
        <v>1</v>
      </c>
      <c r="L901" s="55" t="n">
        <v>48</v>
      </c>
      <c r="M901" s="73" t="n">
        <v>1.33</v>
      </c>
      <c r="N901" s="74" t="n">
        <f aca="false">K901*L901*M901</f>
        <v>63.84</v>
      </c>
      <c r="O901" s="41" t="n">
        <f aca="false">IFERROR(INDEX(Исходные!$B$21:$B$33,MATCH(H901,Исходные!$A$21:$A$33,0)),0)</f>
        <v>0.617</v>
      </c>
      <c r="P901" s="83" t="n">
        <f aca="false">N901*O901</f>
        <v>39.38928</v>
      </c>
      <c r="Q901" s="20" t="s">
        <v>1192</v>
      </c>
      <c r="R901" s="84" t="s">
        <v>514</v>
      </c>
      <c r="S901" s="20"/>
      <c r="T901" s="20" t="s">
        <v>12</v>
      </c>
      <c r="U901" s="53" t="n">
        <v>0</v>
      </c>
      <c r="V901" s="76" t="s">
        <v>154</v>
      </c>
      <c r="W901" s="53" t="n">
        <v>3</v>
      </c>
    </row>
    <row r="902" customFormat="false" ht="35.05" hidden="false" customHeight="false" outlineLevel="0" collapsed="false">
      <c r="A902" s="76" t="n">
        <v>880</v>
      </c>
      <c r="B902" s="20" t="s">
        <v>1526</v>
      </c>
      <c r="C902" s="20" t="s">
        <v>508</v>
      </c>
      <c r="D902" s="20" t="s">
        <v>586</v>
      </c>
      <c r="E902" s="20" t="s">
        <v>154</v>
      </c>
      <c r="F902" s="76" t="s">
        <v>696</v>
      </c>
      <c r="G902" s="20" t="s">
        <v>1193</v>
      </c>
      <c r="H902" s="55" t="n">
        <v>8</v>
      </c>
      <c r="I902" s="76" t="s">
        <v>546</v>
      </c>
      <c r="J902" s="76" t="s">
        <v>547</v>
      </c>
      <c r="K902" s="82" t="n">
        <v>1</v>
      </c>
      <c r="L902" s="55" t="n">
        <v>32</v>
      </c>
      <c r="M902" s="73" t="n">
        <v>1.56</v>
      </c>
      <c r="N902" s="74" t="n">
        <f aca="false">K902*L902*M902</f>
        <v>49.92</v>
      </c>
      <c r="O902" s="41" t="n">
        <f aca="false">IFERROR(INDEX(Исходные!$B$21:$B$33,MATCH(H902,Исходные!$A$21:$A$33,0)),0)</f>
        <v>0.395</v>
      </c>
      <c r="P902" s="83" t="n">
        <f aca="false">N902*O902</f>
        <v>19.7184</v>
      </c>
      <c r="Q902" s="20" t="s">
        <v>1194</v>
      </c>
      <c r="R902" s="84" t="s">
        <v>514</v>
      </c>
      <c r="S902" s="20"/>
      <c r="T902" s="20" t="s">
        <v>12</v>
      </c>
      <c r="U902" s="53" t="n">
        <v>0</v>
      </c>
      <c r="V902" s="76" t="s">
        <v>154</v>
      </c>
      <c r="W902" s="53" t="n">
        <v>3</v>
      </c>
    </row>
    <row r="903" customFormat="false" ht="35.05" hidden="false" customHeight="false" outlineLevel="0" collapsed="false">
      <c r="A903" s="76" t="n">
        <v>881</v>
      </c>
      <c r="B903" s="20" t="s">
        <v>1526</v>
      </c>
      <c r="C903" s="20" t="s">
        <v>508</v>
      </c>
      <c r="D903" s="20" t="s">
        <v>586</v>
      </c>
      <c r="E903" s="20" t="s">
        <v>154</v>
      </c>
      <c r="F903" s="76" t="s">
        <v>603</v>
      </c>
      <c r="G903" s="20" t="s">
        <v>1195</v>
      </c>
      <c r="H903" s="55" t="n">
        <v>8</v>
      </c>
      <c r="I903" s="76" t="s">
        <v>546</v>
      </c>
      <c r="J903" s="76" t="s">
        <v>547</v>
      </c>
      <c r="K903" s="82" t="n">
        <v>1</v>
      </c>
      <c r="L903" s="55" t="n">
        <v>16</v>
      </c>
      <c r="M903" s="73" t="n">
        <v>1.76</v>
      </c>
      <c r="N903" s="74" t="n">
        <f aca="false">K903*L903*M903</f>
        <v>28.16</v>
      </c>
      <c r="O903" s="41" t="n">
        <f aca="false">IFERROR(INDEX(Исходные!$B$21:$B$33,MATCH(H903,Исходные!$A$21:$A$33,0)),0)</f>
        <v>0.395</v>
      </c>
      <c r="P903" s="83" t="n">
        <f aca="false">N903*O903</f>
        <v>11.1232</v>
      </c>
      <c r="Q903" s="20" t="s">
        <v>1196</v>
      </c>
      <c r="R903" s="84" t="s">
        <v>514</v>
      </c>
      <c r="S903" s="20"/>
      <c r="T903" s="20" t="s">
        <v>12</v>
      </c>
      <c r="U903" s="53" t="n">
        <v>0</v>
      </c>
      <c r="V903" s="76" t="s">
        <v>154</v>
      </c>
      <c r="W903" s="53" t="n">
        <v>3</v>
      </c>
    </row>
    <row r="904" customFormat="false" ht="35.05" hidden="false" customHeight="false" outlineLevel="0" collapsed="false">
      <c r="A904" s="76" t="n">
        <v>882</v>
      </c>
      <c r="B904" s="20" t="s">
        <v>1526</v>
      </c>
      <c r="C904" s="20" t="s">
        <v>508</v>
      </c>
      <c r="D904" s="20" t="s">
        <v>586</v>
      </c>
      <c r="E904" s="20" t="s">
        <v>154</v>
      </c>
      <c r="F904" s="76" t="s">
        <v>555</v>
      </c>
      <c r="G904" s="20" t="s">
        <v>1197</v>
      </c>
      <c r="H904" s="55" t="n">
        <v>8</v>
      </c>
      <c r="I904" s="76" t="s">
        <v>546</v>
      </c>
      <c r="J904" s="76" t="s">
        <v>547</v>
      </c>
      <c r="K904" s="82" t="n">
        <v>1</v>
      </c>
      <c r="L904" s="55" t="n">
        <v>28</v>
      </c>
      <c r="M904" s="73" t="n">
        <v>2.44</v>
      </c>
      <c r="N904" s="74" t="n">
        <f aca="false">K904*L904*M904</f>
        <v>68.32</v>
      </c>
      <c r="O904" s="41" t="n">
        <f aca="false">IFERROR(INDEX(Исходные!$B$21:$B$33,MATCH(H904,Исходные!$A$21:$A$33,0)),0)</f>
        <v>0.395</v>
      </c>
      <c r="P904" s="83" t="n">
        <f aca="false">N904*O904</f>
        <v>26.9864</v>
      </c>
      <c r="Q904" s="20" t="s">
        <v>1198</v>
      </c>
      <c r="R904" s="84" t="s">
        <v>514</v>
      </c>
      <c r="S904" s="20"/>
      <c r="T904" s="20" t="s">
        <v>12</v>
      </c>
      <c r="U904" s="53" t="n">
        <v>0</v>
      </c>
      <c r="V904" s="76" t="s">
        <v>154</v>
      </c>
      <c r="W904" s="53" t="n">
        <v>3</v>
      </c>
    </row>
    <row r="905" customFormat="false" ht="35.05" hidden="false" customHeight="false" outlineLevel="0" collapsed="false">
      <c r="A905" s="76" t="n">
        <v>883</v>
      </c>
      <c r="B905" s="20" t="s">
        <v>1526</v>
      </c>
      <c r="C905" s="20" t="s">
        <v>508</v>
      </c>
      <c r="D905" s="20" t="s">
        <v>586</v>
      </c>
      <c r="E905" s="20" t="s">
        <v>154</v>
      </c>
      <c r="F905" s="76" t="s">
        <v>558</v>
      </c>
      <c r="G905" s="20" t="s">
        <v>1199</v>
      </c>
      <c r="H905" s="55" t="n">
        <v>8</v>
      </c>
      <c r="I905" s="76" t="s">
        <v>546</v>
      </c>
      <c r="J905" s="76" t="s">
        <v>547</v>
      </c>
      <c r="K905" s="82" t="n">
        <v>1</v>
      </c>
      <c r="L905" s="55" t="n">
        <v>32</v>
      </c>
      <c r="M905" s="73" t="n">
        <v>1.96</v>
      </c>
      <c r="N905" s="74" t="n">
        <f aca="false">K905*L905*M905</f>
        <v>62.72</v>
      </c>
      <c r="O905" s="41" t="n">
        <f aca="false">IFERROR(INDEX(Исходные!$B$21:$B$33,MATCH(H905,Исходные!$A$21:$A$33,0)),0)</f>
        <v>0.395</v>
      </c>
      <c r="P905" s="83" t="n">
        <f aca="false">N905*O905</f>
        <v>24.7744</v>
      </c>
      <c r="Q905" s="20" t="s">
        <v>1200</v>
      </c>
      <c r="R905" s="84" t="s">
        <v>514</v>
      </c>
      <c r="S905" s="20"/>
      <c r="T905" s="20" t="s">
        <v>12</v>
      </c>
      <c r="U905" s="53" t="n">
        <v>0</v>
      </c>
      <c r="V905" s="76" t="s">
        <v>154</v>
      </c>
      <c r="W905" s="53" t="n">
        <v>3</v>
      </c>
    </row>
    <row r="906" customFormat="false" ht="35.05" hidden="false" customHeight="false" outlineLevel="0" collapsed="false">
      <c r="A906" s="76" t="n">
        <v>884</v>
      </c>
      <c r="B906" s="20" t="s">
        <v>1526</v>
      </c>
      <c r="C906" s="20" t="s">
        <v>508</v>
      </c>
      <c r="D906" s="20" t="s">
        <v>586</v>
      </c>
      <c r="E906" s="20" t="s">
        <v>154</v>
      </c>
      <c r="F906" s="76" t="s">
        <v>561</v>
      </c>
      <c r="G906" s="20" t="s">
        <v>1239</v>
      </c>
      <c r="H906" s="55" t="n">
        <v>8</v>
      </c>
      <c r="I906" s="76" t="s">
        <v>546</v>
      </c>
      <c r="J906" s="76" t="s">
        <v>547</v>
      </c>
      <c r="K906" s="82" t="n">
        <v>1</v>
      </c>
      <c r="L906" s="55" t="n">
        <v>72</v>
      </c>
      <c r="M906" s="73" t="n">
        <v>0.53</v>
      </c>
      <c r="N906" s="74" t="n">
        <f aca="false">K906*L906*M906</f>
        <v>38.16</v>
      </c>
      <c r="O906" s="41" t="n">
        <f aca="false">IFERROR(INDEX(Исходные!$B$21:$B$33,MATCH(H906,Исходные!$A$21:$A$33,0)),0)</f>
        <v>0.395</v>
      </c>
      <c r="P906" s="83" t="n">
        <f aca="false">N906*O906</f>
        <v>15.0732</v>
      </c>
      <c r="Q906" s="20" t="s">
        <v>1202</v>
      </c>
      <c r="R906" s="84" t="s">
        <v>514</v>
      </c>
      <c r="S906" s="20"/>
      <c r="T906" s="20" t="s">
        <v>12</v>
      </c>
      <c r="U906" s="53" t="n">
        <v>0</v>
      </c>
      <c r="V906" s="76" t="s">
        <v>154</v>
      </c>
      <c r="W906" s="53" t="n">
        <v>3</v>
      </c>
    </row>
    <row r="907" customFormat="false" ht="35.05" hidden="false" customHeight="false" outlineLevel="0" collapsed="false">
      <c r="A907" s="76" t="n">
        <v>885</v>
      </c>
      <c r="B907" s="20" t="s">
        <v>1526</v>
      </c>
      <c r="C907" s="20" t="s">
        <v>508</v>
      </c>
      <c r="D907" s="20" t="s">
        <v>605</v>
      </c>
      <c r="E907" s="20" t="s">
        <v>155</v>
      </c>
      <c r="F907" s="76" t="s">
        <v>519</v>
      </c>
      <c r="G907" s="20" t="s">
        <v>1168</v>
      </c>
      <c r="H907" s="55" t="n">
        <v>28</v>
      </c>
      <c r="I907" s="76" t="s">
        <v>512</v>
      </c>
      <c r="J907" s="76" t="s">
        <v>164</v>
      </c>
      <c r="K907" s="82" t="n">
        <v>1</v>
      </c>
      <c r="L907" s="55" t="n">
        <v>4</v>
      </c>
      <c r="M907" s="73" t="n">
        <v>3.6</v>
      </c>
      <c r="N907" s="74" t="n">
        <f aca="false">K907*L907*M907</f>
        <v>14.4</v>
      </c>
      <c r="O907" s="41" t="n">
        <f aca="false">IFERROR(INDEX(Исходные!$B$21:$B$33,MATCH(H907,Исходные!$A$21:$A$33,0)),0)</f>
        <v>4.834</v>
      </c>
      <c r="P907" s="83" t="n">
        <f aca="false">N907*O907</f>
        <v>69.6096</v>
      </c>
      <c r="Q907" s="20" t="s">
        <v>1565</v>
      </c>
      <c r="R907" s="84" t="s">
        <v>514</v>
      </c>
      <c r="S907" s="20" t="s">
        <v>1204</v>
      </c>
      <c r="T907" s="20" t="s">
        <v>12</v>
      </c>
      <c r="U907" s="53" t="n">
        <v>0</v>
      </c>
      <c r="V907" s="76" t="s">
        <v>155</v>
      </c>
      <c r="W907" s="53" t="n">
        <v>3</v>
      </c>
    </row>
    <row r="908" customFormat="false" ht="35.05" hidden="false" customHeight="false" outlineLevel="0" collapsed="false">
      <c r="A908" s="76" t="n">
        <v>886</v>
      </c>
      <c r="B908" s="20" t="s">
        <v>1526</v>
      </c>
      <c r="C908" s="20" t="s">
        <v>508</v>
      </c>
      <c r="D908" s="20" t="s">
        <v>605</v>
      </c>
      <c r="E908" s="20" t="s">
        <v>155</v>
      </c>
      <c r="F908" s="76" t="s">
        <v>516</v>
      </c>
      <c r="G908" s="20" t="s">
        <v>1241</v>
      </c>
      <c r="H908" s="55" t="n">
        <v>20</v>
      </c>
      <c r="I908" s="76" t="s">
        <v>512</v>
      </c>
      <c r="J908" s="76" t="s">
        <v>164</v>
      </c>
      <c r="K908" s="82" t="n">
        <v>1</v>
      </c>
      <c r="L908" s="55" t="n">
        <v>8</v>
      </c>
      <c r="M908" s="73" t="n">
        <v>3.6</v>
      </c>
      <c r="N908" s="74" t="n">
        <f aca="false">K908*L908*M908</f>
        <v>28.8</v>
      </c>
      <c r="O908" s="41" t="n">
        <f aca="false">IFERROR(INDEX(Исходные!$B$21:$B$33,MATCH(H908,Исходные!$A$21:$A$33,0)),0)</f>
        <v>2.466</v>
      </c>
      <c r="P908" s="83" t="n">
        <f aca="false">N908*O908</f>
        <v>71.0208</v>
      </c>
      <c r="Q908" s="20" t="s">
        <v>1565</v>
      </c>
      <c r="R908" s="84" t="s">
        <v>514</v>
      </c>
      <c r="S908" s="20" t="s">
        <v>1206</v>
      </c>
      <c r="T908" s="20" t="s">
        <v>12</v>
      </c>
      <c r="U908" s="53" t="n">
        <v>0</v>
      </c>
      <c r="V908" s="76" t="s">
        <v>155</v>
      </c>
      <c r="W908" s="53" t="n">
        <v>3</v>
      </c>
    </row>
    <row r="909" customFormat="false" ht="35.05" hidden="false" customHeight="false" outlineLevel="0" collapsed="false">
      <c r="A909" s="76" t="n">
        <v>887</v>
      </c>
      <c r="B909" s="20" t="s">
        <v>1526</v>
      </c>
      <c r="C909" s="20" t="s">
        <v>508</v>
      </c>
      <c r="D909" s="20" t="s">
        <v>605</v>
      </c>
      <c r="E909" s="20" t="s">
        <v>155</v>
      </c>
      <c r="F909" s="76" t="s">
        <v>669</v>
      </c>
      <c r="G909" s="20" t="s">
        <v>1242</v>
      </c>
      <c r="H909" s="55" t="n">
        <v>16</v>
      </c>
      <c r="I909" s="76" t="s">
        <v>512</v>
      </c>
      <c r="J909" s="76" t="s">
        <v>164</v>
      </c>
      <c r="K909" s="82" t="n">
        <v>1</v>
      </c>
      <c r="L909" s="55" t="n">
        <v>6</v>
      </c>
      <c r="M909" s="73" t="n">
        <v>3.728</v>
      </c>
      <c r="N909" s="74" t="n">
        <f aca="false">K909*L909*M909</f>
        <v>22.368</v>
      </c>
      <c r="O909" s="41" t="n">
        <f aca="false">IFERROR(INDEX(Исходные!$B$21:$B$33,MATCH(H909,Исходные!$A$21:$A$33,0)),0)</f>
        <v>1.578</v>
      </c>
      <c r="P909" s="83" t="n">
        <f aca="false">N909*O909</f>
        <v>35.296704</v>
      </c>
      <c r="Q909" s="20" t="s">
        <v>1565</v>
      </c>
      <c r="R909" s="84" t="s">
        <v>514</v>
      </c>
      <c r="S909" s="20" t="s">
        <v>1243</v>
      </c>
      <c r="T909" s="20" t="s">
        <v>12</v>
      </c>
      <c r="U909" s="53" t="n">
        <v>0</v>
      </c>
      <c r="V909" s="76" t="s">
        <v>155</v>
      </c>
      <c r="W909" s="53" t="n">
        <v>3</v>
      </c>
    </row>
    <row r="910" customFormat="false" ht="35.05" hidden="false" customHeight="false" outlineLevel="0" collapsed="false">
      <c r="A910" s="76" t="n">
        <v>888</v>
      </c>
      <c r="B910" s="20" t="s">
        <v>1526</v>
      </c>
      <c r="C910" s="20" t="s">
        <v>508</v>
      </c>
      <c r="D910" s="20" t="s">
        <v>605</v>
      </c>
      <c r="E910" s="20" t="s">
        <v>155</v>
      </c>
      <c r="F910" s="76" t="s">
        <v>522</v>
      </c>
      <c r="G910" s="20" t="s">
        <v>1244</v>
      </c>
      <c r="H910" s="55" t="n">
        <v>25</v>
      </c>
      <c r="I910" s="76" t="s">
        <v>512</v>
      </c>
      <c r="J910" s="76" t="s">
        <v>164</v>
      </c>
      <c r="K910" s="82" t="n">
        <v>1</v>
      </c>
      <c r="L910" s="55" t="n">
        <v>6</v>
      </c>
      <c r="M910" s="73" t="n">
        <v>3.6</v>
      </c>
      <c r="N910" s="74" t="n">
        <f aca="false">K910*L910*M910</f>
        <v>21.6</v>
      </c>
      <c r="O910" s="41" t="n">
        <f aca="false">IFERROR(INDEX(Исходные!$B$21:$B$33,MATCH(H910,Исходные!$A$21:$A$33,0)),0)</f>
        <v>3.853</v>
      </c>
      <c r="P910" s="83" t="n">
        <f aca="false">N910*O910</f>
        <v>83.2248</v>
      </c>
      <c r="Q910" s="20" t="s">
        <v>1565</v>
      </c>
      <c r="R910" s="84" t="s">
        <v>514</v>
      </c>
      <c r="S910" s="20" t="s">
        <v>1178</v>
      </c>
      <c r="T910" s="20" t="s">
        <v>12</v>
      </c>
      <c r="U910" s="53" t="n">
        <v>0</v>
      </c>
      <c r="V910" s="76" t="s">
        <v>155</v>
      </c>
      <c r="W910" s="53" t="n">
        <v>3</v>
      </c>
    </row>
    <row r="911" customFormat="false" ht="35.05" hidden="false" customHeight="false" outlineLevel="0" collapsed="false">
      <c r="A911" s="76" t="n">
        <v>889</v>
      </c>
      <c r="B911" s="20" t="s">
        <v>1526</v>
      </c>
      <c r="C911" s="20" t="s">
        <v>508</v>
      </c>
      <c r="D911" s="20" t="s">
        <v>605</v>
      </c>
      <c r="E911" s="20" t="s">
        <v>155</v>
      </c>
      <c r="F911" s="76" t="s">
        <v>532</v>
      </c>
      <c r="G911" s="20" t="s">
        <v>613</v>
      </c>
      <c r="H911" s="55" t="n">
        <v>14</v>
      </c>
      <c r="I911" s="76" t="s">
        <v>512</v>
      </c>
      <c r="J911" s="76" t="n">
        <v>200</v>
      </c>
      <c r="K911" s="82" t="n">
        <v>1</v>
      </c>
      <c r="L911" s="55" t="n">
        <v>32</v>
      </c>
      <c r="M911" s="73" t="n">
        <v>1.45</v>
      </c>
      <c r="N911" s="74" t="n">
        <f aca="false">K911*L911*M911</f>
        <v>46.4</v>
      </c>
      <c r="O911" s="41" t="n">
        <f aca="false">IFERROR(INDEX(Исходные!$B$21:$B$33,MATCH(H911,Исходные!$A$21:$A$33,0)),0)</f>
        <v>1.208</v>
      </c>
      <c r="P911" s="83" t="n">
        <f aca="false">N911*O911</f>
        <v>56.0512</v>
      </c>
      <c r="Q911" s="20" t="s">
        <v>1566</v>
      </c>
      <c r="R911" s="85" t="s">
        <v>535</v>
      </c>
      <c r="S911" s="20" t="s">
        <v>1535</v>
      </c>
      <c r="T911" s="20" t="s">
        <v>12</v>
      </c>
      <c r="U911" s="53" t="n">
        <v>1</v>
      </c>
      <c r="V911" s="76" t="s">
        <v>155</v>
      </c>
      <c r="W911" s="53" t="n">
        <v>3</v>
      </c>
    </row>
    <row r="912" customFormat="false" ht="35.05" hidden="false" customHeight="false" outlineLevel="0" collapsed="false">
      <c r="A912" s="76" t="n">
        <v>890</v>
      </c>
      <c r="B912" s="20" t="s">
        <v>1526</v>
      </c>
      <c r="C912" s="20" t="s">
        <v>508</v>
      </c>
      <c r="D912" s="20" t="s">
        <v>605</v>
      </c>
      <c r="E912" s="20" t="s">
        <v>155</v>
      </c>
      <c r="F912" s="76" t="s">
        <v>539</v>
      </c>
      <c r="G912" s="20" t="s">
        <v>1567</v>
      </c>
      <c r="H912" s="55" t="n">
        <v>14</v>
      </c>
      <c r="I912" s="76" t="s">
        <v>512</v>
      </c>
      <c r="J912" s="76" t="n">
        <v>200</v>
      </c>
      <c r="K912" s="82" t="n">
        <v>1</v>
      </c>
      <c r="L912" s="55" t="n">
        <v>6</v>
      </c>
      <c r="M912" s="73" t="n">
        <v>1.45</v>
      </c>
      <c r="N912" s="74" t="n">
        <f aca="false">K912*L912*M912</f>
        <v>8.7</v>
      </c>
      <c r="O912" s="41" t="n">
        <f aca="false">IFERROR(INDEX(Исходные!$B$21:$B$33,MATCH(H912,Исходные!$A$21:$A$33,0)),0)</f>
        <v>1.208</v>
      </c>
      <c r="P912" s="83" t="n">
        <f aca="false">N912*O912</f>
        <v>10.5096</v>
      </c>
      <c r="Q912" s="20" t="s">
        <v>616</v>
      </c>
      <c r="R912" s="84" t="s">
        <v>514</v>
      </c>
      <c r="S912" s="20"/>
      <c r="T912" s="20" t="s">
        <v>12</v>
      </c>
      <c r="U912" s="53" t="n">
        <v>0</v>
      </c>
      <c r="V912" s="76" t="s">
        <v>155</v>
      </c>
      <c r="W912" s="53" t="n">
        <v>3</v>
      </c>
    </row>
    <row r="913" customFormat="false" ht="35.05" hidden="false" customHeight="false" outlineLevel="0" collapsed="false">
      <c r="A913" s="76" t="n">
        <v>891</v>
      </c>
      <c r="B913" s="20" t="s">
        <v>1526</v>
      </c>
      <c r="C913" s="20" t="s">
        <v>508</v>
      </c>
      <c r="D913" s="20" t="s">
        <v>605</v>
      </c>
      <c r="E913" s="20" t="s">
        <v>155</v>
      </c>
      <c r="F913" s="76" t="s">
        <v>539</v>
      </c>
      <c r="G913" s="20" t="s">
        <v>1568</v>
      </c>
      <c r="H913" s="55" t="n">
        <v>12</v>
      </c>
      <c r="I913" s="76" t="s">
        <v>512</v>
      </c>
      <c r="J913" s="76" t="n">
        <v>200</v>
      </c>
      <c r="K913" s="82" t="n">
        <v>1</v>
      </c>
      <c r="L913" s="55" t="n">
        <v>6</v>
      </c>
      <c r="M913" s="73" t="n">
        <v>1.45</v>
      </c>
      <c r="N913" s="74" t="n">
        <f aca="false">K913*L913*M913</f>
        <v>8.7</v>
      </c>
      <c r="O913" s="41" t="n">
        <f aca="false">IFERROR(INDEX(Исходные!$B$21:$B$33,MATCH(H913,Исходные!$A$21:$A$33,0)),0)</f>
        <v>0.888</v>
      </c>
      <c r="P913" s="83" t="n">
        <f aca="false">N913*O913</f>
        <v>7.7256</v>
      </c>
      <c r="Q913" s="20" t="s">
        <v>616</v>
      </c>
      <c r="R913" s="84" t="s">
        <v>514</v>
      </c>
      <c r="S913" s="20"/>
      <c r="T913" s="20" t="s">
        <v>12</v>
      </c>
      <c r="U913" s="53" t="n">
        <v>0</v>
      </c>
      <c r="V913" s="76" t="s">
        <v>155</v>
      </c>
      <c r="W913" s="53" t="n">
        <v>3</v>
      </c>
    </row>
    <row r="914" customFormat="false" ht="35.05" hidden="false" customHeight="false" outlineLevel="0" collapsed="false">
      <c r="A914" s="76" t="n">
        <v>892</v>
      </c>
      <c r="B914" s="20" t="s">
        <v>1526</v>
      </c>
      <c r="C914" s="20" t="s">
        <v>508</v>
      </c>
      <c r="D914" s="20" t="s">
        <v>605</v>
      </c>
      <c r="E914" s="20" t="s">
        <v>155</v>
      </c>
      <c r="F914" s="76" t="s">
        <v>544</v>
      </c>
      <c r="G914" s="20" t="s">
        <v>1248</v>
      </c>
      <c r="H914" s="55" t="n">
        <v>10</v>
      </c>
      <c r="I914" s="76" t="s">
        <v>546</v>
      </c>
      <c r="J914" s="76" t="s">
        <v>547</v>
      </c>
      <c r="K914" s="82" t="n">
        <v>1</v>
      </c>
      <c r="L914" s="55" t="n">
        <v>16</v>
      </c>
      <c r="M914" s="73" t="n">
        <v>1.33</v>
      </c>
      <c r="N914" s="74" t="n">
        <f aca="false">K914*L914*M914</f>
        <v>21.28</v>
      </c>
      <c r="O914" s="41" t="n">
        <f aca="false">IFERROR(INDEX(Исходные!$B$21:$B$33,MATCH(H914,Исходные!$A$21:$A$33,0)),0)</f>
        <v>0.617</v>
      </c>
      <c r="P914" s="83" t="n">
        <f aca="false">N914*O914</f>
        <v>13.12976</v>
      </c>
      <c r="Q914" s="20" t="s">
        <v>1192</v>
      </c>
      <c r="R914" s="84" t="s">
        <v>514</v>
      </c>
      <c r="S914" s="20"/>
      <c r="T914" s="20" t="s">
        <v>12</v>
      </c>
      <c r="U914" s="53" t="n">
        <v>0</v>
      </c>
      <c r="V914" s="76" t="s">
        <v>155</v>
      </c>
      <c r="W914" s="53" t="n">
        <v>3</v>
      </c>
    </row>
    <row r="915" customFormat="false" ht="35.05" hidden="false" customHeight="false" outlineLevel="0" collapsed="false">
      <c r="A915" s="76" t="n">
        <v>893</v>
      </c>
      <c r="B915" s="20" t="s">
        <v>1526</v>
      </c>
      <c r="C915" s="20" t="s">
        <v>508</v>
      </c>
      <c r="D915" s="20" t="s">
        <v>605</v>
      </c>
      <c r="E915" s="20" t="s">
        <v>155</v>
      </c>
      <c r="F915" s="76" t="s">
        <v>603</v>
      </c>
      <c r="G915" s="20" t="s">
        <v>1195</v>
      </c>
      <c r="H915" s="55" t="n">
        <v>8</v>
      </c>
      <c r="I915" s="76" t="s">
        <v>546</v>
      </c>
      <c r="J915" s="76" t="s">
        <v>547</v>
      </c>
      <c r="K915" s="82" t="n">
        <v>1</v>
      </c>
      <c r="L915" s="55" t="n">
        <v>16</v>
      </c>
      <c r="M915" s="73" t="n">
        <v>1.76</v>
      </c>
      <c r="N915" s="74" t="n">
        <f aca="false">K915*L915*M915</f>
        <v>28.16</v>
      </c>
      <c r="O915" s="41" t="n">
        <f aca="false">IFERROR(INDEX(Исходные!$B$21:$B$33,MATCH(H915,Исходные!$A$21:$A$33,0)),0)</f>
        <v>0.395</v>
      </c>
      <c r="P915" s="83" t="n">
        <f aca="false">N915*O915</f>
        <v>11.1232</v>
      </c>
      <c r="Q915" s="20" t="s">
        <v>1196</v>
      </c>
      <c r="R915" s="84" t="s">
        <v>514</v>
      </c>
      <c r="S915" s="20"/>
      <c r="T915" s="20" t="s">
        <v>12</v>
      </c>
      <c r="U915" s="53" t="n">
        <v>0</v>
      </c>
      <c r="V915" s="76" t="s">
        <v>155</v>
      </c>
      <c r="W915" s="53" t="n">
        <v>3</v>
      </c>
    </row>
    <row r="916" customFormat="false" ht="35.05" hidden="false" customHeight="false" outlineLevel="0" collapsed="false">
      <c r="A916" s="76" t="n">
        <v>894</v>
      </c>
      <c r="B916" s="20" t="s">
        <v>1526</v>
      </c>
      <c r="C916" s="20" t="s">
        <v>508</v>
      </c>
      <c r="D916" s="20" t="s">
        <v>605</v>
      </c>
      <c r="E916" s="20" t="s">
        <v>155</v>
      </c>
      <c r="F916" s="76" t="s">
        <v>555</v>
      </c>
      <c r="G916" s="20" t="s">
        <v>1197</v>
      </c>
      <c r="H916" s="55" t="n">
        <v>8</v>
      </c>
      <c r="I916" s="76" t="s">
        <v>546</v>
      </c>
      <c r="J916" s="76" t="s">
        <v>547</v>
      </c>
      <c r="K916" s="82" t="n">
        <v>1</v>
      </c>
      <c r="L916" s="55" t="n">
        <v>28</v>
      </c>
      <c r="M916" s="73" t="n">
        <v>2.44</v>
      </c>
      <c r="N916" s="74" t="n">
        <f aca="false">K916*L916*M916</f>
        <v>68.32</v>
      </c>
      <c r="O916" s="41" t="n">
        <f aca="false">IFERROR(INDEX(Исходные!$B$21:$B$33,MATCH(H916,Исходные!$A$21:$A$33,0)),0)</f>
        <v>0.395</v>
      </c>
      <c r="P916" s="83" t="n">
        <f aca="false">N916*O916</f>
        <v>26.9864</v>
      </c>
      <c r="Q916" s="20" t="s">
        <v>1198</v>
      </c>
      <c r="R916" s="84" t="s">
        <v>514</v>
      </c>
      <c r="S916" s="20"/>
      <c r="T916" s="20" t="s">
        <v>12</v>
      </c>
      <c r="U916" s="53" t="n">
        <v>0</v>
      </c>
      <c r="V916" s="76" t="s">
        <v>155</v>
      </c>
      <c r="W916" s="53" t="n">
        <v>3</v>
      </c>
    </row>
    <row r="917" customFormat="false" ht="35.05" hidden="false" customHeight="false" outlineLevel="0" collapsed="false">
      <c r="A917" s="76" t="n">
        <v>895</v>
      </c>
      <c r="B917" s="20" t="s">
        <v>1526</v>
      </c>
      <c r="C917" s="20" t="s">
        <v>508</v>
      </c>
      <c r="D917" s="20" t="s">
        <v>605</v>
      </c>
      <c r="E917" s="20" t="s">
        <v>155</v>
      </c>
      <c r="F917" s="76" t="s">
        <v>558</v>
      </c>
      <c r="G917" s="20" t="s">
        <v>1199</v>
      </c>
      <c r="H917" s="55" t="n">
        <v>8</v>
      </c>
      <c r="I917" s="76" t="s">
        <v>546</v>
      </c>
      <c r="J917" s="76" t="s">
        <v>547</v>
      </c>
      <c r="K917" s="82" t="n">
        <v>1</v>
      </c>
      <c r="L917" s="55" t="n">
        <v>32</v>
      </c>
      <c r="M917" s="73" t="n">
        <v>1.96</v>
      </c>
      <c r="N917" s="74" t="n">
        <f aca="false">K917*L917*M917</f>
        <v>62.72</v>
      </c>
      <c r="O917" s="41" t="n">
        <f aca="false">IFERROR(INDEX(Исходные!$B$21:$B$33,MATCH(H917,Исходные!$A$21:$A$33,0)),0)</f>
        <v>0.395</v>
      </c>
      <c r="P917" s="83" t="n">
        <f aca="false">N917*O917</f>
        <v>24.7744</v>
      </c>
      <c r="Q917" s="20" t="s">
        <v>1200</v>
      </c>
      <c r="R917" s="84" t="s">
        <v>514</v>
      </c>
      <c r="S917" s="20"/>
      <c r="T917" s="20" t="s">
        <v>12</v>
      </c>
      <c r="U917" s="53" t="n">
        <v>0</v>
      </c>
      <c r="V917" s="76" t="s">
        <v>155</v>
      </c>
      <c r="W917" s="53" t="n">
        <v>3</v>
      </c>
    </row>
    <row r="918" customFormat="false" ht="35.05" hidden="false" customHeight="false" outlineLevel="0" collapsed="false">
      <c r="A918" s="76" t="n">
        <v>896</v>
      </c>
      <c r="B918" s="20" t="s">
        <v>1526</v>
      </c>
      <c r="C918" s="20" t="s">
        <v>508</v>
      </c>
      <c r="D918" s="20" t="s">
        <v>605</v>
      </c>
      <c r="E918" s="20" t="s">
        <v>155</v>
      </c>
      <c r="F918" s="76" t="s">
        <v>561</v>
      </c>
      <c r="G918" s="20" t="s">
        <v>1249</v>
      </c>
      <c r="H918" s="55" t="n">
        <v>8</v>
      </c>
      <c r="I918" s="76" t="s">
        <v>546</v>
      </c>
      <c r="J918" s="76" t="s">
        <v>547</v>
      </c>
      <c r="K918" s="82" t="n">
        <v>1</v>
      </c>
      <c r="L918" s="55" t="n">
        <v>24</v>
      </c>
      <c r="M918" s="73" t="n">
        <v>0.53</v>
      </c>
      <c r="N918" s="74" t="n">
        <f aca="false">K918*L918*M918</f>
        <v>12.72</v>
      </c>
      <c r="O918" s="41" t="n">
        <f aca="false">IFERROR(INDEX(Исходные!$B$21:$B$33,MATCH(H918,Исходные!$A$21:$A$33,0)),0)</f>
        <v>0.395</v>
      </c>
      <c r="P918" s="83" t="n">
        <f aca="false">N918*O918</f>
        <v>5.0244</v>
      </c>
      <c r="Q918" s="20" t="s">
        <v>1202</v>
      </c>
      <c r="R918" s="84" t="s">
        <v>514</v>
      </c>
      <c r="S918" s="20"/>
      <c r="T918" s="20" t="s">
        <v>12</v>
      </c>
      <c r="U918" s="53" t="n">
        <v>0</v>
      </c>
      <c r="V918" s="76" t="s">
        <v>155</v>
      </c>
      <c r="W918" s="53" t="n">
        <v>3</v>
      </c>
    </row>
    <row r="919" customFormat="false" ht="35.05" hidden="false" customHeight="false" outlineLevel="0" collapsed="false">
      <c r="A919" s="76" t="n">
        <v>897</v>
      </c>
      <c r="B919" s="20" t="s">
        <v>1526</v>
      </c>
      <c r="C919" s="20" t="s">
        <v>508</v>
      </c>
      <c r="D919" s="20" t="s">
        <v>619</v>
      </c>
      <c r="E919" s="20" t="s">
        <v>156</v>
      </c>
      <c r="F919" s="76" t="s">
        <v>519</v>
      </c>
      <c r="G919" s="20" t="s">
        <v>1168</v>
      </c>
      <c r="H919" s="55" t="n">
        <v>28</v>
      </c>
      <c r="I919" s="76" t="s">
        <v>512</v>
      </c>
      <c r="J919" s="76" t="s">
        <v>164</v>
      </c>
      <c r="K919" s="82" t="n">
        <v>1</v>
      </c>
      <c r="L919" s="55" t="n">
        <v>4</v>
      </c>
      <c r="M919" s="73" t="n">
        <v>3.6</v>
      </c>
      <c r="N919" s="74" t="n">
        <f aca="false">K919*L919*M919</f>
        <v>14.4</v>
      </c>
      <c r="O919" s="41" t="n">
        <f aca="false">IFERROR(INDEX(Исходные!$B$21:$B$33,MATCH(H919,Исходные!$A$21:$A$33,0)),0)</f>
        <v>4.834</v>
      </c>
      <c r="P919" s="83" t="n">
        <f aca="false">N919*O919</f>
        <v>69.6096</v>
      </c>
      <c r="Q919" s="20" t="s">
        <v>1569</v>
      </c>
      <c r="R919" s="84" t="s">
        <v>514</v>
      </c>
      <c r="S919" s="20" t="s">
        <v>1204</v>
      </c>
      <c r="T919" s="20" t="s">
        <v>12</v>
      </c>
      <c r="U919" s="53" t="n">
        <v>0</v>
      </c>
      <c r="V919" s="76" t="s">
        <v>156</v>
      </c>
      <c r="W919" s="53" t="n">
        <v>3</v>
      </c>
    </row>
    <row r="920" customFormat="false" ht="35.05" hidden="false" customHeight="false" outlineLevel="0" collapsed="false">
      <c r="A920" s="76" t="n">
        <v>898</v>
      </c>
      <c r="B920" s="20" t="s">
        <v>1526</v>
      </c>
      <c r="C920" s="20" t="s">
        <v>508</v>
      </c>
      <c r="D920" s="20" t="s">
        <v>619</v>
      </c>
      <c r="E920" s="20" t="s">
        <v>156</v>
      </c>
      <c r="F920" s="76" t="s">
        <v>516</v>
      </c>
      <c r="G920" s="20" t="s">
        <v>1241</v>
      </c>
      <c r="H920" s="55" t="n">
        <v>20</v>
      </c>
      <c r="I920" s="76" t="s">
        <v>512</v>
      </c>
      <c r="J920" s="76" t="s">
        <v>164</v>
      </c>
      <c r="K920" s="82" t="n">
        <v>1</v>
      </c>
      <c r="L920" s="55" t="n">
        <v>8</v>
      </c>
      <c r="M920" s="73" t="n">
        <v>3.6</v>
      </c>
      <c r="N920" s="74" t="n">
        <f aca="false">K920*L920*M920</f>
        <v>28.8</v>
      </c>
      <c r="O920" s="41" t="n">
        <f aca="false">IFERROR(INDEX(Исходные!$B$21:$B$33,MATCH(H920,Исходные!$A$21:$A$33,0)),0)</f>
        <v>2.466</v>
      </c>
      <c r="P920" s="83" t="n">
        <f aca="false">N920*O920</f>
        <v>71.0208</v>
      </c>
      <c r="Q920" s="20" t="s">
        <v>1569</v>
      </c>
      <c r="R920" s="84" t="s">
        <v>514</v>
      </c>
      <c r="S920" s="20" t="s">
        <v>1206</v>
      </c>
      <c r="T920" s="20" t="s">
        <v>12</v>
      </c>
      <c r="U920" s="53" t="n">
        <v>0</v>
      </c>
      <c r="V920" s="76" t="s">
        <v>156</v>
      </c>
      <c r="W920" s="53" t="n">
        <v>3</v>
      </c>
    </row>
    <row r="921" customFormat="false" ht="35.05" hidden="false" customHeight="false" outlineLevel="0" collapsed="false">
      <c r="A921" s="76" t="n">
        <v>899</v>
      </c>
      <c r="B921" s="20" t="s">
        <v>1526</v>
      </c>
      <c r="C921" s="20" t="s">
        <v>508</v>
      </c>
      <c r="D921" s="20" t="s">
        <v>619</v>
      </c>
      <c r="E921" s="20" t="s">
        <v>156</v>
      </c>
      <c r="F921" s="76" t="s">
        <v>575</v>
      </c>
      <c r="G921" s="20" t="s">
        <v>1570</v>
      </c>
      <c r="H921" s="55" t="n">
        <v>22</v>
      </c>
      <c r="I921" s="76" t="s">
        <v>512</v>
      </c>
      <c r="J921" s="76" t="s">
        <v>164</v>
      </c>
      <c r="K921" s="82" t="n">
        <v>1</v>
      </c>
      <c r="L921" s="55" t="n">
        <v>6</v>
      </c>
      <c r="M921" s="73" t="n">
        <v>3.6</v>
      </c>
      <c r="N921" s="74" t="n">
        <f aca="false">K921*L921*M921</f>
        <v>21.6</v>
      </c>
      <c r="O921" s="41" t="n">
        <f aca="false">IFERROR(INDEX(Исходные!$B$21:$B$33,MATCH(H921,Исходные!$A$21:$A$33,0)),0)</f>
        <v>2.984</v>
      </c>
      <c r="P921" s="83" t="n">
        <f aca="false">N921*O921</f>
        <v>64.4544</v>
      </c>
      <c r="Q921" s="20" t="s">
        <v>1569</v>
      </c>
      <c r="R921" s="84" t="s">
        <v>514</v>
      </c>
      <c r="S921" s="20" t="s">
        <v>1255</v>
      </c>
      <c r="T921" s="20" t="s">
        <v>12</v>
      </c>
      <c r="U921" s="53" t="n">
        <v>0</v>
      </c>
      <c r="V921" s="76" t="s">
        <v>156</v>
      </c>
      <c r="W921" s="53" t="n">
        <v>3</v>
      </c>
    </row>
    <row r="922" customFormat="false" ht="35.05" hidden="false" customHeight="false" outlineLevel="0" collapsed="false">
      <c r="A922" s="76" t="n">
        <v>900</v>
      </c>
      <c r="B922" s="20" t="s">
        <v>1526</v>
      </c>
      <c r="C922" s="20" t="s">
        <v>508</v>
      </c>
      <c r="D922" s="20" t="s">
        <v>619</v>
      </c>
      <c r="E922" s="20" t="s">
        <v>156</v>
      </c>
      <c r="F922" s="76" t="s">
        <v>995</v>
      </c>
      <c r="G922" s="20" t="s">
        <v>1571</v>
      </c>
      <c r="H922" s="55" t="n">
        <v>14</v>
      </c>
      <c r="I922" s="76" t="s">
        <v>512</v>
      </c>
      <c r="J922" s="76" t="s">
        <v>164</v>
      </c>
      <c r="K922" s="82" t="n">
        <v>1</v>
      </c>
      <c r="L922" s="55" t="n">
        <v>4</v>
      </c>
      <c r="M922" s="73" t="n">
        <v>3.712</v>
      </c>
      <c r="N922" s="74" t="n">
        <f aca="false">K922*L922*M922</f>
        <v>14.848</v>
      </c>
      <c r="O922" s="41" t="n">
        <f aca="false">IFERROR(INDEX(Исходные!$B$21:$B$33,MATCH(H922,Исходные!$A$21:$A$33,0)),0)</f>
        <v>1.208</v>
      </c>
      <c r="P922" s="83" t="n">
        <f aca="false">N922*O922</f>
        <v>17.936384</v>
      </c>
      <c r="Q922" s="20" t="s">
        <v>1569</v>
      </c>
      <c r="R922" s="84" t="s">
        <v>514</v>
      </c>
      <c r="S922" s="20" t="s">
        <v>1572</v>
      </c>
      <c r="T922" s="20" t="s">
        <v>12</v>
      </c>
      <c r="U922" s="53" t="n">
        <v>0</v>
      </c>
      <c r="V922" s="76" t="s">
        <v>156</v>
      </c>
      <c r="W922" s="53" t="n">
        <v>3</v>
      </c>
    </row>
    <row r="923" customFormat="false" ht="35.05" hidden="false" customHeight="false" outlineLevel="0" collapsed="false">
      <c r="A923" s="76" t="n">
        <v>901</v>
      </c>
      <c r="B923" s="20" t="s">
        <v>1526</v>
      </c>
      <c r="C923" s="20" t="s">
        <v>508</v>
      </c>
      <c r="D923" s="20" t="s">
        <v>619</v>
      </c>
      <c r="E923" s="20" t="s">
        <v>156</v>
      </c>
      <c r="F923" s="76" t="s">
        <v>995</v>
      </c>
      <c r="G923" s="20" t="s">
        <v>1573</v>
      </c>
      <c r="H923" s="55" t="n">
        <v>14</v>
      </c>
      <c r="I923" s="76" t="s">
        <v>512</v>
      </c>
      <c r="J923" s="76" t="s">
        <v>164</v>
      </c>
      <c r="K923" s="82" t="n">
        <v>1</v>
      </c>
      <c r="L923" s="55" t="n">
        <v>6</v>
      </c>
      <c r="M923" s="73" t="n">
        <v>3.712</v>
      </c>
      <c r="N923" s="74" t="n">
        <f aca="false">K923*L923*M923</f>
        <v>22.272</v>
      </c>
      <c r="O923" s="41" t="n">
        <f aca="false">IFERROR(INDEX(Исходные!$B$21:$B$33,MATCH(H923,Исходные!$A$21:$A$33,0)),0)</f>
        <v>1.208</v>
      </c>
      <c r="P923" s="83" t="n">
        <f aca="false">N923*O923</f>
        <v>26.904576</v>
      </c>
      <c r="Q923" s="20" t="s">
        <v>1569</v>
      </c>
      <c r="R923" s="84" t="s">
        <v>514</v>
      </c>
      <c r="S923" s="20" t="s">
        <v>1574</v>
      </c>
      <c r="T923" s="20" t="s">
        <v>12</v>
      </c>
      <c r="U923" s="53" t="n">
        <v>0</v>
      </c>
      <c r="V923" s="76" t="s">
        <v>156</v>
      </c>
      <c r="W923" s="53" t="n">
        <v>3</v>
      </c>
    </row>
    <row r="924" customFormat="false" ht="35.05" hidden="false" customHeight="false" outlineLevel="0" collapsed="false">
      <c r="A924" s="76" t="n">
        <v>902</v>
      </c>
      <c r="B924" s="20" t="s">
        <v>1526</v>
      </c>
      <c r="C924" s="20" t="s">
        <v>508</v>
      </c>
      <c r="D924" s="20" t="s">
        <v>619</v>
      </c>
      <c r="E924" s="20" t="s">
        <v>156</v>
      </c>
      <c r="F924" s="76" t="s">
        <v>575</v>
      </c>
      <c r="G924" s="20" t="s">
        <v>1254</v>
      </c>
      <c r="H924" s="55" t="n">
        <v>22</v>
      </c>
      <c r="I924" s="76" t="s">
        <v>512</v>
      </c>
      <c r="J924" s="76" t="s">
        <v>164</v>
      </c>
      <c r="K924" s="82" t="n">
        <v>1</v>
      </c>
      <c r="L924" s="55" t="n">
        <v>6</v>
      </c>
      <c r="M924" s="73" t="n">
        <v>3.6</v>
      </c>
      <c r="N924" s="74" t="n">
        <f aca="false">K924*L924*M924</f>
        <v>21.6</v>
      </c>
      <c r="O924" s="41" t="n">
        <f aca="false">IFERROR(INDEX(Исходные!$B$21:$B$33,MATCH(H924,Исходные!$A$21:$A$33,0)),0)</f>
        <v>2.984</v>
      </c>
      <c r="P924" s="83" t="n">
        <f aca="false">N924*O924</f>
        <v>64.4544</v>
      </c>
      <c r="Q924" s="20" t="s">
        <v>1569</v>
      </c>
      <c r="R924" s="84" t="s">
        <v>514</v>
      </c>
      <c r="S924" s="20" t="s">
        <v>1255</v>
      </c>
      <c r="T924" s="20" t="s">
        <v>12</v>
      </c>
      <c r="U924" s="53" t="n">
        <v>0</v>
      </c>
      <c r="V924" s="76" t="s">
        <v>156</v>
      </c>
      <c r="W924" s="53" t="n">
        <v>3</v>
      </c>
    </row>
    <row r="925" customFormat="false" ht="35.05" hidden="false" customHeight="false" outlineLevel="0" collapsed="false">
      <c r="A925" s="76" t="n">
        <v>903</v>
      </c>
      <c r="B925" s="20" t="s">
        <v>1526</v>
      </c>
      <c r="C925" s="20" t="s">
        <v>508</v>
      </c>
      <c r="D925" s="20" t="s">
        <v>619</v>
      </c>
      <c r="E925" s="20" t="s">
        <v>156</v>
      </c>
      <c r="F925" s="76" t="s">
        <v>532</v>
      </c>
      <c r="G925" s="20" t="s">
        <v>624</v>
      </c>
      <c r="H925" s="55" t="n">
        <v>12</v>
      </c>
      <c r="I925" s="76" t="s">
        <v>512</v>
      </c>
      <c r="J925" s="76" t="n">
        <v>200</v>
      </c>
      <c r="K925" s="82" t="n">
        <v>1</v>
      </c>
      <c r="L925" s="55" t="n">
        <v>32</v>
      </c>
      <c r="M925" s="73" t="n">
        <v>1.25</v>
      </c>
      <c r="N925" s="74" t="n">
        <f aca="false">K925*L925*M925</f>
        <v>40</v>
      </c>
      <c r="O925" s="41" t="n">
        <f aca="false">IFERROR(INDEX(Исходные!$B$21:$B$33,MATCH(H925,Исходные!$A$21:$A$33,0)),0)</f>
        <v>0.888</v>
      </c>
      <c r="P925" s="83" t="n">
        <f aca="false">N925*O925</f>
        <v>35.52</v>
      </c>
      <c r="Q925" s="20" t="s">
        <v>1575</v>
      </c>
      <c r="R925" s="85" t="s">
        <v>535</v>
      </c>
      <c r="S925" s="20" t="s">
        <v>1576</v>
      </c>
      <c r="T925" s="20" t="s">
        <v>12</v>
      </c>
      <c r="U925" s="53" t="n">
        <v>1</v>
      </c>
      <c r="V925" s="76" t="s">
        <v>156</v>
      </c>
      <c r="W925" s="53" t="n">
        <v>3</v>
      </c>
    </row>
    <row r="926" customFormat="false" ht="35.05" hidden="false" customHeight="false" outlineLevel="0" collapsed="false">
      <c r="A926" s="76" t="n">
        <v>904</v>
      </c>
      <c r="B926" s="20" t="s">
        <v>1526</v>
      </c>
      <c r="C926" s="20" t="s">
        <v>508</v>
      </c>
      <c r="D926" s="20" t="s">
        <v>619</v>
      </c>
      <c r="E926" s="20" t="s">
        <v>156</v>
      </c>
      <c r="F926" s="76" t="s">
        <v>532</v>
      </c>
      <c r="G926" s="20" t="s">
        <v>627</v>
      </c>
      <c r="H926" s="55" t="n">
        <v>14</v>
      </c>
      <c r="I926" s="76" t="s">
        <v>512</v>
      </c>
      <c r="J926" s="76" t="n">
        <v>200</v>
      </c>
      <c r="K926" s="82" t="n">
        <v>1</v>
      </c>
      <c r="L926" s="55" t="n">
        <v>32</v>
      </c>
      <c r="M926" s="73" t="n">
        <v>1.45</v>
      </c>
      <c r="N926" s="74" t="n">
        <f aca="false">K926*L926*M926</f>
        <v>46.4</v>
      </c>
      <c r="O926" s="41" t="n">
        <f aca="false">IFERROR(INDEX(Исходные!$B$21:$B$33,MATCH(H926,Исходные!$A$21:$A$33,0)),0)</f>
        <v>1.208</v>
      </c>
      <c r="P926" s="83" t="n">
        <f aca="false">N926*O926</f>
        <v>56.0512</v>
      </c>
      <c r="Q926" s="20" t="s">
        <v>1575</v>
      </c>
      <c r="R926" s="85" t="s">
        <v>535</v>
      </c>
      <c r="S926" s="20" t="s">
        <v>1535</v>
      </c>
      <c r="T926" s="20" t="s">
        <v>12</v>
      </c>
      <c r="U926" s="53" t="n">
        <v>1</v>
      </c>
      <c r="V926" s="76" t="s">
        <v>156</v>
      </c>
      <c r="W926" s="53" t="n">
        <v>3</v>
      </c>
    </row>
    <row r="927" customFormat="false" ht="35.05" hidden="false" customHeight="false" outlineLevel="0" collapsed="false">
      <c r="A927" s="76" t="n">
        <v>905</v>
      </c>
      <c r="B927" s="20" t="s">
        <v>1526</v>
      </c>
      <c r="C927" s="20" t="s">
        <v>508</v>
      </c>
      <c r="D927" s="20" t="s">
        <v>619</v>
      </c>
      <c r="E927" s="20" t="s">
        <v>156</v>
      </c>
      <c r="F927" s="76" t="s">
        <v>539</v>
      </c>
      <c r="G927" s="20" t="s">
        <v>1577</v>
      </c>
      <c r="H927" s="55" t="n">
        <v>12</v>
      </c>
      <c r="I927" s="76" t="s">
        <v>512</v>
      </c>
      <c r="J927" s="76" t="n">
        <v>200</v>
      </c>
      <c r="K927" s="82" t="n">
        <v>1</v>
      </c>
      <c r="L927" s="55" t="n">
        <v>6</v>
      </c>
      <c r="M927" s="73" t="n">
        <v>1.25</v>
      </c>
      <c r="N927" s="74" t="n">
        <f aca="false">K927*L927*M927</f>
        <v>7.5</v>
      </c>
      <c r="O927" s="41" t="n">
        <f aca="false">IFERROR(INDEX(Исходные!$B$21:$B$33,MATCH(H927,Исходные!$A$21:$A$33,0)),0)</f>
        <v>0.888</v>
      </c>
      <c r="P927" s="83" t="n">
        <f aca="false">N927*O927</f>
        <v>6.66</v>
      </c>
      <c r="Q927" s="20" t="s">
        <v>1259</v>
      </c>
      <c r="R927" s="84" t="s">
        <v>514</v>
      </c>
      <c r="S927" s="20"/>
      <c r="T927" s="20" t="s">
        <v>12</v>
      </c>
      <c r="U927" s="53" t="n">
        <v>0</v>
      </c>
      <c r="V927" s="76" t="s">
        <v>156</v>
      </c>
      <c r="W927" s="53" t="n">
        <v>3</v>
      </c>
    </row>
    <row r="928" customFormat="false" ht="35.05" hidden="false" customHeight="false" outlineLevel="0" collapsed="false">
      <c r="A928" s="76" t="n">
        <v>906</v>
      </c>
      <c r="B928" s="20" t="s">
        <v>1526</v>
      </c>
      <c r="C928" s="20" t="s">
        <v>508</v>
      </c>
      <c r="D928" s="20" t="s">
        <v>619</v>
      </c>
      <c r="E928" s="20" t="s">
        <v>156</v>
      </c>
      <c r="F928" s="76" t="s">
        <v>539</v>
      </c>
      <c r="G928" s="20" t="s">
        <v>1578</v>
      </c>
      <c r="H928" s="55" t="n">
        <v>10</v>
      </c>
      <c r="I928" s="76" t="s">
        <v>512</v>
      </c>
      <c r="J928" s="76" t="n">
        <v>200</v>
      </c>
      <c r="K928" s="82" t="n">
        <v>1</v>
      </c>
      <c r="L928" s="55" t="n">
        <v>6</v>
      </c>
      <c r="M928" s="73" t="n">
        <v>1.25</v>
      </c>
      <c r="N928" s="74" t="n">
        <f aca="false">K928*L928*M928</f>
        <v>7.5</v>
      </c>
      <c r="O928" s="41" t="n">
        <f aca="false">IFERROR(INDEX(Исходные!$B$21:$B$33,MATCH(H928,Исходные!$A$21:$A$33,0)),0)</f>
        <v>0.617</v>
      </c>
      <c r="P928" s="83" t="n">
        <f aca="false">N928*O928</f>
        <v>4.6275</v>
      </c>
      <c r="Q928" s="20" t="s">
        <v>1259</v>
      </c>
      <c r="R928" s="84" t="s">
        <v>514</v>
      </c>
      <c r="S928" s="20"/>
      <c r="T928" s="20" t="s">
        <v>12</v>
      </c>
      <c r="U928" s="53" t="n">
        <v>0</v>
      </c>
      <c r="V928" s="76" t="s">
        <v>156</v>
      </c>
      <c r="W928" s="53" t="n">
        <v>3</v>
      </c>
    </row>
    <row r="929" customFormat="false" ht="35.05" hidden="false" customHeight="false" outlineLevel="0" collapsed="false">
      <c r="A929" s="76" t="n">
        <v>907</v>
      </c>
      <c r="B929" s="20" t="s">
        <v>1526</v>
      </c>
      <c r="C929" s="20" t="s">
        <v>508</v>
      </c>
      <c r="D929" s="20" t="s">
        <v>619</v>
      </c>
      <c r="E929" s="20" t="s">
        <v>156</v>
      </c>
      <c r="F929" s="76" t="s">
        <v>539</v>
      </c>
      <c r="G929" s="20" t="s">
        <v>1579</v>
      </c>
      <c r="H929" s="55" t="n">
        <v>14</v>
      </c>
      <c r="I929" s="76" t="s">
        <v>512</v>
      </c>
      <c r="J929" s="76" t="n">
        <v>200</v>
      </c>
      <c r="K929" s="82" t="n">
        <v>1</v>
      </c>
      <c r="L929" s="55" t="n">
        <v>6</v>
      </c>
      <c r="M929" s="73" t="n">
        <v>1.45</v>
      </c>
      <c r="N929" s="74" t="n">
        <f aca="false">K929*L929*M929</f>
        <v>8.7</v>
      </c>
      <c r="O929" s="41" t="n">
        <f aca="false">IFERROR(INDEX(Исходные!$B$21:$B$33,MATCH(H929,Исходные!$A$21:$A$33,0)),0)</f>
        <v>1.208</v>
      </c>
      <c r="P929" s="83" t="n">
        <f aca="false">N929*O929</f>
        <v>10.5096</v>
      </c>
      <c r="Q929" s="20" t="s">
        <v>1259</v>
      </c>
      <c r="R929" s="84" t="s">
        <v>514</v>
      </c>
      <c r="S929" s="20"/>
      <c r="T929" s="20" t="s">
        <v>12</v>
      </c>
      <c r="U929" s="53" t="n">
        <v>0</v>
      </c>
      <c r="V929" s="76" t="s">
        <v>156</v>
      </c>
      <c r="W929" s="53" t="n">
        <v>3</v>
      </c>
    </row>
    <row r="930" customFormat="false" ht="35.05" hidden="false" customHeight="false" outlineLevel="0" collapsed="false">
      <c r="A930" s="76" t="n">
        <v>908</v>
      </c>
      <c r="B930" s="20" t="s">
        <v>1526</v>
      </c>
      <c r="C930" s="20" t="s">
        <v>508</v>
      </c>
      <c r="D930" s="20" t="s">
        <v>619</v>
      </c>
      <c r="E930" s="20" t="s">
        <v>156</v>
      </c>
      <c r="F930" s="76" t="s">
        <v>539</v>
      </c>
      <c r="G930" s="20" t="s">
        <v>1580</v>
      </c>
      <c r="H930" s="55" t="n">
        <v>14</v>
      </c>
      <c r="I930" s="76" t="s">
        <v>512</v>
      </c>
      <c r="J930" s="76" t="n">
        <v>200</v>
      </c>
      <c r="K930" s="82" t="n">
        <v>1</v>
      </c>
      <c r="L930" s="55" t="n">
        <v>6</v>
      </c>
      <c r="M930" s="73" t="n">
        <v>1.45</v>
      </c>
      <c r="N930" s="74" t="n">
        <f aca="false">K930*L930*M930</f>
        <v>8.7</v>
      </c>
      <c r="O930" s="41" t="n">
        <f aca="false">IFERROR(INDEX(Исходные!$B$21:$B$33,MATCH(H930,Исходные!$A$21:$A$33,0)),0)</f>
        <v>1.208</v>
      </c>
      <c r="P930" s="83" t="n">
        <f aca="false">N930*O930</f>
        <v>10.5096</v>
      </c>
      <c r="Q930" s="20" t="s">
        <v>1259</v>
      </c>
      <c r="R930" s="84" t="s">
        <v>514</v>
      </c>
      <c r="S930" s="20"/>
      <c r="T930" s="20" t="s">
        <v>12</v>
      </c>
      <c r="U930" s="53" t="n">
        <v>0</v>
      </c>
      <c r="V930" s="76" t="s">
        <v>156</v>
      </c>
      <c r="W930" s="53" t="n">
        <v>3</v>
      </c>
    </row>
    <row r="931" customFormat="false" ht="35.05" hidden="false" customHeight="false" outlineLevel="0" collapsed="false">
      <c r="A931" s="76" t="n">
        <v>909</v>
      </c>
      <c r="B931" s="20" t="s">
        <v>1526</v>
      </c>
      <c r="C931" s="20" t="s">
        <v>508</v>
      </c>
      <c r="D931" s="20" t="s">
        <v>619</v>
      </c>
      <c r="E931" s="20" t="s">
        <v>156</v>
      </c>
      <c r="F931" s="76" t="s">
        <v>544</v>
      </c>
      <c r="G931" s="20" t="s">
        <v>1217</v>
      </c>
      <c r="H931" s="55" t="n">
        <v>10</v>
      </c>
      <c r="I931" s="76" t="s">
        <v>546</v>
      </c>
      <c r="J931" s="76" t="s">
        <v>547</v>
      </c>
      <c r="K931" s="82" t="n">
        <v>1</v>
      </c>
      <c r="L931" s="55" t="n">
        <v>32</v>
      </c>
      <c r="M931" s="73" t="n">
        <v>1.33</v>
      </c>
      <c r="N931" s="74" t="n">
        <f aca="false">K931*L931*M931</f>
        <v>42.56</v>
      </c>
      <c r="O931" s="41" t="n">
        <f aca="false">IFERROR(INDEX(Исходные!$B$21:$B$33,MATCH(H931,Исходные!$A$21:$A$33,0)),0)</f>
        <v>0.617</v>
      </c>
      <c r="P931" s="83" t="n">
        <f aca="false">N931*O931</f>
        <v>26.25952</v>
      </c>
      <c r="Q931" s="20" t="s">
        <v>1218</v>
      </c>
      <c r="R931" s="84" t="s">
        <v>514</v>
      </c>
      <c r="S931" s="20"/>
      <c r="T931" s="20" t="s">
        <v>12</v>
      </c>
      <c r="U931" s="53" t="n">
        <v>0</v>
      </c>
      <c r="V931" s="76" t="s">
        <v>156</v>
      </c>
      <c r="W931" s="53" t="n">
        <v>3</v>
      </c>
    </row>
    <row r="932" customFormat="false" ht="35.05" hidden="false" customHeight="false" outlineLevel="0" collapsed="false">
      <c r="A932" s="76" t="n">
        <v>910</v>
      </c>
      <c r="B932" s="20" t="s">
        <v>1526</v>
      </c>
      <c r="C932" s="20" t="s">
        <v>508</v>
      </c>
      <c r="D932" s="20" t="s">
        <v>619</v>
      </c>
      <c r="E932" s="20" t="s">
        <v>156</v>
      </c>
      <c r="F932" s="76" t="s">
        <v>696</v>
      </c>
      <c r="G932" s="20" t="s">
        <v>1219</v>
      </c>
      <c r="H932" s="55" t="n">
        <v>8</v>
      </c>
      <c r="I932" s="76" t="s">
        <v>546</v>
      </c>
      <c r="J932" s="76" t="s">
        <v>547</v>
      </c>
      <c r="K932" s="82" t="n">
        <v>1</v>
      </c>
      <c r="L932" s="55" t="n">
        <v>16</v>
      </c>
      <c r="M932" s="73" t="n">
        <v>1.56</v>
      </c>
      <c r="N932" s="74" t="n">
        <f aca="false">K932*L932*M932</f>
        <v>24.96</v>
      </c>
      <c r="O932" s="41" t="n">
        <f aca="false">IFERROR(INDEX(Исходные!$B$21:$B$33,MATCH(H932,Исходные!$A$21:$A$33,0)),0)</f>
        <v>0.395</v>
      </c>
      <c r="P932" s="83" t="n">
        <f aca="false">N932*O932</f>
        <v>9.8592</v>
      </c>
      <c r="Q932" s="20" t="s">
        <v>1220</v>
      </c>
      <c r="R932" s="84" t="s">
        <v>514</v>
      </c>
      <c r="S932" s="20"/>
      <c r="T932" s="20" t="s">
        <v>12</v>
      </c>
      <c r="U932" s="53" t="n">
        <v>0</v>
      </c>
      <c r="V932" s="76" t="s">
        <v>156</v>
      </c>
      <c r="W932" s="53" t="n">
        <v>3</v>
      </c>
    </row>
    <row r="933" customFormat="false" ht="35.05" hidden="false" customHeight="false" outlineLevel="0" collapsed="false">
      <c r="A933" s="76" t="n">
        <v>911</v>
      </c>
      <c r="B933" s="20" t="s">
        <v>1526</v>
      </c>
      <c r="C933" s="20" t="s">
        <v>508</v>
      </c>
      <c r="D933" s="20" t="s">
        <v>619</v>
      </c>
      <c r="E933" s="20" t="s">
        <v>156</v>
      </c>
      <c r="F933" s="76" t="s">
        <v>603</v>
      </c>
      <c r="G933" s="20" t="s">
        <v>1195</v>
      </c>
      <c r="H933" s="55" t="n">
        <v>8</v>
      </c>
      <c r="I933" s="76" t="s">
        <v>546</v>
      </c>
      <c r="J933" s="76" t="s">
        <v>547</v>
      </c>
      <c r="K933" s="82" t="n">
        <v>1</v>
      </c>
      <c r="L933" s="55" t="n">
        <v>16</v>
      </c>
      <c r="M933" s="73" t="n">
        <v>1.76</v>
      </c>
      <c r="N933" s="74" t="n">
        <f aca="false">K933*L933*M933</f>
        <v>28.16</v>
      </c>
      <c r="O933" s="41" t="n">
        <f aca="false">IFERROR(INDEX(Исходные!$B$21:$B$33,MATCH(H933,Исходные!$A$21:$A$33,0)),0)</f>
        <v>0.395</v>
      </c>
      <c r="P933" s="83" t="n">
        <f aca="false">N933*O933</f>
        <v>11.1232</v>
      </c>
      <c r="Q933" s="20" t="s">
        <v>1221</v>
      </c>
      <c r="R933" s="84" t="s">
        <v>514</v>
      </c>
      <c r="S933" s="20"/>
      <c r="T933" s="20" t="s">
        <v>12</v>
      </c>
      <c r="U933" s="53" t="n">
        <v>0</v>
      </c>
      <c r="V933" s="76" t="s">
        <v>156</v>
      </c>
      <c r="W933" s="53" t="n">
        <v>3</v>
      </c>
    </row>
    <row r="934" customFormat="false" ht="35.05" hidden="false" customHeight="false" outlineLevel="0" collapsed="false">
      <c r="A934" s="76" t="n">
        <v>912</v>
      </c>
      <c r="B934" s="20" t="s">
        <v>1526</v>
      </c>
      <c r="C934" s="20" t="s">
        <v>508</v>
      </c>
      <c r="D934" s="20" t="s">
        <v>619</v>
      </c>
      <c r="E934" s="20" t="s">
        <v>156</v>
      </c>
      <c r="F934" s="76" t="s">
        <v>555</v>
      </c>
      <c r="G934" s="20" t="s">
        <v>1197</v>
      </c>
      <c r="H934" s="55" t="n">
        <v>8</v>
      </c>
      <c r="I934" s="76" t="s">
        <v>546</v>
      </c>
      <c r="J934" s="76" t="s">
        <v>547</v>
      </c>
      <c r="K934" s="82" t="n">
        <v>1</v>
      </c>
      <c r="L934" s="55" t="n">
        <v>28</v>
      </c>
      <c r="M934" s="73" t="n">
        <v>2.44</v>
      </c>
      <c r="N934" s="74" t="n">
        <f aca="false">K934*L934*M934</f>
        <v>68.32</v>
      </c>
      <c r="O934" s="41" t="n">
        <f aca="false">IFERROR(INDEX(Исходные!$B$21:$B$33,MATCH(H934,Исходные!$A$21:$A$33,0)),0)</f>
        <v>0.395</v>
      </c>
      <c r="P934" s="83" t="n">
        <f aca="false">N934*O934</f>
        <v>26.9864</v>
      </c>
      <c r="Q934" s="20" t="s">
        <v>1198</v>
      </c>
      <c r="R934" s="84" t="s">
        <v>514</v>
      </c>
      <c r="S934" s="20"/>
      <c r="T934" s="20" t="s">
        <v>12</v>
      </c>
      <c r="U934" s="53" t="n">
        <v>0</v>
      </c>
      <c r="V934" s="76" t="s">
        <v>156</v>
      </c>
      <c r="W934" s="53" t="n">
        <v>3</v>
      </c>
    </row>
    <row r="935" customFormat="false" ht="35.05" hidden="false" customHeight="false" outlineLevel="0" collapsed="false">
      <c r="A935" s="76" t="n">
        <v>913</v>
      </c>
      <c r="B935" s="20" t="s">
        <v>1526</v>
      </c>
      <c r="C935" s="20" t="s">
        <v>508</v>
      </c>
      <c r="D935" s="20" t="s">
        <v>619</v>
      </c>
      <c r="E935" s="20" t="s">
        <v>156</v>
      </c>
      <c r="F935" s="76" t="s">
        <v>558</v>
      </c>
      <c r="G935" s="20" t="s">
        <v>1199</v>
      </c>
      <c r="H935" s="55" t="n">
        <v>8</v>
      </c>
      <c r="I935" s="76" t="s">
        <v>546</v>
      </c>
      <c r="J935" s="76" t="s">
        <v>547</v>
      </c>
      <c r="K935" s="82" t="n">
        <v>1</v>
      </c>
      <c r="L935" s="55" t="n">
        <v>32</v>
      </c>
      <c r="M935" s="73" t="n">
        <v>1.96</v>
      </c>
      <c r="N935" s="74" t="n">
        <f aca="false">K935*L935*M935</f>
        <v>62.72</v>
      </c>
      <c r="O935" s="41" t="n">
        <f aca="false">IFERROR(INDEX(Исходные!$B$21:$B$33,MATCH(H935,Исходные!$A$21:$A$33,0)),0)</f>
        <v>0.395</v>
      </c>
      <c r="P935" s="83" t="n">
        <f aca="false">N935*O935</f>
        <v>24.7744</v>
      </c>
      <c r="Q935" s="20" t="s">
        <v>1222</v>
      </c>
      <c r="R935" s="84" t="s">
        <v>514</v>
      </c>
      <c r="S935" s="20"/>
      <c r="T935" s="20" t="s">
        <v>12</v>
      </c>
      <c r="U935" s="53" t="n">
        <v>0</v>
      </c>
      <c r="V935" s="76" t="s">
        <v>156</v>
      </c>
      <c r="W935" s="53" t="n">
        <v>3</v>
      </c>
    </row>
    <row r="936" customFormat="false" ht="35.05" hidden="false" customHeight="false" outlineLevel="0" collapsed="false">
      <c r="A936" s="76" t="n">
        <v>914</v>
      </c>
      <c r="B936" s="20" t="s">
        <v>1526</v>
      </c>
      <c r="C936" s="20" t="s">
        <v>508</v>
      </c>
      <c r="D936" s="20" t="s">
        <v>619</v>
      </c>
      <c r="E936" s="20" t="s">
        <v>156</v>
      </c>
      <c r="F936" s="76" t="s">
        <v>561</v>
      </c>
      <c r="G936" s="20" t="s">
        <v>1263</v>
      </c>
      <c r="H936" s="55" t="n">
        <v>8</v>
      </c>
      <c r="I936" s="76" t="s">
        <v>546</v>
      </c>
      <c r="J936" s="76" t="s">
        <v>547</v>
      </c>
      <c r="K936" s="82" t="n">
        <v>1</v>
      </c>
      <c r="L936" s="55" t="n">
        <v>48</v>
      </c>
      <c r="M936" s="73" t="n">
        <v>0.53</v>
      </c>
      <c r="N936" s="74" t="n">
        <f aca="false">K936*L936*M936</f>
        <v>25.44</v>
      </c>
      <c r="O936" s="41" t="n">
        <f aca="false">IFERROR(INDEX(Исходные!$B$21:$B$33,MATCH(H936,Исходные!$A$21:$A$33,0)),0)</f>
        <v>0.395</v>
      </c>
      <c r="P936" s="83" t="n">
        <f aca="false">N936*O936</f>
        <v>10.0488</v>
      </c>
      <c r="Q936" s="20" t="s">
        <v>1224</v>
      </c>
      <c r="R936" s="84" t="s">
        <v>514</v>
      </c>
      <c r="S936" s="20"/>
      <c r="T936" s="20" t="s">
        <v>12</v>
      </c>
      <c r="U936" s="53" t="n">
        <v>0</v>
      </c>
      <c r="V936" s="76" t="s">
        <v>156</v>
      </c>
      <c r="W936" s="53" t="n">
        <v>3</v>
      </c>
    </row>
    <row r="937" customFormat="false" ht="15" hidden="false" customHeight="true" outlineLevel="0" collapsed="false">
      <c r="A937" s="81" t="s">
        <v>1581</v>
      </c>
      <c r="B937" s="81"/>
      <c r="C937" s="81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</row>
    <row r="938" customFormat="false" ht="35.05" hidden="false" customHeight="false" outlineLevel="0" collapsed="false">
      <c r="A938" s="76" t="n">
        <v>915</v>
      </c>
      <c r="B938" s="20" t="s">
        <v>1526</v>
      </c>
      <c r="C938" s="20" t="s">
        <v>633</v>
      </c>
      <c r="D938" s="20" t="s">
        <v>1265</v>
      </c>
      <c r="E938" s="20" t="s">
        <v>635</v>
      </c>
      <c r="F938" s="76" t="s">
        <v>519</v>
      </c>
      <c r="G938" s="20" t="s">
        <v>1266</v>
      </c>
      <c r="H938" s="55" t="n">
        <v>28</v>
      </c>
      <c r="I938" s="76" t="s">
        <v>512</v>
      </c>
      <c r="J938" s="76" t="s">
        <v>164</v>
      </c>
      <c r="K938" s="82" t="n">
        <v>1</v>
      </c>
      <c r="L938" s="55" t="n">
        <v>4</v>
      </c>
      <c r="M938" s="73" t="n">
        <v>3.6</v>
      </c>
      <c r="N938" s="74" t="n">
        <f aca="false">K938*L938*M938</f>
        <v>14.4</v>
      </c>
      <c r="O938" s="41" t="n">
        <f aca="false">IFERROR(INDEX(Исходные!$B$21:$B$33,MATCH(H938,Исходные!$A$21:$A$33,0)),0)</f>
        <v>4.834</v>
      </c>
      <c r="P938" s="83" t="n">
        <f aca="false">N938*O938</f>
        <v>69.6096</v>
      </c>
      <c r="Q938" s="20" t="s">
        <v>1267</v>
      </c>
      <c r="R938" s="84" t="s">
        <v>514</v>
      </c>
      <c r="S938" s="20" t="s">
        <v>1268</v>
      </c>
      <c r="T938" s="20" t="s">
        <v>12</v>
      </c>
      <c r="U938" s="53" t="n">
        <v>0</v>
      </c>
      <c r="V938" s="76" t="s">
        <v>635</v>
      </c>
      <c r="W938" s="53" t="n">
        <v>3</v>
      </c>
    </row>
    <row r="939" customFormat="false" ht="35.05" hidden="false" customHeight="false" outlineLevel="0" collapsed="false">
      <c r="A939" s="76" t="n">
        <v>916</v>
      </c>
      <c r="B939" s="20" t="s">
        <v>1526</v>
      </c>
      <c r="C939" s="20" t="s">
        <v>633</v>
      </c>
      <c r="D939" s="20" t="s">
        <v>1269</v>
      </c>
      <c r="E939" s="20" t="s">
        <v>635</v>
      </c>
      <c r="F939" s="76" t="s">
        <v>510</v>
      </c>
      <c r="G939" s="20" t="s">
        <v>1270</v>
      </c>
      <c r="H939" s="55" t="n">
        <v>32</v>
      </c>
      <c r="I939" s="76" t="s">
        <v>512</v>
      </c>
      <c r="J939" s="76" t="s">
        <v>164</v>
      </c>
      <c r="K939" s="82" t="n">
        <v>2</v>
      </c>
      <c r="L939" s="55" t="n">
        <v>4</v>
      </c>
      <c r="M939" s="73" t="n">
        <v>3.6</v>
      </c>
      <c r="N939" s="74" t="n">
        <f aca="false">K939*L939*M939</f>
        <v>28.8</v>
      </c>
      <c r="O939" s="41" t="n">
        <f aca="false">IFERROR(INDEX(Исходные!$B$21:$B$33,MATCH(H939,Исходные!$A$21:$A$33,0)),0)</f>
        <v>6.313</v>
      </c>
      <c r="P939" s="83" t="n">
        <f aca="false">N939*O939</f>
        <v>181.8144</v>
      </c>
      <c r="Q939" s="20" t="s">
        <v>1271</v>
      </c>
      <c r="R939" s="84" t="s">
        <v>1272</v>
      </c>
      <c r="S939" s="20" t="s">
        <v>1273</v>
      </c>
      <c r="T939" s="20" t="s">
        <v>12</v>
      </c>
      <c r="U939" s="53" t="n">
        <v>1</v>
      </c>
      <c r="V939" s="76" t="s">
        <v>635</v>
      </c>
      <c r="W939" s="53" t="n">
        <v>3</v>
      </c>
    </row>
    <row r="940" customFormat="false" ht="35.05" hidden="false" customHeight="false" outlineLevel="0" collapsed="false">
      <c r="A940" s="76" t="n">
        <v>917</v>
      </c>
      <c r="B940" s="20" t="s">
        <v>1526</v>
      </c>
      <c r="C940" s="20" t="s">
        <v>633</v>
      </c>
      <c r="D940" s="20" t="s">
        <v>634</v>
      </c>
      <c r="E940" s="20" t="s">
        <v>635</v>
      </c>
      <c r="F940" s="76" t="s">
        <v>516</v>
      </c>
      <c r="G940" s="20" t="s">
        <v>1274</v>
      </c>
      <c r="H940" s="55" t="n">
        <v>20</v>
      </c>
      <c r="I940" s="76" t="s">
        <v>512</v>
      </c>
      <c r="J940" s="76" t="s">
        <v>164</v>
      </c>
      <c r="K940" s="82" t="n">
        <v>3</v>
      </c>
      <c r="L940" s="55" t="n">
        <v>8</v>
      </c>
      <c r="M940" s="73" t="n">
        <v>3.6</v>
      </c>
      <c r="N940" s="74" t="n">
        <f aca="false">K940*L940*M940</f>
        <v>86.4</v>
      </c>
      <c r="O940" s="41" t="n">
        <f aca="false">IFERROR(INDEX(Исходные!$B$21:$B$33,MATCH(H940,Исходные!$A$21:$A$33,0)),0)</f>
        <v>2.466</v>
      </c>
      <c r="P940" s="83" t="n">
        <f aca="false">N940*O940</f>
        <v>213.0624</v>
      </c>
      <c r="Q940" s="20" t="s">
        <v>1275</v>
      </c>
      <c r="R940" s="84" t="s">
        <v>514</v>
      </c>
      <c r="S940" s="20" t="s">
        <v>1276</v>
      </c>
      <c r="T940" s="20" t="s">
        <v>12</v>
      </c>
      <c r="U940" s="53" t="n">
        <v>0</v>
      </c>
      <c r="V940" s="76" t="s">
        <v>635</v>
      </c>
      <c r="W940" s="53" t="n">
        <v>3</v>
      </c>
    </row>
    <row r="941" customFormat="false" ht="35.05" hidden="false" customHeight="false" outlineLevel="0" collapsed="false">
      <c r="A941" s="76" t="n">
        <v>918</v>
      </c>
      <c r="B941" s="20" t="s">
        <v>1526</v>
      </c>
      <c r="C941" s="20" t="s">
        <v>633</v>
      </c>
      <c r="D941" s="20" t="s">
        <v>634</v>
      </c>
      <c r="E941" s="20" t="s">
        <v>635</v>
      </c>
      <c r="F941" s="76" t="s">
        <v>555</v>
      </c>
      <c r="G941" s="20" t="s">
        <v>1277</v>
      </c>
      <c r="H941" s="55" t="n">
        <v>8</v>
      </c>
      <c r="I941" s="76" t="s">
        <v>546</v>
      </c>
      <c r="J941" s="76" t="s">
        <v>644</v>
      </c>
      <c r="K941" s="82" t="n">
        <v>3</v>
      </c>
      <c r="L941" s="55" t="n">
        <v>28</v>
      </c>
      <c r="M941" s="73" t="n">
        <v>2.44</v>
      </c>
      <c r="N941" s="74" t="n">
        <f aca="false">K941*L941*M941</f>
        <v>204.96</v>
      </c>
      <c r="O941" s="41" t="n">
        <f aca="false">IFERROR(INDEX(Исходные!$B$21:$B$33,MATCH(H941,Исходные!$A$21:$A$33,0)),0)</f>
        <v>0.395</v>
      </c>
      <c r="P941" s="83" t="n">
        <f aca="false">N941*O941</f>
        <v>80.9592</v>
      </c>
      <c r="Q941" s="20" t="s">
        <v>1278</v>
      </c>
      <c r="R941" s="84" t="s">
        <v>514</v>
      </c>
      <c r="S941" s="20"/>
      <c r="T941" s="20" t="s">
        <v>12</v>
      </c>
      <c r="U941" s="53" t="n">
        <v>0</v>
      </c>
      <c r="V941" s="76" t="s">
        <v>635</v>
      </c>
      <c r="W941" s="53" t="n">
        <v>3</v>
      </c>
    </row>
    <row r="942" customFormat="false" ht="35.05" hidden="false" customHeight="false" outlineLevel="0" collapsed="false">
      <c r="A942" s="76" t="n">
        <v>919</v>
      </c>
      <c r="B942" s="20" t="s">
        <v>1526</v>
      </c>
      <c r="C942" s="20" t="s">
        <v>633</v>
      </c>
      <c r="D942" s="20" t="s">
        <v>634</v>
      </c>
      <c r="E942" s="20" t="s">
        <v>635</v>
      </c>
      <c r="F942" s="76" t="s">
        <v>558</v>
      </c>
      <c r="G942" s="20" t="s">
        <v>1279</v>
      </c>
      <c r="H942" s="55" t="n">
        <v>8</v>
      </c>
      <c r="I942" s="76" t="s">
        <v>546</v>
      </c>
      <c r="J942" s="76" t="n">
        <v>200</v>
      </c>
      <c r="K942" s="82" t="n">
        <v>3</v>
      </c>
      <c r="L942" s="55" t="n">
        <v>32</v>
      </c>
      <c r="M942" s="73" t="n">
        <v>1.96</v>
      </c>
      <c r="N942" s="74" t="n">
        <f aca="false">K942*L942*M942</f>
        <v>188.16</v>
      </c>
      <c r="O942" s="41" t="n">
        <f aca="false">IFERROR(INDEX(Исходные!$B$21:$B$33,MATCH(H942,Исходные!$A$21:$A$33,0)),0)</f>
        <v>0.395</v>
      </c>
      <c r="P942" s="83" t="n">
        <f aca="false">N942*O942</f>
        <v>74.3232</v>
      </c>
      <c r="Q942" s="20" t="s">
        <v>1280</v>
      </c>
      <c r="R942" s="84" t="s">
        <v>514</v>
      </c>
      <c r="S942" s="20"/>
      <c r="T942" s="20" t="s">
        <v>12</v>
      </c>
      <c r="U942" s="53" t="n">
        <v>0</v>
      </c>
      <c r="V942" s="76" t="s">
        <v>635</v>
      </c>
      <c r="W942" s="53" t="n">
        <v>3</v>
      </c>
    </row>
    <row r="943" customFormat="false" ht="35.05" hidden="false" customHeight="false" outlineLevel="0" collapsed="false">
      <c r="A943" s="76" t="n">
        <v>920</v>
      </c>
      <c r="B943" s="20" t="s">
        <v>1526</v>
      </c>
      <c r="C943" s="20" t="s">
        <v>633</v>
      </c>
      <c r="D943" s="20" t="s">
        <v>648</v>
      </c>
      <c r="E943" s="20" t="s">
        <v>649</v>
      </c>
      <c r="F943" s="76" t="s">
        <v>510</v>
      </c>
      <c r="G943" s="20" t="s">
        <v>1281</v>
      </c>
      <c r="H943" s="55" t="n">
        <v>32</v>
      </c>
      <c r="I943" s="76" t="s">
        <v>512</v>
      </c>
      <c r="J943" s="76" t="s">
        <v>164</v>
      </c>
      <c r="K943" s="82" t="n">
        <v>5</v>
      </c>
      <c r="L943" s="55" t="n">
        <v>4</v>
      </c>
      <c r="M943" s="73" t="n">
        <v>3.6</v>
      </c>
      <c r="N943" s="74" t="n">
        <f aca="false">K943*L943*M943</f>
        <v>72</v>
      </c>
      <c r="O943" s="41" t="n">
        <f aca="false">IFERROR(INDEX(Исходные!$B$21:$B$33,MATCH(H943,Исходные!$A$21:$A$33,0)),0)</f>
        <v>6.313</v>
      </c>
      <c r="P943" s="83" t="n">
        <f aca="false">N943*O943</f>
        <v>454.536</v>
      </c>
      <c r="Q943" s="20" t="s">
        <v>1282</v>
      </c>
      <c r="R943" s="84" t="s">
        <v>1272</v>
      </c>
      <c r="S943" s="20" t="s">
        <v>1273</v>
      </c>
      <c r="T943" s="20" t="s">
        <v>12</v>
      </c>
      <c r="U943" s="53" t="n">
        <v>1</v>
      </c>
      <c r="V943" s="76" t="s">
        <v>649</v>
      </c>
      <c r="W943" s="53" t="n">
        <v>3</v>
      </c>
    </row>
    <row r="944" customFormat="false" ht="35.05" hidden="false" customHeight="false" outlineLevel="0" collapsed="false">
      <c r="A944" s="76" t="n">
        <v>921</v>
      </c>
      <c r="B944" s="20" t="s">
        <v>1526</v>
      </c>
      <c r="C944" s="20" t="s">
        <v>633</v>
      </c>
      <c r="D944" s="20" t="s">
        <v>648</v>
      </c>
      <c r="E944" s="20" t="s">
        <v>649</v>
      </c>
      <c r="F944" s="76" t="s">
        <v>516</v>
      </c>
      <c r="G944" s="20" t="s">
        <v>1274</v>
      </c>
      <c r="H944" s="55" t="n">
        <v>20</v>
      </c>
      <c r="I944" s="76" t="s">
        <v>512</v>
      </c>
      <c r="J944" s="76" t="s">
        <v>164</v>
      </c>
      <c r="K944" s="82" t="n">
        <v>5</v>
      </c>
      <c r="L944" s="55" t="n">
        <v>8</v>
      </c>
      <c r="M944" s="73" t="n">
        <v>3.6</v>
      </c>
      <c r="N944" s="74" t="n">
        <f aca="false">K944*L944*M944</f>
        <v>144</v>
      </c>
      <c r="O944" s="41" t="n">
        <f aca="false">IFERROR(INDEX(Исходные!$B$21:$B$33,MATCH(H944,Исходные!$A$21:$A$33,0)),0)</f>
        <v>2.466</v>
      </c>
      <c r="P944" s="83" t="n">
        <f aca="false">N944*O944</f>
        <v>355.104</v>
      </c>
      <c r="Q944" s="20" t="s">
        <v>1275</v>
      </c>
      <c r="R944" s="84" t="s">
        <v>514</v>
      </c>
      <c r="S944" s="20" t="s">
        <v>1276</v>
      </c>
      <c r="T944" s="20" t="s">
        <v>12</v>
      </c>
      <c r="U944" s="53" t="n">
        <v>0</v>
      </c>
      <c r="V944" s="76" t="s">
        <v>649</v>
      </c>
      <c r="W944" s="53" t="n">
        <v>3</v>
      </c>
    </row>
    <row r="945" customFormat="false" ht="35.05" hidden="false" customHeight="false" outlineLevel="0" collapsed="false">
      <c r="A945" s="76" t="n">
        <v>922</v>
      </c>
      <c r="B945" s="20" t="s">
        <v>1526</v>
      </c>
      <c r="C945" s="20" t="s">
        <v>633</v>
      </c>
      <c r="D945" s="20" t="s">
        <v>648</v>
      </c>
      <c r="E945" s="20" t="s">
        <v>649</v>
      </c>
      <c r="F945" s="76" t="s">
        <v>555</v>
      </c>
      <c r="G945" s="20" t="s">
        <v>1277</v>
      </c>
      <c r="H945" s="55" t="n">
        <v>8</v>
      </c>
      <c r="I945" s="76" t="s">
        <v>546</v>
      </c>
      <c r="J945" s="76" t="s">
        <v>644</v>
      </c>
      <c r="K945" s="82" t="n">
        <v>5</v>
      </c>
      <c r="L945" s="55" t="n">
        <v>28</v>
      </c>
      <c r="M945" s="73" t="n">
        <v>2.44</v>
      </c>
      <c r="N945" s="74" t="n">
        <f aca="false">K945*L945*M945</f>
        <v>341.6</v>
      </c>
      <c r="O945" s="41" t="n">
        <f aca="false">IFERROR(INDEX(Исходные!$B$21:$B$33,MATCH(H945,Исходные!$A$21:$A$33,0)),0)</f>
        <v>0.395</v>
      </c>
      <c r="P945" s="83" t="n">
        <f aca="false">N945*O945</f>
        <v>134.932</v>
      </c>
      <c r="Q945" s="20" t="s">
        <v>1278</v>
      </c>
      <c r="R945" s="84" t="s">
        <v>514</v>
      </c>
      <c r="S945" s="20"/>
      <c r="T945" s="20" t="s">
        <v>12</v>
      </c>
      <c r="U945" s="53" t="n">
        <v>0</v>
      </c>
      <c r="V945" s="76" t="s">
        <v>649</v>
      </c>
      <c r="W945" s="53" t="n">
        <v>3</v>
      </c>
    </row>
    <row r="946" customFormat="false" ht="35.05" hidden="false" customHeight="false" outlineLevel="0" collapsed="false">
      <c r="A946" s="76" t="n">
        <v>923</v>
      </c>
      <c r="B946" s="20" t="s">
        <v>1526</v>
      </c>
      <c r="C946" s="20" t="s">
        <v>633</v>
      </c>
      <c r="D946" s="20" t="s">
        <v>648</v>
      </c>
      <c r="E946" s="20" t="s">
        <v>649</v>
      </c>
      <c r="F946" s="76" t="s">
        <v>558</v>
      </c>
      <c r="G946" s="20" t="s">
        <v>1279</v>
      </c>
      <c r="H946" s="55" t="n">
        <v>8</v>
      </c>
      <c r="I946" s="76" t="s">
        <v>546</v>
      </c>
      <c r="J946" s="76" t="n">
        <v>200</v>
      </c>
      <c r="K946" s="82" t="n">
        <v>5</v>
      </c>
      <c r="L946" s="55" t="n">
        <v>32</v>
      </c>
      <c r="M946" s="73" t="n">
        <v>1.96</v>
      </c>
      <c r="N946" s="74" t="n">
        <f aca="false">K946*L946*M946</f>
        <v>313.6</v>
      </c>
      <c r="O946" s="41" t="n">
        <f aca="false">IFERROR(INDEX(Исходные!$B$21:$B$33,MATCH(H946,Исходные!$A$21:$A$33,0)),0)</f>
        <v>0.395</v>
      </c>
      <c r="P946" s="83" t="n">
        <f aca="false">N946*O946</f>
        <v>123.872</v>
      </c>
      <c r="Q946" s="20" t="s">
        <v>1280</v>
      </c>
      <c r="R946" s="84" t="s">
        <v>514</v>
      </c>
      <c r="S946" s="20"/>
      <c r="T946" s="20" t="s">
        <v>12</v>
      </c>
      <c r="U946" s="53" t="n">
        <v>0</v>
      </c>
      <c r="V946" s="76" t="s">
        <v>649</v>
      </c>
      <c r="W946" s="53" t="n">
        <v>3</v>
      </c>
    </row>
    <row r="947" customFormat="false" ht="35.05" hidden="false" customHeight="false" outlineLevel="0" collapsed="false">
      <c r="A947" s="76" t="n">
        <v>924</v>
      </c>
      <c r="B947" s="20" t="s">
        <v>1526</v>
      </c>
      <c r="C947" s="20" t="s">
        <v>633</v>
      </c>
      <c r="D947" s="20" t="s">
        <v>1283</v>
      </c>
      <c r="E947" s="20" t="s">
        <v>651</v>
      </c>
      <c r="F947" s="76" t="s">
        <v>519</v>
      </c>
      <c r="G947" s="20" t="s">
        <v>1284</v>
      </c>
      <c r="H947" s="55" t="n">
        <v>28</v>
      </c>
      <c r="I947" s="76" t="s">
        <v>512</v>
      </c>
      <c r="J947" s="76" t="s">
        <v>164</v>
      </c>
      <c r="K947" s="82" t="n">
        <v>1</v>
      </c>
      <c r="L947" s="55" t="n">
        <v>4</v>
      </c>
      <c r="M947" s="73" t="n">
        <v>3.6</v>
      </c>
      <c r="N947" s="74" t="n">
        <f aca="false">K947*L947*M947</f>
        <v>14.4</v>
      </c>
      <c r="O947" s="41" t="n">
        <f aca="false">IFERROR(INDEX(Исходные!$B$21:$B$33,MATCH(H947,Исходные!$A$21:$A$33,0)),0)</f>
        <v>4.834</v>
      </c>
      <c r="P947" s="83" t="n">
        <f aca="false">N947*O947</f>
        <v>69.6096</v>
      </c>
      <c r="Q947" s="20" t="s">
        <v>1285</v>
      </c>
      <c r="R947" s="84" t="s">
        <v>514</v>
      </c>
      <c r="S947" s="20" t="s">
        <v>1268</v>
      </c>
      <c r="T947" s="20" t="s">
        <v>12</v>
      </c>
      <c r="U947" s="53" t="n">
        <v>0</v>
      </c>
      <c r="V947" s="76" t="s">
        <v>651</v>
      </c>
      <c r="W947" s="53" t="n">
        <v>3</v>
      </c>
    </row>
    <row r="948" customFormat="false" ht="35.05" hidden="false" customHeight="false" outlineLevel="0" collapsed="false">
      <c r="A948" s="76" t="n">
        <v>925</v>
      </c>
      <c r="B948" s="20" t="s">
        <v>1526</v>
      </c>
      <c r="C948" s="20" t="s">
        <v>633</v>
      </c>
      <c r="D948" s="20" t="s">
        <v>1286</v>
      </c>
      <c r="E948" s="20" t="s">
        <v>651</v>
      </c>
      <c r="F948" s="76" t="s">
        <v>510</v>
      </c>
      <c r="G948" s="20" t="s">
        <v>1287</v>
      </c>
      <c r="H948" s="55" t="n">
        <v>32</v>
      </c>
      <c r="I948" s="76" t="s">
        <v>512</v>
      </c>
      <c r="J948" s="76" t="s">
        <v>164</v>
      </c>
      <c r="K948" s="82" t="n">
        <v>4</v>
      </c>
      <c r="L948" s="55" t="n">
        <v>4</v>
      </c>
      <c r="M948" s="73" t="n">
        <v>3.6</v>
      </c>
      <c r="N948" s="74" t="n">
        <f aca="false">K948*L948*M948</f>
        <v>57.6</v>
      </c>
      <c r="O948" s="41" t="n">
        <f aca="false">IFERROR(INDEX(Исходные!$B$21:$B$33,MATCH(H948,Исходные!$A$21:$A$33,0)),0)</f>
        <v>6.313</v>
      </c>
      <c r="P948" s="83" t="n">
        <f aca="false">N948*O948</f>
        <v>363.6288</v>
      </c>
      <c r="Q948" s="20" t="s">
        <v>1288</v>
      </c>
      <c r="R948" s="84" t="s">
        <v>1272</v>
      </c>
      <c r="S948" s="20" t="s">
        <v>1273</v>
      </c>
      <c r="T948" s="20" t="s">
        <v>12</v>
      </c>
      <c r="U948" s="53" t="n">
        <v>1</v>
      </c>
      <c r="V948" s="76" t="s">
        <v>651</v>
      </c>
      <c r="W948" s="53" t="n">
        <v>3</v>
      </c>
    </row>
    <row r="949" customFormat="false" ht="35.05" hidden="false" customHeight="false" outlineLevel="0" collapsed="false">
      <c r="A949" s="76" t="n">
        <v>926</v>
      </c>
      <c r="B949" s="20" t="s">
        <v>1526</v>
      </c>
      <c r="C949" s="20" t="s">
        <v>633</v>
      </c>
      <c r="D949" s="20" t="s">
        <v>650</v>
      </c>
      <c r="E949" s="20" t="s">
        <v>651</v>
      </c>
      <c r="F949" s="76" t="s">
        <v>516</v>
      </c>
      <c r="G949" s="20" t="s">
        <v>1274</v>
      </c>
      <c r="H949" s="55" t="n">
        <v>20</v>
      </c>
      <c r="I949" s="76" t="s">
        <v>512</v>
      </c>
      <c r="J949" s="76" t="s">
        <v>164</v>
      </c>
      <c r="K949" s="82" t="n">
        <v>5</v>
      </c>
      <c r="L949" s="55" t="n">
        <v>8</v>
      </c>
      <c r="M949" s="73" t="n">
        <v>3.6</v>
      </c>
      <c r="N949" s="74" t="n">
        <f aca="false">K949*L949*M949</f>
        <v>144</v>
      </c>
      <c r="O949" s="41" t="n">
        <f aca="false">IFERROR(INDEX(Исходные!$B$21:$B$33,MATCH(H949,Исходные!$A$21:$A$33,0)),0)</f>
        <v>2.466</v>
      </c>
      <c r="P949" s="83" t="n">
        <f aca="false">N949*O949</f>
        <v>355.104</v>
      </c>
      <c r="Q949" s="20" t="s">
        <v>1275</v>
      </c>
      <c r="R949" s="84" t="s">
        <v>514</v>
      </c>
      <c r="S949" s="20" t="s">
        <v>1276</v>
      </c>
      <c r="T949" s="20" t="s">
        <v>12</v>
      </c>
      <c r="U949" s="53" t="n">
        <v>0</v>
      </c>
      <c r="V949" s="76" t="s">
        <v>651</v>
      </c>
      <c r="W949" s="53" t="n">
        <v>3</v>
      </c>
    </row>
    <row r="950" customFormat="false" ht="35.05" hidden="false" customHeight="false" outlineLevel="0" collapsed="false">
      <c r="A950" s="76" t="n">
        <v>927</v>
      </c>
      <c r="B950" s="20" t="s">
        <v>1526</v>
      </c>
      <c r="C950" s="20" t="s">
        <v>633</v>
      </c>
      <c r="D950" s="20" t="s">
        <v>650</v>
      </c>
      <c r="E950" s="20" t="s">
        <v>651</v>
      </c>
      <c r="F950" s="76" t="s">
        <v>555</v>
      </c>
      <c r="G950" s="20" t="s">
        <v>1277</v>
      </c>
      <c r="H950" s="55" t="n">
        <v>8</v>
      </c>
      <c r="I950" s="76" t="s">
        <v>546</v>
      </c>
      <c r="J950" s="76" t="s">
        <v>644</v>
      </c>
      <c r="K950" s="82" t="n">
        <v>5</v>
      </c>
      <c r="L950" s="55" t="n">
        <v>28</v>
      </c>
      <c r="M950" s="73" t="n">
        <v>2.44</v>
      </c>
      <c r="N950" s="74" t="n">
        <f aca="false">K950*L950*M950</f>
        <v>341.6</v>
      </c>
      <c r="O950" s="41" t="n">
        <f aca="false">IFERROR(INDEX(Исходные!$B$21:$B$33,MATCH(H950,Исходные!$A$21:$A$33,0)),0)</f>
        <v>0.395</v>
      </c>
      <c r="P950" s="83" t="n">
        <f aca="false">N950*O950</f>
        <v>134.932</v>
      </c>
      <c r="Q950" s="20" t="s">
        <v>1278</v>
      </c>
      <c r="R950" s="84" t="s">
        <v>514</v>
      </c>
      <c r="S950" s="20"/>
      <c r="T950" s="20" t="s">
        <v>12</v>
      </c>
      <c r="U950" s="53" t="n">
        <v>0</v>
      </c>
      <c r="V950" s="76" t="s">
        <v>651</v>
      </c>
      <c r="W950" s="53" t="n">
        <v>3</v>
      </c>
    </row>
    <row r="951" customFormat="false" ht="35.05" hidden="false" customHeight="false" outlineLevel="0" collapsed="false">
      <c r="A951" s="76" t="n">
        <v>928</v>
      </c>
      <c r="B951" s="20" t="s">
        <v>1526</v>
      </c>
      <c r="C951" s="20" t="s">
        <v>633</v>
      </c>
      <c r="D951" s="20" t="s">
        <v>650</v>
      </c>
      <c r="E951" s="20" t="s">
        <v>651</v>
      </c>
      <c r="F951" s="76" t="s">
        <v>558</v>
      </c>
      <c r="G951" s="20" t="s">
        <v>1279</v>
      </c>
      <c r="H951" s="55" t="n">
        <v>8</v>
      </c>
      <c r="I951" s="76" t="s">
        <v>546</v>
      </c>
      <c r="J951" s="76" t="n">
        <v>200</v>
      </c>
      <c r="K951" s="82" t="n">
        <v>5</v>
      </c>
      <c r="L951" s="55" t="n">
        <v>32</v>
      </c>
      <c r="M951" s="73" t="n">
        <v>1.96</v>
      </c>
      <c r="N951" s="74" t="n">
        <f aca="false">K951*L951*M951</f>
        <v>313.6</v>
      </c>
      <c r="O951" s="41" t="n">
        <f aca="false">IFERROR(INDEX(Исходные!$B$21:$B$33,MATCH(H951,Исходные!$A$21:$A$33,0)),0)</f>
        <v>0.395</v>
      </c>
      <c r="P951" s="83" t="n">
        <f aca="false">N951*O951</f>
        <v>123.872</v>
      </c>
      <c r="Q951" s="20" t="s">
        <v>1280</v>
      </c>
      <c r="R951" s="84" t="s">
        <v>514</v>
      </c>
      <c r="S951" s="20"/>
      <c r="T951" s="20" t="s">
        <v>12</v>
      </c>
      <c r="U951" s="53" t="n">
        <v>0</v>
      </c>
      <c r="V951" s="76" t="s">
        <v>651</v>
      </c>
      <c r="W951" s="53" t="n">
        <v>3</v>
      </c>
    </row>
    <row r="952" customFormat="false" ht="35.05" hidden="false" customHeight="false" outlineLevel="0" collapsed="false">
      <c r="A952" s="76" t="n">
        <v>929</v>
      </c>
      <c r="B952" s="20" t="s">
        <v>1526</v>
      </c>
      <c r="C952" s="20" t="s">
        <v>633</v>
      </c>
      <c r="D952" s="20" t="s">
        <v>652</v>
      </c>
      <c r="E952" s="20" t="s">
        <v>653</v>
      </c>
      <c r="F952" s="76" t="s">
        <v>519</v>
      </c>
      <c r="G952" s="20" t="s">
        <v>1289</v>
      </c>
      <c r="H952" s="55" t="n">
        <v>28</v>
      </c>
      <c r="I952" s="76" t="s">
        <v>512</v>
      </c>
      <c r="J952" s="76" t="s">
        <v>164</v>
      </c>
      <c r="K952" s="82" t="n">
        <v>2</v>
      </c>
      <c r="L952" s="55" t="n">
        <v>4</v>
      </c>
      <c r="M952" s="73" t="n">
        <v>3.6</v>
      </c>
      <c r="N952" s="74" t="n">
        <f aca="false">K952*L952*M952</f>
        <v>28.8</v>
      </c>
      <c r="O952" s="41" t="n">
        <f aca="false">IFERROR(INDEX(Исходные!$B$21:$B$33,MATCH(H952,Исходные!$A$21:$A$33,0)),0)</f>
        <v>4.834</v>
      </c>
      <c r="P952" s="83" t="n">
        <f aca="false">N952*O952</f>
        <v>139.2192</v>
      </c>
      <c r="Q952" s="20" t="s">
        <v>1290</v>
      </c>
      <c r="R952" s="84" t="s">
        <v>514</v>
      </c>
      <c r="S952" s="20" t="s">
        <v>1268</v>
      </c>
      <c r="T952" s="20" t="s">
        <v>12</v>
      </c>
      <c r="U952" s="53" t="n">
        <v>0</v>
      </c>
      <c r="V952" s="76" t="s">
        <v>653</v>
      </c>
      <c r="W952" s="53" t="n">
        <v>3</v>
      </c>
    </row>
    <row r="953" customFormat="false" ht="35.05" hidden="false" customHeight="false" outlineLevel="0" collapsed="false">
      <c r="A953" s="76" t="n">
        <v>930</v>
      </c>
      <c r="B953" s="20" t="s">
        <v>1526</v>
      </c>
      <c r="C953" s="20" t="s">
        <v>633</v>
      </c>
      <c r="D953" s="20" t="s">
        <v>652</v>
      </c>
      <c r="E953" s="20" t="s">
        <v>653</v>
      </c>
      <c r="F953" s="76" t="s">
        <v>516</v>
      </c>
      <c r="G953" s="20" t="s">
        <v>1274</v>
      </c>
      <c r="H953" s="55" t="n">
        <v>20</v>
      </c>
      <c r="I953" s="76" t="s">
        <v>512</v>
      </c>
      <c r="J953" s="76" t="s">
        <v>164</v>
      </c>
      <c r="K953" s="82" t="n">
        <v>2</v>
      </c>
      <c r="L953" s="55" t="n">
        <v>8</v>
      </c>
      <c r="M953" s="73" t="n">
        <v>3.6</v>
      </c>
      <c r="N953" s="74" t="n">
        <f aca="false">K953*L953*M953</f>
        <v>57.6</v>
      </c>
      <c r="O953" s="41" t="n">
        <f aca="false">IFERROR(INDEX(Исходные!$B$21:$B$33,MATCH(H953,Исходные!$A$21:$A$33,0)),0)</f>
        <v>2.466</v>
      </c>
      <c r="P953" s="83" t="n">
        <f aca="false">N953*O953</f>
        <v>142.0416</v>
      </c>
      <c r="Q953" s="20" t="s">
        <v>1275</v>
      </c>
      <c r="R953" s="84" t="s">
        <v>514</v>
      </c>
      <c r="S953" s="20" t="s">
        <v>1276</v>
      </c>
      <c r="T953" s="20" t="s">
        <v>12</v>
      </c>
      <c r="U953" s="53" t="n">
        <v>0</v>
      </c>
      <c r="V953" s="76" t="s">
        <v>653</v>
      </c>
      <c r="W953" s="53" t="n">
        <v>3</v>
      </c>
    </row>
    <row r="954" customFormat="false" ht="35.05" hidden="false" customHeight="false" outlineLevel="0" collapsed="false">
      <c r="A954" s="76" t="n">
        <v>931</v>
      </c>
      <c r="B954" s="20" t="s">
        <v>1526</v>
      </c>
      <c r="C954" s="20" t="s">
        <v>633</v>
      </c>
      <c r="D954" s="20" t="s">
        <v>652</v>
      </c>
      <c r="E954" s="20" t="s">
        <v>653</v>
      </c>
      <c r="F954" s="76" t="s">
        <v>555</v>
      </c>
      <c r="G954" s="20" t="s">
        <v>1277</v>
      </c>
      <c r="H954" s="55" t="n">
        <v>8</v>
      </c>
      <c r="I954" s="76" t="s">
        <v>546</v>
      </c>
      <c r="J954" s="76" t="s">
        <v>644</v>
      </c>
      <c r="K954" s="82" t="n">
        <v>2</v>
      </c>
      <c r="L954" s="55" t="n">
        <v>28</v>
      </c>
      <c r="M954" s="73" t="n">
        <v>2.44</v>
      </c>
      <c r="N954" s="74" t="n">
        <f aca="false">K954*L954*M954</f>
        <v>136.64</v>
      </c>
      <c r="O954" s="41" t="n">
        <f aca="false">IFERROR(INDEX(Исходные!$B$21:$B$33,MATCH(H954,Исходные!$A$21:$A$33,0)),0)</f>
        <v>0.395</v>
      </c>
      <c r="P954" s="83" t="n">
        <f aca="false">N954*O954</f>
        <v>53.9728</v>
      </c>
      <c r="Q954" s="20" t="s">
        <v>1278</v>
      </c>
      <c r="R954" s="84" t="s">
        <v>514</v>
      </c>
      <c r="S954" s="20"/>
      <c r="T954" s="20" t="s">
        <v>12</v>
      </c>
      <c r="U954" s="53" t="n">
        <v>0</v>
      </c>
      <c r="V954" s="76" t="s">
        <v>653</v>
      </c>
      <c r="W954" s="53" t="n">
        <v>3</v>
      </c>
    </row>
    <row r="955" customFormat="false" ht="35.05" hidden="false" customHeight="false" outlineLevel="0" collapsed="false">
      <c r="A955" s="76" t="n">
        <v>932</v>
      </c>
      <c r="B955" s="20" t="s">
        <v>1526</v>
      </c>
      <c r="C955" s="20" t="s">
        <v>633</v>
      </c>
      <c r="D955" s="20" t="s">
        <v>652</v>
      </c>
      <c r="E955" s="20" t="s">
        <v>653</v>
      </c>
      <c r="F955" s="76" t="s">
        <v>558</v>
      </c>
      <c r="G955" s="20" t="s">
        <v>1279</v>
      </c>
      <c r="H955" s="55" t="n">
        <v>8</v>
      </c>
      <c r="I955" s="76" t="s">
        <v>546</v>
      </c>
      <c r="J955" s="76" t="n">
        <v>200</v>
      </c>
      <c r="K955" s="82" t="n">
        <v>2</v>
      </c>
      <c r="L955" s="55" t="n">
        <v>32</v>
      </c>
      <c r="M955" s="73" t="n">
        <v>1.96</v>
      </c>
      <c r="N955" s="74" t="n">
        <f aca="false">K955*L955*M955</f>
        <v>125.44</v>
      </c>
      <c r="O955" s="41" t="n">
        <f aca="false">IFERROR(INDEX(Исходные!$B$21:$B$33,MATCH(H955,Исходные!$A$21:$A$33,0)),0)</f>
        <v>0.395</v>
      </c>
      <c r="P955" s="83" t="n">
        <f aca="false">N955*O955</f>
        <v>49.5488</v>
      </c>
      <c r="Q955" s="20" t="s">
        <v>1280</v>
      </c>
      <c r="R955" s="84" t="s">
        <v>514</v>
      </c>
      <c r="S955" s="20"/>
      <c r="T955" s="20" t="s">
        <v>12</v>
      </c>
      <c r="U955" s="53" t="n">
        <v>0</v>
      </c>
      <c r="V955" s="76" t="s">
        <v>653</v>
      </c>
      <c r="W955" s="53" t="n">
        <v>3</v>
      </c>
    </row>
    <row r="956" customFormat="false" ht="15" hidden="false" customHeight="true" outlineLevel="0" collapsed="false">
      <c r="A956" s="81" t="s">
        <v>1582</v>
      </c>
      <c r="B956" s="81"/>
      <c r="C956" s="81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</row>
    <row r="957" customFormat="false" ht="35.05" hidden="false" customHeight="false" outlineLevel="0" collapsed="false">
      <c r="A957" s="76" t="n">
        <v>933</v>
      </c>
      <c r="B957" s="20" t="s">
        <v>1526</v>
      </c>
      <c r="C957" s="20" t="s">
        <v>655</v>
      </c>
      <c r="D957" s="20" t="s">
        <v>1583</v>
      </c>
      <c r="E957" s="20" t="s">
        <v>657</v>
      </c>
      <c r="F957" s="76" t="s">
        <v>519</v>
      </c>
      <c r="G957" s="20" t="s">
        <v>658</v>
      </c>
      <c r="H957" s="55" t="n">
        <v>28</v>
      </c>
      <c r="I957" s="76" t="s">
        <v>512</v>
      </c>
      <c r="J957" s="76" t="s">
        <v>164</v>
      </c>
      <c r="K957" s="82" t="n">
        <v>1</v>
      </c>
      <c r="L957" s="55" t="n">
        <v>4</v>
      </c>
      <c r="M957" s="73" t="n">
        <v>25.5</v>
      </c>
      <c r="N957" s="74" t="n">
        <f aca="false">K957*L957*M957</f>
        <v>102</v>
      </c>
      <c r="O957" s="41" t="n">
        <f aca="false">IFERROR(INDEX(Исходные!$B$21:$B$33,MATCH(H957,Исходные!$A$21:$A$33,0)),0)</f>
        <v>4.834</v>
      </c>
      <c r="P957" s="83" t="n">
        <f aca="false">N957*O957</f>
        <v>493.068</v>
      </c>
      <c r="Q957" s="20" t="s">
        <v>1293</v>
      </c>
      <c r="R957" s="84" t="s">
        <v>660</v>
      </c>
      <c r="S957" s="20" t="s">
        <v>661</v>
      </c>
      <c r="T957" s="20" t="s">
        <v>123</v>
      </c>
      <c r="U957" s="53" t="n">
        <v>0</v>
      </c>
      <c r="V957" s="76" t="s">
        <v>657</v>
      </c>
      <c r="W957" s="53" t="n">
        <v>3</v>
      </c>
    </row>
    <row r="958" customFormat="false" ht="35.05" hidden="false" customHeight="false" outlineLevel="0" collapsed="false">
      <c r="A958" s="76" t="n">
        <v>934</v>
      </c>
      <c r="B958" s="20" t="s">
        <v>1526</v>
      </c>
      <c r="C958" s="20" t="s">
        <v>655</v>
      </c>
      <c r="D958" s="20" t="s">
        <v>1583</v>
      </c>
      <c r="E958" s="20" t="s">
        <v>657</v>
      </c>
      <c r="F958" s="76" t="s">
        <v>529</v>
      </c>
      <c r="G958" s="20" t="s">
        <v>662</v>
      </c>
      <c r="H958" s="55" t="n">
        <v>18</v>
      </c>
      <c r="I958" s="76" t="s">
        <v>512</v>
      </c>
      <c r="J958" s="76" t="s">
        <v>164</v>
      </c>
      <c r="K958" s="82" t="n">
        <v>1</v>
      </c>
      <c r="L958" s="55" t="n">
        <v>2</v>
      </c>
      <c r="M958" s="73" t="n">
        <v>25.5</v>
      </c>
      <c r="N958" s="74" t="n">
        <f aca="false">K958*L958*M958</f>
        <v>51</v>
      </c>
      <c r="O958" s="41" t="n">
        <f aca="false">IFERROR(INDEX(Исходные!$B$21:$B$33,MATCH(H958,Исходные!$A$21:$A$33,0)),0)</f>
        <v>1.998</v>
      </c>
      <c r="P958" s="83" t="n">
        <f aca="false">N958*O958</f>
        <v>101.898</v>
      </c>
      <c r="Q958" s="20" t="s">
        <v>663</v>
      </c>
      <c r="R958" s="84" t="s">
        <v>660</v>
      </c>
      <c r="S958" s="20"/>
      <c r="T958" s="20" t="s">
        <v>123</v>
      </c>
      <c r="U958" s="53" t="n">
        <v>0</v>
      </c>
      <c r="V958" s="76" t="s">
        <v>657</v>
      </c>
      <c r="W958" s="53" t="n">
        <v>3</v>
      </c>
    </row>
    <row r="959" customFormat="false" ht="35.05" hidden="false" customHeight="false" outlineLevel="0" collapsed="false">
      <c r="A959" s="76" t="n">
        <v>935</v>
      </c>
      <c r="B959" s="20" t="s">
        <v>1526</v>
      </c>
      <c r="C959" s="20" t="s">
        <v>655</v>
      </c>
      <c r="D959" s="20" t="s">
        <v>1583</v>
      </c>
      <c r="E959" s="20" t="s">
        <v>657</v>
      </c>
      <c r="F959" s="76" t="s">
        <v>664</v>
      </c>
      <c r="G959" s="20" t="s">
        <v>665</v>
      </c>
      <c r="H959" s="55" t="n">
        <v>18</v>
      </c>
      <c r="I959" s="76" t="s">
        <v>512</v>
      </c>
      <c r="J959" s="76" t="s">
        <v>164</v>
      </c>
      <c r="K959" s="82" t="n">
        <v>2</v>
      </c>
      <c r="L959" s="55" t="n">
        <v>2</v>
      </c>
      <c r="M959" s="73" t="n">
        <v>0.144</v>
      </c>
      <c r="N959" s="74" t="n">
        <f aca="false">K959*L959*M959</f>
        <v>0.576</v>
      </c>
      <c r="O959" s="41" t="n">
        <f aca="false">IFERROR(INDEX(Исходные!$B$21:$B$33,MATCH(H959,Исходные!$A$21:$A$33,0)),0)</f>
        <v>1.998</v>
      </c>
      <c r="P959" s="83" t="n">
        <f aca="false">N959*O959</f>
        <v>1.150848</v>
      </c>
      <c r="Q959" s="20" t="s">
        <v>666</v>
      </c>
      <c r="R959" s="84" t="s">
        <v>667</v>
      </c>
      <c r="S959" s="20" t="s">
        <v>668</v>
      </c>
      <c r="T959" s="20" t="s">
        <v>123</v>
      </c>
      <c r="U959" s="53" t="n">
        <v>0</v>
      </c>
      <c r="V959" s="76" t="s">
        <v>657</v>
      </c>
      <c r="W959" s="53" t="n">
        <v>3</v>
      </c>
    </row>
    <row r="960" customFormat="false" ht="35.05" hidden="false" customHeight="false" outlineLevel="0" collapsed="false">
      <c r="A960" s="76" t="n">
        <v>936</v>
      </c>
      <c r="B960" s="20" t="s">
        <v>1526</v>
      </c>
      <c r="C960" s="20" t="s">
        <v>655</v>
      </c>
      <c r="D960" s="20" t="s">
        <v>1583</v>
      </c>
      <c r="E960" s="20" t="s">
        <v>657</v>
      </c>
      <c r="F960" s="76" t="s">
        <v>669</v>
      </c>
      <c r="G960" s="20" t="s">
        <v>670</v>
      </c>
      <c r="H960" s="55" t="n">
        <v>16</v>
      </c>
      <c r="I960" s="76" t="s">
        <v>512</v>
      </c>
      <c r="J960" s="76" t="s">
        <v>164</v>
      </c>
      <c r="K960" s="82" t="n">
        <v>1</v>
      </c>
      <c r="L960" s="55" t="n">
        <v>2</v>
      </c>
      <c r="M960" s="73" t="n">
        <v>25.5</v>
      </c>
      <c r="N960" s="74" t="n">
        <f aca="false">K960*L960*M960</f>
        <v>51</v>
      </c>
      <c r="O960" s="41" t="n">
        <f aca="false">IFERROR(INDEX(Исходные!$B$21:$B$33,MATCH(H960,Исходные!$A$21:$A$33,0)),0)</f>
        <v>1.578</v>
      </c>
      <c r="P960" s="83" t="n">
        <f aca="false">N960*O960</f>
        <v>80.478</v>
      </c>
      <c r="Q960" s="20" t="s">
        <v>671</v>
      </c>
      <c r="R960" s="84" t="s">
        <v>660</v>
      </c>
      <c r="S960" s="20"/>
      <c r="T960" s="20" t="s">
        <v>123</v>
      </c>
      <c r="U960" s="53" t="n">
        <v>0</v>
      </c>
      <c r="V960" s="76" t="s">
        <v>657</v>
      </c>
      <c r="W960" s="53" t="n">
        <v>3</v>
      </c>
    </row>
    <row r="961" customFormat="false" ht="35.05" hidden="false" customHeight="false" outlineLevel="0" collapsed="false">
      <c r="A961" s="76" t="n">
        <v>937</v>
      </c>
      <c r="B961" s="20" t="s">
        <v>1526</v>
      </c>
      <c r="C961" s="20" t="s">
        <v>655</v>
      </c>
      <c r="D961" s="20" t="s">
        <v>1583</v>
      </c>
      <c r="E961" s="20" t="s">
        <v>657</v>
      </c>
      <c r="F961" s="76" t="s">
        <v>672</v>
      </c>
      <c r="G961" s="20" t="s">
        <v>673</v>
      </c>
      <c r="H961" s="55" t="n">
        <v>16</v>
      </c>
      <c r="I961" s="76" t="s">
        <v>512</v>
      </c>
      <c r="J961" s="76" t="s">
        <v>164</v>
      </c>
      <c r="K961" s="82" t="n">
        <v>2</v>
      </c>
      <c r="L961" s="55" t="n">
        <v>2</v>
      </c>
      <c r="M961" s="73" t="n">
        <v>0.128</v>
      </c>
      <c r="N961" s="74" t="n">
        <f aca="false">K961*L961*M961</f>
        <v>0.512</v>
      </c>
      <c r="O961" s="41" t="n">
        <f aca="false">IFERROR(INDEX(Исходные!$B$21:$B$33,MATCH(H961,Исходные!$A$21:$A$33,0)),0)</f>
        <v>1.578</v>
      </c>
      <c r="P961" s="83" t="n">
        <f aca="false">N961*O961</f>
        <v>0.807936</v>
      </c>
      <c r="Q961" s="20" t="s">
        <v>674</v>
      </c>
      <c r="R961" s="84" t="s">
        <v>667</v>
      </c>
      <c r="S961" s="20" t="s">
        <v>675</v>
      </c>
      <c r="T961" s="20" t="s">
        <v>123</v>
      </c>
      <c r="U961" s="53" t="n">
        <v>0</v>
      </c>
      <c r="V961" s="76" t="s">
        <v>657</v>
      </c>
      <c r="W961" s="53" t="n">
        <v>3</v>
      </c>
    </row>
    <row r="962" customFormat="false" ht="35.05" hidden="false" customHeight="false" outlineLevel="0" collapsed="false">
      <c r="A962" s="76" t="n">
        <v>938</v>
      </c>
      <c r="B962" s="20" t="s">
        <v>1526</v>
      </c>
      <c r="C962" s="20" t="s">
        <v>655</v>
      </c>
      <c r="D962" s="20" t="s">
        <v>1583</v>
      </c>
      <c r="E962" s="20" t="s">
        <v>657</v>
      </c>
      <c r="F962" s="76" t="s">
        <v>676</v>
      </c>
      <c r="G962" s="20" t="s">
        <v>677</v>
      </c>
      <c r="H962" s="55" t="n">
        <v>28</v>
      </c>
      <c r="I962" s="76" t="s">
        <v>512</v>
      </c>
      <c r="J962" s="76" t="s">
        <v>164</v>
      </c>
      <c r="K962" s="82" t="n">
        <v>1</v>
      </c>
      <c r="L962" s="55" t="n">
        <v>2</v>
      </c>
      <c r="M962" s="73" t="n">
        <v>2.05</v>
      </c>
      <c r="N962" s="74" t="n">
        <f aca="false">K962*L962*M962</f>
        <v>4.1</v>
      </c>
      <c r="O962" s="41" t="n">
        <f aca="false">IFERROR(INDEX(Исходные!$B$21:$B$33,MATCH(H962,Исходные!$A$21:$A$33,0)),0)</f>
        <v>4.834</v>
      </c>
      <c r="P962" s="83" t="n">
        <f aca="false">N962*O962</f>
        <v>19.8194</v>
      </c>
      <c r="Q962" s="20" t="s">
        <v>1584</v>
      </c>
      <c r="R962" s="84" t="s">
        <v>660</v>
      </c>
      <c r="S962" s="20" t="s">
        <v>1295</v>
      </c>
      <c r="T962" s="20" t="s">
        <v>123</v>
      </c>
      <c r="U962" s="53" t="n">
        <v>0</v>
      </c>
      <c r="V962" s="76" t="s">
        <v>657</v>
      </c>
      <c r="W962" s="53" t="n">
        <v>3</v>
      </c>
    </row>
    <row r="963" customFormat="false" ht="35.05" hidden="false" customHeight="false" outlineLevel="0" collapsed="false">
      <c r="A963" s="76" t="n">
        <v>939</v>
      </c>
      <c r="B963" s="20" t="s">
        <v>1526</v>
      </c>
      <c r="C963" s="20" t="s">
        <v>655</v>
      </c>
      <c r="D963" s="20" t="s">
        <v>1583</v>
      </c>
      <c r="E963" s="20" t="s">
        <v>657</v>
      </c>
      <c r="F963" s="76" t="s">
        <v>676</v>
      </c>
      <c r="G963" s="20" t="s">
        <v>1585</v>
      </c>
      <c r="H963" s="55" t="n">
        <v>32</v>
      </c>
      <c r="I963" s="76" t="s">
        <v>512</v>
      </c>
      <c r="J963" s="76" t="s">
        <v>164</v>
      </c>
      <c r="K963" s="82" t="n">
        <v>1</v>
      </c>
      <c r="L963" s="55" t="n">
        <v>2</v>
      </c>
      <c r="M963" s="73" t="n">
        <v>4.5</v>
      </c>
      <c r="N963" s="74" t="n">
        <f aca="false">K963*L963*M963</f>
        <v>9</v>
      </c>
      <c r="O963" s="41" t="n">
        <f aca="false">IFERROR(INDEX(Исходные!$B$21:$B$33,MATCH(H963,Исходные!$A$21:$A$33,0)),0)</f>
        <v>6.313</v>
      </c>
      <c r="P963" s="83" t="n">
        <f aca="false">N963*O963</f>
        <v>56.817</v>
      </c>
      <c r="Q963" s="20" t="s">
        <v>1586</v>
      </c>
      <c r="R963" s="84" t="s">
        <v>660</v>
      </c>
      <c r="S963" s="20" t="s">
        <v>682</v>
      </c>
      <c r="T963" s="20" t="s">
        <v>123</v>
      </c>
      <c r="U963" s="53" t="n">
        <v>0</v>
      </c>
      <c r="V963" s="76" t="s">
        <v>657</v>
      </c>
      <c r="W963" s="53" t="n">
        <v>3</v>
      </c>
    </row>
    <row r="964" customFormat="false" ht="35.05" hidden="false" customHeight="false" outlineLevel="0" collapsed="false">
      <c r="A964" s="76" t="n">
        <v>940</v>
      </c>
      <c r="B964" s="20" t="s">
        <v>1526</v>
      </c>
      <c r="C964" s="20" t="s">
        <v>655</v>
      </c>
      <c r="D964" s="20" t="s">
        <v>1583</v>
      </c>
      <c r="E964" s="20" t="s">
        <v>657</v>
      </c>
      <c r="F964" s="76" t="s">
        <v>676</v>
      </c>
      <c r="G964" s="20" t="s">
        <v>1587</v>
      </c>
      <c r="H964" s="55" t="n">
        <v>28</v>
      </c>
      <c r="I964" s="76" t="s">
        <v>512</v>
      </c>
      <c r="J964" s="76" t="s">
        <v>164</v>
      </c>
      <c r="K964" s="82" t="n">
        <v>1</v>
      </c>
      <c r="L964" s="55" t="n">
        <v>2</v>
      </c>
      <c r="M964" s="73" t="n">
        <v>3.3</v>
      </c>
      <c r="N964" s="74" t="n">
        <f aca="false">K964*L964*M964</f>
        <v>6.6</v>
      </c>
      <c r="O964" s="41" t="n">
        <f aca="false">IFERROR(INDEX(Исходные!$B$21:$B$33,MATCH(H964,Исходные!$A$21:$A$33,0)),0)</f>
        <v>4.834</v>
      </c>
      <c r="P964" s="83" t="n">
        <f aca="false">N964*O964</f>
        <v>31.9044</v>
      </c>
      <c r="Q964" s="20" t="s">
        <v>1584</v>
      </c>
      <c r="R964" s="84" t="s">
        <v>660</v>
      </c>
      <c r="S964" s="20" t="s">
        <v>687</v>
      </c>
      <c r="T964" s="20" t="s">
        <v>123</v>
      </c>
      <c r="U964" s="53" t="n">
        <v>0</v>
      </c>
      <c r="V964" s="76" t="s">
        <v>657</v>
      </c>
      <c r="W964" s="53" t="n">
        <v>3</v>
      </c>
    </row>
    <row r="965" customFormat="false" ht="35.05" hidden="false" customHeight="false" outlineLevel="0" collapsed="false">
      <c r="A965" s="76" t="n">
        <v>941</v>
      </c>
      <c r="B965" s="20" t="s">
        <v>1526</v>
      </c>
      <c r="C965" s="20" t="s">
        <v>655</v>
      </c>
      <c r="D965" s="20" t="s">
        <v>1583</v>
      </c>
      <c r="E965" s="20" t="s">
        <v>657</v>
      </c>
      <c r="F965" s="76" t="s">
        <v>676</v>
      </c>
      <c r="G965" s="20" t="s">
        <v>1588</v>
      </c>
      <c r="H965" s="55" t="n">
        <v>32</v>
      </c>
      <c r="I965" s="76" t="s">
        <v>512</v>
      </c>
      <c r="J965" s="76" t="s">
        <v>164</v>
      </c>
      <c r="K965" s="82" t="n">
        <v>1</v>
      </c>
      <c r="L965" s="55" t="n">
        <v>2</v>
      </c>
      <c r="M965" s="73" t="n">
        <v>7.85</v>
      </c>
      <c r="N965" s="74" t="n">
        <f aca="false">K965*L965*M965</f>
        <v>15.7</v>
      </c>
      <c r="O965" s="41" t="n">
        <f aca="false">IFERROR(INDEX(Исходные!$B$21:$B$33,MATCH(H965,Исходные!$A$21:$A$33,0)),0)</f>
        <v>6.313</v>
      </c>
      <c r="P965" s="83" t="n">
        <f aca="false">N965*O965</f>
        <v>99.1141</v>
      </c>
      <c r="Q965" s="20" t="s">
        <v>1586</v>
      </c>
      <c r="R965" s="84" t="s">
        <v>660</v>
      </c>
      <c r="S965" s="20" t="s">
        <v>1299</v>
      </c>
      <c r="T965" s="20" t="s">
        <v>123</v>
      </c>
      <c r="U965" s="53" t="n">
        <v>0</v>
      </c>
      <c r="V965" s="76" t="s">
        <v>657</v>
      </c>
      <c r="W965" s="53" t="n">
        <v>3</v>
      </c>
    </row>
    <row r="966" customFormat="false" ht="35.05" hidden="false" customHeight="false" outlineLevel="0" collapsed="false">
      <c r="A966" s="76" t="n">
        <v>942</v>
      </c>
      <c r="B966" s="20" t="s">
        <v>1526</v>
      </c>
      <c r="C966" s="20" t="s">
        <v>655</v>
      </c>
      <c r="D966" s="20" t="s">
        <v>1583</v>
      </c>
      <c r="E966" s="20" t="s">
        <v>657</v>
      </c>
      <c r="F966" s="76" t="s">
        <v>676</v>
      </c>
      <c r="G966" s="20" t="s">
        <v>729</v>
      </c>
      <c r="H966" s="55" t="n">
        <v>16</v>
      </c>
      <c r="I966" s="76" t="s">
        <v>512</v>
      </c>
      <c r="J966" s="76" t="s">
        <v>164</v>
      </c>
      <c r="K966" s="82" t="n">
        <v>1</v>
      </c>
      <c r="L966" s="55" t="n">
        <v>2</v>
      </c>
      <c r="M966" s="73" t="n">
        <v>2.9</v>
      </c>
      <c r="N966" s="74" t="n">
        <f aca="false">K966*L966*M966</f>
        <v>5.8</v>
      </c>
      <c r="O966" s="41" t="n">
        <f aca="false">IFERROR(INDEX(Исходные!$B$21:$B$33,MATCH(H966,Исходные!$A$21:$A$33,0)),0)</f>
        <v>1.578</v>
      </c>
      <c r="P966" s="83" t="n">
        <f aca="false">N966*O966</f>
        <v>9.1524</v>
      </c>
      <c r="Q966" s="20" t="s">
        <v>1589</v>
      </c>
      <c r="R966" s="84" t="s">
        <v>660</v>
      </c>
      <c r="S966" s="20" t="s">
        <v>731</v>
      </c>
      <c r="T966" s="20" t="s">
        <v>123</v>
      </c>
      <c r="U966" s="53" t="n">
        <v>0</v>
      </c>
      <c r="V966" s="76" t="s">
        <v>657</v>
      </c>
      <c r="W966" s="53" t="n">
        <v>3</v>
      </c>
    </row>
    <row r="967" customFormat="false" ht="35.05" hidden="false" customHeight="false" outlineLevel="0" collapsed="false">
      <c r="A967" s="76" t="n">
        <v>943</v>
      </c>
      <c r="B967" s="20" t="s">
        <v>1526</v>
      </c>
      <c r="C967" s="20" t="s">
        <v>655</v>
      </c>
      <c r="D967" s="20" t="s">
        <v>1583</v>
      </c>
      <c r="E967" s="20" t="s">
        <v>657</v>
      </c>
      <c r="F967" s="76" t="s">
        <v>676</v>
      </c>
      <c r="G967" s="20" t="s">
        <v>1590</v>
      </c>
      <c r="H967" s="55" t="n">
        <v>14</v>
      </c>
      <c r="I967" s="76" t="s">
        <v>512</v>
      </c>
      <c r="J967" s="76" t="s">
        <v>164</v>
      </c>
      <c r="K967" s="82" t="n">
        <v>1</v>
      </c>
      <c r="L967" s="55" t="n">
        <v>2</v>
      </c>
      <c r="M967" s="73" t="n">
        <v>2.7</v>
      </c>
      <c r="N967" s="74" t="n">
        <f aca="false">K967*L967*M967</f>
        <v>5.4</v>
      </c>
      <c r="O967" s="41" t="n">
        <f aca="false">IFERROR(INDEX(Исходные!$B$21:$B$33,MATCH(H967,Исходные!$A$21:$A$33,0)),0)</f>
        <v>1.208</v>
      </c>
      <c r="P967" s="83" t="n">
        <f aca="false">N967*O967</f>
        <v>6.5232</v>
      </c>
      <c r="Q967" s="20" t="s">
        <v>1591</v>
      </c>
      <c r="R967" s="84" t="s">
        <v>660</v>
      </c>
      <c r="S967" s="20" t="s">
        <v>1592</v>
      </c>
      <c r="T967" s="20" t="s">
        <v>123</v>
      </c>
      <c r="U967" s="53" t="n">
        <v>0</v>
      </c>
      <c r="V967" s="76" t="s">
        <v>657</v>
      </c>
      <c r="W967" s="53" t="n">
        <v>3</v>
      </c>
    </row>
    <row r="968" customFormat="false" ht="35.05" hidden="false" customHeight="false" outlineLevel="0" collapsed="false">
      <c r="A968" s="76" t="n">
        <v>944</v>
      </c>
      <c r="B968" s="20" t="s">
        <v>1526</v>
      </c>
      <c r="C968" s="20" t="s">
        <v>655</v>
      </c>
      <c r="D968" s="20" t="s">
        <v>1583</v>
      </c>
      <c r="E968" s="20" t="s">
        <v>657</v>
      </c>
      <c r="F968" s="76" t="s">
        <v>676</v>
      </c>
      <c r="G968" s="20" t="s">
        <v>694</v>
      </c>
      <c r="H968" s="55" t="n">
        <v>16</v>
      </c>
      <c r="I968" s="76" t="s">
        <v>512</v>
      </c>
      <c r="J968" s="76" t="s">
        <v>164</v>
      </c>
      <c r="K968" s="82" t="n">
        <v>1</v>
      </c>
      <c r="L968" s="55" t="n">
        <v>2</v>
      </c>
      <c r="M968" s="73" t="n">
        <v>3.3</v>
      </c>
      <c r="N968" s="74" t="n">
        <f aca="false">K968*L968*M968</f>
        <v>6.6</v>
      </c>
      <c r="O968" s="41" t="n">
        <f aca="false">IFERROR(INDEX(Исходные!$B$21:$B$33,MATCH(H968,Исходные!$A$21:$A$33,0)),0)</f>
        <v>1.578</v>
      </c>
      <c r="P968" s="83" t="n">
        <f aca="false">N968*O968</f>
        <v>10.4148</v>
      </c>
      <c r="Q968" s="20" t="s">
        <v>1589</v>
      </c>
      <c r="R968" s="84" t="s">
        <v>660</v>
      </c>
      <c r="S968" s="20" t="s">
        <v>687</v>
      </c>
      <c r="T968" s="20" t="s">
        <v>123</v>
      </c>
      <c r="U968" s="53" t="n">
        <v>0</v>
      </c>
      <c r="V968" s="76" t="s">
        <v>657</v>
      </c>
      <c r="W968" s="53" t="n">
        <v>3</v>
      </c>
    </row>
    <row r="969" customFormat="false" ht="35.05" hidden="false" customHeight="false" outlineLevel="0" collapsed="false">
      <c r="A969" s="76" t="n">
        <v>945</v>
      </c>
      <c r="B969" s="20" t="s">
        <v>1526</v>
      </c>
      <c r="C969" s="20" t="s">
        <v>655</v>
      </c>
      <c r="D969" s="20" t="s">
        <v>1583</v>
      </c>
      <c r="E969" s="20" t="s">
        <v>657</v>
      </c>
      <c r="F969" s="76" t="s">
        <v>676</v>
      </c>
      <c r="G969" s="20" t="s">
        <v>695</v>
      </c>
      <c r="H969" s="55" t="n">
        <v>28</v>
      </c>
      <c r="I969" s="76" t="s">
        <v>512</v>
      </c>
      <c r="J969" s="76" t="s">
        <v>164</v>
      </c>
      <c r="K969" s="82" t="n">
        <v>1</v>
      </c>
      <c r="L969" s="55" t="n">
        <v>2</v>
      </c>
      <c r="M969" s="73" t="n">
        <v>7.85</v>
      </c>
      <c r="N969" s="74" t="n">
        <f aca="false">K969*L969*M969</f>
        <v>15.7</v>
      </c>
      <c r="O969" s="41" t="n">
        <f aca="false">IFERROR(INDEX(Исходные!$B$21:$B$33,MATCH(H969,Исходные!$A$21:$A$33,0)),0)</f>
        <v>4.834</v>
      </c>
      <c r="P969" s="83" t="n">
        <f aca="false">N969*O969</f>
        <v>75.8938</v>
      </c>
      <c r="Q969" s="20" t="s">
        <v>1584</v>
      </c>
      <c r="R969" s="84" t="s">
        <v>660</v>
      </c>
      <c r="S969" s="20" t="s">
        <v>1299</v>
      </c>
      <c r="T969" s="20" t="s">
        <v>123</v>
      </c>
      <c r="U969" s="53" t="n">
        <v>0</v>
      </c>
      <c r="V969" s="76" t="s">
        <v>657</v>
      </c>
      <c r="W969" s="53" t="n">
        <v>3</v>
      </c>
    </row>
    <row r="970" customFormat="false" ht="35.05" hidden="false" customHeight="false" outlineLevel="0" collapsed="false">
      <c r="A970" s="76" t="n">
        <v>946</v>
      </c>
      <c r="B970" s="20" t="s">
        <v>1526</v>
      </c>
      <c r="C970" s="20" t="s">
        <v>655</v>
      </c>
      <c r="D970" s="20" t="s">
        <v>1583</v>
      </c>
      <c r="E970" s="20" t="s">
        <v>657</v>
      </c>
      <c r="F970" s="76" t="s">
        <v>696</v>
      </c>
      <c r="G970" s="20" t="s">
        <v>1308</v>
      </c>
      <c r="H970" s="55" t="n">
        <v>8</v>
      </c>
      <c r="I970" s="76" t="s">
        <v>546</v>
      </c>
      <c r="J970" s="76" t="s">
        <v>698</v>
      </c>
      <c r="K970" s="82" t="n">
        <v>1</v>
      </c>
      <c r="L970" s="55" t="n">
        <v>134</v>
      </c>
      <c r="M970" s="73" t="n">
        <v>2.06</v>
      </c>
      <c r="N970" s="74" t="n">
        <f aca="false">K970*L970*M970</f>
        <v>276.04</v>
      </c>
      <c r="O970" s="41" t="n">
        <f aca="false">IFERROR(INDEX(Исходные!$B$21:$B$33,MATCH(H970,Исходные!$A$21:$A$33,0)),0)</f>
        <v>0.395</v>
      </c>
      <c r="P970" s="83" t="n">
        <f aca="false">N970*O970</f>
        <v>109.0358</v>
      </c>
      <c r="Q970" s="20" t="s">
        <v>1309</v>
      </c>
      <c r="R970" s="84" t="s">
        <v>514</v>
      </c>
      <c r="S970" s="20" t="s">
        <v>1310</v>
      </c>
      <c r="T970" s="20" t="s">
        <v>123</v>
      </c>
      <c r="U970" s="53" t="n">
        <v>0</v>
      </c>
      <c r="V970" s="76" t="s">
        <v>657</v>
      </c>
      <c r="W970" s="53" t="n">
        <v>3</v>
      </c>
    </row>
    <row r="971" customFormat="false" ht="35.05" hidden="false" customHeight="false" outlineLevel="0" collapsed="false">
      <c r="A971" s="76" t="n">
        <v>947</v>
      </c>
      <c r="B971" s="20" t="s">
        <v>1526</v>
      </c>
      <c r="C971" s="20" t="s">
        <v>655</v>
      </c>
      <c r="D971" s="20" t="s">
        <v>1583</v>
      </c>
      <c r="E971" s="20" t="s">
        <v>657</v>
      </c>
      <c r="F971" s="76" t="s">
        <v>561</v>
      </c>
      <c r="G971" s="20" t="s">
        <v>1311</v>
      </c>
      <c r="H971" s="55" t="n">
        <v>10</v>
      </c>
      <c r="I971" s="76" t="s">
        <v>546</v>
      </c>
      <c r="J971" s="76" t="n">
        <v>100</v>
      </c>
      <c r="K971" s="82" t="n">
        <v>1</v>
      </c>
      <c r="L971" s="55" t="n">
        <v>34</v>
      </c>
      <c r="M971" s="73" t="n">
        <v>2.06</v>
      </c>
      <c r="N971" s="74" t="n">
        <f aca="false">K971*L971*M971</f>
        <v>70.04</v>
      </c>
      <c r="O971" s="41" t="n">
        <f aca="false">IFERROR(INDEX(Исходные!$B$21:$B$33,MATCH(H971,Исходные!$A$21:$A$33,0)),0)</f>
        <v>0.617</v>
      </c>
      <c r="P971" s="83" t="n">
        <f aca="false">N971*O971</f>
        <v>43.21468</v>
      </c>
      <c r="Q971" s="20" t="s">
        <v>1593</v>
      </c>
      <c r="R971" s="84" t="s">
        <v>514</v>
      </c>
      <c r="S971" s="20" t="s">
        <v>1594</v>
      </c>
      <c r="T971" s="20" t="s">
        <v>123</v>
      </c>
      <c r="U971" s="53" t="n">
        <v>0</v>
      </c>
      <c r="V971" s="76" t="s">
        <v>657</v>
      </c>
      <c r="W971" s="53" t="n">
        <v>3</v>
      </c>
    </row>
    <row r="972" customFormat="false" ht="35.05" hidden="false" customHeight="false" outlineLevel="0" collapsed="false">
      <c r="A972" s="76" t="n">
        <v>948</v>
      </c>
      <c r="B972" s="20" t="s">
        <v>1526</v>
      </c>
      <c r="C972" s="20" t="s">
        <v>655</v>
      </c>
      <c r="D972" s="20" t="s">
        <v>1583</v>
      </c>
      <c r="E972" s="20" t="s">
        <v>657</v>
      </c>
      <c r="F972" s="76" t="s">
        <v>603</v>
      </c>
      <c r="G972" s="20" t="s">
        <v>704</v>
      </c>
      <c r="H972" s="55" t="n">
        <v>10</v>
      </c>
      <c r="I972" s="76" t="s">
        <v>546</v>
      </c>
      <c r="J972" s="76" t="n">
        <v>100</v>
      </c>
      <c r="K972" s="82" t="n">
        <v>1</v>
      </c>
      <c r="L972" s="55" t="n">
        <v>8</v>
      </c>
      <c r="M972" s="73" t="n">
        <v>1.6</v>
      </c>
      <c r="N972" s="74" t="n">
        <f aca="false">K972*L972*M972</f>
        <v>12.8</v>
      </c>
      <c r="O972" s="41" t="n">
        <f aca="false">IFERROR(INDEX(Исходные!$B$21:$B$33,MATCH(H972,Исходные!$A$21:$A$33,0)),0)</f>
        <v>0.617</v>
      </c>
      <c r="P972" s="83" t="n">
        <f aca="false">N972*O972</f>
        <v>7.8976</v>
      </c>
      <c r="Q972" s="20" t="s">
        <v>705</v>
      </c>
      <c r="R972" s="84" t="s">
        <v>514</v>
      </c>
      <c r="S972" s="20"/>
      <c r="T972" s="20" t="s">
        <v>123</v>
      </c>
      <c r="U972" s="53" t="n">
        <v>0</v>
      </c>
      <c r="V972" s="76" t="s">
        <v>657</v>
      </c>
      <c r="W972" s="53" t="n">
        <v>3</v>
      </c>
    </row>
    <row r="973" customFormat="false" ht="35.05" hidden="false" customHeight="false" outlineLevel="0" collapsed="false">
      <c r="A973" s="76" t="n">
        <v>949</v>
      </c>
      <c r="B973" s="20" t="s">
        <v>1526</v>
      </c>
      <c r="C973" s="20" t="s">
        <v>655</v>
      </c>
      <c r="D973" s="20" t="s">
        <v>1583</v>
      </c>
      <c r="E973" s="20" t="s">
        <v>657</v>
      </c>
      <c r="F973" s="76" t="s">
        <v>706</v>
      </c>
      <c r="G973" s="20" t="s">
        <v>1314</v>
      </c>
      <c r="H973" s="55" t="n">
        <v>8</v>
      </c>
      <c r="I973" s="76" t="s">
        <v>546</v>
      </c>
      <c r="J973" s="76" t="s">
        <v>708</v>
      </c>
      <c r="K973" s="82" t="n">
        <v>1</v>
      </c>
      <c r="L973" s="55" t="n">
        <v>105</v>
      </c>
      <c r="M973" s="73" t="n">
        <v>0.75</v>
      </c>
      <c r="N973" s="74" t="n">
        <f aca="false">K973*L973*M973</f>
        <v>78.75</v>
      </c>
      <c r="O973" s="41" t="n">
        <f aca="false">IFERROR(INDEX(Исходные!$B$21:$B$33,MATCH(H973,Исходные!$A$21:$A$33,0)),0)</f>
        <v>0.395</v>
      </c>
      <c r="P973" s="83" t="n">
        <f aca="false">N973*O973</f>
        <v>31.10625</v>
      </c>
      <c r="Q973" s="20" t="s">
        <v>709</v>
      </c>
      <c r="R973" s="84" t="s">
        <v>514</v>
      </c>
      <c r="S973" s="20"/>
      <c r="T973" s="20" t="s">
        <v>123</v>
      </c>
      <c r="U973" s="53" t="n">
        <v>0</v>
      </c>
      <c r="V973" s="76" t="s">
        <v>657</v>
      </c>
      <c r="W973" s="53" t="n">
        <v>3</v>
      </c>
    </row>
    <row r="974" customFormat="false" ht="35.05" hidden="false" customHeight="false" outlineLevel="0" collapsed="false">
      <c r="A974" s="76" t="n">
        <v>950</v>
      </c>
      <c r="B974" s="20" t="s">
        <v>1526</v>
      </c>
      <c r="C974" s="20" t="s">
        <v>655</v>
      </c>
      <c r="D974" s="20" t="s">
        <v>1583</v>
      </c>
      <c r="E974" s="20" t="s">
        <v>657</v>
      </c>
      <c r="F974" s="76" t="s">
        <v>710</v>
      </c>
      <c r="G974" s="20" t="s">
        <v>1315</v>
      </c>
      <c r="H974" s="55" t="n">
        <v>8</v>
      </c>
      <c r="I974" s="76" t="s">
        <v>546</v>
      </c>
      <c r="J974" s="76" t="n">
        <v>300</v>
      </c>
      <c r="K974" s="82" t="n">
        <v>1</v>
      </c>
      <c r="L974" s="55" t="n">
        <v>70</v>
      </c>
      <c r="M974" s="73" t="n">
        <v>0.58</v>
      </c>
      <c r="N974" s="74" t="n">
        <f aca="false">K974*L974*M974</f>
        <v>40.6</v>
      </c>
      <c r="O974" s="41" t="n">
        <f aca="false">IFERROR(INDEX(Исходные!$B$21:$B$33,MATCH(H974,Исходные!$A$21:$A$33,0)),0)</f>
        <v>0.395</v>
      </c>
      <c r="P974" s="83" t="n">
        <f aca="false">N974*O974</f>
        <v>16.037</v>
      </c>
      <c r="Q974" s="20" t="s">
        <v>1316</v>
      </c>
      <c r="R974" s="85" t="s">
        <v>638</v>
      </c>
      <c r="S974" s="20"/>
      <c r="T974" s="20" t="s">
        <v>123</v>
      </c>
      <c r="U974" s="53" t="n">
        <v>1</v>
      </c>
      <c r="V974" s="76" t="s">
        <v>657</v>
      </c>
      <c r="W974" s="53" t="n">
        <v>3</v>
      </c>
    </row>
    <row r="975" customFormat="false" ht="35.05" hidden="false" customHeight="false" outlineLevel="0" collapsed="false">
      <c r="A975" s="76" t="n">
        <v>951</v>
      </c>
      <c r="B975" s="20" t="s">
        <v>1526</v>
      </c>
      <c r="C975" s="20" t="s">
        <v>655</v>
      </c>
      <c r="D975" s="20" t="s">
        <v>1595</v>
      </c>
      <c r="E975" s="20" t="s">
        <v>715</v>
      </c>
      <c r="F975" s="76" t="s">
        <v>519</v>
      </c>
      <c r="G975" s="20" t="s">
        <v>658</v>
      </c>
      <c r="H975" s="55" t="n">
        <v>28</v>
      </c>
      <c r="I975" s="76" t="s">
        <v>512</v>
      </c>
      <c r="J975" s="76" t="s">
        <v>164</v>
      </c>
      <c r="K975" s="82" t="n">
        <v>1</v>
      </c>
      <c r="L975" s="55" t="n">
        <v>4</v>
      </c>
      <c r="M975" s="73" t="n">
        <v>25.5</v>
      </c>
      <c r="N975" s="74" t="n">
        <f aca="false">K975*L975*M975</f>
        <v>102</v>
      </c>
      <c r="O975" s="41" t="n">
        <f aca="false">IFERROR(INDEX(Исходные!$B$21:$B$33,MATCH(H975,Исходные!$A$21:$A$33,0)),0)</f>
        <v>4.834</v>
      </c>
      <c r="P975" s="83" t="n">
        <f aca="false">N975*O975</f>
        <v>493.068</v>
      </c>
      <c r="Q975" s="20" t="s">
        <v>1318</v>
      </c>
      <c r="R975" s="84" t="s">
        <v>660</v>
      </c>
      <c r="S975" s="20" t="s">
        <v>661</v>
      </c>
      <c r="T975" s="20" t="s">
        <v>123</v>
      </c>
      <c r="U975" s="53" t="n">
        <v>0</v>
      </c>
      <c r="V975" s="76" t="s">
        <v>715</v>
      </c>
      <c r="W975" s="53" t="n">
        <v>3</v>
      </c>
    </row>
    <row r="976" customFormat="false" ht="35.05" hidden="false" customHeight="false" outlineLevel="0" collapsed="false">
      <c r="A976" s="76" t="n">
        <v>952</v>
      </c>
      <c r="B976" s="20" t="s">
        <v>1526</v>
      </c>
      <c r="C976" s="20" t="s">
        <v>655</v>
      </c>
      <c r="D976" s="20" t="s">
        <v>1595</v>
      </c>
      <c r="E976" s="20" t="s">
        <v>715</v>
      </c>
      <c r="F976" s="76" t="s">
        <v>529</v>
      </c>
      <c r="G976" s="20" t="s">
        <v>662</v>
      </c>
      <c r="H976" s="55" t="n">
        <v>18</v>
      </c>
      <c r="I976" s="76" t="s">
        <v>512</v>
      </c>
      <c r="J976" s="76" t="s">
        <v>164</v>
      </c>
      <c r="K976" s="82" t="n">
        <v>1</v>
      </c>
      <c r="L976" s="55" t="n">
        <v>2</v>
      </c>
      <c r="M976" s="73" t="n">
        <v>25.5</v>
      </c>
      <c r="N976" s="74" t="n">
        <f aca="false">K976*L976*M976</f>
        <v>51</v>
      </c>
      <c r="O976" s="41" t="n">
        <f aca="false">IFERROR(INDEX(Исходные!$B$21:$B$33,MATCH(H976,Исходные!$A$21:$A$33,0)),0)</f>
        <v>1.998</v>
      </c>
      <c r="P976" s="83" t="n">
        <f aca="false">N976*O976</f>
        <v>101.898</v>
      </c>
      <c r="Q976" s="20" t="s">
        <v>663</v>
      </c>
      <c r="R976" s="84" t="s">
        <v>660</v>
      </c>
      <c r="S976" s="20"/>
      <c r="T976" s="20" t="s">
        <v>123</v>
      </c>
      <c r="U976" s="53" t="n">
        <v>0</v>
      </c>
      <c r="V976" s="76" t="s">
        <v>715</v>
      </c>
      <c r="W976" s="53" t="n">
        <v>3</v>
      </c>
    </row>
    <row r="977" customFormat="false" ht="35.05" hidden="false" customHeight="false" outlineLevel="0" collapsed="false">
      <c r="A977" s="76" t="n">
        <v>953</v>
      </c>
      <c r="B977" s="20" t="s">
        <v>1526</v>
      </c>
      <c r="C977" s="20" t="s">
        <v>655</v>
      </c>
      <c r="D977" s="20" t="s">
        <v>1595</v>
      </c>
      <c r="E977" s="20" t="s">
        <v>715</v>
      </c>
      <c r="F977" s="76" t="s">
        <v>664</v>
      </c>
      <c r="G977" s="20" t="s">
        <v>665</v>
      </c>
      <c r="H977" s="55" t="n">
        <v>18</v>
      </c>
      <c r="I977" s="76" t="s">
        <v>512</v>
      </c>
      <c r="J977" s="76" t="s">
        <v>164</v>
      </c>
      <c r="K977" s="82" t="n">
        <v>2</v>
      </c>
      <c r="L977" s="55" t="n">
        <v>2</v>
      </c>
      <c r="M977" s="73" t="n">
        <v>0.144</v>
      </c>
      <c r="N977" s="74" t="n">
        <f aca="false">K977*L977*M977</f>
        <v>0.576</v>
      </c>
      <c r="O977" s="41" t="n">
        <f aca="false">IFERROR(INDEX(Исходные!$B$21:$B$33,MATCH(H977,Исходные!$A$21:$A$33,0)),0)</f>
        <v>1.998</v>
      </c>
      <c r="P977" s="83" t="n">
        <f aca="false">N977*O977</f>
        <v>1.150848</v>
      </c>
      <c r="Q977" s="20" t="s">
        <v>666</v>
      </c>
      <c r="R977" s="84" t="s">
        <v>667</v>
      </c>
      <c r="S977" s="20" t="s">
        <v>668</v>
      </c>
      <c r="T977" s="20" t="s">
        <v>123</v>
      </c>
      <c r="U977" s="53" t="n">
        <v>0</v>
      </c>
      <c r="V977" s="76" t="s">
        <v>715</v>
      </c>
      <c r="W977" s="53" t="n">
        <v>3</v>
      </c>
    </row>
    <row r="978" customFormat="false" ht="35.05" hidden="false" customHeight="false" outlineLevel="0" collapsed="false">
      <c r="A978" s="76" t="n">
        <v>954</v>
      </c>
      <c r="B978" s="20" t="s">
        <v>1526</v>
      </c>
      <c r="C978" s="20" t="s">
        <v>655</v>
      </c>
      <c r="D978" s="20" t="s">
        <v>1595</v>
      </c>
      <c r="E978" s="20" t="s">
        <v>715</v>
      </c>
      <c r="F978" s="76" t="s">
        <v>669</v>
      </c>
      <c r="G978" s="20" t="s">
        <v>670</v>
      </c>
      <c r="H978" s="55" t="n">
        <v>16</v>
      </c>
      <c r="I978" s="76" t="s">
        <v>512</v>
      </c>
      <c r="J978" s="76" t="s">
        <v>164</v>
      </c>
      <c r="K978" s="82" t="n">
        <v>1</v>
      </c>
      <c r="L978" s="55" t="n">
        <v>2</v>
      </c>
      <c r="M978" s="73" t="n">
        <v>25.5</v>
      </c>
      <c r="N978" s="74" t="n">
        <f aca="false">K978*L978*M978</f>
        <v>51</v>
      </c>
      <c r="O978" s="41" t="n">
        <f aca="false">IFERROR(INDEX(Исходные!$B$21:$B$33,MATCH(H978,Исходные!$A$21:$A$33,0)),0)</f>
        <v>1.578</v>
      </c>
      <c r="P978" s="83" t="n">
        <f aca="false">N978*O978</f>
        <v>80.478</v>
      </c>
      <c r="Q978" s="20" t="s">
        <v>671</v>
      </c>
      <c r="R978" s="84" t="s">
        <v>660</v>
      </c>
      <c r="S978" s="20"/>
      <c r="T978" s="20" t="s">
        <v>123</v>
      </c>
      <c r="U978" s="53" t="n">
        <v>0</v>
      </c>
      <c r="V978" s="76" t="s">
        <v>715</v>
      </c>
      <c r="W978" s="53" t="n">
        <v>3</v>
      </c>
    </row>
    <row r="979" customFormat="false" ht="35.05" hidden="false" customHeight="false" outlineLevel="0" collapsed="false">
      <c r="A979" s="76" t="n">
        <v>955</v>
      </c>
      <c r="B979" s="20" t="s">
        <v>1526</v>
      </c>
      <c r="C979" s="20" t="s">
        <v>655</v>
      </c>
      <c r="D979" s="20" t="s">
        <v>1595</v>
      </c>
      <c r="E979" s="20" t="s">
        <v>715</v>
      </c>
      <c r="F979" s="76" t="s">
        <v>672</v>
      </c>
      <c r="G979" s="20" t="s">
        <v>673</v>
      </c>
      <c r="H979" s="55" t="n">
        <v>16</v>
      </c>
      <c r="I979" s="76" t="s">
        <v>512</v>
      </c>
      <c r="J979" s="76" t="s">
        <v>164</v>
      </c>
      <c r="K979" s="82" t="n">
        <v>2</v>
      </c>
      <c r="L979" s="55" t="n">
        <v>2</v>
      </c>
      <c r="M979" s="73" t="n">
        <v>0.128</v>
      </c>
      <c r="N979" s="74" t="n">
        <f aca="false">K979*L979*M979</f>
        <v>0.512</v>
      </c>
      <c r="O979" s="41" t="n">
        <f aca="false">IFERROR(INDEX(Исходные!$B$21:$B$33,MATCH(H979,Исходные!$A$21:$A$33,0)),0)</f>
        <v>1.578</v>
      </c>
      <c r="P979" s="83" t="n">
        <f aca="false">N979*O979</f>
        <v>0.807936</v>
      </c>
      <c r="Q979" s="20" t="s">
        <v>674</v>
      </c>
      <c r="R979" s="84" t="s">
        <v>667</v>
      </c>
      <c r="S979" s="20" t="s">
        <v>675</v>
      </c>
      <c r="T979" s="20" t="s">
        <v>123</v>
      </c>
      <c r="U979" s="53" t="n">
        <v>0</v>
      </c>
      <c r="V979" s="76" t="s">
        <v>715</v>
      </c>
      <c r="W979" s="53" t="n">
        <v>3</v>
      </c>
    </row>
    <row r="980" customFormat="false" ht="35.05" hidden="false" customHeight="false" outlineLevel="0" collapsed="false">
      <c r="A980" s="76" t="n">
        <v>956</v>
      </c>
      <c r="B980" s="20" t="s">
        <v>1526</v>
      </c>
      <c r="C980" s="20" t="s">
        <v>655</v>
      </c>
      <c r="D980" s="20" t="s">
        <v>1595</v>
      </c>
      <c r="E980" s="20" t="s">
        <v>715</v>
      </c>
      <c r="F980" s="76" t="s">
        <v>676</v>
      </c>
      <c r="G980" s="20" t="s">
        <v>717</v>
      </c>
      <c r="H980" s="55" t="n">
        <v>25</v>
      </c>
      <c r="I980" s="76" t="s">
        <v>512</v>
      </c>
      <c r="J980" s="76" t="s">
        <v>164</v>
      </c>
      <c r="K980" s="82" t="n">
        <v>1</v>
      </c>
      <c r="L980" s="55" t="n">
        <v>2</v>
      </c>
      <c r="M980" s="73" t="n">
        <v>2.05</v>
      </c>
      <c r="N980" s="74" t="n">
        <f aca="false">K980*L980*M980</f>
        <v>4.1</v>
      </c>
      <c r="O980" s="41" t="n">
        <f aca="false">IFERROR(INDEX(Исходные!$B$21:$B$33,MATCH(H980,Исходные!$A$21:$A$33,0)),0)</f>
        <v>3.853</v>
      </c>
      <c r="P980" s="83" t="n">
        <f aca="false">N980*O980</f>
        <v>15.7973</v>
      </c>
      <c r="Q980" s="20" t="s">
        <v>1596</v>
      </c>
      <c r="R980" s="84" t="s">
        <v>660</v>
      </c>
      <c r="S980" s="20" t="s">
        <v>1295</v>
      </c>
      <c r="T980" s="20" t="s">
        <v>123</v>
      </c>
      <c r="U980" s="53" t="n">
        <v>0</v>
      </c>
      <c r="V980" s="76" t="s">
        <v>715</v>
      </c>
      <c r="W980" s="53" t="n">
        <v>3</v>
      </c>
    </row>
    <row r="981" customFormat="false" ht="35.05" hidden="false" customHeight="false" outlineLevel="0" collapsed="false">
      <c r="A981" s="76" t="n">
        <v>957</v>
      </c>
      <c r="B981" s="20" t="s">
        <v>1526</v>
      </c>
      <c r="C981" s="20" t="s">
        <v>655</v>
      </c>
      <c r="D981" s="20" t="s">
        <v>1595</v>
      </c>
      <c r="E981" s="20" t="s">
        <v>715</v>
      </c>
      <c r="F981" s="76" t="s">
        <v>676</v>
      </c>
      <c r="G981" s="20" t="s">
        <v>1320</v>
      </c>
      <c r="H981" s="55" t="n">
        <v>28</v>
      </c>
      <c r="I981" s="76" t="s">
        <v>512</v>
      </c>
      <c r="J981" s="76" t="s">
        <v>164</v>
      </c>
      <c r="K981" s="82" t="n">
        <v>1</v>
      </c>
      <c r="L981" s="55" t="n">
        <v>2</v>
      </c>
      <c r="M981" s="73" t="n">
        <v>3.7</v>
      </c>
      <c r="N981" s="74" t="n">
        <f aca="false">K981*L981*M981</f>
        <v>7.4</v>
      </c>
      <c r="O981" s="41" t="n">
        <f aca="false">IFERROR(INDEX(Исходные!$B$21:$B$33,MATCH(H981,Исходные!$A$21:$A$33,0)),0)</f>
        <v>4.834</v>
      </c>
      <c r="P981" s="83" t="n">
        <f aca="false">N981*O981</f>
        <v>35.7716</v>
      </c>
      <c r="Q981" s="20" t="s">
        <v>1597</v>
      </c>
      <c r="R981" s="84" t="s">
        <v>660</v>
      </c>
      <c r="S981" s="20" t="s">
        <v>721</v>
      </c>
      <c r="T981" s="20" t="s">
        <v>123</v>
      </c>
      <c r="U981" s="53" t="n">
        <v>0</v>
      </c>
      <c r="V981" s="76" t="s">
        <v>715</v>
      </c>
      <c r="W981" s="53" t="n">
        <v>3</v>
      </c>
    </row>
    <row r="982" customFormat="false" ht="35.05" hidden="false" customHeight="false" outlineLevel="0" collapsed="false">
      <c r="A982" s="76" t="n">
        <v>958</v>
      </c>
      <c r="B982" s="20" t="s">
        <v>1526</v>
      </c>
      <c r="C982" s="20" t="s">
        <v>655</v>
      </c>
      <c r="D982" s="20" t="s">
        <v>1595</v>
      </c>
      <c r="E982" s="20" t="s">
        <v>715</v>
      </c>
      <c r="F982" s="76" t="s">
        <v>676</v>
      </c>
      <c r="G982" s="20" t="s">
        <v>1598</v>
      </c>
      <c r="H982" s="55" t="n">
        <v>20</v>
      </c>
      <c r="I982" s="76" t="s">
        <v>512</v>
      </c>
      <c r="J982" s="76" t="s">
        <v>164</v>
      </c>
      <c r="K982" s="82" t="n">
        <v>1</v>
      </c>
      <c r="L982" s="55" t="n">
        <v>2</v>
      </c>
      <c r="M982" s="73" t="n">
        <v>3.7</v>
      </c>
      <c r="N982" s="74" t="n">
        <f aca="false">K982*L982*M982</f>
        <v>7.4</v>
      </c>
      <c r="O982" s="41" t="n">
        <f aca="false">IFERROR(INDEX(Исходные!$B$21:$B$33,MATCH(H982,Исходные!$A$21:$A$33,0)),0)</f>
        <v>2.466</v>
      </c>
      <c r="P982" s="83" t="n">
        <f aca="false">N982*O982</f>
        <v>18.2484</v>
      </c>
      <c r="Q982" s="20" t="s">
        <v>1599</v>
      </c>
      <c r="R982" s="84" t="s">
        <v>660</v>
      </c>
      <c r="S982" s="20" t="s">
        <v>721</v>
      </c>
      <c r="T982" s="20" t="s">
        <v>123</v>
      </c>
      <c r="U982" s="53" t="n">
        <v>0</v>
      </c>
      <c r="V982" s="76" t="s">
        <v>715</v>
      </c>
      <c r="W982" s="53" t="n">
        <v>3</v>
      </c>
    </row>
    <row r="983" customFormat="false" ht="35.05" hidden="false" customHeight="false" outlineLevel="0" collapsed="false">
      <c r="A983" s="76" t="n">
        <v>959</v>
      </c>
      <c r="B983" s="20" t="s">
        <v>1526</v>
      </c>
      <c r="C983" s="20" t="s">
        <v>655</v>
      </c>
      <c r="D983" s="20" t="s">
        <v>1595</v>
      </c>
      <c r="E983" s="20" t="s">
        <v>715</v>
      </c>
      <c r="F983" s="76" t="s">
        <v>676</v>
      </c>
      <c r="G983" s="20" t="s">
        <v>722</v>
      </c>
      <c r="H983" s="55" t="n">
        <v>28</v>
      </c>
      <c r="I983" s="76" t="s">
        <v>512</v>
      </c>
      <c r="J983" s="76" t="s">
        <v>164</v>
      </c>
      <c r="K983" s="82" t="n">
        <v>1</v>
      </c>
      <c r="L983" s="55" t="n">
        <v>2</v>
      </c>
      <c r="M983" s="73" t="n">
        <v>3.7</v>
      </c>
      <c r="N983" s="74" t="n">
        <f aca="false">K983*L983*M983</f>
        <v>7.4</v>
      </c>
      <c r="O983" s="41" t="n">
        <f aca="false">IFERROR(INDEX(Исходные!$B$21:$B$33,MATCH(H983,Исходные!$A$21:$A$33,0)),0)</f>
        <v>4.834</v>
      </c>
      <c r="P983" s="83" t="n">
        <f aca="false">N983*O983</f>
        <v>35.7716</v>
      </c>
      <c r="Q983" s="20" t="s">
        <v>1597</v>
      </c>
      <c r="R983" s="84" t="s">
        <v>660</v>
      </c>
      <c r="S983" s="20" t="s">
        <v>724</v>
      </c>
      <c r="T983" s="20" t="s">
        <v>123</v>
      </c>
      <c r="U983" s="53" t="n">
        <v>0</v>
      </c>
      <c r="V983" s="76" t="s">
        <v>715</v>
      </c>
      <c r="W983" s="53" t="n">
        <v>3</v>
      </c>
    </row>
    <row r="984" customFormat="false" ht="35.05" hidden="false" customHeight="false" outlineLevel="0" collapsed="false">
      <c r="A984" s="76" t="n">
        <v>960</v>
      </c>
      <c r="B984" s="20" t="s">
        <v>1526</v>
      </c>
      <c r="C984" s="20" t="s">
        <v>655</v>
      </c>
      <c r="D984" s="20" t="s">
        <v>1595</v>
      </c>
      <c r="E984" s="20" t="s">
        <v>715</v>
      </c>
      <c r="F984" s="76" t="s">
        <v>676</v>
      </c>
      <c r="G984" s="20" t="s">
        <v>1340</v>
      </c>
      <c r="H984" s="55" t="n">
        <v>32</v>
      </c>
      <c r="I984" s="76" t="s">
        <v>512</v>
      </c>
      <c r="J984" s="76" t="s">
        <v>164</v>
      </c>
      <c r="K984" s="82" t="n">
        <v>1</v>
      </c>
      <c r="L984" s="55" t="n">
        <v>2</v>
      </c>
      <c r="M984" s="73" t="n">
        <v>3.6</v>
      </c>
      <c r="N984" s="74" t="n">
        <f aca="false">K984*L984*M984</f>
        <v>7.2</v>
      </c>
      <c r="O984" s="41" t="n">
        <f aca="false">IFERROR(INDEX(Исходные!$B$21:$B$33,MATCH(H984,Исходные!$A$21:$A$33,0)),0)</f>
        <v>6.313</v>
      </c>
      <c r="P984" s="83" t="n">
        <f aca="false">N984*O984</f>
        <v>45.4536</v>
      </c>
      <c r="Q984" s="20" t="s">
        <v>1600</v>
      </c>
      <c r="R984" s="84" t="s">
        <v>660</v>
      </c>
      <c r="S984" s="20" t="s">
        <v>726</v>
      </c>
      <c r="T984" s="20" t="s">
        <v>123</v>
      </c>
      <c r="U984" s="53" t="n">
        <v>0</v>
      </c>
      <c r="V984" s="76" t="s">
        <v>715</v>
      </c>
      <c r="W984" s="53" t="n">
        <v>3</v>
      </c>
    </row>
    <row r="985" customFormat="false" ht="35.05" hidden="false" customHeight="false" outlineLevel="0" collapsed="false">
      <c r="A985" s="76" t="n">
        <v>961</v>
      </c>
      <c r="B985" s="20" t="s">
        <v>1526</v>
      </c>
      <c r="C985" s="20" t="s">
        <v>655</v>
      </c>
      <c r="D985" s="20" t="s">
        <v>1595</v>
      </c>
      <c r="E985" s="20" t="s">
        <v>715</v>
      </c>
      <c r="F985" s="76" t="s">
        <v>676</v>
      </c>
      <c r="G985" s="20" t="s">
        <v>727</v>
      </c>
      <c r="H985" s="55" t="n">
        <v>25</v>
      </c>
      <c r="I985" s="76" t="s">
        <v>512</v>
      </c>
      <c r="J985" s="76" t="s">
        <v>164</v>
      </c>
      <c r="K985" s="82" t="n">
        <v>1</v>
      </c>
      <c r="L985" s="55" t="n">
        <v>2</v>
      </c>
      <c r="M985" s="73" t="n">
        <v>2.05</v>
      </c>
      <c r="N985" s="74" t="n">
        <f aca="false">K985*L985*M985</f>
        <v>4.1</v>
      </c>
      <c r="O985" s="41" t="n">
        <f aca="false">IFERROR(INDEX(Исходные!$B$21:$B$33,MATCH(H985,Исходные!$A$21:$A$33,0)),0)</f>
        <v>3.853</v>
      </c>
      <c r="P985" s="83" t="n">
        <f aca="false">N985*O985</f>
        <v>15.7973</v>
      </c>
      <c r="Q985" s="20" t="s">
        <v>1596</v>
      </c>
      <c r="R985" s="84" t="s">
        <v>660</v>
      </c>
      <c r="S985" s="20" t="s">
        <v>1324</v>
      </c>
      <c r="T985" s="20" t="s">
        <v>123</v>
      </c>
      <c r="U985" s="53" t="n">
        <v>0</v>
      </c>
      <c r="V985" s="76" t="s">
        <v>715</v>
      </c>
      <c r="W985" s="53" t="n">
        <v>3</v>
      </c>
    </row>
    <row r="986" customFormat="false" ht="35.05" hidden="false" customHeight="false" outlineLevel="0" collapsed="false">
      <c r="A986" s="76" t="n">
        <v>962</v>
      </c>
      <c r="B986" s="20" t="s">
        <v>1526</v>
      </c>
      <c r="C986" s="20" t="s">
        <v>655</v>
      </c>
      <c r="D986" s="20" t="s">
        <v>1595</v>
      </c>
      <c r="E986" s="20" t="s">
        <v>715</v>
      </c>
      <c r="F986" s="76" t="s">
        <v>676</v>
      </c>
      <c r="G986" s="20" t="s">
        <v>729</v>
      </c>
      <c r="H986" s="55" t="n">
        <v>16</v>
      </c>
      <c r="I986" s="76" t="s">
        <v>512</v>
      </c>
      <c r="J986" s="76" t="s">
        <v>164</v>
      </c>
      <c r="K986" s="82" t="n">
        <v>1</v>
      </c>
      <c r="L986" s="55" t="n">
        <v>2</v>
      </c>
      <c r="M986" s="73" t="n">
        <v>2.9</v>
      </c>
      <c r="N986" s="74" t="n">
        <f aca="false">K986*L986*M986</f>
        <v>5.8</v>
      </c>
      <c r="O986" s="41" t="n">
        <f aca="false">IFERROR(INDEX(Исходные!$B$21:$B$33,MATCH(H986,Исходные!$A$21:$A$33,0)),0)</f>
        <v>1.578</v>
      </c>
      <c r="P986" s="83" t="n">
        <f aca="false">N986*O986</f>
        <v>9.1524</v>
      </c>
      <c r="Q986" s="20" t="s">
        <v>1601</v>
      </c>
      <c r="R986" s="84" t="s">
        <v>660</v>
      </c>
      <c r="S986" s="20" t="s">
        <v>731</v>
      </c>
      <c r="T986" s="20" t="s">
        <v>123</v>
      </c>
      <c r="U986" s="53" t="n">
        <v>0</v>
      </c>
      <c r="V986" s="76" t="s">
        <v>715</v>
      </c>
      <c r="W986" s="53" t="n">
        <v>3</v>
      </c>
    </row>
    <row r="987" customFormat="false" ht="35.05" hidden="false" customHeight="false" outlineLevel="0" collapsed="false">
      <c r="A987" s="76" t="n">
        <v>963</v>
      </c>
      <c r="B987" s="20" t="s">
        <v>1526</v>
      </c>
      <c r="C987" s="20" t="s">
        <v>655</v>
      </c>
      <c r="D987" s="20" t="s">
        <v>1595</v>
      </c>
      <c r="E987" s="20" t="s">
        <v>715</v>
      </c>
      <c r="F987" s="76" t="s">
        <v>676</v>
      </c>
      <c r="G987" s="20" t="s">
        <v>732</v>
      </c>
      <c r="H987" s="55" t="n">
        <v>22</v>
      </c>
      <c r="I987" s="76" t="s">
        <v>512</v>
      </c>
      <c r="J987" s="76" t="s">
        <v>164</v>
      </c>
      <c r="K987" s="82" t="n">
        <v>1</v>
      </c>
      <c r="L987" s="55" t="n">
        <v>2</v>
      </c>
      <c r="M987" s="73" t="n">
        <v>3.2</v>
      </c>
      <c r="N987" s="74" t="n">
        <f aca="false">K987*L987*M987</f>
        <v>6.4</v>
      </c>
      <c r="O987" s="41" t="n">
        <f aca="false">IFERROR(INDEX(Исходные!$B$21:$B$33,MATCH(H987,Исходные!$A$21:$A$33,0)),0)</f>
        <v>2.984</v>
      </c>
      <c r="P987" s="83" t="n">
        <f aca="false">N987*O987</f>
        <v>19.0976</v>
      </c>
      <c r="Q987" s="20" t="s">
        <v>1602</v>
      </c>
      <c r="R987" s="84" t="s">
        <v>660</v>
      </c>
      <c r="S987" s="20" t="s">
        <v>734</v>
      </c>
      <c r="T987" s="20" t="s">
        <v>123</v>
      </c>
      <c r="U987" s="53" t="n">
        <v>0</v>
      </c>
      <c r="V987" s="76" t="s">
        <v>715</v>
      </c>
      <c r="W987" s="53" t="n">
        <v>3</v>
      </c>
    </row>
    <row r="988" customFormat="false" ht="35.05" hidden="false" customHeight="false" outlineLevel="0" collapsed="false">
      <c r="A988" s="76" t="n">
        <v>964</v>
      </c>
      <c r="B988" s="20" t="s">
        <v>1526</v>
      </c>
      <c r="C988" s="20" t="s">
        <v>655</v>
      </c>
      <c r="D988" s="20" t="s">
        <v>1595</v>
      </c>
      <c r="E988" s="20" t="s">
        <v>715</v>
      </c>
      <c r="F988" s="76" t="s">
        <v>676</v>
      </c>
      <c r="G988" s="20" t="s">
        <v>1326</v>
      </c>
      <c r="H988" s="55" t="n">
        <v>16</v>
      </c>
      <c r="I988" s="76" t="s">
        <v>512</v>
      </c>
      <c r="J988" s="76" t="s">
        <v>164</v>
      </c>
      <c r="K988" s="82" t="n">
        <v>1</v>
      </c>
      <c r="L988" s="55" t="n">
        <v>2</v>
      </c>
      <c r="M988" s="73" t="n">
        <v>6.5</v>
      </c>
      <c r="N988" s="74" t="n">
        <f aca="false">K988*L988*M988</f>
        <v>13</v>
      </c>
      <c r="O988" s="41" t="n">
        <f aca="false">IFERROR(INDEX(Исходные!$B$21:$B$33,MATCH(H988,Исходные!$A$21:$A$33,0)),0)</f>
        <v>1.578</v>
      </c>
      <c r="P988" s="83" t="n">
        <f aca="false">N988*O988</f>
        <v>20.514</v>
      </c>
      <c r="Q988" s="20" t="s">
        <v>1601</v>
      </c>
      <c r="R988" s="84" t="s">
        <v>660</v>
      </c>
      <c r="S988" s="20" t="s">
        <v>1327</v>
      </c>
      <c r="T988" s="20" t="s">
        <v>123</v>
      </c>
      <c r="U988" s="53" t="n">
        <v>0</v>
      </c>
      <c r="V988" s="76" t="s">
        <v>715</v>
      </c>
      <c r="W988" s="53" t="n">
        <v>3</v>
      </c>
    </row>
    <row r="989" customFormat="false" ht="35.05" hidden="false" customHeight="false" outlineLevel="0" collapsed="false">
      <c r="A989" s="76" t="n">
        <v>965</v>
      </c>
      <c r="B989" s="20" t="s">
        <v>1526</v>
      </c>
      <c r="C989" s="20" t="s">
        <v>655</v>
      </c>
      <c r="D989" s="20" t="s">
        <v>1595</v>
      </c>
      <c r="E989" s="20" t="s">
        <v>715</v>
      </c>
      <c r="F989" s="76" t="s">
        <v>676</v>
      </c>
      <c r="G989" s="20" t="s">
        <v>737</v>
      </c>
      <c r="H989" s="55" t="n">
        <v>14</v>
      </c>
      <c r="I989" s="76" t="s">
        <v>512</v>
      </c>
      <c r="J989" s="76" t="s">
        <v>164</v>
      </c>
      <c r="K989" s="82" t="n">
        <v>1</v>
      </c>
      <c r="L989" s="55" t="n">
        <v>2</v>
      </c>
      <c r="M989" s="73" t="n">
        <v>3.7</v>
      </c>
      <c r="N989" s="74" t="n">
        <f aca="false">K989*L989*M989</f>
        <v>7.4</v>
      </c>
      <c r="O989" s="41" t="n">
        <f aca="false">IFERROR(INDEX(Исходные!$B$21:$B$33,MATCH(H989,Исходные!$A$21:$A$33,0)),0)</f>
        <v>1.208</v>
      </c>
      <c r="P989" s="83" t="n">
        <f aca="false">N989*O989</f>
        <v>8.9392</v>
      </c>
      <c r="Q989" s="20" t="s">
        <v>1603</v>
      </c>
      <c r="R989" s="84" t="s">
        <v>660</v>
      </c>
      <c r="S989" s="20" t="s">
        <v>721</v>
      </c>
      <c r="T989" s="20" t="s">
        <v>123</v>
      </c>
      <c r="U989" s="53" t="n">
        <v>0</v>
      </c>
      <c r="V989" s="76" t="s">
        <v>715</v>
      </c>
      <c r="W989" s="53" t="n">
        <v>3</v>
      </c>
    </row>
    <row r="990" customFormat="false" ht="35.05" hidden="false" customHeight="false" outlineLevel="0" collapsed="false">
      <c r="A990" s="76" t="n">
        <v>966</v>
      </c>
      <c r="B990" s="20" t="s">
        <v>1526</v>
      </c>
      <c r="C990" s="20" t="s">
        <v>655</v>
      </c>
      <c r="D990" s="20" t="s">
        <v>1595</v>
      </c>
      <c r="E990" s="20" t="s">
        <v>715</v>
      </c>
      <c r="F990" s="76" t="s">
        <v>676</v>
      </c>
      <c r="G990" s="20" t="s">
        <v>739</v>
      </c>
      <c r="H990" s="55" t="n">
        <v>14</v>
      </c>
      <c r="I990" s="76" t="s">
        <v>512</v>
      </c>
      <c r="J990" s="76" t="s">
        <v>164</v>
      </c>
      <c r="K990" s="82" t="n">
        <v>1</v>
      </c>
      <c r="L990" s="55" t="n">
        <v>2</v>
      </c>
      <c r="M990" s="73" t="n">
        <v>3.7</v>
      </c>
      <c r="N990" s="74" t="n">
        <f aca="false">K990*L990*M990</f>
        <v>7.4</v>
      </c>
      <c r="O990" s="41" t="n">
        <f aca="false">IFERROR(INDEX(Исходные!$B$21:$B$33,MATCH(H990,Исходные!$A$21:$A$33,0)),0)</f>
        <v>1.208</v>
      </c>
      <c r="P990" s="83" t="n">
        <f aca="false">N990*O990</f>
        <v>8.9392</v>
      </c>
      <c r="Q990" s="20" t="s">
        <v>1603</v>
      </c>
      <c r="R990" s="84" t="s">
        <v>660</v>
      </c>
      <c r="S990" s="20" t="s">
        <v>724</v>
      </c>
      <c r="T990" s="20" t="s">
        <v>123</v>
      </c>
      <c r="U990" s="53" t="n">
        <v>0</v>
      </c>
      <c r="V990" s="76" t="s">
        <v>715</v>
      </c>
      <c r="W990" s="53" t="n">
        <v>3</v>
      </c>
    </row>
    <row r="991" customFormat="false" ht="35.05" hidden="false" customHeight="false" outlineLevel="0" collapsed="false">
      <c r="A991" s="76" t="n">
        <v>967</v>
      </c>
      <c r="B991" s="20" t="s">
        <v>1526</v>
      </c>
      <c r="C991" s="20" t="s">
        <v>655</v>
      </c>
      <c r="D991" s="20" t="s">
        <v>1595</v>
      </c>
      <c r="E991" s="20" t="s">
        <v>715</v>
      </c>
      <c r="F991" s="76" t="s">
        <v>676</v>
      </c>
      <c r="G991" s="20" t="s">
        <v>764</v>
      </c>
      <c r="H991" s="55" t="n">
        <v>12</v>
      </c>
      <c r="I991" s="76" t="s">
        <v>512</v>
      </c>
      <c r="J991" s="76" t="s">
        <v>164</v>
      </c>
      <c r="K991" s="82" t="n">
        <v>1</v>
      </c>
      <c r="L991" s="55" t="n">
        <v>4</v>
      </c>
      <c r="M991" s="73" t="n">
        <v>17.1</v>
      </c>
      <c r="N991" s="74" t="n">
        <f aca="false">K991*L991*M991</f>
        <v>68.4</v>
      </c>
      <c r="O991" s="41" t="n">
        <f aca="false">IFERROR(INDEX(Исходные!$B$21:$B$33,MATCH(H991,Исходные!$A$21:$A$33,0)),0)</f>
        <v>0.888</v>
      </c>
      <c r="P991" s="83" t="n">
        <f aca="false">N991*O991</f>
        <v>60.7392</v>
      </c>
      <c r="Q991" s="20" t="s">
        <v>1604</v>
      </c>
      <c r="R991" s="84" t="s">
        <v>660</v>
      </c>
      <c r="S991" s="20" t="s">
        <v>766</v>
      </c>
      <c r="T991" s="20" t="s">
        <v>123</v>
      </c>
      <c r="U991" s="53" t="n">
        <v>0</v>
      </c>
      <c r="V991" s="76" t="s">
        <v>715</v>
      </c>
      <c r="W991" s="53" t="n">
        <v>3</v>
      </c>
    </row>
    <row r="992" customFormat="false" ht="35.05" hidden="false" customHeight="false" outlineLevel="0" collapsed="false">
      <c r="A992" s="76" t="n">
        <v>968</v>
      </c>
      <c r="B992" s="20" t="s">
        <v>1526</v>
      </c>
      <c r="C992" s="20" t="s">
        <v>655</v>
      </c>
      <c r="D992" s="20" t="s">
        <v>1595</v>
      </c>
      <c r="E992" s="20" t="s">
        <v>715</v>
      </c>
      <c r="F992" s="76" t="s">
        <v>767</v>
      </c>
      <c r="G992" s="20" t="s">
        <v>768</v>
      </c>
      <c r="H992" s="55" t="n">
        <v>12</v>
      </c>
      <c r="I992" s="76" t="s">
        <v>512</v>
      </c>
      <c r="J992" s="76" t="s">
        <v>164</v>
      </c>
      <c r="K992" s="82" t="n">
        <v>4</v>
      </c>
      <c r="L992" s="55" t="n">
        <v>1</v>
      </c>
      <c r="M992" s="73" t="n">
        <v>0.096</v>
      </c>
      <c r="N992" s="74" t="n">
        <f aca="false">K992*L992*M992</f>
        <v>0.384</v>
      </c>
      <c r="O992" s="41" t="n">
        <f aca="false">IFERROR(INDEX(Исходные!$B$21:$B$33,MATCH(H992,Исходные!$A$21:$A$33,0)),0)</f>
        <v>0.888</v>
      </c>
      <c r="P992" s="83" t="n">
        <f aca="false">N992*O992</f>
        <v>0.340992</v>
      </c>
      <c r="Q992" s="20" t="s">
        <v>769</v>
      </c>
      <c r="R992" s="84" t="s">
        <v>667</v>
      </c>
      <c r="S992" s="20" t="s">
        <v>770</v>
      </c>
      <c r="T992" s="20" t="s">
        <v>123</v>
      </c>
      <c r="U992" s="53" t="n">
        <v>0</v>
      </c>
      <c r="V992" s="76" t="s">
        <v>715</v>
      </c>
      <c r="W992" s="53" t="n">
        <v>3</v>
      </c>
    </row>
    <row r="993" customFormat="false" ht="35.05" hidden="false" customHeight="false" outlineLevel="0" collapsed="false">
      <c r="A993" s="76" t="n">
        <v>969</v>
      </c>
      <c r="B993" s="20" t="s">
        <v>1526</v>
      </c>
      <c r="C993" s="20" t="s">
        <v>655</v>
      </c>
      <c r="D993" s="20" t="s">
        <v>1595</v>
      </c>
      <c r="E993" s="20" t="s">
        <v>715</v>
      </c>
      <c r="F993" s="76" t="s">
        <v>696</v>
      </c>
      <c r="G993" s="20" t="s">
        <v>1308</v>
      </c>
      <c r="H993" s="55" t="n">
        <v>8</v>
      </c>
      <c r="I993" s="76" t="s">
        <v>546</v>
      </c>
      <c r="J993" s="76" t="s">
        <v>698</v>
      </c>
      <c r="K993" s="82" t="n">
        <v>1</v>
      </c>
      <c r="L993" s="55" t="n">
        <v>90</v>
      </c>
      <c r="M993" s="73" t="n">
        <v>2.06</v>
      </c>
      <c r="N993" s="74" t="n">
        <f aca="false">K993*L993*M993</f>
        <v>185.4</v>
      </c>
      <c r="O993" s="41" t="n">
        <f aca="false">IFERROR(INDEX(Исходные!$B$21:$B$33,MATCH(H993,Исходные!$A$21:$A$33,0)),0)</f>
        <v>0.395</v>
      </c>
      <c r="P993" s="83" t="n">
        <f aca="false">N993*O993</f>
        <v>73.233</v>
      </c>
      <c r="Q993" s="20" t="s">
        <v>1309</v>
      </c>
      <c r="R993" s="84" t="s">
        <v>514</v>
      </c>
      <c r="S993" s="20" t="s">
        <v>1331</v>
      </c>
      <c r="T993" s="20" t="s">
        <v>123</v>
      </c>
      <c r="U993" s="53" t="n">
        <v>0</v>
      </c>
      <c r="V993" s="76" t="s">
        <v>715</v>
      </c>
      <c r="W993" s="53" t="n">
        <v>3</v>
      </c>
    </row>
    <row r="994" customFormat="false" ht="35.05" hidden="false" customHeight="false" outlineLevel="0" collapsed="false">
      <c r="A994" s="76" t="n">
        <v>970</v>
      </c>
      <c r="B994" s="20" t="s">
        <v>1526</v>
      </c>
      <c r="C994" s="20" t="s">
        <v>655</v>
      </c>
      <c r="D994" s="20" t="s">
        <v>1595</v>
      </c>
      <c r="E994" s="20" t="s">
        <v>715</v>
      </c>
      <c r="F994" s="76" t="s">
        <v>561</v>
      </c>
      <c r="G994" s="20" t="s">
        <v>1311</v>
      </c>
      <c r="H994" s="55" t="n">
        <v>10</v>
      </c>
      <c r="I994" s="76" t="s">
        <v>546</v>
      </c>
      <c r="J994" s="76" t="n">
        <v>100</v>
      </c>
      <c r="K994" s="82" t="n">
        <v>1</v>
      </c>
      <c r="L994" s="55" t="n">
        <v>105</v>
      </c>
      <c r="M994" s="73" t="n">
        <v>2.06</v>
      </c>
      <c r="N994" s="74" t="n">
        <f aca="false">K994*L994*M994</f>
        <v>216.3</v>
      </c>
      <c r="O994" s="41" t="n">
        <f aca="false">IFERROR(INDEX(Исходные!$B$21:$B$33,MATCH(H994,Исходные!$A$21:$A$33,0)),0)</f>
        <v>0.617</v>
      </c>
      <c r="P994" s="83" t="n">
        <f aca="false">N994*O994</f>
        <v>133.4571</v>
      </c>
      <c r="Q994" s="20" t="s">
        <v>1605</v>
      </c>
      <c r="R994" s="84" t="s">
        <v>514</v>
      </c>
      <c r="S994" s="20" t="s">
        <v>1333</v>
      </c>
      <c r="T994" s="20" t="s">
        <v>123</v>
      </c>
      <c r="U994" s="53" t="n">
        <v>0</v>
      </c>
      <c r="V994" s="76" t="s">
        <v>715</v>
      </c>
      <c r="W994" s="53" t="n">
        <v>3</v>
      </c>
    </row>
    <row r="995" customFormat="false" ht="35.05" hidden="false" customHeight="false" outlineLevel="0" collapsed="false">
      <c r="A995" s="76" t="n">
        <v>971</v>
      </c>
      <c r="B995" s="20" t="s">
        <v>1526</v>
      </c>
      <c r="C995" s="20" t="s">
        <v>655</v>
      </c>
      <c r="D995" s="20" t="s">
        <v>1595</v>
      </c>
      <c r="E995" s="20" t="s">
        <v>715</v>
      </c>
      <c r="F995" s="76" t="s">
        <v>603</v>
      </c>
      <c r="G995" s="20" t="s">
        <v>704</v>
      </c>
      <c r="H995" s="55" t="n">
        <v>10</v>
      </c>
      <c r="I995" s="76" t="s">
        <v>546</v>
      </c>
      <c r="J995" s="76" t="n">
        <v>100</v>
      </c>
      <c r="K995" s="82" t="n">
        <v>1</v>
      </c>
      <c r="L995" s="55" t="n">
        <v>28</v>
      </c>
      <c r="M995" s="73" t="n">
        <v>1.6</v>
      </c>
      <c r="N995" s="74" t="n">
        <f aca="false">K995*L995*M995</f>
        <v>44.8</v>
      </c>
      <c r="O995" s="41" t="n">
        <f aca="false">IFERROR(INDEX(Исходные!$B$21:$B$33,MATCH(H995,Исходные!$A$21:$A$33,0)),0)</f>
        <v>0.617</v>
      </c>
      <c r="P995" s="83" t="n">
        <f aca="false">N995*O995</f>
        <v>27.6416</v>
      </c>
      <c r="Q995" s="20" t="s">
        <v>747</v>
      </c>
      <c r="R995" s="84" t="s">
        <v>514</v>
      </c>
      <c r="S995" s="20"/>
      <c r="T995" s="20" t="s">
        <v>123</v>
      </c>
      <c r="U995" s="53" t="n">
        <v>0</v>
      </c>
      <c r="V995" s="76" t="s">
        <v>715</v>
      </c>
      <c r="W995" s="53" t="n">
        <v>3</v>
      </c>
    </row>
    <row r="996" customFormat="false" ht="35.05" hidden="false" customHeight="false" outlineLevel="0" collapsed="false">
      <c r="A996" s="76" t="n">
        <v>972</v>
      </c>
      <c r="B996" s="20" t="s">
        <v>1526</v>
      </c>
      <c r="C996" s="20" t="s">
        <v>655</v>
      </c>
      <c r="D996" s="20" t="s">
        <v>1595</v>
      </c>
      <c r="E996" s="20" t="s">
        <v>715</v>
      </c>
      <c r="F996" s="76" t="s">
        <v>706</v>
      </c>
      <c r="G996" s="20" t="s">
        <v>1314</v>
      </c>
      <c r="H996" s="55" t="n">
        <v>8</v>
      </c>
      <c r="I996" s="76" t="s">
        <v>546</v>
      </c>
      <c r="J996" s="76" t="s">
        <v>708</v>
      </c>
      <c r="K996" s="82" t="n">
        <v>1</v>
      </c>
      <c r="L996" s="55" t="n">
        <v>109</v>
      </c>
      <c r="M996" s="73" t="n">
        <v>0.75</v>
      </c>
      <c r="N996" s="74" t="n">
        <f aca="false">K996*L996*M996</f>
        <v>81.75</v>
      </c>
      <c r="O996" s="41" t="n">
        <f aca="false">IFERROR(INDEX(Исходные!$B$21:$B$33,MATCH(H996,Исходные!$A$21:$A$33,0)),0)</f>
        <v>0.395</v>
      </c>
      <c r="P996" s="83" t="n">
        <f aca="false">N996*O996</f>
        <v>32.29125</v>
      </c>
      <c r="Q996" s="20" t="s">
        <v>709</v>
      </c>
      <c r="R996" s="84" t="s">
        <v>514</v>
      </c>
      <c r="S996" s="20"/>
      <c r="T996" s="20" t="s">
        <v>123</v>
      </c>
      <c r="U996" s="53" t="n">
        <v>0</v>
      </c>
      <c r="V996" s="76" t="s">
        <v>715</v>
      </c>
      <c r="W996" s="53" t="n">
        <v>3</v>
      </c>
    </row>
    <row r="997" customFormat="false" ht="35.05" hidden="false" customHeight="false" outlineLevel="0" collapsed="false">
      <c r="A997" s="76" t="n">
        <v>973</v>
      </c>
      <c r="B997" s="20" t="s">
        <v>1526</v>
      </c>
      <c r="C997" s="20" t="s">
        <v>655</v>
      </c>
      <c r="D997" s="20" t="s">
        <v>1595</v>
      </c>
      <c r="E997" s="20" t="s">
        <v>715</v>
      </c>
      <c r="F997" s="76" t="s">
        <v>710</v>
      </c>
      <c r="G997" s="20" t="s">
        <v>1315</v>
      </c>
      <c r="H997" s="55" t="n">
        <v>8</v>
      </c>
      <c r="I997" s="76" t="s">
        <v>546</v>
      </c>
      <c r="J997" s="76" t="n">
        <v>300</v>
      </c>
      <c r="K997" s="82" t="n">
        <v>1</v>
      </c>
      <c r="L997" s="55" t="n">
        <v>77</v>
      </c>
      <c r="M997" s="73" t="n">
        <v>0.58</v>
      </c>
      <c r="N997" s="74" t="n">
        <f aca="false">K997*L997*M997</f>
        <v>44.66</v>
      </c>
      <c r="O997" s="41" t="n">
        <f aca="false">IFERROR(INDEX(Исходные!$B$21:$B$33,MATCH(H997,Исходные!$A$21:$A$33,0)),0)</f>
        <v>0.395</v>
      </c>
      <c r="P997" s="83" t="n">
        <f aca="false">N997*O997</f>
        <v>17.6407</v>
      </c>
      <c r="Q997" s="20" t="s">
        <v>1316</v>
      </c>
      <c r="R997" s="85" t="s">
        <v>638</v>
      </c>
      <c r="S997" s="20"/>
      <c r="T997" s="20" t="s">
        <v>123</v>
      </c>
      <c r="U997" s="53" t="n">
        <v>1</v>
      </c>
      <c r="V997" s="76" t="s">
        <v>715</v>
      </c>
      <c r="W997" s="53" t="n">
        <v>3</v>
      </c>
    </row>
    <row r="998" customFormat="false" ht="35.05" hidden="false" customHeight="false" outlineLevel="0" collapsed="false">
      <c r="A998" s="76" t="n">
        <v>974</v>
      </c>
      <c r="B998" s="20" t="s">
        <v>1526</v>
      </c>
      <c r="C998" s="20" t="s">
        <v>655</v>
      </c>
      <c r="D998" s="20" t="s">
        <v>1606</v>
      </c>
      <c r="E998" s="20" t="s">
        <v>749</v>
      </c>
      <c r="F998" s="76" t="s">
        <v>519</v>
      </c>
      <c r="G998" s="20" t="s">
        <v>658</v>
      </c>
      <c r="H998" s="55" t="n">
        <v>28</v>
      </c>
      <c r="I998" s="76" t="s">
        <v>512</v>
      </c>
      <c r="J998" s="76" t="s">
        <v>164</v>
      </c>
      <c r="K998" s="82" t="n">
        <v>1</v>
      </c>
      <c r="L998" s="55" t="n">
        <v>4</v>
      </c>
      <c r="M998" s="73" t="n">
        <v>25.5</v>
      </c>
      <c r="N998" s="74" t="n">
        <f aca="false">K998*L998*M998</f>
        <v>102</v>
      </c>
      <c r="O998" s="41" t="n">
        <f aca="false">IFERROR(INDEX(Исходные!$B$21:$B$33,MATCH(H998,Исходные!$A$21:$A$33,0)),0)</f>
        <v>4.834</v>
      </c>
      <c r="P998" s="83" t="n">
        <f aca="false">N998*O998</f>
        <v>493.068</v>
      </c>
      <c r="Q998" s="20" t="s">
        <v>1335</v>
      </c>
      <c r="R998" s="84" t="s">
        <v>660</v>
      </c>
      <c r="S998" s="20" t="s">
        <v>661</v>
      </c>
      <c r="T998" s="20" t="s">
        <v>123</v>
      </c>
      <c r="U998" s="53" t="n">
        <v>0</v>
      </c>
      <c r="V998" s="76" t="s">
        <v>749</v>
      </c>
      <c r="W998" s="53" t="n">
        <v>3</v>
      </c>
    </row>
    <row r="999" customFormat="false" ht="35.05" hidden="false" customHeight="false" outlineLevel="0" collapsed="false">
      <c r="A999" s="76" t="n">
        <v>975</v>
      </c>
      <c r="B999" s="20" t="s">
        <v>1526</v>
      </c>
      <c r="C999" s="20" t="s">
        <v>655</v>
      </c>
      <c r="D999" s="20" t="s">
        <v>1606</v>
      </c>
      <c r="E999" s="20" t="s">
        <v>749</v>
      </c>
      <c r="F999" s="76" t="s">
        <v>529</v>
      </c>
      <c r="G999" s="20" t="s">
        <v>662</v>
      </c>
      <c r="H999" s="55" t="n">
        <v>18</v>
      </c>
      <c r="I999" s="76" t="s">
        <v>512</v>
      </c>
      <c r="J999" s="76" t="s">
        <v>164</v>
      </c>
      <c r="K999" s="82" t="n">
        <v>1</v>
      </c>
      <c r="L999" s="55" t="n">
        <v>2</v>
      </c>
      <c r="M999" s="73" t="n">
        <v>25.5</v>
      </c>
      <c r="N999" s="74" t="n">
        <f aca="false">K999*L999*M999</f>
        <v>51</v>
      </c>
      <c r="O999" s="41" t="n">
        <f aca="false">IFERROR(INDEX(Исходные!$B$21:$B$33,MATCH(H999,Исходные!$A$21:$A$33,0)),0)</f>
        <v>1.998</v>
      </c>
      <c r="P999" s="83" t="n">
        <f aca="false">N999*O999</f>
        <v>101.898</v>
      </c>
      <c r="Q999" s="20" t="s">
        <v>663</v>
      </c>
      <c r="R999" s="84" t="s">
        <v>660</v>
      </c>
      <c r="S999" s="20"/>
      <c r="T999" s="20" t="s">
        <v>123</v>
      </c>
      <c r="U999" s="53" t="n">
        <v>0</v>
      </c>
      <c r="V999" s="76" t="s">
        <v>749</v>
      </c>
      <c r="W999" s="53" t="n">
        <v>3</v>
      </c>
    </row>
    <row r="1000" customFormat="false" ht="35.05" hidden="false" customHeight="false" outlineLevel="0" collapsed="false">
      <c r="A1000" s="76" t="n">
        <v>976</v>
      </c>
      <c r="B1000" s="20" t="s">
        <v>1526</v>
      </c>
      <c r="C1000" s="20" t="s">
        <v>655</v>
      </c>
      <c r="D1000" s="20" t="s">
        <v>1606</v>
      </c>
      <c r="E1000" s="20" t="s">
        <v>749</v>
      </c>
      <c r="F1000" s="76" t="s">
        <v>664</v>
      </c>
      <c r="G1000" s="20" t="s">
        <v>665</v>
      </c>
      <c r="H1000" s="55" t="n">
        <v>18</v>
      </c>
      <c r="I1000" s="76" t="s">
        <v>512</v>
      </c>
      <c r="J1000" s="76" t="s">
        <v>164</v>
      </c>
      <c r="K1000" s="82" t="n">
        <v>2</v>
      </c>
      <c r="L1000" s="55" t="n">
        <v>2</v>
      </c>
      <c r="M1000" s="73" t="n">
        <v>0.144</v>
      </c>
      <c r="N1000" s="74" t="n">
        <f aca="false">K1000*L1000*M1000</f>
        <v>0.576</v>
      </c>
      <c r="O1000" s="41" t="n">
        <f aca="false">IFERROR(INDEX(Исходные!$B$21:$B$33,MATCH(H1000,Исходные!$A$21:$A$33,0)),0)</f>
        <v>1.998</v>
      </c>
      <c r="P1000" s="83" t="n">
        <f aca="false">N1000*O1000</f>
        <v>1.150848</v>
      </c>
      <c r="Q1000" s="20" t="s">
        <v>666</v>
      </c>
      <c r="R1000" s="84" t="s">
        <v>667</v>
      </c>
      <c r="S1000" s="20" t="s">
        <v>668</v>
      </c>
      <c r="T1000" s="20" t="s">
        <v>123</v>
      </c>
      <c r="U1000" s="53" t="n">
        <v>0</v>
      </c>
      <c r="V1000" s="76" t="s">
        <v>749</v>
      </c>
      <c r="W1000" s="53" t="n">
        <v>3</v>
      </c>
    </row>
    <row r="1001" customFormat="false" ht="35.05" hidden="false" customHeight="false" outlineLevel="0" collapsed="false">
      <c r="A1001" s="76" t="n">
        <v>977</v>
      </c>
      <c r="B1001" s="20" t="s">
        <v>1526</v>
      </c>
      <c r="C1001" s="20" t="s">
        <v>655</v>
      </c>
      <c r="D1001" s="20" t="s">
        <v>1606</v>
      </c>
      <c r="E1001" s="20" t="s">
        <v>749</v>
      </c>
      <c r="F1001" s="76" t="s">
        <v>669</v>
      </c>
      <c r="G1001" s="20" t="s">
        <v>670</v>
      </c>
      <c r="H1001" s="55" t="n">
        <v>16</v>
      </c>
      <c r="I1001" s="76" t="s">
        <v>512</v>
      </c>
      <c r="J1001" s="76" t="s">
        <v>164</v>
      </c>
      <c r="K1001" s="82" t="n">
        <v>1</v>
      </c>
      <c r="L1001" s="55" t="n">
        <v>2</v>
      </c>
      <c r="M1001" s="73" t="n">
        <v>25.5</v>
      </c>
      <c r="N1001" s="74" t="n">
        <f aca="false">K1001*L1001*M1001</f>
        <v>51</v>
      </c>
      <c r="O1001" s="41" t="n">
        <f aca="false">IFERROR(INDEX(Исходные!$B$21:$B$33,MATCH(H1001,Исходные!$A$21:$A$33,0)),0)</f>
        <v>1.578</v>
      </c>
      <c r="P1001" s="83" t="n">
        <f aca="false">N1001*O1001</f>
        <v>80.478</v>
      </c>
      <c r="Q1001" s="20" t="s">
        <v>671</v>
      </c>
      <c r="R1001" s="84" t="s">
        <v>660</v>
      </c>
      <c r="S1001" s="20"/>
      <c r="T1001" s="20" t="s">
        <v>123</v>
      </c>
      <c r="U1001" s="53" t="n">
        <v>0</v>
      </c>
      <c r="V1001" s="76" t="s">
        <v>749</v>
      </c>
      <c r="W1001" s="53" t="n">
        <v>3</v>
      </c>
    </row>
    <row r="1002" customFormat="false" ht="35.05" hidden="false" customHeight="false" outlineLevel="0" collapsed="false">
      <c r="A1002" s="76" t="n">
        <v>978</v>
      </c>
      <c r="B1002" s="20" t="s">
        <v>1526</v>
      </c>
      <c r="C1002" s="20" t="s">
        <v>655</v>
      </c>
      <c r="D1002" s="20" t="s">
        <v>1606</v>
      </c>
      <c r="E1002" s="20" t="s">
        <v>749</v>
      </c>
      <c r="F1002" s="76" t="s">
        <v>672</v>
      </c>
      <c r="G1002" s="20" t="s">
        <v>673</v>
      </c>
      <c r="H1002" s="55" t="n">
        <v>16</v>
      </c>
      <c r="I1002" s="76" t="s">
        <v>512</v>
      </c>
      <c r="J1002" s="76" t="s">
        <v>164</v>
      </c>
      <c r="K1002" s="82" t="n">
        <v>2</v>
      </c>
      <c r="L1002" s="55" t="n">
        <v>2</v>
      </c>
      <c r="M1002" s="73" t="n">
        <v>0.128</v>
      </c>
      <c r="N1002" s="74" t="n">
        <f aca="false">K1002*L1002*M1002</f>
        <v>0.512</v>
      </c>
      <c r="O1002" s="41" t="n">
        <f aca="false">IFERROR(INDEX(Исходные!$B$21:$B$33,MATCH(H1002,Исходные!$A$21:$A$33,0)),0)</f>
        <v>1.578</v>
      </c>
      <c r="P1002" s="83" t="n">
        <f aca="false">N1002*O1002</f>
        <v>0.807936</v>
      </c>
      <c r="Q1002" s="20" t="s">
        <v>674</v>
      </c>
      <c r="R1002" s="84" t="s">
        <v>667</v>
      </c>
      <c r="S1002" s="20" t="s">
        <v>675</v>
      </c>
      <c r="T1002" s="20" t="s">
        <v>123</v>
      </c>
      <c r="U1002" s="53" t="n">
        <v>0</v>
      </c>
      <c r="V1002" s="76" t="s">
        <v>749</v>
      </c>
      <c r="W1002" s="53" t="n">
        <v>3</v>
      </c>
    </row>
    <row r="1003" customFormat="false" ht="35.05" hidden="false" customHeight="false" outlineLevel="0" collapsed="false">
      <c r="A1003" s="76" t="n">
        <v>979</v>
      </c>
      <c r="B1003" s="20" t="s">
        <v>1526</v>
      </c>
      <c r="C1003" s="20" t="s">
        <v>655</v>
      </c>
      <c r="D1003" s="20" t="s">
        <v>1606</v>
      </c>
      <c r="E1003" s="20" t="s">
        <v>749</v>
      </c>
      <c r="F1003" s="76" t="s">
        <v>676</v>
      </c>
      <c r="G1003" s="20" t="s">
        <v>677</v>
      </c>
      <c r="H1003" s="55" t="n">
        <v>28</v>
      </c>
      <c r="I1003" s="76" t="s">
        <v>512</v>
      </c>
      <c r="J1003" s="76" t="s">
        <v>164</v>
      </c>
      <c r="K1003" s="82" t="n">
        <v>1</v>
      </c>
      <c r="L1003" s="55" t="n">
        <v>2</v>
      </c>
      <c r="M1003" s="73" t="n">
        <v>2.05</v>
      </c>
      <c r="N1003" s="74" t="n">
        <f aca="false">K1003*L1003*M1003</f>
        <v>4.1</v>
      </c>
      <c r="O1003" s="41" t="n">
        <f aca="false">IFERROR(INDEX(Исходные!$B$21:$B$33,MATCH(H1003,Исходные!$A$21:$A$33,0)),0)</f>
        <v>4.834</v>
      </c>
      <c r="P1003" s="83" t="n">
        <f aca="false">N1003*O1003</f>
        <v>19.8194</v>
      </c>
      <c r="Q1003" s="20" t="s">
        <v>1607</v>
      </c>
      <c r="R1003" s="84" t="s">
        <v>660</v>
      </c>
      <c r="S1003" s="20" t="s">
        <v>1295</v>
      </c>
      <c r="T1003" s="20" t="s">
        <v>123</v>
      </c>
      <c r="U1003" s="53" t="n">
        <v>0</v>
      </c>
      <c r="V1003" s="76" t="s">
        <v>749</v>
      </c>
      <c r="W1003" s="53" t="n">
        <v>3</v>
      </c>
    </row>
    <row r="1004" customFormat="false" ht="35.05" hidden="false" customHeight="false" outlineLevel="0" collapsed="false">
      <c r="A1004" s="76" t="n">
        <v>980</v>
      </c>
      <c r="B1004" s="20" t="s">
        <v>1526</v>
      </c>
      <c r="C1004" s="20" t="s">
        <v>655</v>
      </c>
      <c r="D1004" s="20" t="s">
        <v>1606</v>
      </c>
      <c r="E1004" s="20" t="s">
        <v>749</v>
      </c>
      <c r="F1004" s="76" t="s">
        <v>676</v>
      </c>
      <c r="G1004" s="20" t="s">
        <v>1320</v>
      </c>
      <c r="H1004" s="55" t="n">
        <v>28</v>
      </c>
      <c r="I1004" s="76" t="s">
        <v>512</v>
      </c>
      <c r="J1004" s="76" t="s">
        <v>164</v>
      </c>
      <c r="K1004" s="82" t="n">
        <v>1</v>
      </c>
      <c r="L1004" s="55" t="n">
        <v>2</v>
      </c>
      <c r="M1004" s="73" t="n">
        <v>3.7</v>
      </c>
      <c r="N1004" s="74" t="n">
        <f aca="false">K1004*L1004*M1004</f>
        <v>7.4</v>
      </c>
      <c r="O1004" s="41" t="n">
        <f aca="false">IFERROR(INDEX(Исходные!$B$21:$B$33,MATCH(H1004,Исходные!$A$21:$A$33,0)),0)</f>
        <v>4.834</v>
      </c>
      <c r="P1004" s="83" t="n">
        <f aca="false">N1004*O1004</f>
        <v>35.7716</v>
      </c>
      <c r="Q1004" s="20" t="s">
        <v>1607</v>
      </c>
      <c r="R1004" s="84" t="s">
        <v>660</v>
      </c>
      <c r="S1004" s="20" t="s">
        <v>721</v>
      </c>
      <c r="T1004" s="20" t="s">
        <v>123</v>
      </c>
      <c r="U1004" s="53" t="n">
        <v>0</v>
      </c>
      <c r="V1004" s="76" t="s">
        <v>749</v>
      </c>
      <c r="W1004" s="53" t="n">
        <v>3</v>
      </c>
    </row>
    <row r="1005" customFormat="false" ht="35.05" hidden="false" customHeight="false" outlineLevel="0" collapsed="false">
      <c r="A1005" s="76" t="n">
        <v>981</v>
      </c>
      <c r="B1005" s="20" t="s">
        <v>1526</v>
      </c>
      <c r="C1005" s="20" t="s">
        <v>655</v>
      </c>
      <c r="D1005" s="20" t="s">
        <v>1606</v>
      </c>
      <c r="E1005" s="20" t="s">
        <v>749</v>
      </c>
      <c r="F1005" s="76" t="s">
        <v>676</v>
      </c>
      <c r="G1005" s="20" t="s">
        <v>1608</v>
      </c>
      <c r="H1005" s="55" t="n">
        <v>25</v>
      </c>
      <c r="I1005" s="76" t="s">
        <v>512</v>
      </c>
      <c r="J1005" s="76" t="s">
        <v>164</v>
      </c>
      <c r="K1005" s="82" t="n">
        <v>1</v>
      </c>
      <c r="L1005" s="55" t="n">
        <v>2</v>
      </c>
      <c r="M1005" s="73" t="n">
        <v>3.7</v>
      </c>
      <c r="N1005" s="74" t="n">
        <f aca="false">K1005*L1005*M1005</f>
        <v>7.4</v>
      </c>
      <c r="O1005" s="41" t="n">
        <f aca="false">IFERROR(INDEX(Исходные!$B$21:$B$33,MATCH(H1005,Исходные!$A$21:$A$33,0)),0)</f>
        <v>3.853</v>
      </c>
      <c r="P1005" s="83" t="n">
        <f aca="false">N1005*O1005</f>
        <v>28.5122</v>
      </c>
      <c r="Q1005" s="20" t="s">
        <v>1609</v>
      </c>
      <c r="R1005" s="84" t="s">
        <v>660</v>
      </c>
      <c r="S1005" s="20" t="s">
        <v>721</v>
      </c>
      <c r="T1005" s="20" t="s">
        <v>123</v>
      </c>
      <c r="U1005" s="53" t="n">
        <v>0</v>
      </c>
      <c r="V1005" s="76" t="s">
        <v>749</v>
      </c>
      <c r="W1005" s="53" t="n">
        <v>3</v>
      </c>
    </row>
    <row r="1006" customFormat="false" ht="35.05" hidden="false" customHeight="false" outlineLevel="0" collapsed="false">
      <c r="A1006" s="76" t="n">
        <v>982</v>
      </c>
      <c r="B1006" s="20" t="s">
        <v>1526</v>
      </c>
      <c r="C1006" s="20" t="s">
        <v>655</v>
      </c>
      <c r="D1006" s="20" t="s">
        <v>1606</v>
      </c>
      <c r="E1006" s="20" t="s">
        <v>749</v>
      </c>
      <c r="F1006" s="76" t="s">
        <v>676</v>
      </c>
      <c r="G1006" s="20" t="s">
        <v>753</v>
      </c>
      <c r="H1006" s="55" t="n">
        <v>32</v>
      </c>
      <c r="I1006" s="76" t="s">
        <v>512</v>
      </c>
      <c r="J1006" s="76" t="s">
        <v>164</v>
      </c>
      <c r="K1006" s="82" t="n">
        <v>1</v>
      </c>
      <c r="L1006" s="55" t="n">
        <v>2</v>
      </c>
      <c r="M1006" s="73" t="n">
        <v>3.7</v>
      </c>
      <c r="N1006" s="74" t="n">
        <f aca="false">K1006*L1006*M1006</f>
        <v>7.4</v>
      </c>
      <c r="O1006" s="41" t="n">
        <f aca="false">IFERROR(INDEX(Исходные!$B$21:$B$33,MATCH(H1006,Исходные!$A$21:$A$33,0)),0)</f>
        <v>6.313</v>
      </c>
      <c r="P1006" s="83" t="n">
        <f aca="false">N1006*O1006</f>
        <v>46.7162</v>
      </c>
      <c r="Q1006" s="20" t="s">
        <v>1610</v>
      </c>
      <c r="R1006" s="84" t="s">
        <v>660</v>
      </c>
      <c r="S1006" s="20" t="s">
        <v>724</v>
      </c>
      <c r="T1006" s="20" t="s">
        <v>123</v>
      </c>
      <c r="U1006" s="53" t="n">
        <v>0</v>
      </c>
      <c r="V1006" s="76" t="s">
        <v>749</v>
      </c>
      <c r="W1006" s="53" t="n">
        <v>3</v>
      </c>
    </row>
    <row r="1007" customFormat="false" ht="35.05" hidden="false" customHeight="false" outlineLevel="0" collapsed="false">
      <c r="A1007" s="76" t="n">
        <v>983</v>
      </c>
      <c r="B1007" s="20" t="s">
        <v>1526</v>
      </c>
      <c r="C1007" s="20" t="s">
        <v>655</v>
      </c>
      <c r="D1007" s="20" t="s">
        <v>1606</v>
      </c>
      <c r="E1007" s="20" t="s">
        <v>749</v>
      </c>
      <c r="F1007" s="76" t="s">
        <v>676</v>
      </c>
      <c r="G1007" s="20" t="s">
        <v>725</v>
      </c>
      <c r="H1007" s="55" t="n">
        <v>28</v>
      </c>
      <c r="I1007" s="76" t="s">
        <v>512</v>
      </c>
      <c r="J1007" s="76" t="s">
        <v>164</v>
      </c>
      <c r="K1007" s="82" t="n">
        <v>1</v>
      </c>
      <c r="L1007" s="55" t="n">
        <v>2</v>
      </c>
      <c r="M1007" s="73" t="n">
        <v>3.6</v>
      </c>
      <c r="N1007" s="74" t="n">
        <f aca="false">K1007*L1007*M1007</f>
        <v>7.2</v>
      </c>
      <c r="O1007" s="41" t="n">
        <f aca="false">IFERROR(INDEX(Исходные!$B$21:$B$33,MATCH(H1007,Исходные!$A$21:$A$33,0)),0)</f>
        <v>4.834</v>
      </c>
      <c r="P1007" s="83" t="n">
        <f aca="false">N1007*O1007</f>
        <v>34.8048</v>
      </c>
      <c r="Q1007" s="20" t="s">
        <v>1607</v>
      </c>
      <c r="R1007" s="84" t="s">
        <v>660</v>
      </c>
      <c r="S1007" s="20" t="s">
        <v>726</v>
      </c>
      <c r="T1007" s="20" t="s">
        <v>123</v>
      </c>
      <c r="U1007" s="53" t="n">
        <v>0</v>
      </c>
      <c r="V1007" s="76" t="s">
        <v>749</v>
      </c>
      <c r="W1007" s="53" t="n">
        <v>3</v>
      </c>
    </row>
    <row r="1008" customFormat="false" ht="35.05" hidden="false" customHeight="false" outlineLevel="0" collapsed="false">
      <c r="A1008" s="76" t="n">
        <v>984</v>
      </c>
      <c r="B1008" s="20" t="s">
        <v>1526</v>
      </c>
      <c r="C1008" s="20" t="s">
        <v>655</v>
      </c>
      <c r="D1008" s="20" t="s">
        <v>1606</v>
      </c>
      <c r="E1008" s="20" t="s">
        <v>749</v>
      </c>
      <c r="F1008" s="76" t="s">
        <v>676</v>
      </c>
      <c r="G1008" s="20" t="s">
        <v>727</v>
      </c>
      <c r="H1008" s="55" t="n">
        <v>25</v>
      </c>
      <c r="I1008" s="76" t="s">
        <v>512</v>
      </c>
      <c r="J1008" s="76" t="s">
        <v>164</v>
      </c>
      <c r="K1008" s="82" t="n">
        <v>1</v>
      </c>
      <c r="L1008" s="55" t="n">
        <v>2</v>
      </c>
      <c r="M1008" s="73" t="n">
        <v>2.05</v>
      </c>
      <c r="N1008" s="74" t="n">
        <f aca="false">K1008*L1008*M1008</f>
        <v>4.1</v>
      </c>
      <c r="O1008" s="41" t="n">
        <f aca="false">IFERROR(INDEX(Исходные!$B$21:$B$33,MATCH(H1008,Исходные!$A$21:$A$33,0)),0)</f>
        <v>3.853</v>
      </c>
      <c r="P1008" s="83" t="n">
        <f aca="false">N1008*O1008</f>
        <v>15.7973</v>
      </c>
      <c r="Q1008" s="20" t="s">
        <v>1609</v>
      </c>
      <c r="R1008" s="84" t="s">
        <v>660</v>
      </c>
      <c r="S1008" s="20" t="s">
        <v>1324</v>
      </c>
      <c r="T1008" s="20" t="s">
        <v>123</v>
      </c>
      <c r="U1008" s="53" t="n">
        <v>0</v>
      </c>
      <c r="V1008" s="76" t="s">
        <v>749</v>
      </c>
      <c r="W1008" s="53" t="n">
        <v>3</v>
      </c>
    </row>
    <row r="1009" customFormat="false" ht="35.05" hidden="false" customHeight="false" outlineLevel="0" collapsed="false">
      <c r="A1009" s="76" t="n">
        <v>985</v>
      </c>
      <c r="B1009" s="20" t="s">
        <v>1526</v>
      </c>
      <c r="C1009" s="20" t="s">
        <v>655</v>
      </c>
      <c r="D1009" s="20" t="s">
        <v>1606</v>
      </c>
      <c r="E1009" s="20" t="s">
        <v>749</v>
      </c>
      <c r="F1009" s="76" t="s">
        <v>676</v>
      </c>
      <c r="G1009" s="20" t="s">
        <v>755</v>
      </c>
      <c r="H1009" s="55" t="n">
        <v>14</v>
      </c>
      <c r="I1009" s="76" t="s">
        <v>512</v>
      </c>
      <c r="J1009" s="76" t="s">
        <v>164</v>
      </c>
      <c r="K1009" s="82" t="n">
        <v>1</v>
      </c>
      <c r="L1009" s="55" t="n">
        <v>2</v>
      </c>
      <c r="M1009" s="73" t="n">
        <v>4.2</v>
      </c>
      <c r="N1009" s="74" t="n">
        <f aca="false">K1009*L1009*M1009</f>
        <v>8.4</v>
      </c>
      <c r="O1009" s="41" t="n">
        <f aca="false">IFERROR(INDEX(Исходные!$B$21:$B$33,MATCH(H1009,Исходные!$A$21:$A$33,0)),0)</f>
        <v>1.208</v>
      </c>
      <c r="P1009" s="83" t="n">
        <f aca="false">N1009*O1009</f>
        <v>10.1472</v>
      </c>
      <c r="Q1009" s="20" t="s">
        <v>1611</v>
      </c>
      <c r="R1009" s="84" t="s">
        <v>660</v>
      </c>
      <c r="S1009" s="20" t="s">
        <v>757</v>
      </c>
      <c r="T1009" s="20" t="s">
        <v>123</v>
      </c>
      <c r="U1009" s="53" t="n">
        <v>0</v>
      </c>
      <c r="V1009" s="76" t="s">
        <v>749</v>
      </c>
      <c r="W1009" s="53" t="n">
        <v>3</v>
      </c>
    </row>
    <row r="1010" customFormat="false" ht="35.05" hidden="false" customHeight="false" outlineLevel="0" collapsed="false">
      <c r="A1010" s="76" t="n">
        <v>986</v>
      </c>
      <c r="B1010" s="20" t="s">
        <v>1526</v>
      </c>
      <c r="C1010" s="20" t="s">
        <v>655</v>
      </c>
      <c r="D1010" s="20" t="s">
        <v>1606</v>
      </c>
      <c r="E1010" s="20" t="s">
        <v>749</v>
      </c>
      <c r="F1010" s="76" t="s">
        <v>676</v>
      </c>
      <c r="G1010" s="20" t="s">
        <v>758</v>
      </c>
      <c r="H1010" s="55" t="n">
        <v>14</v>
      </c>
      <c r="I1010" s="76" t="s">
        <v>512</v>
      </c>
      <c r="J1010" s="76" t="s">
        <v>164</v>
      </c>
      <c r="K1010" s="82" t="n">
        <v>1</v>
      </c>
      <c r="L1010" s="55" t="n">
        <v>2</v>
      </c>
      <c r="M1010" s="73" t="n">
        <v>3.9</v>
      </c>
      <c r="N1010" s="74" t="n">
        <f aca="false">K1010*L1010*M1010</f>
        <v>7.8</v>
      </c>
      <c r="O1010" s="41" t="n">
        <f aca="false">IFERROR(INDEX(Исходные!$B$21:$B$33,MATCH(H1010,Исходные!$A$21:$A$33,0)),0)</f>
        <v>1.208</v>
      </c>
      <c r="P1010" s="83" t="n">
        <f aca="false">N1010*O1010</f>
        <v>9.4224</v>
      </c>
      <c r="Q1010" s="20" t="s">
        <v>1611</v>
      </c>
      <c r="R1010" s="84" t="s">
        <v>660</v>
      </c>
      <c r="S1010" s="20" t="s">
        <v>759</v>
      </c>
      <c r="T1010" s="20" t="s">
        <v>123</v>
      </c>
      <c r="U1010" s="53" t="n">
        <v>0</v>
      </c>
      <c r="V1010" s="76" t="s">
        <v>749</v>
      </c>
      <c r="W1010" s="53" t="n">
        <v>3</v>
      </c>
    </row>
    <row r="1011" customFormat="false" ht="35.05" hidden="false" customHeight="false" outlineLevel="0" collapsed="false">
      <c r="A1011" s="76" t="n">
        <v>987</v>
      </c>
      <c r="B1011" s="20" t="s">
        <v>1526</v>
      </c>
      <c r="C1011" s="20" t="s">
        <v>655</v>
      </c>
      <c r="D1011" s="20" t="s">
        <v>1606</v>
      </c>
      <c r="E1011" s="20" t="s">
        <v>749</v>
      </c>
      <c r="F1011" s="76" t="s">
        <v>676</v>
      </c>
      <c r="G1011" s="20" t="s">
        <v>729</v>
      </c>
      <c r="H1011" s="55" t="n">
        <v>16</v>
      </c>
      <c r="I1011" s="76" t="s">
        <v>512</v>
      </c>
      <c r="J1011" s="76" t="s">
        <v>164</v>
      </c>
      <c r="K1011" s="82" t="n">
        <v>1</v>
      </c>
      <c r="L1011" s="55" t="n">
        <v>2</v>
      </c>
      <c r="M1011" s="73" t="n">
        <v>2.9</v>
      </c>
      <c r="N1011" s="74" t="n">
        <f aca="false">K1011*L1011*M1011</f>
        <v>5.8</v>
      </c>
      <c r="O1011" s="41" t="n">
        <f aca="false">IFERROR(INDEX(Исходные!$B$21:$B$33,MATCH(H1011,Исходные!$A$21:$A$33,0)),0)</f>
        <v>1.578</v>
      </c>
      <c r="P1011" s="83" t="n">
        <f aca="false">N1011*O1011</f>
        <v>9.1524</v>
      </c>
      <c r="Q1011" s="20" t="s">
        <v>1612</v>
      </c>
      <c r="R1011" s="84" t="s">
        <v>660</v>
      </c>
      <c r="S1011" s="20" t="s">
        <v>731</v>
      </c>
      <c r="T1011" s="20" t="s">
        <v>123</v>
      </c>
      <c r="U1011" s="53" t="n">
        <v>0</v>
      </c>
      <c r="V1011" s="76" t="s">
        <v>749</v>
      </c>
      <c r="W1011" s="53" t="n">
        <v>3</v>
      </c>
    </row>
    <row r="1012" customFormat="false" ht="35.05" hidden="false" customHeight="false" outlineLevel="0" collapsed="false">
      <c r="A1012" s="76" t="n">
        <v>988</v>
      </c>
      <c r="B1012" s="20" t="s">
        <v>1526</v>
      </c>
      <c r="C1012" s="20" t="s">
        <v>655</v>
      </c>
      <c r="D1012" s="20" t="s">
        <v>1606</v>
      </c>
      <c r="E1012" s="20" t="s">
        <v>749</v>
      </c>
      <c r="F1012" s="76" t="s">
        <v>676</v>
      </c>
      <c r="G1012" s="20" t="s">
        <v>732</v>
      </c>
      <c r="H1012" s="55" t="n">
        <v>22</v>
      </c>
      <c r="I1012" s="76" t="s">
        <v>512</v>
      </c>
      <c r="J1012" s="76" t="s">
        <v>164</v>
      </c>
      <c r="K1012" s="82" t="n">
        <v>1</v>
      </c>
      <c r="L1012" s="55" t="n">
        <v>2</v>
      </c>
      <c r="M1012" s="73" t="n">
        <v>3.2</v>
      </c>
      <c r="N1012" s="74" t="n">
        <f aca="false">K1012*L1012*M1012</f>
        <v>6.4</v>
      </c>
      <c r="O1012" s="41" t="n">
        <f aca="false">IFERROR(INDEX(Исходные!$B$21:$B$33,MATCH(H1012,Исходные!$A$21:$A$33,0)),0)</f>
        <v>2.984</v>
      </c>
      <c r="P1012" s="83" t="n">
        <f aca="false">N1012*O1012</f>
        <v>19.0976</v>
      </c>
      <c r="Q1012" s="20" t="s">
        <v>1613</v>
      </c>
      <c r="R1012" s="84" t="s">
        <v>660</v>
      </c>
      <c r="S1012" s="20" t="s">
        <v>734</v>
      </c>
      <c r="T1012" s="20" t="s">
        <v>123</v>
      </c>
      <c r="U1012" s="53" t="n">
        <v>0</v>
      </c>
      <c r="V1012" s="76" t="s">
        <v>749</v>
      </c>
      <c r="W1012" s="53" t="n">
        <v>3</v>
      </c>
    </row>
    <row r="1013" customFormat="false" ht="35.05" hidden="false" customHeight="false" outlineLevel="0" collapsed="false">
      <c r="A1013" s="76" t="n">
        <v>989</v>
      </c>
      <c r="B1013" s="20" t="s">
        <v>1526</v>
      </c>
      <c r="C1013" s="20" t="s">
        <v>655</v>
      </c>
      <c r="D1013" s="20" t="s">
        <v>1606</v>
      </c>
      <c r="E1013" s="20" t="s">
        <v>749</v>
      </c>
      <c r="F1013" s="76" t="s">
        <v>676</v>
      </c>
      <c r="G1013" s="20" t="s">
        <v>1326</v>
      </c>
      <c r="H1013" s="55" t="n">
        <v>16</v>
      </c>
      <c r="I1013" s="76" t="s">
        <v>512</v>
      </c>
      <c r="J1013" s="76" t="s">
        <v>164</v>
      </c>
      <c r="K1013" s="82" t="n">
        <v>1</v>
      </c>
      <c r="L1013" s="55" t="n">
        <v>2</v>
      </c>
      <c r="M1013" s="73" t="n">
        <v>6.5</v>
      </c>
      <c r="N1013" s="74" t="n">
        <f aca="false">K1013*L1013*M1013</f>
        <v>13</v>
      </c>
      <c r="O1013" s="41" t="n">
        <f aca="false">IFERROR(INDEX(Исходные!$B$21:$B$33,MATCH(H1013,Исходные!$A$21:$A$33,0)),0)</f>
        <v>1.578</v>
      </c>
      <c r="P1013" s="83" t="n">
        <f aca="false">N1013*O1013</f>
        <v>20.514</v>
      </c>
      <c r="Q1013" s="20" t="s">
        <v>1612</v>
      </c>
      <c r="R1013" s="84" t="s">
        <v>660</v>
      </c>
      <c r="S1013" s="20" t="s">
        <v>1327</v>
      </c>
      <c r="T1013" s="20" t="s">
        <v>123</v>
      </c>
      <c r="U1013" s="53" t="n">
        <v>0</v>
      </c>
      <c r="V1013" s="76" t="s">
        <v>749</v>
      </c>
      <c r="W1013" s="53" t="n">
        <v>3</v>
      </c>
    </row>
    <row r="1014" customFormat="false" ht="35.05" hidden="false" customHeight="false" outlineLevel="0" collapsed="false">
      <c r="A1014" s="76" t="n">
        <v>990</v>
      </c>
      <c r="B1014" s="20" t="s">
        <v>1526</v>
      </c>
      <c r="C1014" s="20" t="s">
        <v>655</v>
      </c>
      <c r="D1014" s="20" t="s">
        <v>1606</v>
      </c>
      <c r="E1014" s="20" t="s">
        <v>749</v>
      </c>
      <c r="F1014" s="76" t="s">
        <v>676</v>
      </c>
      <c r="G1014" s="20" t="s">
        <v>737</v>
      </c>
      <c r="H1014" s="55" t="n">
        <v>14</v>
      </c>
      <c r="I1014" s="76" t="s">
        <v>512</v>
      </c>
      <c r="J1014" s="76" t="s">
        <v>164</v>
      </c>
      <c r="K1014" s="82" t="n">
        <v>1</v>
      </c>
      <c r="L1014" s="55" t="n">
        <v>2</v>
      </c>
      <c r="M1014" s="73" t="n">
        <v>3.7</v>
      </c>
      <c r="N1014" s="74" t="n">
        <f aca="false">K1014*L1014*M1014</f>
        <v>7.4</v>
      </c>
      <c r="O1014" s="41" t="n">
        <f aca="false">IFERROR(INDEX(Исходные!$B$21:$B$33,MATCH(H1014,Исходные!$A$21:$A$33,0)),0)</f>
        <v>1.208</v>
      </c>
      <c r="P1014" s="83" t="n">
        <f aca="false">N1014*O1014</f>
        <v>8.9392</v>
      </c>
      <c r="Q1014" s="20" t="s">
        <v>1611</v>
      </c>
      <c r="R1014" s="84" t="s">
        <v>660</v>
      </c>
      <c r="S1014" s="20" t="s">
        <v>721</v>
      </c>
      <c r="T1014" s="20" t="s">
        <v>123</v>
      </c>
      <c r="U1014" s="53" t="n">
        <v>0</v>
      </c>
      <c r="V1014" s="76" t="s">
        <v>749</v>
      </c>
      <c r="W1014" s="53" t="n">
        <v>3</v>
      </c>
    </row>
    <row r="1015" customFormat="false" ht="35.05" hidden="false" customHeight="false" outlineLevel="0" collapsed="false">
      <c r="A1015" s="76" t="n">
        <v>991</v>
      </c>
      <c r="B1015" s="20" t="s">
        <v>1526</v>
      </c>
      <c r="C1015" s="20" t="s">
        <v>655</v>
      </c>
      <c r="D1015" s="20" t="s">
        <v>1606</v>
      </c>
      <c r="E1015" s="20" t="s">
        <v>749</v>
      </c>
      <c r="F1015" s="76" t="s">
        <v>676</v>
      </c>
      <c r="G1015" s="20" t="s">
        <v>762</v>
      </c>
      <c r="H1015" s="55" t="n">
        <v>14</v>
      </c>
      <c r="I1015" s="76" t="s">
        <v>512</v>
      </c>
      <c r="J1015" s="76" t="s">
        <v>164</v>
      </c>
      <c r="K1015" s="82" t="n">
        <v>1</v>
      </c>
      <c r="L1015" s="55" t="n">
        <v>2</v>
      </c>
      <c r="M1015" s="73" t="n">
        <v>4.2</v>
      </c>
      <c r="N1015" s="74" t="n">
        <f aca="false">K1015*L1015*M1015</f>
        <v>8.4</v>
      </c>
      <c r="O1015" s="41" t="n">
        <f aca="false">IFERROR(INDEX(Исходные!$B$21:$B$33,MATCH(H1015,Исходные!$A$21:$A$33,0)),0)</f>
        <v>1.208</v>
      </c>
      <c r="P1015" s="83" t="n">
        <f aca="false">N1015*O1015</f>
        <v>10.1472</v>
      </c>
      <c r="Q1015" s="20" t="s">
        <v>1611</v>
      </c>
      <c r="R1015" s="84" t="s">
        <v>660</v>
      </c>
      <c r="S1015" s="20" t="s">
        <v>763</v>
      </c>
      <c r="T1015" s="20" t="s">
        <v>123</v>
      </c>
      <c r="U1015" s="53" t="n">
        <v>0</v>
      </c>
      <c r="V1015" s="76" t="s">
        <v>749</v>
      </c>
      <c r="W1015" s="53" t="n">
        <v>3</v>
      </c>
    </row>
    <row r="1016" customFormat="false" ht="35.05" hidden="false" customHeight="false" outlineLevel="0" collapsed="false">
      <c r="A1016" s="76" t="n">
        <v>992</v>
      </c>
      <c r="B1016" s="20" t="s">
        <v>1526</v>
      </c>
      <c r="C1016" s="20" t="s">
        <v>655</v>
      </c>
      <c r="D1016" s="20" t="s">
        <v>1606</v>
      </c>
      <c r="E1016" s="20" t="s">
        <v>749</v>
      </c>
      <c r="F1016" s="76" t="s">
        <v>676</v>
      </c>
      <c r="G1016" s="20" t="s">
        <v>764</v>
      </c>
      <c r="H1016" s="55" t="n">
        <v>12</v>
      </c>
      <c r="I1016" s="76" t="s">
        <v>512</v>
      </c>
      <c r="J1016" s="76" t="s">
        <v>164</v>
      </c>
      <c r="K1016" s="82" t="n">
        <v>1</v>
      </c>
      <c r="L1016" s="55" t="n">
        <v>4</v>
      </c>
      <c r="M1016" s="73" t="n">
        <v>17.1</v>
      </c>
      <c r="N1016" s="74" t="n">
        <f aca="false">K1016*L1016*M1016</f>
        <v>68.4</v>
      </c>
      <c r="O1016" s="41" t="n">
        <f aca="false">IFERROR(INDEX(Исходные!$B$21:$B$33,MATCH(H1016,Исходные!$A$21:$A$33,0)),0)</f>
        <v>0.888</v>
      </c>
      <c r="P1016" s="83" t="n">
        <f aca="false">N1016*O1016</f>
        <v>60.7392</v>
      </c>
      <c r="Q1016" s="20" t="s">
        <v>1614</v>
      </c>
      <c r="R1016" s="84" t="s">
        <v>660</v>
      </c>
      <c r="S1016" s="20" t="s">
        <v>766</v>
      </c>
      <c r="T1016" s="20" t="s">
        <v>123</v>
      </c>
      <c r="U1016" s="53" t="n">
        <v>0</v>
      </c>
      <c r="V1016" s="76" t="s">
        <v>749</v>
      </c>
      <c r="W1016" s="53" t="n">
        <v>3</v>
      </c>
    </row>
    <row r="1017" customFormat="false" ht="35.05" hidden="false" customHeight="false" outlineLevel="0" collapsed="false">
      <c r="A1017" s="76" t="n">
        <v>993</v>
      </c>
      <c r="B1017" s="20" t="s">
        <v>1526</v>
      </c>
      <c r="C1017" s="20" t="s">
        <v>655</v>
      </c>
      <c r="D1017" s="20" t="s">
        <v>1606</v>
      </c>
      <c r="E1017" s="20" t="s">
        <v>749</v>
      </c>
      <c r="F1017" s="76" t="s">
        <v>767</v>
      </c>
      <c r="G1017" s="20" t="s">
        <v>768</v>
      </c>
      <c r="H1017" s="55" t="n">
        <v>12</v>
      </c>
      <c r="I1017" s="76" t="s">
        <v>512</v>
      </c>
      <c r="J1017" s="76" t="s">
        <v>164</v>
      </c>
      <c r="K1017" s="82" t="n">
        <v>4</v>
      </c>
      <c r="L1017" s="55" t="n">
        <v>1</v>
      </c>
      <c r="M1017" s="73" t="n">
        <v>0.096</v>
      </c>
      <c r="N1017" s="74" t="n">
        <f aca="false">K1017*L1017*M1017</f>
        <v>0.384</v>
      </c>
      <c r="O1017" s="41" t="n">
        <f aca="false">IFERROR(INDEX(Исходные!$B$21:$B$33,MATCH(H1017,Исходные!$A$21:$A$33,0)),0)</f>
        <v>0.888</v>
      </c>
      <c r="P1017" s="83" t="n">
        <f aca="false">N1017*O1017</f>
        <v>0.340992</v>
      </c>
      <c r="Q1017" s="20" t="s">
        <v>769</v>
      </c>
      <c r="R1017" s="84" t="s">
        <v>667</v>
      </c>
      <c r="S1017" s="20" t="s">
        <v>770</v>
      </c>
      <c r="T1017" s="20" t="s">
        <v>123</v>
      </c>
      <c r="U1017" s="53" t="n">
        <v>0</v>
      </c>
      <c r="V1017" s="76" t="s">
        <v>749</v>
      </c>
      <c r="W1017" s="53" t="n">
        <v>3</v>
      </c>
    </row>
    <row r="1018" customFormat="false" ht="35.05" hidden="false" customHeight="false" outlineLevel="0" collapsed="false">
      <c r="A1018" s="76" t="n">
        <v>994</v>
      </c>
      <c r="B1018" s="20" t="s">
        <v>1526</v>
      </c>
      <c r="C1018" s="20" t="s">
        <v>655</v>
      </c>
      <c r="D1018" s="20" t="s">
        <v>1606</v>
      </c>
      <c r="E1018" s="20" t="s">
        <v>749</v>
      </c>
      <c r="F1018" s="76" t="s">
        <v>696</v>
      </c>
      <c r="G1018" s="20" t="s">
        <v>1308</v>
      </c>
      <c r="H1018" s="55" t="n">
        <v>8</v>
      </c>
      <c r="I1018" s="76" t="s">
        <v>546</v>
      </c>
      <c r="J1018" s="76" t="s">
        <v>698</v>
      </c>
      <c r="K1018" s="82" t="n">
        <v>1</v>
      </c>
      <c r="L1018" s="55" t="n">
        <v>78</v>
      </c>
      <c r="M1018" s="73" t="n">
        <v>2.06</v>
      </c>
      <c r="N1018" s="74" t="n">
        <f aca="false">K1018*L1018*M1018</f>
        <v>160.68</v>
      </c>
      <c r="O1018" s="41" t="n">
        <f aca="false">IFERROR(INDEX(Исходные!$B$21:$B$33,MATCH(H1018,Исходные!$A$21:$A$33,0)),0)</f>
        <v>0.395</v>
      </c>
      <c r="P1018" s="83" t="n">
        <f aca="false">N1018*O1018</f>
        <v>63.4686</v>
      </c>
      <c r="Q1018" s="20" t="s">
        <v>1309</v>
      </c>
      <c r="R1018" s="84" t="s">
        <v>514</v>
      </c>
      <c r="S1018" s="20" t="s">
        <v>1331</v>
      </c>
      <c r="T1018" s="20" t="s">
        <v>123</v>
      </c>
      <c r="U1018" s="53" t="n">
        <v>0</v>
      </c>
      <c r="V1018" s="76" t="s">
        <v>749</v>
      </c>
      <c r="W1018" s="53" t="n">
        <v>3</v>
      </c>
    </row>
    <row r="1019" customFormat="false" ht="35.05" hidden="false" customHeight="false" outlineLevel="0" collapsed="false">
      <c r="A1019" s="76" t="n">
        <v>995</v>
      </c>
      <c r="B1019" s="20" t="s">
        <v>1526</v>
      </c>
      <c r="C1019" s="20" t="s">
        <v>655</v>
      </c>
      <c r="D1019" s="20" t="s">
        <v>1606</v>
      </c>
      <c r="E1019" s="20" t="s">
        <v>749</v>
      </c>
      <c r="F1019" s="76" t="s">
        <v>561</v>
      </c>
      <c r="G1019" s="20" t="s">
        <v>1311</v>
      </c>
      <c r="H1019" s="55" t="n">
        <v>10</v>
      </c>
      <c r="I1019" s="76" t="s">
        <v>546</v>
      </c>
      <c r="J1019" s="76" t="n">
        <v>100</v>
      </c>
      <c r="K1019" s="82" t="n">
        <v>1</v>
      </c>
      <c r="L1019" s="55" t="n">
        <v>124</v>
      </c>
      <c r="M1019" s="73" t="n">
        <v>2.06</v>
      </c>
      <c r="N1019" s="74" t="n">
        <f aca="false">K1019*L1019*M1019</f>
        <v>255.44</v>
      </c>
      <c r="O1019" s="41" t="n">
        <f aca="false">IFERROR(INDEX(Исходные!$B$21:$B$33,MATCH(H1019,Исходные!$A$21:$A$33,0)),0)</f>
        <v>0.617</v>
      </c>
      <c r="P1019" s="83" t="n">
        <f aca="false">N1019*O1019</f>
        <v>157.60648</v>
      </c>
      <c r="Q1019" s="20" t="s">
        <v>1615</v>
      </c>
      <c r="R1019" s="84" t="s">
        <v>514</v>
      </c>
      <c r="S1019" s="20" t="s">
        <v>772</v>
      </c>
      <c r="T1019" s="20" t="s">
        <v>123</v>
      </c>
      <c r="U1019" s="53" t="n">
        <v>0</v>
      </c>
      <c r="V1019" s="76" t="s">
        <v>749</v>
      </c>
      <c r="W1019" s="53" t="n">
        <v>3</v>
      </c>
    </row>
    <row r="1020" customFormat="false" ht="35.05" hidden="false" customHeight="false" outlineLevel="0" collapsed="false">
      <c r="A1020" s="76" t="n">
        <v>996</v>
      </c>
      <c r="B1020" s="20" t="s">
        <v>1526</v>
      </c>
      <c r="C1020" s="20" t="s">
        <v>655</v>
      </c>
      <c r="D1020" s="20" t="s">
        <v>1606</v>
      </c>
      <c r="E1020" s="20" t="s">
        <v>749</v>
      </c>
      <c r="F1020" s="76" t="s">
        <v>603</v>
      </c>
      <c r="G1020" s="20" t="s">
        <v>704</v>
      </c>
      <c r="H1020" s="55" t="n">
        <v>10</v>
      </c>
      <c r="I1020" s="76" t="s">
        <v>546</v>
      </c>
      <c r="J1020" s="76" t="n">
        <v>100</v>
      </c>
      <c r="K1020" s="82" t="n">
        <v>1</v>
      </c>
      <c r="L1020" s="55" t="n">
        <v>115</v>
      </c>
      <c r="M1020" s="73" t="n">
        <v>1.6</v>
      </c>
      <c r="N1020" s="74" t="n">
        <f aca="false">K1020*L1020*M1020</f>
        <v>184</v>
      </c>
      <c r="O1020" s="41" t="n">
        <f aca="false">IFERROR(INDEX(Исходные!$B$21:$B$33,MATCH(H1020,Исходные!$A$21:$A$33,0)),0)</f>
        <v>0.617</v>
      </c>
      <c r="P1020" s="83" t="n">
        <f aca="false">N1020*O1020</f>
        <v>113.528</v>
      </c>
      <c r="Q1020" s="20" t="s">
        <v>773</v>
      </c>
      <c r="R1020" s="84" t="s">
        <v>514</v>
      </c>
      <c r="S1020" s="20"/>
      <c r="T1020" s="20" t="s">
        <v>123</v>
      </c>
      <c r="U1020" s="53" t="n">
        <v>0</v>
      </c>
      <c r="V1020" s="76" t="s">
        <v>749</v>
      </c>
      <c r="W1020" s="53" t="n">
        <v>3</v>
      </c>
    </row>
    <row r="1021" customFormat="false" ht="35.05" hidden="false" customHeight="false" outlineLevel="0" collapsed="false">
      <c r="A1021" s="76" t="n">
        <v>997</v>
      </c>
      <c r="B1021" s="20" t="s">
        <v>1526</v>
      </c>
      <c r="C1021" s="20" t="s">
        <v>655</v>
      </c>
      <c r="D1021" s="20" t="s">
        <v>1606</v>
      </c>
      <c r="E1021" s="20" t="s">
        <v>749</v>
      </c>
      <c r="F1021" s="76" t="s">
        <v>706</v>
      </c>
      <c r="G1021" s="20" t="s">
        <v>1314</v>
      </c>
      <c r="H1021" s="55" t="n">
        <v>8</v>
      </c>
      <c r="I1021" s="76" t="s">
        <v>546</v>
      </c>
      <c r="J1021" s="76" t="s">
        <v>708</v>
      </c>
      <c r="K1021" s="82" t="n">
        <v>1</v>
      </c>
      <c r="L1021" s="55" t="n">
        <v>54</v>
      </c>
      <c r="M1021" s="73" t="n">
        <v>0.75</v>
      </c>
      <c r="N1021" s="74" t="n">
        <f aca="false">K1021*L1021*M1021</f>
        <v>40.5</v>
      </c>
      <c r="O1021" s="41" t="n">
        <f aca="false">IFERROR(INDEX(Исходные!$B$21:$B$33,MATCH(H1021,Исходные!$A$21:$A$33,0)),0)</f>
        <v>0.395</v>
      </c>
      <c r="P1021" s="83" t="n">
        <f aca="false">N1021*O1021</f>
        <v>15.9975</v>
      </c>
      <c r="Q1021" s="20" t="s">
        <v>709</v>
      </c>
      <c r="R1021" s="84" t="s">
        <v>514</v>
      </c>
      <c r="S1021" s="20"/>
      <c r="T1021" s="20" t="s">
        <v>123</v>
      </c>
      <c r="U1021" s="53" t="n">
        <v>0</v>
      </c>
      <c r="V1021" s="76" t="s">
        <v>749</v>
      </c>
      <c r="W1021" s="53" t="n">
        <v>3</v>
      </c>
    </row>
    <row r="1022" customFormat="false" ht="35.05" hidden="false" customHeight="false" outlineLevel="0" collapsed="false">
      <c r="A1022" s="76" t="n">
        <v>998</v>
      </c>
      <c r="B1022" s="20" t="s">
        <v>1526</v>
      </c>
      <c r="C1022" s="20" t="s">
        <v>655</v>
      </c>
      <c r="D1022" s="20" t="s">
        <v>1606</v>
      </c>
      <c r="E1022" s="20" t="s">
        <v>749</v>
      </c>
      <c r="F1022" s="76" t="s">
        <v>710</v>
      </c>
      <c r="G1022" s="20" t="s">
        <v>1315</v>
      </c>
      <c r="H1022" s="55" t="n">
        <v>8</v>
      </c>
      <c r="I1022" s="76" t="s">
        <v>546</v>
      </c>
      <c r="J1022" s="76" t="n">
        <v>300</v>
      </c>
      <c r="K1022" s="82" t="n">
        <v>1</v>
      </c>
      <c r="L1022" s="55" t="n">
        <v>77</v>
      </c>
      <c r="M1022" s="73" t="n">
        <v>0.58</v>
      </c>
      <c r="N1022" s="74" t="n">
        <f aca="false">K1022*L1022*M1022</f>
        <v>44.66</v>
      </c>
      <c r="O1022" s="41" t="n">
        <f aca="false">IFERROR(INDEX(Исходные!$B$21:$B$33,MATCH(H1022,Исходные!$A$21:$A$33,0)),0)</f>
        <v>0.395</v>
      </c>
      <c r="P1022" s="83" t="n">
        <f aca="false">N1022*O1022</f>
        <v>17.6407</v>
      </c>
      <c r="Q1022" s="20" t="s">
        <v>1316</v>
      </c>
      <c r="R1022" s="85" t="s">
        <v>638</v>
      </c>
      <c r="S1022" s="20"/>
      <c r="T1022" s="20" t="s">
        <v>123</v>
      </c>
      <c r="U1022" s="53" t="n">
        <v>1</v>
      </c>
      <c r="V1022" s="76" t="s">
        <v>749</v>
      </c>
      <c r="W1022" s="53" t="n">
        <v>3</v>
      </c>
    </row>
    <row r="1023" customFormat="false" ht="35.05" hidden="false" customHeight="false" outlineLevel="0" collapsed="false">
      <c r="A1023" s="76" t="n">
        <v>999</v>
      </c>
      <c r="B1023" s="20" t="s">
        <v>1526</v>
      </c>
      <c r="C1023" s="20" t="s">
        <v>655</v>
      </c>
      <c r="D1023" s="20" t="s">
        <v>1616</v>
      </c>
      <c r="E1023" s="20" t="s">
        <v>775</v>
      </c>
      <c r="F1023" s="76" t="s">
        <v>519</v>
      </c>
      <c r="G1023" s="20" t="s">
        <v>658</v>
      </c>
      <c r="H1023" s="55" t="n">
        <v>28</v>
      </c>
      <c r="I1023" s="76" t="s">
        <v>512</v>
      </c>
      <c r="J1023" s="76" t="s">
        <v>164</v>
      </c>
      <c r="K1023" s="82" t="n">
        <v>1</v>
      </c>
      <c r="L1023" s="55" t="n">
        <v>4</v>
      </c>
      <c r="M1023" s="73" t="n">
        <v>25.5</v>
      </c>
      <c r="N1023" s="74" t="n">
        <f aca="false">K1023*L1023*M1023</f>
        <v>102</v>
      </c>
      <c r="O1023" s="41" t="n">
        <f aca="false">IFERROR(INDEX(Исходные!$B$21:$B$33,MATCH(H1023,Исходные!$A$21:$A$33,0)),0)</f>
        <v>4.834</v>
      </c>
      <c r="P1023" s="83" t="n">
        <f aca="false">N1023*O1023</f>
        <v>493.068</v>
      </c>
      <c r="Q1023" s="20" t="s">
        <v>1347</v>
      </c>
      <c r="R1023" s="84" t="s">
        <v>660</v>
      </c>
      <c r="S1023" s="20" t="s">
        <v>661</v>
      </c>
      <c r="T1023" s="20" t="s">
        <v>123</v>
      </c>
      <c r="U1023" s="53" t="n">
        <v>0</v>
      </c>
      <c r="V1023" s="76" t="s">
        <v>775</v>
      </c>
      <c r="W1023" s="53" t="n">
        <v>3</v>
      </c>
    </row>
    <row r="1024" customFormat="false" ht="35.05" hidden="false" customHeight="false" outlineLevel="0" collapsed="false">
      <c r="A1024" s="76" t="n">
        <v>1000</v>
      </c>
      <c r="B1024" s="20" t="s">
        <v>1526</v>
      </c>
      <c r="C1024" s="20" t="s">
        <v>655</v>
      </c>
      <c r="D1024" s="20" t="s">
        <v>1616</v>
      </c>
      <c r="E1024" s="20" t="s">
        <v>775</v>
      </c>
      <c r="F1024" s="76" t="s">
        <v>529</v>
      </c>
      <c r="G1024" s="20" t="s">
        <v>662</v>
      </c>
      <c r="H1024" s="55" t="n">
        <v>18</v>
      </c>
      <c r="I1024" s="76" t="s">
        <v>512</v>
      </c>
      <c r="J1024" s="76" t="s">
        <v>164</v>
      </c>
      <c r="K1024" s="82" t="n">
        <v>1</v>
      </c>
      <c r="L1024" s="55" t="n">
        <v>2</v>
      </c>
      <c r="M1024" s="73" t="n">
        <v>25.5</v>
      </c>
      <c r="N1024" s="74" t="n">
        <f aca="false">K1024*L1024*M1024</f>
        <v>51</v>
      </c>
      <c r="O1024" s="41" t="n">
        <f aca="false">IFERROR(INDEX(Исходные!$B$21:$B$33,MATCH(H1024,Исходные!$A$21:$A$33,0)),0)</f>
        <v>1.998</v>
      </c>
      <c r="P1024" s="83" t="n">
        <f aca="false">N1024*O1024</f>
        <v>101.898</v>
      </c>
      <c r="Q1024" s="20" t="s">
        <v>663</v>
      </c>
      <c r="R1024" s="84" t="s">
        <v>660</v>
      </c>
      <c r="S1024" s="20"/>
      <c r="T1024" s="20" t="s">
        <v>123</v>
      </c>
      <c r="U1024" s="53" t="n">
        <v>0</v>
      </c>
      <c r="V1024" s="76" t="s">
        <v>775</v>
      </c>
      <c r="W1024" s="53" t="n">
        <v>3</v>
      </c>
    </row>
    <row r="1025" customFormat="false" ht="35.05" hidden="false" customHeight="false" outlineLevel="0" collapsed="false">
      <c r="A1025" s="76" t="n">
        <v>1001</v>
      </c>
      <c r="B1025" s="20" t="s">
        <v>1526</v>
      </c>
      <c r="C1025" s="20" t="s">
        <v>655</v>
      </c>
      <c r="D1025" s="20" t="s">
        <v>1616</v>
      </c>
      <c r="E1025" s="20" t="s">
        <v>775</v>
      </c>
      <c r="F1025" s="76" t="s">
        <v>664</v>
      </c>
      <c r="G1025" s="20" t="s">
        <v>665</v>
      </c>
      <c r="H1025" s="55" t="n">
        <v>18</v>
      </c>
      <c r="I1025" s="76" t="s">
        <v>512</v>
      </c>
      <c r="J1025" s="76" t="s">
        <v>164</v>
      </c>
      <c r="K1025" s="82" t="n">
        <v>2</v>
      </c>
      <c r="L1025" s="55" t="n">
        <v>2</v>
      </c>
      <c r="M1025" s="73" t="n">
        <v>0.144</v>
      </c>
      <c r="N1025" s="74" t="n">
        <f aca="false">K1025*L1025*M1025</f>
        <v>0.576</v>
      </c>
      <c r="O1025" s="41" t="n">
        <f aca="false">IFERROR(INDEX(Исходные!$B$21:$B$33,MATCH(H1025,Исходные!$A$21:$A$33,0)),0)</f>
        <v>1.998</v>
      </c>
      <c r="P1025" s="83" t="n">
        <f aca="false">N1025*O1025</f>
        <v>1.150848</v>
      </c>
      <c r="Q1025" s="20" t="s">
        <v>666</v>
      </c>
      <c r="R1025" s="84" t="s">
        <v>667</v>
      </c>
      <c r="S1025" s="20" t="s">
        <v>668</v>
      </c>
      <c r="T1025" s="20" t="s">
        <v>123</v>
      </c>
      <c r="U1025" s="53" t="n">
        <v>0</v>
      </c>
      <c r="V1025" s="76" t="s">
        <v>775</v>
      </c>
      <c r="W1025" s="53" t="n">
        <v>3</v>
      </c>
    </row>
    <row r="1026" customFormat="false" ht="35.05" hidden="false" customHeight="false" outlineLevel="0" collapsed="false">
      <c r="A1026" s="76" t="n">
        <v>1002</v>
      </c>
      <c r="B1026" s="20" t="s">
        <v>1526</v>
      </c>
      <c r="C1026" s="20" t="s">
        <v>655</v>
      </c>
      <c r="D1026" s="20" t="s">
        <v>1616</v>
      </c>
      <c r="E1026" s="20" t="s">
        <v>775</v>
      </c>
      <c r="F1026" s="76" t="s">
        <v>669</v>
      </c>
      <c r="G1026" s="20" t="s">
        <v>670</v>
      </c>
      <c r="H1026" s="55" t="n">
        <v>16</v>
      </c>
      <c r="I1026" s="76" t="s">
        <v>512</v>
      </c>
      <c r="J1026" s="76" t="s">
        <v>164</v>
      </c>
      <c r="K1026" s="82" t="n">
        <v>1</v>
      </c>
      <c r="L1026" s="55" t="n">
        <v>2</v>
      </c>
      <c r="M1026" s="73" t="n">
        <v>25.5</v>
      </c>
      <c r="N1026" s="74" t="n">
        <f aca="false">K1026*L1026*M1026</f>
        <v>51</v>
      </c>
      <c r="O1026" s="41" t="n">
        <f aca="false">IFERROR(INDEX(Исходные!$B$21:$B$33,MATCH(H1026,Исходные!$A$21:$A$33,0)),0)</f>
        <v>1.578</v>
      </c>
      <c r="P1026" s="83" t="n">
        <f aca="false">N1026*O1026</f>
        <v>80.478</v>
      </c>
      <c r="Q1026" s="20" t="s">
        <v>671</v>
      </c>
      <c r="R1026" s="84" t="s">
        <v>660</v>
      </c>
      <c r="S1026" s="20"/>
      <c r="T1026" s="20" t="s">
        <v>123</v>
      </c>
      <c r="U1026" s="53" t="n">
        <v>0</v>
      </c>
      <c r="V1026" s="76" t="s">
        <v>775</v>
      </c>
      <c r="W1026" s="53" t="n">
        <v>3</v>
      </c>
    </row>
    <row r="1027" customFormat="false" ht="35.05" hidden="false" customHeight="false" outlineLevel="0" collapsed="false">
      <c r="A1027" s="76" t="n">
        <v>1003</v>
      </c>
      <c r="B1027" s="20" t="s">
        <v>1526</v>
      </c>
      <c r="C1027" s="20" t="s">
        <v>655</v>
      </c>
      <c r="D1027" s="20" t="s">
        <v>1616</v>
      </c>
      <c r="E1027" s="20" t="s">
        <v>775</v>
      </c>
      <c r="F1027" s="76" t="s">
        <v>672</v>
      </c>
      <c r="G1027" s="20" t="s">
        <v>673</v>
      </c>
      <c r="H1027" s="55" t="n">
        <v>16</v>
      </c>
      <c r="I1027" s="76" t="s">
        <v>512</v>
      </c>
      <c r="J1027" s="76" t="s">
        <v>164</v>
      </c>
      <c r="K1027" s="82" t="n">
        <v>2</v>
      </c>
      <c r="L1027" s="55" t="n">
        <v>2</v>
      </c>
      <c r="M1027" s="73" t="n">
        <v>0.128</v>
      </c>
      <c r="N1027" s="74" t="n">
        <f aca="false">K1027*L1027*M1027</f>
        <v>0.512</v>
      </c>
      <c r="O1027" s="41" t="n">
        <f aca="false">IFERROR(INDEX(Исходные!$B$21:$B$33,MATCH(H1027,Исходные!$A$21:$A$33,0)),0)</f>
        <v>1.578</v>
      </c>
      <c r="P1027" s="83" t="n">
        <f aca="false">N1027*O1027</f>
        <v>0.807936</v>
      </c>
      <c r="Q1027" s="20" t="s">
        <v>674</v>
      </c>
      <c r="R1027" s="84" t="s">
        <v>667</v>
      </c>
      <c r="S1027" s="20" t="s">
        <v>675</v>
      </c>
      <c r="T1027" s="20" t="s">
        <v>123</v>
      </c>
      <c r="U1027" s="53" t="n">
        <v>0</v>
      </c>
      <c r="V1027" s="76" t="s">
        <v>775</v>
      </c>
      <c r="W1027" s="53" t="n">
        <v>3</v>
      </c>
    </row>
    <row r="1028" customFormat="false" ht="35.05" hidden="false" customHeight="false" outlineLevel="0" collapsed="false">
      <c r="A1028" s="76" t="n">
        <v>1004</v>
      </c>
      <c r="B1028" s="20" t="s">
        <v>1526</v>
      </c>
      <c r="C1028" s="20" t="s">
        <v>655</v>
      </c>
      <c r="D1028" s="20" t="s">
        <v>1616</v>
      </c>
      <c r="E1028" s="20" t="s">
        <v>775</v>
      </c>
      <c r="F1028" s="76" t="s">
        <v>676</v>
      </c>
      <c r="G1028" s="20" t="s">
        <v>1348</v>
      </c>
      <c r="H1028" s="55" t="n">
        <v>25</v>
      </c>
      <c r="I1028" s="76" t="s">
        <v>512</v>
      </c>
      <c r="J1028" s="76" t="s">
        <v>164</v>
      </c>
      <c r="K1028" s="82" t="n">
        <v>1</v>
      </c>
      <c r="L1028" s="55" t="n">
        <v>2</v>
      </c>
      <c r="M1028" s="73" t="n">
        <v>1.85</v>
      </c>
      <c r="N1028" s="74" t="n">
        <f aca="false">K1028*L1028*M1028</f>
        <v>3.7</v>
      </c>
      <c r="O1028" s="41" t="n">
        <f aca="false">IFERROR(INDEX(Исходные!$B$21:$B$33,MATCH(H1028,Исходные!$A$21:$A$33,0)),0)</f>
        <v>3.853</v>
      </c>
      <c r="P1028" s="83" t="n">
        <f aca="false">N1028*O1028</f>
        <v>14.2561</v>
      </c>
      <c r="Q1028" s="20" t="s">
        <v>1617</v>
      </c>
      <c r="R1028" s="84" t="s">
        <v>660</v>
      </c>
      <c r="S1028" s="20" t="s">
        <v>1350</v>
      </c>
      <c r="T1028" s="20" t="s">
        <v>123</v>
      </c>
      <c r="U1028" s="53" t="n">
        <v>0</v>
      </c>
      <c r="V1028" s="76" t="s">
        <v>775</v>
      </c>
      <c r="W1028" s="53" t="n">
        <v>3</v>
      </c>
    </row>
    <row r="1029" customFormat="false" ht="35.05" hidden="false" customHeight="false" outlineLevel="0" collapsed="false">
      <c r="A1029" s="76" t="n">
        <v>1005</v>
      </c>
      <c r="B1029" s="20" t="s">
        <v>1526</v>
      </c>
      <c r="C1029" s="20" t="s">
        <v>655</v>
      </c>
      <c r="D1029" s="20" t="s">
        <v>1616</v>
      </c>
      <c r="E1029" s="20" t="s">
        <v>775</v>
      </c>
      <c r="F1029" s="76" t="s">
        <v>676</v>
      </c>
      <c r="G1029" s="20" t="s">
        <v>780</v>
      </c>
      <c r="H1029" s="55" t="n">
        <v>28</v>
      </c>
      <c r="I1029" s="76" t="s">
        <v>512</v>
      </c>
      <c r="J1029" s="76" t="s">
        <v>164</v>
      </c>
      <c r="K1029" s="82" t="n">
        <v>1</v>
      </c>
      <c r="L1029" s="55" t="n">
        <v>2</v>
      </c>
      <c r="M1029" s="73" t="n">
        <v>5.5</v>
      </c>
      <c r="N1029" s="74" t="n">
        <f aca="false">K1029*L1029*M1029</f>
        <v>11</v>
      </c>
      <c r="O1029" s="41" t="n">
        <f aca="false">IFERROR(INDEX(Исходные!$B$21:$B$33,MATCH(H1029,Исходные!$A$21:$A$33,0)),0)</f>
        <v>4.834</v>
      </c>
      <c r="P1029" s="83" t="n">
        <f aca="false">N1029*O1029</f>
        <v>53.174</v>
      </c>
      <c r="Q1029" s="20" t="s">
        <v>1618</v>
      </c>
      <c r="R1029" s="84" t="s">
        <v>660</v>
      </c>
      <c r="S1029" s="20" t="s">
        <v>781</v>
      </c>
      <c r="T1029" s="20" t="s">
        <v>123</v>
      </c>
      <c r="U1029" s="53" t="n">
        <v>0</v>
      </c>
      <c r="V1029" s="76" t="s">
        <v>775</v>
      </c>
      <c r="W1029" s="53" t="n">
        <v>3</v>
      </c>
    </row>
    <row r="1030" customFormat="false" ht="35.05" hidden="false" customHeight="false" outlineLevel="0" collapsed="false">
      <c r="A1030" s="76" t="n">
        <v>1006</v>
      </c>
      <c r="B1030" s="20" t="s">
        <v>1526</v>
      </c>
      <c r="C1030" s="20" t="s">
        <v>655</v>
      </c>
      <c r="D1030" s="20" t="s">
        <v>1616</v>
      </c>
      <c r="E1030" s="20" t="s">
        <v>775</v>
      </c>
      <c r="F1030" s="76" t="s">
        <v>676</v>
      </c>
      <c r="G1030" s="20" t="s">
        <v>1352</v>
      </c>
      <c r="H1030" s="55" t="n">
        <v>25</v>
      </c>
      <c r="I1030" s="76" t="s">
        <v>512</v>
      </c>
      <c r="J1030" s="76" t="s">
        <v>164</v>
      </c>
      <c r="K1030" s="82" t="n">
        <v>1</v>
      </c>
      <c r="L1030" s="55" t="n">
        <v>2</v>
      </c>
      <c r="M1030" s="73" t="n">
        <v>5.5</v>
      </c>
      <c r="N1030" s="74" t="n">
        <f aca="false">K1030*L1030*M1030</f>
        <v>11</v>
      </c>
      <c r="O1030" s="41" t="n">
        <f aca="false">IFERROR(INDEX(Исходные!$B$21:$B$33,MATCH(H1030,Исходные!$A$21:$A$33,0)),0)</f>
        <v>3.853</v>
      </c>
      <c r="P1030" s="83" t="n">
        <f aca="false">N1030*O1030</f>
        <v>42.383</v>
      </c>
      <c r="Q1030" s="20" t="s">
        <v>1617</v>
      </c>
      <c r="R1030" s="84" t="s">
        <v>660</v>
      </c>
      <c r="S1030" s="20" t="s">
        <v>781</v>
      </c>
      <c r="T1030" s="20" t="s">
        <v>123</v>
      </c>
      <c r="U1030" s="53" t="n">
        <v>0</v>
      </c>
      <c r="V1030" s="76" t="s">
        <v>775</v>
      </c>
      <c r="W1030" s="53" t="n">
        <v>3</v>
      </c>
    </row>
    <row r="1031" customFormat="false" ht="35.05" hidden="false" customHeight="false" outlineLevel="0" collapsed="false">
      <c r="A1031" s="76" t="n">
        <v>1007</v>
      </c>
      <c r="B1031" s="20" t="s">
        <v>1526</v>
      </c>
      <c r="C1031" s="20" t="s">
        <v>655</v>
      </c>
      <c r="D1031" s="20" t="s">
        <v>1616</v>
      </c>
      <c r="E1031" s="20" t="s">
        <v>775</v>
      </c>
      <c r="F1031" s="76" t="s">
        <v>676</v>
      </c>
      <c r="G1031" s="20" t="s">
        <v>1619</v>
      </c>
      <c r="H1031" s="55" t="n">
        <v>32</v>
      </c>
      <c r="I1031" s="76" t="s">
        <v>512</v>
      </c>
      <c r="J1031" s="76" t="s">
        <v>164</v>
      </c>
      <c r="K1031" s="82" t="n">
        <v>1</v>
      </c>
      <c r="L1031" s="55" t="n">
        <v>2</v>
      </c>
      <c r="M1031" s="73" t="n">
        <v>4.7</v>
      </c>
      <c r="N1031" s="74" t="n">
        <f aca="false">K1031*L1031*M1031</f>
        <v>9.4</v>
      </c>
      <c r="O1031" s="41" t="n">
        <f aca="false">IFERROR(INDEX(Исходные!$B$21:$B$33,MATCH(H1031,Исходные!$A$21:$A$33,0)),0)</f>
        <v>6.313</v>
      </c>
      <c r="P1031" s="83" t="n">
        <f aca="false">N1031*O1031</f>
        <v>59.3422</v>
      </c>
      <c r="Q1031" s="20" t="s">
        <v>1620</v>
      </c>
      <c r="R1031" s="84" t="s">
        <v>660</v>
      </c>
      <c r="S1031" s="20" t="s">
        <v>785</v>
      </c>
      <c r="T1031" s="20" t="s">
        <v>123</v>
      </c>
      <c r="U1031" s="53" t="n">
        <v>0</v>
      </c>
      <c r="V1031" s="76" t="s">
        <v>775</v>
      </c>
      <c r="W1031" s="53" t="n">
        <v>3</v>
      </c>
    </row>
    <row r="1032" customFormat="false" ht="35.05" hidden="false" customHeight="false" outlineLevel="0" collapsed="false">
      <c r="A1032" s="76" t="n">
        <v>1008</v>
      </c>
      <c r="B1032" s="20" t="s">
        <v>1526</v>
      </c>
      <c r="C1032" s="20" t="s">
        <v>655</v>
      </c>
      <c r="D1032" s="20" t="s">
        <v>1616</v>
      </c>
      <c r="E1032" s="20" t="s">
        <v>775</v>
      </c>
      <c r="F1032" s="76" t="s">
        <v>676</v>
      </c>
      <c r="G1032" s="20" t="s">
        <v>787</v>
      </c>
      <c r="H1032" s="55" t="n">
        <v>32</v>
      </c>
      <c r="I1032" s="76" t="s">
        <v>512</v>
      </c>
      <c r="J1032" s="76" t="s">
        <v>164</v>
      </c>
      <c r="K1032" s="82" t="n">
        <v>1</v>
      </c>
      <c r="L1032" s="55" t="n">
        <v>2</v>
      </c>
      <c r="M1032" s="73" t="n">
        <v>4.3</v>
      </c>
      <c r="N1032" s="74" t="n">
        <f aca="false">K1032*L1032*M1032</f>
        <v>8.6</v>
      </c>
      <c r="O1032" s="41" t="n">
        <f aca="false">IFERROR(INDEX(Исходные!$B$21:$B$33,MATCH(H1032,Исходные!$A$21:$A$33,0)),0)</f>
        <v>6.313</v>
      </c>
      <c r="P1032" s="83" t="n">
        <f aca="false">N1032*O1032</f>
        <v>54.2918</v>
      </c>
      <c r="Q1032" s="20" t="s">
        <v>1620</v>
      </c>
      <c r="R1032" s="84" t="s">
        <v>660</v>
      </c>
      <c r="S1032" s="20" t="s">
        <v>789</v>
      </c>
      <c r="T1032" s="20" t="s">
        <v>123</v>
      </c>
      <c r="U1032" s="53" t="n">
        <v>0</v>
      </c>
      <c r="V1032" s="76" t="s">
        <v>775</v>
      </c>
      <c r="W1032" s="53" t="n">
        <v>3</v>
      </c>
    </row>
    <row r="1033" customFormat="false" ht="35.05" hidden="false" customHeight="false" outlineLevel="0" collapsed="false">
      <c r="A1033" s="76" t="n">
        <v>1009</v>
      </c>
      <c r="B1033" s="20" t="s">
        <v>1526</v>
      </c>
      <c r="C1033" s="20" t="s">
        <v>655</v>
      </c>
      <c r="D1033" s="20" t="s">
        <v>1616</v>
      </c>
      <c r="E1033" s="20" t="s">
        <v>775</v>
      </c>
      <c r="F1033" s="76" t="s">
        <v>676</v>
      </c>
      <c r="G1033" s="20" t="s">
        <v>727</v>
      </c>
      <c r="H1033" s="55" t="n">
        <v>25</v>
      </c>
      <c r="I1033" s="76" t="s">
        <v>512</v>
      </c>
      <c r="J1033" s="76" t="s">
        <v>164</v>
      </c>
      <c r="K1033" s="82" t="n">
        <v>1</v>
      </c>
      <c r="L1033" s="55" t="n">
        <v>2</v>
      </c>
      <c r="M1033" s="73" t="n">
        <v>2.05</v>
      </c>
      <c r="N1033" s="74" t="n">
        <f aca="false">K1033*L1033*M1033</f>
        <v>4.1</v>
      </c>
      <c r="O1033" s="41" t="n">
        <f aca="false">IFERROR(INDEX(Исходные!$B$21:$B$33,MATCH(H1033,Исходные!$A$21:$A$33,0)),0)</f>
        <v>3.853</v>
      </c>
      <c r="P1033" s="83" t="n">
        <f aca="false">N1033*O1033</f>
        <v>15.7973</v>
      </c>
      <c r="Q1033" s="20" t="s">
        <v>1617</v>
      </c>
      <c r="R1033" s="84" t="s">
        <v>660</v>
      </c>
      <c r="S1033" s="20" t="s">
        <v>1324</v>
      </c>
      <c r="T1033" s="20" t="s">
        <v>123</v>
      </c>
      <c r="U1033" s="53" t="n">
        <v>0</v>
      </c>
      <c r="V1033" s="76" t="s">
        <v>775</v>
      </c>
      <c r="W1033" s="53" t="n">
        <v>3</v>
      </c>
    </row>
    <row r="1034" customFormat="false" ht="35.05" hidden="false" customHeight="false" outlineLevel="0" collapsed="false">
      <c r="A1034" s="76" t="n">
        <v>1010</v>
      </c>
      <c r="B1034" s="20" t="s">
        <v>1526</v>
      </c>
      <c r="C1034" s="20" t="s">
        <v>655</v>
      </c>
      <c r="D1034" s="20" t="s">
        <v>1616</v>
      </c>
      <c r="E1034" s="20" t="s">
        <v>775</v>
      </c>
      <c r="F1034" s="76" t="s">
        <v>676</v>
      </c>
      <c r="G1034" s="20" t="s">
        <v>791</v>
      </c>
      <c r="H1034" s="55" t="n">
        <v>16</v>
      </c>
      <c r="I1034" s="76" t="s">
        <v>512</v>
      </c>
      <c r="J1034" s="76" t="s">
        <v>164</v>
      </c>
      <c r="K1034" s="82" t="n">
        <v>1</v>
      </c>
      <c r="L1034" s="55" t="n">
        <v>2</v>
      </c>
      <c r="M1034" s="73" t="n">
        <v>1.85</v>
      </c>
      <c r="N1034" s="74" t="n">
        <f aca="false">K1034*L1034*M1034</f>
        <v>3.7</v>
      </c>
      <c r="O1034" s="41" t="n">
        <f aca="false">IFERROR(INDEX(Исходные!$B$21:$B$33,MATCH(H1034,Исходные!$A$21:$A$33,0)),0)</f>
        <v>1.578</v>
      </c>
      <c r="P1034" s="83" t="n">
        <f aca="false">N1034*O1034</f>
        <v>5.8386</v>
      </c>
      <c r="Q1034" s="20" t="s">
        <v>1621</v>
      </c>
      <c r="R1034" s="84" t="s">
        <v>660</v>
      </c>
      <c r="S1034" s="20" t="s">
        <v>1350</v>
      </c>
      <c r="T1034" s="20" t="s">
        <v>123</v>
      </c>
      <c r="U1034" s="53" t="n">
        <v>0</v>
      </c>
      <c r="V1034" s="76" t="s">
        <v>775</v>
      </c>
      <c r="W1034" s="53" t="n">
        <v>3</v>
      </c>
    </row>
    <row r="1035" customFormat="false" ht="35.05" hidden="false" customHeight="false" outlineLevel="0" collapsed="false">
      <c r="A1035" s="76" t="n">
        <v>1011</v>
      </c>
      <c r="B1035" s="20" t="s">
        <v>1526</v>
      </c>
      <c r="C1035" s="20" t="s">
        <v>655</v>
      </c>
      <c r="D1035" s="20" t="s">
        <v>1616</v>
      </c>
      <c r="E1035" s="20" t="s">
        <v>775</v>
      </c>
      <c r="F1035" s="76" t="s">
        <v>676</v>
      </c>
      <c r="G1035" s="20" t="s">
        <v>793</v>
      </c>
      <c r="H1035" s="55" t="n">
        <v>22</v>
      </c>
      <c r="I1035" s="76" t="s">
        <v>512</v>
      </c>
      <c r="J1035" s="76" t="s">
        <v>164</v>
      </c>
      <c r="K1035" s="82" t="n">
        <v>1</v>
      </c>
      <c r="L1035" s="55" t="n">
        <v>2</v>
      </c>
      <c r="M1035" s="73" t="n">
        <v>5.5</v>
      </c>
      <c r="N1035" s="74" t="n">
        <f aca="false">K1035*L1035*M1035</f>
        <v>11</v>
      </c>
      <c r="O1035" s="41" t="n">
        <f aca="false">IFERROR(INDEX(Исходные!$B$21:$B$33,MATCH(H1035,Исходные!$A$21:$A$33,0)),0)</f>
        <v>2.984</v>
      </c>
      <c r="P1035" s="83" t="n">
        <f aca="false">N1035*O1035</f>
        <v>32.824</v>
      </c>
      <c r="Q1035" s="20" t="s">
        <v>1622</v>
      </c>
      <c r="R1035" s="84" t="s">
        <v>660</v>
      </c>
      <c r="S1035" s="20" t="s">
        <v>781</v>
      </c>
      <c r="T1035" s="20" t="s">
        <v>123</v>
      </c>
      <c r="U1035" s="53" t="n">
        <v>0</v>
      </c>
      <c r="V1035" s="76" t="s">
        <v>775</v>
      </c>
      <c r="W1035" s="53" t="n">
        <v>3</v>
      </c>
    </row>
    <row r="1036" customFormat="false" ht="35.05" hidden="false" customHeight="false" outlineLevel="0" collapsed="false">
      <c r="A1036" s="76" t="n">
        <v>1012</v>
      </c>
      <c r="B1036" s="20" t="s">
        <v>1526</v>
      </c>
      <c r="C1036" s="20" t="s">
        <v>655</v>
      </c>
      <c r="D1036" s="20" t="s">
        <v>1616</v>
      </c>
      <c r="E1036" s="20" t="s">
        <v>775</v>
      </c>
      <c r="F1036" s="76" t="s">
        <v>676</v>
      </c>
      <c r="G1036" s="20" t="s">
        <v>794</v>
      </c>
      <c r="H1036" s="55" t="n">
        <v>28</v>
      </c>
      <c r="I1036" s="76" t="s">
        <v>512</v>
      </c>
      <c r="J1036" s="76" t="s">
        <v>164</v>
      </c>
      <c r="K1036" s="82" t="n">
        <v>1</v>
      </c>
      <c r="L1036" s="55" t="n">
        <v>2</v>
      </c>
      <c r="M1036" s="73" t="n">
        <v>4.7</v>
      </c>
      <c r="N1036" s="74" t="n">
        <f aca="false">K1036*L1036*M1036</f>
        <v>9.4</v>
      </c>
      <c r="O1036" s="41" t="n">
        <f aca="false">IFERROR(INDEX(Исходные!$B$21:$B$33,MATCH(H1036,Исходные!$A$21:$A$33,0)),0)</f>
        <v>4.834</v>
      </c>
      <c r="P1036" s="83" t="n">
        <f aca="false">N1036*O1036</f>
        <v>45.4396</v>
      </c>
      <c r="Q1036" s="20" t="s">
        <v>1618</v>
      </c>
      <c r="R1036" s="84" t="s">
        <v>660</v>
      </c>
      <c r="S1036" s="20" t="s">
        <v>785</v>
      </c>
      <c r="T1036" s="20" t="s">
        <v>123</v>
      </c>
      <c r="U1036" s="53" t="n">
        <v>0</v>
      </c>
      <c r="V1036" s="76" t="s">
        <v>775</v>
      </c>
      <c r="W1036" s="53" t="n">
        <v>3</v>
      </c>
    </row>
    <row r="1037" customFormat="false" ht="35.05" hidden="false" customHeight="false" outlineLevel="0" collapsed="false">
      <c r="A1037" s="76" t="n">
        <v>1013</v>
      </c>
      <c r="B1037" s="20" t="s">
        <v>1526</v>
      </c>
      <c r="C1037" s="20" t="s">
        <v>655</v>
      </c>
      <c r="D1037" s="20" t="s">
        <v>1616</v>
      </c>
      <c r="E1037" s="20" t="s">
        <v>775</v>
      </c>
      <c r="F1037" s="76" t="s">
        <v>676</v>
      </c>
      <c r="G1037" s="20" t="s">
        <v>1623</v>
      </c>
      <c r="H1037" s="55" t="n">
        <v>25</v>
      </c>
      <c r="I1037" s="76" t="s">
        <v>512</v>
      </c>
      <c r="J1037" s="76" t="s">
        <v>164</v>
      </c>
      <c r="K1037" s="82" t="n">
        <v>1</v>
      </c>
      <c r="L1037" s="55" t="n">
        <v>2</v>
      </c>
      <c r="M1037" s="73" t="n">
        <v>4.3</v>
      </c>
      <c r="N1037" s="74" t="n">
        <f aca="false">K1037*L1037*M1037</f>
        <v>8.6</v>
      </c>
      <c r="O1037" s="41" t="n">
        <f aca="false">IFERROR(INDEX(Исходные!$B$21:$B$33,MATCH(H1037,Исходные!$A$21:$A$33,0)),0)</f>
        <v>3.853</v>
      </c>
      <c r="P1037" s="83" t="n">
        <f aca="false">N1037*O1037</f>
        <v>33.1358</v>
      </c>
      <c r="Q1037" s="20" t="s">
        <v>1617</v>
      </c>
      <c r="R1037" s="84" t="s">
        <v>660</v>
      </c>
      <c r="S1037" s="20" t="s">
        <v>789</v>
      </c>
      <c r="T1037" s="20" t="s">
        <v>123</v>
      </c>
      <c r="U1037" s="53" t="n">
        <v>0</v>
      </c>
      <c r="V1037" s="76" t="s">
        <v>775</v>
      </c>
      <c r="W1037" s="53" t="n">
        <v>3</v>
      </c>
    </row>
    <row r="1038" customFormat="false" ht="35.05" hidden="false" customHeight="false" outlineLevel="0" collapsed="false">
      <c r="A1038" s="76" t="n">
        <v>1014</v>
      </c>
      <c r="B1038" s="20" t="s">
        <v>1526</v>
      </c>
      <c r="C1038" s="20" t="s">
        <v>655</v>
      </c>
      <c r="D1038" s="20" t="s">
        <v>1616</v>
      </c>
      <c r="E1038" s="20" t="s">
        <v>775</v>
      </c>
      <c r="F1038" s="76" t="s">
        <v>676</v>
      </c>
      <c r="G1038" s="20" t="s">
        <v>796</v>
      </c>
      <c r="H1038" s="55" t="n">
        <v>22</v>
      </c>
      <c r="I1038" s="76" t="s">
        <v>512</v>
      </c>
      <c r="J1038" s="76" t="s">
        <v>164</v>
      </c>
      <c r="K1038" s="82" t="n">
        <v>1</v>
      </c>
      <c r="L1038" s="55" t="n">
        <v>2</v>
      </c>
      <c r="M1038" s="73" t="n">
        <v>2.05</v>
      </c>
      <c r="N1038" s="74" t="n">
        <f aca="false">K1038*L1038*M1038</f>
        <v>4.1</v>
      </c>
      <c r="O1038" s="41" t="n">
        <f aca="false">IFERROR(INDEX(Исходные!$B$21:$B$33,MATCH(H1038,Исходные!$A$21:$A$33,0)),0)</f>
        <v>2.984</v>
      </c>
      <c r="P1038" s="83" t="n">
        <f aca="false">N1038*O1038</f>
        <v>12.2344</v>
      </c>
      <c r="Q1038" s="20" t="s">
        <v>1622</v>
      </c>
      <c r="R1038" s="84" t="s">
        <v>660</v>
      </c>
      <c r="S1038" s="20" t="s">
        <v>1324</v>
      </c>
      <c r="T1038" s="20" t="s">
        <v>123</v>
      </c>
      <c r="U1038" s="53" t="n">
        <v>0</v>
      </c>
      <c r="V1038" s="76" t="s">
        <v>775</v>
      </c>
      <c r="W1038" s="53" t="n">
        <v>3</v>
      </c>
    </row>
    <row r="1039" customFormat="false" ht="35.05" hidden="false" customHeight="false" outlineLevel="0" collapsed="false">
      <c r="A1039" s="76" t="n">
        <v>1015</v>
      </c>
      <c r="B1039" s="20" t="s">
        <v>1526</v>
      </c>
      <c r="C1039" s="20" t="s">
        <v>655</v>
      </c>
      <c r="D1039" s="20" t="s">
        <v>1616</v>
      </c>
      <c r="E1039" s="20" t="s">
        <v>775</v>
      </c>
      <c r="F1039" s="76" t="s">
        <v>676</v>
      </c>
      <c r="G1039" s="20" t="s">
        <v>1361</v>
      </c>
      <c r="H1039" s="55" t="n">
        <v>12</v>
      </c>
      <c r="I1039" s="76" t="s">
        <v>512</v>
      </c>
      <c r="J1039" s="76" t="s">
        <v>164</v>
      </c>
      <c r="K1039" s="82" t="n">
        <v>1</v>
      </c>
      <c r="L1039" s="55" t="n">
        <v>2</v>
      </c>
      <c r="M1039" s="73" t="n">
        <v>5.5</v>
      </c>
      <c r="N1039" s="74" t="n">
        <f aca="false">K1039*L1039*M1039</f>
        <v>11</v>
      </c>
      <c r="O1039" s="41" t="n">
        <f aca="false">IFERROR(INDEX(Исходные!$B$21:$B$33,MATCH(H1039,Исходные!$A$21:$A$33,0)),0)</f>
        <v>0.888</v>
      </c>
      <c r="P1039" s="83" t="n">
        <f aca="false">N1039*O1039</f>
        <v>9.768</v>
      </c>
      <c r="Q1039" s="20" t="s">
        <v>1624</v>
      </c>
      <c r="R1039" s="84" t="s">
        <v>660</v>
      </c>
      <c r="S1039" s="20" t="s">
        <v>781</v>
      </c>
      <c r="T1039" s="20" t="s">
        <v>123</v>
      </c>
      <c r="U1039" s="53" t="n">
        <v>0</v>
      </c>
      <c r="V1039" s="76" t="s">
        <v>775</v>
      </c>
      <c r="W1039" s="53" t="n">
        <v>3</v>
      </c>
    </row>
    <row r="1040" customFormat="false" ht="35.05" hidden="false" customHeight="false" outlineLevel="0" collapsed="false">
      <c r="A1040" s="76" t="n">
        <v>1016</v>
      </c>
      <c r="B1040" s="20" t="s">
        <v>1526</v>
      </c>
      <c r="C1040" s="20" t="s">
        <v>655</v>
      </c>
      <c r="D1040" s="20" t="s">
        <v>1616</v>
      </c>
      <c r="E1040" s="20" t="s">
        <v>775</v>
      </c>
      <c r="F1040" s="76" t="s">
        <v>696</v>
      </c>
      <c r="G1040" s="20" t="s">
        <v>1308</v>
      </c>
      <c r="H1040" s="55" t="n">
        <v>8</v>
      </c>
      <c r="I1040" s="76" t="s">
        <v>546</v>
      </c>
      <c r="J1040" s="76" t="s">
        <v>698</v>
      </c>
      <c r="K1040" s="82" t="n">
        <v>1</v>
      </c>
      <c r="L1040" s="55" t="n">
        <v>125</v>
      </c>
      <c r="M1040" s="73" t="n">
        <v>2.06</v>
      </c>
      <c r="N1040" s="74" t="n">
        <f aca="false">K1040*L1040*M1040</f>
        <v>257.5</v>
      </c>
      <c r="O1040" s="41" t="n">
        <f aca="false">IFERROR(INDEX(Исходные!$B$21:$B$33,MATCH(H1040,Исходные!$A$21:$A$33,0)),0)</f>
        <v>0.395</v>
      </c>
      <c r="P1040" s="83" t="n">
        <f aca="false">N1040*O1040</f>
        <v>101.7125</v>
      </c>
      <c r="Q1040" s="20" t="s">
        <v>1309</v>
      </c>
      <c r="R1040" s="84" t="s">
        <v>514</v>
      </c>
      <c r="S1040" s="20" t="s">
        <v>1363</v>
      </c>
      <c r="T1040" s="20" t="s">
        <v>123</v>
      </c>
      <c r="U1040" s="53" t="n">
        <v>0</v>
      </c>
      <c r="V1040" s="76" t="s">
        <v>775</v>
      </c>
      <c r="W1040" s="53" t="n">
        <v>3</v>
      </c>
    </row>
    <row r="1041" customFormat="false" ht="35.05" hidden="false" customHeight="false" outlineLevel="0" collapsed="false">
      <c r="A1041" s="76" t="n">
        <v>1017</v>
      </c>
      <c r="B1041" s="20" t="s">
        <v>1526</v>
      </c>
      <c r="C1041" s="20" t="s">
        <v>655</v>
      </c>
      <c r="D1041" s="20" t="s">
        <v>1616</v>
      </c>
      <c r="E1041" s="20" t="s">
        <v>775</v>
      </c>
      <c r="F1041" s="76" t="s">
        <v>561</v>
      </c>
      <c r="G1041" s="20" t="s">
        <v>1311</v>
      </c>
      <c r="H1041" s="55" t="n">
        <v>10</v>
      </c>
      <c r="I1041" s="76" t="s">
        <v>546</v>
      </c>
      <c r="J1041" s="76" t="n">
        <v>100</v>
      </c>
      <c r="K1041" s="82" t="n">
        <v>1</v>
      </c>
      <c r="L1041" s="55" t="n">
        <v>45</v>
      </c>
      <c r="M1041" s="73" t="n">
        <v>2.06</v>
      </c>
      <c r="N1041" s="74" t="n">
        <f aca="false">K1041*L1041*M1041</f>
        <v>92.7</v>
      </c>
      <c r="O1041" s="41" t="n">
        <f aca="false">IFERROR(INDEX(Исходные!$B$21:$B$33,MATCH(H1041,Исходные!$A$21:$A$33,0)),0)</f>
        <v>0.617</v>
      </c>
      <c r="P1041" s="83" t="n">
        <f aca="false">N1041*O1041</f>
        <v>57.1959</v>
      </c>
      <c r="Q1041" s="20" t="s">
        <v>1625</v>
      </c>
      <c r="R1041" s="84" t="s">
        <v>514</v>
      </c>
      <c r="S1041" s="20" t="s">
        <v>799</v>
      </c>
      <c r="T1041" s="20" t="s">
        <v>123</v>
      </c>
      <c r="U1041" s="53" t="n">
        <v>0</v>
      </c>
      <c r="V1041" s="76" t="s">
        <v>775</v>
      </c>
      <c r="W1041" s="53" t="n">
        <v>3</v>
      </c>
    </row>
    <row r="1042" customFormat="false" ht="35.05" hidden="false" customHeight="false" outlineLevel="0" collapsed="false">
      <c r="A1042" s="76" t="n">
        <v>1018</v>
      </c>
      <c r="B1042" s="20" t="s">
        <v>1526</v>
      </c>
      <c r="C1042" s="20" t="s">
        <v>655</v>
      </c>
      <c r="D1042" s="20" t="s">
        <v>1616</v>
      </c>
      <c r="E1042" s="20" t="s">
        <v>775</v>
      </c>
      <c r="F1042" s="76" t="s">
        <v>706</v>
      </c>
      <c r="G1042" s="20" t="s">
        <v>1314</v>
      </c>
      <c r="H1042" s="55" t="n">
        <v>8</v>
      </c>
      <c r="I1042" s="76" t="s">
        <v>546</v>
      </c>
      <c r="J1042" s="76" t="s">
        <v>708</v>
      </c>
      <c r="K1042" s="82" t="n">
        <v>1</v>
      </c>
      <c r="L1042" s="55" t="n">
        <v>106</v>
      </c>
      <c r="M1042" s="73" t="n">
        <v>0.75</v>
      </c>
      <c r="N1042" s="74" t="n">
        <f aca="false">K1042*L1042*M1042</f>
        <v>79.5</v>
      </c>
      <c r="O1042" s="41" t="n">
        <f aca="false">IFERROR(INDEX(Исходные!$B$21:$B$33,MATCH(H1042,Исходные!$A$21:$A$33,0)),0)</f>
        <v>0.395</v>
      </c>
      <c r="P1042" s="83" t="n">
        <f aca="false">N1042*O1042</f>
        <v>31.4025</v>
      </c>
      <c r="Q1042" s="20" t="s">
        <v>709</v>
      </c>
      <c r="R1042" s="84" t="s">
        <v>514</v>
      </c>
      <c r="S1042" s="20"/>
      <c r="T1042" s="20" t="s">
        <v>123</v>
      </c>
      <c r="U1042" s="53" t="n">
        <v>0</v>
      </c>
      <c r="V1042" s="76" t="s">
        <v>775</v>
      </c>
      <c r="W1042" s="53" t="n">
        <v>3</v>
      </c>
    </row>
    <row r="1043" customFormat="false" ht="35.05" hidden="false" customHeight="false" outlineLevel="0" collapsed="false">
      <c r="A1043" s="76" t="n">
        <v>1019</v>
      </c>
      <c r="B1043" s="20" t="s">
        <v>1526</v>
      </c>
      <c r="C1043" s="20" t="s">
        <v>655</v>
      </c>
      <c r="D1043" s="20" t="s">
        <v>1616</v>
      </c>
      <c r="E1043" s="20" t="s">
        <v>775</v>
      </c>
      <c r="F1043" s="76" t="s">
        <v>710</v>
      </c>
      <c r="G1043" s="20" t="s">
        <v>1315</v>
      </c>
      <c r="H1043" s="55" t="n">
        <v>8</v>
      </c>
      <c r="I1043" s="76" t="s">
        <v>546</v>
      </c>
      <c r="J1043" s="76" t="n">
        <v>300</v>
      </c>
      <c r="K1043" s="82" t="n">
        <v>1</v>
      </c>
      <c r="L1043" s="55" t="n">
        <v>67</v>
      </c>
      <c r="M1043" s="73" t="n">
        <v>0.58</v>
      </c>
      <c r="N1043" s="74" t="n">
        <f aca="false">K1043*L1043*M1043</f>
        <v>38.86</v>
      </c>
      <c r="O1043" s="41" t="n">
        <f aca="false">IFERROR(INDEX(Исходные!$B$21:$B$33,MATCH(H1043,Исходные!$A$21:$A$33,0)),0)</f>
        <v>0.395</v>
      </c>
      <c r="P1043" s="83" t="n">
        <f aca="false">N1043*O1043</f>
        <v>15.3497</v>
      </c>
      <c r="Q1043" s="20" t="s">
        <v>1316</v>
      </c>
      <c r="R1043" s="85" t="s">
        <v>638</v>
      </c>
      <c r="S1043" s="20"/>
      <c r="T1043" s="20" t="s">
        <v>123</v>
      </c>
      <c r="U1043" s="53" t="n">
        <v>1</v>
      </c>
      <c r="V1043" s="76" t="s">
        <v>775</v>
      </c>
      <c r="W1043" s="53" t="n">
        <v>3</v>
      </c>
    </row>
    <row r="1044" customFormat="false" ht="35.05" hidden="false" customHeight="false" outlineLevel="0" collapsed="false">
      <c r="A1044" s="76" t="n">
        <v>1020</v>
      </c>
      <c r="B1044" s="20" t="s">
        <v>1526</v>
      </c>
      <c r="C1044" s="20" t="s">
        <v>655</v>
      </c>
      <c r="D1044" s="20" t="s">
        <v>1626</v>
      </c>
      <c r="E1044" s="20" t="s">
        <v>801</v>
      </c>
      <c r="F1044" s="76" t="s">
        <v>519</v>
      </c>
      <c r="G1044" s="20" t="s">
        <v>658</v>
      </c>
      <c r="H1044" s="55" t="n">
        <v>28</v>
      </c>
      <c r="I1044" s="76" t="s">
        <v>512</v>
      </c>
      <c r="J1044" s="76" t="s">
        <v>164</v>
      </c>
      <c r="K1044" s="82" t="n">
        <v>2</v>
      </c>
      <c r="L1044" s="55" t="n">
        <v>4</v>
      </c>
      <c r="M1044" s="73" t="n">
        <v>20.5</v>
      </c>
      <c r="N1044" s="74" t="n">
        <f aca="false">K1044*L1044*M1044</f>
        <v>164</v>
      </c>
      <c r="O1044" s="41" t="n">
        <f aca="false">IFERROR(INDEX(Исходные!$B$21:$B$33,MATCH(H1044,Исходные!$A$21:$A$33,0)),0)</f>
        <v>4.834</v>
      </c>
      <c r="P1044" s="83" t="n">
        <f aca="false">N1044*O1044</f>
        <v>792.776</v>
      </c>
      <c r="Q1044" s="20" t="s">
        <v>1367</v>
      </c>
      <c r="R1044" s="84" t="s">
        <v>660</v>
      </c>
      <c r="S1044" s="20" t="s">
        <v>803</v>
      </c>
      <c r="T1044" s="20" t="s">
        <v>123</v>
      </c>
      <c r="U1044" s="53" t="n">
        <v>0</v>
      </c>
      <c r="V1044" s="76" t="s">
        <v>801</v>
      </c>
      <c r="W1044" s="53" t="n">
        <v>3</v>
      </c>
    </row>
    <row r="1045" customFormat="false" ht="35.05" hidden="false" customHeight="false" outlineLevel="0" collapsed="false">
      <c r="A1045" s="76" t="n">
        <v>1021</v>
      </c>
      <c r="B1045" s="20" t="s">
        <v>1526</v>
      </c>
      <c r="C1045" s="20" t="s">
        <v>655</v>
      </c>
      <c r="D1045" s="20" t="s">
        <v>1626</v>
      </c>
      <c r="E1045" s="20" t="s">
        <v>801</v>
      </c>
      <c r="F1045" s="76" t="s">
        <v>529</v>
      </c>
      <c r="G1045" s="20" t="s">
        <v>662</v>
      </c>
      <c r="H1045" s="55" t="n">
        <v>18</v>
      </c>
      <c r="I1045" s="76" t="s">
        <v>512</v>
      </c>
      <c r="J1045" s="76" t="s">
        <v>164</v>
      </c>
      <c r="K1045" s="82" t="n">
        <v>2</v>
      </c>
      <c r="L1045" s="55" t="n">
        <v>2</v>
      </c>
      <c r="M1045" s="73" t="n">
        <v>20.5</v>
      </c>
      <c r="N1045" s="74" t="n">
        <f aca="false">K1045*L1045*M1045</f>
        <v>82</v>
      </c>
      <c r="O1045" s="41" t="n">
        <f aca="false">IFERROR(INDEX(Исходные!$B$21:$B$33,MATCH(H1045,Исходные!$A$21:$A$33,0)),0)</f>
        <v>1.998</v>
      </c>
      <c r="P1045" s="83" t="n">
        <f aca="false">N1045*O1045</f>
        <v>163.836</v>
      </c>
      <c r="Q1045" s="20" t="s">
        <v>663</v>
      </c>
      <c r="R1045" s="84" t="s">
        <v>660</v>
      </c>
      <c r="S1045" s="20"/>
      <c r="T1045" s="20" t="s">
        <v>123</v>
      </c>
      <c r="U1045" s="53" t="n">
        <v>0</v>
      </c>
      <c r="V1045" s="76" t="s">
        <v>801</v>
      </c>
      <c r="W1045" s="53" t="n">
        <v>3</v>
      </c>
    </row>
    <row r="1046" customFormat="false" ht="35.05" hidden="false" customHeight="false" outlineLevel="0" collapsed="false">
      <c r="A1046" s="76" t="n">
        <v>1022</v>
      </c>
      <c r="B1046" s="20" t="s">
        <v>1526</v>
      </c>
      <c r="C1046" s="20" t="s">
        <v>655</v>
      </c>
      <c r="D1046" s="20" t="s">
        <v>1626</v>
      </c>
      <c r="E1046" s="20" t="s">
        <v>801</v>
      </c>
      <c r="F1046" s="76" t="s">
        <v>664</v>
      </c>
      <c r="G1046" s="20" t="s">
        <v>804</v>
      </c>
      <c r="H1046" s="55" t="n">
        <v>18</v>
      </c>
      <c r="I1046" s="76" t="s">
        <v>512</v>
      </c>
      <c r="J1046" s="76" t="s">
        <v>164</v>
      </c>
      <c r="K1046" s="82" t="n">
        <v>4</v>
      </c>
      <c r="L1046" s="55" t="n">
        <v>1</v>
      </c>
      <c r="M1046" s="73" t="n">
        <v>0.144</v>
      </c>
      <c r="N1046" s="74" t="n">
        <f aca="false">K1046*L1046*M1046</f>
        <v>0.576</v>
      </c>
      <c r="O1046" s="41" t="n">
        <f aca="false">IFERROR(INDEX(Исходные!$B$21:$B$33,MATCH(H1046,Исходные!$A$21:$A$33,0)),0)</f>
        <v>1.998</v>
      </c>
      <c r="P1046" s="83" t="n">
        <f aca="false">N1046*O1046</f>
        <v>1.150848</v>
      </c>
      <c r="Q1046" s="20" t="s">
        <v>666</v>
      </c>
      <c r="R1046" s="84" t="s">
        <v>667</v>
      </c>
      <c r="S1046" s="20" t="s">
        <v>805</v>
      </c>
      <c r="T1046" s="20" t="s">
        <v>123</v>
      </c>
      <c r="U1046" s="53" t="n">
        <v>0</v>
      </c>
      <c r="V1046" s="76" t="s">
        <v>801</v>
      </c>
      <c r="W1046" s="53" t="n">
        <v>3</v>
      </c>
    </row>
    <row r="1047" customFormat="false" ht="35.05" hidden="false" customHeight="false" outlineLevel="0" collapsed="false">
      <c r="A1047" s="76" t="n">
        <v>1023</v>
      </c>
      <c r="B1047" s="20" t="s">
        <v>1526</v>
      </c>
      <c r="C1047" s="20" t="s">
        <v>655</v>
      </c>
      <c r="D1047" s="20" t="s">
        <v>1626</v>
      </c>
      <c r="E1047" s="20" t="s">
        <v>801</v>
      </c>
      <c r="F1047" s="76" t="s">
        <v>669</v>
      </c>
      <c r="G1047" s="20" t="s">
        <v>670</v>
      </c>
      <c r="H1047" s="55" t="n">
        <v>16</v>
      </c>
      <c r="I1047" s="76" t="s">
        <v>512</v>
      </c>
      <c r="J1047" s="76" t="s">
        <v>164</v>
      </c>
      <c r="K1047" s="82" t="n">
        <v>2</v>
      </c>
      <c r="L1047" s="55" t="n">
        <v>2</v>
      </c>
      <c r="M1047" s="73" t="n">
        <v>20.5</v>
      </c>
      <c r="N1047" s="74" t="n">
        <f aca="false">K1047*L1047*M1047</f>
        <v>82</v>
      </c>
      <c r="O1047" s="41" t="n">
        <f aca="false">IFERROR(INDEX(Исходные!$B$21:$B$33,MATCH(H1047,Исходные!$A$21:$A$33,0)),0)</f>
        <v>1.578</v>
      </c>
      <c r="P1047" s="83" t="n">
        <f aca="false">N1047*O1047</f>
        <v>129.396</v>
      </c>
      <c r="Q1047" s="20" t="s">
        <v>671</v>
      </c>
      <c r="R1047" s="84" t="s">
        <v>660</v>
      </c>
      <c r="S1047" s="20"/>
      <c r="T1047" s="20" t="s">
        <v>123</v>
      </c>
      <c r="U1047" s="53" t="n">
        <v>0</v>
      </c>
      <c r="V1047" s="76" t="s">
        <v>801</v>
      </c>
      <c r="W1047" s="53" t="n">
        <v>3</v>
      </c>
    </row>
    <row r="1048" customFormat="false" ht="35.05" hidden="false" customHeight="false" outlineLevel="0" collapsed="false">
      <c r="A1048" s="76" t="n">
        <v>1024</v>
      </c>
      <c r="B1048" s="20" t="s">
        <v>1526</v>
      </c>
      <c r="C1048" s="20" t="s">
        <v>655</v>
      </c>
      <c r="D1048" s="20" t="s">
        <v>1626</v>
      </c>
      <c r="E1048" s="20" t="s">
        <v>801</v>
      </c>
      <c r="F1048" s="76" t="s">
        <v>672</v>
      </c>
      <c r="G1048" s="20" t="s">
        <v>806</v>
      </c>
      <c r="H1048" s="55" t="n">
        <v>16</v>
      </c>
      <c r="I1048" s="76" t="s">
        <v>512</v>
      </c>
      <c r="J1048" s="76" t="s">
        <v>164</v>
      </c>
      <c r="K1048" s="82" t="n">
        <v>4</v>
      </c>
      <c r="L1048" s="55" t="n">
        <v>1</v>
      </c>
      <c r="M1048" s="73" t="n">
        <v>0.128</v>
      </c>
      <c r="N1048" s="74" t="n">
        <f aca="false">K1048*L1048*M1048</f>
        <v>0.512</v>
      </c>
      <c r="O1048" s="41" t="n">
        <f aca="false">IFERROR(INDEX(Исходные!$B$21:$B$33,MATCH(H1048,Исходные!$A$21:$A$33,0)),0)</f>
        <v>1.578</v>
      </c>
      <c r="P1048" s="83" t="n">
        <f aca="false">N1048*O1048</f>
        <v>0.807936</v>
      </c>
      <c r="Q1048" s="20" t="s">
        <v>674</v>
      </c>
      <c r="R1048" s="84" t="s">
        <v>667</v>
      </c>
      <c r="S1048" s="20" t="s">
        <v>807</v>
      </c>
      <c r="T1048" s="20" t="s">
        <v>123</v>
      </c>
      <c r="U1048" s="53" t="n">
        <v>0</v>
      </c>
      <c r="V1048" s="76" t="s">
        <v>801</v>
      </c>
      <c r="W1048" s="53" t="n">
        <v>3</v>
      </c>
    </row>
    <row r="1049" customFormat="false" ht="35.05" hidden="false" customHeight="false" outlineLevel="0" collapsed="false">
      <c r="A1049" s="76" t="n">
        <v>1025</v>
      </c>
      <c r="B1049" s="20" t="s">
        <v>1526</v>
      </c>
      <c r="C1049" s="20" t="s">
        <v>655</v>
      </c>
      <c r="D1049" s="20" t="s">
        <v>1626</v>
      </c>
      <c r="E1049" s="20" t="s">
        <v>801</v>
      </c>
      <c r="F1049" s="76" t="s">
        <v>676</v>
      </c>
      <c r="G1049" s="20" t="s">
        <v>717</v>
      </c>
      <c r="H1049" s="55" t="n">
        <v>25</v>
      </c>
      <c r="I1049" s="76" t="s">
        <v>512</v>
      </c>
      <c r="J1049" s="76" t="s">
        <v>164</v>
      </c>
      <c r="K1049" s="82" t="n">
        <v>2</v>
      </c>
      <c r="L1049" s="55" t="n">
        <v>2</v>
      </c>
      <c r="M1049" s="73" t="n">
        <v>2.05</v>
      </c>
      <c r="N1049" s="74" t="n">
        <f aca="false">K1049*L1049*M1049</f>
        <v>8.2</v>
      </c>
      <c r="O1049" s="41" t="n">
        <f aca="false">IFERROR(INDEX(Исходные!$B$21:$B$33,MATCH(H1049,Исходные!$A$21:$A$33,0)),0)</f>
        <v>3.853</v>
      </c>
      <c r="P1049" s="83" t="n">
        <f aca="false">N1049*O1049</f>
        <v>31.5946</v>
      </c>
      <c r="Q1049" s="20" t="s">
        <v>1627</v>
      </c>
      <c r="R1049" s="84" t="s">
        <v>660</v>
      </c>
      <c r="S1049" s="20" t="s">
        <v>1369</v>
      </c>
      <c r="T1049" s="20" t="s">
        <v>123</v>
      </c>
      <c r="U1049" s="53" t="n">
        <v>0</v>
      </c>
      <c r="V1049" s="76" t="s">
        <v>801</v>
      </c>
      <c r="W1049" s="53" t="n">
        <v>3</v>
      </c>
    </row>
    <row r="1050" customFormat="false" ht="35.05" hidden="false" customHeight="false" outlineLevel="0" collapsed="false">
      <c r="A1050" s="76" t="n">
        <v>1026</v>
      </c>
      <c r="B1050" s="20" t="s">
        <v>1526</v>
      </c>
      <c r="C1050" s="20" t="s">
        <v>655</v>
      </c>
      <c r="D1050" s="20" t="s">
        <v>1626</v>
      </c>
      <c r="E1050" s="20" t="s">
        <v>801</v>
      </c>
      <c r="F1050" s="76" t="s">
        <v>676</v>
      </c>
      <c r="G1050" s="20" t="s">
        <v>1628</v>
      </c>
      <c r="H1050" s="55" t="n">
        <v>25</v>
      </c>
      <c r="I1050" s="76" t="s">
        <v>512</v>
      </c>
      <c r="J1050" s="76" t="s">
        <v>164</v>
      </c>
      <c r="K1050" s="82" t="n">
        <v>2</v>
      </c>
      <c r="L1050" s="55" t="n">
        <v>2</v>
      </c>
      <c r="M1050" s="73" t="n">
        <v>3.8</v>
      </c>
      <c r="N1050" s="74" t="n">
        <f aca="false">K1050*L1050*M1050</f>
        <v>15.2</v>
      </c>
      <c r="O1050" s="41" t="n">
        <f aca="false">IFERROR(INDEX(Исходные!$B$21:$B$33,MATCH(H1050,Исходные!$A$21:$A$33,0)),0)</f>
        <v>3.853</v>
      </c>
      <c r="P1050" s="83" t="n">
        <f aca="false">N1050*O1050</f>
        <v>58.5656</v>
      </c>
      <c r="Q1050" s="20" t="s">
        <v>1627</v>
      </c>
      <c r="R1050" s="84" t="s">
        <v>660</v>
      </c>
      <c r="S1050" s="20" t="s">
        <v>812</v>
      </c>
      <c r="T1050" s="20" t="s">
        <v>123</v>
      </c>
      <c r="U1050" s="53" t="n">
        <v>0</v>
      </c>
      <c r="V1050" s="76" t="s">
        <v>801</v>
      </c>
      <c r="W1050" s="53" t="n">
        <v>3</v>
      </c>
    </row>
    <row r="1051" customFormat="false" ht="35.05" hidden="false" customHeight="false" outlineLevel="0" collapsed="false">
      <c r="A1051" s="76" t="n">
        <v>1027</v>
      </c>
      <c r="B1051" s="20" t="s">
        <v>1526</v>
      </c>
      <c r="C1051" s="20" t="s">
        <v>655</v>
      </c>
      <c r="D1051" s="20" t="s">
        <v>1626</v>
      </c>
      <c r="E1051" s="20" t="s">
        <v>801</v>
      </c>
      <c r="F1051" s="76" t="s">
        <v>676</v>
      </c>
      <c r="G1051" s="20" t="s">
        <v>1401</v>
      </c>
      <c r="H1051" s="55" t="n">
        <v>28</v>
      </c>
      <c r="I1051" s="76" t="s">
        <v>512</v>
      </c>
      <c r="J1051" s="76" t="s">
        <v>164</v>
      </c>
      <c r="K1051" s="82" t="n">
        <v>2</v>
      </c>
      <c r="L1051" s="55" t="n">
        <v>2</v>
      </c>
      <c r="M1051" s="73" t="n">
        <v>3.8</v>
      </c>
      <c r="N1051" s="74" t="n">
        <f aca="false">K1051*L1051*M1051</f>
        <v>15.2</v>
      </c>
      <c r="O1051" s="41" t="n">
        <f aca="false">IFERROR(INDEX(Исходные!$B$21:$B$33,MATCH(H1051,Исходные!$A$21:$A$33,0)),0)</f>
        <v>4.834</v>
      </c>
      <c r="P1051" s="83" t="n">
        <f aca="false">N1051*O1051</f>
        <v>73.4768</v>
      </c>
      <c r="Q1051" s="20" t="s">
        <v>1629</v>
      </c>
      <c r="R1051" s="84" t="s">
        <v>660</v>
      </c>
      <c r="S1051" s="20" t="s">
        <v>815</v>
      </c>
      <c r="T1051" s="20" t="s">
        <v>123</v>
      </c>
      <c r="U1051" s="53" t="n">
        <v>0</v>
      </c>
      <c r="V1051" s="76" t="s">
        <v>801</v>
      </c>
      <c r="W1051" s="53" t="n">
        <v>3</v>
      </c>
    </row>
    <row r="1052" customFormat="false" ht="35.05" hidden="false" customHeight="false" outlineLevel="0" collapsed="false">
      <c r="A1052" s="76" t="n">
        <v>1028</v>
      </c>
      <c r="B1052" s="20" t="s">
        <v>1526</v>
      </c>
      <c r="C1052" s="20" t="s">
        <v>655</v>
      </c>
      <c r="D1052" s="20" t="s">
        <v>1626</v>
      </c>
      <c r="E1052" s="20" t="s">
        <v>801</v>
      </c>
      <c r="F1052" s="76" t="s">
        <v>676</v>
      </c>
      <c r="G1052" s="20" t="s">
        <v>816</v>
      </c>
      <c r="H1052" s="55" t="n">
        <v>28</v>
      </c>
      <c r="I1052" s="76" t="s">
        <v>512</v>
      </c>
      <c r="J1052" s="76" t="s">
        <v>164</v>
      </c>
      <c r="K1052" s="82" t="n">
        <v>2</v>
      </c>
      <c r="L1052" s="55" t="n">
        <v>2</v>
      </c>
      <c r="M1052" s="73" t="n">
        <v>2.05</v>
      </c>
      <c r="N1052" s="74" t="n">
        <f aca="false">K1052*L1052*M1052</f>
        <v>8.2</v>
      </c>
      <c r="O1052" s="41" t="n">
        <f aca="false">IFERROR(INDEX(Исходные!$B$21:$B$33,MATCH(H1052,Исходные!$A$21:$A$33,0)),0)</f>
        <v>4.834</v>
      </c>
      <c r="P1052" s="83" t="n">
        <f aca="false">N1052*O1052</f>
        <v>39.6388</v>
      </c>
      <c r="Q1052" s="20" t="s">
        <v>1629</v>
      </c>
      <c r="R1052" s="84" t="s">
        <v>660</v>
      </c>
      <c r="S1052" s="20" t="s">
        <v>1372</v>
      </c>
      <c r="T1052" s="20" t="s">
        <v>123</v>
      </c>
      <c r="U1052" s="53" t="n">
        <v>0</v>
      </c>
      <c r="V1052" s="76" t="s">
        <v>801</v>
      </c>
      <c r="W1052" s="53" t="n">
        <v>3</v>
      </c>
    </row>
    <row r="1053" customFormat="false" ht="35.05" hidden="false" customHeight="false" outlineLevel="0" collapsed="false">
      <c r="A1053" s="76" t="n">
        <v>1029</v>
      </c>
      <c r="B1053" s="20" t="s">
        <v>1526</v>
      </c>
      <c r="C1053" s="20" t="s">
        <v>655</v>
      </c>
      <c r="D1053" s="20" t="s">
        <v>1626</v>
      </c>
      <c r="E1053" s="20" t="s">
        <v>801</v>
      </c>
      <c r="F1053" s="76" t="s">
        <v>676</v>
      </c>
      <c r="G1053" s="20" t="s">
        <v>821</v>
      </c>
      <c r="H1053" s="55" t="n">
        <v>16</v>
      </c>
      <c r="I1053" s="76" t="s">
        <v>512</v>
      </c>
      <c r="J1053" s="76" t="s">
        <v>164</v>
      </c>
      <c r="K1053" s="82" t="n">
        <v>2</v>
      </c>
      <c r="L1053" s="55" t="n">
        <v>2</v>
      </c>
      <c r="M1053" s="73" t="n">
        <v>3</v>
      </c>
      <c r="N1053" s="74" t="n">
        <f aca="false">K1053*L1053*M1053</f>
        <v>12</v>
      </c>
      <c r="O1053" s="41" t="n">
        <f aca="false">IFERROR(INDEX(Исходные!$B$21:$B$33,MATCH(H1053,Исходные!$A$21:$A$33,0)),0)</f>
        <v>1.578</v>
      </c>
      <c r="P1053" s="83" t="n">
        <f aca="false">N1053*O1053</f>
        <v>18.936</v>
      </c>
      <c r="Q1053" s="20" t="s">
        <v>1630</v>
      </c>
      <c r="R1053" s="84" t="s">
        <v>660</v>
      </c>
      <c r="S1053" s="20" t="s">
        <v>822</v>
      </c>
      <c r="T1053" s="20" t="s">
        <v>123</v>
      </c>
      <c r="U1053" s="53" t="n">
        <v>0</v>
      </c>
      <c r="V1053" s="76" t="s">
        <v>801</v>
      </c>
      <c r="W1053" s="53" t="n">
        <v>3</v>
      </c>
    </row>
    <row r="1054" customFormat="false" ht="35.05" hidden="false" customHeight="false" outlineLevel="0" collapsed="false">
      <c r="A1054" s="76" t="n">
        <v>1030</v>
      </c>
      <c r="B1054" s="20" t="s">
        <v>1526</v>
      </c>
      <c r="C1054" s="20" t="s">
        <v>655</v>
      </c>
      <c r="D1054" s="20" t="s">
        <v>1626</v>
      </c>
      <c r="E1054" s="20" t="s">
        <v>801</v>
      </c>
      <c r="F1054" s="76" t="s">
        <v>676</v>
      </c>
      <c r="G1054" s="20" t="s">
        <v>735</v>
      </c>
      <c r="H1054" s="55" t="n">
        <v>16</v>
      </c>
      <c r="I1054" s="76" t="s">
        <v>512</v>
      </c>
      <c r="J1054" s="76" t="s">
        <v>164</v>
      </c>
      <c r="K1054" s="82" t="n">
        <v>2</v>
      </c>
      <c r="L1054" s="55" t="n">
        <v>2</v>
      </c>
      <c r="M1054" s="73" t="n">
        <v>2.9</v>
      </c>
      <c r="N1054" s="74" t="n">
        <f aca="false">K1054*L1054*M1054</f>
        <v>11.6</v>
      </c>
      <c r="O1054" s="41" t="n">
        <f aca="false">IFERROR(INDEX(Исходные!$B$21:$B$33,MATCH(H1054,Исходные!$A$21:$A$33,0)),0)</f>
        <v>1.578</v>
      </c>
      <c r="P1054" s="83" t="n">
        <f aca="false">N1054*O1054</f>
        <v>18.3048</v>
      </c>
      <c r="Q1054" s="20" t="s">
        <v>1630</v>
      </c>
      <c r="R1054" s="84" t="s">
        <v>660</v>
      </c>
      <c r="S1054" s="20" t="s">
        <v>823</v>
      </c>
      <c r="T1054" s="20" t="s">
        <v>123</v>
      </c>
      <c r="U1054" s="53" t="n">
        <v>0</v>
      </c>
      <c r="V1054" s="76" t="s">
        <v>801</v>
      </c>
      <c r="W1054" s="53" t="n">
        <v>3</v>
      </c>
    </row>
    <row r="1055" customFormat="false" ht="35.05" hidden="false" customHeight="false" outlineLevel="0" collapsed="false">
      <c r="A1055" s="76" t="n">
        <v>1031</v>
      </c>
      <c r="B1055" s="20" t="s">
        <v>1526</v>
      </c>
      <c r="C1055" s="20" t="s">
        <v>655</v>
      </c>
      <c r="D1055" s="20" t="s">
        <v>1626</v>
      </c>
      <c r="E1055" s="20" t="s">
        <v>801</v>
      </c>
      <c r="F1055" s="76" t="s">
        <v>676</v>
      </c>
      <c r="G1055" s="20" t="s">
        <v>824</v>
      </c>
      <c r="H1055" s="55" t="n">
        <v>12</v>
      </c>
      <c r="I1055" s="76" t="s">
        <v>512</v>
      </c>
      <c r="J1055" s="76" t="s">
        <v>164</v>
      </c>
      <c r="K1055" s="82" t="n">
        <v>2</v>
      </c>
      <c r="L1055" s="55" t="n">
        <v>4</v>
      </c>
      <c r="M1055" s="73" t="n">
        <v>2.05</v>
      </c>
      <c r="N1055" s="74" t="n">
        <f aca="false">K1055*L1055*M1055</f>
        <v>16.4</v>
      </c>
      <c r="O1055" s="41" t="n">
        <f aca="false">IFERROR(INDEX(Исходные!$B$21:$B$33,MATCH(H1055,Исходные!$A$21:$A$33,0)),0)</f>
        <v>0.888</v>
      </c>
      <c r="P1055" s="83" t="n">
        <f aca="false">N1055*O1055</f>
        <v>14.5632</v>
      </c>
      <c r="Q1055" s="20" t="s">
        <v>1631</v>
      </c>
      <c r="R1055" s="84" t="s">
        <v>660</v>
      </c>
      <c r="S1055" s="20" t="s">
        <v>1369</v>
      </c>
      <c r="T1055" s="20" t="s">
        <v>123</v>
      </c>
      <c r="U1055" s="53" t="n">
        <v>0</v>
      </c>
      <c r="V1055" s="76" t="s">
        <v>801</v>
      </c>
      <c r="W1055" s="53" t="n">
        <v>3</v>
      </c>
    </row>
    <row r="1056" customFormat="false" ht="35.05" hidden="false" customHeight="false" outlineLevel="0" collapsed="false">
      <c r="A1056" s="76" t="n">
        <v>1032</v>
      </c>
      <c r="B1056" s="20" t="s">
        <v>1526</v>
      </c>
      <c r="C1056" s="20" t="s">
        <v>655</v>
      </c>
      <c r="D1056" s="20" t="s">
        <v>1626</v>
      </c>
      <c r="E1056" s="20" t="s">
        <v>801</v>
      </c>
      <c r="F1056" s="76" t="s">
        <v>696</v>
      </c>
      <c r="G1056" s="20" t="s">
        <v>1308</v>
      </c>
      <c r="H1056" s="55" t="n">
        <v>8</v>
      </c>
      <c r="I1056" s="76" t="s">
        <v>546</v>
      </c>
      <c r="J1056" s="76" t="s">
        <v>698</v>
      </c>
      <c r="K1056" s="82" t="n">
        <v>2</v>
      </c>
      <c r="L1056" s="55" t="n">
        <v>101</v>
      </c>
      <c r="M1056" s="73" t="n">
        <v>2.06</v>
      </c>
      <c r="N1056" s="74" t="n">
        <f aca="false">K1056*L1056*M1056</f>
        <v>416.12</v>
      </c>
      <c r="O1056" s="41" t="n">
        <f aca="false">IFERROR(INDEX(Исходные!$B$21:$B$33,MATCH(H1056,Исходные!$A$21:$A$33,0)),0)</f>
        <v>0.395</v>
      </c>
      <c r="P1056" s="83" t="n">
        <f aca="false">N1056*O1056</f>
        <v>164.3674</v>
      </c>
      <c r="Q1056" s="20" t="s">
        <v>1309</v>
      </c>
      <c r="R1056" s="84" t="s">
        <v>514</v>
      </c>
      <c r="S1056" s="20" t="s">
        <v>1375</v>
      </c>
      <c r="T1056" s="20" t="s">
        <v>123</v>
      </c>
      <c r="U1056" s="53" t="n">
        <v>0</v>
      </c>
      <c r="V1056" s="76" t="s">
        <v>801</v>
      </c>
      <c r="W1056" s="53" t="n">
        <v>3</v>
      </c>
    </row>
    <row r="1057" customFormat="false" ht="35.05" hidden="false" customHeight="false" outlineLevel="0" collapsed="false">
      <c r="A1057" s="76" t="n">
        <v>1033</v>
      </c>
      <c r="B1057" s="20" t="s">
        <v>1526</v>
      </c>
      <c r="C1057" s="20" t="s">
        <v>655</v>
      </c>
      <c r="D1057" s="20" t="s">
        <v>1626</v>
      </c>
      <c r="E1057" s="20" t="s">
        <v>801</v>
      </c>
      <c r="F1057" s="76" t="s">
        <v>561</v>
      </c>
      <c r="G1057" s="20" t="s">
        <v>1311</v>
      </c>
      <c r="H1057" s="55" t="n">
        <v>10</v>
      </c>
      <c r="I1057" s="76" t="s">
        <v>546</v>
      </c>
      <c r="J1057" s="76" t="n">
        <v>100</v>
      </c>
      <c r="K1057" s="82" t="n">
        <v>2</v>
      </c>
      <c r="L1057" s="55" t="n">
        <v>47</v>
      </c>
      <c r="M1057" s="73" t="n">
        <v>2.06</v>
      </c>
      <c r="N1057" s="74" t="n">
        <f aca="false">K1057*L1057*M1057</f>
        <v>193.64</v>
      </c>
      <c r="O1057" s="41" t="n">
        <f aca="false">IFERROR(INDEX(Исходные!$B$21:$B$33,MATCH(H1057,Исходные!$A$21:$A$33,0)),0)</f>
        <v>0.617</v>
      </c>
      <c r="P1057" s="83" t="n">
        <f aca="false">N1057*O1057</f>
        <v>119.47588</v>
      </c>
      <c r="Q1057" s="20" t="s">
        <v>1632</v>
      </c>
      <c r="R1057" s="84" t="s">
        <v>514</v>
      </c>
      <c r="S1057" s="20" t="s">
        <v>1377</v>
      </c>
      <c r="T1057" s="20" t="s">
        <v>123</v>
      </c>
      <c r="U1057" s="53" t="n">
        <v>0</v>
      </c>
      <c r="V1057" s="76" t="s">
        <v>801</v>
      </c>
      <c r="W1057" s="53" t="n">
        <v>3</v>
      </c>
    </row>
    <row r="1058" customFormat="false" ht="35.05" hidden="false" customHeight="false" outlineLevel="0" collapsed="false">
      <c r="A1058" s="76" t="n">
        <v>1034</v>
      </c>
      <c r="B1058" s="20" t="s">
        <v>1526</v>
      </c>
      <c r="C1058" s="20" t="s">
        <v>655</v>
      </c>
      <c r="D1058" s="20" t="s">
        <v>1626</v>
      </c>
      <c r="E1058" s="20" t="s">
        <v>801</v>
      </c>
      <c r="F1058" s="76" t="s">
        <v>706</v>
      </c>
      <c r="G1058" s="20" t="s">
        <v>1314</v>
      </c>
      <c r="H1058" s="55" t="n">
        <v>8</v>
      </c>
      <c r="I1058" s="76" t="s">
        <v>546</v>
      </c>
      <c r="J1058" s="76" t="s">
        <v>708</v>
      </c>
      <c r="K1058" s="82" t="n">
        <v>2</v>
      </c>
      <c r="L1058" s="55" t="n">
        <v>99</v>
      </c>
      <c r="M1058" s="73" t="n">
        <v>0.75</v>
      </c>
      <c r="N1058" s="74" t="n">
        <f aca="false">K1058*L1058*M1058</f>
        <v>148.5</v>
      </c>
      <c r="O1058" s="41" t="n">
        <f aca="false">IFERROR(INDEX(Исходные!$B$21:$B$33,MATCH(H1058,Исходные!$A$21:$A$33,0)),0)</f>
        <v>0.395</v>
      </c>
      <c r="P1058" s="83" t="n">
        <f aca="false">N1058*O1058</f>
        <v>58.6575</v>
      </c>
      <c r="Q1058" s="20" t="s">
        <v>709</v>
      </c>
      <c r="R1058" s="84" t="s">
        <v>514</v>
      </c>
      <c r="S1058" s="20"/>
      <c r="T1058" s="20" t="s">
        <v>123</v>
      </c>
      <c r="U1058" s="53" t="n">
        <v>0</v>
      </c>
      <c r="V1058" s="76" t="s">
        <v>801</v>
      </c>
      <c r="W1058" s="53" t="n">
        <v>3</v>
      </c>
    </row>
    <row r="1059" customFormat="false" ht="35.05" hidden="false" customHeight="false" outlineLevel="0" collapsed="false">
      <c r="A1059" s="76" t="n">
        <v>1035</v>
      </c>
      <c r="B1059" s="20" t="s">
        <v>1526</v>
      </c>
      <c r="C1059" s="20" t="s">
        <v>655</v>
      </c>
      <c r="D1059" s="20" t="s">
        <v>1626</v>
      </c>
      <c r="E1059" s="20" t="s">
        <v>801</v>
      </c>
      <c r="F1059" s="76" t="s">
        <v>710</v>
      </c>
      <c r="G1059" s="20" t="s">
        <v>1315</v>
      </c>
      <c r="H1059" s="55" t="n">
        <v>8</v>
      </c>
      <c r="I1059" s="76" t="s">
        <v>546</v>
      </c>
      <c r="J1059" s="76" t="n">
        <v>300</v>
      </c>
      <c r="K1059" s="82" t="n">
        <v>2</v>
      </c>
      <c r="L1059" s="55" t="n">
        <v>62</v>
      </c>
      <c r="M1059" s="73" t="n">
        <v>0.58</v>
      </c>
      <c r="N1059" s="74" t="n">
        <f aca="false">K1059*L1059*M1059</f>
        <v>71.92</v>
      </c>
      <c r="O1059" s="41" t="n">
        <f aca="false">IFERROR(INDEX(Исходные!$B$21:$B$33,MATCH(H1059,Исходные!$A$21:$A$33,0)),0)</f>
        <v>0.395</v>
      </c>
      <c r="P1059" s="83" t="n">
        <f aca="false">N1059*O1059</f>
        <v>28.4084</v>
      </c>
      <c r="Q1059" s="20" t="s">
        <v>1316</v>
      </c>
      <c r="R1059" s="85" t="s">
        <v>638</v>
      </c>
      <c r="S1059" s="20"/>
      <c r="T1059" s="20" t="s">
        <v>123</v>
      </c>
      <c r="U1059" s="53" t="n">
        <v>1</v>
      </c>
      <c r="V1059" s="76" t="s">
        <v>801</v>
      </c>
      <c r="W1059" s="53" t="n">
        <v>3</v>
      </c>
    </row>
    <row r="1060" customFormat="false" ht="35.05" hidden="false" customHeight="false" outlineLevel="0" collapsed="false">
      <c r="A1060" s="76" t="n">
        <v>1036</v>
      </c>
      <c r="B1060" s="20" t="s">
        <v>1526</v>
      </c>
      <c r="C1060" s="20" t="s">
        <v>655</v>
      </c>
      <c r="D1060" s="20" t="s">
        <v>1633</v>
      </c>
      <c r="E1060" s="20" t="s">
        <v>830</v>
      </c>
      <c r="F1060" s="76" t="s">
        <v>519</v>
      </c>
      <c r="G1060" s="20" t="s">
        <v>658</v>
      </c>
      <c r="H1060" s="55" t="n">
        <v>28</v>
      </c>
      <c r="I1060" s="76" t="s">
        <v>512</v>
      </c>
      <c r="J1060" s="76" t="s">
        <v>164</v>
      </c>
      <c r="K1060" s="82" t="n">
        <v>1</v>
      </c>
      <c r="L1060" s="55" t="n">
        <v>4</v>
      </c>
      <c r="M1060" s="73" t="n">
        <v>20.5</v>
      </c>
      <c r="N1060" s="74" t="n">
        <f aca="false">K1060*L1060*M1060</f>
        <v>82</v>
      </c>
      <c r="O1060" s="41" t="n">
        <f aca="false">IFERROR(INDEX(Исходные!$B$21:$B$33,MATCH(H1060,Исходные!$A$21:$A$33,0)),0)</f>
        <v>4.834</v>
      </c>
      <c r="P1060" s="83" t="n">
        <f aca="false">N1060*O1060</f>
        <v>396.388</v>
      </c>
      <c r="Q1060" s="20" t="s">
        <v>1379</v>
      </c>
      <c r="R1060" s="84" t="s">
        <v>660</v>
      </c>
      <c r="S1060" s="20" t="s">
        <v>832</v>
      </c>
      <c r="T1060" s="20" t="s">
        <v>123</v>
      </c>
      <c r="U1060" s="53" t="n">
        <v>0</v>
      </c>
      <c r="V1060" s="76" t="s">
        <v>830</v>
      </c>
      <c r="W1060" s="53" t="n">
        <v>3</v>
      </c>
    </row>
    <row r="1061" customFormat="false" ht="35.05" hidden="false" customHeight="false" outlineLevel="0" collapsed="false">
      <c r="A1061" s="76" t="n">
        <v>1037</v>
      </c>
      <c r="B1061" s="20" t="s">
        <v>1526</v>
      </c>
      <c r="C1061" s="20" t="s">
        <v>655</v>
      </c>
      <c r="D1061" s="20" t="s">
        <v>1633</v>
      </c>
      <c r="E1061" s="20" t="s">
        <v>830</v>
      </c>
      <c r="F1061" s="76" t="s">
        <v>529</v>
      </c>
      <c r="G1061" s="20" t="s">
        <v>662</v>
      </c>
      <c r="H1061" s="55" t="n">
        <v>18</v>
      </c>
      <c r="I1061" s="76" t="s">
        <v>512</v>
      </c>
      <c r="J1061" s="76" t="s">
        <v>164</v>
      </c>
      <c r="K1061" s="82" t="n">
        <v>1</v>
      </c>
      <c r="L1061" s="55" t="n">
        <v>2</v>
      </c>
      <c r="M1061" s="73" t="n">
        <v>20.5</v>
      </c>
      <c r="N1061" s="74" t="n">
        <f aca="false">K1061*L1061*M1061</f>
        <v>41</v>
      </c>
      <c r="O1061" s="41" t="n">
        <f aca="false">IFERROR(INDEX(Исходные!$B$21:$B$33,MATCH(H1061,Исходные!$A$21:$A$33,0)),0)</f>
        <v>1.998</v>
      </c>
      <c r="P1061" s="83" t="n">
        <f aca="false">N1061*O1061</f>
        <v>81.918</v>
      </c>
      <c r="Q1061" s="20" t="s">
        <v>663</v>
      </c>
      <c r="R1061" s="84" t="s">
        <v>660</v>
      </c>
      <c r="S1061" s="20"/>
      <c r="T1061" s="20" t="s">
        <v>123</v>
      </c>
      <c r="U1061" s="53" t="n">
        <v>0</v>
      </c>
      <c r="V1061" s="76" t="s">
        <v>830</v>
      </c>
      <c r="W1061" s="53" t="n">
        <v>3</v>
      </c>
    </row>
    <row r="1062" customFormat="false" ht="35.05" hidden="false" customHeight="false" outlineLevel="0" collapsed="false">
      <c r="A1062" s="76" t="n">
        <v>1038</v>
      </c>
      <c r="B1062" s="20" t="s">
        <v>1526</v>
      </c>
      <c r="C1062" s="20" t="s">
        <v>655</v>
      </c>
      <c r="D1062" s="20" t="s">
        <v>1633</v>
      </c>
      <c r="E1062" s="20" t="s">
        <v>830</v>
      </c>
      <c r="F1062" s="76" t="s">
        <v>664</v>
      </c>
      <c r="G1062" s="20" t="s">
        <v>833</v>
      </c>
      <c r="H1062" s="55" t="n">
        <v>18</v>
      </c>
      <c r="I1062" s="76" t="s">
        <v>512</v>
      </c>
      <c r="J1062" s="76" t="s">
        <v>164</v>
      </c>
      <c r="K1062" s="82" t="n">
        <v>2</v>
      </c>
      <c r="L1062" s="55" t="n">
        <v>1</v>
      </c>
      <c r="M1062" s="73" t="n">
        <v>0.144</v>
      </c>
      <c r="N1062" s="74" t="n">
        <f aca="false">K1062*L1062*M1062</f>
        <v>0.288</v>
      </c>
      <c r="O1062" s="41" t="n">
        <f aca="false">IFERROR(INDEX(Исходные!$B$21:$B$33,MATCH(H1062,Исходные!$A$21:$A$33,0)),0)</f>
        <v>1.998</v>
      </c>
      <c r="P1062" s="83" t="n">
        <f aca="false">N1062*O1062</f>
        <v>0.575424</v>
      </c>
      <c r="Q1062" s="20" t="s">
        <v>666</v>
      </c>
      <c r="R1062" s="84" t="s">
        <v>667</v>
      </c>
      <c r="S1062" s="20" t="s">
        <v>805</v>
      </c>
      <c r="T1062" s="20" t="s">
        <v>123</v>
      </c>
      <c r="U1062" s="53" t="n">
        <v>0</v>
      </c>
      <c r="V1062" s="76" t="s">
        <v>830</v>
      </c>
      <c r="W1062" s="53" t="n">
        <v>3</v>
      </c>
    </row>
    <row r="1063" customFormat="false" ht="35.05" hidden="false" customHeight="false" outlineLevel="0" collapsed="false">
      <c r="A1063" s="76" t="n">
        <v>1039</v>
      </c>
      <c r="B1063" s="20" t="s">
        <v>1526</v>
      </c>
      <c r="C1063" s="20" t="s">
        <v>655</v>
      </c>
      <c r="D1063" s="20" t="s">
        <v>1633</v>
      </c>
      <c r="E1063" s="20" t="s">
        <v>830</v>
      </c>
      <c r="F1063" s="76" t="s">
        <v>669</v>
      </c>
      <c r="G1063" s="20" t="s">
        <v>670</v>
      </c>
      <c r="H1063" s="55" t="n">
        <v>16</v>
      </c>
      <c r="I1063" s="76" t="s">
        <v>512</v>
      </c>
      <c r="J1063" s="76" t="s">
        <v>164</v>
      </c>
      <c r="K1063" s="82" t="n">
        <v>1</v>
      </c>
      <c r="L1063" s="55" t="n">
        <v>2</v>
      </c>
      <c r="M1063" s="73" t="n">
        <v>20.5</v>
      </c>
      <c r="N1063" s="74" t="n">
        <f aca="false">K1063*L1063*M1063</f>
        <v>41</v>
      </c>
      <c r="O1063" s="41" t="n">
        <f aca="false">IFERROR(INDEX(Исходные!$B$21:$B$33,MATCH(H1063,Исходные!$A$21:$A$33,0)),0)</f>
        <v>1.578</v>
      </c>
      <c r="P1063" s="83" t="n">
        <f aca="false">N1063*O1063</f>
        <v>64.698</v>
      </c>
      <c r="Q1063" s="20" t="s">
        <v>671</v>
      </c>
      <c r="R1063" s="84" t="s">
        <v>660</v>
      </c>
      <c r="S1063" s="20"/>
      <c r="T1063" s="20" t="s">
        <v>123</v>
      </c>
      <c r="U1063" s="53" t="n">
        <v>0</v>
      </c>
      <c r="V1063" s="76" t="s">
        <v>830</v>
      </c>
      <c r="W1063" s="53" t="n">
        <v>3</v>
      </c>
    </row>
    <row r="1064" customFormat="false" ht="35.05" hidden="false" customHeight="false" outlineLevel="0" collapsed="false">
      <c r="A1064" s="76" t="n">
        <v>1040</v>
      </c>
      <c r="B1064" s="20" t="s">
        <v>1526</v>
      </c>
      <c r="C1064" s="20" t="s">
        <v>655</v>
      </c>
      <c r="D1064" s="20" t="s">
        <v>1633</v>
      </c>
      <c r="E1064" s="20" t="s">
        <v>830</v>
      </c>
      <c r="F1064" s="76" t="s">
        <v>672</v>
      </c>
      <c r="G1064" s="20" t="s">
        <v>834</v>
      </c>
      <c r="H1064" s="55" t="n">
        <v>16</v>
      </c>
      <c r="I1064" s="76" t="s">
        <v>512</v>
      </c>
      <c r="J1064" s="76" t="s">
        <v>164</v>
      </c>
      <c r="K1064" s="82" t="n">
        <v>2</v>
      </c>
      <c r="L1064" s="55" t="n">
        <v>1</v>
      </c>
      <c r="M1064" s="73" t="n">
        <v>0.128</v>
      </c>
      <c r="N1064" s="74" t="n">
        <f aca="false">K1064*L1064*M1064</f>
        <v>0.256</v>
      </c>
      <c r="O1064" s="41" t="n">
        <f aca="false">IFERROR(INDEX(Исходные!$B$21:$B$33,MATCH(H1064,Исходные!$A$21:$A$33,0)),0)</f>
        <v>1.578</v>
      </c>
      <c r="P1064" s="83" t="n">
        <f aca="false">N1064*O1064</f>
        <v>0.403968</v>
      </c>
      <c r="Q1064" s="20" t="s">
        <v>674</v>
      </c>
      <c r="R1064" s="84" t="s">
        <v>667</v>
      </c>
      <c r="S1064" s="20" t="s">
        <v>807</v>
      </c>
      <c r="T1064" s="20" t="s">
        <v>123</v>
      </c>
      <c r="U1064" s="53" t="n">
        <v>0</v>
      </c>
      <c r="V1064" s="76" t="s">
        <v>830</v>
      </c>
      <c r="W1064" s="53" t="n">
        <v>3</v>
      </c>
    </row>
    <row r="1065" customFormat="false" ht="35.05" hidden="false" customHeight="false" outlineLevel="0" collapsed="false">
      <c r="A1065" s="76" t="n">
        <v>1041</v>
      </c>
      <c r="B1065" s="20" t="s">
        <v>1526</v>
      </c>
      <c r="C1065" s="20" t="s">
        <v>655</v>
      </c>
      <c r="D1065" s="20" t="s">
        <v>1633</v>
      </c>
      <c r="E1065" s="20" t="s">
        <v>830</v>
      </c>
      <c r="F1065" s="76" t="s">
        <v>676</v>
      </c>
      <c r="G1065" s="20" t="s">
        <v>841</v>
      </c>
      <c r="H1065" s="55" t="n">
        <v>32</v>
      </c>
      <c r="I1065" s="76" t="s">
        <v>512</v>
      </c>
      <c r="J1065" s="76" t="s">
        <v>164</v>
      </c>
      <c r="K1065" s="82" t="n">
        <v>1</v>
      </c>
      <c r="L1065" s="55" t="n">
        <v>2</v>
      </c>
      <c r="M1065" s="73" t="n">
        <v>7.5</v>
      </c>
      <c r="N1065" s="74" t="n">
        <f aca="false">K1065*L1065*M1065</f>
        <v>15</v>
      </c>
      <c r="O1065" s="41" t="n">
        <f aca="false">IFERROR(INDEX(Исходные!$B$21:$B$33,MATCH(H1065,Исходные!$A$21:$A$33,0)),0)</f>
        <v>6.313</v>
      </c>
      <c r="P1065" s="83" t="n">
        <f aca="false">N1065*O1065</f>
        <v>94.695</v>
      </c>
      <c r="Q1065" s="20" t="s">
        <v>1634</v>
      </c>
      <c r="R1065" s="84" t="s">
        <v>660</v>
      </c>
      <c r="S1065" s="20" t="s">
        <v>843</v>
      </c>
      <c r="T1065" s="20" t="s">
        <v>123</v>
      </c>
      <c r="U1065" s="53" t="n">
        <v>0</v>
      </c>
      <c r="V1065" s="76" t="s">
        <v>830</v>
      </c>
      <c r="W1065" s="53" t="n">
        <v>3</v>
      </c>
    </row>
    <row r="1066" customFormat="false" ht="35.05" hidden="false" customHeight="false" outlineLevel="0" collapsed="false">
      <c r="A1066" s="76" t="n">
        <v>1042</v>
      </c>
      <c r="B1066" s="20" t="s">
        <v>1526</v>
      </c>
      <c r="C1066" s="20" t="s">
        <v>655</v>
      </c>
      <c r="D1066" s="20" t="s">
        <v>1633</v>
      </c>
      <c r="E1066" s="20" t="s">
        <v>830</v>
      </c>
      <c r="F1066" s="76" t="s">
        <v>676</v>
      </c>
      <c r="G1066" s="20" t="s">
        <v>844</v>
      </c>
      <c r="H1066" s="55" t="n">
        <v>32</v>
      </c>
      <c r="I1066" s="76" t="s">
        <v>512</v>
      </c>
      <c r="J1066" s="76" t="s">
        <v>164</v>
      </c>
      <c r="K1066" s="82" t="n">
        <v>1</v>
      </c>
      <c r="L1066" s="55" t="n">
        <v>2</v>
      </c>
      <c r="M1066" s="73" t="n">
        <v>3.6</v>
      </c>
      <c r="N1066" s="74" t="n">
        <f aca="false">K1066*L1066*M1066</f>
        <v>7.2</v>
      </c>
      <c r="O1066" s="41" t="n">
        <f aca="false">IFERROR(INDEX(Исходные!$B$21:$B$33,MATCH(H1066,Исходные!$A$21:$A$33,0)),0)</f>
        <v>6.313</v>
      </c>
      <c r="P1066" s="83" t="n">
        <f aca="false">N1066*O1066</f>
        <v>45.4536</v>
      </c>
      <c r="Q1066" s="20" t="s">
        <v>1634</v>
      </c>
      <c r="R1066" s="84" t="s">
        <v>660</v>
      </c>
      <c r="S1066" s="20" t="s">
        <v>845</v>
      </c>
      <c r="T1066" s="20" t="s">
        <v>123</v>
      </c>
      <c r="U1066" s="53" t="n">
        <v>0</v>
      </c>
      <c r="V1066" s="76" t="s">
        <v>830</v>
      </c>
      <c r="W1066" s="53" t="n">
        <v>3</v>
      </c>
    </row>
    <row r="1067" customFormat="false" ht="35.05" hidden="false" customHeight="false" outlineLevel="0" collapsed="false">
      <c r="A1067" s="76" t="n">
        <v>1043</v>
      </c>
      <c r="B1067" s="20" t="s">
        <v>1526</v>
      </c>
      <c r="C1067" s="20" t="s">
        <v>655</v>
      </c>
      <c r="D1067" s="20" t="s">
        <v>1633</v>
      </c>
      <c r="E1067" s="20" t="s">
        <v>830</v>
      </c>
      <c r="F1067" s="76" t="s">
        <v>676</v>
      </c>
      <c r="G1067" s="20" t="s">
        <v>846</v>
      </c>
      <c r="H1067" s="55" t="n">
        <v>32</v>
      </c>
      <c r="I1067" s="76" t="s">
        <v>512</v>
      </c>
      <c r="J1067" s="76" t="s">
        <v>164</v>
      </c>
      <c r="K1067" s="82" t="n">
        <v>1</v>
      </c>
      <c r="L1067" s="55" t="n">
        <v>2</v>
      </c>
      <c r="M1067" s="73" t="n">
        <v>2.85</v>
      </c>
      <c r="N1067" s="74" t="n">
        <f aca="false">K1067*L1067*M1067</f>
        <v>5.7</v>
      </c>
      <c r="O1067" s="41" t="n">
        <f aca="false">IFERROR(INDEX(Исходные!$B$21:$B$33,MATCH(H1067,Исходные!$A$21:$A$33,0)),0)</f>
        <v>6.313</v>
      </c>
      <c r="P1067" s="83" t="n">
        <f aca="false">N1067*O1067</f>
        <v>35.9841</v>
      </c>
      <c r="Q1067" s="20" t="s">
        <v>1634</v>
      </c>
      <c r="R1067" s="84" t="s">
        <v>660</v>
      </c>
      <c r="S1067" s="20" t="s">
        <v>1381</v>
      </c>
      <c r="T1067" s="20" t="s">
        <v>123</v>
      </c>
      <c r="U1067" s="53" t="n">
        <v>0</v>
      </c>
      <c r="V1067" s="76" t="s">
        <v>830</v>
      </c>
      <c r="W1067" s="53" t="n">
        <v>3</v>
      </c>
    </row>
    <row r="1068" customFormat="false" ht="35.05" hidden="false" customHeight="false" outlineLevel="0" collapsed="false">
      <c r="A1068" s="76" t="n">
        <v>1044</v>
      </c>
      <c r="B1068" s="20" t="s">
        <v>1526</v>
      </c>
      <c r="C1068" s="20" t="s">
        <v>655</v>
      </c>
      <c r="D1068" s="20" t="s">
        <v>1633</v>
      </c>
      <c r="E1068" s="20" t="s">
        <v>830</v>
      </c>
      <c r="F1068" s="76" t="s">
        <v>676</v>
      </c>
      <c r="G1068" s="20" t="s">
        <v>1382</v>
      </c>
      <c r="H1068" s="55" t="n">
        <v>22</v>
      </c>
      <c r="I1068" s="76" t="s">
        <v>512</v>
      </c>
      <c r="J1068" s="76" t="s">
        <v>164</v>
      </c>
      <c r="K1068" s="82" t="n">
        <v>1</v>
      </c>
      <c r="L1068" s="55" t="n">
        <v>1</v>
      </c>
      <c r="M1068" s="73" t="n">
        <v>2.4</v>
      </c>
      <c r="N1068" s="74" t="n">
        <f aca="false">K1068*L1068*M1068</f>
        <v>2.4</v>
      </c>
      <c r="O1068" s="41" t="n">
        <f aca="false">IFERROR(INDEX(Исходные!$B$21:$B$33,MATCH(H1068,Исходные!$A$21:$A$33,0)),0)</f>
        <v>2.984</v>
      </c>
      <c r="P1068" s="83" t="n">
        <f aca="false">N1068*O1068</f>
        <v>7.1616</v>
      </c>
      <c r="Q1068" s="20" t="s">
        <v>1635</v>
      </c>
      <c r="R1068" s="84" t="s">
        <v>660</v>
      </c>
      <c r="S1068" s="20" t="s">
        <v>837</v>
      </c>
      <c r="T1068" s="20" t="s">
        <v>123</v>
      </c>
      <c r="U1068" s="53" t="n">
        <v>0</v>
      </c>
      <c r="V1068" s="76" t="s">
        <v>830</v>
      </c>
      <c r="W1068" s="53" t="n">
        <v>3</v>
      </c>
    </row>
    <row r="1069" customFormat="false" ht="35.05" hidden="false" customHeight="false" outlineLevel="0" collapsed="false">
      <c r="A1069" s="76" t="n">
        <v>1045</v>
      </c>
      <c r="B1069" s="20" t="s">
        <v>1526</v>
      </c>
      <c r="C1069" s="20" t="s">
        <v>655</v>
      </c>
      <c r="D1069" s="20" t="s">
        <v>1633</v>
      </c>
      <c r="E1069" s="20" t="s">
        <v>830</v>
      </c>
      <c r="F1069" s="76" t="s">
        <v>676</v>
      </c>
      <c r="G1069" s="20" t="s">
        <v>838</v>
      </c>
      <c r="H1069" s="55" t="n">
        <v>14</v>
      </c>
      <c r="I1069" s="76" t="s">
        <v>512</v>
      </c>
      <c r="J1069" s="76" t="s">
        <v>164</v>
      </c>
      <c r="K1069" s="82" t="n">
        <v>1</v>
      </c>
      <c r="L1069" s="55" t="n">
        <v>2</v>
      </c>
      <c r="M1069" s="73" t="n">
        <v>4</v>
      </c>
      <c r="N1069" s="74" t="n">
        <f aca="false">K1069*L1069*M1069</f>
        <v>8</v>
      </c>
      <c r="O1069" s="41" t="n">
        <f aca="false">IFERROR(INDEX(Исходные!$B$21:$B$33,MATCH(H1069,Исходные!$A$21:$A$33,0)),0)</f>
        <v>1.208</v>
      </c>
      <c r="P1069" s="83" t="n">
        <f aca="false">N1069*O1069</f>
        <v>9.664</v>
      </c>
      <c r="Q1069" s="20" t="s">
        <v>1636</v>
      </c>
      <c r="R1069" s="84" t="s">
        <v>660</v>
      </c>
      <c r="S1069" s="20" t="s">
        <v>840</v>
      </c>
      <c r="T1069" s="20" t="s">
        <v>123</v>
      </c>
      <c r="U1069" s="53" t="n">
        <v>0</v>
      </c>
      <c r="V1069" s="76" t="s">
        <v>830</v>
      </c>
      <c r="W1069" s="53" t="n">
        <v>3</v>
      </c>
    </row>
    <row r="1070" customFormat="false" ht="35.05" hidden="false" customHeight="false" outlineLevel="0" collapsed="false">
      <c r="A1070" s="76" t="n">
        <v>1046</v>
      </c>
      <c r="B1070" s="20" t="s">
        <v>1526</v>
      </c>
      <c r="C1070" s="20" t="s">
        <v>655</v>
      </c>
      <c r="D1070" s="20" t="s">
        <v>1633</v>
      </c>
      <c r="E1070" s="20" t="s">
        <v>830</v>
      </c>
      <c r="F1070" s="76" t="s">
        <v>676</v>
      </c>
      <c r="G1070" s="20" t="s">
        <v>848</v>
      </c>
      <c r="H1070" s="55" t="n">
        <v>25</v>
      </c>
      <c r="I1070" s="76" t="s">
        <v>512</v>
      </c>
      <c r="J1070" s="76" t="s">
        <v>164</v>
      </c>
      <c r="K1070" s="82" t="n">
        <v>1</v>
      </c>
      <c r="L1070" s="55" t="n">
        <v>2</v>
      </c>
      <c r="M1070" s="73" t="n">
        <v>10.5</v>
      </c>
      <c r="N1070" s="74" t="n">
        <f aca="false">K1070*L1070*M1070</f>
        <v>21</v>
      </c>
      <c r="O1070" s="41" t="n">
        <f aca="false">IFERROR(INDEX(Исходные!$B$21:$B$33,MATCH(H1070,Исходные!$A$21:$A$33,0)),0)</f>
        <v>3.853</v>
      </c>
      <c r="P1070" s="83" t="n">
        <f aca="false">N1070*O1070</f>
        <v>80.913</v>
      </c>
      <c r="Q1070" s="20" t="s">
        <v>1637</v>
      </c>
      <c r="R1070" s="84" t="s">
        <v>660</v>
      </c>
      <c r="S1070" s="20" t="s">
        <v>850</v>
      </c>
      <c r="T1070" s="20" t="s">
        <v>123</v>
      </c>
      <c r="U1070" s="53" t="n">
        <v>0</v>
      </c>
      <c r="V1070" s="76" t="s">
        <v>830</v>
      </c>
      <c r="W1070" s="53" t="n">
        <v>3</v>
      </c>
    </row>
    <row r="1071" customFormat="false" ht="35.05" hidden="false" customHeight="false" outlineLevel="0" collapsed="false">
      <c r="A1071" s="76" t="n">
        <v>1047</v>
      </c>
      <c r="B1071" s="20" t="s">
        <v>1526</v>
      </c>
      <c r="C1071" s="20" t="s">
        <v>655</v>
      </c>
      <c r="D1071" s="20" t="s">
        <v>1633</v>
      </c>
      <c r="E1071" s="20" t="s">
        <v>830</v>
      </c>
      <c r="F1071" s="76" t="s">
        <v>676</v>
      </c>
      <c r="G1071" s="20" t="s">
        <v>1387</v>
      </c>
      <c r="H1071" s="55" t="n">
        <v>20</v>
      </c>
      <c r="I1071" s="76" t="s">
        <v>512</v>
      </c>
      <c r="J1071" s="76" t="s">
        <v>164</v>
      </c>
      <c r="K1071" s="82" t="n">
        <v>1</v>
      </c>
      <c r="L1071" s="55" t="n">
        <v>2</v>
      </c>
      <c r="M1071" s="73" t="n">
        <v>2.3</v>
      </c>
      <c r="N1071" s="74" t="n">
        <f aca="false">K1071*L1071*M1071</f>
        <v>4.6</v>
      </c>
      <c r="O1071" s="41" t="n">
        <f aca="false">IFERROR(INDEX(Исходные!$B$21:$B$33,MATCH(H1071,Исходные!$A$21:$A$33,0)),0)</f>
        <v>2.466</v>
      </c>
      <c r="P1071" s="83" t="n">
        <f aca="false">N1071*O1071</f>
        <v>11.3436</v>
      </c>
      <c r="Q1071" s="20" t="s">
        <v>1638</v>
      </c>
      <c r="R1071" s="84" t="s">
        <v>660</v>
      </c>
      <c r="S1071" s="20" t="s">
        <v>1389</v>
      </c>
      <c r="T1071" s="20" t="s">
        <v>123</v>
      </c>
      <c r="U1071" s="53" t="n">
        <v>0</v>
      </c>
      <c r="V1071" s="76" t="s">
        <v>830</v>
      </c>
      <c r="W1071" s="53" t="n">
        <v>3</v>
      </c>
    </row>
    <row r="1072" customFormat="false" ht="35.05" hidden="false" customHeight="false" outlineLevel="0" collapsed="false">
      <c r="A1072" s="76" t="n">
        <v>1048</v>
      </c>
      <c r="B1072" s="20" t="s">
        <v>1526</v>
      </c>
      <c r="C1072" s="20" t="s">
        <v>655</v>
      </c>
      <c r="D1072" s="20" t="s">
        <v>1633</v>
      </c>
      <c r="E1072" s="20" t="s">
        <v>830</v>
      </c>
      <c r="F1072" s="76" t="s">
        <v>676</v>
      </c>
      <c r="G1072" s="20" t="s">
        <v>851</v>
      </c>
      <c r="H1072" s="55" t="n">
        <v>20</v>
      </c>
      <c r="I1072" s="76" t="s">
        <v>512</v>
      </c>
      <c r="J1072" s="76" t="s">
        <v>164</v>
      </c>
      <c r="K1072" s="82" t="n">
        <v>1</v>
      </c>
      <c r="L1072" s="55" t="n">
        <v>2</v>
      </c>
      <c r="M1072" s="73" t="n">
        <v>2.85</v>
      </c>
      <c r="N1072" s="74" t="n">
        <f aca="false">K1072*L1072*M1072</f>
        <v>5.7</v>
      </c>
      <c r="O1072" s="41" t="n">
        <f aca="false">IFERROR(INDEX(Исходные!$B$21:$B$33,MATCH(H1072,Исходные!$A$21:$A$33,0)),0)</f>
        <v>2.466</v>
      </c>
      <c r="P1072" s="83" t="n">
        <f aca="false">N1072*O1072</f>
        <v>14.0562</v>
      </c>
      <c r="Q1072" s="20" t="s">
        <v>1638</v>
      </c>
      <c r="R1072" s="84" t="s">
        <v>660</v>
      </c>
      <c r="S1072" s="20" t="s">
        <v>1381</v>
      </c>
      <c r="T1072" s="20" t="s">
        <v>123</v>
      </c>
      <c r="U1072" s="53" t="n">
        <v>0</v>
      </c>
      <c r="V1072" s="76" t="s">
        <v>830</v>
      </c>
      <c r="W1072" s="53" t="n">
        <v>3</v>
      </c>
    </row>
    <row r="1073" customFormat="false" ht="35.05" hidden="false" customHeight="false" outlineLevel="0" collapsed="false">
      <c r="A1073" s="76" t="n">
        <v>1049</v>
      </c>
      <c r="B1073" s="20" t="s">
        <v>1526</v>
      </c>
      <c r="C1073" s="20" t="s">
        <v>655</v>
      </c>
      <c r="D1073" s="20" t="s">
        <v>1633</v>
      </c>
      <c r="E1073" s="20" t="s">
        <v>830</v>
      </c>
      <c r="F1073" s="76" t="s">
        <v>676</v>
      </c>
      <c r="G1073" s="20" t="s">
        <v>1390</v>
      </c>
      <c r="H1073" s="55" t="n">
        <v>14</v>
      </c>
      <c r="I1073" s="76" t="s">
        <v>512</v>
      </c>
      <c r="J1073" s="76" t="s">
        <v>164</v>
      </c>
      <c r="K1073" s="82" t="n">
        <v>1</v>
      </c>
      <c r="L1073" s="55" t="n">
        <v>2</v>
      </c>
      <c r="M1073" s="73" t="n">
        <v>2.7</v>
      </c>
      <c r="N1073" s="74" t="n">
        <f aca="false">K1073*L1073*M1073</f>
        <v>5.4</v>
      </c>
      <c r="O1073" s="41" t="n">
        <f aca="false">IFERROR(INDEX(Исходные!$B$21:$B$33,MATCH(H1073,Исходные!$A$21:$A$33,0)),0)</f>
        <v>1.208</v>
      </c>
      <c r="P1073" s="83" t="n">
        <f aca="false">N1073*O1073</f>
        <v>6.5232</v>
      </c>
      <c r="Q1073" s="20" t="s">
        <v>1636</v>
      </c>
      <c r="R1073" s="84" t="s">
        <v>660</v>
      </c>
      <c r="S1073" s="20" t="s">
        <v>1391</v>
      </c>
      <c r="T1073" s="20" t="s">
        <v>123</v>
      </c>
      <c r="U1073" s="53" t="n">
        <v>0</v>
      </c>
      <c r="V1073" s="76" t="s">
        <v>830</v>
      </c>
      <c r="W1073" s="53" t="n">
        <v>3</v>
      </c>
    </row>
    <row r="1074" customFormat="false" ht="35.05" hidden="false" customHeight="false" outlineLevel="0" collapsed="false">
      <c r="A1074" s="76" t="n">
        <v>1050</v>
      </c>
      <c r="B1074" s="20" t="s">
        <v>1526</v>
      </c>
      <c r="C1074" s="20" t="s">
        <v>655</v>
      </c>
      <c r="D1074" s="20" t="s">
        <v>1633</v>
      </c>
      <c r="E1074" s="20" t="s">
        <v>830</v>
      </c>
      <c r="F1074" s="76" t="s">
        <v>676</v>
      </c>
      <c r="G1074" s="20" t="s">
        <v>855</v>
      </c>
      <c r="H1074" s="55" t="n">
        <v>14</v>
      </c>
      <c r="I1074" s="76" t="s">
        <v>512</v>
      </c>
      <c r="J1074" s="76" t="s">
        <v>164</v>
      </c>
      <c r="K1074" s="82" t="n">
        <v>1</v>
      </c>
      <c r="L1074" s="55" t="n">
        <v>2</v>
      </c>
      <c r="M1074" s="73" t="n">
        <v>2.4</v>
      </c>
      <c r="N1074" s="74" t="n">
        <f aca="false">K1074*L1074*M1074</f>
        <v>4.8</v>
      </c>
      <c r="O1074" s="41" t="n">
        <f aca="false">IFERROR(INDEX(Исходные!$B$21:$B$33,MATCH(H1074,Исходные!$A$21:$A$33,0)),0)</f>
        <v>1.208</v>
      </c>
      <c r="P1074" s="83" t="n">
        <f aca="false">N1074*O1074</f>
        <v>5.7984</v>
      </c>
      <c r="Q1074" s="20" t="s">
        <v>1639</v>
      </c>
      <c r="R1074" s="84" t="s">
        <v>660</v>
      </c>
      <c r="S1074" s="20" t="s">
        <v>837</v>
      </c>
      <c r="T1074" s="20" t="s">
        <v>123</v>
      </c>
      <c r="U1074" s="53" t="n">
        <v>0</v>
      </c>
      <c r="V1074" s="76" t="s">
        <v>830</v>
      </c>
      <c r="W1074" s="53" t="n">
        <v>3</v>
      </c>
    </row>
    <row r="1075" customFormat="false" ht="35.05" hidden="false" customHeight="false" outlineLevel="0" collapsed="false">
      <c r="A1075" s="76" t="n">
        <v>1051</v>
      </c>
      <c r="B1075" s="20" t="s">
        <v>1526</v>
      </c>
      <c r="C1075" s="20" t="s">
        <v>655</v>
      </c>
      <c r="D1075" s="20" t="s">
        <v>1633</v>
      </c>
      <c r="E1075" s="20" t="s">
        <v>830</v>
      </c>
      <c r="F1075" s="76" t="s">
        <v>676</v>
      </c>
      <c r="G1075" s="20" t="s">
        <v>1393</v>
      </c>
      <c r="H1075" s="55" t="n">
        <v>14</v>
      </c>
      <c r="I1075" s="76" t="s">
        <v>512</v>
      </c>
      <c r="J1075" s="76" t="s">
        <v>164</v>
      </c>
      <c r="K1075" s="82" t="n">
        <v>1</v>
      </c>
      <c r="L1075" s="55" t="n">
        <v>4</v>
      </c>
      <c r="M1075" s="73" t="n">
        <v>9.1</v>
      </c>
      <c r="N1075" s="74" t="n">
        <f aca="false">K1075*L1075*M1075</f>
        <v>36.4</v>
      </c>
      <c r="O1075" s="41" t="n">
        <f aca="false">IFERROR(INDEX(Исходные!$B$21:$B$33,MATCH(H1075,Исходные!$A$21:$A$33,0)),0)</f>
        <v>1.208</v>
      </c>
      <c r="P1075" s="83" t="n">
        <f aca="false">N1075*O1075</f>
        <v>43.9712</v>
      </c>
      <c r="Q1075" s="20" t="s">
        <v>1640</v>
      </c>
      <c r="R1075" s="84" t="s">
        <v>660</v>
      </c>
      <c r="S1075" s="20" t="s">
        <v>858</v>
      </c>
      <c r="T1075" s="20" t="s">
        <v>123</v>
      </c>
      <c r="U1075" s="53" t="n">
        <v>0</v>
      </c>
      <c r="V1075" s="76" t="s">
        <v>830</v>
      </c>
      <c r="W1075" s="53" t="n">
        <v>3</v>
      </c>
    </row>
    <row r="1076" customFormat="false" ht="35.05" hidden="false" customHeight="false" outlineLevel="0" collapsed="false">
      <c r="A1076" s="76" t="n">
        <v>1052</v>
      </c>
      <c r="B1076" s="20" t="s">
        <v>1526</v>
      </c>
      <c r="C1076" s="20" t="s">
        <v>655</v>
      </c>
      <c r="D1076" s="20" t="s">
        <v>1633</v>
      </c>
      <c r="E1076" s="20" t="s">
        <v>830</v>
      </c>
      <c r="F1076" s="76" t="s">
        <v>676</v>
      </c>
      <c r="G1076" s="20" t="s">
        <v>859</v>
      </c>
      <c r="H1076" s="55" t="n">
        <v>14</v>
      </c>
      <c r="I1076" s="76" t="s">
        <v>512</v>
      </c>
      <c r="J1076" s="76" t="s">
        <v>164</v>
      </c>
      <c r="K1076" s="82" t="n">
        <v>1</v>
      </c>
      <c r="L1076" s="55" t="n">
        <v>2</v>
      </c>
      <c r="M1076" s="73" t="n">
        <v>2.85</v>
      </c>
      <c r="N1076" s="74" t="n">
        <f aca="false">K1076*L1076*M1076</f>
        <v>5.7</v>
      </c>
      <c r="O1076" s="41" t="n">
        <f aca="false">IFERROR(INDEX(Исходные!$B$21:$B$33,MATCH(H1076,Исходные!$A$21:$A$33,0)),0)</f>
        <v>1.208</v>
      </c>
      <c r="P1076" s="83" t="n">
        <f aca="false">N1076*O1076</f>
        <v>6.8856</v>
      </c>
      <c r="Q1076" s="20" t="s">
        <v>1639</v>
      </c>
      <c r="R1076" s="84" t="s">
        <v>660</v>
      </c>
      <c r="S1076" s="20" t="s">
        <v>1381</v>
      </c>
      <c r="T1076" s="20" t="s">
        <v>123</v>
      </c>
      <c r="U1076" s="53" t="n">
        <v>0</v>
      </c>
      <c r="V1076" s="76" t="s">
        <v>830</v>
      </c>
      <c r="W1076" s="53" t="n">
        <v>3</v>
      </c>
    </row>
    <row r="1077" customFormat="false" ht="35.05" hidden="false" customHeight="false" outlineLevel="0" collapsed="false">
      <c r="A1077" s="76" t="n">
        <v>1053</v>
      </c>
      <c r="B1077" s="20" t="s">
        <v>1526</v>
      </c>
      <c r="C1077" s="20" t="s">
        <v>655</v>
      </c>
      <c r="D1077" s="20" t="s">
        <v>1633</v>
      </c>
      <c r="E1077" s="20" t="s">
        <v>830</v>
      </c>
      <c r="F1077" s="76" t="s">
        <v>696</v>
      </c>
      <c r="G1077" s="20" t="s">
        <v>1308</v>
      </c>
      <c r="H1077" s="55" t="n">
        <v>8</v>
      </c>
      <c r="I1077" s="76" t="s">
        <v>546</v>
      </c>
      <c r="J1077" s="76" t="s">
        <v>698</v>
      </c>
      <c r="K1077" s="82" t="n">
        <v>1</v>
      </c>
      <c r="L1077" s="55" t="n">
        <v>47</v>
      </c>
      <c r="M1077" s="73" t="n">
        <v>2.06</v>
      </c>
      <c r="N1077" s="74" t="n">
        <f aca="false">K1077*L1077*M1077</f>
        <v>96.82</v>
      </c>
      <c r="O1077" s="41" t="n">
        <f aca="false">IFERROR(INDEX(Исходные!$B$21:$B$33,MATCH(H1077,Исходные!$A$21:$A$33,0)),0)</f>
        <v>0.395</v>
      </c>
      <c r="P1077" s="83" t="n">
        <f aca="false">N1077*O1077</f>
        <v>38.2439</v>
      </c>
      <c r="Q1077" s="20" t="s">
        <v>1309</v>
      </c>
      <c r="R1077" s="84" t="s">
        <v>514</v>
      </c>
      <c r="S1077" s="20" t="s">
        <v>1395</v>
      </c>
      <c r="T1077" s="20" t="s">
        <v>123</v>
      </c>
      <c r="U1077" s="53" t="n">
        <v>0</v>
      </c>
      <c r="V1077" s="76" t="s">
        <v>830</v>
      </c>
      <c r="W1077" s="53" t="n">
        <v>3</v>
      </c>
    </row>
    <row r="1078" customFormat="false" ht="35.05" hidden="false" customHeight="false" outlineLevel="0" collapsed="false">
      <c r="A1078" s="76" t="n">
        <v>1054</v>
      </c>
      <c r="B1078" s="20" t="s">
        <v>1526</v>
      </c>
      <c r="C1078" s="20" t="s">
        <v>655</v>
      </c>
      <c r="D1078" s="20" t="s">
        <v>1633</v>
      </c>
      <c r="E1078" s="20" t="s">
        <v>830</v>
      </c>
      <c r="F1078" s="76" t="s">
        <v>561</v>
      </c>
      <c r="G1078" s="20" t="s">
        <v>1311</v>
      </c>
      <c r="H1078" s="55" t="n">
        <v>10</v>
      </c>
      <c r="I1078" s="76" t="s">
        <v>546</v>
      </c>
      <c r="J1078" s="76" t="n">
        <v>100</v>
      </c>
      <c r="K1078" s="82" t="n">
        <v>1</v>
      </c>
      <c r="L1078" s="55" t="n">
        <v>92</v>
      </c>
      <c r="M1078" s="73" t="n">
        <v>2.06</v>
      </c>
      <c r="N1078" s="74" t="n">
        <f aca="false">K1078*L1078*M1078</f>
        <v>189.52</v>
      </c>
      <c r="O1078" s="41" t="n">
        <f aca="false">IFERROR(INDEX(Исходные!$B$21:$B$33,MATCH(H1078,Исходные!$A$21:$A$33,0)),0)</f>
        <v>0.617</v>
      </c>
      <c r="P1078" s="83" t="n">
        <f aca="false">N1078*O1078</f>
        <v>116.93384</v>
      </c>
      <c r="Q1078" s="20" t="s">
        <v>1641</v>
      </c>
      <c r="R1078" s="84" t="s">
        <v>514</v>
      </c>
      <c r="S1078" s="20" t="s">
        <v>862</v>
      </c>
      <c r="T1078" s="20" t="s">
        <v>123</v>
      </c>
      <c r="U1078" s="53" t="n">
        <v>0</v>
      </c>
      <c r="V1078" s="76" t="s">
        <v>830</v>
      </c>
      <c r="W1078" s="53" t="n">
        <v>3</v>
      </c>
    </row>
    <row r="1079" customFormat="false" ht="35.05" hidden="false" customHeight="false" outlineLevel="0" collapsed="false">
      <c r="A1079" s="76" t="n">
        <v>1055</v>
      </c>
      <c r="B1079" s="20" t="s">
        <v>1526</v>
      </c>
      <c r="C1079" s="20" t="s">
        <v>655</v>
      </c>
      <c r="D1079" s="20" t="s">
        <v>1633</v>
      </c>
      <c r="E1079" s="20" t="s">
        <v>830</v>
      </c>
      <c r="F1079" s="76" t="s">
        <v>603</v>
      </c>
      <c r="G1079" s="20" t="s">
        <v>704</v>
      </c>
      <c r="H1079" s="55" t="n">
        <v>10</v>
      </c>
      <c r="I1079" s="76" t="s">
        <v>546</v>
      </c>
      <c r="J1079" s="76" t="n">
        <v>100</v>
      </c>
      <c r="K1079" s="82" t="n">
        <v>1</v>
      </c>
      <c r="L1079" s="55" t="n">
        <v>86</v>
      </c>
      <c r="M1079" s="73" t="n">
        <v>1.6</v>
      </c>
      <c r="N1079" s="74" t="n">
        <f aca="false">K1079*L1079*M1079</f>
        <v>137.6</v>
      </c>
      <c r="O1079" s="41" t="n">
        <f aca="false">IFERROR(INDEX(Исходные!$B$21:$B$33,MATCH(H1079,Исходные!$A$21:$A$33,0)),0)</f>
        <v>0.617</v>
      </c>
      <c r="P1079" s="83" t="n">
        <f aca="false">N1079*O1079</f>
        <v>84.8992</v>
      </c>
      <c r="Q1079" s="20" t="s">
        <v>863</v>
      </c>
      <c r="R1079" s="84" t="s">
        <v>514</v>
      </c>
      <c r="S1079" s="20"/>
      <c r="T1079" s="20" t="s">
        <v>123</v>
      </c>
      <c r="U1079" s="53" t="n">
        <v>0</v>
      </c>
      <c r="V1079" s="76" t="s">
        <v>830</v>
      </c>
      <c r="W1079" s="53" t="n">
        <v>3</v>
      </c>
    </row>
    <row r="1080" customFormat="false" ht="35.05" hidden="false" customHeight="false" outlineLevel="0" collapsed="false">
      <c r="A1080" s="76" t="n">
        <v>1056</v>
      </c>
      <c r="B1080" s="20" t="s">
        <v>1526</v>
      </c>
      <c r="C1080" s="20" t="s">
        <v>655</v>
      </c>
      <c r="D1080" s="20" t="s">
        <v>1633</v>
      </c>
      <c r="E1080" s="20" t="s">
        <v>830</v>
      </c>
      <c r="F1080" s="76" t="s">
        <v>706</v>
      </c>
      <c r="G1080" s="20" t="s">
        <v>1314</v>
      </c>
      <c r="H1080" s="55" t="n">
        <v>8</v>
      </c>
      <c r="I1080" s="76" t="s">
        <v>546</v>
      </c>
      <c r="J1080" s="76" t="s">
        <v>708</v>
      </c>
      <c r="K1080" s="82" t="n">
        <v>1</v>
      </c>
      <c r="L1080" s="55" t="n">
        <v>35</v>
      </c>
      <c r="M1080" s="73" t="n">
        <v>0.75</v>
      </c>
      <c r="N1080" s="74" t="n">
        <f aca="false">K1080*L1080*M1080</f>
        <v>26.25</v>
      </c>
      <c r="O1080" s="41" t="n">
        <f aca="false">IFERROR(INDEX(Исходные!$B$21:$B$33,MATCH(H1080,Исходные!$A$21:$A$33,0)),0)</f>
        <v>0.395</v>
      </c>
      <c r="P1080" s="83" t="n">
        <f aca="false">N1080*O1080</f>
        <v>10.36875</v>
      </c>
      <c r="Q1080" s="20" t="s">
        <v>709</v>
      </c>
      <c r="R1080" s="84" t="s">
        <v>514</v>
      </c>
      <c r="S1080" s="20"/>
      <c r="T1080" s="20" t="s">
        <v>123</v>
      </c>
      <c r="U1080" s="53" t="n">
        <v>0</v>
      </c>
      <c r="V1080" s="76" t="s">
        <v>830</v>
      </c>
      <c r="W1080" s="53" t="n">
        <v>3</v>
      </c>
    </row>
    <row r="1081" customFormat="false" ht="35.05" hidden="false" customHeight="false" outlineLevel="0" collapsed="false">
      <c r="A1081" s="76" t="n">
        <v>1057</v>
      </c>
      <c r="B1081" s="20" t="s">
        <v>1526</v>
      </c>
      <c r="C1081" s="20" t="s">
        <v>655</v>
      </c>
      <c r="D1081" s="20" t="s">
        <v>1633</v>
      </c>
      <c r="E1081" s="20" t="s">
        <v>830</v>
      </c>
      <c r="F1081" s="76" t="s">
        <v>710</v>
      </c>
      <c r="G1081" s="20" t="s">
        <v>1315</v>
      </c>
      <c r="H1081" s="55" t="n">
        <v>8</v>
      </c>
      <c r="I1081" s="76" t="s">
        <v>546</v>
      </c>
      <c r="J1081" s="76" t="n">
        <v>300</v>
      </c>
      <c r="K1081" s="82" t="n">
        <v>1</v>
      </c>
      <c r="L1081" s="55" t="n">
        <v>54</v>
      </c>
      <c r="M1081" s="73" t="n">
        <v>0.58</v>
      </c>
      <c r="N1081" s="74" t="n">
        <f aca="false">K1081*L1081*M1081</f>
        <v>31.32</v>
      </c>
      <c r="O1081" s="41" t="n">
        <f aca="false">IFERROR(INDEX(Исходные!$B$21:$B$33,MATCH(H1081,Исходные!$A$21:$A$33,0)),0)</f>
        <v>0.395</v>
      </c>
      <c r="P1081" s="83" t="n">
        <f aca="false">N1081*O1081</f>
        <v>12.3714</v>
      </c>
      <c r="Q1081" s="20" t="s">
        <v>1316</v>
      </c>
      <c r="R1081" s="85" t="s">
        <v>638</v>
      </c>
      <c r="S1081" s="20"/>
      <c r="T1081" s="20" t="s">
        <v>123</v>
      </c>
      <c r="U1081" s="53" t="n">
        <v>1</v>
      </c>
      <c r="V1081" s="76" t="s">
        <v>830</v>
      </c>
      <c r="W1081" s="53" t="n">
        <v>3</v>
      </c>
    </row>
    <row r="1082" customFormat="false" ht="35.05" hidden="false" customHeight="false" outlineLevel="0" collapsed="false">
      <c r="A1082" s="76" t="n">
        <v>1058</v>
      </c>
      <c r="B1082" s="20" t="s">
        <v>1526</v>
      </c>
      <c r="C1082" s="20" t="s">
        <v>655</v>
      </c>
      <c r="D1082" s="20" t="s">
        <v>1642</v>
      </c>
      <c r="E1082" s="20" t="s">
        <v>865</v>
      </c>
      <c r="F1082" s="76" t="s">
        <v>519</v>
      </c>
      <c r="G1082" s="20" t="s">
        <v>658</v>
      </c>
      <c r="H1082" s="55" t="n">
        <v>28</v>
      </c>
      <c r="I1082" s="76" t="s">
        <v>512</v>
      </c>
      <c r="J1082" s="76" t="s">
        <v>164</v>
      </c>
      <c r="K1082" s="82" t="n">
        <v>1</v>
      </c>
      <c r="L1082" s="55" t="n">
        <v>4</v>
      </c>
      <c r="M1082" s="73" t="n">
        <v>20.5</v>
      </c>
      <c r="N1082" s="74" t="n">
        <f aca="false">K1082*L1082*M1082</f>
        <v>82</v>
      </c>
      <c r="O1082" s="41" t="n">
        <f aca="false">IFERROR(INDEX(Исходные!$B$21:$B$33,MATCH(H1082,Исходные!$A$21:$A$33,0)),0)</f>
        <v>4.834</v>
      </c>
      <c r="P1082" s="83" t="n">
        <f aca="false">N1082*O1082</f>
        <v>396.388</v>
      </c>
      <c r="Q1082" s="20" t="s">
        <v>1398</v>
      </c>
      <c r="R1082" s="84" t="s">
        <v>660</v>
      </c>
      <c r="S1082" s="20" t="s">
        <v>832</v>
      </c>
      <c r="T1082" s="20" t="s">
        <v>123</v>
      </c>
      <c r="U1082" s="53" t="n">
        <v>0</v>
      </c>
      <c r="V1082" s="76" t="s">
        <v>865</v>
      </c>
      <c r="W1082" s="53" t="n">
        <v>3</v>
      </c>
    </row>
    <row r="1083" customFormat="false" ht="35.05" hidden="false" customHeight="false" outlineLevel="0" collapsed="false">
      <c r="A1083" s="76" t="n">
        <v>1059</v>
      </c>
      <c r="B1083" s="20" t="s">
        <v>1526</v>
      </c>
      <c r="C1083" s="20" t="s">
        <v>655</v>
      </c>
      <c r="D1083" s="20" t="s">
        <v>1642</v>
      </c>
      <c r="E1083" s="20" t="s">
        <v>865</v>
      </c>
      <c r="F1083" s="76" t="s">
        <v>529</v>
      </c>
      <c r="G1083" s="20" t="s">
        <v>662</v>
      </c>
      <c r="H1083" s="55" t="n">
        <v>18</v>
      </c>
      <c r="I1083" s="76" t="s">
        <v>512</v>
      </c>
      <c r="J1083" s="76" t="s">
        <v>164</v>
      </c>
      <c r="K1083" s="82" t="n">
        <v>1</v>
      </c>
      <c r="L1083" s="55" t="n">
        <v>2</v>
      </c>
      <c r="M1083" s="73" t="n">
        <v>20.5</v>
      </c>
      <c r="N1083" s="74" t="n">
        <f aca="false">K1083*L1083*M1083</f>
        <v>41</v>
      </c>
      <c r="O1083" s="41" t="n">
        <f aca="false">IFERROR(INDEX(Исходные!$B$21:$B$33,MATCH(H1083,Исходные!$A$21:$A$33,0)),0)</f>
        <v>1.998</v>
      </c>
      <c r="P1083" s="83" t="n">
        <f aca="false">N1083*O1083</f>
        <v>81.918</v>
      </c>
      <c r="Q1083" s="20" t="s">
        <v>663</v>
      </c>
      <c r="R1083" s="84" t="s">
        <v>660</v>
      </c>
      <c r="S1083" s="20"/>
      <c r="T1083" s="20" t="s">
        <v>123</v>
      </c>
      <c r="U1083" s="53" t="n">
        <v>0</v>
      </c>
      <c r="V1083" s="76" t="s">
        <v>865</v>
      </c>
      <c r="W1083" s="53" t="n">
        <v>3</v>
      </c>
    </row>
    <row r="1084" customFormat="false" ht="35.05" hidden="false" customHeight="false" outlineLevel="0" collapsed="false">
      <c r="A1084" s="76" t="n">
        <v>1060</v>
      </c>
      <c r="B1084" s="20" t="s">
        <v>1526</v>
      </c>
      <c r="C1084" s="20" t="s">
        <v>655</v>
      </c>
      <c r="D1084" s="20" t="s">
        <v>1642</v>
      </c>
      <c r="E1084" s="20" t="s">
        <v>865</v>
      </c>
      <c r="F1084" s="76" t="s">
        <v>664</v>
      </c>
      <c r="G1084" s="20" t="s">
        <v>833</v>
      </c>
      <c r="H1084" s="55" t="n">
        <v>18</v>
      </c>
      <c r="I1084" s="76" t="s">
        <v>512</v>
      </c>
      <c r="J1084" s="76" t="s">
        <v>164</v>
      </c>
      <c r="K1084" s="82" t="n">
        <v>2</v>
      </c>
      <c r="L1084" s="55" t="n">
        <v>1</v>
      </c>
      <c r="M1084" s="73" t="n">
        <v>0.144</v>
      </c>
      <c r="N1084" s="74" t="n">
        <f aca="false">K1084*L1084*M1084</f>
        <v>0.288</v>
      </c>
      <c r="O1084" s="41" t="n">
        <f aca="false">IFERROR(INDEX(Исходные!$B$21:$B$33,MATCH(H1084,Исходные!$A$21:$A$33,0)),0)</f>
        <v>1.998</v>
      </c>
      <c r="P1084" s="83" t="n">
        <f aca="false">N1084*O1084</f>
        <v>0.575424</v>
      </c>
      <c r="Q1084" s="20" t="s">
        <v>666</v>
      </c>
      <c r="R1084" s="84" t="s">
        <v>667</v>
      </c>
      <c r="S1084" s="20" t="s">
        <v>805</v>
      </c>
      <c r="T1084" s="20" t="s">
        <v>123</v>
      </c>
      <c r="U1084" s="53" t="n">
        <v>0</v>
      </c>
      <c r="V1084" s="76" t="s">
        <v>865</v>
      </c>
      <c r="W1084" s="53" t="n">
        <v>3</v>
      </c>
    </row>
    <row r="1085" customFormat="false" ht="35.05" hidden="false" customHeight="false" outlineLevel="0" collapsed="false">
      <c r="A1085" s="76" t="n">
        <v>1061</v>
      </c>
      <c r="B1085" s="20" t="s">
        <v>1526</v>
      </c>
      <c r="C1085" s="20" t="s">
        <v>655</v>
      </c>
      <c r="D1085" s="20" t="s">
        <v>1642</v>
      </c>
      <c r="E1085" s="20" t="s">
        <v>865</v>
      </c>
      <c r="F1085" s="76" t="s">
        <v>669</v>
      </c>
      <c r="G1085" s="20" t="s">
        <v>670</v>
      </c>
      <c r="H1085" s="55" t="n">
        <v>16</v>
      </c>
      <c r="I1085" s="76" t="s">
        <v>512</v>
      </c>
      <c r="J1085" s="76" t="s">
        <v>164</v>
      </c>
      <c r="K1085" s="82" t="n">
        <v>1</v>
      </c>
      <c r="L1085" s="55" t="n">
        <v>2</v>
      </c>
      <c r="M1085" s="73" t="n">
        <v>20.5</v>
      </c>
      <c r="N1085" s="74" t="n">
        <f aca="false">K1085*L1085*M1085</f>
        <v>41</v>
      </c>
      <c r="O1085" s="41" t="n">
        <f aca="false">IFERROR(INDEX(Исходные!$B$21:$B$33,MATCH(H1085,Исходные!$A$21:$A$33,0)),0)</f>
        <v>1.578</v>
      </c>
      <c r="P1085" s="83" t="n">
        <f aca="false">N1085*O1085</f>
        <v>64.698</v>
      </c>
      <c r="Q1085" s="20" t="s">
        <v>671</v>
      </c>
      <c r="R1085" s="84" t="s">
        <v>660</v>
      </c>
      <c r="S1085" s="20"/>
      <c r="T1085" s="20" t="s">
        <v>123</v>
      </c>
      <c r="U1085" s="53" t="n">
        <v>0</v>
      </c>
      <c r="V1085" s="76" t="s">
        <v>865</v>
      </c>
      <c r="W1085" s="53" t="n">
        <v>3</v>
      </c>
    </row>
    <row r="1086" customFormat="false" ht="35.05" hidden="false" customHeight="false" outlineLevel="0" collapsed="false">
      <c r="A1086" s="76" t="n">
        <v>1062</v>
      </c>
      <c r="B1086" s="20" t="s">
        <v>1526</v>
      </c>
      <c r="C1086" s="20" t="s">
        <v>655</v>
      </c>
      <c r="D1086" s="20" t="s">
        <v>1642</v>
      </c>
      <c r="E1086" s="20" t="s">
        <v>865</v>
      </c>
      <c r="F1086" s="76" t="s">
        <v>672</v>
      </c>
      <c r="G1086" s="20" t="s">
        <v>834</v>
      </c>
      <c r="H1086" s="55" t="n">
        <v>16</v>
      </c>
      <c r="I1086" s="76" t="s">
        <v>512</v>
      </c>
      <c r="J1086" s="76" t="s">
        <v>164</v>
      </c>
      <c r="K1086" s="82" t="n">
        <v>2</v>
      </c>
      <c r="L1086" s="55" t="n">
        <v>1</v>
      </c>
      <c r="M1086" s="73" t="n">
        <v>0.128</v>
      </c>
      <c r="N1086" s="74" t="n">
        <f aca="false">K1086*L1086*M1086</f>
        <v>0.256</v>
      </c>
      <c r="O1086" s="41" t="n">
        <f aca="false">IFERROR(INDEX(Исходные!$B$21:$B$33,MATCH(H1086,Исходные!$A$21:$A$33,0)),0)</f>
        <v>1.578</v>
      </c>
      <c r="P1086" s="83" t="n">
        <f aca="false">N1086*O1086</f>
        <v>0.403968</v>
      </c>
      <c r="Q1086" s="20" t="s">
        <v>674</v>
      </c>
      <c r="R1086" s="84" t="s">
        <v>667</v>
      </c>
      <c r="S1086" s="20" t="s">
        <v>807</v>
      </c>
      <c r="T1086" s="20" t="s">
        <v>123</v>
      </c>
      <c r="U1086" s="53" t="n">
        <v>0</v>
      </c>
      <c r="V1086" s="76" t="s">
        <v>865</v>
      </c>
      <c r="W1086" s="53" t="n">
        <v>3</v>
      </c>
    </row>
    <row r="1087" customFormat="false" ht="35.05" hidden="false" customHeight="false" outlineLevel="0" collapsed="false">
      <c r="A1087" s="76" t="n">
        <v>1063</v>
      </c>
      <c r="B1087" s="20" t="s">
        <v>1526</v>
      </c>
      <c r="C1087" s="20" t="s">
        <v>655</v>
      </c>
      <c r="D1087" s="20" t="s">
        <v>1642</v>
      </c>
      <c r="E1087" s="20" t="s">
        <v>865</v>
      </c>
      <c r="F1087" s="76" t="s">
        <v>676</v>
      </c>
      <c r="G1087" s="20" t="s">
        <v>677</v>
      </c>
      <c r="H1087" s="55" t="n">
        <v>28</v>
      </c>
      <c r="I1087" s="76" t="s">
        <v>512</v>
      </c>
      <c r="J1087" s="76" t="s">
        <v>164</v>
      </c>
      <c r="K1087" s="82" t="n">
        <v>1</v>
      </c>
      <c r="L1087" s="55" t="n">
        <v>2</v>
      </c>
      <c r="M1087" s="73" t="n">
        <v>2.05</v>
      </c>
      <c r="N1087" s="74" t="n">
        <f aca="false">K1087*L1087*M1087</f>
        <v>4.1</v>
      </c>
      <c r="O1087" s="41" t="n">
        <f aca="false">IFERROR(INDEX(Исходные!$B$21:$B$33,MATCH(H1087,Исходные!$A$21:$A$33,0)),0)</f>
        <v>4.834</v>
      </c>
      <c r="P1087" s="83" t="n">
        <f aca="false">N1087*O1087</f>
        <v>19.8194</v>
      </c>
      <c r="Q1087" s="20" t="s">
        <v>1643</v>
      </c>
      <c r="R1087" s="84" t="s">
        <v>660</v>
      </c>
      <c r="S1087" s="20" t="s">
        <v>1369</v>
      </c>
      <c r="T1087" s="20" t="s">
        <v>123</v>
      </c>
      <c r="U1087" s="53" t="n">
        <v>0</v>
      </c>
      <c r="V1087" s="76" t="s">
        <v>865</v>
      </c>
      <c r="W1087" s="53" t="n">
        <v>3</v>
      </c>
    </row>
    <row r="1088" customFormat="false" ht="35.05" hidden="false" customHeight="false" outlineLevel="0" collapsed="false">
      <c r="A1088" s="76" t="n">
        <v>1064</v>
      </c>
      <c r="B1088" s="20" t="s">
        <v>1526</v>
      </c>
      <c r="C1088" s="20" t="s">
        <v>655</v>
      </c>
      <c r="D1088" s="20" t="s">
        <v>1642</v>
      </c>
      <c r="E1088" s="20" t="s">
        <v>865</v>
      </c>
      <c r="F1088" s="76" t="s">
        <v>676</v>
      </c>
      <c r="G1088" s="20" t="s">
        <v>810</v>
      </c>
      <c r="H1088" s="55" t="n">
        <v>28</v>
      </c>
      <c r="I1088" s="76" t="s">
        <v>512</v>
      </c>
      <c r="J1088" s="76" t="s">
        <v>164</v>
      </c>
      <c r="K1088" s="82" t="n">
        <v>1</v>
      </c>
      <c r="L1088" s="55" t="n">
        <v>2</v>
      </c>
      <c r="M1088" s="73" t="n">
        <v>3.8</v>
      </c>
      <c r="N1088" s="74" t="n">
        <f aca="false">K1088*L1088*M1088</f>
        <v>7.6</v>
      </c>
      <c r="O1088" s="41" t="n">
        <f aca="false">IFERROR(INDEX(Исходные!$B$21:$B$33,MATCH(H1088,Исходные!$A$21:$A$33,0)),0)</f>
        <v>4.834</v>
      </c>
      <c r="P1088" s="83" t="n">
        <f aca="false">N1088*O1088</f>
        <v>36.7384</v>
      </c>
      <c r="Q1088" s="20" t="s">
        <v>1643</v>
      </c>
      <c r="R1088" s="84" t="s">
        <v>660</v>
      </c>
      <c r="S1088" s="20" t="s">
        <v>812</v>
      </c>
      <c r="T1088" s="20" t="s">
        <v>123</v>
      </c>
      <c r="U1088" s="53" t="n">
        <v>0</v>
      </c>
      <c r="V1088" s="76" t="s">
        <v>865</v>
      </c>
      <c r="W1088" s="53" t="n">
        <v>3</v>
      </c>
    </row>
    <row r="1089" customFormat="false" ht="35.05" hidden="false" customHeight="false" outlineLevel="0" collapsed="false">
      <c r="A1089" s="76" t="n">
        <v>1065</v>
      </c>
      <c r="B1089" s="20" t="s">
        <v>1526</v>
      </c>
      <c r="C1089" s="20" t="s">
        <v>655</v>
      </c>
      <c r="D1089" s="20" t="s">
        <v>1642</v>
      </c>
      <c r="E1089" s="20" t="s">
        <v>865</v>
      </c>
      <c r="F1089" s="76" t="s">
        <v>676</v>
      </c>
      <c r="G1089" s="20" t="s">
        <v>1644</v>
      </c>
      <c r="H1089" s="55" t="n">
        <v>28</v>
      </c>
      <c r="I1089" s="76" t="s">
        <v>512</v>
      </c>
      <c r="J1089" s="76" t="s">
        <v>164</v>
      </c>
      <c r="K1089" s="82" t="n">
        <v>1</v>
      </c>
      <c r="L1089" s="55" t="n">
        <v>2</v>
      </c>
      <c r="M1089" s="73" t="n">
        <v>3.8</v>
      </c>
      <c r="N1089" s="74" t="n">
        <f aca="false">K1089*L1089*M1089</f>
        <v>7.6</v>
      </c>
      <c r="O1089" s="41" t="n">
        <f aca="false">IFERROR(INDEX(Исходные!$B$21:$B$33,MATCH(H1089,Исходные!$A$21:$A$33,0)),0)</f>
        <v>4.834</v>
      </c>
      <c r="P1089" s="83" t="n">
        <f aca="false">N1089*O1089</f>
        <v>36.7384</v>
      </c>
      <c r="Q1089" s="20" t="s">
        <v>1643</v>
      </c>
      <c r="R1089" s="84" t="s">
        <v>660</v>
      </c>
      <c r="S1089" s="20" t="s">
        <v>812</v>
      </c>
      <c r="T1089" s="20" t="s">
        <v>123</v>
      </c>
      <c r="U1089" s="53" t="n">
        <v>0</v>
      </c>
      <c r="V1089" s="76" t="s">
        <v>865</v>
      </c>
      <c r="W1089" s="53" t="n">
        <v>3</v>
      </c>
    </row>
    <row r="1090" customFormat="false" ht="35.05" hidden="false" customHeight="false" outlineLevel="0" collapsed="false">
      <c r="A1090" s="76" t="n">
        <v>1066</v>
      </c>
      <c r="B1090" s="20" t="s">
        <v>1526</v>
      </c>
      <c r="C1090" s="20" t="s">
        <v>655</v>
      </c>
      <c r="D1090" s="20" t="s">
        <v>1642</v>
      </c>
      <c r="E1090" s="20" t="s">
        <v>865</v>
      </c>
      <c r="F1090" s="76" t="s">
        <v>676</v>
      </c>
      <c r="G1090" s="20" t="s">
        <v>1401</v>
      </c>
      <c r="H1090" s="55" t="n">
        <v>28</v>
      </c>
      <c r="I1090" s="76" t="s">
        <v>512</v>
      </c>
      <c r="J1090" s="76" t="s">
        <v>164</v>
      </c>
      <c r="K1090" s="82" t="n">
        <v>1</v>
      </c>
      <c r="L1090" s="55" t="n">
        <v>2</v>
      </c>
      <c r="M1090" s="73" t="n">
        <v>3.8</v>
      </c>
      <c r="N1090" s="74" t="n">
        <f aca="false">K1090*L1090*M1090</f>
        <v>7.6</v>
      </c>
      <c r="O1090" s="41" t="n">
        <f aca="false">IFERROR(INDEX(Исходные!$B$21:$B$33,MATCH(H1090,Исходные!$A$21:$A$33,0)),0)</f>
        <v>4.834</v>
      </c>
      <c r="P1090" s="83" t="n">
        <f aca="false">N1090*O1090</f>
        <v>36.7384</v>
      </c>
      <c r="Q1090" s="20" t="s">
        <v>1643</v>
      </c>
      <c r="R1090" s="84" t="s">
        <v>660</v>
      </c>
      <c r="S1090" s="20" t="s">
        <v>815</v>
      </c>
      <c r="T1090" s="20" t="s">
        <v>123</v>
      </c>
      <c r="U1090" s="53" t="n">
        <v>0</v>
      </c>
      <c r="V1090" s="76" t="s">
        <v>865</v>
      </c>
      <c r="W1090" s="53" t="n">
        <v>3</v>
      </c>
    </row>
    <row r="1091" customFormat="false" ht="35.05" hidden="false" customHeight="false" outlineLevel="0" collapsed="false">
      <c r="A1091" s="76" t="n">
        <v>1067</v>
      </c>
      <c r="B1091" s="20" t="s">
        <v>1526</v>
      </c>
      <c r="C1091" s="20" t="s">
        <v>655</v>
      </c>
      <c r="D1091" s="20" t="s">
        <v>1642</v>
      </c>
      <c r="E1091" s="20" t="s">
        <v>865</v>
      </c>
      <c r="F1091" s="76" t="s">
        <v>676</v>
      </c>
      <c r="G1091" s="20" t="s">
        <v>871</v>
      </c>
      <c r="H1091" s="55" t="n">
        <v>25</v>
      </c>
      <c r="I1091" s="76" t="s">
        <v>512</v>
      </c>
      <c r="J1091" s="76" t="s">
        <v>164</v>
      </c>
      <c r="K1091" s="82" t="n">
        <v>1</v>
      </c>
      <c r="L1091" s="55" t="n">
        <v>2</v>
      </c>
      <c r="M1091" s="73" t="n">
        <v>3.8</v>
      </c>
      <c r="N1091" s="74" t="n">
        <f aca="false">K1091*L1091*M1091</f>
        <v>7.6</v>
      </c>
      <c r="O1091" s="41" t="n">
        <f aca="false">IFERROR(INDEX(Исходные!$B$21:$B$33,MATCH(H1091,Исходные!$A$21:$A$33,0)),0)</f>
        <v>3.853</v>
      </c>
      <c r="P1091" s="83" t="n">
        <f aca="false">N1091*O1091</f>
        <v>29.2828</v>
      </c>
      <c r="Q1091" s="20" t="s">
        <v>1645</v>
      </c>
      <c r="R1091" s="84" t="s">
        <v>660</v>
      </c>
      <c r="S1091" s="20" t="s">
        <v>815</v>
      </c>
      <c r="T1091" s="20" t="s">
        <v>123</v>
      </c>
      <c r="U1091" s="53" t="n">
        <v>0</v>
      </c>
      <c r="V1091" s="76" t="s">
        <v>865</v>
      </c>
      <c r="W1091" s="53" t="n">
        <v>3</v>
      </c>
    </row>
    <row r="1092" customFormat="false" ht="35.05" hidden="false" customHeight="false" outlineLevel="0" collapsed="false">
      <c r="A1092" s="76" t="n">
        <v>1068</v>
      </c>
      <c r="B1092" s="20" t="s">
        <v>1526</v>
      </c>
      <c r="C1092" s="20" t="s">
        <v>655</v>
      </c>
      <c r="D1092" s="20" t="s">
        <v>1642</v>
      </c>
      <c r="E1092" s="20" t="s">
        <v>865</v>
      </c>
      <c r="F1092" s="76" t="s">
        <v>676</v>
      </c>
      <c r="G1092" s="20" t="s">
        <v>872</v>
      </c>
      <c r="H1092" s="55" t="n">
        <v>32</v>
      </c>
      <c r="I1092" s="76" t="s">
        <v>512</v>
      </c>
      <c r="J1092" s="76" t="s">
        <v>164</v>
      </c>
      <c r="K1092" s="82" t="n">
        <v>1</v>
      </c>
      <c r="L1092" s="55" t="n">
        <v>2</v>
      </c>
      <c r="M1092" s="73" t="n">
        <v>2.05</v>
      </c>
      <c r="N1092" s="74" t="n">
        <f aca="false">K1092*L1092*M1092</f>
        <v>4.1</v>
      </c>
      <c r="O1092" s="41" t="n">
        <f aca="false">IFERROR(INDEX(Исходные!$B$21:$B$33,MATCH(H1092,Исходные!$A$21:$A$33,0)),0)</f>
        <v>6.313</v>
      </c>
      <c r="P1092" s="83" t="n">
        <f aca="false">N1092*O1092</f>
        <v>25.8833</v>
      </c>
      <c r="Q1092" s="20" t="s">
        <v>1646</v>
      </c>
      <c r="R1092" s="84" t="s">
        <v>660</v>
      </c>
      <c r="S1092" s="20" t="s">
        <v>1372</v>
      </c>
      <c r="T1092" s="20" t="s">
        <v>123</v>
      </c>
      <c r="U1092" s="53" t="n">
        <v>0</v>
      </c>
      <c r="V1092" s="76" t="s">
        <v>865</v>
      </c>
      <c r="W1092" s="53" t="n">
        <v>3</v>
      </c>
    </row>
    <row r="1093" customFormat="false" ht="35.05" hidden="false" customHeight="false" outlineLevel="0" collapsed="false">
      <c r="A1093" s="76" t="n">
        <v>1069</v>
      </c>
      <c r="B1093" s="20" t="s">
        <v>1526</v>
      </c>
      <c r="C1093" s="20" t="s">
        <v>655</v>
      </c>
      <c r="D1093" s="20" t="s">
        <v>1642</v>
      </c>
      <c r="E1093" s="20" t="s">
        <v>865</v>
      </c>
      <c r="F1093" s="76" t="s">
        <v>676</v>
      </c>
      <c r="G1093" s="20" t="s">
        <v>729</v>
      </c>
      <c r="H1093" s="55" t="n">
        <v>16</v>
      </c>
      <c r="I1093" s="76" t="s">
        <v>512</v>
      </c>
      <c r="J1093" s="76" t="s">
        <v>164</v>
      </c>
      <c r="K1093" s="82" t="n">
        <v>1</v>
      </c>
      <c r="L1093" s="55" t="n">
        <v>2</v>
      </c>
      <c r="M1093" s="73" t="n">
        <v>2.9</v>
      </c>
      <c r="N1093" s="74" t="n">
        <f aca="false">K1093*L1093*M1093</f>
        <v>5.8</v>
      </c>
      <c r="O1093" s="41" t="n">
        <f aca="false">IFERROR(INDEX(Исходные!$B$21:$B$33,MATCH(H1093,Исходные!$A$21:$A$33,0)),0)</f>
        <v>1.578</v>
      </c>
      <c r="P1093" s="83" t="n">
        <f aca="false">N1093*O1093</f>
        <v>9.1524</v>
      </c>
      <c r="Q1093" s="20" t="s">
        <v>1647</v>
      </c>
      <c r="R1093" s="84" t="s">
        <v>660</v>
      </c>
      <c r="S1093" s="20" t="s">
        <v>875</v>
      </c>
      <c r="T1093" s="20" t="s">
        <v>123</v>
      </c>
      <c r="U1093" s="53" t="n">
        <v>0</v>
      </c>
      <c r="V1093" s="76" t="s">
        <v>865</v>
      </c>
      <c r="W1093" s="53" t="n">
        <v>3</v>
      </c>
    </row>
    <row r="1094" customFormat="false" ht="35.05" hidden="false" customHeight="false" outlineLevel="0" collapsed="false">
      <c r="A1094" s="76" t="n">
        <v>1070</v>
      </c>
      <c r="B1094" s="20" t="s">
        <v>1526</v>
      </c>
      <c r="C1094" s="20" t="s">
        <v>655</v>
      </c>
      <c r="D1094" s="20" t="s">
        <v>1642</v>
      </c>
      <c r="E1094" s="20" t="s">
        <v>865</v>
      </c>
      <c r="F1094" s="76" t="s">
        <v>676</v>
      </c>
      <c r="G1094" s="20" t="s">
        <v>876</v>
      </c>
      <c r="H1094" s="55" t="n">
        <v>28</v>
      </c>
      <c r="I1094" s="76" t="s">
        <v>512</v>
      </c>
      <c r="J1094" s="76" t="s">
        <v>164</v>
      </c>
      <c r="K1094" s="82" t="n">
        <v>1</v>
      </c>
      <c r="L1094" s="55" t="n">
        <v>2</v>
      </c>
      <c r="M1094" s="73" t="n">
        <v>3</v>
      </c>
      <c r="N1094" s="74" t="n">
        <f aca="false">K1094*L1094*M1094</f>
        <v>6</v>
      </c>
      <c r="O1094" s="41" t="n">
        <f aca="false">IFERROR(INDEX(Исходные!$B$21:$B$33,MATCH(H1094,Исходные!$A$21:$A$33,0)),0)</f>
        <v>4.834</v>
      </c>
      <c r="P1094" s="83" t="n">
        <f aca="false">N1094*O1094</f>
        <v>29.004</v>
      </c>
      <c r="Q1094" s="20" t="s">
        <v>1643</v>
      </c>
      <c r="R1094" s="84" t="s">
        <v>660</v>
      </c>
      <c r="S1094" s="20" t="s">
        <v>822</v>
      </c>
      <c r="T1094" s="20" t="s">
        <v>123</v>
      </c>
      <c r="U1094" s="53" t="n">
        <v>0</v>
      </c>
      <c r="V1094" s="76" t="s">
        <v>865</v>
      </c>
      <c r="W1094" s="53" t="n">
        <v>3</v>
      </c>
    </row>
    <row r="1095" customFormat="false" ht="35.05" hidden="false" customHeight="false" outlineLevel="0" collapsed="false">
      <c r="A1095" s="76" t="n">
        <v>1071</v>
      </c>
      <c r="B1095" s="20" t="s">
        <v>1526</v>
      </c>
      <c r="C1095" s="20" t="s">
        <v>655</v>
      </c>
      <c r="D1095" s="20" t="s">
        <v>1642</v>
      </c>
      <c r="E1095" s="20" t="s">
        <v>865</v>
      </c>
      <c r="F1095" s="76" t="s">
        <v>676</v>
      </c>
      <c r="G1095" s="20" t="s">
        <v>1404</v>
      </c>
      <c r="H1095" s="55" t="n">
        <v>18</v>
      </c>
      <c r="I1095" s="76" t="s">
        <v>512</v>
      </c>
      <c r="J1095" s="76" t="s">
        <v>164</v>
      </c>
      <c r="K1095" s="82" t="n">
        <v>1</v>
      </c>
      <c r="L1095" s="55" t="n">
        <v>2</v>
      </c>
      <c r="M1095" s="73" t="n">
        <v>4.95</v>
      </c>
      <c r="N1095" s="74" t="n">
        <f aca="false">K1095*L1095*M1095</f>
        <v>9.9</v>
      </c>
      <c r="O1095" s="41" t="n">
        <f aca="false">IFERROR(INDEX(Исходные!$B$21:$B$33,MATCH(H1095,Исходные!$A$21:$A$33,0)),0)</f>
        <v>1.998</v>
      </c>
      <c r="P1095" s="83" t="n">
        <f aca="false">N1095*O1095</f>
        <v>19.7802</v>
      </c>
      <c r="Q1095" s="20" t="s">
        <v>1648</v>
      </c>
      <c r="R1095" s="84" t="s">
        <v>660</v>
      </c>
      <c r="S1095" s="20" t="s">
        <v>1406</v>
      </c>
      <c r="T1095" s="20" t="s">
        <v>123</v>
      </c>
      <c r="U1095" s="53" t="n">
        <v>0</v>
      </c>
      <c r="V1095" s="76" t="s">
        <v>865</v>
      </c>
      <c r="W1095" s="53" t="n">
        <v>3</v>
      </c>
    </row>
    <row r="1096" customFormat="false" ht="35.05" hidden="false" customHeight="false" outlineLevel="0" collapsed="false">
      <c r="A1096" s="76" t="n">
        <v>1072</v>
      </c>
      <c r="B1096" s="20" t="s">
        <v>1526</v>
      </c>
      <c r="C1096" s="20" t="s">
        <v>655</v>
      </c>
      <c r="D1096" s="20" t="s">
        <v>1642</v>
      </c>
      <c r="E1096" s="20" t="s">
        <v>865</v>
      </c>
      <c r="F1096" s="76" t="s">
        <v>676</v>
      </c>
      <c r="G1096" s="20" t="s">
        <v>1649</v>
      </c>
      <c r="H1096" s="55" t="n">
        <v>12</v>
      </c>
      <c r="I1096" s="76" t="s">
        <v>512</v>
      </c>
      <c r="J1096" s="76" t="s">
        <v>164</v>
      </c>
      <c r="K1096" s="82" t="n">
        <v>1</v>
      </c>
      <c r="L1096" s="55" t="n">
        <v>4</v>
      </c>
      <c r="M1096" s="73" t="n">
        <v>3.8</v>
      </c>
      <c r="N1096" s="74" t="n">
        <f aca="false">K1096*L1096*M1096</f>
        <v>15.2</v>
      </c>
      <c r="O1096" s="41" t="n">
        <f aca="false">IFERROR(INDEX(Исходные!$B$21:$B$33,MATCH(H1096,Исходные!$A$21:$A$33,0)),0)</f>
        <v>0.888</v>
      </c>
      <c r="P1096" s="83" t="n">
        <f aca="false">N1096*O1096</f>
        <v>13.4976</v>
      </c>
      <c r="Q1096" s="20" t="s">
        <v>1650</v>
      </c>
      <c r="R1096" s="84" t="s">
        <v>660</v>
      </c>
      <c r="S1096" s="20" t="s">
        <v>812</v>
      </c>
      <c r="T1096" s="20" t="s">
        <v>123</v>
      </c>
      <c r="U1096" s="53" t="n">
        <v>0</v>
      </c>
      <c r="V1096" s="76" t="s">
        <v>865</v>
      </c>
      <c r="W1096" s="53" t="n">
        <v>3</v>
      </c>
    </row>
    <row r="1097" customFormat="false" ht="35.05" hidden="false" customHeight="false" outlineLevel="0" collapsed="false">
      <c r="A1097" s="76" t="n">
        <v>1073</v>
      </c>
      <c r="B1097" s="20" t="s">
        <v>1526</v>
      </c>
      <c r="C1097" s="20" t="s">
        <v>655</v>
      </c>
      <c r="D1097" s="20" t="s">
        <v>1642</v>
      </c>
      <c r="E1097" s="20" t="s">
        <v>865</v>
      </c>
      <c r="F1097" s="76" t="s">
        <v>676</v>
      </c>
      <c r="G1097" s="20" t="s">
        <v>1651</v>
      </c>
      <c r="H1097" s="55" t="n">
        <v>12</v>
      </c>
      <c r="I1097" s="76" t="s">
        <v>512</v>
      </c>
      <c r="J1097" s="76" t="s">
        <v>164</v>
      </c>
      <c r="K1097" s="82" t="n">
        <v>1</v>
      </c>
      <c r="L1097" s="55" t="n">
        <v>4</v>
      </c>
      <c r="M1097" s="73" t="n">
        <v>3.8</v>
      </c>
      <c r="N1097" s="74" t="n">
        <f aca="false">K1097*L1097*M1097</f>
        <v>15.2</v>
      </c>
      <c r="O1097" s="41" t="n">
        <f aca="false">IFERROR(INDEX(Исходные!$B$21:$B$33,MATCH(H1097,Исходные!$A$21:$A$33,0)),0)</f>
        <v>0.888</v>
      </c>
      <c r="P1097" s="83" t="n">
        <f aca="false">N1097*O1097</f>
        <v>13.4976</v>
      </c>
      <c r="Q1097" s="20" t="s">
        <v>1650</v>
      </c>
      <c r="R1097" s="84" t="s">
        <v>660</v>
      </c>
      <c r="S1097" s="20" t="s">
        <v>815</v>
      </c>
      <c r="T1097" s="20" t="s">
        <v>123</v>
      </c>
      <c r="U1097" s="53" t="n">
        <v>0</v>
      </c>
      <c r="V1097" s="76" t="s">
        <v>865</v>
      </c>
      <c r="W1097" s="53" t="n">
        <v>3</v>
      </c>
    </row>
    <row r="1098" customFormat="false" ht="35.05" hidden="false" customHeight="false" outlineLevel="0" collapsed="false">
      <c r="A1098" s="76" t="n">
        <v>1074</v>
      </c>
      <c r="B1098" s="20" t="s">
        <v>1526</v>
      </c>
      <c r="C1098" s="20" t="s">
        <v>655</v>
      </c>
      <c r="D1098" s="20" t="s">
        <v>1642</v>
      </c>
      <c r="E1098" s="20" t="s">
        <v>865</v>
      </c>
      <c r="F1098" s="76" t="s">
        <v>676</v>
      </c>
      <c r="G1098" s="20" t="s">
        <v>1652</v>
      </c>
      <c r="H1098" s="55" t="n">
        <v>12</v>
      </c>
      <c r="I1098" s="76" t="s">
        <v>512</v>
      </c>
      <c r="J1098" s="76" t="s">
        <v>164</v>
      </c>
      <c r="K1098" s="82" t="n">
        <v>1</v>
      </c>
      <c r="L1098" s="55" t="n">
        <v>4</v>
      </c>
      <c r="M1098" s="73" t="n">
        <v>10.6</v>
      </c>
      <c r="N1098" s="74" t="n">
        <f aca="false">K1098*L1098*M1098</f>
        <v>42.4</v>
      </c>
      <c r="O1098" s="41" t="n">
        <f aca="false">IFERROR(INDEX(Исходные!$B$21:$B$33,MATCH(H1098,Исходные!$A$21:$A$33,0)),0)</f>
        <v>0.888</v>
      </c>
      <c r="P1098" s="83" t="n">
        <f aca="false">N1098*O1098</f>
        <v>37.6512</v>
      </c>
      <c r="Q1098" s="20" t="s">
        <v>1653</v>
      </c>
      <c r="R1098" s="84" t="s">
        <v>660</v>
      </c>
      <c r="S1098" s="20" t="s">
        <v>1654</v>
      </c>
      <c r="T1098" s="20" t="s">
        <v>123</v>
      </c>
      <c r="U1098" s="53" t="n">
        <v>0</v>
      </c>
      <c r="V1098" s="76" t="s">
        <v>865</v>
      </c>
      <c r="W1098" s="53" t="n">
        <v>3</v>
      </c>
    </row>
    <row r="1099" customFormat="false" ht="35.05" hidden="false" customHeight="false" outlineLevel="0" collapsed="false">
      <c r="A1099" s="76" t="n">
        <v>1075</v>
      </c>
      <c r="B1099" s="20" t="s">
        <v>1526</v>
      </c>
      <c r="C1099" s="20" t="s">
        <v>655</v>
      </c>
      <c r="D1099" s="20" t="s">
        <v>1642</v>
      </c>
      <c r="E1099" s="20" t="s">
        <v>865</v>
      </c>
      <c r="F1099" s="76" t="s">
        <v>676</v>
      </c>
      <c r="G1099" s="20" t="s">
        <v>882</v>
      </c>
      <c r="H1099" s="55" t="n">
        <v>12</v>
      </c>
      <c r="I1099" s="76" t="s">
        <v>512</v>
      </c>
      <c r="J1099" s="76" t="s">
        <v>164</v>
      </c>
      <c r="K1099" s="82" t="n">
        <v>1</v>
      </c>
      <c r="L1099" s="55" t="n">
        <v>4</v>
      </c>
      <c r="M1099" s="73" t="n">
        <v>2.05</v>
      </c>
      <c r="N1099" s="74" t="n">
        <f aca="false">K1099*L1099*M1099</f>
        <v>8.2</v>
      </c>
      <c r="O1099" s="41" t="n">
        <f aca="false">IFERROR(INDEX(Исходные!$B$21:$B$33,MATCH(H1099,Исходные!$A$21:$A$33,0)),0)</f>
        <v>0.888</v>
      </c>
      <c r="P1099" s="83" t="n">
        <f aca="false">N1099*O1099</f>
        <v>7.2816</v>
      </c>
      <c r="Q1099" s="20" t="s">
        <v>1653</v>
      </c>
      <c r="R1099" s="84" t="s">
        <v>660</v>
      </c>
      <c r="S1099" s="20" t="s">
        <v>1372</v>
      </c>
      <c r="T1099" s="20" t="s">
        <v>123</v>
      </c>
      <c r="U1099" s="53" t="n">
        <v>0</v>
      </c>
      <c r="V1099" s="76" t="s">
        <v>865</v>
      </c>
      <c r="W1099" s="53" t="n">
        <v>3</v>
      </c>
    </row>
    <row r="1100" customFormat="false" ht="35.05" hidden="false" customHeight="false" outlineLevel="0" collapsed="false">
      <c r="A1100" s="76" t="n">
        <v>1076</v>
      </c>
      <c r="B1100" s="20" t="s">
        <v>1526</v>
      </c>
      <c r="C1100" s="20" t="s">
        <v>655</v>
      </c>
      <c r="D1100" s="20" t="s">
        <v>1642</v>
      </c>
      <c r="E1100" s="20" t="s">
        <v>865</v>
      </c>
      <c r="F1100" s="76" t="s">
        <v>696</v>
      </c>
      <c r="G1100" s="20" t="s">
        <v>1308</v>
      </c>
      <c r="H1100" s="55" t="n">
        <v>8</v>
      </c>
      <c r="I1100" s="76" t="s">
        <v>546</v>
      </c>
      <c r="J1100" s="76" t="s">
        <v>698</v>
      </c>
      <c r="K1100" s="82" t="n">
        <v>1</v>
      </c>
      <c r="L1100" s="55" t="n">
        <v>64</v>
      </c>
      <c r="M1100" s="73" t="n">
        <v>2.06</v>
      </c>
      <c r="N1100" s="74" t="n">
        <f aca="false">K1100*L1100*M1100</f>
        <v>131.84</v>
      </c>
      <c r="O1100" s="41" t="n">
        <f aca="false">IFERROR(INDEX(Исходные!$B$21:$B$33,MATCH(H1100,Исходные!$A$21:$A$33,0)),0)</f>
        <v>0.395</v>
      </c>
      <c r="P1100" s="83" t="n">
        <f aca="false">N1100*O1100</f>
        <v>52.0768</v>
      </c>
      <c r="Q1100" s="20" t="s">
        <v>1309</v>
      </c>
      <c r="R1100" s="84" t="s">
        <v>514</v>
      </c>
      <c r="S1100" s="20" t="s">
        <v>1375</v>
      </c>
      <c r="T1100" s="20" t="s">
        <v>123</v>
      </c>
      <c r="U1100" s="53" t="n">
        <v>0</v>
      </c>
      <c r="V1100" s="76" t="s">
        <v>865</v>
      </c>
      <c r="W1100" s="53" t="n">
        <v>3</v>
      </c>
    </row>
    <row r="1101" customFormat="false" ht="35.05" hidden="false" customHeight="false" outlineLevel="0" collapsed="false">
      <c r="A1101" s="76" t="n">
        <v>1077</v>
      </c>
      <c r="B1101" s="20" t="s">
        <v>1526</v>
      </c>
      <c r="C1101" s="20" t="s">
        <v>655</v>
      </c>
      <c r="D1101" s="20" t="s">
        <v>1642</v>
      </c>
      <c r="E1101" s="20" t="s">
        <v>865</v>
      </c>
      <c r="F1101" s="76" t="s">
        <v>561</v>
      </c>
      <c r="G1101" s="20" t="s">
        <v>1311</v>
      </c>
      <c r="H1101" s="55" t="n">
        <v>10</v>
      </c>
      <c r="I1101" s="76" t="s">
        <v>546</v>
      </c>
      <c r="J1101" s="76" t="n">
        <v>100</v>
      </c>
      <c r="K1101" s="82" t="n">
        <v>1</v>
      </c>
      <c r="L1101" s="55" t="n">
        <v>94</v>
      </c>
      <c r="M1101" s="73" t="n">
        <v>2.06</v>
      </c>
      <c r="N1101" s="74" t="n">
        <f aca="false">K1101*L1101*M1101</f>
        <v>193.64</v>
      </c>
      <c r="O1101" s="41" t="n">
        <f aca="false">IFERROR(INDEX(Исходные!$B$21:$B$33,MATCH(H1101,Исходные!$A$21:$A$33,0)),0)</f>
        <v>0.617</v>
      </c>
      <c r="P1101" s="83" t="n">
        <f aca="false">N1101*O1101</f>
        <v>119.47588</v>
      </c>
      <c r="Q1101" s="20" t="s">
        <v>1655</v>
      </c>
      <c r="R1101" s="84" t="s">
        <v>514</v>
      </c>
      <c r="S1101" s="20" t="s">
        <v>1656</v>
      </c>
      <c r="T1101" s="20" t="s">
        <v>123</v>
      </c>
      <c r="U1101" s="53" t="n">
        <v>0</v>
      </c>
      <c r="V1101" s="76" t="s">
        <v>865</v>
      </c>
      <c r="W1101" s="53" t="n">
        <v>3</v>
      </c>
    </row>
    <row r="1102" customFormat="false" ht="35.05" hidden="false" customHeight="false" outlineLevel="0" collapsed="false">
      <c r="A1102" s="76" t="n">
        <v>1078</v>
      </c>
      <c r="B1102" s="20" t="s">
        <v>1526</v>
      </c>
      <c r="C1102" s="20" t="s">
        <v>655</v>
      </c>
      <c r="D1102" s="20" t="s">
        <v>1642</v>
      </c>
      <c r="E1102" s="20" t="s">
        <v>865</v>
      </c>
      <c r="F1102" s="76" t="s">
        <v>603</v>
      </c>
      <c r="G1102" s="20" t="s">
        <v>704</v>
      </c>
      <c r="H1102" s="55" t="n">
        <v>10</v>
      </c>
      <c r="I1102" s="76" t="s">
        <v>546</v>
      </c>
      <c r="J1102" s="76" t="n">
        <v>100</v>
      </c>
      <c r="K1102" s="82" t="n">
        <v>1</v>
      </c>
      <c r="L1102" s="55" t="n">
        <v>50</v>
      </c>
      <c r="M1102" s="73" t="n">
        <v>1.6</v>
      </c>
      <c r="N1102" s="74" t="n">
        <f aca="false">K1102*L1102*M1102</f>
        <v>80</v>
      </c>
      <c r="O1102" s="41" t="n">
        <f aca="false">IFERROR(INDEX(Исходные!$B$21:$B$33,MATCH(H1102,Исходные!$A$21:$A$33,0)),0)</f>
        <v>0.617</v>
      </c>
      <c r="P1102" s="83" t="n">
        <f aca="false">N1102*O1102</f>
        <v>49.36</v>
      </c>
      <c r="Q1102" s="20" t="s">
        <v>885</v>
      </c>
      <c r="R1102" s="84" t="s">
        <v>514</v>
      </c>
      <c r="S1102" s="20"/>
      <c r="T1102" s="20" t="s">
        <v>123</v>
      </c>
      <c r="U1102" s="53" t="n">
        <v>0</v>
      </c>
      <c r="V1102" s="76" t="s">
        <v>865</v>
      </c>
      <c r="W1102" s="53" t="n">
        <v>3</v>
      </c>
    </row>
    <row r="1103" customFormat="false" ht="35.05" hidden="false" customHeight="false" outlineLevel="0" collapsed="false">
      <c r="A1103" s="76" t="n">
        <v>1079</v>
      </c>
      <c r="B1103" s="20" t="s">
        <v>1526</v>
      </c>
      <c r="C1103" s="20" t="s">
        <v>655</v>
      </c>
      <c r="D1103" s="20" t="s">
        <v>1642</v>
      </c>
      <c r="E1103" s="20" t="s">
        <v>865</v>
      </c>
      <c r="F1103" s="76" t="s">
        <v>706</v>
      </c>
      <c r="G1103" s="20" t="s">
        <v>1314</v>
      </c>
      <c r="H1103" s="55" t="n">
        <v>8</v>
      </c>
      <c r="I1103" s="76" t="s">
        <v>546</v>
      </c>
      <c r="J1103" s="76" t="s">
        <v>708</v>
      </c>
      <c r="K1103" s="82" t="n">
        <v>1</v>
      </c>
      <c r="L1103" s="55" t="n">
        <v>73</v>
      </c>
      <c r="M1103" s="73" t="n">
        <v>0.75</v>
      </c>
      <c r="N1103" s="74" t="n">
        <f aca="false">K1103*L1103*M1103</f>
        <v>54.75</v>
      </c>
      <c r="O1103" s="41" t="n">
        <f aca="false">IFERROR(INDEX(Исходные!$B$21:$B$33,MATCH(H1103,Исходные!$A$21:$A$33,0)),0)</f>
        <v>0.395</v>
      </c>
      <c r="P1103" s="83" t="n">
        <f aca="false">N1103*O1103</f>
        <v>21.62625</v>
      </c>
      <c r="Q1103" s="20" t="s">
        <v>709</v>
      </c>
      <c r="R1103" s="84" t="s">
        <v>514</v>
      </c>
      <c r="S1103" s="20"/>
      <c r="T1103" s="20" t="s">
        <v>123</v>
      </c>
      <c r="U1103" s="53" t="n">
        <v>0</v>
      </c>
      <c r="V1103" s="76" t="s">
        <v>865</v>
      </c>
      <c r="W1103" s="53" t="n">
        <v>3</v>
      </c>
    </row>
    <row r="1104" customFormat="false" ht="35.05" hidden="false" customHeight="false" outlineLevel="0" collapsed="false">
      <c r="A1104" s="76" t="n">
        <v>1080</v>
      </c>
      <c r="B1104" s="20" t="s">
        <v>1526</v>
      </c>
      <c r="C1104" s="20" t="s">
        <v>655</v>
      </c>
      <c r="D1104" s="20" t="s">
        <v>1642</v>
      </c>
      <c r="E1104" s="20" t="s">
        <v>865</v>
      </c>
      <c r="F1104" s="76" t="s">
        <v>710</v>
      </c>
      <c r="G1104" s="20" t="s">
        <v>1315</v>
      </c>
      <c r="H1104" s="55" t="n">
        <v>8</v>
      </c>
      <c r="I1104" s="76" t="s">
        <v>546</v>
      </c>
      <c r="J1104" s="76" t="n">
        <v>300</v>
      </c>
      <c r="K1104" s="82" t="n">
        <v>1</v>
      </c>
      <c r="L1104" s="55" t="n">
        <v>62</v>
      </c>
      <c r="M1104" s="73" t="n">
        <v>0.58</v>
      </c>
      <c r="N1104" s="74" t="n">
        <f aca="false">K1104*L1104*M1104</f>
        <v>35.96</v>
      </c>
      <c r="O1104" s="41" t="n">
        <f aca="false">IFERROR(INDEX(Исходные!$B$21:$B$33,MATCH(H1104,Исходные!$A$21:$A$33,0)),0)</f>
        <v>0.395</v>
      </c>
      <c r="P1104" s="83" t="n">
        <f aca="false">N1104*O1104</f>
        <v>14.2042</v>
      </c>
      <c r="Q1104" s="20" t="s">
        <v>1316</v>
      </c>
      <c r="R1104" s="85" t="s">
        <v>638</v>
      </c>
      <c r="S1104" s="20"/>
      <c r="T1104" s="20" t="s">
        <v>123</v>
      </c>
      <c r="U1104" s="53" t="n">
        <v>1</v>
      </c>
      <c r="V1104" s="76" t="s">
        <v>865</v>
      </c>
      <c r="W1104" s="53" t="n">
        <v>3</v>
      </c>
    </row>
    <row r="1105" customFormat="false" ht="35.05" hidden="false" customHeight="false" outlineLevel="0" collapsed="false">
      <c r="A1105" s="76" t="n">
        <v>1081</v>
      </c>
      <c r="B1105" s="20" t="s">
        <v>1526</v>
      </c>
      <c r="C1105" s="20" t="s">
        <v>655</v>
      </c>
      <c r="D1105" s="20" t="s">
        <v>1657</v>
      </c>
      <c r="E1105" s="20" t="s">
        <v>887</v>
      </c>
      <c r="F1105" s="76" t="s">
        <v>519</v>
      </c>
      <c r="G1105" s="20" t="s">
        <v>658</v>
      </c>
      <c r="H1105" s="55" t="n">
        <v>28</v>
      </c>
      <c r="I1105" s="76" t="s">
        <v>512</v>
      </c>
      <c r="J1105" s="76" t="s">
        <v>164</v>
      </c>
      <c r="K1105" s="82" t="n">
        <v>1</v>
      </c>
      <c r="L1105" s="55" t="n">
        <v>4</v>
      </c>
      <c r="M1105" s="73" t="n">
        <v>20.5</v>
      </c>
      <c r="N1105" s="74" t="n">
        <f aca="false">K1105*L1105*M1105</f>
        <v>82</v>
      </c>
      <c r="O1105" s="41" t="n">
        <f aca="false">IFERROR(INDEX(Исходные!$B$21:$B$33,MATCH(H1105,Исходные!$A$21:$A$33,0)),0)</f>
        <v>4.834</v>
      </c>
      <c r="P1105" s="83" t="n">
        <f aca="false">N1105*O1105</f>
        <v>396.388</v>
      </c>
      <c r="Q1105" s="20" t="s">
        <v>1411</v>
      </c>
      <c r="R1105" s="84" t="s">
        <v>660</v>
      </c>
      <c r="S1105" s="20" t="s">
        <v>832</v>
      </c>
      <c r="T1105" s="20" t="s">
        <v>123</v>
      </c>
      <c r="U1105" s="53" t="n">
        <v>0</v>
      </c>
      <c r="V1105" s="76" t="s">
        <v>887</v>
      </c>
      <c r="W1105" s="53" t="n">
        <v>3</v>
      </c>
    </row>
    <row r="1106" customFormat="false" ht="35.05" hidden="false" customHeight="false" outlineLevel="0" collapsed="false">
      <c r="A1106" s="76" t="n">
        <v>1082</v>
      </c>
      <c r="B1106" s="20" t="s">
        <v>1526</v>
      </c>
      <c r="C1106" s="20" t="s">
        <v>655</v>
      </c>
      <c r="D1106" s="20" t="s">
        <v>1657</v>
      </c>
      <c r="E1106" s="20" t="s">
        <v>887</v>
      </c>
      <c r="F1106" s="76" t="s">
        <v>529</v>
      </c>
      <c r="G1106" s="20" t="s">
        <v>662</v>
      </c>
      <c r="H1106" s="55" t="n">
        <v>18</v>
      </c>
      <c r="I1106" s="76" t="s">
        <v>512</v>
      </c>
      <c r="J1106" s="76" t="s">
        <v>164</v>
      </c>
      <c r="K1106" s="82" t="n">
        <v>1</v>
      </c>
      <c r="L1106" s="55" t="n">
        <v>2</v>
      </c>
      <c r="M1106" s="73" t="n">
        <v>20.5</v>
      </c>
      <c r="N1106" s="74" t="n">
        <f aca="false">K1106*L1106*M1106</f>
        <v>41</v>
      </c>
      <c r="O1106" s="41" t="n">
        <f aca="false">IFERROR(INDEX(Исходные!$B$21:$B$33,MATCH(H1106,Исходные!$A$21:$A$33,0)),0)</f>
        <v>1.998</v>
      </c>
      <c r="P1106" s="83" t="n">
        <f aca="false">N1106*O1106</f>
        <v>81.918</v>
      </c>
      <c r="Q1106" s="20" t="s">
        <v>663</v>
      </c>
      <c r="R1106" s="84" t="s">
        <v>660</v>
      </c>
      <c r="S1106" s="20"/>
      <c r="T1106" s="20" t="s">
        <v>123</v>
      </c>
      <c r="U1106" s="53" t="n">
        <v>0</v>
      </c>
      <c r="V1106" s="76" t="s">
        <v>887</v>
      </c>
      <c r="W1106" s="53" t="n">
        <v>3</v>
      </c>
    </row>
    <row r="1107" customFormat="false" ht="35.05" hidden="false" customHeight="false" outlineLevel="0" collapsed="false">
      <c r="A1107" s="76" t="n">
        <v>1083</v>
      </c>
      <c r="B1107" s="20" t="s">
        <v>1526</v>
      </c>
      <c r="C1107" s="20" t="s">
        <v>655</v>
      </c>
      <c r="D1107" s="20" t="s">
        <v>1657</v>
      </c>
      <c r="E1107" s="20" t="s">
        <v>887</v>
      </c>
      <c r="F1107" s="76" t="s">
        <v>664</v>
      </c>
      <c r="G1107" s="20" t="s">
        <v>833</v>
      </c>
      <c r="H1107" s="55" t="n">
        <v>18</v>
      </c>
      <c r="I1107" s="76" t="s">
        <v>512</v>
      </c>
      <c r="J1107" s="76" t="s">
        <v>164</v>
      </c>
      <c r="K1107" s="82" t="n">
        <v>2</v>
      </c>
      <c r="L1107" s="55" t="n">
        <v>1</v>
      </c>
      <c r="M1107" s="73" t="n">
        <v>0.144</v>
      </c>
      <c r="N1107" s="74" t="n">
        <f aca="false">K1107*L1107*M1107</f>
        <v>0.288</v>
      </c>
      <c r="O1107" s="41" t="n">
        <f aca="false">IFERROR(INDEX(Исходные!$B$21:$B$33,MATCH(H1107,Исходные!$A$21:$A$33,0)),0)</f>
        <v>1.998</v>
      </c>
      <c r="P1107" s="83" t="n">
        <f aca="false">N1107*O1107</f>
        <v>0.575424</v>
      </c>
      <c r="Q1107" s="20" t="s">
        <v>666</v>
      </c>
      <c r="R1107" s="84" t="s">
        <v>667</v>
      </c>
      <c r="S1107" s="20" t="s">
        <v>805</v>
      </c>
      <c r="T1107" s="20" t="s">
        <v>123</v>
      </c>
      <c r="U1107" s="53" t="n">
        <v>0</v>
      </c>
      <c r="V1107" s="76" t="s">
        <v>887</v>
      </c>
      <c r="W1107" s="53" t="n">
        <v>3</v>
      </c>
    </row>
    <row r="1108" customFormat="false" ht="35.05" hidden="false" customHeight="false" outlineLevel="0" collapsed="false">
      <c r="A1108" s="76" t="n">
        <v>1084</v>
      </c>
      <c r="B1108" s="20" t="s">
        <v>1526</v>
      </c>
      <c r="C1108" s="20" t="s">
        <v>655</v>
      </c>
      <c r="D1108" s="20" t="s">
        <v>1657</v>
      </c>
      <c r="E1108" s="20" t="s">
        <v>887</v>
      </c>
      <c r="F1108" s="76" t="s">
        <v>669</v>
      </c>
      <c r="G1108" s="20" t="s">
        <v>670</v>
      </c>
      <c r="H1108" s="55" t="n">
        <v>16</v>
      </c>
      <c r="I1108" s="76" t="s">
        <v>512</v>
      </c>
      <c r="J1108" s="76" t="s">
        <v>164</v>
      </c>
      <c r="K1108" s="82" t="n">
        <v>1</v>
      </c>
      <c r="L1108" s="55" t="n">
        <v>2</v>
      </c>
      <c r="M1108" s="73" t="n">
        <v>20.5</v>
      </c>
      <c r="N1108" s="74" t="n">
        <f aca="false">K1108*L1108*M1108</f>
        <v>41</v>
      </c>
      <c r="O1108" s="41" t="n">
        <f aca="false">IFERROR(INDEX(Исходные!$B$21:$B$33,MATCH(H1108,Исходные!$A$21:$A$33,0)),0)</f>
        <v>1.578</v>
      </c>
      <c r="P1108" s="83" t="n">
        <f aca="false">N1108*O1108</f>
        <v>64.698</v>
      </c>
      <c r="Q1108" s="20" t="s">
        <v>671</v>
      </c>
      <c r="R1108" s="84" t="s">
        <v>660</v>
      </c>
      <c r="S1108" s="20"/>
      <c r="T1108" s="20" t="s">
        <v>123</v>
      </c>
      <c r="U1108" s="53" t="n">
        <v>0</v>
      </c>
      <c r="V1108" s="76" t="s">
        <v>887</v>
      </c>
      <c r="W1108" s="53" t="n">
        <v>3</v>
      </c>
    </row>
    <row r="1109" customFormat="false" ht="35.05" hidden="false" customHeight="false" outlineLevel="0" collapsed="false">
      <c r="A1109" s="76" t="n">
        <v>1085</v>
      </c>
      <c r="B1109" s="20" t="s">
        <v>1526</v>
      </c>
      <c r="C1109" s="20" t="s">
        <v>655</v>
      </c>
      <c r="D1109" s="20" t="s">
        <v>1657</v>
      </c>
      <c r="E1109" s="20" t="s">
        <v>887</v>
      </c>
      <c r="F1109" s="76" t="s">
        <v>672</v>
      </c>
      <c r="G1109" s="20" t="s">
        <v>834</v>
      </c>
      <c r="H1109" s="55" t="n">
        <v>16</v>
      </c>
      <c r="I1109" s="76" t="s">
        <v>512</v>
      </c>
      <c r="J1109" s="76" t="s">
        <v>164</v>
      </c>
      <c r="K1109" s="82" t="n">
        <v>2</v>
      </c>
      <c r="L1109" s="55" t="n">
        <v>1</v>
      </c>
      <c r="M1109" s="73" t="n">
        <v>0.128</v>
      </c>
      <c r="N1109" s="74" t="n">
        <f aca="false">K1109*L1109*M1109</f>
        <v>0.256</v>
      </c>
      <c r="O1109" s="41" t="n">
        <f aca="false">IFERROR(INDEX(Исходные!$B$21:$B$33,MATCH(H1109,Исходные!$A$21:$A$33,0)),0)</f>
        <v>1.578</v>
      </c>
      <c r="P1109" s="83" t="n">
        <f aca="false">N1109*O1109</f>
        <v>0.403968</v>
      </c>
      <c r="Q1109" s="20" t="s">
        <v>674</v>
      </c>
      <c r="R1109" s="84" t="s">
        <v>667</v>
      </c>
      <c r="S1109" s="20" t="s">
        <v>807</v>
      </c>
      <c r="T1109" s="20" t="s">
        <v>123</v>
      </c>
      <c r="U1109" s="53" t="n">
        <v>0</v>
      </c>
      <c r="V1109" s="76" t="s">
        <v>887</v>
      </c>
      <c r="W1109" s="53" t="n">
        <v>3</v>
      </c>
    </row>
    <row r="1110" customFormat="false" ht="35.05" hidden="false" customHeight="false" outlineLevel="0" collapsed="false">
      <c r="A1110" s="76" t="n">
        <v>1086</v>
      </c>
      <c r="B1110" s="20" t="s">
        <v>1526</v>
      </c>
      <c r="C1110" s="20" t="s">
        <v>655</v>
      </c>
      <c r="D1110" s="20" t="s">
        <v>1657</v>
      </c>
      <c r="E1110" s="20" t="s">
        <v>887</v>
      </c>
      <c r="F1110" s="76" t="s">
        <v>676</v>
      </c>
      <c r="G1110" s="20" t="s">
        <v>1412</v>
      </c>
      <c r="H1110" s="55" t="n">
        <v>25</v>
      </c>
      <c r="I1110" s="76" t="s">
        <v>512</v>
      </c>
      <c r="J1110" s="76" t="s">
        <v>164</v>
      </c>
      <c r="K1110" s="82" t="n">
        <v>1</v>
      </c>
      <c r="L1110" s="55" t="n">
        <v>2</v>
      </c>
      <c r="M1110" s="73" t="n">
        <v>2.4</v>
      </c>
      <c r="N1110" s="74" t="n">
        <f aca="false">K1110*L1110*M1110</f>
        <v>4.8</v>
      </c>
      <c r="O1110" s="41" t="n">
        <f aca="false">IFERROR(INDEX(Исходные!$B$21:$B$33,MATCH(H1110,Исходные!$A$21:$A$33,0)),0)</f>
        <v>3.853</v>
      </c>
      <c r="P1110" s="83" t="n">
        <f aca="false">N1110*O1110</f>
        <v>18.4944</v>
      </c>
      <c r="Q1110" s="20" t="s">
        <v>1658</v>
      </c>
      <c r="R1110" s="84" t="s">
        <v>660</v>
      </c>
      <c r="S1110" s="20" t="s">
        <v>837</v>
      </c>
      <c r="T1110" s="20" t="s">
        <v>123</v>
      </c>
      <c r="U1110" s="53" t="n">
        <v>0</v>
      </c>
      <c r="V1110" s="76" t="s">
        <v>887</v>
      </c>
      <c r="W1110" s="53" t="n">
        <v>3</v>
      </c>
    </row>
    <row r="1111" customFormat="false" ht="35.05" hidden="false" customHeight="false" outlineLevel="0" collapsed="false">
      <c r="A1111" s="76" t="n">
        <v>1087</v>
      </c>
      <c r="B1111" s="20" t="s">
        <v>1526</v>
      </c>
      <c r="C1111" s="20" t="s">
        <v>655</v>
      </c>
      <c r="D1111" s="20" t="s">
        <v>1657</v>
      </c>
      <c r="E1111" s="20" t="s">
        <v>887</v>
      </c>
      <c r="F1111" s="76" t="s">
        <v>676</v>
      </c>
      <c r="G1111" s="20" t="s">
        <v>1414</v>
      </c>
      <c r="H1111" s="55" t="n">
        <v>25</v>
      </c>
      <c r="I1111" s="76" t="s">
        <v>512</v>
      </c>
      <c r="J1111" s="76" t="s">
        <v>164</v>
      </c>
      <c r="K1111" s="82" t="n">
        <v>1</v>
      </c>
      <c r="L1111" s="55" t="n">
        <v>2</v>
      </c>
      <c r="M1111" s="73" t="n">
        <v>2.4</v>
      </c>
      <c r="N1111" s="74" t="n">
        <f aca="false">K1111*L1111*M1111</f>
        <v>4.8</v>
      </c>
      <c r="O1111" s="41" t="n">
        <f aca="false">IFERROR(INDEX(Исходные!$B$21:$B$33,MATCH(H1111,Исходные!$A$21:$A$33,0)),0)</f>
        <v>3.853</v>
      </c>
      <c r="P1111" s="83" t="n">
        <f aca="false">N1111*O1111</f>
        <v>18.4944</v>
      </c>
      <c r="Q1111" s="20" t="s">
        <v>1658</v>
      </c>
      <c r="R1111" s="84" t="s">
        <v>660</v>
      </c>
      <c r="S1111" s="20" t="s">
        <v>837</v>
      </c>
      <c r="T1111" s="20" t="s">
        <v>123</v>
      </c>
      <c r="U1111" s="53" t="n">
        <v>0</v>
      </c>
      <c r="V1111" s="76" t="s">
        <v>887</v>
      </c>
      <c r="W1111" s="53" t="n">
        <v>3</v>
      </c>
    </row>
    <row r="1112" customFormat="false" ht="35.05" hidden="false" customHeight="false" outlineLevel="0" collapsed="false">
      <c r="A1112" s="76" t="n">
        <v>1088</v>
      </c>
      <c r="B1112" s="20" t="s">
        <v>1526</v>
      </c>
      <c r="C1112" s="20" t="s">
        <v>655</v>
      </c>
      <c r="D1112" s="20" t="s">
        <v>1657</v>
      </c>
      <c r="E1112" s="20" t="s">
        <v>887</v>
      </c>
      <c r="F1112" s="76" t="s">
        <v>676</v>
      </c>
      <c r="G1112" s="20" t="s">
        <v>1659</v>
      </c>
      <c r="H1112" s="55" t="n">
        <v>28</v>
      </c>
      <c r="I1112" s="76" t="s">
        <v>512</v>
      </c>
      <c r="J1112" s="76" t="s">
        <v>164</v>
      </c>
      <c r="K1112" s="82" t="n">
        <v>1</v>
      </c>
      <c r="L1112" s="55" t="n">
        <v>2</v>
      </c>
      <c r="M1112" s="73" t="n">
        <v>3.4</v>
      </c>
      <c r="N1112" s="74" t="n">
        <f aca="false">K1112*L1112*M1112</f>
        <v>6.8</v>
      </c>
      <c r="O1112" s="41" t="n">
        <f aca="false">IFERROR(INDEX(Исходные!$B$21:$B$33,MATCH(H1112,Исходные!$A$21:$A$33,0)),0)</f>
        <v>4.834</v>
      </c>
      <c r="P1112" s="83" t="n">
        <f aca="false">N1112*O1112</f>
        <v>32.8712</v>
      </c>
      <c r="Q1112" s="20" t="s">
        <v>1660</v>
      </c>
      <c r="R1112" s="84" t="s">
        <v>660</v>
      </c>
      <c r="S1112" s="20" t="s">
        <v>892</v>
      </c>
      <c r="T1112" s="20" t="s">
        <v>123</v>
      </c>
      <c r="U1112" s="53" t="n">
        <v>0</v>
      </c>
      <c r="V1112" s="76" t="s">
        <v>887</v>
      </c>
      <c r="W1112" s="53" t="n">
        <v>3</v>
      </c>
    </row>
    <row r="1113" customFormat="false" ht="35.05" hidden="false" customHeight="false" outlineLevel="0" collapsed="false">
      <c r="A1113" s="76" t="n">
        <v>1089</v>
      </c>
      <c r="B1113" s="20" t="s">
        <v>1526</v>
      </c>
      <c r="C1113" s="20" t="s">
        <v>655</v>
      </c>
      <c r="D1113" s="20" t="s">
        <v>1657</v>
      </c>
      <c r="E1113" s="20" t="s">
        <v>887</v>
      </c>
      <c r="F1113" s="76" t="s">
        <v>676</v>
      </c>
      <c r="G1113" s="20" t="s">
        <v>844</v>
      </c>
      <c r="H1113" s="55" t="n">
        <v>32</v>
      </c>
      <c r="I1113" s="76" t="s">
        <v>512</v>
      </c>
      <c r="J1113" s="76" t="s">
        <v>164</v>
      </c>
      <c r="K1113" s="82" t="n">
        <v>1</v>
      </c>
      <c r="L1113" s="55" t="n">
        <v>2</v>
      </c>
      <c r="M1113" s="73" t="n">
        <v>3.6</v>
      </c>
      <c r="N1113" s="74" t="n">
        <f aca="false">K1113*L1113*M1113</f>
        <v>7.2</v>
      </c>
      <c r="O1113" s="41" t="n">
        <f aca="false">IFERROR(INDEX(Исходные!$B$21:$B$33,MATCH(H1113,Исходные!$A$21:$A$33,0)),0)</f>
        <v>6.313</v>
      </c>
      <c r="P1113" s="83" t="n">
        <f aca="false">N1113*O1113</f>
        <v>45.4536</v>
      </c>
      <c r="Q1113" s="20" t="s">
        <v>1661</v>
      </c>
      <c r="R1113" s="84" t="s">
        <v>660</v>
      </c>
      <c r="S1113" s="20" t="s">
        <v>845</v>
      </c>
      <c r="T1113" s="20" t="s">
        <v>123</v>
      </c>
      <c r="U1113" s="53" t="n">
        <v>0</v>
      </c>
      <c r="V1113" s="76" t="s">
        <v>887</v>
      </c>
      <c r="W1113" s="53" t="n">
        <v>3</v>
      </c>
    </row>
    <row r="1114" customFormat="false" ht="35.05" hidden="false" customHeight="false" outlineLevel="0" collapsed="false">
      <c r="A1114" s="76" t="n">
        <v>1090</v>
      </c>
      <c r="B1114" s="20" t="s">
        <v>1526</v>
      </c>
      <c r="C1114" s="20" t="s">
        <v>655</v>
      </c>
      <c r="D1114" s="20" t="s">
        <v>1657</v>
      </c>
      <c r="E1114" s="20" t="s">
        <v>887</v>
      </c>
      <c r="F1114" s="76" t="s">
        <v>676</v>
      </c>
      <c r="G1114" s="20" t="s">
        <v>846</v>
      </c>
      <c r="H1114" s="55" t="n">
        <v>32</v>
      </c>
      <c r="I1114" s="76" t="s">
        <v>512</v>
      </c>
      <c r="J1114" s="76" t="s">
        <v>164</v>
      </c>
      <c r="K1114" s="82" t="n">
        <v>1</v>
      </c>
      <c r="L1114" s="55" t="n">
        <v>2</v>
      </c>
      <c r="M1114" s="73" t="n">
        <v>2.85</v>
      </c>
      <c r="N1114" s="74" t="n">
        <f aca="false">K1114*L1114*M1114</f>
        <v>5.7</v>
      </c>
      <c r="O1114" s="41" t="n">
        <f aca="false">IFERROR(INDEX(Исходные!$B$21:$B$33,MATCH(H1114,Исходные!$A$21:$A$33,0)),0)</f>
        <v>6.313</v>
      </c>
      <c r="P1114" s="83" t="n">
        <f aca="false">N1114*O1114</f>
        <v>35.9841</v>
      </c>
      <c r="Q1114" s="20" t="s">
        <v>1661</v>
      </c>
      <c r="R1114" s="84" t="s">
        <v>660</v>
      </c>
      <c r="S1114" s="20" t="s">
        <v>1381</v>
      </c>
      <c r="T1114" s="20" t="s">
        <v>123</v>
      </c>
      <c r="U1114" s="53" t="n">
        <v>0</v>
      </c>
      <c r="V1114" s="76" t="s">
        <v>887</v>
      </c>
      <c r="W1114" s="53" t="n">
        <v>3</v>
      </c>
    </row>
    <row r="1115" customFormat="false" ht="35.05" hidden="false" customHeight="false" outlineLevel="0" collapsed="false">
      <c r="A1115" s="76" t="n">
        <v>1091</v>
      </c>
      <c r="B1115" s="20" t="s">
        <v>1526</v>
      </c>
      <c r="C1115" s="20" t="s">
        <v>655</v>
      </c>
      <c r="D1115" s="20" t="s">
        <v>1657</v>
      </c>
      <c r="E1115" s="20" t="s">
        <v>887</v>
      </c>
      <c r="F1115" s="76" t="s">
        <v>676</v>
      </c>
      <c r="G1115" s="20" t="s">
        <v>895</v>
      </c>
      <c r="H1115" s="55" t="n">
        <v>25</v>
      </c>
      <c r="I1115" s="76" t="s">
        <v>512</v>
      </c>
      <c r="J1115" s="76" t="s">
        <v>164</v>
      </c>
      <c r="K1115" s="82" t="n">
        <v>1</v>
      </c>
      <c r="L1115" s="55" t="n">
        <v>2</v>
      </c>
      <c r="M1115" s="73" t="n">
        <v>6.2</v>
      </c>
      <c r="N1115" s="74" t="n">
        <f aca="false">K1115*L1115*M1115</f>
        <v>12.4</v>
      </c>
      <c r="O1115" s="41" t="n">
        <f aca="false">IFERROR(INDEX(Исходные!$B$21:$B$33,MATCH(H1115,Исходные!$A$21:$A$33,0)),0)</f>
        <v>3.853</v>
      </c>
      <c r="P1115" s="83" t="n">
        <f aca="false">N1115*O1115</f>
        <v>47.7772</v>
      </c>
      <c r="Q1115" s="20" t="s">
        <v>1658</v>
      </c>
      <c r="R1115" s="84" t="s">
        <v>660</v>
      </c>
      <c r="S1115" s="20" t="s">
        <v>897</v>
      </c>
      <c r="T1115" s="20" t="s">
        <v>123</v>
      </c>
      <c r="U1115" s="53" t="n">
        <v>0</v>
      </c>
      <c r="V1115" s="76" t="s">
        <v>887</v>
      </c>
      <c r="W1115" s="53" t="n">
        <v>3</v>
      </c>
    </row>
    <row r="1116" customFormat="false" ht="35.05" hidden="false" customHeight="false" outlineLevel="0" collapsed="false">
      <c r="A1116" s="76" t="n">
        <v>1092</v>
      </c>
      <c r="B1116" s="20" t="s">
        <v>1526</v>
      </c>
      <c r="C1116" s="20" t="s">
        <v>655</v>
      </c>
      <c r="D1116" s="20" t="s">
        <v>1657</v>
      </c>
      <c r="E1116" s="20" t="s">
        <v>887</v>
      </c>
      <c r="F1116" s="76" t="s">
        <v>676</v>
      </c>
      <c r="G1116" s="20" t="s">
        <v>898</v>
      </c>
      <c r="H1116" s="55" t="n">
        <v>20</v>
      </c>
      <c r="I1116" s="76" t="s">
        <v>512</v>
      </c>
      <c r="J1116" s="76" t="s">
        <v>164</v>
      </c>
      <c r="K1116" s="82" t="n">
        <v>1</v>
      </c>
      <c r="L1116" s="55" t="n">
        <v>2</v>
      </c>
      <c r="M1116" s="73" t="n">
        <v>3</v>
      </c>
      <c r="N1116" s="74" t="n">
        <f aca="false">K1116*L1116*M1116</f>
        <v>6</v>
      </c>
      <c r="O1116" s="41" t="n">
        <f aca="false">IFERROR(INDEX(Исходные!$B$21:$B$33,MATCH(H1116,Исходные!$A$21:$A$33,0)),0)</f>
        <v>2.466</v>
      </c>
      <c r="P1116" s="83" t="n">
        <f aca="false">N1116*O1116</f>
        <v>14.796</v>
      </c>
      <c r="Q1116" s="20" t="s">
        <v>1662</v>
      </c>
      <c r="R1116" s="84" t="s">
        <v>660</v>
      </c>
      <c r="S1116" s="20" t="s">
        <v>822</v>
      </c>
      <c r="T1116" s="20" t="s">
        <v>123</v>
      </c>
      <c r="U1116" s="53" t="n">
        <v>0</v>
      </c>
      <c r="V1116" s="76" t="s">
        <v>887</v>
      </c>
      <c r="W1116" s="53" t="n">
        <v>3</v>
      </c>
    </row>
    <row r="1117" customFormat="false" ht="35.05" hidden="false" customHeight="false" outlineLevel="0" collapsed="false">
      <c r="A1117" s="76" t="n">
        <v>1093</v>
      </c>
      <c r="B1117" s="20" t="s">
        <v>1526</v>
      </c>
      <c r="C1117" s="20" t="s">
        <v>655</v>
      </c>
      <c r="D1117" s="20" t="s">
        <v>1657</v>
      </c>
      <c r="E1117" s="20" t="s">
        <v>887</v>
      </c>
      <c r="F1117" s="76" t="s">
        <v>676</v>
      </c>
      <c r="G1117" s="20" t="s">
        <v>1419</v>
      </c>
      <c r="H1117" s="55" t="n">
        <v>16</v>
      </c>
      <c r="I1117" s="76" t="s">
        <v>512</v>
      </c>
      <c r="J1117" s="76" t="s">
        <v>164</v>
      </c>
      <c r="K1117" s="82" t="n">
        <v>1</v>
      </c>
      <c r="L1117" s="55" t="n">
        <v>2</v>
      </c>
      <c r="M1117" s="73" t="n">
        <v>3.6</v>
      </c>
      <c r="N1117" s="74" t="n">
        <f aca="false">K1117*L1117*M1117</f>
        <v>7.2</v>
      </c>
      <c r="O1117" s="41" t="n">
        <f aca="false">IFERROR(INDEX(Исходные!$B$21:$B$33,MATCH(H1117,Исходные!$A$21:$A$33,0)),0)</f>
        <v>1.578</v>
      </c>
      <c r="P1117" s="83" t="n">
        <f aca="false">N1117*O1117</f>
        <v>11.3616</v>
      </c>
      <c r="Q1117" s="20" t="s">
        <v>1663</v>
      </c>
      <c r="R1117" s="84" t="s">
        <v>660</v>
      </c>
      <c r="S1117" s="20" t="s">
        <v>845</v>
      </c>
      <c r="T1117" s="20" t="s">
        <v>123</v>
      </c>
      <c r="U1117" s="53" t="n">
        <v>0</v>
      </c>
      <c r="V1117" s="76" t="s">
        <v>887</v>
      </c>
      <c r="W1117" s="53" t="n">
        <v>3</v>
      </c>
    </row>
    <row r="1118" customFormat="false" ht="35.05" hidden="false" customHeight="false" outlineLevel="0" collapsed="false">
      <c r="A1118" s="76" t="n">
        <v>1094</v>
      </c>
      <c r="B1118" s="20" t="s">
        <v>1526</v>
      </c>
      <c r="C1118" s="20" t="s">
        <v>655</v>
      </c>
      <c r="D1118" s="20" t="s">
        <v>1657</v>
      </c>
      <c r="E1118" s="20" t="s">
        <v>887</v>
      </c>
      <c r="F1118" s="76" t="s">
        <v>676</v>
      </c>
      <c r="G1118" s="20" t="s">
        <v>1421</v>
      </c>
      <c r="H1118" s="55" t="n">
        <v>14</v>
      </c>
      <c r="I1118" s="76" t="s">
        <v>512</v>
      </c>
      <c r="J1118" s="76" t="s">
        <v>164</v>
      </c>
      <c r="K1118" s="82" t="n">
        <v>1</v>
      </c>
      <c r="L1118" s="55" t="n">
        <v>2</v>
      </c>
      <c r="M1118" s="73" t="n">
        <v>3.4</v>
      </c>
      <c r="N1118" s="74" t="n">
        <f aca="false">K1118*L1118*M1118</f>
        <v>6.8</v>
      </c>
      <c r="O1118" s="41" t="n">
        <f aca="false">IFERROR(INDEX(Исходные!$B$21:$B$33,MATCH(H1118,Исходные!$A$21:$A$33,0)),0)</f>
        <v>1.208</v>
      </c>
      <c r="P1118" s="83" t="n">
        <f aca="false">N1118*O1118</f>
        <v>8.2144</v>
      </c>
      <c r="Q1118" s="20" t="s">
        <v>1664</v>
      </c>
      <c r="R1118" s="84" t="s">
        <v>660</v>
      </c>
      <c r="S1118" s="20" t="s">
        <v>892</v>
      </c>
      <c r="T1118" s="20" t="s">
        <v>123</v>
      </c>
      <c r="U1118" s="53" t="n">
        <v>0</v>
      </c>
      <c r="V1118" s="76" t="s">
        <v>887</v>
      </c>
      <c r="W1118" s="53" t="n">
        <v>3</v>
      </c>
    </row>
    <row r="1119" customFormat="false" ht="35.05" hidden="false" customHeight="false" outlineLevel="0" collapsed="false">
      <c r="A1119" s="76" t="n">
        <v>1095</v>
      </c>
      <c r="B1119" s="20" t="s">
        <v>1526</v>
      </c>
      <c r="C1119" s="20" t="s">
        <v>655</v>
      </c>
      <c r="D1119" s="20" t="s">
        <v>1657</v>
      </c>
      <c r="E1119" s="20" t="s">
        <v>887</v>
      </c>
      <c r="F1119" s="76" t="s">
        <v>676</v>
      </c>
      <c r="G1119" s="20" t="s">
        <v>903</v>
      </c>
      <c r="H1119" s="55" t="n">
        <v>12</v>
      </c>
      <c r="I1119" s="76" t="s">
        <v>512</v>
      </c>
      <c r="J1119" s="76" t="s">
        <v>164</v>
      </c>
      <c r="K1119" s="82" t="n">
        <v>1</v>
      </c>
      <c r="L1119" s="55" t="n">
        <v>4</v>
      </c>
      <c r="M1119" s="73" t="n">
        <v>2.4</v>
      </c>
      <c r="N1119" s="74" t="n">
        <f aca="false">K1119*L1119*M1119</f>
        <v>9.6</v>
      </c>
      <c r="O1119" s="41" t="n">
        <f aca="false">IFERROR(INDEX(Исходные!$B$21:$B$33,MATCH(H1119,Исходные!$A$21:$A$33,0)),0)</f>
        <v>0.888</v>
      </c>
      <c r="P1119" s="83" t="n">
        <f aca="false">N1119*O1119</f>
        <v>8.5248</v>
      </c>
      <c r="Q1119" s="20" t="s">
        <v>1665</v>
      </c>
      <c r="R1119" s="84" t="s">
        <v>660</v>
      </c>
      <c r="S1119" s="20" t="s">
        <v>837</v>
      </c>
      <c r="T1119" s="20" t="s">
        <v>123</v>
      </c>
      <c r="U1119" s="53" t="n">
        <v>0</v>
      </c>
      <c r="V1119" s="76" t="s">
        <v>887</v>
      </c>
      <c r="W1119" s="53" t="n">
        <v>3</v>
      </c>
    </row>
    <row r="1120" customFormat="false" ht="35.05" hidden="false" customHeight="false" outlineLevel="0" collapsed="false">
      <c r="A1120" s="76" t="n">
        <v>1096</v>
      </c>
      <c r="B1120" s="20" t="s">
        <v>1526</v>
      </c>
      <c r="C1120" s="20" t="s">
        <v>655</v>
      </c>
      <c r="D1120" s="20" t="s">
        <v>1657</v>
      </c>
      <c r="E1120" s="20" t="s">
        <v>887</v>
      </c>
      <c r="F1120" s="76" t="s">
        <v>676</v>
      </c>
      <c r="G1120" s="20" t="s">
        <v>905</v>
      </c>
      <c r="H1120" s="55" t="n">
        <v>12</v>
      </c>
      <c r="I1120" s="76" t="s">
        <v>512</v>
      </c>
      <c r="J1120" s="76" t="s">
        <v>164</v>
      </c>
      <c r="K1120" s="82" t="n">
        <v>1</v>
      </c>
      <c r="L1120" s="55" t="n">
        <v>4</v>
      </c>
      <c r="M1120" s="73" t="n">
        <v>3.4</v>
      </c>
      <c r="N1120" s="74" t="n">
        <f aca="false">K1120*L1120*M1120</f>
        <v>13.6</v>
      </c>
      <c r="O1120" s="41" t="n">
        <f aca="false">IFERROR(INDEX(Исходные!$B$21:$B$33,MATCH(H1120,Исходные!$A$21:$A$33,0)),0)</f>
        <v>0.888</v>
      </c>
      <c r="P1120" s="83" t="n">
        <f aca="false">N1120*O1120</f>
        <v>12.0768</v>
      </c>
      <c r="Q1120" s="20" t="s">
        <v>1665</v>
      </c>
      <c r="R1120" s="84" t="s">
        <v>660</v>
      </c>
      <c r="S1120" s="20" t="s">
        <v>892</v>
      </c>
      <c r="T1120" s="20" t="s">
        <v>123</v>
      </c>
      <c r="U1120" s="53" t="n">
        <v>0</v>
      </c>
      <c r="V1120" s="76" t="s">
        <v>887</v>
      </c>
      <c r="W1120" s="53" t="n">
        <v>3</v>
      </c>
    </row>
    <row r="1121" customFormat="false" ht="35.05" hidden="false" customHeight="false" outlineLevel="0" collapsed="false">
      <c r="A1121" s="76" t="n">
        <v>1097</v>
      </c>
      <c r="B1121" s="20" t="s">
        <v>1526</v>
      </c>
      <c r="C1121" s="20" t="s">
        <v>655</v>
      </c>
      <c r="D1121" s="20" t="s">
        <v>1657</v>
      </c>
      <c r="E1121" s="20" t="s">
        <v>887</v>
      </c>
      <c r="F1121" s="76" t="s">
        <v>676</v>
      </c>
      <c r="G1121" s="20" t="s">
        <v>906</v>
      </c>
      <c r="H1121" s="55" t="n">
        <v>12</v>
      </c>
      <c r="I1121" s="76" t="s">
        <v>512</v>
      </c>
      <c r="J1121" s="76" t="s">
        <v>164</v>
      </c>
      <c r="K1121" s="82" t="n">
        <v>1</v>
      </c>
      <c r="L1121" s="55" t="n">
        <v>4</v>
      </c>
      <c r="M1121" s="73" t="n">
        <v>3.6</v>
      </c>
      <c r="N1121" s="74" t="n">
        <f aca="false">K1121*L1121*M1121</f>
        <v>14.4</v>
      </c>
      <c r="O1121" s="41" t="n">
        <f aca="false">IFERROR(INDEX(Исходные!$B$21:$B$33,MATCH(H1121,Исходные!$A$21:$A$33,0)),0)</f>
        <v>0.888</v>
      </c>
      <c r="P1121" s="83" t="n">
        <f aca="false">N1121*O1121</f>
        <v>12.7872</v>
      </c>
      <c r="Q1121" s="20" t="s">
        <v>1665</v>
      </c>
      <c r="R1121" s="84" t="s">
        <v>660</v>
      </c>
      <c r="S1121" s="20" t="s">
        <v>845</v>
      </c>
      <c r="T1121" s="20" t="s">
        <v>123</v>
      </c>
      <c r="U1121" s="53" t="n">
        <v>0</v>
      </c>
      <c r="V1121" s="76" t="s">
        <v>887</v>
      </c>
      <c r="W1121" s="53" t="n">
        <v>3</v>
      </c>
    </row>
    <row r="1122" customFormat="false" ht="35.05" hidden="false" customHeight="false" outlineLevel="0" collapsed="false">
      <c r="A1122" s="76" t="n">
        <v>1098</v>
      </c>
      <c r="B1122" s="20" t="s">
        <v>1526</v>
      </c>
      <c r="C1122" s="20" t="s">
        <v>655</v>
      </c>
      <c r="D1122" s="20" t="s">
        <v>1657</v>
      </c>
      <c r="E1122" s="20" t="s">
        <v>887</v>
      </c>
      <c r="F1122" s="76" t="s">
        <v>676</v>
      </c>
      <c r="G1122" s="20" t="s">
        <v>907</v>
      </c>
      <c r="H1122" s="55" t="n">
        <v>12</v>
      </c>
      <c r="I1122" s="76" t="s">
        <v>512</v>
      </c>
      <c r="J1122" s="76" t="s">
        <v>164</v>
      </c>
      <c r="K1122" s="82" t="n">
        <v>1</v>
      </c>
      <c r="L1122" s="55" t="n">
        <v>4</v>
      </c>
      <c r="M1122" s="73" t="n">
        <v>2.3</v>
      </c>
      <c r="N1122" s="74" t="n">
        <f aca="false">K1122*L1122*M1122</f>
        <v>9.2</v>
      </c>
      <c r="O1122" s="41" t="n">
        <f aca="false">IFERROR(INDEX(Исходные!$B$21:$B$33,MATCH(H1122,Исходные!$A$21:$A$33,0)),0)</f>
        <v>0.888</v>
      </c>
      <c r="P1122" s="83" t="n">
        <f aca="false">N1122*O1122</f>
        <v>8.1696</v>
      </c>
      <c r="Q1122" s="20" t="s">
        <v>1665</v>
      </c>
      <c r="R1122" s="84" t="s">
        <v>660</v>
      </c>
      <c r="S1122" s="20" t="s">
        <v>902</v>
      </c>
      <c r="T1122" s="20" t="s">
        <v>123</v>
      </c>
      <c r="U1122" s="53" t="n">
        <v>0</v>
      </c>
      <c r="V1122" s="76" t="s">
        <v>887</v>
      </c>
      <c r="W1122" s="53" t="n">
        <v>3</v>
      </c>
    </row>
    <row r="1123" customFormat="false" ht="35.05" hidden="false" customHeight="false" outlineLevel="0" collapsed="false">
      <c r="A1123" s="76" t="n">
        <v>1099</v>
      </c>
      <c r="B1123" s="20" t="s">
        <v>1526</v>
      </c>
      <c r="C1123" s="20" t="s">
        <v>655</v>
      </c>
      <c r="D1123" s="20" t="s">
        <v>1657</v>
      </c>
      <c r="E1123" s="20" t="s">
        <v>887</v>
      </c>
      <c r="F1123" s="76" t="s">
        <v>696</v>
      </c>
      <c r="G1123" s="20" t="s">
        <v>1308</v>
      </c>
      <c r="H1123" s="55" t="n">
        <v>8</v>
      </c>
      <c r="I1123" s="76" t="s">
        <v>546</v>
      </c>
      <c r="J1123" s="76" t="s">
        <v>698</v>
      </c>
      <c r="K1123" s="82" t="n">
        <v>1</v>
      </c>
      <c r="L1123" s="55" t="n">
        <v>51</v>
      </c>
      <c r="M1123" s="73" t="n">
        <v>2.06</v>
      </c>
      <c r="N1123" s="74" t="n">
        <f aca="false">K1123*L1123*M1123</f>
        <v>105.06</v>
      </c>
      <c r="O1123" s="41" t="n">
        <f aca="false">IFERROR(INDEX(Исходные!$B$21:$B$33,MATCH(H1123,Исходные!$A$21:$A$33,0)),0)</f>
        <v>0.395</v>
      </c>
      <c r="P1123" s="83" t="n">
        <f aca="false">N1123*O1123</f>
        <v>41.4987</v>
      </c>
      <c r="Q1123" s="20" t="s">
        <v>1309</v>
      </c>
      <c r="R1123" s="84" t="s">
        <v>514</v>
      </c>
      <c r="S1123" s="20" t="s">
        <v>1395</v>
      </c>
      <c r="T1123" s="20" t="s">
        <v>123</v>
      </c>
      <c r="U1123" s="53" t="n">
        <v>0</v>
      </c>
      <c r="V1123" s="76" t="s">
        <v>887</v>
      </c>
      <c r="W1123" s="53" t="n">
        <v>3</v>
      </c>
    </row>
    <row r="1124" customFormat="false" ht="35.05" hidden="false" customHeight="false" outlineLevel="0" collapsed="false">
      <c r="A1124" s="76" t="n">
        <v>1100</v>
      </c>
      <c r="B1124" s="20" t="s">
        <v>1526</v>
      </c>
      <c r="C1124" s="20" t="s">
        <v>655</v>
      </c>
      <c r="D1124" s="20" t="s">
        <v>1657</v>
      </c>
      <c r="E1124" s="20" t="s">
        <v>887</v>
      </c>
      <c r="F1124" s="76" t="s">
        <v>561</v>
      </c>
      <c r="G1124" s="20" t="s">
        <v>1311</v>
      </c>
      <c r="H1124" s="55" t="n">
        <v>10</v>
      </c>
      <c r="I1124" s="76" t="s">
        <v>546</v>
      </c>
      <c r="J1124" s="76" t="n">
        <v>100</v>
      </c>
      <c r="K1124" s="82" t="n">
        <v>1</v>
      </c>
      <c r="L1124" s="55" t="n">
        <v>87</v>
      </c>
      <c r="M1124" s="73" t="n">
        <v>2.06</v>
      </c>
      <c r="N1124" s="74" t="n">
        <f aca="false">K1124*L1124*M1124</f>
        <v>179.22</v>
      </c>
      <c r="O1124" s="41" t="n">
        <f aca="false">IFERROR(INDEX(Исходные!$B$21:$B$33,MATCH(H1124,Исходные!$A$21:$A$33,0)),0)</f>
        <v>0.617</v>
      </c>
      <c r="P1124" s="83" t="n">
        <f aca="false">N1124*O1124</f>
        <v>110.57874</v>
      </c>
      <c r="Q1124" s="20" t="s">
        <v>1666</v>
      </c>
      <c r="R1124" s="84" t="s">
        <v>514</v>
      </c>
      <c r="S1124" s="20" t="s">
        <v>1667</v>
      </c>
      <c r="T1124" s="20" t="s">
        <v>123</v>
      </c>
      <c r="U1124" s="53" t="n">
        <v>0</v>
      </c>
      <c r="V1124" s="76" t="s">
        <v>887</v>
      </c>
      <c r="W1124" s="53" t="n">
        <v>3</v>
      </c>
    </row>
    <row r="1125" customFormat="false" ht="35.05" hidden="false" customHeight="false" outlineLevel="0" collapsed="false">
      <c r="A1125" s="76" t="n">
        <v>1101</v>
      </c>
      <c r="B1125" s="20" t="s">
        <v>1526</v>
      </c>
      <c r="C1125" s="20" t="s">
        <v>655</v>
      </c>
      <c r="D1125" s="20" t="s">
        <v>1657</v>
      </c>
      <c r="E1125" s="20" t="s">
        <v>887</v>
      </c>
      <c r="F1125" s="76" t="s">
        <v>603</v>
      </c>
      <c r="G1125" s="20" t="s">
        <v>704</v>
      </c>
      <c r="H1125" s="55" t="n">
        <v>10</v>
      </c>
      <c r="I1125" s="76" t="s">
        <v>546</v>
      </c>
      <c r="J1125" s="76" t="n">
        <v>100</v>
      </c>
      <c r="K1125" s="82" t="n">
        <v>1</v>
      </c>
      <c r="L1125" s="55" t="n">
        <v>61</v>
      </c>
      <c r="M1125" s="73" t="n">
        <v>1.6</v>
      </c>
      <c r="N1125" s="74" t="n">
        <f aca="false">K1125*L1125*M1125</f>
        <v>97.6</v>
      </c>
      <c r="O1125" s="41" t="n">
        <f aca="false">IFERROR(INDEX(Исходные!$B$21:$B$33,MATCH(H1125,Исходные!$A$21:$A$33,0)),0)</f>
        <v>0.617</v>
      </c>
      <c r="P1125" s="83" t="n">
        <f aca="false">N1125*O1125</f>
        <v>60.2192</v>
      </c>
      <c r="Q1125" s="20" t="s">
        <v>910</v>
      </c>
      <c r="R1125" s="84" t="s">
        <v>514</v>
      </c>
      <c r="S1125" s="20"/>
      <c r="T1125" s="20" t="s">
        <v>123</v>
      </c>
      <c r="U1125" s="53" t="n">
        <v>0</v>
      </c>
      <c r="V1125" s="76" t="s">
        <v>887</v>
      </c>
      <c r="W1125" s="53" t="n">
        <v>3</v>
      </c>
    </row>
    <row r="1126" customFormat="false" ht="35.05" hidden="false" customHeight="false" outlineLevel="0" collapsed="false">
      <c r="A1126" s="76" t="n">
        <v>1102</v>
      </c>
      <c r="B1126" s="20" t="s">
        <v>1526</v>
      </c>
      <c r="C1126" s="20" t="s">
        <v>655</v>
      </c>
      <c r="D1126" s="20" t="s">
        <v>1657</v>
      </c>
      <c r="E1126" s="20" t="s">
        <v>887</v>
      </c>
      <c r="F1126" s="76" t="s">
        <v>706</v>
      </c>
      <c r="G1126" s="20" t="s">
        <v>1314</v>
      </c>
      <c r="H1126" s="55" t="n">
        <v>8</v>
      </c>
      <c r="I1126" s="76" t="s">
        <v>546</v>
      </c>
      <c r="J1126" s="76" t="s">
        <v>708</v>
      </c>
      <c r="K1126" s="82" t="n">
        <v>1</v>
      </c>
      <c r="L1126" s="55" t="n">
        <v>53</v>
      </c>
      <c r="M1126" s="73" t="n">
        <v>0.75</v>
      </c>
      <c r="N1126" s="74" t="n">
        <f aca="false">K1126*L1126*M1126</f>
        <v>39.75</v>
      </c>
      <c r="O1126" s="41" t="n">
        <f aca="false">IFERROR(INDEX(Исходные!$B$21:$B$33,MATCH(H1126,Исходные!$A$21:$A$33,0)),0)</f>
        <v>0.395</v>
      </c>
      <c r="P1126" s="83" t="n">
        <f aca="false">N1126*O1126</f>
        <v>15.70125</v>
      </c>
      <c r="Q1126" s="20" t="s">
        <v>709</v>
      </c>
      <c r="R1126" s="84" t="s">
        <v>514</v>
      </c>
      <c r="S1126" s="20"/>
      <c r="T1126" s="20" t="s">
        <v>123</v>
      </c>
      <c r="U1126" s="53" t="n">
        <v>0</v>
      </c>
      <c r="V1126" s="76" t="s">
        <v>887</v>
      </c>
      <c r="W1126" s="53" t="n">
        <v>3</v>
      </c>
    </row>
    <row r="1127" customFormat="false" ht="35.05" hidden="false" customHeight="false" outlineLevel="0" collapsed="false">
      <c r="A1127" s="76" t="n">
        <v>1103</v>
      </c>
      <c r="B1127" s="20" t="s">
        <v>1526</v>
      </c>
      <c r="C1127" s="20" t="s">
        <v>655</v>
      </c>
      <c r="D1127" s="20" t="s">
        <v>1657</v>
      </c>
      <c r="E1127" s="20" t="s">
        <v>887</v>
      </c>
      <c r="F1127" s="76" t="s">
        <v>710</v>
      </c>
      <c r="G1127" s="20" t="s">
        <v>1315</v>
      </c>
      <c r="H1127" s="55" t="n">
        <v>8</v>
      </c>
      <c r="I1127" s="76" t="s">
        <v>546</v>
      </c>
      <c r="J1127" s="76" t="n">
        <v>300</v>
      </c>
      <c r="K1127" s="82" t="n">
        <v>1</v>
      </c>
      <c r="L1127" s="55" t="n">
        <v>54</v>
      </c>
      <c r="M1127" s="73" t="n">
        <v>0.58</v>
      </c>
      <c r="N1127" s="74" t="n">
        <f aca="false">K1127*L1127*M1127</f>
        <v>31.32</v>
      </c>
      <c r="O1127" s="41" t="n">
        <f aca="false">IFERROR(INDEX(Исходные!$B$21:$B$33,MATCH(H1127,Исходные!$A$21:$A$33,0)),0)</f>
        <v>0.395</v>
      </c>
      <c r="P1127" s="83" t="n">
        <f aca="false">N1127*O1127</f>
        <v>12.3714</v>
      </c>
      <c r="Q1127" s="20" t="s">
        <v>1316</v>
      </c>
      <c r="R1127" s="85" t="s">
        <v>638</v>
      </c>
      <c r="S1127" s="20"/>
      <c r="T1127" s="20" t="s">
        <v>123</v>
      </c>
      <c r="U1127" s="53" t="n">
        <v>1</v>
      </c>
      <c r="V1127" s="76" t="s">
        <v>887</v>
      </c>
      <c r="W1127" s="53" t="n">
        <v>3</v>
      </c>
    </row>
    <row r="1128" customFormat="false" ht="15" hidden="false" customHeight="true" outlineLevel="0" collapsed="false">
      <c r="A1128" s="81" t="s">
        <v>1668</v>
      </c>
      <c r="B1128" s="81"/>
      <c r="C1128" s="81"/>
      <c r="D1128" s="81"/>
      <c r="E1128" s="81"/>
      <c r="F1128" s="81"/>
      <c r="G1128" s="81"/>
      <c r="H1128" s="81"/>
      <c r="I1128" s="81"/>
      <c r="J1128" s="81"/>
      <c r="K1128" s="81"/>
      <c r="L1128" s="81"/>
      <c r="M1128" s="81"/>
      <c r="N1128" s="81"/>
      <c r="O1128" s="81"/>
      <c r="P1128" s="81"/>
      <c r="Q1128" s="81"/>
      <c r="R1128" s="81"/>
      <c r="S1128" s="81"/>
      <c r="T1128" s="81"/>
      <c r="U1128" s="81"/>
      <c r="V1128" s="81"/>
      <c r="W1128" s="81"/>
    </row>
    <row r="1129" customFormat="false" ht="35.05" hidden="false" customHeight="false" outlineLevel="0" collapsed="false">
      <c r="A1129" s="76" t="n">
        <v>1104</v>
      </c>
      <c r="B1129" s="20" t="s">
        <v>1526</v>
      </c>
      <c r="C1129" s="20" t="s">
        <v>912</v>
      </c>
      <c r="D1129" s="20" t="s">
        <v>913</v>
      </c>
      <c r="E1129" s="20" t="s">
        <v>1669</v>
      </c>
      <c r="F1129" s="76" t="s">
        <v>915</v>
      </c>
      <c r="G1129" s="20" t="s">
        <v>916</v>
      </c>
      <c r="H1129" s="55" t="n">
        <v>10</v>
      </c>
      <c r="I1129" s="76" t="s">
        <v>512</v>
      </c>
      <c r="J1129" s="76" t="n">
        <v>200</v>
      </c>
      <c r="K1129" s="82" t="n">
        <v>1</v>
      </c>
      <c r="L1129" s="55" t="n">
        <v>26</v>
      </c>
      <c r="M1129" s="73" t="n">
        <v>27.32</v>
      </c>
      <c r="N1129" s="74" t="n">
        <f aca="false">K1129*L1129*M1129</f>
        <v>710.32</v>
      </c>
      <c r="O1129" s="41" t="n">
        <f aca="false">IFERROR(INDEX(Исходные!$B$21:$B$33,MATCH(H1129,Исходные!$A$21:$A$33,0)),0)</f>
        <v>0.617</v>
      </c>
      <c r="P1129" s="83" t="n">
        <f aca="false">N1129*O1129</f>
        <v>438.26744</v>
      </c>
      <c r="Q1129" s="20" t="s">
        <v>1428</v>
      </c>
      <c r="R1129" s="84" t="s">
        <v>660</v>
      </c>
      <c r="S1129" s="20"/>
      <c r="T1129" s="20" t="s">
        <v>123</v>
      </c>
      <c r="U1129" s="53" t="n">
        <v>0</v>
      </c>
      <c r="V1129" s="76" t="s">
        <v>918</v>
      </c>
      <c r="W1129" s="53" t="n">
        <v>3</v>
      </c>
    </row>
    <row r="1130" customFormat="false" ht="35.05" hidden="false" customHeight="false" outlineLevel="0" collapsed="false">
      <c r="A1130" s="76" t="n">
        <v>1105</v>
      </c>
      <c r="B1130" s="20" t="s">
        <v>1526</v>
      </c>
      <c r="C1130" s="20" t="s">
        <v>912</v>
      </c>
      <c r="D1130" s="20" t="s">
        <v>913</v>
      </c>
      <c r="E1130" s="20" t="s">
        <v>1669</v>
      </c>
      <c r="F1130" s="76" t="s">
        <v>919</v>
      </c>
      <c r="G1130" s="20" t="s">
        <v>1429</v>
      </c>
      <c r="H1130" s="55" t="n">
        <v>10</v>
      </c>
      <c r="I1130" s="76" t="s">
        <v>512</v>
      </c>
      <c r="J1130" s="76" t="s">
        <v>164</v>
      </c>
      <c r="K1130" s="82" t="n">
        <v>26</v>
      </c>
      <c r="L1130" s="55" t="n">
        <v>2</v>
      </c>
      <c r="M1130" s="73" t="n">
        <v>0.4</v>
      </c>
      <c r="N1130" s="74" t="n">
        <f aca="false">K1130*L1130*M1130</f>
        <v>20.8</v>
      </c>
      <c r="O1130" s="41" t="n">
        <f aca="false">IFERROR(INDEX(Исходные!$B$21:$B$33,MATCH(H1130,Исходные!$A$21:$A$33,0)),0)</f>
        <v>0.617</v>
      </c>
      <c r="P1130" s="83" t="n">
        <f aca="false">N1130*O1130</f>
        <v>12.8336</v>
      </c>
      <c r="Q1130" s="20" t="s">
        <v>921</v>
      </c>
      <c r="R1130" s="84" t="s">
        <v>667</v>
      </c>
      <c r="S1130" s="20" t="s">
        <v>1430</v>
      </c>
      <c r="T1130" s="20" t="s">
        <v>123</v>
      </c>
      <c r="U1130" s="53" t="n">
        <v>0</v>
      </c>
      <c r="V1130" s="76" t="s">
        <v>918</v>
      </c>
      <c r="W1130" s="53" t="n">
        <v>3</v>
      </c>
    </row>
    <row r="1131" customFormat="false" ht="35.05" hidden="false" customHeight="false" outlineLevel="0" collapsed="false">
      <c r="A1131" s="76" t="n">
        <v>1106</v>
      </c>
      <c r="B1131" s="20" t="s">
        <v>1526</v>
      </c>
      <c r="C1131" s="20" t="s">
        <v>912</v>
      </c>
      <c r="D1131" s="20" t="s">
        <v>913</v>
      </c>
      <c r="E1131" s="20" t="s">
        <v>1669</v>
      </c>
      <c r="F1131" s="76" t="s">
        <v>915</v>
      </c>
      <c r="G1131" s="20" t="s">
        <v>916</v>
      </c>
      <c r="H1131" s="55" t="n">
        <v>10</v>
      </c>
      <c r="I1131" s="76" t="s">
        <v>512</v>
      </c>
      <c r="J1131" s="76" t="n">
        <v>200</v>
      </c>
      <c r="K1131" s="82" t="n">
        <v>1</v>
      </c>
      <c r="L1131" s="55" t="n">
        <v>49</v>
      </c>
      <c r="M1131" s="73" t="n">
        <v>25.6</v>
      </c>
      <c r="N1131" s="74" t="n">
        <f aca="false">K1131*L1131*M1131</f>
        <v>1254.4</v>
      </c>
      <c r="O1131" s="41" t="n">
        <f aca="false">IFERROR(INDEX(Исходные!$B$21:$B$33,MATCH(H1131,Исходные!$A$21:$A$33,0)),0)</f>
        <v>0.617</v>
      </c>
      <c r="P1131" s="83" t="n">
        <f aca="false">N1131*O1131</f>
        <v>773.9648</v>
      </c>
      <c r="Q1131" s="20" t="s">
        <v>1428</v>
      </c>
      <c r="R1131" s="84" t="s">
        <v>660</v>
      </c>
      <c r="S1131" s="20"/>
      <c r="T1131" s="20" t="s">
        <v>123</v>
      </c>
      <c r="U1131" s="53" t="n">
        <v>0</v>
      </c>
      <c r="V1131" s="76" t="s">
        <v>918</v>
      </c>
      <c r="W1131" s="53" t="n">
        <v>3</v>
      </c>
    </row>
    <row r="1132" customFormat="false" ht="35.05" hidden="false" customHeight="false" outlineLevel="0" collapsed="false">
      <c r="A1132" s="76" t="n">
        <v>1107</v>
      </c>
      <c r="B1132" s="20" t="s">
        <v>1526</v>
      </c>
      <c r="C1132" s="20" t="s">
        <v>912</v>
      </c>
      <c r="D1132" s="20" t="s">
        <v>913</v>
      </c>
      <c r="E1132" s="20" t="s">
        <v>1669</v>
      </c>
      <c r="F1132" s="76" t="s">
        <v>919</v>
      </c>
      <c r="G1132" s="20" t="s">
        <v>1431</v>
      </c>
      <c r="H1132" s="55" t="n">
        <v>10</v>
      </c>
      <c r="I1132" s="76" t="s">
        <v>512</v>
      </c>
      <c r="J1132" s="76" t="s">
        <v>164</v>
      </c>
      <c r="K1132" s="82" t="n">
        <v>49</v>
      </c>
      <c r="L1132" s="55" t="n">
        <v>2</v>
      </c>
      <c r="M1132" s="73" t="n">
        <v>0.4</v>
      </c>
      <c r="N1132" s="74" t="n">
        <f aca="false">K1132*L1132*M1132</f>
        <v>39.2</v>
      </c>
      <c r="O1132" s="41" t="n">
        <f aca="false">IFERROR(INDEX(Исходные!$B$21:$B$33,MATCH(H1132,Исходные!$A$21:$A$33,0)),0)</f>
        <v>0.617</v>
      </c>
      <c r="P1132" s="83" t="n">
        <f aca="false">N1132*O1132</f>
        <v>24.1864</v>
      </c>
      <c r="Q1132" s="20" t="s">
        <v>921</v>
      </c>
      <c r="R1132" s="84" t="s">
        <v>667</v>
      </c>
      <c r="S1132" s="20" t="s">
        <v>1432</v>
      </c>
      <c r="T1132" s="20" t="s">
        <v>123</v>
      </c>
      <c r="U1132" s="53" t="n">
        <v>0</v>
      </c>
      <c r="V1132" s="76" t="s">
        <v>918</v>
      </c>
      <c r="W1132" s="53" t="n">
        <v>3</v>
      </c>
    </row>
    <row r="1133" customFormat="false" ht="35.05" hidden="false" customHeight="false" outlineLevel="0" collapsed="false">
      <c r="A1133" s="76" t="n">
        <v>1108</v>
      </c>
      <c r="B1133" s="20" t="s">
        <v>1526</v>
      </c>
      <c r="C1133" s="20" t="s">
        <v>912</v>
      </c>
      <c r="D1133" s="20" t="s">
        <v>913</v>
      </c>
      <c r="E1133" s="20" t="s">
        <v>1669</v>
      </c>
      <c r="F1133" s="76" t="s">
        <v>915</v>
      </c>
      <c r="G1133" s="20" t="s">
        <v>916</v>
      </c>
      <c r="H1133" s="55" t="n">
        <v>10</v>
      </c>
      <c r="I1133" s="76" t="s">
        <v>512</v>
      </c>
      <c r="J1133" s="76" t="n">
        <v>200</v>
      </c>
      <c r="K1133" s="82" t="n">
        <v>1</v>
      </c>
      <c r="L1133" s="55" t="n">
        <v>1</v>
      </c>
      <c r="M1133" s="73" t="n">
        <v>22.2</v>
      </c>
      <c r="N1133" s="74" t="n">
        <f aca="false">K1133*L1133*M1133</f>
        <v>22.2</v>
      </c>
      <c r="O1133" s="41" t="n">
        <f aca="false">IFERROR(INDEX(Исходные!$B$21:$B$33,MATCH(H1133,Исходные!$A$21:$A$33,0)),0)</f>
        <v>0.617</v>
      </c>
      <c r="P1133" s="83" t="n">
        <f aca="false">N1133*O1133</f>
        <v>13.6974</v>
      </c>
      <c r="Q1133" s="20" t="s">
        <v>1428</v>
      </c>
      <c r="R1133" s="84" t="s">
        <v>660</v>
      </c>
      <c r="S1133" s="20"/>
      <c r="T1133" s="20" t="s">
        <v>123</v>
      </c>
      <c r="U1133" s="53" t="n">
        <v>0</v>
      </c>
      <c r="V1133" s="76" t="s">
        <v>918</v>
      </c>
      <c r="W1133" s="53" t="n">
        <v>3</v>
      </c>
    </row>
    <row r="1134" customFormat="false" ht="35.05" hidden="false" customHeight="false" outlineLevel="0" collapsed="false">
      <c r="A1134" s="76" t="n">
        <v>1109</v>
      </c>
      <c r="B1134" s="20" t="s">
        <v>1526</v>
      </c>
      <c r="C1134" s="20" t="s">
        <v>912</v>
      </c>
      <c r="D1134" s="20" t="s">
        <v>913</v>
      </c>
      <c r="E1134" s="20" t="s">
        <v>1669</v>
      </c>
      <c r="F1134" s="76" t="s">
        <v>919</v>
      </c>
      <c r="G1134" s="20" t="s">
        <v>925</v>
      </c>
      <c r="H1134" s="55" t="n">
        <v>10</v>
      </c>
      <c r="I1134" s="76" t="s">
        <v>512</v>
      </c>
      <c r="J1134" s="76" t="s">
        <v>164</v>
      </c>
      <c r="K1134" s="82" t="n">
        <v>1</v>
      </c>
      <c r="L1134" s="55" t="n">
        <v>1</v>
      </c>
      <c r="M1134" s="73" t="n">
        <v>0.4</v>
      </c>
      <c r="N1134" s="74" t="n">
        <f aca="false">K1134*L1134*M1134</f>
        <v>0.4</v>
      </c>
      <c r="O1134" s="41" t="n">
        <f aca="false">IFERROR(INDEX(Исходные!$B$21:$B$33,MATCH(H1134,Исходные!$A$21:$A$33,0)),0)</f>
        <v>0.617</v>
      </c>
      <c r="P1134" s="83" t="n">
        <f aca="false">N1134*O1134</f>
        <v>0.2468</v>
      </c>
      <c r="Q1134" s="20" t="s">
        <v>921</v>
      </c>
      <c r="R1134" s="84" t="s">
        <v>667</v>
      </c>
      <c r="S1134" s="20" t="s">
        <v>926</v>
      </c>
      <c r="T1134" s="20" t="s">
        <v>123</v>
      </c>
      <c r="U1134" s="53" t="n">
        <v>0</v>
      </c>
      <c r="V1134" s="76" t="s">
        <v>918</v>
      </c>
      <c r="W1134" s="53" t="n">
        <v>3</v>
      </c>
    </row>
    <row r="1135" customFormat="false" ht="35.05" hidden="false" customHeight="false" outlineLevel="0" collapsed="false">
      <c r="A1135" s="76" t="n">
        <v>1110</v>
      </c>
      <c r="B1135" s="20" t="s">
        <v>1526</v>
      </c>
      <c r="C1135" s="20" t="s">
        <v>912</v>
      </c>
      <c r="D1135" s="20" t="s">
        <v>913</v>
      </c>
      <c r="E1135" s="20" t="s">
        <v>1669</v>
      </c>
      <c r="F1135" s="76" t="s">
        <v>915</v>
      </c>
      <c r="G1135" s="20" t="s">
        <v>916</v>
      </c>
      <c r="H1135" s="55" t="n">
        <v>10</v>
      </c>
      <c r="I1135" s="76" t="s">
        <v>512</v>
      </c>
      <c r="J1135" s="76" t="n">
        <v>200</v>
      </c>
      <c r="K1135" s="82" t="n">
        <v>1</v>
      </c>
      <c r="L1135" s="55" t="n">
        <v>16</v>
      </c>
      <c r="M1135" s="73" t="n">
        <v>15.62</v>
      </c>
      <c r="N1135" s="74" t="n">
        <f aca="false">K1135*L1135*M1135</f>
        <v>249.92</v>
      </c>
      <c r="O1135" s="41" t="n">
        <f aca="false">IFERROR(INDEX(Исходные!$B$21:$B$33,MATCH(H1135,Исходные!$A$21:$A$33,0)),0)</f>
        <v>0.617</v>
      </c>
      <c r="P1135" s="83" t="n">
        <f aca="false">N1135*O1135</f>
        <v>154.20064</v>
      </c>
      <c r="Q1135" s="20" t="s">
        <v>1428</v>
      </c>
      <c r="R1135" s="84" t="s">
        <v>660</v>
      </c>
      <c r="S1135" s="20"/>
      <c r="T1135" s="20" t="s">
        <v>123</v>
      </c>
      <c r="U1135" s="53" t="n">
        <v>0</v>
      </c>
      <c r="V1135" s="76" t="s">
        <v>918</v>
      </c>
      <c r="W1135" s="53" t="n">
        <v>3</v>
      </c>
    </row>
    <row r="1136" customFormat="false" ht="35.05" hidden="false" customHeight="false" outlineLevel="0" collapsed="false">
      <c r="A1136" s="76" t="n">
        <v>1111</v>
      </c>
      <c r="B1136" s="20" t="s">
        <v>1526</v>
      </c>
      <c r="C1136" s="20" t="s">
        <v>912</v>
      </c>
      <c r="D1136" s="20" t="s">
        <v>913</v>
      </c>
      <c r="E1136" s="20" t="s">
        <v>1669</v>
      </c>
      <c r="F1136" s="76" t="s">
        <v>919</v>
      </c>
      <c r="G1136" s="20" t="s">
        <v>927</v>
      </c>
      <c r="H1136" s="55" t="n">
        <v>10</v>
      </c>
      <c r="I1136" s="76" t="s">
        <v>512</v>
      </c>
      <c r="J1136" s="76" t="s">
        <v>164</v>
      </c>
      <c r="K1136" s="82" t="n">
        <v>16</v>
      </c>
      <c r="L1136" s="55" t="n">
        <v>1</v>
      </c>
      <c r="M1136" s="73" t="n">
        <v>0.4</v>
      </c>
      <c r="N1136" s="74" t="n">
        <f aca="false">K1136*L1136*M1136</f>
        <v>6.4</v>
      </c>
      <c r="O1136" s="41" t="n">
        <f aca="false">IFERROR(INDEX(Исходные!$B$21:$B$33,MATCH(H1136,Исходные!$A$21:$A$33,0)),0)</f>
        <v>0.617</v>
      </c>
      <c r="P1136" s="83" t="n">
        <f aca="false">N1136*O1136</f>
        <v>3.9488</v>
      </c>
      <c r="Q1136" s="20" t="s">
        <v>921</v>
      </c>
      <c r="R1136" s="84" t="s">
        <v>667</v>
      </c>
      <c r="S1136" s="20" t="s">
        <v>928</v>
      </c>
      <c r="T1136" s="20" t="s">
        <v>123</v>
      </c>
      <c r="U1136" s="53" t="n">
        <v>0</v>
      </c>
      <c r="V1136" s="76" t="s">
        <v>918</v>
      </c>
      <c r="W1136" s="53" t="n">
        <v>3</v>
      </c>
    </row>
    <row r="1137" customFormat="false" ht="35.05" hidden="false" customHeight="false" outlineLevel="0" collapsed="false">
      <c r="A1137" s="76" t="n">
        <v>1112</v>
      </c>
      <c r="B1137" s="20" t="s">
        <v>1526</v>
      </c>
      <c r="C1137" s="20" t="s">
        <v>912</v>
      </c>
      <c r="D1137" s="20" t="s">
        <v>913</v>
      </c>
      <c r="E1137" s="20" t="s">
        <v>1669</v>
      </c>
      <c r="F1137" s="76" t="s">
        <v>915</v>
      </c>
      <c r="G1137" s="20" t="s">
        <v>916</v>
      </c>
      <c r="H1137" s="55" t="n">
        <v>10</v>
      </c>
      <c r="I1137" s="76" t="s">
        <v>512</v>
      </c>
      <c r="J1137" s="76" t="n">
        <v>200</v>
      </c>
      <c r="K1137" s="82" t="n">
        <v>1</v>
      </c>
      <c r="L1137" s="55" t="n">
        <v>12</v>
      </c>
      <c r="M1137" s="73" t="n">
        <v>13.9</v>
      </c>
      <c r="N1137" s="74" t="n">
        <f aca="false">K1137*L1137*M1137</f>
        <v>166.8</v>
      </c>
      <c r="O1137" s="41" t="n">
        <f aca="false">IFERROR(INDEX(Исходные!$B$21:$B$33,MATCH(H1137,Исходные!$A$21:$A$33,0)),0)</f>
        <v>0.617</v>
      </c>
      <c r="P1137" s="83" t="n">
        <f aca="false">N1137*O1137</f>
        <v>102.9156</v>
      </c>
      <c r="Q1137" s="20" t="s">
        <v>1428</v>
      </c>
      <c r="R1137" s="84" t="s">
        <v>660</v>
      </c>
      <c r="S1137" s="20"/>
      <c r="T1137" s="20" t="s">
        <v>123</v>
      </c>
      <c r="U1137" s="53" t="n">
        <v>0</v>
      </c>
      <c r="V1137" s="76" t="s">
        <v>918</v>
      </c>
      <c r="W1137" s="53" t="n">
        <v>3</v>
      </c>
    </row>
    <row r="1138" customFormat="false" ht="35.05" hidden="false" customHeight="false" outlineLevel="0" collapsed="false">
      <c r="A1138" s="76" t="n">
        <v>1113</v>
      </c>
      <c r="B1138" s="20" t="s">
        <v>1526</v>
      </c>
      <c r="C1138" s="20" t="s">
        <v>912</v>
      </c>
      <c r="D1138" s="20" t="s">
        <v>913</v>
      </c>
      <c r="E1138" s="20" t="s">
        <v>1669</v>
      </c>
      <c r="F1138" s="76" t="s">
        <v>919</v>
      </c>
      <c r="G1138" s="20" t="s">
        <v>929</v>
      </c>
      <c r="H1138" s="55" t="n">
        <v>10</v>
      </c>
      <c r="I1138" s="76" t="s">
        <v>512</v>
      </c>
      <c r="J1138" s="76" t="s">
        <v>164</v>
      </c>
      <c r="K1138" s="82" t="n">
        <v>12</v>
      </c>
      <c r="L1138" s="55" t="n">
        <v>1</v>
      </c>
      <c r="M1138" s="73" t="n">
        <v>0.4</v>
      </c>
      <c r="N1138" s="74" t="n">
        <f aca="false">K1138*L1138*M1138</f>
        <v>4.8</v>
      </c>
      <c r="O1138" s="41" t="n">
        <f aca="false">IFERROR(INDEX(Исходные!$B$21:$B$33,MATCH(H1138,Исходные!$A$21:$A$33,0)),0)</f>
        <v>0.617</v>
      </c>
      <c r="P1138" s="83" t="n">
        <f aca="false">N1138*O1138</f>
        <v>2.9616</v>
      </c>
      <c r="Q1138" s="20" t="s">
        <v>921</v>
      </c>
      <c r="R1138" s="84" t="s">
        <v>667</v>
      </c>
      <c r="S1138" s="20" t="s">
        <v>930</v>
      </c>
      <c r="T1138" s="20" t="s">
        <v>123</v>
      </c>
      <c r="U1138" s="53" t="n">
        <v>0</v>
      </c>
      <c r="V1138" s="76" t="s">
        <v>918</v>
      </c>
      <c r="W1138" s="53" t="n">
        <v>3</v>
      </c>
    </row>
    <row r="1139" customFormat="false" ht="35.05" hidden="false" customHeight="false" outlineLevel="0" collapsed="false">
      <c r="A1139" s="76" t="n">
        <v>1114</v>
      </c>
      <c r="B1139" s="20" t="s">
        <v>1526</v>
      </c>
      <c r="C1139" s="20" t="s">
        <v>912</v>
      </c>
      <c r="D1139" s="20" t="s">
        <v>913</v>
      </c>
      <c r="E1139" s="20" t="s">
        <v>1669</v>
      </c>
      <c r="F1139" s="76" t="s">
        <v>915</v>
      </c>
      <c r="G1139" s="20" t="s">
        <v>916</v>
      </c>
      <c r="H1139" s="55" t="n">
        <v>10</v>
      </c>
      <c r="I1139" s="76" t="s">
        <v>512</v>
      </c>
      <c r="J1139" s="76" t="n">
        <v>200</v>
      </c>
      <c r="K1139" s="82" t="n">
        <v>1</v>
      </c>
      <c r="L1139" s="55" t="n">
        <v>1</v>
      </c>
      <c r="M1139" s="73" t="n">
        <v>10.77</v>
      </c>
      <c r="N1139" s="74" t="n">
        <f aca="false">K1139*L1139*M1139</f>
        <v>10.77</v>
      </c>
      <c r="O1139" s="41" t="n">
        <f aca="false">IFERROR(INDEX(Исходные!$B$21:$B$33,MATCH(H1139,Исходные!$A$21:$A$33,0)),0)</f>
        <v>0.617</v>
      </c>
      <c r="P1139" s="83" t="n">
        <f aca="false">N1139*O1139</f>
        <v>6.64509</v>
      </c>
      <c r="Q1139" s="20" t="s">
        <v>1428</v>
      </c>
      <c r="R1139" s="84" t="s">
        <v>660</v>
      </c>
      <c r="S1139" s="20"/>
      <c r="T1139" s="20" t="s">
        <v>123</v>
      </c>
      <c r="U1139" s="53" t="n">
        <v>0</v>
      </c>
      <c r="V1139" s="76" t="s">
        <v>918</v>
      </c>
      <c r="W1139" s="53" t="n">
        <v>3</v>
      </c>
    </row>
    <row r="1140" customFormat="false" ht="35.05" hidden="false" customHeight="false" outlineLevel="0" collapsed="false">
      <c r="A1140" s="76" t="n">
        <v>1115</v>
      </c>
      <c r="B1140" s="20" t="s">
        <v>1526</v>
      </c>
      <c r="C1140" s="20" t="s">
        <v>912</v>
      </c>
      <c r="D1140" s="20" t="s">
        <v>913</v>
      </c>
      <c r="E1140" s="20" t="s">
        <v>1669</v>
      </c>
      <c r="F1140" s="76" t="s">
        <v>915</v>
      </c>
      <c r="G1140" s="20" t="s">
        <v>916</v>
      </c>
      <c r="H1140" s="55" t="n">
        <v>10</v>
      </c>
      <c r="I1140" s="76" t="s">
        <v>512</v>
      </c>
      <c r="J1140" s="76" t="n">
        <v>200</v>
      </c>
      <c r="K1140" s="82" t="n">
        <v>1</v>
      </c>
      <c r="L1140" s="55" t="n">
        <v>14</v>
      </c>
      <c r="M1140" s="73" t="n">
        <v>7.97</v>
      </c>
      <c r="N1140" s="74" t="n">
        <f aca="false">K1140*L1140*M1140</f>
        <v>111.58</v>
      </c>
      <c r="O1140" s="41" t="n">
        <f aca="false">IFERROR(INDEX(Исходные!$B$21:$B$33,MATCH(H1140,Исходные!$A$21:$A$33,0)),0)</f>
        <v>0.617</v>
      </c>
      <c r="P1140" s="83" t="n">
        <f aca="false">N1140*O1140</f>
        <v>68.84486</v>
      </c>
      <c r="Q1140" s="20" t="s">
        <v>1428</v>
      </c>
      <c r="R1140" s="84" t="s">
        <v>660</v>
      </c>
      <c r="S1140" s="20"/>
      <c r="T1140" s="20" t="s">
        <v>123</v>
      </c>
      <c r="U1140" s="53" t="n">
        <v>0</v>
      </c>
      <c r="V1140" s="76" t="s">
        <v>918</v>
      </c>
      <c r="W1140" s="53" t="n">
        <v>3</v>
      </c>
    </row>
    <row r="1141" customFormat="false" ht="35.05" hidden="false" customHeight="false" outlineLevel="0" collapsed="false">
      <c r="A1141" s="76" t="n">
        <v>1116</v>
      </c>
      <c r="B1141" s="20" t="s">
        <v>1526</v>
      </c>
      <c r="C1141" s="20" t="s">
        <v>912</v>
      </c>
      <c r="D1141" s="20" t="s">
        <v>913</v>
      </c>
      <c r="E1141" s="20" t="s">
        <v>1669</v>
      </c>
      <c r="F1141" s="76" t="s">
        <v>915</v>
      </c>
      <c r="G1141" s="20" t="s">
        <v>916</v>
      </c>
      <c r="H1141" s="55" t="n">
        <v>10</v>
      </c>
      <c r="I1141" s="76" t="s">
        <v>512</v>
      </c>
      <c r="J1141" s="76" t="n">
        <v>200</v>
      </c>
      <c r="K1141" s="82" t="n">
        <v>1</v>
      </c>
      <c r="L1141" s="55" t="n">
        <v>9</v>
      </c>
      <c r="M1141" s="73" t="n">
        <v>7.95</v>
      </c>
      <c r="N1141" s="74" t="n">
        <f aca="false">K1141*L1141*M1141</f>
        <v>71.55</v>
      </c>
      <c r="O1141" s="41" t="n">
        <f aca="false">IFERROR(INDEX(Исходные!$B$21:$B$33,MATCH(H1141,Исходные!$A$21:$A$33,0)),0)</f>
        <v>0.617</v>
      </c>
      <c r="P1141" s="83" t="n">
        <f aca="false">N1141*O1141</f>
        <v>44.14635</v>
      </c>
      <c r="Q1141" s="20" t="s">
        <v>1428</v>
      </c>
      <c r="R1141" s="84" t="s">
        <v>660</v>
      </c>
      <c r="S1141" s="20"/>
      <c r="T1141" s="20" t="s">
        <v>123</v>
      </c>
      <c r="U1141" s="53" t="n">
        <v>0</v>
      </c>
      <c r="V1141" s="76" t="s">
        <v>918</v>
      </c>
      <c r="W1141" s="53" t="n">
        <v>3</v>
      </c>
    </row>
    <row r="1142" customFormat="false" ht="35.05" hidden="false" customHeight="false" outlineLevel="0" collapsed="false">
      <c r="A1142" s="76" t="n">
        <v>1117</v>
      </c>
      <c r="B1142" s="20" t="s">
        <v>1526</v>
      </c>
      <c r="C1142" s="20" t="s">
        <v>912</v>
      </c>
      <c r="D1142" s="20" t="s">
        <v>913</v>
      </c>
      <c r="E1142" s="20" t="s">
        <v>1669</v>
      </c>
      <c r="F1142" s="76" t="s">
        <v>915</v>
      </c>
      <c r="G1142" s="20" t="s">
        <v>916</v>
      </c>
      <c r="H1142" s="55" t="n">
        <v>10</v>
      </c>
      <c r="I1142" s="76" t="s">
        <v>512</v>
      </c>
      <c r="J1142" s="76" t="n">
        <v>200</v>
      </c>
      <c r="K1142" s="82" t="n">
        <v>1</v>
      </c>
      <c r="L1142" s="55" t="n">
        <v>13</v>
      </c>
      <c r="M1142" s="73" t="n">
        <v>7.17</v>
      </c>
      <c r="N1142" s="74" t="n">
        <f aca="false">K1142*L1142*M1142</f>
        <v>93.21</v>
      </c>
      <c r="O1142" s="41" t="n">
        <f aca="false">IFERROR(INDEX(Исходные!$B$21:$B$33,MATCH(H1142,Исходные!$A$21:$A$33,0)),0)</f>
        <v>0.617</v>
      </c>
      <c r="P1142" s="83" t="n">
        <f aca="false">N1142*O1142</f>
        <v>57.51057</v>
      </c>
      <c r="Q1142" s="20" t="s">
        <v>1428</v>
      </c>
      <c r="R1142" s="84" t="s">
        <v>660</v>
      </c>
      <c r="S1142" s="20"/>
      <c r="T1142" s="20" t="s">
        <v>123</v>
      </c>
      <c r="U1142" s="53" t="n">
        <v>0</v>
      </c>
      <c r="V1142" s="76" t="s">
        <v>918</v>
      </c>
      <c r="W1142" s="53" t="n">
        <v>3</v>
      </c>
    </row>
    <row r="1143" customFormat="false" ht="35.05" hidden="false" customHeight="false" outlineLevel="0" collapsed="false">
      <c r="A1143" s="76" t="n">
        <v>1118</v>
      </c>
      <c r="B1143" s="20" t="s">
        <v>1526</v>
      </c>
      <c r="C1143" s="20" t="s">
        <v>912</v>
      </c>
      <c r="D1143" s="20" t="s">
        <v>913</v>
      </c>
      <c r="E1143" s="20" t="s">
        <v>1669</v>
      </c>
      <c r="F1143" s="76" t="s">
        <v>915</v>
      </c>
      <c r="G1143" s="20" t="s">
        <v>916</v>
      </c>
      <c r="H1143" s="55" t="n">
        <v>10</v>
      </c>
      <c r="I1143" s="76" t="s">
        <v>512</v>
      </c>
      <c r="J1143" s="76" t="n">
        <v>200</v>
      </c>
      <c r="K1143" s="82" t="n">
        <v>1</v>
      </c>
      <c r="L1143" s="55" t="n">
        <v>9</v>
      </c>
      <c r="M1143" s="73" t="n">
        <v>3.78</v>
      </c>
      <c r="N1143" s="74" t="n">
        <f aca="false">K1143*L1143*M1143</f>
        <v>34.02</v>
      </c>
      <c r="O1143" s="41" t="n">
        <f aca="false">IFERROR(INDEX(Исходные!$B$21:$B$33,MATCH(H1143,Исходные!$A$21:$A$33,0)),0)</f>
        <v>0.617</v>
      </c>
      <c r="P1143" s="83" t="n">
        <f aca="false">N1143*O1143</f>
        <v>20.99034</v>
      </c>
      <c r="Q1143" s="20" t="s">
        <v>1428</v>
      </c>
      <c r="R1143" s="84" t="s">
        <v>660</v>
      </c>
      <c r="S1143" s="20"/>
      <c r="T1143" s="20" t="s">
        <v>123</v>
      </c>
      <c r="U1143" s="53" t="n">
        <v>0</v>
      </c>
      <c r="V1143" s="76" t="s">
        <v>918</v>
      </c>
      <c r="W1143" s="53" t="n">
        <v>3</v>
      </c>
    </row>
    <row r="1144" customFormat="false" ht="35.05" hidden="false" customHeight="false" outlineLevel="0" collapsed="false">
      <c r="A1144" s="76" t="n">
        <v>1119</v>
      </c>
      <c r="B1144" s="20" t="s">
        <v>1526</v>
      </c>
      <c r="C1144" s="20" t="s">
        <v>912</v>
      </c>
      <c r="D1144" s="20" t="s">
        <v>913</v>
      </c>
      <c r="E1144" s="20" t="s">
        <v>1669</v>
      </c>
      <c r="F1144" s="76" t="s">
        <v>931</v>
      </c>
      <c r="G1144" s="20" t="s">
        <v>932</v>
      </c>
      <c r="H1144" s="55" t="n">
        <v>10</v>
      </c>
      <c r="I1144" s="76" t="s">
        <v>512</v>
      </c>
      <c r="J1144" s="76" t="n">
        <v>200</v>
      </c>
      <c r="K1144" s="82" t="n">
        <v>1</v>
      </c>
      <c r="L1144" s="55" t="n">
        <v>40</v>
      </c>
      <c r="M1144" s="73" t="n">
        <v>22.32</v>
      </c>
      <c r="N1144" s="74" t="n">
        <f aca="false">K1144*L1144*M1144</f>
        <v>892.8</v>
      </c>
      <c r="O1144" s="41" t="n">
        <f aca="false">IFERROR(INDEX(Исходные!$B$21:$B$33,MATCH(H1144,Исходные!$A$21:$A$33,0)),0)</f>
        <v>0.617</v>
      </c>
      <c r="P1144" s="83" t="n">
        <f aca="false">N1144*O1144</f>
        <v>550.8576</v>
      </c>
      <c r="Q1144" s="20" t="s">
        <v>1428</v>
      </c>
      <c r="R1144" s="84" t="s">
        <v>660</v>
      </c>
      <c r="S1144" s="20"/>
      <c r="T1144" s="20" t="s">
        <v>123</v>
      </c>
      <c r="U1144" s="53" t="n">
        <v>0</v>
      </c>
      <c r="V1144" s="76" t="s">
        <v>918</v>
      </c>
      <c r="W1144" s="53" t="n">
        <v>3</v>
      </c>
    </row>
    <row r="1145" customFormat="false" ht="35.05" hidden="false" customHeight="false" outlineLevel="0" collapsed="false">
      <c r="A1145" s="76" t="n">
        <v>1120</v>
      </c>
      <c r="B1145" s="20" t="s">
        <v>1526</v>
      </c>
      <c r="C1145" s="20" t="s">
        <v>912</v>
      </c>
      <c r="D1145" s="20" t="s">
        <v>913</v>
      </c>
      <c r="E1145" s="20" t="s">
        <v>1669</v>
      </c>
      <c r="F1145" s="76" t="s">
        <v>933</v>
      </c>
      <c r="G1145" s="20" t="s">
        <v>1433</v>
      </c>
      <c r="H1145" s="55" t="n">
        <v>10</v>
      </c>
      <c r="I1145" s="76" t="s">
        <v>512</v>
      </c>
      <c r="J1145" s="76" t="s">
        <v>164</v>
      </c>
      <c r="K1145" s="82" t="n">
        <v>40</v>
      </c>
      <c r="L1145" s="55" t="n">
        <v>1</v>
      </c>
      <c r="M1145" s="73" t="n">
        <v>0.4</v>
      </c>
      <c r="N1145" s="74" t="n">
        <f aca="false">K1145*L1145*M1145</f>
        <v>16</v>
      </c>
      <c r="O1145" s="41" t="n">
        <f aca="false">IFERROR(INDEX(Исходные!$B$21:$B$33,MATCH(H1145,Исходные!$A$21:$A$33,0)),0)</f>
        <v>0.617</v>
      </c>
      <c r="P1145" s="83" t="n">
        <f aca="false">N1145*O1145</f>
        <v>9.872</v>
      </c>
      <c r="Q1145" s="20" t="s">
        <v>921</v>
      </c>
      <c r="R1145" s="84" t="s">
        <v>667</v>
      </c>
      <c r="S1145" s="20" t="s">
        <v>1434</v>
      </c>
      <c r="T1145" s="20" t="s">
        <v>123</v>
      </c>
      <c r="U1145" s="53" t="n">
        <v>0</v>
      </c>
      <c r="V1145" s="76" t="s">
        <v>918</v>
      </c>
      <c r="W1145" s="53" t="n">
        <v>3</v>
      </c>
    </row>
    <row r="1146" customFormat="false" ht="35.05" hidden="false" customHeight="false" outlineLevel="0" collapsed="false">
      <c r="A1146" s="76" t="n">
        <v>1121</v>
      </c>
      <c r="B1146" s="20" t="s">
        <v>1526</v>
      </c>
      <c r="C1146" s="20" t="s">
        <v>912</v>
      </c>
      <c r="D1146" s="20" t="s">
        <v>913</v>
      </c>
      <c r="E1146" s="20" t="s">
        <v>1669</v>
      </c>
      <c r="F1146" s="76" t="s">
        <v>931</v>
      </c>
      <c r="G1146" s="20" t="s">
        <v>932</v>
      </c>
      <c r="H1146" s="55" t="n">
        <v>10</v>
      </c>
      <c r="I1146" s="76" t="s">
        <v>512</v>
      </c>
      <c r="J1146" s="76" t="n">
        <v>200</v>
      </c>
      <c r="K1146" s="82" t="n">
        <v>1</v>
      </c>
      <c r="L1146" s="55" t="n">
        <v>41</v>
      </c>
      <c r="M1146" s="73" t="n">
        <v>20.6</v>
      </c>
      <c r="N1146" s="74" t="n">
        <f aca="false">K1146*L1146*M1146</f>
        <v>844.6</v>
      </c>
      <c r="O1146" s="41" t="n">
        <f aca="false">IFERROR(INDEX(Исходные!$B$21:$B$33,MATCH(H1146,Исходные!$A$21:$A$33,0)),0)</f>
        <v>0.617</v>
      </c>
      <c r="P1146" s="83" t="n">
        <f aca="false">N1146*O1146</f>
        <v>521.1182</v>
      </c>
      <c r="Q1146" s="20" t="s">
        <v>1428</v>
      </c>
      <c r="R1146" s="84" t="s">
        <v>660</v>
      </c>
      <c r="S1146" s="20"/>
      <c r="T1146" s="20" t="s">
        <v>123</v>
      </c>
      <c r="U1146" s="53" t="n">
        <v>0</v>
      </c>
      <c r="V1146" s="76" t="s">
        <v>918</v>
      </c>
      <c r="W1146" s="53" t="n">
        <v>3</v>
      </c>
    </row>
    <row r="1147" customFormat="false" ht="35.05" hidden="false" customHeight="false" outlineLevel="0" collapsed="false">
      <c r="A1147" s="76" t="n">
        <v>1122</v>
      </c>
      <c r="B1147" s="20" t="s">
        <v>1526</v>
      </c>
      <c r="C1147" s="20" t="s">
        <v>912</v>
      </c>
      <c r="D1147" s="20" t="s">
        <v>913</v>
      </c>
      <c r="E1147" s="20" t="s">
        <v>1669</v>
      </c>
      <c r="F1147" s="76" t="s">
        <v>933</v>
      </c>
      <c r="G1147" s="20" t="s">
        <v>1435</v>
      </c>
      <c r="H1147" s="55" t="n">
        <v>10</v>
      </c>
      <c r="I1147" s="76" t="s">
        <v>512</v>
      </c>
      <c r="J1147" s="76" t="s">
        <v>164</v>
      </c>
      <c r="K1147" s="82" t="n">
        <v>41</v>
      </c>
      <c r="L1147" s="55" t="n">
        <v>1</v>
      </c>
      <c r="M1147" s="73" t="n">
        <v>0.4</v>
      </c>
      <c r="N1147" s="74" t="n">
        <f aca="false">K1147*L1147*M1147</f>
        <v>16.4</v>
      </c>
      <c r="O1147" s="41" t="n">
        <f aca="false">IFERROR(INDEX(Исходные!$B$21:$B$33,MATCH(H1147,Исходные!$A$21:$A$33,0)),0)</f>
        <v>0.617</v>
      </c>
      <c r="P1147" s="83" t="n">
        <f aca="false">N1147*O1147</f>
        <v>10.1188</v>
      </c>
      <c r="Q1147" s="20" t="s">
        <v>921</v>
      </c>
      <c r="R1147" s="84" t="s">
        <v>667</v>
      </c>
      <c r="S1147" s="20" t="s">
        <v>1436</v>
      </c>
      <c r="T1147" s="20" t="s">
        <v>123</v>
      </c>
      <c r="U1147" s="53" t="n">
        <v>0</v>
      </c>
      <c r="V1147" s="76" t="s">
        <v>918</v>
      </c>
      <c r="W1147" s="53" t="n">
        <v>3</v>
      </c>
    </row>
    <row r="1148" customFormat="false" ht="35.05" hidden="false" customHeight="false" outlineLevel="0" collapsed="false">
      <c r="A1148" s="76" t="n">
        <v>1123</v>
      </c>
      <c r="B1148" s="20" t="s">
        <v>1526</v>
      </c>
      <c r="C1148" s="20" t="s">
        <v>912</v>
      </c>
      <c r="D1148" s="20" t="s">
        <v>913</v>
      </c>
      <c r="E1148" s="20" t="s">
        <v>1669</v>
      </c>
      <c r="F1148" s="76" t="s">
        <v>931</v>
      </c>
      <c r="G1148" s="20" t="s">
        <v>932</v>
      </c>
      <c r="H1148" s="55" t="n">
        <v>10</v>
      </c>
      <c r="I1148" s="76" t="s">
        <v>512</v>
      </c>
      <c r="J1148" s="76" t="n">
        <v>200</v>
      </c>
      <c r="K1148" s="82" t="n">
        <v>1</v>
      </c>
      <c r="L1148" s="55" t="n">
        <v>26</v>
      </c>
      <c r="M1148" s="73" t="n">
        <v>20.48</v>
      </c>
      <c r="N1148" s="74" t="n">
        <f aca="false">K1148*L1148*M1148</f>
        <v>532.48</v>
      </c>
      <c r="O1148" s="41" t="n">
        <f aca="false">IFERROR(INDEX(Исходные!$B$21:$B$33,MATCH(H1148,Исходные!$A$21:$A$33,0)),0)</f>
        <v>0.617</v>
      </c>
      <c r="P1148" s="83" t="n">
        <f aca="false">N1148*O1148</f>
        <v>328.54016</v>
      </c>
      <c r="Q1148" s="20" t="s">
        <v>1428</v>
      </c>
      <c r="R1148" s="84" t="s">
        <v>660</v>
      </c>
      <c r="S1148" s="20"/>
      <c r="T1148" s="20" t="s">
        <v>123</v>
      </c>
      <c r="U1148" s="53" t="n">
        <v>0</v>
      </c>
      <c r="V1148" s="76" t="s">
        <v>918</v>
      </c>
      <c r="W1148" s="53" t="n">
        <v>3</v>
      </c>
    </row>
    <row r="1149" customFormat="false" ht="35.05" hidden="false" customHeight="false" outlineLevel="0" collapsed="false">
      <c r="A1149" s="76" t="n">
        <v>1124</v>
      </c>
      <c r="B1149" s="20" t="s">
        <v>1526</v>
      </c>
      <c r="C1149" s="20" t="s">
        <v>912</v>
      </c>
      <c r="D1149" s="20" t="s">
        <v>913</v>
      </c>
      <c r="E1149" s="20" t="s">
        <v>1669</v>
      </c>
      <c r="F1149" s="76" t="s">
        <v>933</v>
      </c>
      <c r="G1149" s="20" t="s">
        <v>938</v>
      </c>
      <c r="H1149" s="55" t="n">
        <v>10</v>
      </c>
      <c r="I1149" s="76" t="s">
        <v>512</v>
      </c>
      <c r="J1149" s="76" t="s">
        <v>164</v>
      </c>
      <c r="K1149" s="82" t="n">
        <v>26</v>
      </c>
      <c r="L1149" s="55" t="n">
        <v>1</v>
      </c>
      <c r="M1149" s="73" t="n">
        <v>0.4</v>
      </c>
      <c r="N1149" s="74" t="n">
        <f aca="false">K1149*L1149*M1149</f>
        <v>10.4</v>
      </c>
      <c r="O1149" s="41" t="n">
        <f aca="false">IFERROR(INDEX(Исходные!$B$21:$B$33,MATCH(H1149,Исходные!$A$21:$A$33,0)),0)</f>
        <v>0.617</v>
      </c>
      <c r="P1149" s="83" t="n">
        <f aca="false">N1149*O1149</f>
        <v>6.4168</v>
      </c>
      <c r="Q1149" s="20" t="s">
        <v>921</v>
      </c>
      <c r="R1149" s="84" t="s">
        <v>667</v>
      </c>
      <c r="S1149" s="20" t="s">
        <v>939</v>
      </c>
      <c r="T1149" s="20" t="s">
        <v>123</v>
      </c>
      <c r="U1149" s="53" t="n">
        <v>0</v>
      </c>
      <c r="V1149" s="76" t="s">
        <v>918</v>
      </c>
      <c r="W1149" s="53" t="n">
        <v>3</v>
      </c>
    </row>
    <row r="1150" customFormat="false" ht="35.05" hidden="false" customHeight="false" outlineLevel="0" collapsed="false">
      <c r="A1150" s="76" t="n">
        <v>1125</v>
      </c>
      <c r="B1150" s="20" t="s">
        <v>1526</v>
      </c>
      <c r="C1150" s="20" t="s">
        <v>912</v>
      </c>
      <c r="D1150" s="20" t="s">
        <v>913</v>
      </c>
      <c r="E1150" s="20" t="s">
        <v>1669</v>
      </c>
      <c r="F1150" s="76" t="s">
        <v>931</v>
      </c>
      <c r="G1150" s="20" t="s">
        <v>932</v>
      </c>
      <c r="H1150" s="55" t="n">
        <v>10</v>
      </c>
      <c r="I1150" s="76" t="s">
        <v>512</v>
      </c>
      <c r="J1150" s="76" t="n">
        <v>200</v>
      </c>
      <c r="K1150" s="82" t="n">
        <v>1</v>
      </c>
      <c r="L1150" s="55" t="n">
        <v>2</v>
      </c>
      <c r="M1150" s="73" t="n">
        <v>19.01</v>
      </c>
      <c r="N1150" s="74" t="n">
        <f aca="false">K1150*L1150*M1150</f>
        <v>38.02</v>
      </c>
      <c r="O1150" s="41" t="n">
        <f aca="false">IFERROR(INDEX(Исходные!$B$21:$B$33,MATCH(H1150,Исходные!$A$21:$A$33,0)),0)</f>
        <v>0.617</v>
      </c>
      <c r="P1150" s="83" t="n">
        <f aca="false">N1150*O1150</f>
        <v>23.45834</v>
      </c>
      <c r="Q1150" s="20" t="s">
        <v>1428</v>
      </c>
      <c r="R1150" s="84" t="s">
        <v>660</v>
      </c>
      <c r="S1150" s="20"/>
      <c r="T1150" s="20" t="s">
        <v>123</v>
      </c>
      <c r="U1150" s="53" t="n">
        <v>0</v>
      </c>
      <c r="V1150" s="76" t="s">
        <v>918</v>
      </c>
      <c r="W1150" s="53" t="n">
        <v>3</v>
      </c>
    </row>
    <row r="1151" customFormat="false" ht="35.05" hidden="false" customHeight="false" outlineLevel="0" collapsed="false">
      <c r="A1151" s="76" t="n">
        <v>1126</v>
      </c>
      <c r="B1151" s="20" t="s">
        <v>1526</v>
      </c>
      <c r="C1151" s="20" t="s">
        <v>912</v>
      </c>
      <c r="D1151" s="20" t="s">
        <v>913</v>
      </c>
      <c r="E1151" s="20" t="s">
        <v>1669</v>
      </c>
      <c r="F1151" s="76" t="s">
        <v>933</v>
      </c>
      <c r="G1151" s="20" t="s">
        <v>940</v>
      </c>
      <c r="H1151" s="55" t="n">
        <v>10</v>
      </c>
      <c r="I1151" s="76" t="s">
        <v>512</v>
      </c>
      <c r="J1151" s="76" t="s">
        <v>164</v>
      </c>
      <c r="K1151" s="82" t="n">
        <v>2</v>
      </c>
      <c r="L1151" s="55" t="n">
        <v>1</v>
      </c>
      <c r="M1151" s="73" t="n">
        <v>0.4</v>
      </c>
      <c r="N1151" s="74" t="n">
        <f aca="false">K1151*L1151*M1151</f>
        <v>0.8</v>
      </c>
      <c r="O1151" s="41" t="n">
        <f aca="false">IFERROR(INDEX(Исходные!$B$21:$B$33,MATCH(H1151,Исходные!$A$21:$A$33,0)),0)</f>
        <v>0.617</v>
      </c>
      <c r="P1151" s="83" t="n">
        <f aca="false">N1151*O1151</f>
        <v>0.4936</v>
      </c>
      <c r="Q1151" s="20" t="s">
        <v>921</v>
      </c>
      <c r="R1151" s="84" t="s">
        <v>667</v>
      </c>
      <c r="S1151" s="20" t="s">
        <v>941</v>
      </c>
      <c r="T1151" s="20" t="s">
        <v>123</v>
      </c>
      <c r="U1151" s="53" t="n">
        <v>0</v>
      </c>
      <c r="V1151" s="76" t="s">
        <v>918</v>
      </c>
      <c r="W1151" s="53" t="n">
        <v>3</v>
      </c>
    </row>
    <row r="1152" customFormat="false" ht="35.05" hidden="false" customHeight="false" outlineLevel="0" collapsed="false">
      <c r="A1152" s="76" t="n">
        <v>1127</v>
      </c>
      <c r="B1152" s="20" t="s">
        <v>1526</v>
      </c>
      <c r="C1152" s="20" t="s">
        <v>912</v>
      </c>
      <c r="D1152" s="20" t="s">
        <v>913</v>
      </c>
      <c r="E1152" s="20" t="s">
        <v>1669</v>
      </c>
      <c r="F1152" s="76" t="s">
        <v>931</v>
      </c>
      <c r="G1152" s="20" t="s">
        <v>932</v>
      </c>
      <c r="H1152" s="55" t="n">
        <v>10</v>
      </c>
      <c r="I1152" s="76" t="s">
        <v>512</v>
      </c>
      <c r="J1152" s="76" t="n">
        <v>200</v>
      </c>
      <c r="K1152" s="82" t="n">
        <v>1</v>
      </c>
      <c r="L1152" s="55" t="n">
        <v>3</v>
      </c>
      <c r="M1152" s="73" t="n">
        <v>17.28</v>
      </c>
      <c r="N1152" s="74" t="n">
        <f aca="false">K1152*L1152*M1152</f>
        <v>51.84</v>
      </c>
      <c r="O1152" s="41" t="n">
        <f aca="false">IFERROR(INDEX(Исходные!$B$21:$B$33,MATCH(H1152,Исходные!$A$21:$A$33,0)),0)</f>
        <v>0.617</v>
      </c>
      <c r="P1152" s="83" t="n">
        <f aca="false">N1152*O1152</f>
        <v>31.98528</v>
      </c>
      <c r="Q1152" s="20" t="s">
        <v>1428</v>
      </c>
      <c r="R1152" s="84" t="s">
        <v>660</v>
      </c>
      <c r="S1152" s="20"/>
      <c r="T1152" s="20" t="s">
        <v>123</v>
      </c>
      <c r="U1152" s="53" t="n">
        <v>0</v>
      </c>
      <c r="V1152" s="76" t="s">
        <v>918</v>
      </c>
      <c r="W1152" s="53" t="n">
        <v>3</v>
      </c>
    </row>
    <row r="1153" customFormat="false" ht="35.05" hidden="false" customHeight="false" outlineLevel="0" collapsed="false">
      <c r="A1153" s="76" t="n">
        <v>1128</v>
      </c>
      <c r="B1153" s="20" t="s">
        <v>1526</v>
      </c>
      <c r="C1153" s="20" t="s">
        <v>912</v>
      </c>
      <c r="D1153" s="20" t="s">
        <v>913</v>
      </c>
      <c r="E1153" s="20" t="s">
        <v>1669</v>
      </c>
      <c r="F1153" s="76" t="s">
        <v>933</v>
      </c>
      <c r="G1153" s="20" t="s">
        <v>1437</v>
      </c>
      <c r="H1153" s="55" t="n">
        <v>10</v>
      </c>
      <c r="I1153" s="76" t="s">
        <v>512</v>
      </c>
      <c r="J1153" s="76" t="s">
        <v>164</v>
      </c>
      <c r="K1153" s="82" t="n">
        <v>3</v>
      </c>
      <c r="L1153" s="55" t="n">
        <v>1</v>
      </c>
      <c r="M1153" s="73" t="n">
        <v>0.4</v>
      </c>
      <c r="N1153" s="74" t="n">
        <f aca="false">K1153*L1153*M1153</f>
        <v>1.2</v>
      </c>
      <c r="O1153" s="41" t="n">
        <f aca="false">IFERROR(INDEX(Исходные!$B$21:$B$33,MATCH(H1153,Исходные!$A$21:$A$33,0)),0)</f>
        <v>0.617</v>
      </c>
      <c r="P1153" s="83" t="n">
        <f aca="false">N1153*O1153</f>
        <v>0.7404</v>
      </c>
      <c r="Q1153" s="20" t="s">
        <v>921</v>
      </c>
      <c r="R1153" s="84" t="s">
        <v>667</v>
      </c>
      <c r="S1153" s="20" t="s">
        <v>943</v>
      </c>
      <c r="T1153" s="20" t="s">
        <v>123</v>
      </c>
      <c r="U1153" s="53" t="n">
        <v>0</v>
      </c>
      <c r="V1153" s="76" t="s">
        <v>918</v>
      </c>
      <c r="W1153" s="53" t="n">
        <v>3</v>
      </c>
    </row>
    <row r="1154" customFormat="false" ht="35.05" hidden="false" customHeight="false" outlineLevel="0" collapsed="false">
      <c r="A1154" s="76" t="n">
        <v>1129</v>
      </c>
      <c r="B1154" s="20" t="s">
        <v>1526</v>
      </c>
      <c r="C1154" s="20" t="s">
        <v>912</v>
      </c>
      <c r="D1154" s="20" t="s">
        <v>913</v>
      </c>
      <c r="E1154" s="20" t="s">
        <v>1669</v>
      </c>
      <c r="F1154" s="76" t="s">
        <v>931</v>
      </c>
      <c r="G1154" s="20" t="s">
        <v>932</v>
      </c>
      <c r="H1154" s="55" t="n">
        <v>10</v>
      </c>
      <c r="I1154" s="76" t="s">
        <v>512</v>
      </c>
      <c r="J1154" s="76" t="n">
        <v>200</v>
      </c>
      <c r="K1154" s="82" t="n">
        <v>1</v>
      </c>
      <c r="L1154" s="55" t="n">
        <v>17</v>
      </c>
      <c r="M1154" s="73" t="n">
        <v>15.6</v>
      </c>
      <c r="N1154" s="74" t="n">
        <f aca="false">K1154*L1154*M1154</f>
        <v>265.2</v>
      </c>
      <c r="O1154" s="41" t="n">
        <f aca="false">IFERROR(INDEX(Исходные!$B$21:$B$33,MATCH(H1154,Исходные!$A$21:$A$33,0)),0)</f>
        <v>0.617</v>
      </c>
      <c r="P1154" s="83" t="n">
        <f aca="false">N1154*O1154</f>
        <v>163.6284</v>
      </c>
      <c r="Q1154" s="20" t="s">
        <v>1428</v>
      </c>
      <c r="R1154" s="84" t="s">
        <v>660</v>
      </c>
      <c r="S1154" s="20"/>
      <c r="T1154" s="20" t="s">
        <v>123</v>
      </c>
      <c r="U1154" s="53" t="n">
        <v>0</v>
      </c>
      <c r="V1154" s="76" t="s">
        <v>918</v>
      </c>
      <c r="W1154" s="53" t="n">
        <v>3</v>
      </c>
    </row>
    <row r="1155" customFormat="false" ht="35.05" hidden="false" customHeight="false" outlineLevel="0" collapsed="false">
      <c r="A1155" s="76" t="n">
        <v>1130</v>
      </c>
      <c r="B1155" s="20" t="s">
        <v>1526</v>
      </c>
      <c r="C1155" s="20" t="s">
        <v>912</v>
      </c>
      <c r="D1155" s="20" t="s">
        <v>913</v>
      </c>
      <c r="E1155" s="20" t="s">
        <v>1669</v>
      </c>
      <c r="F1155" s="76" t="s">
        <v>933</v>
      </c>
      <c r="G1155" s="20" t="s">
        <v>944</v>
      </c>
      <c r="H1155" s="55" t="n">
        <v>10</v>
      </c>
      <c r="I1155" s="76" t="s">
        <v>512</v>
      </c>
      <c r="J1155" s="76" t="s">
        <v>164</v>
      </c>
      <c r="K1155" s="82" t="n">
        <v>17</v>
      </c>
      <c r="L1155" s="55" t="n">
        <v>1</v>
      </c>
      <c r="M1155" s="73" t="n">
        <v>0.4</v>
      </c>
      <c r="N1155" s="74" t="n">
        <f aca="false">K1155*L1155*M1155</f>
        <v>6.8</v>
      </c>
      <c r="O1155" s="41" t="n">
        <f aca="false">IFERROR(INDEX(Исходные!$B$21:$B$33,MATCH(H1155,Исходные!$A$21:$A$33,0)),0)</f>
        <v>0.617</v>
      </c>
      <c r="P1155" s="83" t="n">
        <f aca="false">N1155*O1155</f>
        <v>4.1956</v>
      </c>
      <c r="Q1155" s="20" t="s">
        <v>921</v>
      </c>
      <c r="R1155" s="84" t="s">
        <v>667</v>
      </c>
      <c r="S1155" s="20" t="s">
        <v>945</v>
      </c>
      <c r="T1155" s="20" t="s">
        <v>123</v>
      </c>
      <c r="U1155" s="53" t="n">
        <v>0</v>
      </c>
      <c r="V1155" s="76" t="s">
        <v>918</v>
      </c>
      <c r="W1155" s="53" t="n">
        <v>3</v>
      </c>
    </row>
    <row r="1156" customFormat="false" ht="35.05" hidden="false" customHeight="false" outlineLevel="0" collapsed="false">
      <c r="A1156" s="76" t="n">
        <v>1131</v>
      </c>
      <c r="B1156" s="20" t="s">
        <v>1526</v>
      </c>
      <c r="C1156" s="20" t="s">
        <v>912</v>
      </c>
      <c r="D1156" s="20" t="s">
        <v>913</v>
      </c>
      <c r="E1156" s="20" t="s">
        <v>1669</v>
      </c>
      <c r="F1156" s="76" t="s">
        <v>931</v>
      </c>
      <c r="G1156" s="20" t="s">
        <v>932</v>
      </c>
      <c r="H1156" s="55" t="n">
        <v>10</v>
      </c>
      <c r="I1156" s="76" t="s">
        <v>512</v>
      </c>
      <c r="J1156" s="76" t="n">
        <v>200</v>
      </c>
      <c r="K1156" s="82" t="n">
        <v>1</v>
      </c>
      <c r="L1156" s="55" t="n">
        <v>18</v>
      </c>
      <c r="M1156" s="73" t="n">
        <v>4.15</v>
      </c>
      <c r="N1156" s="74" t="n">
        <f aca="false">K1156*L1156*M1156</f>
        <v>74.7</v>
      </c>
      <c r="O1156" s="41" t="n">
        <f aca="false">IFERROR(INDEX(Исходные!$B$21:$B$33,MATCH(H1156,Исходные!$A$21:$A$33,0)),0)</f>
        <v>0.617</v>
      </c>
      <c r="P1156" s="83" t="n">
        <f aca="false">N1156*O1156</f>
        <v>46.0899</v>
      </c>
      <c r="Q1156" s="20" t="s">
        <v>1428</v>
      </c>
      <c r="R1156" s="84" t="s">
        <v>660</v>
      </c>
      <c r="S1156" s="20"/>
      <c r="T1156" s="20" t="s">
        <v>123</v>
      </c>
      <c r="U1156" s="53" t="n">
        <v>0</v>
      </c>
      <c r="V1156" s="76" t="s">
        <v>918</v>
      </c>
      <c r="W1156" s="53" t="n">
        <v>3</v>
      </c>
    </row>
    <row r="1157" customFormat="false" ht="35.05" hidden="false" customHeight="false" outlineLevel="0" collapsed="false">
      <c r="A1157" s="76" t="n">
        <v>1132</v>
      </c>
      <c r="B1157" s="20" t="s">
        <v>1526</v>
      </c>
      <c r="C1157" s="20" t="s">
        <v>912</v>
      </c>
      <c r="D1157" s="20" t="s">
        <v>913</v>
      </c>
      <c r="E1157" s="20" t="s">
        <v>1669</v>
      </c>
      <c r="F1157" s="76" t="s">
        <v>931</v>
      </c>
      <c r="G1157" s="20" t="s">
        <v>932</v>
      </c>
      <c r="H1157" s="55" t="n">
        <v>10</v>
      </c>
      <c r="I1157" s="76" t="s">
        <v>512</v>
      </c>
      <c r="J1157" s="76" t="n">
        <v>200</v>
      </c>
      <c r="K1157" s="82" t="n">
        <v>1</v>
      </c>
      <c r="L1157" s="55" t="n">
        <v>22</v>
      </c>
      <c r="M1157" s="73" t="n">
        <v>0.6</v>
      </c>
      <c r="N1157" s="74" t="n">
        <f aca="false">K1157*L1157*M1157</f>
        <v>13.2</v>
      </c>
      <c r="O1157" s="41" t="n">
        <f aca="false">IFERROR(INDEX(Исходные!$B$21:$B$33,MATCH(H1157,Исходные!$A$21:$A$33,0)),0)</f>
        <v>0.617</v>
      </c>
      <c r="P1157" s="83" t="n">
        <f aca="false">N1157*O1157</f>
        <v>8.1444</v>
      </c>
      <c r="Q1157" s="20" t="s">
        <v>1428</v>
      </c>
      <c r="R1157" s="84" t="s">
        <v>660</v>
      </c>
      <c r="S1157" s="20"/>
      <c r="T1157" s="20" t="s">
        <v>123</v>
      </c>
      <c r="U1157" s="53" t="n">
        <v>0</v>
      </c>
      <c r="V1157" s="76" t="s">
        <v>918</v>
      </c>
      <c r="W1157" s="53" t="n">
        <v>3</v>
      </c>
    </row>
    <row r="1158" customFormat="false" ht="35.05" hidden="false" customHeight="false" outlineLevel="0" collapsed="false">
      <c r="A1158" s="76" t="n">
        <v>1133</v>
      </c>
      <c r="B1158" s="20" t="s">
        <v>1526</v>
      </c>
      <c r="C1158" s="20" t="s">
        <v>912</v>
      </c>
      <c r="D1158" s="20" t="s">
        <v>913</v>
      </c>
      <c r="E1158" s="20" t="s">
        <v>1669</v>
      </c>
      <c r="F1158" s="76" t="s">
        <v>946</v>
      </c>
      <c r="G1158" s="20" t="s">
        <v>947</v>
      </c>
      <c r="H1158" s="55" t="n">
        <v>10</v>
      </c>
      <c r="I1158" s="76" t="s">
        <v>512</v>
      </c>
      <c r="J1158" s="76" t="n">
        <v>200</v>
      </c>
      <c r="K1158" s="82" t="n">
        <v>1</v>
      </c>
      <c r="L1158" s="55" t="n">
        <v>26</v>
      </c>
      <c r="M1158" s="73" t="n">
        <v>27.32</v>
      </c>
      <c r="N1158" s="74" t="n">
        <f aca="false">K1158*L1158*M1158</f>
        <v>710.32</v>
      </c>
      <c r="O1158" s="41" t="n">
        <f aca="false">IFERROR(INDEX(Исходные!$B$21:$B$33,MATCH(H1158,Исходные!$A$21:$A$33,0)),0)</f>
        <v>0.617</v>
      </c>
      <c r="P1158" s="83" t="n">
        <f aca="false">N1158*O1158</f>
        <v>438.26744</v>
      </c>
      <c r="Q1158" s="20" t="s">
        <v>1428</v>
      </c>
      <c r="R1158" s="84" t="s">
        <v>660</v>
      </c>
      <c r="S1158" s="20"/>
      <c r="T1158" s="20" t="s">
        <v>123</v>
      </c>
      <c r="U1158" s="53" t="n">
        <v>0</v>
      </c>
      <c r="V1158" s="76" t="s">
        <v>918</v>
      </c>
      <c r="W1158" s="53" t="n">
        <v>3</v>
      </c>
    </row>
    <row r="1159" customFormat="false" ht="35.05" hidden="false" customHeight="false" outlineLevel="0" collapsed="false">
      <c r="A1159" s="76" t="n">
        <v>1134</v>
      </c>
      <c r="B1159" s="20" t="s">
        <v>1526</v>
      </c>
      <c r="C1159" s="20" t="s">
        <v>912</v>
      </c>
      <c r="D1159" s="20" t="s">
        <v>913</v>
      </c>
      <c r="E1159" s="20" t="s">
        <v>1669</v>
      </c>
      <c r="F1159" s="76" t="s">
        <v>948</v>
      </c>
      <c r="G1159" s="20" t="s">
        <v>1438</v>
      </c>
      <c r="H1159" s="55" t="n">
        <v>10</v>
      </c>
      <c r="I1159" s="76" t="s">
        <v>512</v>
      </c>
      <c r="J1159" s="76" t="s">
        <v>164</v>
      </c>
      <c r="K1159" s="82" t="n">
        <v>26</v>
      </c>
      <c r="L1159" s="55" t="n">
        <v>2</v>
      </c>
      <c r="M1159" s="73" t="n">
        <v>0.4</v>
      </c>
      <c r="N1159" s="74" t="n">
        <f aca="false">K1159*L1159*M1159</f>
        <v>20.8</v>
      </c>
      <c r="O1159" s="41" t="n">
        <f aca="false">IFERROR(INDEX(Исходные!$B$21:$B$33,MATCH(H1159,Исходные!$A$21:$A$33,0)),0)</f>
        <v>0.617</v>
      </c>
      <c r="P1159" s="83" t="n">
        <f aca="false">N1159*O1159</f>
        <v>12.8336</v>
      </c>
      <c r="Q1159" s="20" t="s">
        <v>921</v>
      </c>
      <c r="R1159" s="84" t="s">
        <v>667</v>
      </c>
      <c r="S1159" s="20" t="s">
        <v>1430</v>
      </c>
      <c r="T1159" s="20" t="s">
        <v>123</v>
      </c>
      <c r="U1159" s="53" t="n">
        <v>0</v>
      </c>
      <c r="V1159" s="76" t="s">
        <v>918</v>
      </c>
      <c r="W1159" s="53" t="n">
        <v>3</v>
      </c>
    </row>
    <row r="1160" customFormat="false" ht="35.05" hidden="false" customHeight="false" outlineLevel="0" collapsed="false">
      <c r="A1160" s="76" t="n">
        <v>1135</v>
      </c>
      <c r="B1160" s="20" t="s">
        <v>1526</v>
      </c>
      <c r="C1160" s="20" t="s">
        <v>912</v>
      </c>
      <c r="D1160" s="20" t="s">
        <v>913</v>
      </c>
      <c r="E1160" s="20" t="s">
        <v>1669</v>
      </c>
      <c r="F1160" s="76" t="s">
        <v>946</v>
      </c>
      <c r="G1160" s="20" t="s">
        <v>947</v>
      </c>
      <c r="H1160" s="55" t="n">
        <v>10</v>
      </c>
      <c r="I1160" s="76" t="s">
        <v>512</v>
      </c>
      <c r="J1160" s="76" t="n">
        <v>200</v>
      </c>
      <c r="K1160" s="82" t="n">
        <v>1</v>
      </c>
      <c r="L1160" s="55" t="n">
        <v>49</v>
      </c>
      <c r="M1160" s="73" t="n">
        <v>25.6</v>
      </c>
      <c r="N1160" s="74" t="n">
        <f aca="false">K1160*L1160*M1160</f>
        <v>1254.4</v>
      </c>
      <c r="O1160" s="41" t="n">
        <f aca="false">IFERROR(INDEX(Исходные!$B$21:$B$33,MATCH(H1160,Исходные!$A$21:$A$33,0)),0)</f>
        <v>0.617</v>
      </c>
      <c r="P1160" s="83" t="n">
        <f aca="false">N1160*O1160</f>
        <v>773.9648</v>
      </c>
      <c r="Q1160" s="20" t="s">
        <v>1428</v>
      </c>
      <c r="R1160" s="84" t="s">
        <v>660</v>
      </c>
      <c r="S1160" s="20"/>
      <c r="T1160" s="20" t="s">
        <v>123</v>
      </c>
      <c r="U1160" s="53" t="n">
        <v>0</v>
      </c>
      <c r="V1160" s="76" t="s">
        <v>918</v>
      </c>
      <c r="W1160" s="53" t="n">
        <v>3</v>
      </c>
    </row>
    <row r="1161" customFormat="false" ht="35.05" hidden="false" customHeight="false" outlineLevel="0" collapsed="false">
      <c r="A1161" s="76" t="n">
        <v>1136</v>
      </c>
      <c r="B1161" s="20" t="s">
        <v>1526</v>
      </c>
      <c r="C1161" s="20" t="s">
        <v>912</v>
      </c>
      <c r="D1161" s="20" t="s">
        <v>913</v>
      </c>
      <c r="E1161" s="20" t="s">
        <v>1669</v>
      </c>
      <c r="F1161" s="76" t="s">
        <v>948</v>
      </c>
      <c r="G1161" s="20" t="s">
        <v>1439</v>
      </c>
      <c r="H1161" s="55" t="n">
        <v>10</v>
      </c>
      <c r="I1161" s="76" t="s">
        <v>512</v>
      </c>
      <c r="J1161" s="76" t="s">
        <v>164</v>
      </c>
      <c r="K1161" s="82" t="n">
        <v>49</v>
      </c>
      <c r="L1161" s="55" t="n">
        <v>2</v>
      </c>
      <c r="M1161" s="73" t="n">
        <v>0.4</v>
      </c>
      <c r="N1161" s="74" t="n">
        <f aca="false">K1161*L1161*M1161</f>
        <v>39.2</v>
      </c>
      <c r="O1161" s="41" t="n">
        <f aca="false">IFERROR(INDEX(Исходные!$B$21:$B$33,MATCH(H1161,Исходные!$A$21:$A$33,0)),0)</f>
        <v>0.617</v>
      </c>
      <c r="P1161" s="83" t="n">
        <f aca="false">N1161*O1161</f>
        <v>24.1864</v>
      </c>
      <c r="Q1161" s="20" t="s">
        <v>921</v>
      </c>
      <c r="R1161" s="84" t="s">
        <v>667</v>
      </c>
      <c r="S1161" s="20" t="s">
        <v>1432</v>
      </c>
      <c r="T1161" s="20" t="s">
        <v>123</v>
      </c>
      <c r="U1161" s="53" t="n">
        <v>0</v>
      </c>
      <c r="V1161" s="76" t="s">
        <v>918</v>
      </c>
      <c r="W1161" s="53" t="n">
        <v>3</v>
      </c>
    </row>
    <row r="1162" customFormat="false" ht="35.05" hidden="false" customHeight="false" outlineLevel="0" collapsed="false">
      <c r="A1162" s="76" t="n">
        <v>1137</v>
      </c>
      <c r="B1162" s="20" t="s">
        <v>1526</v>
      </c>
      <c r="C1162" s="20" t="s">
        <v>912</v>
      </c>
      <c r="D1162" s="20" t="s">
        <v>913</v>
      </c>
      <c r="E1162" s="20" t="s">
        <v>1669</v>
      </c>
      <c r="F1162" s="76" t="s">
        <v>946</v>
      </c>
      <c r="G1162" s="20" t="s">
        <v>947</v>
      </c>
      <c r="H1162" s="55" t="n">
        <v>10</v>
      </c>
      <c r="I1162" s="76" t="s">
        <v>512</v>
      </c>
      <c r="J1162" s="76" t="n">
        <v>200</v>
      </c>
      <c r="K1162" s="82" t="n">
        <v>1</v>
      </c>
      <c r="L1162" s="55" t="n">
        <v>1</v>
      </c>
      <c r="M1162" s="73" t="n">
        <v>22.2</v>
      </c>
      <c r="N1162" s="74" t="n">
        <f aca="false">K1162*L1162*M1162</f>
        <v>22.2</v>
      </c>
      <c r="O1162" s="41" t="n">
        <f aca="false">IFERROR(INDEX(Исходные!$B$21:$B$33,MATCH(H1162,Исходные!$A$21:$A$33,0)),0)</f>
        <v>0.617</v>
      </c>
      <c r="P1162" s="83" t="n">
        <f aca="false">N1162*O1162</f>
        <v>13.6974</v>
      </c>
      <c r="Q1162" s="20" t="s">
        <v>1428</v>
      </c>
      <c r="R1162" s="84" t="s">
        <v>660</v>
      </c>
      <c r="S1162" s="20"/>
      <c r="T1162" s="20" t="s">
        <v>123</v>
      </c>
      <c r="U1162" s="53" t="n">
        <v>0</v>
      </c>
      <c r="V1162" s="76" t="s">
        <v>918</v>
      </c>
      <c r="W1162" s="53" t="n">
        <v>3</v>
      </c>
    </row>
    <row r="1163" customFormat="false" ht="35.05" hidden="false" customHeight="false" outlineLevel="0" collapsed="false">
      <c r="A1163" s="76" t="n">
        <v>1138</v>
      </c>
      <c r="B1163" s="20" t="s">
        <v>1526</v>
      </c>
      <c r="C1163" s="20" t="s">
        <v>912</v>
      </c>
      <c r="D1163" s="20" t="s">
        <v>913</v>
      </c>
      <c r="E1163" s="20" t="s">
        <v>1669</v>
      </c>
      <c r="F1163" s="76" t="s">
        <v>948</v>
      </c>
      <c r="G1163" s="20" t="s">
        <v>951</v>
      </c>
      <c r="H1163" s="55" t="n">
        <v>10</v>
      </c>
      <c r="I1163" s="76" t="s">
        <v>512</v>
      </c>
      <c r="J1163" s="76" t="s">
        <v>164</v>
      </c>
      <c r="K1163" s="82" t="n">
        <v>1</v>
      </c>
      <c r="L1163" s="55" t="n">
        <v>1</v>
      </c>
      <c r="M1163" s="73" t="n">
        <v>0.4</v>
      </c>
      <c r="N1163" s="74" t="n">
        <f aca="false">K1163*L1163*M1163</f>
        <v>0.4</v>
      </c>
      <c r="O1163" s="41" t="n">
        <f aca="false">IFERROR(INDEX(Исходные!$B$21:$B$33,MATCH(H1163,Исходные!$A$21:$A$33,0)),0)</f>
        <v>0.617</v>
      </c>
      <c r="P1163" s="83" t="n">
        <f aca="false">N1163*O1163</f>
        <v>0.2468</v>
      </c>
      <c r="Q1163" s="20" t="s">
        <v>921</v>
      </c>
      <c r="R1163" s="84" t="s">
        <v>667</v>
      </c>
      <c r="S1163" s="20" t="s">
        <v>926</v>
      </c>
      <c r="T1163" s="20" t="s">
        <v>123</v>
      </c>
      <c r="U1163" s="53" t="n">
        <v>0</v>
      </c>
      <c r="V1163" s="76" t="s">
        <v>918</v>
      </c>
      <c r="W1163" s="53" t="n">
        <v>3</v>
      </c>
    </row>
    <row r="1164" customFormat="false" ht="35.05" hidden="false" customHeight="false" outlineLevel="0" collapsed="false">
      <c r="A1164" s="76" t="n">
        <v>1139</v>
      </c>
      <c r="B1164" s="20" t="s">
        <v>1526</v>
      </c>
      <c r="C1164" s="20" t="s">
        <v>912</v>
      </c>
      <c r="D1164" s="20" t="s">
        <v>913</v>
      </c>
      <c r="E1164" s="20" t="s">
        <v>1669</v>
      </c>
      <c r="F1164" s="76" t="s">
        <v>946</v>
      </c>
      <c r="G1164" s="20" t="s">
        <v>947</v>
      </c>
      <c r="H1164" s="55" t="n">
        <v>10</v>
      </c>
      <c r="I1164" s="76" t="s">
        <v>512</v>
      </c>
      <c r="J1164" s="76" t="n">
        <v>200</v>
      </c>
      <c r="K1164" s="82" t="n">
        <v>1</v>
      </c>
      <c r="L1164" s="55" t="n">
        <v>16</v>
      </c>
      <c r="M1164" s="73" t="n">
        <v>15.62</v>
      </c>
      <c r="N1164" s="74" t="n">
        <f aca="false">K1164*L1164*M1164</f>
        <v>249.92</v>
      </c>
      <c r="O1164" s="41" t="n">
        <f aca="false">IFERROR(INDEX(Исходные!$B$21:$B$33,MATCH(H1164,Исходные!$A$21:$A$33,0)),0)</f>
        <v>0.617</v>
      </c>
      <c r="P1164" s="83" t="n">
        <f aca="false">N1164*O1164</f>
        <v>154.20064</v>
      </c>
      <c r="Q1164" s="20" t="s">
        <v>1428</v>
      </c>
      <c r="R1164" s="84" t="s">
        <v>660</v>
      </c>
      <c r="S1164" s="20"/>
      <c r="T1164" s="20" t="s">
        <v>123</v>
      </c>
      <c r="U1164" s="53" t="n">
        <v>0</v>
      </c>
      <c r="V1164" s="76" t="s">
        <v>918</v>
      </c>
      <c r="W1164" s="53" t="n">
        <v>3</v>
      </c>
    </row>
    <row r="1165" customFormat="false" ht="35.05" hidden="false" customHeight="false" outlineLevel="0" collapsed="false">
      <c r="A1165" s="76" t="n">
        <v>1140</v>
      </c>
      <c r="B1165" s="20" t="s">
        <v>1526</v>
      </c>
      <c r="C1165" s="20" t="s">
        <v>912</v>
      </c>
      <c r="D1165" s="20" t="s">
        <v>913</v>
      </c>
      <c r="E1165" s="20" t="s">
        <v>1669</v>
      </c>
      <c r="F1165" s="76" t="s">
        <v>948</v>
      </c>
      <c r="G1165" s="20" t="s">
        <v>952</v>
      </c>
      <c r="H1165" s="55" t="n">
        <v>10</v>
      </c>
      <c r="I1165" s="76" t="s">
        <v>512</v>
      </c>
      <c r="J1165" s="76" t="s">
        <v>164</v>
      </c>
      <c r="K1165" s="82" t="n">
        <v>16</v>
      </c>
      <c r="L1165" s="55" t="n">
        <v>1</v>
      </c>
      <c r="M1165" s="73" t="n">
        <v>0.4</v>
      </c>
      <c r="N1165" s="74" t="n">
        <f aca="false">K1165*L1165*M1165</f>
        <v>6.4</v>
      </c>
      <c r="O1165" s="41" t="n">
        <f aca="false">IFERROR(INDEX(Исходные!$B$21:$B$33,MATCH(H1165,Исходные!$A$21:$A$33,0)),0)</f>
        <v>0.617</v>
      </c>
      <c r="P1165" s="83" t="n">
        <f aca="false">N1165*O1165</f>
        <v>3.9488</v>
      </c>
      <c r="Q1165" s="20" t="s">
        <v>921</v>
      </c>
      <c r="R1165" s="84" t="s">
        <v>667</v>
      </c>
      <c r="S1165" s="20" t="s">
        <v>928</v>
      </c>
      <c r="T1165" s="20" t="s">
        <v>123</v>
      </c>
      <c r="U1165" s="53" t="n">
        <v>0</v>
      </c>
      <c r="V1165" s="76" t="s">
        <v>918</v>
      </c>
      <c r="W1165" s="53" t="n">
        <v>3</v>
      </c>
    </row>
    <row r="1166" customFormat="false" ht="35.05" hidden="false" customHeight="false" outlineLevel="0" collapsed="false">
      <c r="A1166" s="76" t="n">
        <v>1141</v>
      </c>
      <c r="B1166" s="20" t="s">
        <v>1526</v>
      </c>
      <c r="C1166" s="20" t="s">
        <v>912</v>
      </c>
      <c r="D1166" s="20" t="s">
        <v>913</v>
      </c>
      <c r="E1166" s="20" t="s">
        <v>1669</v>
      </c>
      <c r="F1166" s="76" t="s">
        <v>946</v>
      </c>
      <c r="G1166" s="20" t="s">
        <v>947</v>
      </c>
      <c r="H1166" s="55" t="n">
        <v>10</v>
      </c>
      <c r="I1166" s="76" t="s">
        <v>512</v>
      </c>
      <c r="J1166" s="76" t="n">
        <v>200</v>
      </c>
      <c r="K1166" s="82" t="n">
        <v>1</v>
      </c>
      <c r="L1166" s="55" t="n">
        <v>12</v>
      </c>
      <c r="M1166" s="73" t="n">
        <v>13.9</v>
      </c>
      <c r="N1166" s="74" t="n">
        <f aca="false">K1166*L1166*M1166</f>
        <v>166.8</v>
      </c>
      <c r="O1166" s="41" t="n">
        <f aca="false">IFERROR(INDEX(Исходные!$B$21:$B$33,MATCH(H1166,Исходные!$A$21:$A$33,0)),0)</f>
        <v>0.617</v>
      </c>
      <c r="P1166" s="83" t="n">
        <f aca="false">N1166*O1166</f>
        <v>102.9156</v>
      </c>
      <c r="Q1166" s="20" t="s">
        <v>1428</v>
      </c>
      <c r="R1166" s="84" t="s">
        <v>660</v>
      </c>
      <c r="S1166" s="20"/>
      <c r="T1166" s="20" t="s">
        <v>123</v>
      </c>
      <c r="U1166" s="53" t="n">
        <v>0</v>
      </c>
      <c r="V1166" s="76" t="s">
        <v>918</v>
      </c>
      <c r="W1166" s="53" t="n">
        <v>3</v>
      </c>
    </row>
    <row r="1167" customFormat="false" ht="35.05" hidden="false" customHeight="false" outlineLevel="0" collapsed="false">
      <c r="A1167" s="76" t="n">
        <v>1142</v>
      </c>
      <c r="B1167" s="20" t="s">
        <v>1526</v>
      </c>
      <c r="C1167" s="20" t="s">
        <v>912</v>
      </c>
      <c r="D1167" s="20" t="s">
        <v>913</v>
      </c>
      <c r="E1167" s="20" t="s">
        <v>1669</v>
      </c>
      <c r="F1167" s="76" t="s">
        <v>948</v>
      </c>
      <c r="G1167" s="20" t="s">
        <v>953</v>
      </c>
      <c r="H1167" s="55" t="n">
        <v>10</v>
      </c>
      <c r="I1167" s="76" t="s">
        <v>512</v>
      </c>
      <c r="J1167" s="76" t="s">
        <v>164</v>
      </c>
      <c r="K1167" s="82" t="n">
        <v>12</v>
      </c>
      <c r="L1167" s="55" t="n">
        <v>1</v>
      </c>
      <c r="M1167" s="73" t="n">
        <v>0.4</v>
      </c>
      <c r="N1167" s="74" t="n">
        <f aca="false">K1167*L1167*M1167</f>
        <v>4.8</v>
      </c>
      <c r="O1167" s="41" t="n">
        <f aca="false">IFERROR(INDEX(Исходные!$B$21:$B$33,MATCH(H1167,Исходные!$A$21:$A$33,0)),0)</f>
        <v>0.617</v>
      </c>
      <c r="P1167" s="83" t="n">
        <f aca="false">N1167*O1167</f>
        <v>2.9616</v>
      </c>
      <c r="Q1167" s="20" t="s">
        <v>921</v>
      </c>
      <c r="R1167" s="84" t="s">
        <v>667</v>
      </c>
      <c r="S1167" s="20" t="s">
        <v>930</v>
      </c>
      <c r="T1167" s="20" t="s">
        <v>123</v>
      </c>
      <c r="U1167" s="53" t="n">
        <v>0</v>
      </c>
      <c r="V1167" s="76" t="s">
        <v>918</v>
      </c>
      <c r="W1167" s="53" t="n">
        <v>3</v>
      </c>
    </row>
    <row r="1168" customFormat="false" ht="35.05" hidden="false" customHeight="false" outlineLevel="0" collapsed="false">
      <c r="A1168" s="76" t="n">
        <v>1143</v>
      </c>
      <c r="B1168" s="20" t="s">
        <v>1526</v>
      </c>
      <c r="C1168" s="20" t="s">
        <v>912</v>
      </c>
      <c r="D1168" s="20" t="s">
        <v>913</v>
      </c>
      <c r="E1168" s="20" t="s">
        <v>1669</v>
      </c>
      <c r="F1168" s="76" t="s">
        <v>946</v>
      </c>
      <c r="G1168" s="20" t="s">
        <v>947</v>
      </c>
      <c r="H1168" s="55" t="n">
        <v>10</v>
      </c>
      <c r="I1168" s="76" t="s">
        <v>512</v>
      </c>
      <c r="J1168" s="76" t="n">
        <v>200</v>
      </c>
      <c r="K1168" s="82" t="n">
        <v>1</v>
      </c>
      <c r="L1168" s="55" t="n">
        <v>1</v>
      </c>
      <c r="M1168" s="73" t="n">
        <v>10.77</v>
      </c>
      <c r="N1168" s="74" t="n">
        <f aca="false">K1168*L1168*M1168</f>
        <v>10.77</v>
      </c>
      <c r="O1168" s="41" t="n">
        <f aca="false">IFERROR(INDEX(Исходные!$B$21:$B$33,MATCH(H1168,Исходные!$A$21:$A$33,0)),0)</f>
        <v>0.617</v>
      </c>
      <c r="P1168" s="83" t="n">
        <f aca="false">N1168*O1168</f>
        <v>6.64509</v>
      </c>
      <c r="Q1168" s="20" t="s">
        <v>1428</v>
      </c>
      <c r="R1168" s="84" t="s">
        <v>660</v>
      </c>
      <c r="S1168" s="20"/>
      <c r="T1168" s="20" t="s">
        <v>123</v>
      </c>
      <c r="U1168" s="53" t="n">
        <v>0</v>
      </c>
      <c r="V1168" s="76" t="s">
        <v>918</v>
      </c>
      <c r="W1168" s="53" t="n">
        <v>3</v>
      </c>
    </row>
    <row r="1169" customFormat="false" ht="35.05" hidden="false" customHeight="false" outlineLevel="0" collapsed="false">
      <c r="A1169" s="76" t="n">
        <v>1144</v>
      </c>
      <c r="B1169" s="20" t="s">
        <v>1526</v>
      </c>
      <c r="C1169" s="20" t="s">
        <v>912</v>
      </c>
      <c r="D1169" s="20" t="s">
        <v>913</v>
      </c>
      <c r="E1169" s="20" t="s">
        <v>1669</v>
      </c>
      <c r="F1169" s="76" t="s">
        <v>946</v>
      </c>
      <c r="G1169" s="20" t="s">
        <v>947</v>
      </c>
      <c r="H1169" s="55" t="n">
        <v>10</v>
      </c>
      <c r="I1169" s="76" t="s">
        <v>512</v>
      </c>
      <c r="J1169" s="76" t="n">
        <v>200</v>
      </c>
      <c r="K1169" s="82" t="n">
        <v>1</v>
      </c>
      <c r="L1169" s="55" t="n">
        <v>14</v>
      </c>
      <c r="M1169" s="73" t="n">
        <v>7.97</v>
      </c>
      <c r="N1169" s="74" t="n">
        <f aca="false">K1169*L1169*M1169</f>
        <v>111.58</v>
      </c>
      <c r="O1169" s="41" t="n">
        <f aca="false">IFERROR(INDEX(Исходные!$B$21:$B$33,MATCH(H1169,Исходные!$A$21:$A$33,0)),0)</f>
        <v>0.617</v>
      </c>
      <c r="P1169" s="83" t="n">
        <f aca="false">N1169*O1169</f>
        <v>68.84486</v>
      </c>
      <c r="Q1169" s="20" t="s">
        <v>1428</v>
      </c>
      <c r="R1169" s="84" t="s">
        <v>660</v>
      </c>
      <c r="S1169" s="20"/>
      <c r="T1169" s="20" t="s">
        <v>123</v>
      </c>
      <c r="U1169" s="53" t="n">
        <v>0</v>
      </c>
      <c r="V1169" s="76" t="s">
        <v>918</v>
      </c>
      <c r="W1169" s="53" t="n">
        <v>3</v>
      </c>
    </row>
    <row r="1170" customFormat="false" ht="35.05" hidden="false" customHeight="false" outlineLevel="0" collapsed="false">
      <c r="A1170" s="76" t="n">
        <v>1145</v>
      </c>
      <c r="B1170" s="20" t="s">
        <v>1526</v>
      </c>
      <c r="C1170" s="20" t="s">
        <v>912</v>
      </c>
      <c r="D1170" s="20" t="s">
        <v>913</v>
      </c>
      <c r="E1170" s="20" t="s">
        <v>1669</v>
      </c>
      <c r="F1170" s="76" t="s">
        <v>946</v>
      </c>
      <c r="G1170" s="20" t="s">
        <v>947</v>
      </c>
      <c r="H1170" s="55" t="n">
        <v>10</v>
      </c>
      <c r="I1170" s="76" t="s">
        <v>512</v>
      </c>
      <c r="J1170" s="76" t="n">
        <v>200</v>
      </c>
      <c r="K1170" s="82" t="n">
        <v>1</v>
      </c>
      <c r="L1170" s="55" t="n">
        <v>9</v>
      </c>
      <c r="M1170" s="73" t="n">
        <v>7.95</v>
      </c>
      <c r="N1170" s="74" t="n">
        <f aca="false">K1170*L1170*M1170</f>
        <v>71.55</v>
      </c>
      <c r="O1170" s="41" t="n">
        <f aca="false">IFERROR(INDEX(Исходные!$B$21:$B$33,MATCH(H1170,Исходные!$A$21:$A$33,0)),0)</f>
        <v>0.617</v>
      </c>
      <c r="P1170" s="83" t="n">
        <f aca="false">N1170*O1170</f>
        <v>44.14635</v>
      </c>
      <c r="Q1170" s="20" t="s">
        <v>1428</v>
      </c>
      <c r="R1170" s="84" t="s">
        <v>660</v>
      </c>
      <c r="S1170" s="20"/>
      <c r="T1170" s="20" t="s">
        <v>123</v>
      </c>
      <c r="U1170" s="53" t="n">
        <v>0</v>
      </c>
      <c r="V1170" s="76" t="s">
        <v>918</v>
      </c>
      <c r="W1170" s="53" t="n">
        <v>3</v>
      </c>
    </row>
    <row r="1171" customFormat="false" ht="35.05" hidden="false" customHeight="false" outlineLevel="0" collapsed="false">
      <c r="A1171" s="76" t="n">
        <v>1146</v>
      </c>
      <c r="B1171" s="20" t="s">
        <v>1526</v>
      </c>
      <c r="C1171" s="20" t="s">
        <v>912</v>
      </c>
      <c r="D1171" s="20" t="s">
        <v>913</v>
      </c>
      <c r="E1171" s="20" t="s">
        <v>1669</v>
      </c>
      <c r="F1171" s="76" t="s">
        <v>946</v>
      </c>
      <c r="G1171" s="20" t="s">
        <v>947</v>
      </c>
      <c r="H1171" s="55" t="n">
        <v>10</v>
      </c>
      <c r="I1171" s="76" t="s">
        <v>512</v>
      </c>
      <c r="J1171" s="76" t="n">
        <v>200</v>
      </c>
      <c r="K1171" s="82" t="n">
        <v>1</v>
      </c>
      <c r="L1171" s="55" t="n">
        <v>13</v>
      </c>
      <c r="M1171" s="73" t="n">
        <v>7.17</v>
      </c>
      <c r="N1171" s="74" t="n">
        <f aca="false">K1171*L1171*M1171</f>
        <v>93.21</v>
      </c>
      <c r="O1171" s="41" t="n">
        <f aca="false">IFERROR(INDEX(Исходные!$B$21:$B$33,MATCH(H1171,Исходные!$A$21:$A$33,0)),0)</f>
        <v>0.617</v>
      </c>
      <c r="P1171" s="83" t="n">
        <f aca="false">N1171*O1171</f>
        <v>57.51057</v>
      </c>
      <c r="Q1171" s="20" t="s">
        <v>1428</v>
      </c>
      <c r="R1171" s="84" t="s">
        <v>660</v>
      </c>
      <c r="S1171" s="20"/>
      <c r="T1171" s="20" t="s">
        <v>123</v>
      </c>
      <c r="U1171" s="53" t="n">
        <v>0</v>
      </c>
      <c r="V1171" s="76" t="s">
        <v>918</v>
      </c>
      <c r="W1171" s="53" t="n">
        <v>3</v>
      </c>
    </row>
    <row r="1172" customFormat="false" ht="35.05" hidden="false" customHeight="false" outlineLevel="0" collapsed="false">
      <c r="A1172" s="76" t="n">
        <v>1147</v>
      </c>
      <c r="B1172" s="20" t="s">
        <v>1526</v>
      </c>
      <c r="C1172" s="20" t="s">
        <v>912</v>
      </c>
      <c r="D1172" s="20" t="s">
        <v>913</v>
      </c>
      <c r="E1172" s="20" t="s">
        <v>1669</v>
      </c>
      <c r="F1172" s="76" t="s">
        <v>946</v>
      </c>
      <c r="G1172" s="20" t="s">
        <v>947</v>
      </c>
      <c r="H1172" s="55" t="n">
        <v>10</v>
      </c>
      <c r="I1172" s="76" t="s">
        <v>512</v>
      </c>
      <c r="J1172" s="76" t="n">
        <v>200</v>
      </c>
      <c r="K1172" s="82" t="n">
        <v>1</v>
      </c>
      <c r="L1172" s="55" t="n">
        <v>9</v>
      </c>
      <c r="M1172" s="73" t="n">
        <v>3.78</v>
      </c>
      <c r="N1172" s="74" t="n">
        <f aca="false">K1172*L1172*M1172</f>
        <v>34.02</v>
      </c>
      <c r="O1172" s="41" t="n">
        <f aca="false">IFERROR(INDEX(Исходные!$B$21:$B$33,MATCH(H1172,Исходные!$A$21:$A$33,0)),0)</f>
        <v>0.617</v>
      </c>
      <c r="P1172" s="83" t="n">
        <f aca="false">N1172*O1172</f>
        <v>20.99034</v>
      </c>
      <c r="Q1172" s="20" t="s">
        <v>1428</v>
      </c>
      <c r="R1172" s="84" t="s">
        <v>660</v>
      </c>
      <c r="S1172" s="20"/>
      <c r="T1172" s="20" t="s">
        <v>123</v>
      </c>
      <c r="U1172" s="53" t="n">
        <v>0</v>
      </c>
      <c r="V1172" s="76" t="s">
        <v>918</v>
      </c>
      <c r="W1172" s="53" t="n">
        <v>3</v>
      </c>
    </row>
    <row r="1173" customFormat="false" ht="35.05" hidden="false" customHeight="false" outlineLevel="0" collapsed="false">
      <c r="A1173" s="76" t="n">
        <v>1148</v>
      </c>
      <c r="B1173" s="20" t="s">
        <v>1526</v>
      </c>
      <c r="C1173" s="20" t="s">
        <v>912</v>
      </c>
      <c r="D1173" s="20" t="s">
        <v>913</v>
      </c>
      <c r="E1173" s="20" t="s">
        <v>1669</v>
      </c>
      <c r="F1173" s="76" t="s">
        <v>954</v>
      </c>
      <c r="G1173" s="20" t="s">
        <v>955</v>
      </c>
      <c r="H1173" s="55" t="n">
        <v>10</v>
      </c>
      <c r="I1173" s="76" t="s">
        <v>512</v>
      </c>
      <c r="J1173" s="76" t="n">
        <v>200</v>
      </c>
      <c r="K1173" s="82" t="n">
        <v>1</v>
      </c>
      <c r="L1173" s="55" t="n">
        <v>40</v>
      </c>
      <c r="M1173" s="73" t="n">
        <v>22.32</v>
      </c>
      <c r="N1173" s="74" t="n">
        <f aca="false">K1173*L1173*M1173</f>
        <v>892.8</v>
      </c>
      <c r="O1173" s="41" t="n">
        <f aca="false">IFERROR(INDEX(Исходные!$B$21:$B$33,MATCH(H1173,Исходные!$A$21:$A$33,0)),0)</f>
        <v>0.617</v>
      </c>
      <c r="P1173" s="83" t="n">
        <f aca="false">N1173*O1173</f>
        <v>550.8576</v>
      </c>
      <c r="Q1173" s="20" t="s">
        <v>1428</v>
      </c>
      <c r="R1173" s="84" t="s">
        <v>660</v>
      </c>
      <c r="S1173" s="20"/>
      <c r="T1173" s="20" t="s">
        <v>123</v>
      </c>
      <c r="U1173" s="53" t="n">
        <v>0</v>
      </c>
      <c r="V1173" s="76" t="s">
        <v>918</v>
      </c>
      <c r="W1173" s="53" t="n">
        <v>3</v>
      </c>
    </row>
    <row r="1174" customFormat="false" ht="35.05" hidden="false" customHeight="false" outlineLevel="0" collapsed="false">
      <c r="A1174" s="76" t="n">
        <v>1149</v>
      </c>
      <c r="B1174" s="20" t="s">
        <v>1526</v>
      </c>
      <c r="C1174" s="20" t="s">
        <v>912</v>
      </c>
      <c r="D1174" s="20" t="s">
        <v>913</v>
      </c>
      <c r="E1174" s="20" t="s">
        <v>1669</v>
      </c>
      <c r="F1174" s="76" t="s">
        <v>956</v>
      </c>
      <c r="G1174" s="20" t="s">
        <v>1440</v>
      </c>
      <c r="H1174" s="55" t="n">
        <v>10</v>
      </c>
      <c r="I1174" s="76" t="s">
        <v>512</v>
      </c>
      <c r="J1174" s="76" t="s">
        <v>164</v>
      </c>
      <c r="K1174" s="82" t="n">
        <v>40</v>
      </c>
      <c r="L1174" s="55" t="n">
        <v>1</v>
      </c>
      <c r="M1174" s="73" t="n">
        <v>0.4</v>
      </c>
      <c r="N1174" s="74" t="n">
        <f aca="false">K1174*L1174*M1174</f>
        <v>16</v>
      </c>
      <c r="O1174" s="41" t="n">
        <f aca="false">IFERROR(INDEX(Исходные!$B$21:$B$33,MATCH(H1174,Исходные!$A$21:$A$33,0)),0)</f>
        <v>0.617</v>
      </c>
      <c r="P1174" s="83" t="n">
        <f aca="false">N1174*O1174</f>
        <v>9.872</v>
      </c>
      <c r="Q1174" s="20" t="s">
        <v>921</v>
      </c>
      <c r="R1174" s="84" t="s">
        <v>667</v>
      </c>
      <c r="S1174" s="20" t="s">
        <v>1434</v>
      </c>
      <c r="T1174" s="20" t="s">
        <v>123</v>
      </c>
      <c r="U1174" s="53" t="n">
        <v>0</v>
      </c>
      <c r="V1174" s="76" t="s">
        <v>918</v>
      </c>
      <c r="W1174" s="53" t="n">
        <v>3</v>
      </c>
    </row>
    <row r="1175" customFormat="false" ht="35.05" hidden="false" customHeight="false" outlineLevel="0" collapsed="false">
      <c r="A1175" s="76" t="n">
        <v>1150</v>
      </c>
      <c r="B1175" s="20" t="s">
        <v>1526</v>
      </c>
      <c r="C1175" s="20" t="s">
        <v>912</v>
      </c>
      <c r="D1175" s="20" t="s">
        <v>913</v>
      </c>
      <c r="E1175" s="20" t="s">
        <v>1669</v>
      </c>
      <c r="F1175" s="76" t="s">
        <v>954</v>
      </c>
      <c r="G1175" s="20" t="s">
        <v>955</v>
      </c>
      <c r="H1175" s="55" t="n">
        <v>10</v>
      </c>
      <c r="I1175" s="76" t="s">
        <v>512</v>
      </c>
      <c r="J1175" s="76" t="n">
        <v>200</v>
      </c>
      <c r="K1175" s="82" t="n">
        <v>1</v>
      </c>
      <c r="L1175" s="55" t="n">
        <v>41</v>
      </c>
      <c r="M1175" s="73" t="n">
        <v>20.6</v>
      </c>
      <c r="N1175" s="74" t="n">
        <f aca="false">K1175*L1175*M1175</f>
        <v>844.6</v>
      </c>
      <c r="O1175" s="41" t="n">
        <f aca="false">IFERROR(INDEX(Исходные!$B$21:$B$33,MATCH(H1175,Исходные!$A$21:$A$33,0)),0)</f>
        <v>0.617</v>
      </c>
      <c r="P1175" s="83" t="n">
        <f aca="false">N1175*O1175</f>
        <v>521.1182</v>
      </c>
      <c r="Q1175" s="20" t="s">
        <v>1428</v>
      </c>
      <c r="R1175" s="84" t="s">
        <v>660</v>
      </c>
      <c r="S1175" s="20"/>
      <c r="T1175" s="20" t="s">
        <v>123</v>
      </c>
      <c r="U1175" s="53" t="n">
        <v>0</v>
      </c>
      <c r="V1175" s="76" t="s">
        <v>918</v>
      </c>
      <c r="W1175" s="53" t="n">
        <v>3</v>
      </c>
    </row>
    <row r="1176" customFormat="false" ht="35.05" hidden="false" customHeight="false" outlineLevel="0" collapsed="false">
      <c r="A1176" s="76" t="n">
        <v>1151</v>
      </c>
      <c r="B1176" s="20" t="s">
        <v>1526</v>
      </c>
      <c r="C1176" s="20" t="s">
        <v>912</v>
      </c>
      <c r="D1176" s="20" t="s">
        <v>913</v>
      </c>
      <c r="E1176" s="20" t="s">
        <v>1669</v>
      </c>
      <c r="F1176" s="76" t="s">
        <v>956</v>
      </c>
      <c r="G1176" s="20" t="s">
        <v>1441</v>
      </c>
      <c r="H1176" s="55" t="n">
        <v>10</v>
      </c>
      <c r="I1176" s="76" t="s">
        <v>512</v>
      </c>
      <c r="J1176" s="76" t="s">
        <v>164</v>
      </c>
      <c r="K1176" s="82" t="n">
        <v>41</v>
      </c>
      <c r="L1176" s="55" t="n">
        <v>1</v>
      </c>
      <c r="M1176" s="73" t="n">
        <v>0.4</v>
      </c>
      <c r="N1176" s="74" t="n">
        <f aca="false">K1176*L1176*M1176</f>
        <v>16.4</v>
      </c>
      <c r="O1176" s="41" t="n">
        <f aca="false">IFERROR(INDEX(Исходные!$B$21:$B$33,MATCH(H1176,Исходные!$A$21:$A$33,0)),0)</f>
        <v>0.617</v>
      </c>
      <c r="P1176" s="83" t="n">
        <f aca="false">N1176*O1176</f>
        <v>10.1188</v>
      </c>
      <c r="Q1176" s="20" t="s">
        <v>921</v>
      </c>
      <c r="R1176" s="84" t="s">
        <v>667</v>
      </c>
      <c r="S1176" s="20" t="s">
        <v>1436</v>
      </c>
      <c r="T1176" s="20" t="s">
        <v>123</v>
      </c>
      <c r="U1176" s="53" t="n">
        <v>0</v>
      </c>
      <c r="V1176" s="76" t="s">
        <v>918</v>
      </c>
      <c r="W1176" s="53" t="n">
        <v>3</v>
      </c>
    </row>
    <row r="1177" customFormat="false" ht="35.05" hidden="false" customHeight="false" outlineLevel="0" collapsed="false">
      <c r="A1177" s="76" t="n">
        <v>1152</v>
      </c>
      <c r="B1177" s="20" t="s">
        <v>1526</v>
      </c>
      <c r="C1177" s="20" t="s">
        <v>912</v>
      </c>
      <c r="D1177" s="20" t="s">
        <v>913</v>
      </c>
      <c r="E1177" s="20" t="s">
        <v>1669</v>
      </c>
      <c r="F1177" s="76" t="s">
        <v>954</v>
      </c>
      <c r="G1177" s="20" t="s">
        <v>955</v>
      </c>
      <c r="H1177" s="55" t="n">
        <v>10</v>
      </c>
      <c r="I1177" s="76" t="s">
        <v>512</v>
      </c>
      <c r="J1177" s="76" t="n">
        <v>200</v>
      </c>
      <c r="K1177" s="82" t="n">
        <v>1</v>
      </c>
      <c r="L1177" s="55" t="n">
        <v>26</v>
      </c>
      <c r="M1177" s="73" t="n">
        <v>20.48</v>
      </c>
      <c r="N1177" s="74" t="n">
        <f aca="false">K1177*L1177*M1177</f>
        <v>532.48</v>
      </c>
      <c r="O1177" s="41" t="n">
        <f aca="false">IFERROR(INDEX(Исходные!$B$21:$B$33,MATCH(H1177,Исходные!$A$21:$A$33,0)),0)</f>
        <v>0.617</v>
      </c>
      <c r="P1177" s="83" t="n">
        <f aca="false">N1177*O1177</f>
        <v>328.54016</v>
      </c>
      <c r="Q1177" s="20" t="s">
        <v>1428</v>
      </c>
      <c r="R1177" s="84" t="s">
        <v>660</v>
      </c>
      <c r="S1177" s="20"/>
      <c r="T1177" s="20" t="s">
        <v>123</v>
      </c>
      <c r="U1177" s="53" t="n">
        <v>0</v>
      </c>
      <c r="V1177" s="76" t="s">
        <v>918</v>
      </c>
      <c r="W1177" s="53" t="n">
        <v>3</v>
      </c>
    </row>
    <row r="1178" customFormat="false" ht="35.05" hidden="false" customHeight="false" outlineLevel="0" collapsed="false">
      <c r="A1178" s="76" t="n">
        <v>1153</v>
      </c>
      <c r="B1178" s="20" t="s">
        <v>1526</v>
      </c>
      <c r="C1178" s="20" t="s">
        <v>912</v>
      </c>
      <c r="D1178" s="20" t="s">
        <v>913</v>
      </c>
      <c r="E1178" s="20" t="s">
        <v>1669</v>
      </c>
      <c r="F1178" s="76" t="s">
        <v>956</v>
      </c>
      <c r="G1178" s="20" t="s">
        <v>959</v>
      </c>
      <c r="H1178" s="55" t="n">
        <v>10</v>
      </c>
      <c r="I1178" s="76" t="s">
        <v>512</v>
      </c>
      <c r="J1178" s="76" t="s">
        <v>164</v>
      </c>
      <c r="K1178" s="82" t="n">
        <v>26</v>
      </c>
      <c r="L1178" s="55" t="n">
        <v>1</v>
      </c>
      <c r="M1178" s="73" t="n">
        <v>0.4</v>
      </c>
      <c r="N1178" s="74" t="n">
        <f aca="false">K1178*L1178*M1178</f>
        <v>10.4</v>
      </c>
      <c r="O1178" s="41" t="n">
        <f aca="false">IFERROR(INDEX(Исходные!$B$21:$B$33,MATCH(H1178,Исходные!$A$21:$A$33,0)),0)</f>
        <v>0.617</v>
      </c>
      <c r="P1178" s="83" t="n">
        <f aca="false">N1178*O1178</f>
        <v>6.4168</v>
      </c>
      <c r="Q1178" s="20" t="s">
        <v>921</v>
      </c>
      <c r="R1178" s="84" t="s">
        <v>667</v>
      </c>
      <c r="S1178" s="20" t="s">
        <v>939</v>
      </c>
      <c r="T1178" s="20" t="s">
        <v>123</v>
      </c>
      <c r="U1178" s="53" t="n">
        <v>0</v>
      </c>
      <c r="V1178" s="76" t="s">
        <v>918</v>
      </c>
      <c r="W1178" s="53" t="n">
        <v>3</v>
      </c>
    </row>
    <row r="1179" customFormat="false" ht="35.05" hidden="false" customHeight="false" outlineLevel="0" collapsed="false">
      <c r="A1179" s="76" t="n">
        <v>1154</v>
      </c>
      <c r="B1179" s="20" t="s">
        <v>1526</v>
      </c>
      <c r="C1179" s="20" t="s">
        <v>912</v>
      </c>
      <c r="D1179" s="20" t="s">
        <v>913</v>
      </c>
      <c r="E1179" s="20" t="s">
        <v>1669</v>
      </c>
      <c r="F1179" s="76" t="s">
        <v>954</v>
      </c>
      <c r="G1179" s="20" t="s">
        <v>955</v>
      </c>
      <c r="H1179" s="55" t="n">
        <v>10</v>
      </c>
      <c r="I1179" s="76" t="s">
        <v>512</v>
      </c>
      <c r="J1179" s="76" t="n">
        <v>200</v>
      </c>
      <c r="K1179" s="82" t="n">
        <v>1</v>
      </c>
      <c r="L1179" s="55" t="n">
        <v>2</v>
      </c>
      <c r="M1179" s="73" t="n">
        <v>19.01</v>
      </c>
      <c r="N1179" s="74" t="n">
        <f aca="false">K1179*L1179*M1179</f>
        <v>38.02</v>
      </c>
      <c r="O1179" s="41" t="n">
        <f aca="false">IFERROR(INDEX(Исходные!$B$21:$B$33,MATCH(H1179,Исходные!$A$21:$A$33,0)),0)</f>
        <v>0.617</v>
      </c>
      <c r="P1179" s="83" t="n">
        <f aca="false">N1179*O1179</f>
        <v>23.45834</v>
      </c>
      <c r="Q1179" s="20" t="s">
        <v>1428</v>
      </c>
      <c r="R1179" s="84" t="s">
        <v>660</v>
      </c>
      <c r="S1179" s="20"/>
      <c r="T1179" s="20" t="s">
        <v>123</v>
      </c>
      <c r="U1179" s="53" t="n">
        <v>0</v>
      </c>
      <c r="V1179" s="76" t="s">
        <v>918</v>
      </c>
      <c r="W1179" s="53" t="n">
        <v>3</v>
      </c>
    </row>
    <row r="1180" customFormat="false" ht="35.05" hidden="false" customHeight="false" outlineLevel="0" collapsed="false">
      <c r="A1180" s="76" t="n">
        <v>1155</v>
      </c>
      <c r="B1180" s="20" t="s">
        <v>1526</v>
      </c>
      <c r="C1180" s="20" t="s">
        <v>912</v>
      </c>
      <c r="D1180" s="20" t="s">
        <v>913</v>
      </c>
      <c r="E1180" s="20" t="s">
        <v>1669</v>
      </c>
      <c r="F1180" s="76" t="s">
        <v>956</v>
      </c>
      <c r="G1180" s="20" t="s">
        <v>960</v>
      </c>
      <c r="H1180" s="55" t="n">
        <v>10</v>
      </c>
      <c r="I1180" s="76" t="s">
        <v>512</v>
      </c>
      <c r="J1180" s="76" t="s">
        <v>164</v>
      </c>
      <c r="K1180" s="82" t="n">
        <v>2</v>
      </c>
      <c r="L1180" s="55" t="n">
        <v>1</v>
      </c>
      <c r="M1180" s="73" t="n">
        <v>0.4</v>
      </c>
      <c r="N1180" s="74" t="n">
        <f aca="false">K1180*L1180*M1180</f>
        <v>0.8</v>
      </c>
      <c r="O1180" s="41" t="n">
        <f aca="false">IFERROR(INDEX(Исходные!$B$21:$B$33,MATCH(H1180,Исходные!$A$21:$A$33,0)),0)</f>
        <v>0.617</v>
      </c>
      <c r="P1180" s="83" t="n">
        <f aca="false">N1180*O1180</f>
        <v>0.4936</v>
      </c>
      <c r="Q1180" s="20" t="s">
        <v>921</v>
      </c>
      <c r="R1180" s="84" t="s">
        <v>667</v>
      </c>
      <c r="S1180" s="20" t="s">
        <v>941</v>
      </c>
      <c r="T1180" s="20" t="s">
        <v>123</v>
      </c>
      <c r="U1180" s="53" t="n">
        <v>0</v>
      </c>
      <c r="V1180" s="76" t="s">
        <v>918</v>
      </c>
      <c r="W1180" s="53" t="n">
        <v>3</v>
      </c>
    </row>
    <row r="1181" customFormat="false" ht="35.05" hidden="false" customHeight="false" outlineLevel="0" collapsed="false">
      <c r="A1181" s="76" t="n">
        <v>1156</v>
      </c>
      <c r="B1181" s="20" t="s">
        <v>1526</v>
      </c>
      <c r="C1181" s="20" t="s">
        <v>912</v>
      </c>
      <c r="D1181" s="20" t="s">
        <v>913</v>
      </c>
      <c r="E1181" s="20" t="s">
        <v>1669</v>
      </c>
      <c r="F1181" s="76" t="s">
        <v>954</v>
      </c>
      <c r="G1181" s="20" t="s">
        <v>955</v>
      </c>
      <c r="H1181" s="55" t="n">
        <v>10</v>
      </c>
      <c r="I1181" s="76" t="s">
        <v>512</v>
      </c>
      <c r="J1181" s="76" t="n">
        <v>200</v>
      </c>
      <c r="K1181" s="82" t="n">
        <v>1</v>
      </c>
      <c r="L1181" s="55" t="n">
        <v>3</v>
      </c>
      <c r="M1181" s="73" t="n">
        <v>17.28</v>
      </c>
      <c r="N1181" s="74" t="n">
        <f aca="false">K1181*L1181*M1181</f>
        <v>51.84</v>
      </c>
      <c r="O1181" s="41" t="n">
        <f aca="false">IFERROR(INDEX(Исходные!$B$21:$B$33,MATCH(H1181,Исходные!$A$21:$A$33,0)),0)</f>
        <v>0.617</v>
      </c>
      <c r="P1181" s="83" t="n">
        <f aca="false">N1181*O1181</f>
        <v>31.98528</v>
      </c>
      <c r="Q1181" s="20" t="s">
        <v>1428</v>
      </c>
      <c r="R1181" s="84" t="s">
        <v>660</v>
      </c>
      <c r="S1181" s="20"/>
      <c r="T1181" s="20" t="s">
        <v>123</v>
      </c>
      <c r="U1181" s="53" t="n">
        <v>0</v>
      </c>
      <c r="V1181" s="76" t="s">
        <v>918</v>
      </c>
      <c r="W1181" s="53" t="n">
        <v>3</v>
      </c>
    </row>
    <row r="1182" customFormat="false" ht="35.05" hidden="false" customHeight="false" outlineLevel="0" collapsed="false">
      <c r="A1182" s="76" t="n">
        <v>1157</v>
      </c>
      <c r="B1182" s="20" t="s">
        <v>1526</v>
      </c>
      <c r="C1182" s="20" t="s">
        <v>912</v>
      </c>
      <c r="D1182" s="20" t="s">
        <v>913</v>
      </c>
      <c r="E1182" s="20" t="s">
        <v>1669</v>
      </c>
      <c r="F1182" s="76" t="s">
        <v>956</v>
      </c>
      <c r="G1182" s="20" t="s">
        <v>1442</v>
      </c>
      <c r="H1182" s="55" t="n">
        <v>10</v>
      </c>
      <c r="I1182" s="76" t="s">
        <v>512</v>
      </c>
      <c r="J1182" s="76" t="s">
        <v>164</v>
      </c>
      <c r="K1182" s="82" t="n">
        <v>3</v>
      </c>
      <c r="L1182" s="55" t="n">
        <v>1</v>
      </c>
      <c r="M1182" s="73" t="n">
        <v>0.4</v>
      </c>
      <c r="N1182" s="74" t="n">
        <f aca="false">K1182*L1182*M1182</f>
        <v>1.2</v>
      </c>
      <c r="O1182" s="41" t="n">
        <f aca="false">IFERROR(INDEX(Исходные!$B$21:$B$33,MATCH(H1182,Исходные!$A$21:$A$33,0)),0)</f>
        <v>0.617</v>
      </c>
      <c r="P1182" s="83" t="n">
        <f aca="false">N1182*O1182</f>
        <v>0.7404</v>
      </c>
      <c r="Q1182" s="20" t="s">
        <v>921</v>
      </c>
      <c r="R1182" s="84" t="s">
        <v>667</v>
      </c>
      <c r="S1182" s="20" t="s">
        <v>943</v>
      </c>
      <c r="T1182" s="20" t="s">
        <v>123</v>
      </c>
      <c r="U1182" s="53" t="n">
        <v>0</v>
      </c>
      <c r="V1182" s="76" t="s">
        <v>918</v>
      </c>
      <c r="W1182" s="53" t="n">
        <v>3</v>
      </c>
    </row>
    <row r="1183" customFormat="false" ht="35.05" hidden="false" customHeight="false" outlineLevel="0" collapsed="false">
      <c r="A1183" s="76" t="n">
        <v>1158</v>
      </c>
      <c r="B1183" s="20" t="s">
        <v>1526</v>
      </c>
      <c r="C1183" s="20" t="s">
        <v>912</v>
      </c>
      <c r="D1183" s="20" t="s">
        <v>913</v>
      </c>
      <c r="E1183" s="20" t="s">
        <v>1669</v>
      </c>
      <c r="F1183" s="76" t="s">
        <v>954</v>
      </c>
      <c r="G1183" s="20" t="s">
        <v>955</v>
      </c>
      <c r="H1183" s="55" t="n">
        <v>10</v>
      </c>
      <c r="I1183" s="76" t="s">
        <v>512</v>
      </c>
      <c r="J1183" s="76" t="n">
        <v>200</v>
      </c>
      <c r="K1183" s="82" t="n">
        <v>1</v>
      </c>
      <c r="L1183" s="55" t="n">
        <v>17</v>
      </c>
      <c r="M1183" s="73" t="n">
        <v>15.6</v>
      </c>
      <c r="N1183" s="74" t="n">
        <f aca="false">K1183*L1183*M1183</f>
        <v>265.2</v>
      </c>
      <c r="O1183" s="41" t="n">
        <f aca="false">IFERROR(INDEX(Исходные!$B$21:$B$33,MATCH(H1183,Исходные!$A$21:$A$33,0)),0)</f>
        <v>0.617</v>
      </c>
      <c r="P1183" s="83" t="n">
        <f aca="false">N1183*O1183</f>
        <v>163.6284</v>
      </c>
      <c r="Q1183" s="20" t="s">
        <v>1428</v>
      </c>
      <c r="R1183" s="84" t="s">
        <v>660</v>
      </c>
      <c r="S1183" s="20"/>
      <c r="T1183" s="20" t="s">
        <v>123</v>
      </c>
      <c r="U1183" s="53" t="n">
        <v>0</v>
      </c>
      <c r="V1183" s="76" t="s">
        <v>918</v>
      </c>
      <c r="W1183" s="53" t="n">
        <v>3</v>
      </c>
    </row>
    <row r="1184" customFormat="false" ht="35.05" hidden="false" customHeight="false" outlineLevel="0" collapsed="false">
      <c r="A1184" s="76" t="n">
        <v>1159</v>
      </c>
      <c r="B1184" s="20" t="s">
        <v>1526</v>
      </c>
      <c r="C1184" s="20" t="s">
        <v>912</v>
      </c>
      <c r="D1184" s="20" t="s">
        <v>913</v>
      </c>
      <c r="E1184" s="20" t="s">
        <v>1669</v>
      </c>
      <c r="F1184" s="76" t="s">
        <v>956</v>
      </c>
      <c r="G1184" s="20" t="s">
        <v>962</v>
      </c>
      <c r="H1184" s="55" t="n">
        <v>10</v>
      </c>
      <c r="I1184" s="76" t="s">
        <v>512</v>
      </c>
      <c r="J1184" s="76" t="s">
        <v>164</v>
      </c>
      <c r="K1184" s="82" t="n">
        <v>17</v>
      </c>
      <c r="L1184" s="55" t="n">
        <v>1</v>
      </c>
      <c r="M1184" s="73" t="n">
        <v>0.4</v>
      </c>
      <c r="N1184" s="74" t="n">
        <f aca="false">K1184*L1184*M1184</f>
        <v>6.8</v>
      </c>
      <c r="O1184" s="41" t="n">
        <f aca="false">IFERROR(INDEX(Исходные!$B$21:$B$33,MATCH(H1184,Исходные!$A$21:$A$33,0)),0)</f>
        <v>0.617</v>
      </c>
      <c r="P1184" s="83" t="n">
        <f aca="false">N1184*O1184</f>
        <v>4.1956</v>
      </c>
      <c r="Q1184" s="20" t="s">
        <v>921</v>
      </c>
      <c r="R1184" s="84" t="s">
        <v>667</v>
      </c>
      <c r="S1184" s="20" t="s">
        <v>945</v>
      </c>
      <c r="T1184" s="20" t="s">
        <v>123</v>
      </c>
      <c r="U1184" s="53" t="n">
        <v>0</v>
      </c>
      <c r="V1184" s="76" t="s">
        <v>918</v>
      </c>
      <c r="W1184" s="53" t="n">
        <v>3</v>
      </c>
    </row>
    <row r="1185" customFormat="false" ht="35.05" hidden="false" customHeight="false" outlineLevel="0" collapsed="false">
      <c r="A1185" s="76" t="n">
        <v>1160</v>
      </c>
      <c r="B1185" s="20" t="s">
        <v>1526</v>
      </c>
      <c r="C1185" s="20" t="s">
        <v>912</v>
      </c>
      <c r="D1185" s="20" t="s">
        <v>913</v>
      </c>
      <c r="E1185" s="20" t="s">
        <v>1669</v>
      </c>
      <c r="F1185" s="76" t="s">
        <v>954</v>
      </c>
      <c r="G1185" s="20" t="s">
        <v>955</v>
      </c>
      <c r="H1185" s="55" t="n">
        <v>10</v>
      </c>
      <c r="I1185" s="76" t="s">
        <v>512</v>
      </c>
      <c r="J1185" s="76" t="n">
        <v>200</v>
      </c>
      <c r="K1185" s="82" t="n">
        <v>1</v>
      </c>
      <c r="L1185" s="55" t="n">
        <v>18</v>
      </c>
      <c r="M1185" s="73" t="n">
        <v>4.15</v>
      </c>
      <c r="N1185" s="74" t="n">
        <f aca="false">K1185*L1185*M1185</f>
        <v>74.7</v>
      </c>
      <c r="O1185" s="41" t="n">
        <f aca="false">IFERROR(INDEX(Исходные!$B$21:$B$33,MATCH(H1185,Исходные!$A$21:$A$33,0)),0)</f>
        <v>0.617</v>
      </c>
      <c r="P1185" s="83" t="n">
        <f aca="false">N1185*O1185</f>
        <v>46.0899</v>
      </c>
      <c r="Q1185" s="20" t="s">
        <v>1428</v>
      </c>
      <c r="R1185" s="84" t="s">
        <v>660</v>
      </c>
      <c r="S1185" s="20"/>
      <c r="T1185" s="20" t="s">
        <v>123</v>
      </c>
      <c r="U1185" s="53" t="n">
        <v>0</v>
      </c>
      <c r="V1185" s="76" t="s">
        <v>918</v>
      </c>
      <c r="W1185" s="53" t="n">
        <v>3</v>
      </c>
    </row>
    <row r="1186" customFormat="false" ht="35.05" hidden="false" customHeight="false" outlineLevel="0" collapsed="false">
      <c r="A1186" s="76" t="n">
        <v>1161</v>
      </c>
      <c r="B1186" s="20" t="s">
        <v>1526</v>
      </c>
      <c r="C1186" s="20" t="s">
        <v>912</v>
      </c>
      <c r="D1186" s="20" t="s">
        <v>913</v>
      </c>
      <c r="E1186" s="20" t="s">
        <v>1669</v>
      </c>
      <c r="F1186" s="76" t="s">
        <v>954</v>
      </c>
      <c r="G1186" s="20" t="s">
        <v>955</v>
      </c>
      <c r="H1186" s="55" t="n">
        <v>10</v>
      </c>
      <c r="I1186" s="76" t="s">
        <v>512</v>
      </c>
      <c r="J1186" s="76" t="n">
        <v>200</v>
      </c>
      <c r="K1186" s="82" t="n">
        <v>1</v>
      </c>
      <c r="L1186" s="55" t="n">
        <v>22</v>
      </c>
      <c r="M1186" s="73" t="n">
        <v>0.6</v>
      </c>
      <c r="N1186" s="74" t="n">
        <f aca="false">K1186*L1186*M1186</f>
        <v>13.2</v>
      </c>
      <c r="O1186" s="41" t="n">
        <f aca="false">IFERROR(INDEX(Исходные!$B$21:$B$33,MATCH(H1186,Исходные!$A$21:$A$33,0)),0)</f>
        <v>0.617</v>
      </c>
      <c r="P1186" s="83" t="n">
        <f aca="false">N1186*O1186</f>
        <v>8.1444</v>
      </c>
      <c r="Q1186" s="20" t="s">
        <v>1428</v>
      </c>
      <c r="R1186" s="84" t="s">
        <v>660</v>
      </c>
      <c r="S1186" s="20"/>
      <c r="T1186" s="20" t="s">
        <v>123</v>
      </c>
      <c r="U1186" s="53" t="n">
        <v>0</v>
      </c>
      <c r="V1186" s="76" t="s">
        <v>918</v>
      </c>
      <c r="W1186" s="53" t="n">
        <v>3</v>
      </c>
    </row>
    <row r="1187" customFormat="false" ht="35.05" hidden="false" customHeight="false" outlineLevel="0" collapsed="false">
      <c r="A1187" s="76" t="n">
        <v>1162</v>
      </c>
      <c r="B1187" s="20" t="s">
        <v>1526</v>
      </c>
      <c r="C1187" s="20" t="s">
        <v>912</v>
      </c>
      <c r="D1187" s="20" t="s">
        <v>963</v>
      </c>
      <c r="E1187" s="20" t="s">
        <v>1669</v>
      </c>
      <c r="F1187" s="76" t="s">
        <v>964</v>
      </c>
      <c r="G1187" s="20" t="s">
        <v>965</v>
      </c>
      <c r="H1187" s="55" t="n">
        <v>10</v>
      </c>
      <c r="I1187" s="76" t="s">
        <v>512</v>
      </c>
      <c r="J1187" s="76" t="n">
        <v>200</v>
      </c>
      <c r="K1187" s="82" t="n">
        <v>1</v>
      </c>
      <c r="L1187" s="55" t="n">
        <v>22</v>
      </c>
      <c r="M1187" s="73" t="n">
        <v>5.05</v>
      </c>
      <c r="N1187" s="74" t="n">
        <f aca="false">K1187*L1187*M1187</f>
        <v>111.1</v>
      </c>
      <c r="O1187" s="41" t="n">
        <f aca="false">IFERROR(INDEX(Исходные!$B$21:$B$33,MATCH(H1187,Исходные!$A$21:$A$33,0)),0)</f>
        <v>0.617</v>
      </c>
      <c r="P1187" s="83" t="n">
        <f aca="false">N1187*O1187</f>
        <v>68.5487</v>
      </c>
      <c r="Q1187" s="20" t="s">
        <v>1443</v>
      </c>
      <c r="R1187" s="84" t="s">
        <v>514</v>
      </c>
      <c r="S1187" s="20"/>
      <c r="T1187" s="20" t="s">
        <v>123</v>
      </c>
      <c r="U1187" s="53" t="n">
        <v>0</v>
      </c>
      <c r="V1187" s="76" t="s">
        <v>967</v>
      </c>
      <c r="W1187" s="53" t="n">
        <v>3</v>
      </c>
    </row>
    <row r="1188" customFormat="false" ht="35.05" hidden="false" customHeight="false" outlineLevel="0" collapsed="false">
      <c r="A1188" s="76" t="n">
        <v>1163</v>
      </c>
      <c r="B1188" s="20" t="s">
        <v>1526</v>
      </c>
      <c r="C1188" s="20" t="s">
        <v>912</v>
      </c>
      <c r="D1188" s="20" t="s">
        <v>963</v>
      </c>
      <c r="E1188" s="20" t="s">
        <v>1669</v>
      </c>
      <c r="F1188" s="76" t="s">
        <v>964</v>
      </c>
      <c r="G1188" s="20" t="s">
        <v>968</v>
      </c>
      <c r="H1188" s="55" t="n">
        <v>10</v>
      </c>
      <c r="I1188" s="76" t="s">
        <v>512</v>
      </c>
      <c r="J1188" s="76" t="n">
        <v>200</v>
      </c>
      <c r="K1188" s="82" t="n">
        <v>1</v>
      </c>
      <c r="L1188" s="55" t="n">
        <v>25</v>
      </c>
      <c r="M1188" s="73" t="n">
        <v>4.5</v>
      </c>
      <c r="N1188" s="74" t="n">
        <f aca="false">K1188*L1188*M1188</f>
        <v>112.5</v>
      </c>
      <c r="O1188" s="41" t="n">
        <f aca="false">IFERROR(INDEX(Исходные!$B$21:$B$33,MATCH(H1188,Исходные!$A$21:$A$33,0)),0)</f>
        <v>0.617</v>
      </c>
      <c r="P1188" s="83" t="n">
        <f aca="false">N1188*O1188</f>
        <v>69.4125</v>
      </c>
      <c r="Q1188" s="20" t="s">
        <v>1443</v>
      </c>
      <c r="R1188" s="84" t="s">
        <v>514</v>
      </c>
      <c r="S1188" s="20"/>
      <c r="T1188" s="20" t="s">
        <v>123</v>
      </c>
      <c r="U1188" s="53" t="n">
        <v>0</v>
      </c>
      <c r="V1188" s="76" t="s">
        <v>967</v>
      </c>
      <c r="W1188" s="53" t="n">
        <v>3</v>
      </c>
    </row>
    <row r="1189" customFormat="false" ht="35.05" hidden="false" customHeight="false" outlineLevel="0" collapsed="false">
      <c r="A1189" s="76" t="n">
        <v>1164</v>
      </c>
      <c r="B1189" s="20" t="s">
        <v>1526</v>
      </c>
      <c r="C1189" s="20" t="s">
        <v>912</v>
      </c>
      <c r="D1189" s="20" t="s">
        <v>963</v>
      </c>
      <c r="E1189" s="20" t="s">
        <v>1669</v>
      </c>
      <c r="F1189" s="76" t="s">
        <v>964</v>
      </c>
      <c r="G1189" s="20" t="s">
        <v>969</v>
      </c>
      <c r="H1189" s="55" t="n">
        <v>10</v>
      </c>
      <c r="I1189" s="76" t="s">
        <v>512</v>
      </c>
      <c r="J1189" s="76" t="n">
        <v>200</v>
      </c>
      <c r="K1189" s="82" t="n">
        <v>1</v>
      </c>
      <c r="L1189" s="55" t="n">
        <v>20</v>
      </c>
      <c r="M1189" s="73" t="n">
        <v>3.625</v>
      </c>
      <c r="N1189" s="74" t="n">
        <f aca="false">K1189*L1189*M1189</f>
        <v>72.5</v>
      </c>
      <c r="O1189" s="41" t="n">
        <f aca="false">IFERROR(INDEX(Исходные!$B$21:$B$33,MATCH(H1189,Исходные!$A$21:$A$33,0)),0)</f>
        <v>0.617</v>
      </c>
      <c r="P1189" s="83" t="n">
        <f aca="false">N1189*O1189</f>
        <v>44.7325</v>
      </c>
      <c r="Q1189" s="20" t="s">
        <v>1443</v>
      </c>
      <c r="R1189" s="84" t="s">
        <v>514</v>
      </c>
      <c r="S1189" s="20"/>
      <c r="T1189" s="20" t="s">
        <v>123</v>
      </c>
      <c r="U1189" s="53" t="n">
        <v>0</v>
      </c>
      <c r="V1189" s="76" t="s">
        <v>967</v>
      </c>
      <c r="W1189" s="53" t="n">
        <v>3</v>
      </c>
    </row>
    <row r="1190" customFormat="false" ht="35.05" hidden="false" customHeight="false" outlineLevel="0" collapsed="false">
      <c r="A1190" s="76" t="n">
        <v>1165</v>
      </c>
      <c r="B1190" s="20" t="s">
        <v>1526</v>
      </c>
      <c r="C1190" s="20" t="s">
        <v>912</v>
      </c>
      <c r="D1190" s="20" t="s">
        <v>963</v>
      </c>
      <c r="E1190" s="20" t="s">
        <v>1669</v>
      </c>
      <c r="F1190" s="76" t="s">
        <v>964</v>
      </c>
      <c r="G1190" s="20" t="s">
        <v>970</v>
      </c>
      <c r="H1190" s="55" t="n">
        <v>10</v>
      </c>
      <c r="I1190" s="76" t="s">
        <v>512</v>
      </c>
      <c r="J1190" s="76" t="n">
        <v>200</v>
      </c>
      <c r="K1190" s="82" t="n">
        <v>1</v>
      </c>
      <c r="L1190" s="55" t="n">
        <v>17</v>
      </c>
      <c r="M1190" s="73" t="n">
        <v>4.5</v>
      </c>
      <c r="N1190" s="74" t="n">
        <f aca="false">K1190*L1190*M1190</f>
        <v>76.5</v>
      </c>
      <c r="O1190" s="41" t="n">
        <f aca="false">IFERROR(INDEX(Исходные!$B$21:$B$33,MATCH(H1190,Исходные!$A$21:$A$33,0)),0)</f>
        <v>0.617</v>
      </c>
      <c r="P1190" s="83" t="n">
        <f aca="false">N1190*O1190</f>
        <v>47.2005</v>
      </c>
      <c r="Q1190" s="20" t="s">
        <v>1443</v>
      </c>
      <c r="R1190" s="84" t="s">
        <v>514</v>
      </c>
      <c r="S1190" s="20"/>
      <c r="T1190" s="20" t="s">
        <v>123</v>
      </c>
      <c r="U1190" s="53" t="n">
        <v>0</v>
      </c>
      <c r="V1190" s="76" t="s">
        <v>967</v>
      </c>
      <c r="W1190" s="53" t="n">
        <v>3</v>
      </c>
    </row>
    <row r="1191" customFormat="false" ht="35.05" hidden="false" customHeight="false" outlineLevel="0" collapsed="false">
      <c r="A1191" s="76" t="n">
        <v>1166</v>
      </c>
      <c r="B1191" s="20" t="s">
        <v>1526</v>
      </c>
      <c r="C1191" s="20" t="s">
        <v>912</v>
      </c>
      <c r="D1191" s="20" t="s">
        <v>963</v>
      </c>
      <c r="E1191" s="20" t="s">
        <v>1669</v>
      </c>
      <c r="F1191" s="76" t="s">
        <v>964</v>
      </c>
      <c r="G1191" s="20" t="s">
        <v>971</v>
      </c>
      <c r="H1191" s="55" t="n">
        <v>10</v>
      </c>
      <c r="I1191" s="76" t="s">
        <v>512</v>
      </c>
      <c r="J1191" s="76" t="n">
        <v>200</v>
      </c>
      <c r="K1191" s="82" t="n">
        <v>1</v>
      </c>
      <c r="L1191" s="55" t="n">
        <v>17</v>
      </c>
      <c r="M1191" s="73" t="n">
        <v>1.2</v>
      </c>
      <c r="N1191" s="74" t="n">
        <f aca="false">K1191*L1191*M1191</f>
        <v>20.4</v>
      </c>
      <c r="O1191" s="41" t="n">
        <f aca="false">IFERROR(INDEX(Исходные!$B$21:$B$33,MATCH(H1191,Исходные!$A$21:$A$33,0)),0)</f>
        <v>0.617</v>
      </c>
      <c r="P1191" s="83" t="n">
        <f aca="false">N1191*O1191</f>
        <v>12.5868</v>
      </c>
      <c r="Q1191" s="20" t="s">
        <v>1443</v>
      </c>
      <c r="R1191" s="84" t="s">
        <v>514</v>
      </c>
      <c r="S1191" s="20"/>
      <c r="T1191" s="20" t="s">
        <v>123</v>
      </c>
      <c r="U1191" s="53" t="n">
        <v>0</v>
      </c>
      <c r="V1191" s="76" t="s">
        <v>967</v>
      </c>
      <c r="W1191" s="53" t="n">
        <v>3</v>
      </c>
    </row>
    <row r="1192" customFormat="false" ht="35.05" hidden="false" customHeight="false" outlineLevel="0" collapsed="false">
      <c r="A1192" s="76" t="n">
        <v>1167</v>
      </c>
      <c r="B1192" s="20" t="s">
        <v>1526</v>
      </c>
      <c r="C1192" s="20" t="s">
        <v>912</v>
      </c>
      <c r="D1192" s="20" t="s">
        <v>963</v>
      </c>
      <c r="E1192" s="20" t="s">
        <v>1669</v>
      </c>
      <c r="F1192" s="76" t="s">
        <v>972</v>
      </c>
      <c r="G1192" s="20" t="s">
        <v>973</v>
      </c>
      <c r="H1192" s="55" t="n">
        <v>10</v>
      </c>
      <c r="I1192" s="76" t="s">
        <v>512</v>
      </c>
      <c r="J1192" s="76" t="n">
        <v>200</v>
      </c>
      <c r="K1192" s="82" t="n">
        <v>1</v>
      </c>
      <c r="L1192" s="55" t="n">
        <v>18</v>
      </c>
      <c r="M1192" s="73" t="n">
        <v>1.2</v>
      </c>
      <c r="N1192" s="74" t="n">
        <f aca="false">K1192*L1192*M1192</f>
        <v>21.6</v>
      </c>
      <c r="O1192" s="41" t="n">
        <f aca="false">IFERROR(INDEX(Исходные!$B$21:$B$33,MATCH(H1192,Исходные!$A$21:$A$33,0)),0)</f>
        <v>0.617</v>
      </c>
      <c r="P1192" s="83" t="n">
        <f aca="false">N1192*O1192</f>
        <v>13.3272</v>
      </c>
      <c r="Q1192" s="20" t="s">
        <v>1444</v>
      </c>
      <c r="R1192" s="84" t="s">
        <v>514</v>
      </c>
      <c r="S1192" s="20"/>
      <c r="T1192" s="20" t="s">
        <v>123</v>
      </c>
      <c r="U1192" s="53" t="n">
        <v>0</v>
      </c>
      <c r="V1192" s="76" t="s">
        <v>975</v>
      </c>
      <c r="W1192" s="53" t="n">
        <v>3</v>
      </c>
    </row>
    <row r="1193" customFormat="false" ht="35.05" hidden="false" customHeight="false" outlineLevel="0" collapsed="false">
      <c r="A1193" s="76" t="n">
        <v>1168</v>
      </c>
      <c r="B1193" s="20" t="s">
        <v>1526</v>
      </c>
      <c r="C1193" s="20" t="s">
        <v>912</v>
      </c>
      <c r="D1193" s="20" t="s">
        <v>963</v>
      </c>
      <c r="E1193" s="20" t="s">
        <v>1669</v>
      </c>
      <c r="F1193" s="76" t="s">
        <v>972</v>
      </c>
      <c r="G1193" s="20" t="s">
        <v>976</v>
      </c>
      <c r="H1193" s="55" t="n">
        <v>10</v>
      </c>
      <c r="I1193" s="76" t="s">
        <v>512</v>
      </c>
      <c r="J1193" s="76" t="n">
        <v>200</v>
      </c>
      <c r="K1193" s="82" t="n">
        <v>1</v>
      </c>
      <c r="L1193" s="55" t="n">
        <v>11</v>
      </c>
      <c r="M1193" s="73" t="n">
        <v>1.2</v>
      </c>
      <c r="N1193" s="74" t="n">
        <f aca="false">K1193*L1193*M1193</f>
        <v>13.2</v>
      </c>
      <c r="O1193" s="41" t="n">
        <f aca="false">IFERROR(INDEX(Исходные!$B$21:$B$33,MATCH(H1193,Исходные!$A$21:$A$33,0)),0)</f>
        <v>0.617</v>
      </c>
      <c r="P1193" s="83" t="n">
        <f aca="false">N1193*O1193</f>
        <v>8.1444</v>
      </c>
      <c r="Q1193" s="20" t="s">
        <v>1444</v>
      </c>
      <c r="R1193" s="84" t="s">
        <v>514</v>
      </c>
      <c r="S1193" s="20"/>
      <c r="T1193" s="20" t="s">
        <v>123</v>
      </c>
      <c r="U1193" s="53" t="n">
        <v>0</v>
      </c>
      <c r="V1193" s="76" t="s">
        <v>975</v>
      </c>
      <c r="W1193" s="53" t="n">
        <v>3</v>
      </c>
    </row>
    <row r="1194" customFormat="false" ht="35.05" hidden="false" customHeight="false" outlineLevel="0" collapsed="false">
      <c r="A1194" s="76" t="n">
        <v>1169</v>
      </c>
      <c r="B1194" s="20" t="s">
        <v>1526</v>
      </c>
      <c r="C1194" s="20" t="s">
        <v>912</v>
      </c>
      <c r="D1194" s="20" t="s">
        <v>963</v>
      </c>
      <c r="E1194" s="20" t="s">
        <v>1669</v>
      </c>
      <c r="F1194" s="76" t="s">
        <v>972</v>
      </c>
      <c r="G1194" s="20" t="s">
        <v>977</v>
      </c>
      <c r="H1194" s="55" t="n">
        <v>10</v>
      </c>
      <c r="I1194" s="76" t="s">
        <v>512</v>
      </c>
      <c r="J1194" s="76" t="n">
        <v>200</v>
      </c>
      <c r="K1194" s="82" t="n">
        <v>1</v>
      </c>
      <c r="L1194" s="55" t="n">
        <v>18</v>
      </c>
      <c r="M1194" s="73" t="n">
        <v>1.2</v>
      </c>
      <c r="N1194" s="74" t="n">
        <f aca="false">K1194*L1194*M1194</f>
        <v>21.6</v>
      </c>
      <c r="O1194" s="41" t="n">
        <f aca="false">IFERROR(INDEX(Исходные!$B$21:$B$33,MATCH(H1194,Исходные!$A$21:$A$33,0)),0)</f>
        <v>0.617</v>
      </c>
      <c r="P1194" s="83" t="n">
        <f aca="false">N1194*O1194</f>
        <v>13.3272</v>
      </c>
      <c r="Q1194" s="20" t="s">
        <v>1444</v>
      </c>
      <c r="R1194" s="84" t="s">
        <v>514</v>
      </c>
      <c r="S1194" s="20"/>
      <c r="T1194" s="20" t="s">
        <v>123</v>
      </c>
      <c r="U1194" s="53" t="n">
        <v>0</v>
      </c>
      <c r="V1194" s="76" t="s">
        <v>975</v>
      </c>
      <c r="W1194" s="53" t="n">
        <v>3</v>
      </c>
    </row>
    <row r="1195" customFormat="false" ht="35.05" hidden="false" customHeight="false" outlineLevel="0" collapsed="false">
      <c r="A1195" s="76" t="n">
        <v>1170</v>
      </c>
      <c r="B1195" s="20" t="s">
        <v>1526</v>
      </c>
      <c r="C1195" s="20" t="s">
        <v>912</v>
      </c>
      <c r="D1195" s="20" t="s">
        <v>963</v>
      </c>
      <c r="E1195" s="20" t="s">
        <v>1669</v>
      </c>
      <c r="F1195" s="76" t="s">
        <v>972</v>
      </c>
      <c r="G1195" s="20" t="s">
        <v>978</v>
      </c>
      <c r="H1195" s="55" t="n">
        <v>12</v>
      </c>
      <c r="I1195" s="76" t="s">
        <v>512</v>
      </c>
      <c r="J1195" s="76" t="n">
        <v>200</v>
      </c>
      <c r="K1195" s="82" t="n">
        <v>1</v>
      </c>
      <c r="L1195" s="55" t="n">
        <v>12</v>
      </c>
      <c r="M1195" s="73" t="n">
        <v>1.4</v>
      </c>
      <c r="N1195" s="74" t="n">
        <f aca="false">K1195*L1195*M1195</f>
        <v>16.8</v>
      </c>
      <c r="O1195" s="41" t="n">
        <f aca="false">IFERROR(INDEX(Исходные!$B$21:$B$33,MATCH(H1195,Исходные!$A$21:$A$33,0)),0)</f>
        <v>0.888</v>
      </c>
      <c r="P1195" s="83" t="n">
        <f aca="false">N1195*O1195</f>
        <v>14.9184</v>
      </c>
      <c r="Q1195" s="20" t="s">
        <v>1444</v>
      </c>
      <c r="R1195" s="84" t="s">
        <v>514</v>
      </c>
      <c r="S1195" s="20"/>
      <c r="T1195" s="20" t="s">
        <v>123</v>
      </c>
      <c r="U1195" s="53" t="n">
        <v>0</v>
      </c>
      <c r="V1195" s="76" t="s">
        <v>975</v>
      </c>
      <c r="W1195" s="53" t="n">
        <v>3</v>
      </c>
    </row>
    <row r="1196" customFormat="false" ht="35.05" hidden="false" customHeight="false" outlineLevel="0" collapsed="false">
      <c r="A1196" s="76" t="n">
        <v>1171</v>
      </c>
      <c r="B1196" s="20" t="s">
        <v>1526</v>
      </c>
      <c r="C1196" s="20" t="s">
        <v>912</v>
      </c>
      <c r="D1196" s="20" t="s">
        <v>963</v>
      </c>
      <c r="E1196" s="20" t="s">
        <v>1669</v>
      </c>
      <c r="F1196" s="76" t="s">
        <v>972</v>
      </c>
      <c r="G1196" s="20" t="s">
        <v>979</v>
      </c>
      <c r="H1196" s="55" t="n">
        <v>10</v>
      </c>
      <c r="I1196" s="76" t="s">
        <v>512</v>
      </c>
      <c r="J1196" s="76" t="n">
        <v>200</v>
      </c>
      <c r="K1196" s="82" t="n">
        <v>1</v>
      </c>
      <c r="L1196" s="55" t="n">
        <v>18</v>
      </c>
      <c r="M1196" s="73" t="n">
        <v>1.4</v>
      </c>
      <c r="N1196" s="74" t="n">
        <f aca="false">K1196*L1196*M1196</f>
        <v>25.2</v>
      </c>
      <c r="O1196" s="41" t="n">
        <f aca="false">IFERROR(INDEX(Исходные!$B$21:$B$33,MATCH(H1196,Исходные!$A$21:$A$33,0)),0)</f>
        <v>0.617</v>
      </c>
      <c r="P1196" s="83" t="n">
        <f aca="false">N1196*O1196</f>
        <v>15.5484</v>
      </c>
      <c r="Q1196" s="20" t="s">
        <v>1444</v>
      </c>
      <c r="R1196" s="84" t="s">
        <v>514</v>
      </c>
      <c r="S1196" s="20"/>
      <c r="T1196" s="20" t="s">
        <v>123</v>
      </c>
      <c r="U1196" s="53" t="n">
        <v>0</v>
      </c>
      <c r="V1196" s="76" t="s">
        <v>975</v>
      </c>
      <c r="W1196" s="53" t="n">
        <v>3</v>
      </c>
    </row>
    <row r="1197" customFormat="false" ht="35.05" hidden="false" customHeight="false" outlineLevel="0" collapsed="false">
      <c r="A1197" s="76" t="n">
        <v>1172</v>
      </c>
      <c r="B1197" s="20" t="s">
        <v>1526</v>
      </c>
      <c r="C1197" s="20" t="s">
        <v>912</v>
      </c>
      <c r="D1197" s="20" t="s">
        <v>963</v>
      </c>
      <c r="E1197" s="20" t="s">
        <v>1669</v>
      </c>
      <c r="F1197" s="76" t="s">
        <v>972</v>
      </c>
      <c r="G1197" s="20" t="s">
        <v>980</v>
      </c>
      <c r="H1197" s="55" t="n">
        <v>12</v>
      </c>
      <c r="I1197" s="76" t="s">
        <v>512</v>
      </c>
      <c r="J1197" s="76" t="n">
        <v>200</v>
      </c>
      <c r="K1197" s="82" t="n">
        <v>1</v>
      </c>
      <c r="L1197" s="55" t="n">
        <v>12</v>
      </c>
      <c r="M1197" s="73" t="n">
        <v>2.2</v>
      </c>
      <c r="N1197" s="74" t="n">
        <f aca="false">K1197*L1197*M1197</f>
        <v>26.4</v>
      </c>
      <c r="O1197" s="41" t="n">
        <f aca="false">IFERROR(INDEX(Исходные!$B$21:$B$33,MATCH(H1197,Исходные!$A$21:$A$33,0)),0)</f>
        <v>0.888</v>
      </c>
      <c r="P1197" s="83" t="n">
        <f aca="false">N1197*O1197</f>
        <v>23.4432</v>
      </c>
      <c r="Q1197" s="20" t="s">
        <v>1444</v>
      </c>
      <c r="R1197" s="84" t="s">
        <v>514</v>
      </c>
      <c r="S1197" s="20"/>
      <c r="T1197" s="20" t="s">
        <v>123</v>
      </c>
      <c r="U1197" s="53" t="n">
        <v>0</v>
      </c>
      <c r="V1197" s="76" t="s">
        <v>975</v>
      </c>
      <c r="W1197" s="53" t="n">
        <v>3</v>
      </c>
    </row>
    <row r="1198" customFormat="false" ht="35.05" hidden="false" customHeight="false" outlineLevel="0" collapsed="false">
      <c r="A1198" s="76" t="n">
        <v>1173</v>
      </c>
      <c r="B1198" s="20" t="s">
        <v>1526</v>
      </c>
      <c r="C1198" s="20" t="s">
        <v>912</v>
      </c>
      <c r="D1198" s="20" t="s">
        <v>963</v>
      </c>
      <c r="E1198" s="20" t="s">
        <v>1669</v>
      </c>
      <c r="F1198" s="76" t="s">
        <v>972</v>
      </c>
      <c r="G1198" s="20" t="s">
        <v>981</v>
      </c>
      <c r="H1198" s="55" t="n">
        <v>10</v>
      </c>
      <c r="I1198" s="76" t="s">
        <v>512</v>
      </c>
      <c r="J1198" s="76" t="n">
        <v>200</v>
      </c>
      <c r="K1198" s="82" t="n">
        <v>1</v>
      </c>
      <c r="L1198" s="55" t="n">
        <v>18</v>
      </c>
      <c r="M1198" s="73" t="n">
        <v>2.2</v>
      </c>
      <c r="N1198" s="74" t="n">
        <f aca="false">K1198*L1198*M1198</f>
        <v>39.6</v>
      </c>
      <c r="O1198" s="41" t="n">
        <f aca="false">IFERROR(INDEX(Исходные!$B$21:$B$33,MATCH(H1198,Исходные!$A$21:$A$33,0)),0)</f>
        <v>0.617</v>
      </c>
      <c r="P1198" s="83" t="n">
        <f aca="false">N1198*O1198</f>
        <v>24.4332</v>
      </c>
      <c r="Q1198" s="20" t="s">
        <v>1444</v>
      </c>
      <c r="R1198" s="84" t="s">
        <v>514</v>
      </c>
      <c r="S1198" s="20"/>
      <c r="T1198" s="20" t="s">
        <v>123</v>
      </c>
      <c r="U1198" s="53" t="n">
        <v>0</v>
      </c>
      <c r="V1198" s="76" t="s">
        <v>975</v>
      </c>
      <c r="W1198" s="53" t="n">
        <v>3</v>
      </c>
    </row>
    <row r="1199" customFormat="false" ht="35.05" hidden="false" customHeight="false" outlineLevel="0" collapsed="false">
      <c r="A1199" s="76" t="n">
        <v>1174</v>
      </c>
      <c r="B1199" s="20" t="s">
        <v>1526</v>
      </c>
      <c r="C1199" s="20" t="s">
        <v>912</v>
      </c>
      <c r="D1199" s="20" t="s">
        <v>963</v>
      </c>
      <c r="E1199" s="20" t="s">
        <v>1669</v>
      </c>
      <c r="F1199" s="76" t="s">
        <v>972</v>
      </c>
      <c r="G1199" s="20" t="s">
        <v>982</v>
      </c>
      <c r="H1199" s="55" t="n">
        <v>10</v>
      </c>
      <c r="I1199" s="76" t="s">
        <v>512</v>
      </c>
      <c r="J1199" s="76" t="n">
        <v>200</v>
      </c>
      <c r="K1199" s="82" t="n">
        <v>1</v>
      </c>
      <c r="L1199" s="55" t="n">
        <v>24</v>
      </c>
      <c r="M1199" s="73" t="n">
        <v>1.2</v>
      </c>
      <c r="N1199" s="74" t="n">
        <f aca="false">K1199*L1199*M1199</f>
        <v>28.8</v>
      </c>
      <c r="O1199" s="41" t="n">
        <f aca="false">IFERROR(INDEX(Исходные!$B$21:$B$33,MATCH(H1199,Исходные!$A$21:$A$33,0)),0)</f>
        <v>0.617</v>
      </c>
      <c r="P1199" s="83" t="n">
        <f aca="false">N1199*O1199</f>
        <v>17.7696</v>
      </c>
      <c r="Q1199" s="20" t="s">
        <v>1444</v>
      </c>
      <c r="R1199" s="84" t="s">
        <v>514</v>
      </c>
      <c r="S1199" s="20"/>
      <c r="T1199" s="20" t="s">
        <v>123</v>
      </c>
      <c r="U1199" s="53" t="n">
        <v>0</v>
      </c>
      <c r="V1199" s="76" t="s">
        <v>975</v>
      </c>
      <c r="W1199" s="53" t="n">
        <v>3</v>
      </c>
    </row>
    <row r="1200" customFormat="false" ht="35.05" hidden="false" customHeight="false" outlineLevel="0" collapsed="false">
      <c r="A1200" s="76" t="n">
        <v>1175</v>
      </c>
      <c r="B1200" s="20" t="s">
        <v>1526</v>
      </c>
      <c r="C1200" s="20" t="s">
        <v>912</v>
      </c>
      <c r="D1200" s="20" t="s">
        <v>963</v>
      </c>
      <c r="E1200" s="20" t="s">
        <v>1669</v>
      </c>
      <c r="F1200" s="76" t="s">
        <v>972</v>
      </c>
      <c r="G1200" s="20" t="s">
        <v>983</v>
      </c>
      <c r="H1200" s="55" t="n">
        <v>10</v>
      </c>
      <c r="I1200" s="76" t="s">
        <v>512</v>
      </c>
      <c r="J1200" s="76" t="n">
        <v>200</v>
      </c>
      <c r="K1200" s="82" t="n">
        <v>1</v>
      </c>
      <c r="L1200" s="55" t="n">
        <v>25</v>
      </c>
      <c r="M1200" s="73" t="n">
        <v>2</v>
      </c>
      <c r="N1200" s="74" t="n">
        <f aca="false">K1200*L1200*M1200</f>
        <v>50</v>
      </c>
      <c r="O1200" s="41" t="n">
        <f aca="false">IFERROR(INDEX(Исходные!$B$21:$B$33,MATCH(H1200,Исходные!$A$21:$A$33,0)),0)</f>
        <v>0.617</v>
      </c>
      <c r="P1200" s="83" t="n">
        <f aca="false">N1200*O1200</f>
        <v>30.85</v>
      </c>
      <c r="Q1200" s="20" t="s">
        <v>1444</v>
      </c>
      <c r="R1200" s="84" t="s">
        <v>514</v>
      </c>
      <c r="S1200" s="20"/>
      <c r="T1200" s="20" t="s">
        <v>123</v>
      </c>
      <c r="U1200" s="53" t="n">
        <v>0</v>
      </c>
      <c r="V1200" s="76" t="s">
        <v>975</v>
      </c>
      <c r="W1200" s="53" t="n">
        <v>3</v>
      </c>
    </row>
    <row r="1201" customFormat="false" ht="35.05" hidden="false" customHeight="false" outlineLevel="0" collapsed="false">
      <c r="A1201" s="76" t="n">
        <v>1176</v>
      </c>
      <c r="B1201" s="20" t="s">
        <v>1526</v>
      </c>
      <c r="C1201" s="20" t="s">
        <v>912</v>
      </c>
      <c r="D1201" s="20" t="s">
        <v>963</v>
      </c>
      <c r="E1201" s="20" t="s">
        <v>1669</v>
      </c>
      <c r="F1201" s="76" t="s">
        <v>972</v>
      </c>
      <c r="G1201" s="20" t="s">
        <v>984</v>
      </c>
      <c r="H1201" s="55" t="n">
        <v>10</v>
      </c>
      <c r="I1201" s="76" t="s">
        <v>512</v>
      </c>
      <c r="J1201" s="76" t="n">
        <v>200</v>
      </c>
      <c r="K1201" s="82" t="n">
        <v>1</v>
      </c>
      <c r="L1201" s="55" t="n">
        <v>25</v>
      </c>
      <c r="M1201" s="73" t="n">
        <v>1.2</v>
      </c>
      <c r="N1201" s="74" t="n">
        <f aca="false">K1201*L1201*M1201</f>
        <v>30</v>
      </c>
      <c r="O1201" s="41" t="n">
        <f aca="false">IFERROR(INDEX(Исходные!$B$21:$B$33,MATCH(H1201,Исходные!$A$21:$A$33,0)),0)</f>
        <v>0.617</v>
      </c>
      <c r="P1201" s="83" t="n">
        <f aca="false">N1201*O1201</f>
        <v>18.51</v>
      </c>
      <c r="Q1201" s="20" t="s">
        <v>1444</v>
      </c>
      <c r="R1201" s="84" t="s">
        <v>514</v>
      </c>
      <c r="S1201" s="20"/>
      <c r="T1201" s="20" t="s">
        <v>123</v>
      </c>
      <c r="U1201" s="53" t="n">
        <v>0</v>
      </c>
      <c r="V1201" s="76" t="s">
        <v>975</v>
      </c>
      <c r="W1201" s="53" t="n">
        <v>3</v>
      </c>
    </row>
    <row r="1202" customFormat="false" ht="35.05" hidden="false" customHeight="false" outlineLevel="0" collapsed="false">
      <c r="A1202" s="76" t="n">
        <v>1177</v>
      </c>
      <c r="B1202" s="20" t="s">
        <v>1526</v>
      </c>
      <c r="C1202" s="20" t="s">
        <v>912</v>
      </c>
      <c r="D1202" s="20" t="s">
        <v>963</v>
      </c>
      <c r="E1202" s="20" t="s">
        <v>1669</v>
      </c>
      <c r="F1202" s="76" t="s">
        <v>972</v>
      </c>
      <c r="G1202" s="20" t="s">
        <v>985</v>
      </c>
      <c r="H1202" s="55" t="n">
        <v>10</v>
      </c>
      <c r="I1202" s="76" t="s">
        <v>512</v>
      </c>
      <c r="J1202" s="76" t="n">
        <v>200</v>
      </c>
      <c r="K1202" s="82" t="n">
        <v>1</v>
      </c>
      <c r="L1202" s="55" t="n">
        <v>17</v>
      </c>
      <c r="M1202" s="73" t="n">
        <v>1.2</v>
      </c>
      <c r="N1202" s="74" t="n">
        <f aca="false">K1202*L1202*M1202</f>
        <v>20.4</v>
      </c>
      <c r="O1202" s="41" t="n">
        <f aca="false">IFERROR(INDEX(Исходные!$B$21:$B$33,MATCH(H1202,Исходные!$A$21:$A$33,0)),0)</f>
        <v>0.617</v>
      </c>
      <c r="P1202" s="83" t="n">
        <f aca="false">N1202*O1202</f>
        <v>12.5868</v>
      </c>
      <c r="Q1202" s="20" t="s">
        <v>1444</v>
      </c>
      <c r="R1202" s="84" t="s">
        <v>514</v>
      </c>
      <c r="S1202" s="20"/>
      <c r="T1202" s="20" t="s">
        <v>123</v>
      </c>
      <c r="U1202" s="53" t="n">
        <v>0</v>
      </c>
      <c r="V1202" s="76" t="s">
        <v>975</v>
      </c>
      <c r="W1202" s="53" t="n">
        <v>3</v>
      </c>
    </row>
    <row r="1203" customFormat="false" ht="35.05" hidden="false" customHeight="false" outlineLevel="0" collapsed="false">
      <c r="A1203" s="76" t="n">
        <v>1178</v>
      </c>
      <c r="B1203" s="20" t="s">
        <v>1526</v>
      </c>
      <c r="C1203" s="20" t="s">
        <v>912</v>
      </c>
      <c r="D1203" s="20" t="s">
        <v>963</v>
      </c>
      <c r="E1203" s="20" t="s">
        <v>1669</v>
      </c>
      <c r="F1203" s="76" t="s">
        <v>972</v>
      </c>
      <c r="G1203" s="20" t="s">
        <v>986</v>
      </c>
      <c r="H1203" s="55" t="n">
        <v>10</v>
      </c>
      <c r="I1203" s="76" t="s">
        <v>512</v>
      </c>
      <c r="J1203" s="76" t="n">
        <v>200</v>
      </c>
      <c r="K1203" s="82" t="n">
        <v>1</v>
      </c>
      <c r="L1203" s="55" t="n">
        <v>36</v>
      </c>
      <c r="M1203" s="73" t="n">
        <v>1.2</v>
      </c>
      <c r="N1203" s="74" t="n">
        <f aca="false">K1203*L1203*M1203</f>
        <v>43.2</v>
      </c>
      <c r="O1203" s="41" t="n">
        <f aca="false">IFERROR(INDEX(Исходные!$B$21:$B$33,MATCH(H1203,Исходные!$A$21:$A$33,0)),0)</f>
        <v>0.617</v>
      </c>
      <c r="P1203" s="83" t="n">
        <f aca="false">N1203*O1203</f>
        <v>26.6544</v>
      </c>
      <c r="Q1203" s="20" t="s">
        <v>1444</v>
      </c>
      <c r="R1203" s="84" t="s">
        <v>514</v>
      </c>
      <c r="S1203" s="20"/>
      <c r="T1203" s="20" t="s">
        <v>123</v>
      </c>
      <c r="U1203" s="53" t="n">
        <v>0</v>
      </c>
      <c r="V1203" s="76" t="s">
        <v>975</v>
      </c>
      <c r="W1203" s="53" t="n">
        <v>3</v>
      </c>
    </row>
    <row r="1204" customFormat="false" ht="35.05" hidden="false" customHeight="false" outlineLevel="0" collapsed="false">
      <c r="A1204" s="76" t="n">
        <v>1179</v>
      </c>
      <c r="B1204" s="20" t="s">
        <v>1526</v>
      </c>
      <c r="C1204" s="20" t="s">
        <v>912</v>
      </c>
      <c r="D1204" s="20" t="s">
        <v>963</v>
      </c>
      <c r="E1204" s="20" t="s">
        <v>1669</v>
      </c>
      <c r="F1204" s="76" t="s">
        <v>972</v>
      </c>
      <c r="G1204" s="20" t="s">
        <v>987</v>
      </c>
      <c r="H1204" s="55" t="n">
        <v>10</v>
      </c>
      <c r="I1204" s="76" t="s">
        <v>512</v>
      </c>
      <c r="J1204" s="76" t="n">
        <v>200</v>
      </c>
      <c r="K1204" s="82" t="n">
        <v>1</v>
      </c>
      <c r="L1204" s="55" t="n">
        <v>15</v>
      </c>
      <c r="M1204" s="73" t="n">
        <v>1.4</v>
      </c>
      <c r="N1204" s="74" t="n">
        <f aca="false">K1204*L1204*M1204</f>
        <v>21</v>
      </c>
      <c r="O1204" s="41" t="n">
        <f aca="false">IFERROR(INDEX(Исходные!$B$21:$B$33,MATCH(H1204,Исходные!$A$21:$A$33,0)),0)</f>
        <v>0.617</v>
      </c>
      <c r="P1204" s="83" t="n">
        <f aca="false">N1204*O1204</f>
        <v>12.957</v>
      </c>
      <c r="Q1204" s="20" t="s">
        <v>1444</v>
      </c>
      <c r="R1204" s="84" t="s">
        <v>514</v>
      </c>
      <c r="S1204" s="20"/>
      <c r="T1204" s="20" t="s">
        <v>123</v>
      </c>
      <c r="U1204" s="53" t="n">
        <v>0</v>
      </c>
      <c r="V1204" s="76" t="s">
        <v>975</v>
      </c>
      <c r="W1204" s="53" t="n">
        <v>3</v>
      </c>
    </row>
    <row r="1205" customFormat="false" ht="35.05" hidden="false" customHeight="false" outlineLevel="0" collapsed="false">
      <c r="A1205" s="76" t="n">
        <v>1180</v>
      </c>
      <c r="B1205" s="20" t="s">
        <v>1526</v>
      </c>
      <c r="C1205" s="20" t="s">
        <v>912</v>
      </c>
      <c r="D1205" s="20" t="s">
        <v>963</v>
      </c>
      <c r="E1205" s="20" t="s">
        <v>1669</v>
      </c>
      <c r="F1205" s="76" t="s">
        <v>972</v>
      </c>
      <c r="G1205" s="20" t="s">
        <v>988</v>
      </c>
      <c r="H1205" s="55" t="n">
        <v>10</v>
      </c>
      <c r="I1205" s="76" t="s">
        <v>512</v>
      </c>
      <c r="J1205" s="76" t="n">
        <v>200</v>
      </c>
      <c r="K1205" s="82" t="n">
        <v>1</v>
      </c>
      <c r="L1205" s="55" t="n">
        <v>17</v>
      </c>
      <c r="M1205" s="73" t="n">
        <v>2.2</v>
      </c>
      <c r="N1205" s="74" t="n">
        <f aca="false">K1205*L1205*M1205</f>
        <v>37.4</v>
      </c>
      <c r="O1205" s="41" t="n">
        <f aca="false">IFERROR(INDEX(Исходные!$B$21:$B$33,MATCH(H1205,Исходные!$A$21:$A$33,0)),0)</f>
        <v>0.617</v>
      </c>
      <c r="P1205" s="83" t="n">
        <f aca="false">N1205*O1205</f>
        <v>23.0758</v>
      </c>
      <c r="Q1205" s="20" t="s">
        <v>1444</v>
      </c>
      <c r="R1205" s="84" t="s">
        <v>514</v>
      </c>
      <c r="S1205" s="20"/>
      <c r="T1205" s="20" t="s">
        <v>123</v>
      </c>
      <c r="U1205" s="53" t="n">
        <v>0</v>
      </c>
      <c r="V1205" s="76" t="s">
        <v>975</v>
      </c>
      <c r="W1205" s="53" t="n">
        <v>3</v>
      </c>
    </row>
    <row r="1206" customFormat="false" ht="35.05" hidden="false" customHeight="false" outlineLevel="0" collapsed="false">
      <c r="A1206" s="76" t="n">
        <v>1181</v>
      </c>
      <c r="B1206" s="20" t="s">
        <v>1526</v>
      </c>
      <c r="C1206" s="20" t="s">
        <v>912</v>
      </c>
      <c r="D1206" s="20" t="s">
        <v>963</v>
      </c>
      <c r="E1206" s="20" t="s">
        <v>1669</v>
      </c>
      <c r="F1206" s="76" t="s">
        <v>972</v>
      </c>
      <c r="G1206" s="20" t="s">
        <v>989</v>
      </c>
      <c r="H1206" s="55" t="n">
        <v>10</v>
      </c>
      <c r="I1206" s="76" t="s">
        <v>512</v>
      </c>
      <c r="J1206" s="76" t="n">
        <v>200</v>
      </c>
      <c r="K1206" s="82" t="n">
        <v>1</v>
      </c>
      <c r="L1206" s="55" t="n">
        <v>29</v>
      </c>
      <c r="M1206" s="73" t="n">
        <v>1.4</v>
      </c>
      <c r="N1206" s="74" t="n">
        <f aca="false">K1206*L1206*M1206</f>
        <v>40.6</v>
      </c>
      <c r="O1206" s="41" t="n">
        <f aca="false">IFERROR(INDEX(Исходные!$B$21:$B$33,MATCH(H1206,Исходные!$A$21:$A$33,0)),0)</f>
        <v>0.617</v>
      </c>
      <c r="P1206" s="83" t="n">
        <f aca="false">N1206*O1206</f>
        <v>25.0502</v>
      </c>
      <c r="Q1206" s="20" t="s">
        <v>1444</v>
      </c>
      <c r="R1206" s="84" t="s">
        <v>514</v>
      </c>
      <c r="S1206" s="20"/>
      <c r="T1206" s="20" t="s">
        <v>123</v>
      </c>
      <c r="U1206" s="53" t="n">
        <v>0</v>
      </c>
      <c r="V1206" s="76" t="s">
        <v>975</v>
      </c>
      <c r="W1206" s="53" t="n">
        <v>3</v>
      </c>
    </row>
    <row r="1207" customFormat="false" ht="35.05" hidden="false" customHeight="false" outlineLevel="0" collapsed="false">
      <c r="A1207" s="76" t="n">
        <v>1182</v>
      </c>
      <c r="B1207" s="20" t="s">
        <v>1526</v>
      </c>
      <c r="C1207" s="20" t="s">
        <v>912</v>
      </c>
      <c r="D1207" s="20" t="s">
        <v>963</v>
      </c>
      <c r="E1207" s="20" t="s">
        <v>1669</v>
      </c>
      <c r="F1207" s="76" t="s">
        <v>972</v>
      </c>
      <c r="G1207" s="20" t="s">
        <v>990</v>
      </c>
      <c r="H1207" s="55" t="n">
        <v>10</v>
      </c>
      <c r="I1207" s="76" t="s">
        <v>512</v>
      </c>
      <c r="J1207" s="76" t="n">
        <v>200</v>
      </c>
      <c r="K1207" s="82" t="n">
        <v>1</v>
      </c>
      <c r="L1207" s="55" t="n">
        <v>62</v>
      </c>
      <c r="M1207" s="73" t="n">
        <v>2.2</v>
      </c>
      <c r="N1207" s="74" t="n">
        <f aca="false">K1207*L1207*M1207</f>
        <v>136.4</v>
      </c>
      <c r="O1207" s="41" t="n">
        <f aca="false">IFERROR(INDEX(Исходные!$B$21:$B$33,MATCH(H1207,Исходные!$A$21:$A$33,0)),0)</f>
        <v>0.617</v>
      </c>
      <c r="P1207" s="83" t="n">
        <f aca="false">N1207*O1207</f>
        <v>84.1588</v>
      </c>
      <c r="Q1207" s="20" t="s">
        <v>1444</v>
      </c>
      <c r="R1207" s="84" t="s">
        <v>514</v>
      </c>
      <c r="S1207" s="20"/>
      <c r="T1207" s="20" t="s">
        <v>123</v>
      </c>
      <c r="U1207" s="53" t="n">
        <v>0</v>
      </c>
      <c r="V1207" s="76" t="s">
        <v>975</v>
      </c>
      <c r="W1207" s="53" t="n">
        <v>3</v>
      </c>
    </row>
    <row r="1208" customFormat="false" ht="35.05" hidden="false" customHeight="false" outlineLevel="0" collapsed="false">
      <c r="A1208" s="76" t="n">
        <v>1183</v>
      </c>
      <c r="B1208" s="20" t="s">
        <v>1526</v>
      </c>
      <c r="C1208" s="20" t="s">
        <v>912</v>
      </c>
      <c r="D1208" s="20" t="s">
        <v>991</v>
      </c>
      <c r="E1208" s="20" t="s">
        <v>1669</v>
      </c>
      <c r="F1208" s="76" t="s">
        <v>972</v>
      </c>
      <c r="G1208" s="20" t="s">
        <v>1445</v>
      </c>
      <c r="H1208" s="55" t="n">
        <v>20</v>
      </c>
      <c r="I1208" s="76" t="s">
        <v>512</v>
      </c>
      <c r="J1208" s="76" t="s">
        <v>164</v>
      </c>
      <c r="K1208" s="82" t="n">
        <v>4</v>
      </c>
      <c r="L1208" s="55" t="n">
        <v>2</v>
      </c>
      <c r="M1208" s="73" t="n">
        <v>3</v>
      </c>
      <c r="N1208" s="74" t="n">
        <f aca="false">K1208*L1208*M1208</f>
        <v>24</v>
      </c>
      <c r="O1208" s="41" t="n">
        <f aca="false">IFERROR(INDEX(Исходные!$B$21:$B$33,MATCH(H1208,Исходные!$A$21:$A$33,0)),0)</f>
        <v>2.466</v>
      </c>
      <c r="P1208" s="83" t="n">
        <f aca="false">N1208*O1208</f>
        <v>59.184</v>
      </c>
      <c r="Q1208" s="20" t="s">
        <v>1670</v>
      </c>
      <c r="R1208" s="84" t="s">
        <v>514</v>
      </c>
      <c r="S1208" s="20"/>
      <c r="T1208" s="20" t="s">
        <v>123</v>
      </c>
      <c r="U1208" s="53" t="n">
        <v>0</v>
      </c>
      <c r="V1208" s="76" t="s">
        <v>975</v>
      </c>
      <c r="W1208" s="53" t="n">
        <v>3</v>
      </c>
    </row>
    <row r="1209" customFormat="false" ht="35.05" hidden="false" customHeight="false" outlineLevel="0" collapsed="false">
      <c r="A1209" s="76" t="n">
        <v>1184</v>
      </c>
      <c r="B1209" s="20" t="s">
        <v>1526</v>
      </c>
      <c r="C1209" s="20" t="s">
        <v>912</v>
      </c>
      <c r="D1209" s="20" t="s">
        <v>1447</v>
      </c>
      <c r="E1209" s="20" t="s">
        <v>1669</v>
      </c>
      <c r="F1209" s="76" t="s">
        <v>972</v>
      </c>
      <c r="G1209" s="20" t="s">
        <v>1448</v>
      </c>
      <c r="H1209" s="55" t="n">
        <v>18</v>
      </c>
      <c r="I1209" s="76" t="s">
        <v>512</v>
      </c>
      <c r="J1209" s="76" t="s">
        <v>164</v>
      </c>
      <c r="K1209" s="82" t="n">
        <v>1</v>
      </c>
      <c r="L1209" s="55" t="n">
        <v>1</v>
      </c>
      <c r="M1209" s="73" t="n">
        <v>3</v>
      </c>
      <c r="N1209" s="74" t="n">
        <f aca="false">K1209*L1209*M1209</f>
        <v>3</v>
      </c>
      <c r="O1209" s="41" t="n">
        <f aca="false">IFERROR(INDEX(Исходные!$B$21:$B$33,MATCH(H1209,Исходные!$A$21:$A$33,0)),0)</f>
        <v>1.998</v>
      </c>
      <c r="P1209" s="83" t="n">
        <f aca="false">N1209*O1209</f>
        <v>5.994</v>
      </c>
      <c r="Q1209" s="20" t="s">
        <v>1449</v>
      </c>
      <c r="R1209" s="84" t="s">
        <v>514</v>
      </c>
      <c r="S1209" s="20"/>
      <c r="T1209" s="20" t="s">
        <v>123</v>
      </c>
      <c r="U1209" s="53" t="n">
        <v>0</v>
      </c>
      <c r="V1209" s="76" t="s">
        <v>975</v>
      </c>
      <c r="W1209" s="53" t="n">
        <v>3</v>
      </c>
    </row>
    <row r="1210" customFormat="false" ht="35.05" hidden="false" customHeight="false" outlineLevel="0" collapsed="false">
      <c r="A1210" s="76" t="n">
        <v>1185</v>
      </c>
      <c r="B1210" s="20" t="s">
        <v>1526</v>
      </c>
      <c r="C1210" s="20" t="s">
        <v>912</v>
      </c>
      <c r="D1210" s="20" t="s">
        <v>1450</v>
      </c>
      <c r="E1210" s="20" t="s">
        <v>1669</v>
      </c>
      <c r="F1210" s="76" t="s">
        <v>972</v>
      </c>
      <c r="G1210" s="20" t="s">
        <v>1451</v>
      </c>
      <c r="H1210" s="55" t="n">
        <v>18</v>
      </c>
      <c r="I1210" s="76" t="s">
        <v>512</v>
      </c>
      <c r="J1210" s="76" t="s">
        <v>164</v>
      </c>
      <c r="K1210" s="82" t="n">
        <v>1</v>
      </c>
      <c r="L1210" s="55" t="n">
        <v>1</v>
      </c>
      <c r="M1210" s="73" t="n">
        <v>1.7</v>
      </c>
      <c r="N1210" s="74" t="n">
        <f aca="false">K1210*L1210*M1210</f>
        <v>1.7</v>
      </c>
      <c r="O1210" s="41" t="n">
        <f aca="false">IFERROR(INDEX(Исходные!$B$21:$B$33,MATCH(H1210,Исходные!$A$21:$A$33,0)),0)</f>
        <v>1.998</v>
      </c>
      <c r="P1210" s="83" t="n">
        <f aca="false">N1210*O1210</f>
        <v>3.3966</v>
      </c>
      <c r="Q1210" s="20" t="s">
        <v>1452</v>
      </c>
      <c r="R1210" s="84" t="s">
        <v>514</v>
      </c>
      <c r="S1210" s="20"/>
      <c r="T1210" s="20" t="s">
        <v>123</v>
      </c>
      <c r="U1210" s="53" t="n">
        <v>0</v>
      </c>
      <c r="V1210" s="76" t="s">
        <v>975</v>
      </c>
      <c r="W1210" s="53" t="n">
        <v>3</v>
      </c>
    </row>
    <row r="1211" customFormat="false" ht="35.05" hidden="false" customHeight="false" outlineLevel="0" collapsed="false">
      <c r="A1211" s="76" t="n">
        <v>1186</v>
      </c>
      <c r="B1211" s="20" t="s">
        <v>1526</v>
      </c>
      <c r="C1211" s="20" t="s">
        <v>912</v>
      </c>
      <c r="D1211" s="20" t="s">
        <v>994</v>
      </c>
      <c r="E1211" s="20" t="s">
        <v>1669</v>
      </c>
      <c r="F1211" s="76" t="s">
        <v>995</v>
      </c>
      <c r="G1211" s="20" t="s">
        <v>996</v>
      </c>
      <c r="H1211" s="55" t="n">
        <v>14</v>
      </c>
      <c r="I1211" s="76" t="s">
        <v>512</v>
      </c>
      <c r="J1211" s="76" t="s">
        <v>164</v>
      </c>
      <c r="K1211" s="82" t="n">
        <v>1</v>
      </c>
      <c r="L1211" s="55" t="n">
        <v>2</v>
      </c>
      <c r="M1211" s="73" t="n">
        <v>25.795</v>
      </c>
      <c r="N1211" s="74" t="n">
        <f aca="false">K1211*L1211*M1211</f>
        <v>51.59</v>
      </c>
      <c r="O1211" s="41" t="n">
        <f aca="false">IFERROR(INDEX(Исходные!$B$21:$B$33,MATCH(H1211,Исходные!$A$21:$A$33,0)),0)</f>
        <v>1.208</v>
      </c>
      <c r="P1211" s="83" t="n">
        <f aca="false">N1211*O1211</f>
        <v>62.32072</v>
      </c>
      <c r="Q1211" s="20" t="s">
        <v>1453</v>
      </c>
      <c r="R1211" s="84" t="s">
        <v>660</v>
      </c>
      <c r="S1211" s="20"/>
      <c r="T1211" s="20" t="s">
        <v>123</v>
      </c>
      <c r="U1211" s="53" t="n">
        <v>0</v>
      </c>
      <c r="V1211" s="76" t="s">
        <v>998</v>
      </c>
      <c r="W1211" s="53" t="n">
        <v>3</v>
      </c>
    </row>
    <row r="1212" customFormat="false" ht="35.05" hidden="false" customHeight="false" outlineLevel="0" collapsed="false">
      <c r="A1212" s="76" t="n">
        <v>1187</v>
      </c>
      <c r="B1212" s="20" t="s">
        <v>1526</v>
      </c>
      <c r="C1212" s="20" t="s">
        <v>912</v>
      </c>
      <c r="D1212" s="20" t="s">
        <v>994</v>
      </c>
      <c r="E1212" s="20" t="s">
        <v>1669</v>
      </c>
      <c r="F1212" s="76" t="s">
        <v>999</v>
      </c>
      <c r="G1212" s="20" t="s">
        <v>1454</v>
      </c>
      <c r="H1212" s="55" t="n">
        <v>14</v>
      </c>
      <c r="I1212" s="76" t="s">
        <v>512</v>
      </c>
      <c r="J1212" s="76" t="s">
        <v>164</v>
      </c>
      <c r="K1212" s="82" t="n">
        <v>2</v>
      </c>
      <c r="L1212" s="55" t="n">
        <v>2</v>
      </c>
      <c r="M1212" s="73" t="n">
        <v>0.56</v>
      </c>
      <c r="N1212" s="74" t="n">
        <f aca="false">K1212*L1212*M1212</f>
        <v>2.24</v>
      </c>
      <c r="O1212" s="41" t="n">
        <f aca="false">IFERROR(INDEX(Исходные!$B$21:$B$33,MATCH(H1212,Исходные!$A$21:$A$33,0)),0)</f>
        <v>1.208</v>
      </c>
      <c r="P1212" s="83" t="n">
        <f aca="false">N1212*O1212</f>
        <v>2.70592</v>
      </c>
      <c r="Q1212" s="20" t="s">
        <v>1001</v>
      </c>
      <c r="R1212" s="84" t="s">
        <v>667</v>
      </c>
      <c r="S1212" s="20" t="s">
        <v>1455</v>
      </c>
      <c r="T1212" s="20" t="s">
        <v>123</v>
      </c>
      <c r="U1212" s="53" t="n">
        <v>0</v>
      </c>
      <c r="V1212" s="76" t="s">
        <v>998</v>
      </c>
      <c r="W1212" s="53" t="n">
        <v>3</v>
      </c>
    </row>
    <row r="1213" customFormat="false" ht="35.05" hidden="false" customHeight="false" outlineLevel="0" collapsed="false">
      <c r="A1213" s="76" t="n">
        <v>1188</v>
      </c>
      <c r="B1213" s="20" t="s">
        <v>1526</v>
      </c>
      <c r="C1213" s="20" t="s">
        <v>912</v>
      </c>
      <c r="D1213" s="20" t="s">
        <v>994</v>
      </c>
      <c r="E1213" s="20" t="s">
        <v>1669</v>
      </c>
      <c r="F1213" s="76" t="s">
        <v>995</v>
      </c>
      <c r="G1213" s="20" t="s">
        <v>1003</v>
      </c>
      <c r="H1213" s="55" t="n">
        <v>14</v>
      </c>
      <c r="I1213" s="76" t="s">
        <v>512</v>
      </c>
      <c r="J1213" s="76" t="s">
        <v>164</v>
      </c>
      <c r="K1213" s="82" t="n">
        <v>1</v>
      </c>
      <c r="L1213" s="55" t="n">
        <v>2</v>
      </c>
      <c r="M1213" s="73" t="n">
        <v>20.495</v>
      </c>
      <c r="N1213" s="74" t="n">
        <f aca="false">K1213*L1213*M1213</f>
        <v>40.99</v>
      </c>
      <c r="O1213" s="41" t="n">
        <f aca="false">IFERROR(INDEX(Исходные!$B$21:$B$33,MATCH(H1213,Исходные!$A$21:$A$33,0)),0)</f>
        <v>1.208</v>
      </c>
      <c r="P1213" s="83" t="n">
        <f aca="false">N1213*O1213</f>
        <v>49.51592</v>
      </c>
      <c r="Q1213" s="20" t="s">
        <v>1004</v>
      </c>
      <c r="R1213" s="84" t="s">
        <v>660</v>
      </c>
      <c r="S1213" s="20"/>
      <c r="T1213" s="20" t="s">
        <v>123</v>
      </c>
      <c r="U1213" s="53" t="n">
        <v>0</v>
      </c>
      <c r="V1213" s="76" t="s">
        <v>998</v>
      </c>
      <c r="W1213" s="53" t="n">
        <v>3</v>
      </c>
    </row>
    <row r="1214" customFormat="false" ht="35.05" hidden="false" customHeight="false" outlineLevel="0" collapsed="false">
      <c r="A1214" s="76" t="n">
        <v>1189</v>
      </c>
      <c r="B1214" s="20" t="s">
        <v>1526</v>
      </c>
      <c r="C1214" s="20" t="s">
        <v>912</v>
      </c>
      <c r="D1214" s="20" t="s">
        <v>994</v>
      </c>
      <c r="E1214" s="20" t="s">
        <v>1669</v>
      </c>
      <c r="F1214" s="76" t="s">
        <v>999</v>
      </c>
      <c r="G1214" s="20" t="s">
        <v>1456</v>
      </c>
      <c r="H1214" s="55" t="n">
        <v>14</v>
      </c>
      <c r="I1214" s="76" t="s">
        <v>512</v>
      </c>
      <c r="J1214" s="76" t="s">
        <v>164</v>
      </c>
      <c r="K1214" s="82" t="n">
        <v>2</v>
      </c>
      <c r="L1214" s="55" t="n">
        <v>1</v>
      </c>
      <c r="M1214" s="73" t="n">
        <v>0.56</v>
      </c>
      <c r="N1214" s="74" t="n">
        <f aca="false">K1214*L1214*M1214</f>
        <v>1.12</v>
      </c>
      <c r="O1214" s="41" t="n">
        <f aca="false">IFERROR(INDEX(Исходные!$B$21:$B$33,MATCH(H1214,Исходные!$A$21:$A$33,0)),0)</f>
        <v>1.208</v>
      </c>
      <c r="P1214" s="83" t="n">
        <f aca="false">N1214*O1214</f>
        <v>1.35296</v>
      </c>
      <c r="Q1214" s="20" t="s">
        <v>1001</v>
      </c>
      <c r="R1214" s="84" t="s">
        <v>667</v>
      </c>
      <c r="S1214" s="20" t="s">
        <v>1457</v>
      </c>
      <c r="T1214" s="20" t="s">
        <v>123</v>
      </c>
      <c r="U1214" s="53" t="n">
        <v>0</v>
      </c>
      <c r="V1214" s="76" t="s">
        <v>998</v>
      </c>
      <c r="W1214" s="53" t="n">
        <v>3</v>
      </c>
    </row>
    <row r="1215" customFormat="false" ht="35.05" hidden="false" customHeight="false" outlineLevel="0" collapsed="false">
      <c r="A1215" s="76" t="n">
        <v>1190</v>
      </c>
      <c r="B1215" s="20" t="s">
        <v>1526</v>
      </c>
      <c r="C1215" s="20" t="s">
        <v>912</v>
      </c>
      <c r="D1215" s="20" t="s">
        <v>994</v>
      </c>
      <c r="E1215" s="20" t="s">
        <v>1669</v>
      </c>
      <c r="F1215" s="76" t="s">
        <v>544</v>
      </c>
      <c r="G1215" s="20" t="s">
        <v>1458</v>
      </c>
      <c r="H1215" s="55" t="n">
        <v>10</v>
      </c>
      <c r="I1215" s="76" t="s">
        <v>546</v>
      </c>
      <c r="J1215" s="76" t="n">
        <v>400</v>
      </c>
      <c r="K1215" s="82" t="n">
        <v>1</v>
      </c>
      <c r="L1215" s="55" t="n">
        <v>119</v>
      </c>
      <c r="M1215" s="73" t="n">
        <v>0.7</v>
      </c>
      <c r="N1215" s="74" t="n">
        <f aca="false">K1215*L1215*M1215</f>
        <v>83.3</v>
      </c>
      <c r="O1215" s="41" t="n">
        <f aca="false">IFERROR(INDEX(Исходные!$B$21:$B$33,MATCH(H1215,Исходные!$A$21:$A$33,0)),0)</f>
        <v>0.617</v>
      </c>
      <c r="P1215" s="83" t="n">
        <f aca="false">N1215*O1215</f>
        <v>51.3961</v>
      </c>
      <c r="Q1215" s="20" t="s">
        <v>1008</v>
      </c>
      <c r="R1215" s="84" t="s">
        <v>514</v>
      </c>
      <c r="S1215" s="20"/>
      <c r="T1215" s="20" t="s">
        <v>123</v>
      </c>
      <c r="U1215" s="53" t="n">
        <v>0</v>
      </c>
      <c r="V1215" s="76" t="s">
        <v>998</v>
      </c>
      <c r="W1215" s="53" t="n">
        <v>3</v>
      </c>
    </row>
    <row r="1216" customFormat="false" ht="35.05" hidden="false" customHeight="false" outlineLevel="0" collapsed="false">
      <c r="A1216" s="76" t="n">
        <v>1191</v>
      </c>
      <c r="B1216" s="20" t="s">
        <v>1526</v>
      </c>
      <c r="C1216" s="20" t="s">
        <v>912</v>
      </c>
      <c r="D1216" s="20" t="s">
        <v>1009</v>
      </c>
      <c r="E1216" s="20" t="s">
        <v>1010</v>
      </c>
      <c r="F1216" s="76" t="s">
        <v>1010</v>
      </c>
      <c r="G1216" s="20" t="s">
        <v>1459</v>
      </c>
      <c r="H1216" s="55" t="n">
        <v>10</v>
      </c>
      <c r="I1216" s="76" t="s">
        <v>546</v>
      </c>
      <c r="J1216" s="76" t="s">
        <v>1012</v>
      </c>
      <c r="K1216" s="82" t="n">
        <v>1</v>
      </c>
      <c r="L1216" s="55" t="n">
        <v>847</v>
      </c>
      <c r="M1216" s="73" t="n">
        <v>0.42</v>
      </c>
      <c r="N1216" s="74" t="n">
        <f aca="false">K1216*L1216*M1216</f>
        <v>355.74</v>
      </c>
      <c r="O1216" s="41" t="n">
        <f aca="false">IFERROR(INDEX(Исходные!$B$21:$B$33,MATCH(H1216,Исходные!$A$21:$A$33,0)),0)</f>
        <v>0.617</v>
      </c>
      <c r="P1216" s="83" t="n">
        <f aca="false">N1216*O1216</f>
        <v>219.49158</v>
      </c>
      <c r="Q1216" s="20" t="s">
        <v>1460</v>
      </c>
      <c r="R1216" s="86" t="s">
        <v>1014</v>
      </c>
      <c r="S1216" s="20"/>
      <c r="T1216" s="20" t="s">
        <v>123</v>
      </c>
      <c r="U1216" s="53" t="n">
        <v>1</v>
      </c>
      <c r="V1216" s="76" t="s">
        <v>1015</v>
      </c>
      <c r="W1216" s="53" t="n">
        <v>3</v>
      </c>
    </row>
    <row r="1217" customFormat="false" ht="35.05" hidden="false" customHeight="false" outlineLevel="0" collapsed="false">
      <c r="A1217" s="76" t="n">
        <v>1192</v>
      </c>
      <c r="B1217" s="20" t="s">
        <v>1526</v>
      </c>
      <c r="C1217" s="20" t="s">
        <v>912</v>
      </c>
      <c r="D1217" s="20" t="s">
        <v>1009</v>
      </c>
      <c r="E1217" s="20" t="s">
        <v>1016</v>
      </c>
      <c r="F1217" s="76" t="s">
        <v>1016</v>
      </c>
      <c r="G1217" s="20" t="s">
        <v>1017</v>
      </c>
      <c r="H1217" s="55" t="n">
        <v>8</v>
      </c>
      <c r="I1217" s="76" t="s">
        <v>546</v>
      </c>
      <c r="J1217" s="76" t="s">
        <v>1018</v>
      </c>
      <c r="K1217" s="82" t="n">
        <v>1</v>
      </c>
      <c r="L1217" s="55" t="n">
        <v>847</v>
      </c>
      <c r="M1217" s="73" t="n">
        <v>0.22</v>
      </c>
      <c r="N1217" s="74" t="n">
        <f aca="false">K1217*L1217*M1217</f>
        <v>186.34</v>
      </c>
      <c r="O1217" s="41" t="n">
        <f aca="false">IFERROR(INDEX(Исходные!$B$21:$B$33,MATCH(H1217,Исходные!$A$21:$A$33,0)),0)</f>
        <v>0.395</v>
      </c>
      <c r="P1217" s="83" t="n">
        <f aca="false">N1217*O1217</f>
        <v>73.6043</v>
      </c>
      <c r="Q1217" s="20" t="s">
        <v>1461</v>
      </c>
      <c r="R1217" s="86" t="s">
        <v>1014</v>
      </c>
      <c r="S1217" s="20"/>
      <c r="T1217" s="20" t="s">
        <v>123</v>
      </c>
      <c r="U1217" s="53" t="n">
        <v>1</v>
      </c>
      <c r="V1217" s="76" t="s">
        <v>1015</v>
      </c>
      <c r="W1217" s="53" t="n">
        <v>3</v>
      </c>
    </row>
    <row r="1218" customFormat="false" ht="15" hidden="false" customHeight="true" outlineLevel="0" collapsed="false">
      <c r="A1218" s="81" t="s">
        <v>1671</v>
      </c>
      <c r="B1218" s="81"/>
      <c r="C1218" s="81"/>
      <c r="D1218" s="81"/>
      <c r="E1218" s="81"/>
      <c r="F1218" s="81"/>
      <c r="G1218" s="81"/>
      <c r="H1218" s="81"/>
      <c r="I1218" s="81"/>
      <c r="J1218" s="81"/>
      <c r="K1218" s="81"/>
      <c r="L1218" s="81"/>
      <c r="M1218" s="81"/>
      <c r="N1218" s="81"/>
      <c r="O1218" s="81"/>
      <c r="P1218" s="81"/>
      <c r="Q1218" s="81"/>
      <c r="R1218" s="81"/>
      <c r="S1218" s="81"/>
      <c r="T1218" s="81"/>
      <c r="U1218" s="81"/>
      <c r="V1218" s="81"/>
      <c r="W1218" s="81"/>
    </row>
    <row r="1219" customFormat="false" ht="35.05" hidden="false" customHeight="false" outlineLevel="0" collapsed="false">
      <c r="A1219" s="76" t="n">
        <v>1193</v>
      </c>
      <c r="B1219" s="20" t="s">
        <v>1526</v>
      </c>
      <c r="C1219" s="20" t="s">
        <v>1021</v>
      </c>
      <c r="D1219" s="20" t="s">
        <v>1022</v>
      </c>
      <c r="E1219" s="20" t="s">
        <v>1023</v>
      </c>
      <c r="F1219" s="76" t="s">
        <v>522</v>
      </c>
      <c r="G1219" s="20" t="s">
        <v>1024</v>
      </c>
      <c r="H1219" s="55" t="n">
        <v>25</v>
      </c>
      <c r="I1219" s="76" t="s">
        <v>512</v>
      </c>
      <c r="J1219" s="76" t="s">
        <v>164</v>
      </c>
      <c r="K1219" s="82" t="n">
        <v>1</v>
      </c>
      <c r="L1219" s="55" t="n">
        <v>4</v>
      </c>
      <c r="M1219" s="73" t="n">
        <v>20.4</v>
      </c>
      <c r="N1219" s="74" t="n">
        <f aca="false">K1219*L1219*M1219</f>
        <v>81.6</v>
      </c>
      <c r="O1219" s="41" t="n">
        <f aca="false">IFERROR(INDEX(Исходные!$B$21:$B$33,MATCH(H1219,Исходные!$A$21:$A$33,0)),0)</f>
        <v>3.853</v>
      </c>
      <c r="P1219" s="83" t="n">
        <f aca="false">N1219*O1219</f>
        <v>314.4048</v>
      </c>
      <c r="Q1219" s="20" t="s">
        <v>1672</v>
      </c>
      <c r="R1219" s="84" t="s">
        <v>660</v>
      </c>
      <c r="S1219" s="20" t="s">
        <v>832</v>
      </c>
      <c r="T1219" s="20" t="s">
        <v>123</v>
      </c>
      <c r="U1219" s="53" t="n">
        <v>0</v>
      </c>
      <c r="V1219" s="76" t="s">
        <v>1026</v>
      </c>
      <c r="W1219" s="53" t="n">
        <v>3</v>
      </c>
    </row>
    <row r="1220" customFormat="false" ht="35.05" hidden="false" customHeight="false" outlineLevel="0" collapsed="false">
      <c r="A1220" s="76" t="n">
        <v>1194</v>
      </c>
      <c r="B1220" s="20" t="s">
        <v>1526</v>
      </c>
      <c r="C1220" s="20" t="s">
        <v>1021</v>
      </c>
      <c r="D1220" s="20" t="s">
        <v>1027</v>
      </c>
      <c r="E1220" s="20" t="s">
        <v>1023</v>
      </c>
      <c r="F1220" s="76" t="s">
        <v>522</v>
      </c>
      <c r="G1220" s="20" t="s">
        <v>1028</v>
      </c>
      <c r="H1220" s="55" t="n">
        <v>25</v>
      </c>
      <c r="I1220" s="76" t="s">
        <v>512</v>
      </c>
      <c r="J1220" s="76" t="s">
        <v>164</v>
      </c>
      <c r="K1220" s="82" t="n">
        <v>1</v>
      </c>
      <c r="L1220" s="55" t="n">
        <v>4</v>
      </c>
      <c r="M1220" s="73" t="n">
        <v>20.4</v>
      </c>
      <c r="N1220" s="74" t="n">
        <f aca="false">K1220*L1220*M1220</f>
        <v>81.6</v>
      </c>
      <c r="O1220" s="41" t="n">
        <f aca="false">IFERROR(INDEX(Исходные!$B$21:$B$33,MATCH(H1220,Исходные!$A$21:$A$33,0)),0)</f>
        <v>3.853</v>
      </c>
      <c r="P1220" s="83" t="n">
        <f aca="false">N1220*O1220</f>
        <v>314.4048</v>
      </c>
      <c r="Q1220" s="20" t="s">
        <v>1672</v>
      </c>
      <c r="R1220" s="84" t="s">
        <v>660</v>
      </c>
      <c r="S1220" s="20" t="s">
        <v>832</v>
      </c>
      <c r="T1220" s="20" t="s">
        <v>123</v>
      </c>
      <c r="U1220" s="53" t="n">
        <v>0</v>
      </c>
      <c r="V1220" s="76" t="s">
        <v>1026</v>
      </c>
      <c r="W1220" s="53" t="n">
        <v>3</v>
      </c>
    </row>
    <row r="1221" customFormat="false" ht="35.05" hidden="false" customHeight="false" outlineLevel="0" collapsed="false">
      <c r="A1221" s="76" t="n">
        <v>1195</v>
      </c>
      <c r="B1221" s="20" t="s">
        <v>1526</v>
      </c>
      <c r="C1221" s="20" t="s">
        <v>1021</v>
      </c>
      <c r="D1221" s="20" t="s">
        <v>1029</v>
      </c>
      <c r="E1221" s="20" t="s">
        <v>1023</v>
      </c>
      <c r="F1221" s="76" t="s">
        <v>522</v>
      </c>
      <c r="G1221" s="20" t="s">
        <v>1030</v>
      </c>
      <c r="H1221" s="55" t="n">
        <v>25</v>
      </c>
      <c r="I1221" s="76" t="s">
        <v>512</v>
      </c>
      <c r="J1221" s="76" t="s">
        <v>164</v>
      </c>
      <c r="K1221" s="82" t="n">
        <v>1</v>
      </c>
      <c r="L1221" s="55" t="n">
        <v>4</v>
      </c>
      <c r="M1221" s="73" t="n">
        <v>13.9</v>
      </c>
      <c r="N1221" s="74" t="n">
        <f aca="false">K1221*L1221*M1221</f>
        <v>55.6</v>
      </c>
      <c r="O1221" s="41" t="n">
        <f aca="false">IFERROR(INDEX(Исходные!$B$21:$B$33,MATCH(H1221,Исходные!$A$21:$A$33,0)),0)</f>
        <v>3.853</v>
      </c>
      <c r="P1221" s="83" t="n">
        <f aca="false">N1221*O1221</f>
        <v>214.2268</v>
      </c>
      <c r="Q1221" s="20" t="s">
        <v>1672</v>
      </c>
      <c r="R1221" s="84" t="s">
        <v>660</v>
      </c>
      <c r="S1221" s="20" t="s">
        <v>832</v>
      </c>
      <c r="T1221" s="20" t="s">
        <v>123</v>
      </c>
      <c r="U1221" s="53" t="n">
        <v>0</v>
      </c>
      <c r="V1221" s="76" t="s">
        <v>1026</v>
      </c>
      <c r="W1221" s="53" t="n">
        <v>3</v>
      </c>
    </row>
    <row r="1222" customFormat="false" ht="35.05" hidden="false" customHeight="false" outlineLevel="0" collapsed="false">
      <c r="A1222" s="76" t="n">
        <v>1196</v>
      </c>
      <c r="B1222" s="20" t="s">
        <v>1526</v>
      </c>
      <c r="C1222" s="20" t="s">
        <v>1021</v>
      </c>
      <c r="D1222" s="20" t="s">
        <v>1031</v>
      </c>
      <c r="E1222" s="20" t="s">
        <v>1023</v>
      </c>
      <c r="F1222" s="76" t="s">
        <v>522</v>
      </c>
      <c r="G1222" s="20" t="s">
        <v>1032</v>
      </c>
      <c r="H1222" s="55" t="n">
        <v>25</v>
      </c>
      <c r="I1222" s="76" t="s">
        <v>512</v>
      </c>
      <c r="J1222" s="76" t="s">
        <v>164</v>
      </c>
      <c r="K1222" s="82" t="n">
        <v>1</v>
      </c>
      <c r="L1222" s="55" t="n">
        <v>4</v>
      </c>
      <c r="M1222" s="73" t="n">
        <v>20.4</v>
      </c>
      <c r="N1222" s="74" t="n">
        <f aca="false">K1222*L1222*M1222</f>
        <v>81.6</v>
      </c>
      <c r="O1222" s="41" t="n">
        <f aca="false">IFERROR(INDEX(Исходные!$B$21:$B$33,MATCH(H1222,Исходные!$A$21:$A$33,0)),0)</f>
        <v>3.853</v>
      </c>
      <c r="P1222" s="83" t="n">
        <f aca="false">N1222*O1222</f>
        <v>314.4048</v>
      </c>
      <c r="Q1222" s="20" t="s">
        <v>1672</v>
      </c>
      <c r="R1222" s="84" t="s">
        <v>660</v>
      </c>
      <c r="S1222" s="20" t="s">
        <v>832</v>
      </c>
      <c r="T1222" s="20" t="s">
        <v>123</v>
      </c>
      <c r="U1222" s="53" t="n">
        <v>0</v>
      </c>
      <c r="V1222" s="76" t="s">
        <v>1026</v>
      </c>
      <c r="W1222" s="53" t="n">
        <v>3</v>
      </c>
    </row>
    <row r="1223" customFormat="false" ht="35.05" hidden="false" customHeight="false" outlineLevel="0" collapsed="false">
      <c r="A1223" s="76" t="n">
        <v>1197</v>
      </c>
      <c r="B1223" s="20" t="s">
        <v>1526</v>
      </c>
      <c r="C1223" s="20" t="s">
        <v>1021</v>
      </c>
      <c r="D1223" s="20" t="s">
        <v>1033</v>
      </c>
      <c r="E1223" s="20" t="s">
        <v>1023</v>
      </c>
      <c r="F1223" s="76" t="s">
        <v>522</v>
      </c>
      <c r="G1223" s="20" t="s">
        <v>1034</v>
      </c>
      <c r="H1223" s="55" t="n">
        <v>25</v>
      </c>
      <c r="I1223" s="76" t="s">
        <v>512</v>
      </c>
      <c r="J1223" s="76" t="s">
        <v>164</v>
      </c>
      <c r="K1223" s="82" t="n">
        <v>1</v>
      </c>
      <c r="L1223" s="55" t="n">
        <v>4</v>
      </c>
      <c r="M1223" s="73" t="n">
        <v>25.4</v>
      </c>
      <c r="N1223" s="74" t="n">
        <f aca="false">K1223*L1223*M1223</f>
        <v>101.6</v>
      </c>
      <c r="O1223" s="41" t="n">
        <f aca="false">IFERROR(INDEX(Исходные!$B$21:$B$33,MATCH(H1223,Исходные!$A$21:$A$33,0)),0)</f>
        <v>3.853</v>
      </c>
      <c r="P1223" s="83" t="n">
        <f aca="false">N1223*O1223</f>
        <v>391.4648</v>
      </c>
      <c r="Q1223" s="20" t="s">
        <v>1672</v>
      </c>
      <c r="R1223" s="84" t="s">
        <v>660</v>
      </c>
      <c r="S1223" s="20" t="s">
        <v>661</v>
      </c>
      <c r="T1223" s="20" t="s">
        <v>123</v>
      </c>
      <c r="U1223" s="53" t="n">
        <v>0</v>
      </c>
      <c r="V1223" s="76" t="s">
        <v>1026</v>
      </c>
      <c r="W1223" s="53" t="n">
        <v>3</v>
      </c>
    </row>
    <row r="1224" customFormat="false" ht="35.05" hidden="false" customHeight="false" outlineLevel="0" collapsed="false">
      <c r="A1224" s="76" t="n">
        <v>1198</v>
      </c>
      <c r="B1224" s="20" t="s">
        <v>1526</v>
      </c>
      <c r="C1224" s="20" t="s">
        <v>1021</v>
      </c>
      <c r="D1224" s="20" t="s">
        <v>1035</v>
      </c>
      <c r="E1224" s="20" t="s">
        <v>1023</v>
      </c>
      <c r="F1224" s="76" t="s">
        <v>522</v>
      </c>
      <c r="G1224" s="20" t="s">
        <v>1036</v>
      </c>
      <c r="H1224" s="55" t="n">
        <v>25</v>
      </c>
      <c r="I1224" s="76" t="s">
        <v>512</v>
      </c>
      <c r="J1224" s="76" t="s">
        <v>164</v>
      </c>
      <c r="K1224" s="82" t="n">
        <v>1</v>
      </c>
      <c r="L1224" s="55" t="n">
        <v>4</v>
      </c>
      <c r="M1224" s="73" t="n">
        <v>25.4</v>
      </c>
      <c r="N1224" s="74" t="n">
        <f aca="false">K1224*L1224*M1224</f>
        <v>101.6</v>
      </c>
      <c r="O1224" s="41" t="n">
        <f aca="false">IFERROR(INDEX(Исходные!$B$21:$B$33,MATCH(H1224,Исходные!$A$21:$A$33,0)),0)</f>
        <v>3.853</v>
      </c>
      <c r="P1224" s="83" t="n">
        <f aca="false">N1224*O1224</f>
        <v>391.4648</v>
      </c>
      <c r="Q1224" s="20" t="s">
        <v>1672</v>
      </c>
      <c r="R1224" s="84" t="s">
        <v>660</v>
      </c>
      <c r="S1224" s="20" t="s">
        <v>661</v>
      </c>
      <c r="T1224" s="20" t="s">
        <v>123</v>
      </c>
      <c r="U1224" s="53" t="n">
        <v>0</v>
      </c>
      <c r="V1224" s="76" t="s">
        <v>1026</v>
      </c>
      <c r="W1224" s="53" t="n">
        <v>3</v>
      </c>
    </row>
    <row r="1225" customFormat="false" ht="35.05" hidden="false" customHeight="false" outlineLevel="0" collapsed="false">
      <c r="A1225" s="76" t="n">
        <v>1199</v>
      </c>
      <c r="B1225" s="20" t="s">
        <v>1526</v>
      </c>
      <c r="C1225" s="20" t="s">
        <v>1021</v>
      </c>
      <c r="D1225" s="20" t="s">
        <v>1037</v>
      </c>
      <c r="E1225" s="20" t="s">
        <v>1023</v>
      </c>
      <c r="F1225" s="76" t="s">
        <v>522</v>
      </c>
      <c r="G1225" s="20" t="s">
        <v>1038</v>
      </c>
      <c r="H1225" s="55" t="n">
        <v>25</v>
      </c>
      <c r="I1225" s="76" t="s">
        <v>512</v>
      </c>
      <c r="J1225" s="76" t="s">
        <v>164</v>
      </c>
      <c r="K1225" s="82" t="n">
        <v>1</v>
      </c>
      <c r="L1225" s="55" t="n">
        <v>4</v>
      </c>
      <c r="M1225" s="73" t="n">
        <v>13.9</v>
      </c>
      <c r="N1225" s="74" t="n">
        <f aca="false">K1225*L1225*M1225</f>
        <v>55.6</v>
      </c>
      <c r="O1225" s="41" t="n">
        <f aca="false">IFERROR(INDEX(Исходные!$B$21:$B$33,MATCH(H1225,Исходные!$A$21:$A$33,0)),0)</f>
        <v>3.853</v>
      </c>
      <c r="P1225" s="83" t="n">
        <f aca="false">N1225*O1225</f>
        <v>214.2268</v>
      </c>
      <c r="Q1225" s="20" t="s">
        <v>1672</v>
      </c>
      <c r="R1225" s="84" t="s">
        <v>660</v>
      </c>
      <c r="S1225" s="20" t="s">
        <v>832</v>
      </c>
      <c r="T1225" s="20" t="s">
        <v>123</v>
      </c>
      <c r="U1225" s="53" t="n">
        <v>0</v>
      </c>
      <c r="V1225" s="76" t="s">
        <v>1026</v>
      </c>
      <c r="W1225" s="53" t="n">
        <v>3</v>
      </c>
    </row>
    <row r="1226" customFormat="false" ht="35.05" hidden="false" customHeight="false" outlineLevel="0" collapsed="false">
      <c r="A1226" s="76" t="n">
        <v>1200</v>
      </c>
      <c r="B1226" s="20" t="s">
        <v>1526</v>
      </c>
      <c r="C1226" s="20" t="s">
        <v>1021</v>
      </c>
      <c r="D1226" s="20" t="s">
        <v>1039</v>
      </c>
      <c r="E1226" s="20" t="s">
        <v>1040</v>
      </c>
      <c r="F1226" s="76" t="s">
        <v>522</v>
      </c>
      <c r="G1226" s="20" t="s">
        <v>1041</v>
      </c>
      <c r="H1226" s="55" t="n">
        <v>25</v>
      </c>
      <c r="I1226" s="76" t="s">
        <v>512</v>
      </c>
      <c r="J1226" s="76" t="s">
        <v>164</v>
      </c>
      <c r="K1226" s="82" t="n">
        <v>1</v>
      </c>
      <c r="L1226" s="55" t="n">
        <v>4</v>
      </c>
      <c r="M1226" s="73" t="n">
        <v>11.9</v>
      </c>
      <c r="N1226" s="74" t="n">
        <f aca="false">K1226*L1226*M1226</f>
        <v>47.6</v>
      </c>
      <c r="O1226" s="41" t="n">
        <f aca="false">IFERROR(INDEX(Исходные!$B$21:$B$33,MATCH(H1226,Исходные!$A$21:$A$33,0)),0)</f>
        <v>3.853</v>
      </c>
      <c r="P1226" s="83" t="n">
        <f aca="false">N1226*O1226</f>
        <v>183.4028</v>
      </c>
      <c r="Q1226" s="20" t="s">
        <v>1673</v>
      </c>
      <c r="R1226" s="84" t="s">
        <v>660</v>
      </c>
      <c r="S1226" s="20" t="s">
        <v>832</v>
      </c>
      <c r="T1226" s="20" t="s">
        <v>123</v>
      </c>
      <c r="U1226" s="53" t="n">
        <v>0</v>
      </c>
      <c r="V1226" s="76" t="s">
        <v>1026</v>
      </c>
      <c r="W1226" s="53" t="n">
        <v>3</v>
      </c>
    </row>
    <row r="1227" customFormat="false" ht="35.05" hidden="false" customHeight="false" outlineLevel="0" collapsed="false">
      <c r="A1227" s="76" t="n">
        <v>1201</v>
      </c>
      <c r="B1227" s="20" t="s">
        <v>1526</v>
      </c>
      <c r="C1227" s="20" t="s">
        <v>1021</v>
      </c>
      <c r="D1227" s="20" t="s">
        <v>1043</v>
      </c>
      <c r="E1227" s="20" t="s">
        <v>1044</v>
      </c>
      <c r="F1227" s="76" t="s">
        <v>522</v>
      </c>
      <c r="G1227" s="20" t="s">
        <v>1045</v>
      </c>
      <c r="H1227" s="55" t="n">
        <v>25</v>
      </c>
      <c r="I1227" s="76" t="s">
        <v>512</v>
      </c>
      <c r="J1227" s="76" t="s">
        <v>164</v>
      </c>
      <c r="K1227" s="82" t="n">
        <v>1</v>
      </c>
      <c r="L1227" s="55" t="n">
        <v>4</v>
      </c>
      <c r="M1227" s="73" t="n">
        <v>3.785</v>
      </c>
      <c r="N1227" s="74" t="n">
        <f aca="false">K1227*L1227*M1227</f>
        <v>15.14</v>
      </c>
      <c r="O1227" s="41" t="n">
        <f aca="false">IFERROR(INDEX(Исходные!$B$21:$B$33,MATCH(H1227,Исходные!$A$21:$A$33,0)),0)</f>
        <v>3.853</v>
      </c>
      <c r="P1227" s="83" t="n">
        <f aca="false">N1227*O1227</f>
        <v>58.33442</v>
      </c>
      <c r="Q1227" s="20" t="s">
        <v>1674</v>
      </c>
      <c r="R1227" s="84" t="s">
        <v>660</v>
      </c>
      <c r="S1227" s="20"/>
      <c r="T1227" s="20" t="s">
        <v>123</v>
      </c>
      <c r="U1227" s="53" t="n">
        <v>0</v>
      </c>
      <c r="V1227" s="76" t="s">
        <v>1026</v>
      </c>
      <c r="W1227" s="53" t="n">
        <v>3</v>
      </c>
    </row>
    <row r="1228" customFormat="false" ht="35.05" hidden="false" customHeight="false" outlineLevel="0" collapsed="false">
      <c r="A1228" s="76" t="n">
        <v>1202</v>
      </c>
      <c r="B1228" s="20" t="s">
        <v>1526</v>
      </c>
      <c r="C1228" s="20" t="s">
        <v>1021</v>
      </c>
      <c r="D1228" s="20" t="s">
        <v>1047</v>
      </c>
      <c r="E1228" s="20" t="s">
        <v>1044</v>
      </c>
      <c r="F1228" s="76" t="s">
        <v>522</v>
      </c>
      <c r="G1228" s="20" t="s">
        <v>1048</v>
      </c>
      <c r="H1228" s="55" t="n">
        <v>25</v>
      </c>
      <c r="I1228" s="76" t="s">
        <v>512</v>
      </c>
      <c r="J1228" s="76" t="s">
        <v>164</v>
      </c>
      <c r="K1228" s="82" t="n">
        <v>1</v>
      </c>
      <c r="L1228" s="55" t="n">
        <v>4</v>
      </c>
      <c r="M1228" s="73" t="n">
        <v>3.365</v>
      </c>
      <c r="N1228" s="74" t="n">
        <f aca="false">K1228*L1228*M1228</f>
        <v>13.46</v>
      </c>
      <c r="O1228" s="41" t="n">
        <f aca="false">IFERROR(INDEX(Исходные!$B$21:$B$33,MATCH(H1228,Исходные!$A$21:$A$33,0)),0)</f>
        <v>3.853</v>
      </c>
      <c r="P1228" s="83" t="n">
        <f aca="false">N1228*O1228</f>
        <v>51.86138</v>
      </c>
      <c r="Q1228" s="20" t="s">
        <v>1674</v>
      </c>
      <c r="R1228" s="84" t="s">
        <v>660</v>
      </c>
      <c r="S1228" s="20"/>
      <c r="T1228" s="20" t="s">
        <v>123</v>
      </c>
      <c r="U1228" s="53" t="n">
        <v>0</v>
      </c>
      <c r="V1228" s="76" t="s">
        <v>1026</v>
      </c>
      <c r="W1228" s="53" t="n">
        <v>3</v>
      </c>
    </row>
    <row r="1229" customFormat="false" ht="35.05" hidden="false" customHeight="false" outlineLevel="0" collapsed="false">
      <c r="A1229" s="76" t="n">
        <v>1203</v>
      </c>
      <c r="B1229" s="20" t="s">
        <v>1526</v>
      </c>
      <c r="C1229" s="20" t="s">
        <v>1021</v>
      </c>
      <c r="D1229" s="20" t="s">
        <v>1049</v>
      </c>
      <c r="E1229" s="20" t="s">
        <v>1050</v>
      </c>
      <c r="F1229" s="76" t="s">
        <v>516</v>
      </c>
      <c r="G1229" s="20" t="s">
        <v>1051</v>
      </c>
      <c r="H1229" s="55" t="n">
        <v>20</v>
      </c>
      <c r="I1229" s="76" t="s">
        <v>512</v>
      </c>
      <c r="J1229" s="76" t="s">
        <v>164</v>
      </c>
      <c r="K1229" s="82" t="n">
        <v>1</v>
      </c>
      <c r="L1229" s="55" t="n">
        <v>4</v>
      </c>
      <c r="M1229" s="73" t="n">
        <v>3.05</v>
      </c>
      <c r="N1229" s="74" t="n">
        <f aca="false">K1229*L1229*M1229</f>
        <v>12.2</v>
      </c>
      <c r="O1229" s="41" t="n">
        <f aca="false">IFERROR(INDEX(Исходные!$B$21:$B$33,MATCH(H1229,Исходные!$A$21:$A$33,0)),0)</f>
        <v>2.466</v>
      </c>
      <c r="P1229" s="83" t="n">
        <f aca="false">N1229*O1229</f>
        <v>30.0852</v>
      </c>
      <c r="Q1229" s="20" t="s">
        <v>1675</v>
      </c>
      <c r="R1229" s="84" t="s">
        <v>660</v>
      </c>
      <c r="S1229" s="20"/>
      <c r="T1229" s="20" t="s">
        <v>123</v>
      </c>
      <c r="U1229" s="53" t="n">
        <v>0</v>
      </c>
      <c r="V1229" s="76" t="s">
        <v>1026</v>
      </c>
      <c r="W1229" s="53" t="n">
        <v>3</v>
      </c>
    </row>
    <row r="1230" customFormat="false" ht="35.05" hidden="false" customHeight="false" outlineLevel="0" collapsed="false">
      <c r="A1230" s="76" t="n">
        <v>1204</v>
      </c>
      <c r="B1230" s="20" t="s">
        <v>1526</v>
      </c>
      <c r="C1230" s="20" t="s">
        <v>1021</v>
      </c>
      <c r="D1230" s="20" t="s">
        <v>1053</v>
      </c>
      <c r="E1230" s="20" t="s">
        <v>1050</v>
      </c>
      <c r="F1230" s="76" t="s">
        <v>516</v>
      </c>
      <c r="G1230" s="20" t="s">
        <v>1054</v>
      </c>
      <c r="H1230" s="55" t="n">
        <v>20</v>
      </c>
      <c r="I1230" s="76" t="s">
        <v>512</v>
      </c>
      <c r="J1230" s="76" t="s">
        <v>164</v>
      </c>
      <c r="K1230" s="82" t="n">
        <v>1</v>
      </c>
      <c r="L1230" s="55" t="n">
        <v>4</v>
      </c>
      <c r="M1230" s="73" t="n">
        <v>3.785</v>
      </c>
      <c r="N1230" s="74" t="n">
        <f aca="false">K1230*L1230*M1230</f>
        <v>15.14</v>
      </c>
      <c r="O1230" s="41" t="n">
        <f aca="false">IFERROR(INDEX(Исходные!$B$21:$B$33,MATCH(H1230,Исходные!$A$21:$A$33,0)),0)</f>
        <v>2.466</v>
      </c>
      <c r="P1230" s="83" t="n">
        <f aca="false">N1230*O1230</f>
        <v>37.33524</v>
      </c>
      <c r="Q1230" s="20" t="s">
        <v>1675</v>
      </c>
      <c r="R1230" s="84" t="s">
        <v>660</v>
      </c>
      <c r="S1230" s="20"/>
      <c r="T1230" s="20" t="s">
        <v>123</v>
      </c>
      <c r="U1230" s="53" t="n">
        <v>0</v>
      </c>
      <c r="V1230" s="76" t="s">
        <v>1026</v>
      </c>
      <c r="W1230" s="53" t="n">
        <v>3</v>
      </c>
    </row>
    <row r="1231" customFormat="false" ht="35.05" hidden="false" customHeight="false" outlineLevel="0" collapsed="false">
      <c r="A1231" s="76" t="n">
        <v>1205</v>
      </c>
      <c r="B1231" s="20" t="s">
        <v>1526</v>
      </c>
      <c r="C1231" s="20" t="s">
        <v>1021</v>
      </c>
      <c r="D1231" s="20" t="s">
        <v>1055</v>
      </c>
      <c r="E1231" s="20" t="s">
        <v>1050</v>
      </c>
      <c r="F1231" s="76" t="s">
        <v>516</v>
      </c>
      <c r="G1231" s="20" t="s">
        <v>1056</v>
      </c>
      <c r="H1231" s="55" t="n">
        <v>20</v>
      </c>
      <c r="I1231" s="76" t="s">
        <v>512</v>
      </c>
      <c r="J1231" s="76" t="s">
        <v>164</v>
      </c>
      <c r="K1231" s="82" t="n">
        <v>1</v>
      </c>
      <c r="L1231" s="55" t="n">
        <v>4</v>
      </c>
      <c r="M1231" s="73" t="n">
        <v>4.1</v>
      </c>
      <c r="N1231" s="74" t="n">
        <f aca="false">K1231*L1231*M1231</f>
        <v>16.4</v>
      </c>
      <c r="O1231" s="41" t="n">
        <f aca="false">IFERROR(INDEX(Исходные!$B$21:$B$33,MATCH(H1231,Исходные!$A$21:$A$33,0)),0)</f>
        <v>2.466</v>
      </c>
      <c r="P1231" s="83" t="n">
        <f aca="false">N1231*O1231</f>
        <v>40.4424</v>
      </c>
      <c r="Q1231" s="20" t="s">
        <v>1675</v>
      </c>
      <c r="R1231" s="84" t="s">
        <v>660</v>
      </c>
      <c r="S1231" s="20"/>
      <c r="T1231" s="20" t="s">
        <v>123</v>
      </c>
      <c r="U1231" s="53" t="n">
        <v>0</v>
      </c>
      <c r="V1231" s="76" t="s">
        <v>1026</v>
      </c>
      <c r="W1231" s="53" t="n">
        <v>3</v>
      </c>
    </row>
    <row r="1232" customFormat="false" ht="35.05" hidden="false" customHeight="false" outlineLevel="0" collapsed="false">
      <c r="A1232" s="76" t="n">
        <v>1206</v>
      </c>
      <c r="B1232" s="20" t="s">
        <v>1526</v>
      </c>
      <c r="C1232" s="20" t="s">
        <v>1021</v>
      </c>
      <c r="D1232" s="20" t="s">
        <v>1057</v>
      </c>
      <c r="E1232" s="20" t="s">
        <v>1050</v>
      </c>
      <c r="F1232" s="76" t="s">
        <v>516</v>
      </c>
      <c r="G1232" s="20" t="s">
        <v>1058</v>
      </c>
      <c r="H1232" s="55" t="n">
        <v>20</v>
      </c>
      <c r="I1232" s="76" t="s">
        <v>512</v>
      </c>
      <c r="J1232" s="76" t="s">
        <v>164</v>
      </c>
      <c r="K1232" s="82" t="n">
        <v>1</v>
      </c>
      <c r="L1232" s="55" t="n">
        <v>4</v>
      </c>
      <c r="M1232" s="73" t="n">
        <v>3.325</v>
      </c>
      <c r="N1232" s="74" t="n">
        <f aca="false">K1232*L1232*M1232</f>
        <v>13.3</v>
      </c>
      <c r="O1232" s="41" t="n">
        <f aca="false">IFERROR(INDEX(Исходные!$B$21:$B$33,MATCH(H1232,Исходные!$A$21:$A$33,0)),0)</f>
        <v>2.466</v>
      </c>
      <c r="P1232" s="83" t="n">
        <f aca="false">N1232*O1232</f>
        <v>32.7978</v>
      </c>
      <c r="Q1232" s="20" t="s">
        <v>1675</v>
      </c>
      <c r="R1232" s="84" t="s">
        <v>660</v>
      </c>
      <c r="S1232" s="20"/>
      <c r="T1232" s="20" t="s">
        <v>123</v>
      </c>
      <c r="U1232" s="53" t="n">
        <v>0</v>
      </c>
      <c r="V1232" s="76" t="s">
        <v>1026</v>
      </c>
      <c r="W1232" s="53" t="n">
        <v>3</v>
      </c>
    </row>
    <row r="1233" customFormat="false" ht="46.25" hidden="false" customHeight="false" outlineLevel="0" collapsed="false">
      <c r="A1233" s="76" t="n">
        <v>1207</v>
      </c>
      <c r="B1233" s="20" t="s">
        <v>1526</v>
      </c>
      <c r="C1233" s="20" t="s">
        <v>1021</v>
      </c>
      <c r="D1233" s="20" t="s">
        <v>1676</v>
      </c>
      <c r="E1233" s="20" t="s">
        <v>1050</v>
      </c>
      <c r="F1233" s="76" t="s">
        <v>516</v>
      </c>
      <c r="G1233" s="20" t="s">
        <v>1468</v>
      </c>
      <c r="H1233" s="55" t="n">
        <v>20</v>
      </c>
      <c r="I1233" s="76" t="s">
        <v>512</v>
      </c>
      <c r="J1233" s="76" t="s">
        <v>164</v>
      </c>
      <c r="K1233" s="82" t="n">
        <v>1</v>
      </c>
      <c r="L1233" s="55" t="n">
        <v>4</v>
      </c>
      <c r="M1233" s="73" t="n">
        <v>3.78</v>
      </c>
      <c r="N1233" s="74" t="n">
        <f aca="false">K1233*L1233*M1233</f>
        <v>15.12</v>
      </c>
      <c r="O1233" s="41" t="n">
        <f aca="false">IFERROR(INDEX(Исходные!$B$21:$B$33,MATCH(H1233,Исходные!$A$21:$A$33,0)),0)</f>
        <v>2.466</v>
      </c>
      <c r="P1233" s="83" t="n">
        <f aca="false">N1233*O1233</f>
        <v>37.28592</v>
      </c>
      <c r="Q1233" s="20" t="s">
        <v>1675</v>
      </c>
      <c r="R1233" s="84" t="s">
        <v>660</v>
      </c>
      <c r="S1233" s="20"/>
      <c r="T1233" s="20" t="s">
        <v>123</v>
      </c>
      <c r="U1233" s="53" t="n">
        <v>0</v>
      </c>
      <c r="V1233" s="76" t="s">
        <v>1026</v>
      </c>
      <c r="W1233" s="53" t="n">
        <v>3</v>
      </c>
    </row>
    <row r="1234" customFormat="false" ht="46.25" hidden="false" customHeight="false" outlineLevel="0" collapsed="false">
      <c r="A1234" s="76" t="n">
        <v>1208</v>
      </c>
      <c r="B1234" s="20" t="s">
        <v>1526</v>
      </c>
      <c r="C1234" s="20" t="s">
        <v>1021</v>
      </c>
      <c r="D1234" s="20" t="s">
        <v>1469</v>
      </c>
      <c r="E1234" s="20" t="s">
        <v>1050</v>
      </c>
      <c r="F1234" s="76" t="s">
        <v>516</v>
      </c>
      <c r="G1234" s="20" t="s">
        <v>1470</v>
      </c>
      <c r="H1234" s="55" t="n">
        <v>20</v>
      </c>
      <c r="I1234" s="76" t="s">
        <v>512</v>
      </c>
      <c r="J1234" s="76" t="s">
        <v>164</v>
      </c>
      <c r="K1234" s="82" t="n">
        <v>1</v>
      </c>
      <c r="L1234" s="55" t="n">
        <v>4</v>
      </c>
      <c r="M1234" s="73" t="n">
        <v>3.59</v>
      </c>
      <c r="N1234" s="74" t="n">
        <f aca="false">K1234*L1234*M1234</f>
        <v>14.36</v>
      </c>
      <c r="O1234" s="41" t="n">
        <f aca="false">IFERROR(INDEX(Исходные!$B$21:$B$33,MATCH(H1234,Исходные!$A$21:$A$33,0)),0)</f>
        <v>2.466</v>
      </c>
      <c r="P1234" s="83" t="n">
        <f aca="false">N1234*O1234</f>
        <v>35.41176</v>
      </c>
      <c r="Q1234" s="20" t="s">
        <v>1675</v>
      </c>
      <c r="R1234" s="84" t="s">
        <v>660</v>
      </c>
      <c r="S1234" s="20"/>
      <c r="T1234" s="20" t="s">
        <v>123</v>
      </c>
      <c r="U1234" s="53" t="n">
        <v>0</v>
      </c>
      <c r="V1234" s="76" t="s">
        <v>1026</v>
      </c>
      <c r="W1234" s="53" t="n">
        <v>3</v>
      </c>
    </row>
    <row r="1235" customFormat="false" ht="35.05" hidden="false" customHeight="false" outlineLevel="0" collapsed="false">
      <c r="A1235" s="76" t="n">
        <v>1209</v>
      </c>
      <c r="B1235" s="20" t="s">
        <v>1526</v>
      </c>
      <c r="C1235" s="20" t="s">
        <v>1021</v>
      </c>
      <c r="D1235" s="20" t="s">
        <v>1059</v>
      </c>
      <c r="E1235" s="20" t="s">
        <v>1060</v>
      </c>
      <c r="F1235" s="76" t="s">
        <v>575</v>
      </c>
      <c r="G1235" s="20" t="s">
        <v>1061</v>
      </c>
      <c r="H1235" s="55" t="n">
        <v>22</v>
      </c>
      <c r="I1235" s="76" t="s">
        <v>512</v>
      </c>
      <c r="J1235" s="76" t="s">
        <v>164</v>
      </c>
      <c r="K1235" s="82" t="n">
        <v>1</v>
      </c>
      <c r="L1235" s="55" t="n">
        <v>4</v>
      </c>
      <c r="M1235" s="73" t="n">
        <v>2.175</v>
      </c>
      <c r="N1235" s="74" t="n">
        <f aca="false">K1235*L1235*M1235</f>
        <v>8.7</v>
      </c>
      <c r="O1235" s="41" t="n">
        <f aca="false">IFERROR(INDEX(Исходные!$B$21:$B$33,MATCH(H1235,Исходные!$A$21:$A$33,0)),0)</f>
        <v>2.984</v>
      </c>
      <c r="P1235" s="83" t="n">
        <f aca="false">N1235*O1235</f>
        <v>25.9608</v>
      </c>
      <c r="Q1235" s="20" t="s">
        <v>1471</v>
      </c>
      <c r="R1235" s="84" t="s">
        <v>660</v>
      </c>
      <c r="S1235" s="20"/>
      <c r="T1235" s="20" t="s">
        <v>123</v>
      </c>
      <c r="U1235" s="53" t="n">
        <v>0</v>
      </c>
      <c r="V1235" s="76" t="s">
        <v>1026</v>
      </c>
      <c r="W1235" s="53" t="n">
        <v>3</v>
      </c>
    </row>
    <row r="1236" customFormat="false" ht="35.05" hidden="false" customHeight="false" outlineLevel="0" collapsed="false">
      <c r="A1236" s="76" t="n">
        <v>1210</v>
      </c>
      <c r="B1236" s="20" t="s">
        <v>1526</v>
      </c>
      <c r="C1236" s="20" t="s">
        <v>1021</v>
      </c>
      <c r="D1236" s="20" t="s">
        <v>1059</v>
      </c>
      <c r="E1236" s="20" t="s">
        <v>1060</v>
      </c>
      <c r="F1236" s="76" t="s">
        <v>575</v>
      </c>
      <c r="G1236" s="20" t="s">
        <v>1063</v>
      </c>
      <c r="H1236" s="55" t="n">
        <v>22</v>
      </c>
      <c r="I1236" s="76" t="s">
        <v>512</v>
      </c>
      <c r="J1236" s="76" t="s">
        <v>164</v>
      </c>
      <c r="K1236" s="82" t="n">
        <v>1</v>
      </c>
      <c r="L1236" s="55" t="n">
        <v>4</v>
      </c>
      <c r="M1236" s="73" t="n">
        <v>4.15</v>
      </c>
      <c r="N1236" s="74" t="n">
        <f aca="false">K1236*L1236*M1236</f>
        <v>16.6</v>
      </c>
      <c r="O1236" s="41" t="n">
        <f aca="false">IFERROR(INDEX(Исходные!$B$21:$B$33,MATCH(H1236,Исходные!$A$21:$A$33,0)),0)</f>
        <v>2.984</v>
      </c>
      <c r="P1236" s="83" t="n">
        <f aca="false">N1236*O1236</f>
        <v>49.5344</v>
      </c>
      <c r="Q1236" s="20" t="s">
        <v>1471</v>
      </c>
      <c r="R1236" s="84" t="s">
        <v>660</v>
      </c>
      <c r="S1236" s="20"/>
      <c r="T1236" s="20" t="s">
        <v>123</v>
      </c>
      <c r="U1236" s="53" t="n">
        <v>0</v>
      </c>
      <c r="V1236" s="76" t="s">
        <v>1026</v>
      </c>
      <c r="W1236" s="53" t="n">
        <v>3</v>
      </c>
    </row>
    <row r="1237" customFormat="false" ht="35.05" hidden="false" customHeight="false" outlineLevel="0" collapsed="false">
      <c r="A1237" s="76" t="n">
        <v>1211</v>
      </c>
      <c r="B1237" s="20" t="s">
        <v>1526</v>
      </c>
      <c r="C1237" s="20" t="s">
        <v>1021</v>
      </c>
      <c r="D1237" s="20" t="s">
        <v>1059</v>
      </c>
      <c r="E1237" s="20" t="s">
        <v>1060</v>
      </c>
      <c r="F1237" s="76" t="s">
        <v>575</v>
      </c>
      <c r="G1237" s="20" t="s">
        <v>1064</v>
      </c>
      <c r="H1237" s="55" t="n">
        <v>22</v>
      </c>
      <c r="I1237" s="76" t="s">
        <v>512</v>
      </c>
      <c r="J1237" s="76" t="s">
        <v>164</v>
      </c>
      <c r="K1237" s="82" t="n">
        <v>1</v>
      </c>
      <c r="L1237" s="55" t="n">
        <v>4</v>
      </c>
      <c r="M1237" s="73" t="n">
        <v>2.175</v>
      </c>
      <c r="N1237" s="74" t="n">
        <f aca="false">K1237*L1237*M1237</f>
        <v>8.7</v>
      </c>
      <c r="O1237" s="41" t="n">
        <f aca="false">IFERROR(INDEX(Исходные!$B$21:$B$33,MATCH(H1237,Исходные!$A$21:$A$33,0)),0)</f>
        <v>2.984</v>
      </c>
      <c r="P1237" s="83" t="n">
        <f aca="false">N1237*O1237</f>
        <v>25.9608</v>
      </c>
      <c r="Q1237" s="20" t="s">
        <v>1471</v>
      </c>
      <c r="R1237" s="84" t="s">
        <v>660</v>
      </c>
      <c r="S1237" s="20"/>
      <c r="T1237" s="20" t="s">
        <v>123</v>
      </c>
      <c r="U1237" s="53" t="n">
        <v>0</v>
      </c>
      <c r="V1237" s="76" t="s">
        <v>1026</v>
      </c>
      <c r="W1237" s="53" t="n">
        <v>3</v>
      </c>
    </row>
    <row r="1238" customFormat="false" ht="35.05" hidden="false" customHeight="false" outlineLevel="0" collapsed="false">
      <c r="A1238" s="76" t="n">
        <v>1212</v>
      </c>
      <c r="B1238" s="20" t="s">
        <v>1526</v>
      </c>
      <c r="C1238" s="20" t="s">
        <v>1021</v>
      </c>
      <c r="D1238" s="20" t="s">
        <v>1065</v>
      </c>
      <c r="E1238" s="20" t="s">
        <v>1060</v>
      </c>
      <c r="F1238" s="76" t="s">
        <v>575</v>
      </c>
      <c r="G1238" s="20" t="s">
        <v>1061</v>
      </c>
      <c r="H1238" s="55" t="n">
        <v>22</v>
      </c>
      <c r="I1238" s="76" t="s">
        <v>512</v>
      </c>
      <c r="J1238" s="76" t="s">
        <v>164</v>
      </c>
      <c r="K1238" s="82" t="n">
        <v>1</v>
      </c>
      <c r="L1238" s="55" t="n">
        <v>4</v>
      </c>
      <c r="M1238" s="73" t="n">
        <v>2.175</v>
      </c>
      <c r="N1238" s="74" t="n">
        <f aca="false">K1238*L1238*M1238</f>
        <v>8.7</v>
      </c>
      <c r="O1238" s="41" t="n">
        <f aca="false">IFERROR(INDEX(Исходные!$B$21:$B$33,MATCH(H1238,Исходные!$A$21:$A$33,0)),0)</f>
        <v>2.984</v>
      </c>
      <c r="P1238" s="83" t="n">
        <f aca="false">N1238*O1238</f>
        <v>25.9608</v>
      </c>
      <c r="Q1238" s="20" t="s">
        <v>1471</v>
      </c>
      <c r="R1238" s="84" t="s">
        <v>660</v>
      </c>
      <c r="S1238" s="20"/>
      <c r="T1238" s="20" t="s">
        <v>123</v>
      </c>
      <c r="U1238" s="53" t="n">
        <v>0</v>
      </c>
      <c r="V1238" s="76" t="s">
        <v>1026</v>
      </c>
      <c r="W1238" s="53" t="n">
        <v>3</v>
      </c>
    </row>
    <row r="1239" customFormat="false" ht="35.05" hidden="false" customHeight="false" outlineLevel="0" collapsed="false">
      <c r="A1239" s="76" t="n">
        <v>1213</v>
      </c>
      <c r="B1239" s="20" t="s">
        <v>1526</v>
      </c>
      <c r="C1239" s="20" t="s">
        <v>1021</v>
      </c>
      <c r="D1239" s="20" t="s">
        <v>1065</v>
      </c>
      <c r="E1239" s="20" t="s">
        <v>1060</v>
      </c>
      <c r="F1239" s="76" t="s">
        <v>575</v>
      </c>
      <c r="G1239" s="20" t="s">
        <v>1063</v>
      </c>
      <c r="H1239" s="55" t="n">
        <v>22</v>
      </c>
      <c r="I1239" s="76" t="s">
        <v>512</v>
      </c>
      <c r="J1239" s="76" t="s">
        <v>164</v>
      </c>
      <c r="K1239" s="82" t="n">
        <v>1</v>
      </c>
      <c r="L1239" s="55" t="n">
        <v>4</v>
      </c>
      <c r="M1239" s="73" t="n">
        <v>4.15</v>
      </c>
      <c r="N1239" s="74" t="n">
        <f aca="false">K1239*L1239*M1239</f>
        <v>16.6</v>
      </c>
      <c r="O1239" s="41" t="n">
        <f aca="false">IFERROR(INDEX(Исходные!$B$21:$B$33,MATCH(H1239,Исходные!$A$21:$A$33,0)),0)</f>
        <v>2.984</v>
      </c>
      <c r="P1239" s="83" t="n">
        <f aca="false">N1239*O1239</f>
        <v>49.5344</v>
      </c>
      <c r="Q1239" s="20" t="s">
        <v>1471</v>
      </c>
      <c r="R1239" s="84" t="s">
        <v>660</v>
      </c>
      <c r="S1239" s="20"/>
      <c r="T1239" s="20" t="s">
        <v>123</v>
      </c>
      <c r="U1239" s="53" t="n">
        <v>0</v>
      </c>
      <c r="V1239" s="76" t="s">
        <v>1026</v>
      </c>
      <c r="W1239" s="53" t="n">
        <v>3</v>
      </c>
    </row>
    <row r="1240" customFormat="false" ht="35.05" hidden="false" customHeight="false" outlineLevel="0" collapsed="false">
      <c r="A1240" s="76" t="n">
        <v>1214</v>
      </c>
      <c r="B1240" s="20" t="s">
        <v>1526</v>
      </c>
      <c r="C1240" s="20" t="s">
        <v>1021</v>
      </c>
      <c r="D1240" s="20" t="s">
        <v>1065</v>
      </c>
      <c r="E1240" s="20" t="s">
        <v>1060</v>
      </c>
      <c r="F1240" s="76" t="s">
        <v>575</v>
      </c>
      <c r="G1240" s="20" t="s">
        <v>1064</v>
      </c>
      <c r="H1240" s="55" t="n">
        <v>22</v>
      </c>
      <c r="I1240" s="76" t="s">
        <v>512</v>
      </c>
      <c r="J1240" s="76" t="s">
        <v>164</v>
      </c>
      <c r="K1240" s="82" t="n">
        <v>1</v>
      </c>
      <c r="L1240" s="55" t="n">
        <v>4</v>
      </c>
      <c r="M1240" s="73" t="n">
        <v>2.175</v>
      </c>
      <c r="N1240" s="74" t="n">
        <f aca="false">K1240*L1240*M1240</f>
        <v>8.7</v>
      </c>
      <c r="O1240" s="41" t="n">
        <f aca="false">IFERROR(INDEX(Исходные!$B$21:$B$33,MATCH(H1240,Исходные!$A$21:$A$33,0)),0)</f>
        <v>2.984</v>
      </c>
      <c r="P1240" s="83" t="n">
        <f aca="false">N1240*O1240</f>
        <v>25.9608</v>
      </c>
      <c r="Q1240" s="20" t="s">
        <v>1471</v>
      </c>
      <c r="R1240" s="84" t="s">
        <v>660</v>
      </c>
      <c r="S1240" s="20"/>
      <c r="T1240" s="20" t="s">
        <v>123</v>
      </c>
      <c r="U1240" s="53" t="n">
        <v>0</v>
      </c>
      <c r="V1240" s="76" t="s">
        <v>1026</v>
      </c>
      <c r="W1240" s="53" t="n">
        <v>3</v>
      </c>
    </row>
    <row r="1241" customFormat="false" ht="35.05" hidden="false" customHeight="false" outlineLevel="0" collapsed="false">
      <c r="A1241" s="76" t="n">
        <v>1215</v>
      </c>
      <c r="B1241" s="20" t="s">
        <v>1526</v>
      </c>
      <c r="C1241" s="20" t="s">
        <v>1021</v>
      </c>
      <c r="D1241" s="20" t="s">
        <v>1066</v>
      </c>
      <c r="E1241" s="20" t="s">
        <v>1060</v>
      </c>
      <c r="F1241" s="76" t="s">
        <v>575</v>
      </c>
      <c r="G1241" s="20" t="s">
        <v>1061</v>
      </c>
      <c r="H1241" s="55" t="n">
        <v>22</v>
      </c>
      <c r="I1241" s="76" t="s">
        <v>512</v>
      </c>
      <c r="J1241" s="76" t="s">
        <v>164</v>
      </c>
      <c r="K1241" s="82" t="n">
        <v>1</v>
      </c>
      <c r="L1241" s="55" t="n">
        <v>4</v>
      </c>
      <c r="M1241" s="73" t="n">
        <v>2.15</v>
      </c>
      <c r="N1241" s="74" t="n">
        <f aca="false">K1241*L1241*M1241</f>
        <v>8.6</v>
      </c>
      <c r="O1241" s="41" t="n">
        <f aca="false">IFERROR(INDEX(Исходные!$B$21:$B$33,MATCH(H1241,Исходные!$A$21:$A$33,0)),0)</f>
        <v>2.984</v>
      </c>
      <c r="P1241" s="83" t="n">
        <f aca="false">N1241*O1241</f>
        <v>25.6624</v>
      </c>
      <c r="Q1241" s="20" t="s">
        <v>1471</v>
      </c>
      <c r="R1241" s="84" t="s">
        <v>660</v>
      </c>
      <c r="S1241" s="20"/>
      <c r="T1241" s="20" t="s">
        <v>123</v>
      </c>
      <c r="U1241" s="53" t="n">
        <v>0</v>
      </c>
      <c r="V1241" s="76" t="s">
        <v>1026</v>
      </c>
      <c r="W1241" s="53" t="n">
        <v>3</v>
      </c>
    </row>
    <row r="1242" customFormat="false" ht="35.05" hidden="false" customHeight="false" outlineLevel="0" collapsed="false">
      <c r="A1242" s="76" t="n">
        <v>1216</v>
      </c>
      <c r="B1242" s="20" t="s">
        <v>1526</v>
      </c>
      <c r="C1242" s="20" t="s">
        <v>1021</v>
      </c>
      <c r="D1242" s="20" t="s">
        <v>1066</v>
      </c>
      <c r="E1242" s="20" t="s">
        <v>1060</v>
      </c>
      <c r="F1242" s="76" t="s">
        <v>575</v>
      </c>
      <c r="G1242" s="20" t="s">
        <v>1063</v>
      </c>
      <c r="H1242" s="55" t="n">
        <v>22</v>
      </c>
      <c r="I1242" s="76" t="s">
        <v>512</v>
      </c>
      <c r="J1242" s="76" t="s">
        <v>164</v>
      </c>
      <c r="K1242" s="82" t="n">
        <v>1</v>
      </c>
      <c r="L1242" s="55" t="n">
        <v>4</v>
      </c>
      <c r="M1242" s="73" t="n">
        <v>3.775</v>
      </c>
      <c r="N1242" s="74" t="n">
        <f aca="false">K1242*L1242*M1242</f>
        <v>15.1</v>
      </c>
      <c r="O1242" s="41" t="n">
        <f aca="false">IFERROR(INDEX(Исходные!$B$21:$B$33,MATCH(H1242,Исходные!$A$21:$A$33,0)),0)</f>
        <v>2.984</v>
      </c>
      <c r="P1242" s="83" t="n">
        <f aca="false">N1242*O1242</f>
        <v>45.0584</v>
      </c>
      <c r="Q1242" s="20" t="s">
        <v>1471</v>
      </c>
      <c r="R1242" s="84" t="s">
        <v>660</v>
      </c>
      <c r="S1242" s="20"/>
      <c r="T1242" s="20" t="s">
        <v>123</v>
      </c>
      <c r="U1242" s="53" t="n">
        <v>0</v>
      </c>
      <c r="V1242" s="76" t="s">
        <v>1026</v>
      </c>
      <c r="W1242" s="53" t="n">
        <v>3</v>
      </c>
    </row>
    <row r="1243" customFormat="false" ht="35.05" hidden="false" customHeight="false" outlineLevel="0" collapsed="false">
      <c r="A1243" s="76" t="n">
        <v>1217</v>
      </c>
      <c r="B1243" s="20" t="s">
        <v>1526</v>
      </c>
      <c r="C1243" s="20" t="s">
        <v>1021</v>
      </c>
      <c r="D1243" s="20" t="s">
        <v>1066</v>
      </c>
      <c r="E1243" s="20" t="s">
        <v>1060</v>
      </c>
      <c r="F1243" s="76" t="s">
        <v>575</v>
      </c>
      <c r="G1243" s="20" t="s">
        <v>1064</v>
      </c>
      <c r="H1243" s="55" t="n">
        <v>22</v>
      </c>
      <c r="I1243" s="76" t="s">
        <v>512</v>
      </c>
      <c r="J1243" s="76" t="s">
        <v>164</v>
      </c>
      <c r="K1243" s="82" t="n">
        <v>1</v>
      </c>
      <c r="L1243" s="55" t="n">
        <v>4</v>
      </c>
      <c r="M1243" s="73" t="n">
        <v>2.15</v>
      </c>
      <c r="N1243" s="74" t="n">
        <f aca="false">K1243*L1243*M1243</f>
        <v>8.6</v>
      </c>
      <c r="O1243" s="41" t="n">
        <f aca="false">IFERROR(INDEX(Исходные!$B$21:$B$33,MATCH(H1243,Исходные!$A$21:$A$33,0)),0)</f>
        <v>2.984</v>
      </c>
      <c r="P1243" s="83" t="n">
        <f aca="false">N1243*O1243</f>
        <v>25.6624</v>
      </c>
      <c r="Q1243" s="20" t="s">
        <v>1471</v>
      </c>
      <c r="R1243" s="84" t="s">
        <v>660</v>
      </c>
      <c r="S1243" s="20"/>
      <c r="T1243" s="20" t="s">
        <v>123</v>
      </c>
      <c r="U1243" s="53" t="n">
        <v>0</v>
      </c>
      <c r="V1243" s="76" t="s">
        <v>1026</v>
      </c>
      <c r="W1243" s="53" t="n">
        <v>3</v>
      </c>
    </row>
    <row r="1244" customFormat="false" ht="35.05" hidden="false" customHeight="false" outlineLevel="0" collapsed="false">
      <c r="A1244" s="76" t="n">
        <v>1218</v>
      </c>
      <c r="B1244" s="20" t="s">
        <v>1526</v>
      </c>
      <c r="C1244" s="20" t="s">
        <v>1021</v>
      </c>
      <c r="D1244" s="20" t="s">
        <v>1067</v>
      </c>
      <c r="E1244" s="20" t="s">
        <v>1060</v>
      </c>
      <c r="F1244" s="76" t="s">
        <v>575</v>
      </c>
      <c r="G1244" s="20" t="s">
        <v>1061</v>
      </c>
      <c r="H1244" s="55" t="n">
        <v>22</v>
      </c>
      <c r="I1244" s="76" t="s">
        <v>512</v>
      </c>
      <c r="J1244" s="76" t="s">
        <v>164</v>
      </c>
      <c r="K1244" s="82" t="n">
        <v>1</v>
      </c>
      <c r="L1244" s="55" t="n">
        <v>4</v>
      </c>
      <c r="M1244" s="73" t="n">
        <v>2.15</v>
      </c>
      <c r="N1244" s="74" t="n">
        <f aca="false">K1244*L1244*M1244</f>
        <v>8.6</v>
      </c>
      <c r="O1244" s="41" t="n">
        <f aca="false">IFERROR(INDEX(Исходные!$B$21:$B$33,MATCH(H1244,Исходные!$A$21:$A$33,0)),0)</f>
        <v>2.984</v>
      </c>
      <c r="P1244" s="83" t="n">
        <f aca="false">N1244*O1244</f>
        <v>25.6624</v>
      </c>
      <c r="Q1244" s="20" t="s">
        <v>1471</v>
      </c>
      <c r="R1244" s="84" t="s">
        <v>660</v>
      </c>
      <c r="S1244" s="20"/>
      <c r="T1244" s="20" t="s">
        <v>123</v>
      </c>
      <c r="U1244" s="53" t="n">
        <v>0</v>
      </c>
      <c r="V1244" s="76" t="s">
        <v>1026</v>
      </c>
      <c r="W1244" s="53" t="n">
        <v>3</v>
      </c>
    </row>
    <row r="1245" customFormat="false" ht="35.05" hidden="false" customHeight="false" outlineLevel="0" collapsed="false">
      <c r="A1245" s="76" t="n">
        <v>1219</v>
      </c>
      <c r="B1245" s="20" t="s">
        <v>1526</v>
      </c>
      <c r="C1245" s="20" t="s">
        <v>1021</v>
      </c>
      <c r="D1245" s="20" t="s">
        <v>1067</v>
      </c>
      <c r="E1245" s="20" t="s">
        <v>1060</v>
      </c>
      <c r="F1245" s="76" t="s">
        <v>575</v>
      </c>
      <c r="G1245" s="20" t="s">
        <v>1063</v>
      </c>
      <c r="H1245" s="55" t="n">
        <v>22</v>
      </c>
      <c r="I1245" s="76" t="s">
        <v>512</v>
      </c>
      <c r="J1245" s="76" t="s">
        <v>164</v>
      </c>
      <c r="K1245" s="82" t="n">
        <v>1</v>
      </c>
      <c r="L1245" s="55" t="n">
        <v>4</v>
      </c>
      <c r="M1245" s="73" t="n">
        <v>7.95</v>
      </c>
      <c r="N1245" s="74" t="n">
        <f aca="false">K1245*L1245*M1245</f>
        <v>31.8</v>
      </c>
      <c r="O1245" s="41" t="n">
        <f aca="false">IFERROR(INDEX(Исходные!$B$21:$B$33,MATCH(H1245,Исходные!$A$21:$A$33,0)),0)</f>
        <v>2.984</v>
      </c>
      <c r="P1245" s="83" t="n">
        <f aca="false">N1245*O1245</f>
        <v>94.8912</v>
      </c>
      <c r="Q1245" s="20" t="s">
        <v>1471</v>
      </c>
      <c r="R1245" s="84" t="s">
        <v>660</v>
      </c>
      <c r="S1245" s="20"/>
      <c r="T1245" s="20" t="s">
        <v>123</v>
      </c>
      <c r="U1245" s="53" t="n">
        <v>0</v>
      </c>
      <c r="V1245" s="76" t="s">
        <v>1026</v>
      </c>
      <c r="W1245" s="53" t="n">
        <v>3</v>
      </c>
    </row>
    <row r="1246" customFormat="false" ht="35.05" hidden="false" customHeight="false" outlineLevel="0" collapsed="false">
      <c r="A1246" s="76" t="n">
        <v>1220</v>
      </c>
      <c r="B1246" s="20" t="s">
        <v>1526</v>
      </c>
      <c r="C1246" s="20" t="s">
        <v>1021</v>
      </c>
      <c r="D1246" s="20" t="s">
        <v>1067</v>
      </c>
      <c r="E1246" s="20" t="s">
        <v>1060</v>
      </c>
      <c r="F1246" s="76" t="s">
        <v>575</v>
      </c>
      <c r="G1246" s="20" t="s">
        <v>1064</v>
      </c>
      <c r="H1246" s="55" t="n">
        <v>22</v>
      </c>
      <c r="I1246" s="76" t="s">
        <v>512</v>
      </c>
      <c r="J1246" s="76" t="s">
        <v>164</v>
      </c>
      <c r="K1246" s="82" t="n">
        <v>1</v>
      </c>
      <c r="L1246" s="55" t="n">
        <v>4</v>
      </c>
      <c r="M1246" s="73" t="n">
        <v>2.15</v>
      </c>
      <c r="N1246" s="74" t="n">
        <f aca="false">K1246*L1246*M1246</f>
        <v>8.6</v>
      </c>
      <c r="O1246" s="41" t="n">
        <f aca="false">IFERROR(INDEX(Исходные!$B$21:$B$33,MATCH(H1246,Исходные!$A$21:$A$33,0)),0)</f>
        <v>2.984</v>
      </c>
      <c r="P1246" s="83" t="n">
        <f aca="false">N1246*O1246</f>
        <v>25.6624</v>
      </c>
      <c r="Q1246" s="20" t="s">
        <v>1471</v>
      </c>
      <c r="R1246" s="84" t="s">
        <v>660</v>
      </c>
      <c r="S1246" s="20"/>
      <c r="T1246" s="20" t="s">
        <v>123</v>
      </c>
      <c r="U1246" s="53" t="n">
        <v>0</v>
      </c>
      <c r="V1246" s="76" t="s">
        <v>1026</v>
      </c>
      <c r="W1246" s="53" t="n">
        <v>3</v>
      </c>
    </row>
    <row r="1247" customFormat="false" ht="35.05" hidden="false" customHeight="false" outlineLevel="0" collapsed="false">
      <c r="A1247" s="76" t="n">
        <v>1221</v>
      </c>
      <c r="B1247" s="20" t="s">
        <v>1526</v>
      </c>
      <c r="C1247" s="20" t="s">
        <v>1021</v>
      </c>
      <c r="D1247" s="20" t="s">
        <v>1067</v>
      </c>
      <c r="E1247" s="20" t="s">
        <v>1060</v>
      </c>
      <c r="F1247" s="76" t="s">
        <v>575</v>
      </c>
      <c r="G1247" s="20" t="s">
        <v>1068</v>
      </c>
      <c r="H1247" s="55" t="n">
        <v>22</v>
      </c>
      <c r="I1247" s="76" t="s">
        <v>512</v>
      </c>
      <c r="J1247" s="76" t="s">
        <v>164</v>
      </c>
      <c r="K1247" s="82" t="n">
        <v>1</v>
      </c>
      <c r="L1247" s="55" t="n">
        <v>4</v>
      </c>
      <c r="M1247" s="73" t="n">
        <v>2.375</v>
      </c>
      <c r="N1247" s="74" t="n">
        <f aca="false">K1247*L1247*M1247</f>
        <v>9.5</v>
      </c>
      <c r="O1247" s="41" t="n">
        <f aca="false">IFERROR(INDEX(Исходные!$B$21:$B$33,MATCH(H1247,Исходные!$A$21:$A$33,0)),0)</f>
        <v>2.984</v>
      </c>
      <c r="P1247" s="83" t="n">
        <f aca="false">N1247*O1247</f>
        <v>28.348</v>
      </c>
      <c r="Q1247" s="20" t="s">
        <v>1471</v>
      </c>
      <c r="R1247" s="84" t="s">
        <v>660</v>
      </c>
      <c r="S1247" s="20"/>
      <c r="T1247" s="20" t="s">
        <v>123</v>
      </c>
      <c r="U1247" s="53" t="n">
        <v>0</v>
      </c>
      <c r="V1247" s="76" t="s">
        <v>1026</v>
      </c>
      <c r="W1247" s="53" t="n">
        <v>3</v>
      </c>
    </row>
    <row r="1248" customFormat="false" ht="35.05" hidden="false" customHeight="false" outlineLevel="0" collapsed="false">
      <c r="A1248" s="76" t="n">
        <v>1222</v>
      </c>
      <c r="B1248" s="20" t="s">
        <v>1526</v>
      </c>
      <c r="C1248" s="20" t="s">
        <v>1021</v>
      </c>
      <c r="D1248" s="20" t="s">
        <v>1069</v>
      </c>
      <c r="E1248" s="20" t="s">
        <v>1070</v>
      </c>
      <c r="F1248" s="76" t="s">
        <v>164</v>
      </c>
      <c r="G1248" s="20" t="s">
        <v>1472</v>
      </c>
      <c r="H1248" s="55" t="n">
        <v>18</v>
      </c>
      <c r="I1248" s="76" t="s">
        <v>512</v>
      </c>
      <c r="J1248" s="76" t="s">
        <v>164</v>
      </c>
      <c r="K1248" s="82" t="n">
        <v>1</v>
      </c>
      <c r="L1248" s="55" t="n">
        <v>20</v>
      </c>
      <c r="M1248" s="73" t="n">
        <v>1.2</v>
      </c>
      <c r="N1248" s="74" t="n">
        <f aca="false">K1248*L1248*M1248</f>
        <v>24</v>
      </c>
      <c r="O1248" s="41" t="n">
        <f aca="false">IFERROR(INDEX(Исходные!$B$21:$B$33,MATCH(H1248,Исходные!$A$21:$A$33,0)),0)</f>
        <v>1.998</v>
      </c>
      <c r="P1248" s="83" t="n">
        <f aca="false">N1248*O1248</f>
        <v>47.952</v>
      </c>
      <c r="Q1248" s="20" t="s">
        <v>1473</v>
      </c>
      <c r="R1248" s="85" t="s">
        <v>638</v>
      </c>
      <c r="S1248" s="20"/>
      <c r="T1248" s="20" t="s">
        <v>123</v>
      </c>
      <c r="U1248" s="53" t="n">
        <v>1</v>
      </c>
      <c r="V1248" s="76" t="s">
        <v>1073</v>
      </c>
      <c r="W1248" s="53" t="n">
        <v>3</v>
      </c>
    </row>
    <row r="1249" customFormat="false" ht="35.05" hidden="false" customHeight="false" outlineLevel="0" collapsed="false">
      <c r="A1249" s="76" t="n">
        <v>1223</v>
      </c>
      <c r="B1249" s="20" t="s">
        <v>1526</v>
      </c>
      <c r="C1249" s="20" t="s">
        <v>1021</v>
      </c>
      <c r="D1249" s="20" t="s">
        <v>1074</v>
      </c>
      <c r="E1249" s="20" t="s">
        <v>1075</v>
      </c>
      <c r="F1249" s="76" t="s">
        <v>555</v>
      </c>
      <c r="G1249" s="20" t="s">
        <v>1474</v>
      </c>
      <c r="H1249" s="55" t="n">
        <v>8</v>
      </c>
      <c r="I1249" s="76" t="s">
        <v>546</v>
      </c>
      <c r="J1249" s="76" t="s">
        <v>644</v>
      </c>
      <c r="K1249" s="82" t="n">
        <v>1</v>
      </c>
      <c r="L1249" s="55" t="n">
        <v>925</v>
      </c>
      <c r="M1249" s="73" t="n">
        <v>1.24</v>
      </c>
      <c r="N1249" s="74" t="n">
        <f aca="false">K1249*L1249*M1249</f>
        <v>1147</v>
      </c>
      <c r="O1249" s="41" t="n">
        <f aca="false">IFERROR(INDEX(Исходные!$B$21:$B$33,MATCH(H1249,Исходные!$A$21:$A$33,0)),0)</f>
        <v>0.395</v>
      </c>
      <c r="P1249" s="83" t="n">
        <f aca="false">N1249*O1249</f>
        <v>453.065</v>
      </c>
      <c r="Q1249" s="20" t="s">
        <v>1475</v>
      </c>
      <c r="R1249" s="84" t="s">
        <v>514</v>
      </c>
      <c r="S1249" s="20"/>
      <c r="T1249" s="20" t="s">
        <v>123</v>
      </c>
      <c r="U1249" s="53" t="n">
        <v>0</v>
      </c>
      <c r="V1249" s="76" t="s">
        <v>1078</v>
      </c>
      <c r="W1249" s="53" t="n">
        <v>3</v>
      </c>
    </row>
    <row r="1250" customFormat="false" ht="35.05" hidden="false" customHeight="false" outlineLevel="0" collapsed="false">
      <c r="A1250" s="76" t="n">
        <v>1224</v>
      </c>
      <c r="B1250" s="20" t="s">
        <v>1526</v>
      </c>
      <c r="C1250" s="20" t="s">
        <v>1021</v>
      </c>
      <c r="D1250" s="20" t="s">
        <v>1079</v>
      </c>
      <c r="E1250" s="20" t="s">
        <v>1080</v>
      </c>
      <c r="F1250" s="76" t="s">
        <v>555</v>
      </c>
      <c r="G1250" s="20" t="s">
        <v>1476</v>
      </c>
      <c r="H1250" s="55" t="n">
        <v>8</v>
      </c>
      <c r="I1250" s="76" t="s">
        <v>546</v>
      </c>
      <c r="J1250" s="76" t="s">
        <v>644</v>
      </c>
      <c r="K1250" s="82" t="n">
        <v>1</v>
      </c>
      <c r="L1250" s="55" t="n">
        <v>44</v>
      </c>
      <c r="M1250" s="73" t="n">
        <v>1.24</v>
      </c>
      <c r="N1250" s="74" t="n">
        <f aca="false">K1250*L1250*M1250</f>
        <v>54.56</v>
      </c>
      <c r="O1250" s="41" t="n">
        <f aca="false">IFERROR(INDEX(Исходные!$B$21:$B$33,MATCH(H1250,Исходные!$A$21:$A$33,0)),0)</f>
        <v>0.395</v>
      </c>
      <c r="P1250" s="83" t="n">
        <f aca="false">N1250*O1250</f>
        <v>21.5512</v>
      </c>
      <c r="Q1250" s="20" t="s">
        <v>1477</v>
      </c>
      <c r="R1250" s="84" t="s">
        <v>514</v>
      </c>
      <c r="S1250" s="20"/>
      <c r="T1250" s="20" t="s">
        <v>123</v>
      </c>
      <c r="U1250" s="53" t="n">
        <v>0</v>
      </c>
      <c r="V1250" s="76" t="s">
        <v>1078</v>
      </c>
      <c r="W1250" s="53" t="n">
        <v>3</v>
      </c>
    </row>
    <row r="1251" customFormat="false" ht="35.05" hidden="false" customHeight="false" outlineLevel="0" collapsed="false">
      <c r="A1251" s="76" t="n">
        <v>1225</v>
      </c>
      <c r="B1251" s="20" t="s">
        <v>1526</v>
      </c>
      <c r="C1251" s="20" t="s">
        <v>1021</v>
      </c>
      <c r="D1251" s="20" t="s">
        <v>1083</v>
      </c>
      <c r="E1251" s="20" t="s">
        <v>1084</v>
      </c>
      <c r="F1251" s="76" t="s">
        <v>696</v>
      </c>
      <c r="G1251" s="20" t="s">
        <v>1478</v>
      </c>
      <c r="H1251" s="55" t="n">
        <v>8</v>
      </c>
      <c r="I1251" s="76" t="s">
        <v>546</v>
      </c>
      <c r="J1251" s="76" t="s">
        <v>644</v>
      </c>
      <c r="K1251" s="82" t="n">
        <v>1</v>
      </c>
      <c r="L1251" s="55" t="n">
        <v>44</v>
      </c>
      <c r="M1251" s="73" t="n">
        <v>1.44</v>
      </c>
      <c r="N1251" s="74" t="n">
        <f aca="false">K1251*L1251*M1251</f>
        <v>63.36</v>
      </c>
      <c r="O1251" s="41" t="n">
        <f aca="false">IFERROR(INDEX(Исходные!$B$21:$B$33,MATCH(H1251,Исходные!$A$21:$A$33,0)),0)</f>
        <v>0.395</v>
      </c>
      <c r="P1251" s="83" t="n">
        <f aca="false">N1251*O1251</f>
        <v>25.0272</v>
      </c>
      <c r="Q1251" s="20" t="s">
        <v>1479</v>
      </c>
      <c r="R1251" s="84" t="s">
        <v>514</v>
      </c>
      <c r="S1251" s="20"/>
      <c r="T1251" s="20" t="s">
        <v>123</v>
      </c>
      <c r="U1251" s="53" t="n">
        <v>0</v>
      </c>
      <c r="V1251" s="76" t="s">
        <v>1078</v>
      </c>
      <c r="W1251" s="53" t="n">
        <v>3</v>
      </c>
    </row>
    <row r="1252" customFormat="false" ht="35.05" hidden="false" customHeight="false" outlineLevel="0" collapsed="false">
      <c r="A1252" s="76" t="n">
        <v>1226</v>
      </c>
      <c r="B1252" s="20" t="s">
        <v>1526</v>
      </c>
      <c r="C1252" s="20" t="s">
        <v>1021</v>
      </c>
      <c r="D1252" s="20" t="s">
        <v>1087</v>
      </c>
      <c r="E1252" s="20" t="s">
        <v>1088</v>
      </c>
      <c r="F1252" s="76" t="s">
        <v>561</v>
      </c>
      <c r="G1252" s="20" t="s">
        <v>1480</v>
      </c>
      <c r="H1252" s="55" t="n">
        <v>8</v>
      </c>
      <c r="I1252" s="76" t="s">
        <v>546</v>
      </c>
      <c r="J1252" s="76" t="s">
        <v>644</v>
      </c>
      <c r="K1252" s="82" t="n">
        <v>1</v>
      </c>
      <c r="L1252" s="55" t="n">
        <v>133</v>
      </c>
      <c r="M1252" s="73" t="n">
        <v>1.04</v>
      </c>
      <c r="N1252" s="74" t="n">
        <f aca="false">K1252*L1252*M1252</f>
        <v>138.32</v>
      </c>
      <c r="O1252" s="41" t="n">
        <f aca="false">IFERROR(INDEX(Исходные!$B$21:$B$33,MATCH(H1252,Исходные!$A$21:$A$33,0)),0)</f>
        <v>0.395</v>
      </c>
      <c r="P1252" s="83" t="n">
        <f aca="false">N1252*O1252</f>
        <v>54.6364</v>
      </c>
      <c r="Q1252" s="20" t="s">
        <v>1481</v>
      </c>
      <c r="R1252" s="84" t="s">
        <v>514</v>
      </c>
      <c r="S1252" s="20"/>
      <c r="T1252" s="20" t="s">
        <v>123</v>
      </c>
      <c r="U1252" s="53" t="n">
        <v>0</v>
      </c>
      <c r="V1252" s="76" t="s">
        <v>1078</v>
      </c>
      <c r="W1252" s="53" t="n">
        <v>3</v>
      </c>
    </row>
    <row r="1253" customFormat="false" ht="35.05" hidden="false" customHeight="false" outlineLevel="0" collapsed="false">
      <c r="A1253" s="76" t="n">
        <v>1227</v>
      </c>
      <c r="B1253" s="20" t="s">
        <v>1526</v>
      </c>
      <c r="C1253" s="20" t="s">
        <v>1021</v>
      </c>
      <c r="D1253" s="20" t="s">
        <v>1091</v>
      </c>
      <c r="E1253" s="20" t="s">
        <v>1092</v>
      </c>
      <c r="F1253" s="76" t="s">
        <v>558</v>
      </c>
      <c r="G1253" s="20" t="s">
        <v>1482</v>
      </c>
      <c r="H1253" s="55" t="n">
        <v>8</v>
      </c>
      <c r="I1253" s="76" t="s">
        <v>546</v>
      </c>
      <c r="J1253" s="76" t="s">
        <v>644</v>
      </c>
      <c r="K1253" s="82" t="n">
        <v>1</v>
      </c>
      <c r="L1253" s="55" t="n">
        <v>272</v>
      </c>
      <c r="M1253" s="73" t="n">
        <v>1.14</v>
      </c>
      <c r="N1253" s="74" t="n">
        <f aca="false">K1253*L1253*M1253</f>
        <v>310.08</v>
      </c>
      <c r="O1253" s="41" t="n">
        <f aca="false">IFERROR(INDEX(Исходные!$B$21:$B$33,MATCH(H1253,Исходные!$A$21:$A$33,0)),0)</f>
        <v>0.395</v>
      </c>
      <c r="P1253" s="83" t="n">
        <f aca="false">N1253*O1253</f>
        <v>122.4816</v>
      </c>
      <c r="Q1253" s="20" t="s">
        <v>1483</v>
      </c>
      <c r="R1253" s="84" t="s">
        <v>514</v>
      </c>
      <c r="S1253" s="20"/>
      <c r="T1253" s="20" t="s">
        <v>123</v>
      </c>
      <c r="U1253" s="53" t="n">
        <v>0</v>
      </c>
      <c r="V1253" s="76" t="s">
        <v>1078</v>
      </c>
      <c r="W1253" s="53" t="n">
        <v>3</v>
      </c>
    </row>
    <row r="1254" customFormat="false" ht="15" hidden="false" customHeight="true" outlineLevel="0" collapsed="false">
      <c r="A1254" s="81" t="s">
        <v>1677</v>
      </c>
      <c r="B1254" s="81"/>
      <c r="C1254" s="81"/>
      <c r="D1254" s="81"/>
      <c r="E1254" s="81"/>
      <c r="F1254" s="81"/>
      <c r="G1254" s="81"/>
      <c r="H1254" s="81"/>
      <c r="I1254" s="81"/>
      <c r="J1254" s="81"/>
      <c r="K1254" s="81"/>
      <c r="L1254" s="81"/>
      <c r="M1254" s="81"/>
      <c r="N1254" s="81"/>
      <c r="O1254" s="81"/>
      <c r="P1254" s="81"/>
      <c r="Q1254" s="81"/>
      <c r="R1254" s="81"/>
      <c r="S1254" s="81"/>
      <c r="T1254" s="81"/>
      <c r="U1254" s="81"/>
      <c r="V1254" s="81"/>
      <c r="W1254" s="81"/>
    </row>
    <row r="1255" customFormat="false" ht="35.05" hidden="false" customHeight="false" outlineLevel="0" collapsed="false">
      <c r="A1255" s="76" t="n">
        <v>1228</v>
      </c>
      <c r="B1255" s="20" t="s">
        <v>1526</v>
      </c>
      <c r="C1255" s="20" t="s">
        <v>1096</v>
      </c>
      <c r="D1255" s="20" t="s">
        <v>1678</v>
      </c>
      <c r="E1255" s="20" t="s">
        <v>140</v>
      </c>
      <c r="F1255" s="76" t="s">
        <v>510</v>
      </c>
      <c r="G1255" s="20" t="s">
        <v>1098</v>
      </c>
      <c r="H1255" s="55" t="n">
        <v>10</v>
      </c>
      <c r="I1255" s="76" t="s">
        <v>512</v>
      </c>
      <c r="J1255" s="76" t="n">
        <v>90</v>
      </c>
      <c r="K1255" s="82" t="n">
        <v>200</v>
      </c>
      <c r="L1255" s="55" t="n">
        <v>7</v>
      </c>
      <c r="M1255" s="73" t="n">
        <v>0.57</v>
      </c>
      <c r="N1255" s="74" t="n">
        <f aca="false">K1255*L1255*M1255</f>
        <v>798</v>
      </c>
      <c r="O1255" s="41" t="n">
        <f aca="false">IFERROR(INDEX(Исходные!$B$21:$B$33,MATCH(H1255,Исходные!$A$21:$A$33,0)),0)</f>
        <v>0.617</v>
      </c>
      <c r="P1255" s="83" t="n">
        <f aca="false">N1255*O1255</f>
        <v>492.366</v>
      </c>
      <c r="Q1255" s="20" t="s">
        <v>1486</v>
      </c>
      <c r="R1255" s="85" t="s">
        <v>638</v>
      </c>
      <c r="S1255" s="20"/>
      <c r="T1255" s="20" t="s">
        <v>123</v>
      </c>
      <c r="U1255" s="53" t="n">
        <v>1</v>
      </c>
      <c r="V1255" s="76" t="s">
        <v>140</v>
      </c>
      <c r="W1255" s="53" t="n">
        <v>3</v>
      </c>
    </row>
    <row r="1256" customFormat="false" ht="15" hidden="false" customHeight="true" outlineLevel="0" collapsed="false">
      <c r="A1256" s="81" t="s">
        <v>1679</v>
      </c>
      <c r="B1256" s="81"/>
      <c r="C1256" s="81"/>
      <c r="D1256" s="81"/>
      <c r="E1256" s="81"/>
      <c r="F1256" s="81"/>
      <c r="G1256" s="81"/>
      <c r="H1256" s="81"/>
      <c r="I1256" s="81"/>
      <c r="J1256" s="81"/>
      <c r="K1256" s="81"/>
      <c r="L1256" s="81"/>
      <c r="M1256" s="81"/>
      <c r="N1256" s="81"/>
      <c r="O1256" s="81"/>
      <c r="P1256" s="81"/>
      <c r="Q1256" s="81"/>
      <c r="R1256" s="81"/>
      <c r="S1256" s="81"/>
      <c r="T1256" s="81"/>
      <c r="U1256" s="81"/>
      <c r="V1256" s="81"/>
      <c r="W1256" s="81"/>
    </row>
    <row r="1257" customFormat="false" ht="35.05" hidden="false" customHeight="false" outlineLevel="0" collapsed="false">
      <c r="A1257" s="76" t="n">
        <v>1229</v>
      </c>
      <c r="B1257" s="20" t="s">
        <v>1526</v>
      </c>
      <c r="C1257" s="20" t="s">
        <v>1101</v>
      </c>
      <c r="D1257" s="20" t="s">
        <v>1102</v>
      </c>
      <c r="E1257" s="20" t="s">
        <v>1680</v>
      </c>
      <c r="F1257" s="76" t="s">
        <v>510</v>
      </c>
      <c r="G1257" s="20" t="s">
        <v>1681</v>
      </c>
      <c r="H1257" s="55" t="n">
        <v>18</v>
      </c>
      <c r="I1257" s="76" t="s">
        <v>512</v>
      </c>
      <c r="J1257" s="76" t="n">
        <v>150</v>
      </c>
      <c r="K1257" s="82" t="n">
        <v>1</v>
      </c>
      <c r="L1257" s="55" t="n">
        <v>18</v>
      </c>
      <c r="M1257" s="73" t="n">
        <v>6.109</v>
      </c>
      <c r="N1257" s="74" t="n">
        <f aca="false">K1257*L1257*M1257</f>
        <v>109.962</v>
      </c>
      <c r="O1257" s="41" t="n">
        <f aca="false">IFERROR(INDEX(Исходные!$B$21:$B$33,MATCH(H1257,Исходные!$A$21:$A$33,0)),0)</f>
        <v>1.998</v>
      </c>
      <c r="P1257" s="83" t="n">
        <f aca="false">N1257*O1257</f>
        <v>219.704076</v>
      </c>
      <c r="Q1257" s="20" t="s">
        <v>1682</v>
      </c>
      <c r="R1257" s="85" t="s">
        <v>535</v>
      </c>
      <c r="S1257" s="20" t="s">
        <v>1491</v>
      </c>
      <c r="T1257" s="20" t="s">
        <v>124</v>
      </c>
      <c r="U1257" s="53" t="n">
        <v>1</v>
      </c>
      <c r="V1257" s="76" t="s">
        <v>141</v>
      </c>
      <c r="W1257" s="53" t="n">
        <v>3</v>
      </c>
    </row>
    <row r="1258" customFormat="false" ht="35.05" hidden="false" customHeight="false" outlineLevel="0" collapsed="false">
      <c r="A1258" s="76" t="n">
        <v>1230</v>
      </c>
      <c r="B1258" s="20" t="s">
        <v>1526</v>
      </c>
      <c r="C1258" s="20" t="s">
        <v>1101</v>
      </c>
      <c r="D1258" s="20" t="s">
        <v>1107</v>
      </c>
      <c r="E1258" s="20" t="s">
        <v>1680</v>
      </c>
      <c r="F1258" s="76" t="s">
        <v>519</v>
      </c>
      <c r="G1258" s="20" t="s">
        <v>1492</v>
      </c>
      <c r="H1258" s="55" t="n">
        <v>10</v>
      </c>
      <c r="I1258" s="76" t="s">
        <v>512</v>
      </c>
      <c r="J1258" s="76" t="s">
        <v>1109</v>
      </c>
      <c r="K1258" s="82" t="n">
        <v>1</v>
      </c>
      <c r="L1258" s="55" t="n">
        <v>60</v>
      </c>
      <c r="M1258" s="73" t="n">
        <v>1.19</v>
      </c>
      <c r="N1258" s="74" t="n">
        <f aca="false">K1258*L1258*M1258</f>
        <v>71.4</v>
      </c>
      <c r="O1258" s="41" t="n">
        <f aca="false">IFERROR(INDEX(Исходные!$B$21:$B$33,MATCH(H1258,Исходные!$A$21:$A$33,0)),0)</f>
        <v>0.617</v>
      </c>
      <c r="P1258" s="83" t="n">
        <f aca="false">N1258*O1258</f>
        <v>44.0538</v>
      </c>
      <c r="Q1258" s="20" t="s">
        <v>1493</v>
      </c>
      <c r="R1258" s="84" t="s">
        <v>514</v>
      </c>
      <c r="S1258" s="20" t="s">
        <v>1494</v>
      </c>
      <c r="T1258" s="20" t="s">
        <v>124</v>
      </c>
      <c r="U1258" s="53" t="n">
        <v>0</v>
      </c>
      <c r="V1258" s="76" t="s">
        <v>141</v>
      </c>
      <c r="W1258" s="53" t="n">
        <v>3</v>
      </c>
    </row>
    <row r="1259" customFormat="false" ht="35.05" hidden="false" customHeight="false" outlineLevel="0" collapsed="false">
      <c r="A1259" s="76" t="n">
        <v>1231</v>
      </c>
      <c r="B1259" s="20" t="s">
        <v>1526</v>
      </c>
      <c r="C1259" s="20" t="s">
        <v>1101</v>
      </c>
      <c r="D1259" s="20" t="s">
        <v>1107</v>
      </c>
      <c r="E1259" s="20" t="s">
        <v>1680</v>
      </c>
      <c r="F1259" s="76" t="s">
        <v>575</v>
      </c>
      <c r="G1259" s="20" t="s">
        <v>1495</v>
      </c>
      <c r="H1259" s="55" t="n">
        <v>10</v>
      </c>
      <c r="I1259" s="76" t="s">
        <v>546</v>
      </c>
      <c r="J1259" s="76" t="s">
        <v>1109</v>
      </c>
      <c r="K1259" s="82" t="n">
        <v>1</v>
      </c>
      <c r="L1259" s="55" t="n">
        <v>60</v>
      </c>
      <c r="M1259" s="73" t="n">
        <v>0.52</v>
      </c>
      <c r="N1259" s="74" t="n">
        <f aca="false">K1259*L1259*M1259</f>
        <v>31.2</v>
      </c>
      <c r="O1259" s="41" t="n">
        <f aca="false">IFERROR(INDEX(Исходные!$B$21:$B$33,MATCH(H1259,Исходные!$A$21:$A$33,0)),0)</f>
        <v>0.617</v>
      </c>
      <c r="P1259" s="83" t="n">
        <f aca="false">N1259*O1259</f>
        <v>19.2504</v>
      </c>
      <c r="Q1259" s="20" t="s">
        <v>1496</v>
      </c>
      <c r="R1259" s="84" t="s">
        <v>514</v>
      </c>
      <c r="S1259" s="20"/>
      <c r="T1259" s="20" t="s">
        <v>124</v>
      </c>
      <c r="U1259" s="53" t="n">
        <v>0</v>
      </c>
      <c r="V1259" s="76" t="s">
        <v>141</v>
      </c>
      <c r="W1259" s="53" t="n">
        <v>3</v>
      </c>
    </row>
    <row r="1260" customFormat="false" ht="35.05" hidden="false" customHeight="false" outlineLevel="0" collapsed="false">
      <c r="A1260" s="76" t="n">
        <v>1232</v>
      </c>
      <c r="B1260" s="20" t="s">
        <v>1526</v>
      </c>
      <c r="C1260" s="20" t="s">
        <v>1101</v>
      </c>
      <c r="D1260" s="20" t="s">
        <v>1107</v>
      </c>
      <c r="E1260" s="20" t="s">
        <v>1680</v>
      </c>
      <c r="F1260" s="76" t="s">
        <v>522</v>
      </c>
      <c r="G1260" s="20" t="s">
        <v>1139</v>
      </c>
      <c r="H1260" s="55" t="n">
        <v>6</v>
      </c>
      <c r="I1260" s="76" t="s">
        <v>546</v>
      </c>
      <c r="J1260" s="76" t="s">
        <v>1115</v>
      </c>
      <c r="K1260" s="82" t="n">
        <v>1</v>
      </c>
      <c r="L1260" s="55" t="n">
        <v>38</v>
      </c>
      <c r="M1260" s="73" t="n">
        <v>0.28</v>
      </c>
      <c r="N1260" s="74" t="n">
        <f aca="false">K1260*L1260*M1260</f>
        <v>10.64</v>
      </c>
      <c r="O1260" s="41" t="n">
        <f aca="false">IFERROR(INDEX(Исходные!$B$21:$B$33,MATCH(H1260,Исходные!$A$21:$A$33,0)),0)</f>
        <v>0.222</v>
      </c>
      <c r="P1260" s="83" t="n">
        <f aca="false">N1260*O1260</f>
        <v>2.36208</v>
      </c>
      <c r="Q1260" s="20" t="s">
        <v>1497</v>
      </c>
      <c r="R1260" s="85" t="s">
        <v>638</v>
      </c>
      <c r="S1260" s="20" t="s">
        <v>1498</v>
      </c>
      <c r="T1260" s="20" t="s">
        <v>124</v>
      </c>
      <c r="U1260" s="53" t="n">
        <v>1</v>
      </c>
      <c r="V1260" s="76" t="s">
        <v>141</v>
      </c>
      <c r="W1260" s="53" t="n">
        <v>3</v>
      </c>
    </row>
    <row r="1261" customFormat="false" ht="35.05" hidden="false" customHeight="false" outlineLevel="0" collapsed="false">
      <c r="A1261" s="76" t="n">
        <v>1233</v>
      </c>
      <c r="B1261" s="20" t="s">
        <v>1526</v>
      </c>
      <c r="C1261" s="20" t="s">
        <v>1101</v>
      </c>
      <c r="D1261" s="20" t="s">
        <v>1107</v>
      </c>
      <c r="E1261" s="20" t="s">
        <v>1680</v>
      </c>
      <c r="F1261" s="76" t="s">
        <v>140</v>
      </c>
      <c r="G1261" s="20" t="s">
        <v>1499</v>
      </c>
      <c r="H1261" s="55" t="n">
        <v>5</v>
      </c>
      <c r="I1261" s="76" t="s">
        <v>1119</v>
      </c>
      <c r="J1261" s="76" t="s">
        <v>1120</v>
      </c>
      <c r="K1261" s="82" t="n">
        <v>6.38</v>
      </c>
      <c r="L1261" s="55" t="n">
        <v>20</v>
      </c>
      <c r="M1261" s="73" t="n">
        <v>1</v>
      </c>
      <c r="N1261" s="74" t="n">
        <f aca="false">K1261*L1261*M1261</f>
        <v>127.6</v>
      </c>
      <c r="O1261" s="41" t="n">
        <f aca="false">IFERROR(INDEX(Исходные!$B$21:$B$33,MATCH(H1261,Исходные!$A$21:$A$33,0)),0)</f>
        <v>0.154</v>
      </c>
      <c r="P1261" s="83" t="n">
        <f aca="false">N1261*O1261</f>
        <v>19.6504</v>
      </c>
      <c r="Q1261" s="20" t="s">
        <v>1500</v>
      </c>
      <c r="R1261" s="85" t="s">
        <v>535</v>
      </c>
      <c r="S1261" s="20" t="s">
        <v>1501</v>
      </c>
      <c r="T1261" s="20" t="s">
        <v>124</v>
      </c>
      <c r="U1261" s="53" t="n">
        <v>1</v>
      </c>
      <c r="V1261" s="76" t="s">
        <v>141</v>
      </c>
      <c r="W1261" s="53" t="n">
        <v>3</v>
      </c>
    </row>
    <row r="1262" customFormat="false" ht="35.05" hidden="false" customHeight="false" outlineLevel="0" collapsed="false">
      <c r="A1262" s="76" t="n">
        <v>1234</v>
      </c>
      <c r="B1262" s="20" t="s">
        <v>1526</v>
      </c>
      <c r="C1262" s="20" t="s">
        <v>1101</v>
      </c>
      <c r="D1262" s="20" t="s">
        <v>1102</v>
      </c>
      <c r="E1262" s="20" t="s">
        <v>1683</v>
      </c>
      <c r="F1262" s="76" t="s">
        <v>510</v>
      </c>
      <c r="G1262" s="20" t="s">
        <v>1684</v>
      </c>
      <c r="H1262" s="55" t="n">
        <v>18</v>
      </c>
      <c r="I1262" s="76" t="s">
        <v>512</v>
      </c>
      <c r="J1262" s="76" t="n">
        <v>150</v>
      </c>
      <c r="K1262" s="82" t="n">
        <v>1</v>
      </c>
      <c r="L1262" s="55" t="n">
        <v>18</v>
      </c>
      <c r="M1262" s="73" t="n">
        <v>6.109</v>
      </c>
      <c r="N1262" s="74" t="n">
        <f aca="false">K1262*L1262*M1262</f>
        <v>109.962</v>
      </c>
      <c r="O1262" s="41" t="n">
        <f aca="false">IFERROR(INDEX(Исходные!$B$21:$B$33,MATCH(H1262,Исходные!$A$21:$A$33,0)),0)</f>
        <v>1.998</v>
      </c>
      <c r="P1262" s="83" t="n">
        <f aca="false">N1262*O1262</f>
        <v>219.704076</v>
      </c>
      <c r="Q1262" s="20" t="s">
        <v>1682</v>
      </c>
      <c r="R1262" s="85" t="s">
        <v>535</v>
      </c>
      <c r="S1262" s="20" t="s">
        <v>1491</v>
      </c>
      <c r="T1262" s="20" t="s">
        <v>124</v>
      </c>
      <c r="U1262" s="53" t="n">
        <v>1</v>
      </c>
      <c r="V1262" s="76" t="s">
        <v>142</v>
      </c>
      <c r="W1262" s="53" t="n">
        <v>3</v>
      </c>
    </row>
    <row r="1263" customFormat="false" ht="35.05" hidden="false" customHeight="false" outlineLevel="0" collapsed="false">
      <c r="A1263" s="76" t="n">
        <v>1235</v>
      </c>
      <c r="B1263" s="20" t="s">
        <v>1526</v>
      </c>
      <c r="C1263" s="20" t="s">
        <v>1101</v>
      </c>
      <c r="D1263" s="20" t="s">
        <v>1107</v>
      </c>
      <c r="E1263" s="20" t="s">
        <v>1683</v>
      </c>
      <c r="F1263" s="76" t="s">
        <v>519</v>
      </c>
      <c r="G1263" s="20" t="s">
        <v>1492</v>
      </c>
      <c r="H1263" s="55" t="n">
        <v>10</v>
      </c>
      <c r="I1263" s="76" t="s">
        <v>512</v>
      </c>
      <c r="J1263" s="76" t="s">
        <v>1109</v>
      </c>
      <c r="K1263" s="82" t="n">
        <v>1</v>
      </c>
      <c r="L1263" s="55" t="n">
        <v>60</v>
      </c>
      <c r="M1263" s="73" t="n">
        <v>1.19</v>
      </c>
      <c r="N1263" s="74" t="n">
        <f aca="false">K1263*L1263*M1263</f>
        <v>71.4</v>
      </c>
      <c r="O1263" s="41" t="n">
        <f aca="false">IFERROR(INDEX(Исходные!$B$21:$B$33,MATCH(H1263,Исходные!$A$21:$A$33,0)),0)</f>
        <v>0.617</v>
      </c>
      <c r="P1263" s="83" t="n">
        <f aca="false">N1263*O1263</f>
        <v>44.0538</v>
      </c>
      <c r="Q1263" s="20" t="s">
        <v>1493</v>
      </c>
      <c r="R1263" s="84" t="s">
        <v>514</v>
      </c>
      <c r="S1263" s="20" t="s">
        <v>1494</v>
      </c>
      <c r="T1263" s="20" t="s">
        <v>124</v>
      </c>
      <c r="U1263" s="53" t="n">
        <v>0</v>
      </c>
      <c r="V1263" s="76" t="s">
        <v>142</v>
      </c>
      <c r="W1263" s="53" t="n">
        <v>3</v>
      </c>
    </row>
    <row r="1264" customFormat="false" ht="35.05" hidden="false" customHeight="false" outlineLevel="0" collapsed="false">
      <c r="A1264" s="76" t="n">
        <v>1236</v>
      </c>
      <c r="B1264" s="20" t="s">
        <v>1526</v>
      </c>
      <c r="C1264" s="20" t="s">
        <v>1101</v>
      </c>
      <c r="D1264" s="20" t="s">
        <v>1107</v>
      </c>
      <c r="E1264" s="20" t="s">
        <v>1683</v>
      </c>
      <c r="F1264" s="76" t="s">
        <v>575</v>
      </c>
      <c r="G1264" s="20" t="s">
        <v>1495</v>
      </c>
      <c r="H1264" s="55" t="n">
        <v>10</v>
      </c>
      <c r="I1264" s="76" t="s">
        <v>546</v>
      </c>
      <c r="J1264" s="76" t="s">
        <v>1109</v>
      </c>
      <c r="K1264" s="82" t="n">
        <v>1</v>
      </c>
      <c r="L1264" s="55" t="n">
        <v>60</v>
      </c>
      <c r="M1264" s="73" t="n">
        <v>0.52</v>
      </c>
      <c r="N1264" s="74" t="n">
        <f aca="false">K1264*L1264*M1264</f>
        <v>31.2</v>
      </c>
      <c r="O1264" s="41" t="n">
        <f aca="false">IFERROR(INDEX(Исходные!$B$21:$B$33,MATCH(H1264,Исходные!$A$21:$A$33,0)),0)</f>
        <v>0.617</v>
      </c>
      <c r="P1264" s="83" t="n">
        <f aca="false">N1264*O1264</f>
        <v>19.2504</v>
      </c>
      <c r="Q1264" s="20" t="s">
        <v>1496</v>
      </c>
      <c r="R1264" s="84" t="s">
        <v>514</v>
      </c>
      <c r="S1264" s="20"/>
      <c r="T1264" s="20" t="s">
        <v>124</v>
      </c>
      <c r="U1264" s="53" t="n">
        <v>0</v>
      </c>
      <c r="V1264" s="76" t="s">
        <v>142</v>
      </c>
      <c r="W1264" s="53" t="n">
        <v>3</v>
      </c>
    </row>
    <row r="1265" customFormat="false" ht="35.05" hidden="false" customHeight="false" outlineLevel="0" collapsed="false">
      <c r="A1265" s="76" t="n">
        <v>1237</v>
      </c>
      <c r="B1265" s="20" t="s">
        <v>1526</v>
      </c>
      <c r="C1265" s="20" t="s">
        <v>1101</v>
      </c>
      <c r="D1265" s="20" t="s">
        <v>1107</v>
      </c>
      <c r="E1265" s="20" t="s">
        <v>1683</v>
      </c>
      <c r="F1265" s="76" t="s">
        <v>522</v>
      </c>
      <c r="G1265" s="20" t="s">
        <v>1139</v>
      </c>
      <c r="H1265" s="55" t="n">
        <v>6</v>
      </c>
      <c r="I1265" s="76" t="s">
        <v>546</v>
      </c>
      <c r="J1265" s="76" t="s">
        <v>1115</v>
      </c>
      <c r="K1265" s="82" t="n">
        <v>1</v>
      </c>
      <c r="L1265" s="55" t="n">
        <v>38</v>
      </c>
      <c r="M1265" s="73" t="n">
        <v>0.28</v>
      </c>
      <c r="N1265" s="74" t="n">
        <f aca="false">K1265*L1265*M1265</f>
        <v>10.64</v>
      </c>
      <c r="O1265" s="41" t="n">
        <f aca="false">IFERROR(INDEX(Исходные!$B$21:$B$33,MATCH(H1265,Исходные!$A$21:$A$33,0)),0)</f>
        <v>0.222</v>
      </c>
      <c r="P1265" s="83" t="n">
        <f aca="false">N1265*O1265</f>
        <v>2.36208</v>
      </c>
      <c r="Q1265" s="20" t="s">
        <v>1497</v>
      </c>
      <c r="R1265" s="85" t="s">
        <v>638</v>
      </c>
      <c r="S1265" s="20" t="s">
        <v>1498</v>
      </c>
      <c r="T1265" s="20" t="s">
        <v>124</v>
      </c>
      <c r="U1265" s="53" t="n">
        <v>1</v>
      </c>
      <c r="V1265" s="76" t="s">
        <v>142</v>
      </c>
      <c r="W1265" s="53" t="n">
        <v>3</v>
      </c>
    </row>
    <row r="1266" customFormat="false" ht="35.05" hidden="false" customHeight="false" outlineLevel="0" collapsed="false">
      <c r="A1266" s="76" t="n">
        <v>1238</v>
      </c>
      <c r="B1266" s="20" t="s">
        <v>1526</v>
      </c>
      <c r="C1266" s="20" t="s">
        <v>1101</v>
      </c>
      <c r="D1266" s="20" t="s">
        <v>1107</v>
      </c>
      <c r="E1266" s="20" t="s">
        <v>1683</v>
      </c>
      <c r="F1266" s="76" t="s">
        <v>140</v>
      </c>
      <c r="G1266" s="20" t="s">
        <v>1499</v>
      </c>
      <c r="H1266" s="55" t="n">
        <v>5</v>
      </c>
      <c r="I1266" s="76" t="s">
        <v>1119</v>
      </c>
      <c r="J1266" s="76" t="s">
        <v>1120</v>
      </c>
      <c r="K1266" s="82" t="n">
        <v>6.38</v>
      </c>
      <c r="L1266" s="55" t="n">
        <v>20</v>
      </c>
      <c r="M1266" s="73" t="n">
        <v>1</v>
      </c>
      <c r="N1266" s="74" t="n">
        <f aca="false">K1266*L1266*M1266</f>
        <v>127.6</v>
      </c>
      <c r="O1266" s="41" t="n">
        <f aca="false">IFERROR(INDEX(Исходные!$B$21:$B$33,MATCH(H1266,Исходные!$A$21:$A$33,0)),0)</f>
        <v>0.154</v>
      </c>
      <c r="P1266" s="83" t="n">
        <f aca="false">N1266*O1266</f>
        <v>19.6504</v>
      </c>
      <c r="Q1266" s="20" t="s">
        <v>1500</v>
      </c>
      <c r="R1266" s="85" t="s">
        <v>535</v>
      </c>
      <c r="S1266" s="20" t="s">
        <v>1501</v>
      </c>
      <c r="T1266" s="20" t="s">
        <v>124</v>
      </c>
      <c r="U1266" s="53" t="n">
        <v>1</v>
      </c>
      <c r="V1266" s="76" t="s">
        <v>142</v>
      </c>
      <c r="W1266" s="53" t="n">
        <v>3</v>
      </c>
    </row>
    <row r="1267" customFormat="false" ht="35.05" hidden="false" customHeight="false" outlineLevel="0" collapsed="false">
      <c r="A1267" s="76" t="n">
        <v>1239</v>
      </c>
      <c r="B1267" s="20" t="s">
        <v>1526</v>
      </c>
      <c r="C1267" s="20" t="s">
        <v>1101</v>
      </c>
      <c r="D1267" s="20" t="s">
        <v>1685</v>
      </c>
      <c r="E1267" s="20" t="s">
        <v>1686</v>
      </c>
      <c r="F1267" s="76" t="s">
        <v>519</v>
      </c>
      <c r="G1267" s="20" t="s">
        <v>1506</v>
      </c>
      <c r="H1267" s="55" t="n">
        <v>10</v>
      </c>
      <c r="I1267" s="76" t="s">
        <v>512</v>
      </c>
      <c r="J1267" s="76" t="n">
        <v>100</v>
      </c>
      <c r="K1267" s="82" t="n">
        <v>2</v>
      </c>
      <c r="L1267" s="55" t="n">
        <v>28</v>
      </c>
      <c r="M1267" s="73" t="n">
        <v>1.19</v>
      </c>
      <c r="N1267" s="74" t="n">
        <f aca="false">K1267*L1267*M1267</f>
        <v>66.64</v>
      </c>
      <c r="O1267" s="41" t="n">
        <f aca="false">IFERROR(INDEX(Исходные!$B$21:$B$33,MATCH(H1267,Исходные!$A$21:$A$33,0)),0)</f>
        <v>0.617</v>
      </c>
      <c r="P1267" s="83" t="n">
        <f aca="false">N1267*O1267</f>
        <v>41.11688</v>
      </c>
      <c r="Q1267" s="20" t="s">
        <v>1507</v>
      </c>
      <c r="R1267" s="84" t="s">
        <v>514</v>
      </c>
      <c r="S1267" s="20"/>
      <c r="T1267" s="20" t="s">
        <v>124</v>
      </c>
      <c r="U1267" s="53" t="n">
        <v>0</v>
      </c>
      <c r="V1267" s="76" t="s">
        <v>1134</v>
      </c>
      <c r="W1267" s="53" t="n">
        <v>3</v>
      </c>
    </row>
    <row r="1268" customFormat="false" ht="35.05" hidden="false" customHeight="false" outlineLevel="0" collapsed="false">
      <c r="A1268" s="76" t="n">
        <v>1240</v>
      </c>
      <c r="B1268" s="20" t="s">
        <v>1526</v>
      </c>
      <c r="C1268" s="20" t="s">
        <v>1101</v>
      </c>
      <c r="D1268" s="20" t="s">
        <v>1685</v>
      </c>
      <c r="E1268" s="20" t="s">
        <v>1686</v>
      </c>
      <c r="F1268" s="76" t="s">
        <v>575</v>
      </c>
      <c r="G1268" s="20" t="s">
        <v>1508</v>
      </c>
      <c r="H1268" s="55" t="n">
        <v>10</v>
      </c>
      <c r="I1268" s="76" t="s">
        <v>546</v>
      </c>
      <c r="J1268" s="76" t="n">
        <v>100</v>
      </c>
      <c r="K1268" s="82" t="n">
        <v>2</v>
      </c>
      <c r="L1268" s="55" t="n">
        <v>28</v>
      </c>
      <c r="M1268" s="73" t="n">
        <v>0.52</v>
      </c>
      <c r="N1268" s="74" t="n">
        <f aca="false">K1268*L1268*M1268</f>
        <v>29.12</v>
      </c>
      <c r="O1268" s="41" t="n">
        <f aca="false">IFERROR(INDEX(Исходные!$B$21:$B$33,MATCH(H1268,Исходные!$A$21:$A$33,0)),0)</f>
        <v>0.617</v>
      </c>
      <c r="P1268" s="83" t="n">
        <f aca="false">N1268*O1268</f>
        <v>17.96704</v>
      </c>
      <c r="Q1268" s="20" t="s">
        <v>1136</v>
      </c>
      <c r="R1268" s="84" t="s">
        <v>514</v>
      </c>
      <c r="S1268" s="20"/>
      <c r="T1268" s="20" t="s">
        <v>124</v>
      </c>
      <c r="U1268" s="53" t="n">
        <v>0</v>
      </c>
      <c r="V1268" s="76" t="s">
        <v>1134</v>
      </c>
      <c r="W1268" s="53" t="n">
        <v>3</v>
      </c>
    </row>
    <row r="1269" customFormat="false" ht="35.05" hidden="false" customHeight="false" outlineLevel="0" collapsed="false">
      <c r="A1269" s="76" t="n">
        <v>1241</v>
      </c>
      <c r="B1269" s="20" t="s">
        <v>1526</v>
      </c>
      <c r="C1269" s="20" t="s">
        <v>1101</v>
      </c>
      <c r="D1269" s="20" t="s">
        <v>1685</v>
      </c>
      <c r="E1269" s="20" t="s">
        <v>1686</v>
      </c>
      <c r="F1269" s="76" t="s">
        <v>516</v>
      </c>
      <c r="G1269" s="20" t="s">
        <v>1509</v>
      </c>
      <c r="H1269" s="55" t="n">
        <v>10</v>
      </c>
      <c r="I1269" s="76" t="s">
        <v>512</v>
      </c>
      <c r="J1269" s="76" t="n">
        <v>100</v>
      </c>
      <c r="K1269" s="82" t="n">
        <v>1</v>
      </c>
      <c r="L1269" s="55" t="n">
        <v>28</v>
      </c>
      <c r="M1269" s="73" t="n">
        <v>0.6</v>
      </c>
      <c r="N1269" s="74" t="n">
        <f aca="false">K1269*L1269*M1269</f>
        <v>16.8</v>
      </c>
      <c r="O1269" s="41" t="n">
        <f aca="false">IFERROR(INDEX(Исходные!$B$21:$B$33,MATCH(H1269,Исходные!$A$21:$A$33,0)),0)</f>
        <v>0.617</v>
      </c>
      <c r="P1269" s="83" t="n">
        <f aca="false">N1269*O1269</f>
        <v>10.3656</v>
      </c>
      <c r="Q1269" s="20" t="s">
        <v>1510</v>
      </c>
      <c r="R1269" s="84" t="s">
        <v>514</v>
      </c>
      <c r="S1269" s="20"/>
      <c r="T1269" s="20" t="s">
        <v>124</v>
      </c>
      <c r="U1269" s="53" t="n">
        <v>0</v>
      </c>
      <c r="V1269" s="76" t="s">
        <v>1134</v>
      </c>
      <c r="W1269" s="53" t="n">
        <v>3</v>
      </c>
    </row>
    <row r="1270" customFormat="false" ht="35.05" hidden="false" customHeight="false" outlineLevel="0" collapsed="false">
      <c r="A1270" s="76" t="n">
        <v>1242</v>
      </c>
      <c r="B1270" s="20" t="s">
        <v>1526</v>
      </c>
      <c r="C1270" s="20" t="s">
        <v>1101</v>
      </c>
      <c r="D1270" s="20" t="s">
        <v>1685</v>
      </c>
      <c r="E1270" s="20" t="s">
        <v>1686</v>
      </c>
      <c r="F1270" s="76" t="s">
        <v>522</v>
      </c>
      <c r="G1270" s="20" t="s">
        <v>1511</v>
      </c>
      <c r="H1270" s="55" t="n">
        <v>6</v>
      </c>
      <c r="I1270" s="76" t="s">
        <v>546</v>
      </c>
      <c r="J1270" s="76" t="s">
        <v>1115</v>
      </c>
      <c r="K1270" s="82" t="n">
        <v>1</v>
      </c>
      <c r="L1270" s="55" t="n">
        <v>28</v>
      </c>
      <c r="M1270" s="73" t="n">
        <v>0.28</v>
      </c>
      <c r="N1270" s="74" t="n">
        <f aca="false">K1270*L1270*M1270</f>
        <v>7.84</v>
      </c>
      <c r="O1270" s="41" t="n">
        <f aca="false">IFERROR(INDEX(Исходные!$B$21:$B$33,MATCH(H1270,Исходные!$A$21:$A$33,0)),0)</f>
        <v>0.222</v>
      </c>
      <c r="P1270" s="83" t="n">
        <f aca="false">N1270*O1270</f>
        <v>1.74048</v>
      </c>
      <c r="Q1270" s="20" t="s">
        <v>1140</v>
      </c>
      <c r="R1270" s="85" t="s">
        <v>638</v>
      </c>
      <c r="S1270" s="20"/>
      <c r="T1270" s="20" t="s">
        <v>124</v>
      </c>
      <c r="U1270" s="53" t="n">
        <v>1</v>
      </c>
      <c r="V1270" s="76" t="s">
        <v>1134</v>
      </c>
      <c r="W1270" s="53" t="n">
        <v>3</v>
      </c>
    </row>
    <row r="1271" customFormat="false" ht="35.05" hidden="false" customHeight="false" outlineLevel="0" collapsed="false">
      <c r="A1271" s="76" t="n">
        <v>1243</v>
      </c>
      <c r="B1271" s="20" t="s">
        <v>1526</v>
      </c>
      <c r="C1271" s="20" t="s">
        <v>1101</v>
      </c>
      <c r="D1271" s="20" t="s">
        <v>1685</v>
      </c>
      <c r="E1271" s="20" t="s">
        <v>1686</v>
      </c>
      <c r="F1271" s="76" t="s">
        <v>1142</v>
      </c>
      <c r="G1271" s="20" t="s">
        <v>1512</v>
      </c>
      <c r="H1271" s="55" t="n">
        <v>10</v>
      </c>
      <c r="I1271" s="76" t="s">
        <v>512</v>
      </c>
      <c r="J1271" s="76" t="s">
        <v>164</v>
      </c>
      <c r="K1271" s="82" t="n">
        <v>2</v>
      </c>
      <c r="L1271" s="55" t="n">
        <v>4</v>
      </c>
      <c r="M1271" s="73" t="n">
        <v>0.48</v>
      </c>
      <c r="N1271" s="74" t="n">
        <f aca="false">K1271*L1271*M1271</f>
        <v>3.84</v>
      </c>
      <c r="O1271" s="41" t="n">
        <f aca="false">IFERROR(INDEX(Исходные!$B$21:$B$33,MATCH(H1271,Исходные!$A$21:$A$33,0)),0)</f>
        <v>0.617</v>
      </c>
      <c r="P1271" s="83" t="n">
        <f aca="false">N1271*O1271</f>
        <v>2.36928</v>
      </c>
      <c r="Q1271" s="20" t="s">
        <v>1513</v>
      </c>
      <c r="R1271" s="85" t="s">
        <v>638</v>
      </c>
      <c r="S1271" s="20"/>
      <c r="T1271" s="20" t="s">
        <v>124</v>
      </c>
      <c r="U1271" s="53" t="n">
        <v>1</v>
      </c>
      <c r="V1271" s="76" t="s">
        <v>1134</v>
      </c>
      <c r="W1271" s="53" t="n">
        <v>3</v>
      </c>
    </row>
    <row r="1272" customFormat="false" ht="35.05" hidden="false" customHeight="false" outlineLevel="0" collapsed="false">
      <c r="A1272" s="76" t="n">
        <v>1244</v>
      </c>
      <c r="B1272" s="20" t="s">
        <v>1526</v>
      </c>
      <c r="C1272" s="20" t="s">
        <v>1101</v>
      </c>
      <c r="D1272" s="20" t="s">
        <v>1146</v>
      </c>
      <c r="E1272" s="20" t="s">
        <v>220</v>
      </c>
      <c r="F1272" s="76" t="s">
        <v>510</v>
      </c>
      <c r="G1272" s="20" t="s">
        <v>1147</v>
      </c>
      <c r="H1272" s="55" t="n">
        <v>25</v>
      </c>
      <c r="I1272" s="76" t="s">
        <v>512</v>
      </c>
      <c r="J1272" s="76" t="s">
        <v>164</v>
      </c>
      <c r="K1272" s="82" t="n">
        <v>1</v>
      </c>
      <c r="L1272" s="55" t="n">
        <v>4</v>
      </c>
      <c r="M1272" s="73" t="n">
        <v>3.065</v>
      </c>
      <c r="N1272" s="74" t="n">
        <f aca="false">K1272*L1272*M1272</f>
        <v>12.26</v>
      </c>
      <c r="O1272" s="41" t="n">
        <f aca="false">IFERROR(INDEX(Исходные!$B$21:$B$33,MATCH(H1272,Исходные!$A$21:$A$33,0)),0)</f>
        <v>3.853</v>
      </c>
      <c r="P1272" s="83" t="n">
        <f aca="false">N1272*O1272</f>
        <v>47.23778</v>
      </c>
      <c r="Q1272" s="20" t="s">
        <v>1514</v>
      </c>
      <c r="R1272" s="85" t="s">
        <v>535</v>
      </c>
      <c r="S1272" s="20"/>
      <c r="T1272" s="20" t="s">
        <v>124</v>
      </c>
      <c r="U1272" s="53" t="n">
        <v>1</v>
      </c>
      <c r="V1272" s="76" t="s">
        <v>1150</v>
      </c>
      <c r="W1272" s="53" t="n">
        <v>3</v>
      </c>
    </row>
    <row r="1273" customFormat="false" ht="35.05" hidden="false" customHeight="false" outlineLevel="0" collapsed="false">
      <c r="A1273" s="76" t="n">
        <v>1245</v>
      </c>
      <c r="B1273" s="20" t="s">
        <v>1526</v>
      </c>
      <c r="C1273" s="20" t="s">
        <v>1101</v>
      </c>
      <c r="D1273" s="20" t="s">
        <v>1146</v>
      </c>
      <c r="E1273" s="20" t="s">
        <v>220</v>
      </c>
      <c r="F1273" s="76" t="s">
        <v>510</v>
      </c>
      <c r="G1273" s="20" t="s">
        <v>1687</v>
      </c>
      <c r="H1273" s="55" t="n">
        <v>25</v>
      </c>
      <c r="I1273" s="76" t="s">
        <v>512</v>
      </c>
      <c r="J1273" s="76" t="s">
        <v>164</v>
      </c>
      <c r="K1273" s="82" t="n">
        <v>1</v>
      </c>
      <c r="L1273" s="55" t="n">
        <v>4</v>
      </c>
      <c r="M1273" s="73" t="n">
        <v>2.21</v>
      </c>
      <c r="N1273" s="74" t="n">
        <f aca="false">K1273*L1273*M1273</f>
        <v>8.84</v>
      </c>
      <c r="O1273" s="41" t="n">
        <f aca="false">IFERROR(INDEX(Исходные!$B$21:$B$33,MATCH(H1273,Исходные!$A$21:$A$33,0)),0)</f>
        <v>3.853</v>
      </c>
      <c r="P1273" s="83" t="n">
        <f aca="false">N1273*O1273</f>
        <v>34.06052</v>
      </c>
      <c r="Q1273" s="20" t="s">
        <v>1688</v>
      </c>
      <c r="R1273" s="85" t="s">
        <v>535</v>
      </c>
      <c r="S1273" s="20" t="s">
        <v>1517</v>
      </c>
      <c r="T1273" s="20" t="s">
        <v>124</v>
      </c>
      <c r="U1273" s="53" t="n">
        <v>1</v>
      </c>
      <c r="V1273" s="76" t="s">
        <v>1150</v>
      </c>
      <c r="W1273" s="53" t="n">
        <v>3</v>
      </c>
    </row>
    <row r="1274" customFormat="false" ht="35.05" hidden="false" customHeight="false" outlineLevel="0" collapsed="false">
      <c r="A1274" s="76" t="n">
        <v>1246</v>
      </c>
      <c r="B1274" s="20" t="s">
        <v>1526</v>
      </c>
      <c r="C1274" s="20" t="s">
        <v>1101</v>
      </c>
      <c r="D1274" s="20" t="s">
        <v>1154</v>
      </c>
      <c r="E1274" s="20" t="s">
        <v>220</v>
      </c>
      <c r="F1274" s="76" t="s">
        <v>1155</v>
      </c>
      <c r="G1274" s="20" t="s">
        <v>1518</v>
      </c>
      <c r="H1274" s="55" t="n">
        <v>8</v>
      </c>
      <c r="I1274" s="76" t="s">
        <v>546</v>
      </c>
      <c r="J1274" s="76" t="n">
        <v>100</v>
      </c>
      <c r="K1274" s="82" t="n">
        <v>1</v>
      </c>
      <c r="L1274" s="55" t="n">
        <v>14</v>
      </c>
      <c r="M1274" s="73" t="n">
        <v>1.28</v>
      </c>
      <c r="N1274" s="74" t="n">
        <f aca="false">K1274*L1274*M1274</f>
        <v>17.92</v>
      </c>
      <c r="O1274" s="41" t="n">
        <f aca="false">IFERROR(INDEX(Исходные!$B$21:$B$33,MATCH(H1274,Исходные!$A$21:$A$33,0)),0)</f>
        <v>0.395</v>
      </c>
      <c r="P1274" s="83" t="n">
        <f aca="false">N1274*O1274</f>
        <v>7.0784</v>
      </c>
      <c r="Q1274" s="20" t="s">
        <v>1519</v>
      </c>
      <c r="R1274" s="84" t="s">
        <v>514</v>
      </c>
      <c r="S1274" s="20"/>
      <c r="T1274" s="20" t="s">
        <v>124</v>
      </c>
      <c r="U1274" s="53" t="n">
        <v>0</v>
      </c>
      <c r="V1274" s="76" t="s">
        <v>1150</v>
      </c>
      <c r="W1274" s="53" t="n">
        <v>3</v>
      </c>
    </row>
    <row r="1275" customFormat="false" ht="35.05" hidden="false" customHeight="false" outlineLevel="0" collapsed="false">
      <c r="A1275" s="76" t="n">
        <v>1247</v>
      </c>
      <c r="B1275" s="20" t="s">
        <v>1526</v>
      </c>
      <c r="C1275" s="20" t="s">
        <v>1101</v>
      </c>
      <c r="D1275" s="20" t="s">
        <v>1154</v>
      </c>
      <c r="E1275" s="20" t="s">
        <v>220</v>
      </c>
      <c r="F1275" s="76" t="s">
        <v>1158</v>
      </c>
      <c r="G1275" s="20" t="s">
        <v>1520</v>
      </c>
      <c r="H1275" s="55" t="n">
        <v>8</v>
      </c>
      <c r="I1275" s="76" t="s">
        <v>546</v>
      </c>
      <c r="J1275" s="76" t="n">
        <v>100</v>
      </c>
      <c r="K1275" s="82" t="n">
        <v>1</v>
      </c>
      <c r="L1275" s="55" t="n">
        <v>22</v>
      </c>
      <c r="M1275" s="73" t="n">
        <v>1.16</v>
      </c>
      <c r="N1275" s="74" t="n">
        <f aca="false">K1275*L1275*M1275</f>
        <v>25.52</v>
      </c>
      <c r="O1275" s="41" t="n">
        <f aca="false">IFERROR(INDEX(Исходные!$B$21:$B$33,MATCH(H1275,Исходные!$A$21:$A$33,0)),0)</f>
        <v>0.395</v>
      </c>
      <c r="P1275" s="83" t="n">
        <f aca="false">N1275*O1275</f>
        <v>10.0804</v>
      </c>
      <c r="Q1275" s="20" t="s">
        <v>1521</v>
      </c>
      <c r="R1275" s="84" t="s">
        <v>514</v>
      </c>
      <c r="S1275" s="20"/>
      <c r="T1275" s="20" t="s">
        <v>124</v>
      </c>
      <c r="U1275" s="53" t="n">
        <v>0</v>
      </c>
      <c r="V1275" s="76" t="s">
        <v>1150</v>
      </c>
      <c r="W1275" s="53" t="n">
        <v>3</v>
      </c>
    </row>
    <row r="1276" customFormat="false" ht="35.05" hidden="false" customHeight="false" outlineLevel="0" collapsed="false">
      <c r="A1276" s="76" t="n">
        <v>1248</v>
      </c>
      <c r="B1276" s="20" t="s">
        <v>1526</v>
      </c>
      <c r="C1276" s="20" t="s">
        <v>1101</v>
      </c>
      <c r="D1276" s="20" t="s">
        <v>1154</v>
      </c>
      <c r="E1276" s="20" t="s">
        <v>220</v>
      </c>
      <c r="F1276" s="76" t="s">
        <v>1161</v>
      </c>
      <c r="G1276" s="20" t="s">
        <v>1522</v>
      </c>
      <c r="H1276" s="55" t="n">
        <v>16</v>
      </c>
      <c r="I1276" s="76" t="s">
        <v>546</v>
      </c>
      <c r="J1276" s="76" t="s">
        <v>164</v>
      </c>
      <c r="K1276" s="82" t="n">
        <v>1</v>
      </c>
      <c r="L1276" s="55" t="n">
        <v>2</v>
      </c>
      <c r="M1276" s="73" t="n">
        <v>0.42</v>
      </c>
      <c r="N1276" s="74" t="n">
        <f aca="false">K1276*L1276*M1276</f>
        <v>0.84</v>
      </c>
      <c r="O1276" s="41" t="n">
        <f aca="false">IFERROR(INDEX(Исходные!$B$21:$B$33,MATCH(H1276,Исходные!$A$21:$A$33,0)),0)</f>
        <v>1.578</v>
      </c>
      <c r="P1276" s="83" t="n">
        <f aca="false">N1276*O1276</f>
        <v>1.32552</v>
      </c>
      <c r="Q1276" s="20" t="s">
        <v>1523</v>
      </c>
      <c r="R1276" s="85" t="s">
        <v>638</v>
      </c>
      <c r="S1276" s="20"/>
      <c r="T1276" s="20" t="s">
        <v>124</v>
      </c>
      <c r="U1276" s="53" t="n">
        <v>1</v>
      </c>
      <c r="V1276" s="76" t="s">
        <v>1150</v>
      </c>
      <c r="W1276" s="53" t="n">
        <v>3</v>
      </c>
    </row>
    <row r="1277" customFormat="false" ht="15" hidden="false" customHeight="true" outlineLevel="0" collapsed="false">
      <c r="A1277" s="80" t="s">
        <v>1689</v>
      </c>
      <c r="B1277" s="80"/>
      <c r="C1277" s="80"/>
      <c r="D1277" s="80"/>
      <c r="E1277" s="80"/>
      <c r="F1277" s="80"/>
      <c r="G1277" s="80"/>
      <c r="H1277" s="80"/>
      <c r="I1277" s="80"/>
      <c r="J1277" s="80"/>
      <c r="K1277" s="80"/>
      <c r="L1277" s="80"/>
      <c r="M1277" s="80"/>
      <c r="N1277" s="80"/>
      <c r="O1277" s="80"/>
      <c r="P1277" s="80"/>
      <c r="Q1277" s="80"/>
      <c r="R1277" s="80"/>
      <c r="S1277" s="80"/>
      <c r="T1277" s="80"/>
      <c r="U1277" s="80"/>
      <c r="V1277" s="80"/>
      <c r="W1277" s="80"/>
    </row>
    <row r="1278" customFormat="false" ht="15" hidden="false" customHeight="true" outlineLevel="0" collapsed="false">
      <c r="A1278" s="81" t="s">
        <v>1690</v>
      </c>
      <c r="B1278" s="81"/>
      <c r="C1278" s="81"/>
      <c r="D1278" s="81"/>
      <c r="E1278" s="81"/>
      <c r="F1278" s="81"/>
      <c r="G1278" s="81"/>
      <c r="H1278" s="81"/>
      <c r="I1278" s="81"/>
      <c r="J1278" s="81"/>
      <c r="K1278" s="81"/>
      <c r="L1278" s="81"/>
      <c r="M1278" s="81"/>
      <c r="N1278" s="81"/>
      <c r="O1278" s="81"/>
      <c r="P1278" s="81"/>
      <c r="Q1278" s="81"/>
      <c r="R1278" s="81"/>
      <c r="S1278" s="81"/>
      <c r="T1278" s="81"/>
      <c r="U1278" s="81"/>
      <c r="V1278" s="81"/>
      <c r="W1278" s="81"/>
    </row>
    <row r="1279" customFormat="false" ht="35.05" hidden="false" customHeight="false" outlineLevel="0" collapsed="false">
      <c r="A1279" s="76" t="n">
        <v>1249</v>
      </c>
      <c r="B1279" s="20" t="s">
        <v>1691</v>
      </c>
      <c r="C1279" s="20" t="s">
        <v>508</v>
      </c>
      <c r="D1279" s="20" t="s">
        <v>509</v>
      </c>
      <c r="E1279" s="20" t="s">
        <v>148</v>
      </c>
      <c r="F1279" s="76" t="s">
        <v>519</v>
      </c>
      <c r="G1279" s="20" t="s">
        <v>1168</v>
      </c>
      <c r="H1279" s="55" t="n">
        <v>28</v>
      </c>
      <c r="I1279" s="76" t="s">
        <v>512</v>
      </c>
      <c r="J1279" s="76" t="s">
        <v>164</v>
      </c>
      <c r="K1279" s="82" t="n">
        <v>1</v>
      </c>
      <c r="L1279" s="55" t="n">
        <v>4</v>
      </c>
      <c r="M1279" s="73" t="n">
        <v>3.6</v>
      </c>
      <c r="N1279" s="74" t="n">
        <f aca="false">K1279*L1279*M1279</f>
        <v>14.4</v>
      </c>
      <c r="O1279" s="41" t="n">
        <f aca="false">IFERROR(INDEX(Исходные!$B$21:$B$33,MATCH(H1279,Исходные!$A$21:$A$33,0)),0)</f>
        <v>4.834</v>
      </c>
      <c r="P1279" s="83" t="n">
        <f aca="false">N1279*O1279</f>
        <v>69.6096</v>
      </c>
      <c r="Q1279" s="20" t="s">
        <v>1527</v>
      </c>
      <c r="R1279" s="84" t="s">
        <v>514</v>
      </c>
      <c r="S1279" s="20" t="s">
        <v>1170</v>
      </c>
      <c r="T1279" s="20" t="s">
        <v>12</v>
      </c>
      <c r="U1279" s="53" t="n">
        <v>0</v>
      </c>
      <c r="V1279" s="76" t="s">
        <v>148</v>
      </c>
      <c r="W1279" s="53" t="n">
        <v>4</v>
      </c>
    </row>
    <row r="1280" customFormat="false" ht="35.05" hidden="false" customHeight="false" outlineLevel="0" collapsed="false">
      <c r="A1280" s="76" t="n">
        <v>1250</v>
      </c>
      <c r="B1280" s="20" t="s">
        <v>1691</v>
      </c>
      <c r="C1280" s="20" t="s">
        <v>508</v>
      </c>
      <c r="D1280" s="20" t="s">
        <v>509</v>
      </c>
      <c r="E1280" s="20" t="s">
        <v>148</v>
      </c>
      <c r="F1280" s="76" t="s">
        <v>516</v>
      </c>
      <c r="G1280" s="20" t="s">
        <v>1171</v>
      </c>
      <c r="H1280" s="55" t="n">
        <v>20</v>
      </c>
      <c r="I1280" s="76" t="s">
        <v>512</v>
      </c>
      <c r="J1280" s="76" t="s">
        <v>164</v>
      </c>
      <c r="K1280" s="82" t="n">
        <v>1</v>
      </c>
      <c r="L1280" s="55" t="n">
        <v>8</v>
      </c>
      <c r="M1280" s="73" t="n">
        <v>3.6</v>
      </c>
      <c r="N1280" s="74" t="n">
        <f aca="false">K1280*L1280*M1280</f>
        <v>28.8</v>
      </c>
      <c r="O1280" s="41" t="n">
        <f aca="false">IFERROR(INDEX(Исходные!$B$21:$B$33,MATCH(H1280,Исходные!$A$21:$A$33,0)),0)</f>
        <v>2.466</v>
      </c>
      <c r="P1280" s="83" t="n">
        <f aca="false">N1280*O1280</f>
        <v>71.0208</v>
      </c>
      <c r="Q1280" s="20" t="s">
        <v>1527</v>
      </c>
      <c r="R1280" s="84" t="s">
        <v>514</v>
      </c>
      <c r="S1280" s="20" t="s">
        <v>1172</v>
      </c>
      <c r="T1280" s="20" t="s">
        <v>12</v>
      </c>
      <c r="U1280" s="53" t="n">
        <v>0</v>
      </c>
      <c r="V1280" s="76" t="s">
        <v>148</v>
      </c>
      <c r="W1280" s="53" t="n">
        <v>4</v>
      </c>
    </row>
    <row r="1281" customFormat="false" ht="35.05" hidden="false" customHeight="false" outlineLevel="0" collapsed="false">
      <c r="A1281" s="76" t="n">
        <v>1251</v>
      </c>
      <c r="B1281" s="20" t="s">
        <v>1691</v>
      </c>
      <c r="C1281" s="20" t="s">
        <v>508</v>
      </c>
      <c r="D1281" s="20" t="s">
        <v>509</v>
      </c>
      <c r="E1281" s="20" t="s">
        <v>148</v>
      </c>
      <c r="F1281" s="76" t="s">
        <v>575</v>
      </c>
      <c r="G1281" s="20" t="s">
        <v>1528</v>
      </c>
      <c r="H1281" s="55" t="n">
        <v>22</v>
      </c>
      <c r="I1281" s="76" t="s">
        <v>512</v>
      </c>
      <c r="J1281" s="76" t="s">
        <v>164</v>
      </c>
      <c r="K1281" s="82" t="n">
        <v>1</v>
      </c>
      <c r="L1281" s="55" t="n">
        <v>12</v>
      </c>
      <c r="M1281" s="73" t="n">
        <v>3.6</v>
      </c>
      <c r="N1281" s="74" t="n">
        <f aca="false">K1281*L1281*M1281</f>
        <v>43.2</v>
      </c>
      <c r="O1281" s="41" t="n">
        <f aca="false">IFERROR(INDEX(Исходные!$B$21:$B$33,MATCH(H1281,Исходные!$A$21:$A$33,0)),0)</f>
        <v>2.984</v>
      </c>
      <c r="P1281" s="83" t="n">
        <f aca="false">N1281*O1281</f>
        <v>128.9088</v>
      </c>
      <c r="Q1281" s="20" t="s">
        <v>1527</v>
      </c>
      <c r="R1281" s="84" t="s">
        <v>514</v>
      </c>
      <c r="S1281" s="20" t="s">
        <v>1529</v>
      </c>
      <c r="T1281" s="20" t="s">
        <v>12</v>
      </c>
      <c r="U1281" s="53" t="n">
        <v>0</v>
      </c>
      <c r="V1281" s="76" t="s">
        <v>148</v>
      </c>
      <c r="W1281" s="53" t="n">
        <v>4</v>
      </c>
    </row>
    <row r="1282" customFormat="false" ht="35.05" hidden="false" customHeight="false" outlineLevel="0" collapsed="false">
      <c r="A1282" s="76" t="n">
        <v>1252</v>
      </c>
      <c r="B1282" s="20" t="s">
        <v>1691</v>
      </c>
      <c r="C1282" s="20" t="s">
        <v>508</v>
      </c>
      <c r="D1282" s="20" t="s">
        <v>509</v>
      </c>
      <c r="E1282" s="20" t="s">
        <v>148</v>
      </c>
      <c r="F1282" s="76" t="s">
        <v>669</v>
      </c>
      <c r="G1282" s="20" t="s">
        <v>1530</v>
      </c>
      <c r="H1282" s="55" t="n">
        <v>14</v>
      </c>
      <c r="I1282" s="76" t="s">
        <v>512</v>
      </c>
      <c r="J1282" s="76" t="s">
        <v>164</v>
      </c>
      <c r="K1282" s="82" t="n">
        <v>1</v>
      </c>
      <c r="L1282" s="55" t="n">
        <v>8</v>
      </c>
      <c r="M1282" s="73" t="n">
        <v>3.712</v>
      </c>
      <c r="N1282" s="74" t="n">
        <f aca="false">K1282*L1282*M1282</f>
        <v>29.696</v>
      </c>
      <c r="O1282" s="41" t="n">
        <f aca="false">IFERROR(INDEX(Исходные!$B$21:$B$33,MATCH(H1282,Исходные!$A$21:$A$33,0)),0)</f>
        <v>1.208</v>
      </c>
      <c r="P1282" s="83" t="n">
        <f aca="false">N1282*O1282</f>
        <v>35.872768</v>
      </c>
      <c r="Q1282" s="20" t="s">
        <v>1527</v>
      </c>
      <c r="R1282" s="84" t="s">
        <v>514</v>
      </c>
      <c r="S1282" s="20" t="s">
        <v>1531</v>
      </c>
      <c r="T1282" s="20" t="s">
        <v>12</v>
      </c>
      <c r="U1282" s="53" t="n">
        <v>0</v>
      </c>
      <c r="V1282" s="76" t="s">
        <v>148</v>
      </c>
      <c r="W1282" s="53" t="n">
        <v>4</v>
      </c>
    </row>
    <row r="1283" customFormat="false" ht="35.05" hidden="false" customHeight="false" outlineLevel="0" collapsed="false">
      <c r="A1283" s="76" t="n">
        <v>1253</v>
      </c>
      <c r="B1283" s="20" t="s">
        <v>1691</v>
      </c>
      <c r="C1283" s="20" t="s">
        <v>508</v>
      </c>
      <c r="D1283" s="20" t="s">
        <v>509</v>
      </c>
      <c r="E1283" s="20" t="s">
        <v>148</v>
      </c>
      <c r="F1283" s="76" t="s">
        <v>522</v>
      </c>
      <c r="G1283" s="20" t="s">
        <v>1177</v>
      </c>
      <c r="H1283" s="55" t="n">
        <v>25</v>
      </c>
      <c r="I1283" s="76" t="s">
        <v>512</v>
      </c>
      <c r="J1283" s="76" t="s">
        <v>164</v>
      </c>
      <c r="K1283" s="82" t="n">
        <v>1</v>
      </c>
      <c r="L1283" s="55" t="n">
        <v>6</v>
      </c>
      <c r="M1283" s="73" t="n">
        <v>3.6</v>
      </c>
      <c r="N1283" s="74" t="n">
        <f aca="false">K1283*L1283*M1283</f>
        <v>21.6</v>
      </c>
      <c r="O1283" s="41" t="n">
        <f aca="false">IFERROR(INDEX(Исходные!$B$21:$B$33,MATCH(H1283,Исходные!$A$21:$A$33,0)),0)</f>
        <v>3.853</v>
      </c>
      <c r="P1283" s="83" t="n">
        <f aca="false">N1283*O1283</f>
        <v>83.2248</v>
      </c>
      <c r="Q1283" s="20" t="s">
        <v>1527</v>
      </c>
      <c r="R1283" s="84" t="s">
        <v>514</v>
      </c>
      <c r="S1283" s="20" t="s">
        <v>1178</v>
      </c>
      <c r="T1283" s="20" t="s">
        <v>12</v>
      </c>
      <c r="U1283" s="53" t="n">
        <v>0</v>
      </c>
      <c r="V1283" s="76" t="s">
        <v>148</v>
      </c>
      <c r="W1283" s="53" t="n">
        <v>4</v>
      </c>
    </row>
    <row r="1284" customFormat="false" ht="35.05" hidden="false" customHeight="false" outlineLevel="0" collapsed="false">
      <c r="A1284" s="76" t="n">
        <v>1254</v>
      </c>
      <c r="B1284" s="20" t="s">
        <v>1691</v>
      </c>
      <c r="C1284" s="20" t="s">
        <v>508</v>
      </c>
      <c r="D1284" s="20" t="s">
        <v>509</v>
      </c>
      <c r="E1284" s="20" t="s">
        <v>148</v>
      </c>
      <c r="F1284" s="76" t="s">
        <v>669</v>
      </c>
      <c r="G1284" s="20" t="s">
        <v>1532</v>
      </c>
      <c r="H1284" s="55" t="n">
        <v>18</v>
      </c>
      <c r="I1284" s="76" t="s">
        <v>512</v>
      </c>
      <c r="J1284" s="76" t="s">
        <v>164</v>
      </c>
      <c r="K1284" s="82" t="n">
        <v>1</v>
      </c>
      <c r="L1284" s="55" t="n">
        <v>4</v>
      </c>
      <c r="M1284" s="73" t="n">
        <v>3.744</v>
      </c>
      <c r="N1284" s="74" t="n">
        <f aca="false">K1284*L1284*M1284</f>
        <v>14.976</v>
      </c>
      <c r="O1284" s="41" t="n">
        <f aca="false">IFERROR(INDEX(Исходные!$B$21:$B$33,MATCH(H1284,Исходные!$A$21:$A$33,0)),0)</f>
        <v>1.998</v>
      </c>
      <c r="P1284" s="83" t="n">
        <f aca="false">N1284*O1284</f>
        <v>29.922048</v>
      </c>
      <c r="Q1284" s="20" t="s">
        <v>1527</v>
      </c>
      <c r="R1284" s="84" t="s">
        <v>514</v>
      </c>
      <c r="S1284" s="20" t="s">
        <v>1533</v>
      </c>
      <c r="T1284" s="20" t="s">
        <v>12</v>
      </c>
      <c r="U1284" s="53" t="n">
        <v>0</v>
      </c>
      <c r="V1284" s="76" t="s">
        <v>148</v>
      </c>
      <c r="W1284" s="53" t="n">
        <v>4</v>
      </c>
    </row>
    <row r="1285" customFormat="false" ht="35.05" hidden="false" customHeight="false" outlineLevel="0" collapsed="false">
      <c r="A1285" s="76" t="n">
        <v>1255</v>
      </c>
      <c r="B1285" s="20" t="s">
        <v>1691</v>
      </c>
      <c r="C1285" s="20" t="s">
        <v>508</v>
      </c>
      <c r="D1285" s="20" t="s">
        <v>509</v>
      </c>
      <c r="E1285" s="20" t="s">
        <v>148</v>
      </c>
      <c r="F1285" s="76" t="s">
        <v>669</v>
      </c>
      <c r="G1285" s="20" t="s">
        <v>1181</v>
      </c>
      <c r="H1285" s="55" t="n">
        <v>14</v>
      </c>
      <c r="I1285" s="76" t="s">
        <v>512</v>
      </c>
      <c r="J1285" s="76" t="s">
        <v>164</v>
      </c>
      <c r="K1285" s="82" t="n">
        <v>1</v>
      </c>
      <c r="L1285" s="55" t="n">
        <v>8</v>
      </c>
      <c r="M1285" s="73" t="n">
        <v>3.712</v>
      </c>
      <c r="N1285" s="74" t="n">
        <f aca="false">K1285*L1285*M1285</f>
        <v>29.696</v>
      </c>
      <c r="O1285" s="41" t="n">
        <f aca="false">IFERROR(INDEX(Исходные!$B$21:$B$33,MATCH(H1285,Исходные!$A$21:$A$33,0)),0)</f>
        <v>1.208</v>
      </c>
      <c r="P1285" s="83" t="n">
        <f aca="false">N1285*O1285</f>
        <v>35.872768</v>
      </c>
      <c r="Q1285" s="20" t="s">
        <v>1527</v>
      </c>
      <c r="R1285" s="84" t="s">
        <v>514</v>
      </c>
      <c r="S1285" s="20" t="s">
        <v>1182</v>
      </c>
      <c r="T1285" s="20" t="s">
        <v>12</v>
      </c>
      <c r="U1285" s="53" t="n">
        <v>0</v>
      </c>
      <c r="V1285" s="76" t="s">
        <v>148</v>
      </c>
      <c r="W1285" s="53" t="n">
        <v>4</v>
      </c>
    </row>
    <row r="1286" customFormat="false" ht="35.05" hidden="false" customHeight="false" outlineLevel="0" collapsed="false">
      <c r="A1286" s="76" t="n">
        <v>1256</v>
      </c>
      <c r="B1286" s="20" t="s">
        <v>1691</v>
      </c>
      <c r="C1286" s="20" t="s">
        <v>508</v>
      </c>
      <c r="D1286" s="20" t="s">
        <v>509</v>
      </c>
      <c r="E1286" s="20" t="s">
        <v>148</v>
      </c>
      <c r="F1286" s="76" t="s">
        <v>532</v>
      </c>
      <c r="G1286" s="20" t="s">
        <v>533</v>
      </c>
      <c r="H1286" s="55" t="n">
        <v>10</v>
      </c>
      <c r="I1286" s="76" t="s">
        <v>512</v>
      </c>
      <c r="J1286" s="76" t="n">
        <v>200</v>
      </c>
      <c r="K1286" s="82" t="n">
        <v>1</v>
      </c>
      <c r="L1286" s="55" t="n">
        <v>32</v>
      </c>
      <c r="M1286" s="73" t="n">
        <v>1.95</v>
      </c>
      <c r="N1286" s="74" t="n">
        <f aca="false">K1286*L1286*M1286</f>
        <v>62.4</v>
      </c>
      <c r="O1286" s="41" t="n">
        <f aca="false">IFERROR(INDEX(Исходные!$B$21:$B$33,MATCH(H1286,Исходные!$A$21:$A$33,0)),0)</f>
        <v>0.617</v>
      </c>
      <c r="P1286" s="83" t="n">
        <f aca="false">N1286*O1286</f>
        <v>38.5008</v>
      </c>
      <c r="Q1286" s="20" t="s">
        <v>1692</v>
      </c>
      <c r="R1286" s="85" t="s">
        <v>535</v>
      </c>
      <c r="S1286" s="20" t="s">
        <v>1693</v>
      </c>
      <c r="T1286" s="20" t="s">
        <v>12</v>
      </c>
      <c r="U1286" s="53" t="n">
        <v>1</v>
      </c>
      <c r="V1286" s="76" t="s">
        <v>148</v>
      </c>
      <c r="W1286" s="53" t="n">
        <v>4</v>
      </c>
    </row>
    <row r="1287" customFormat="false" ht="35.05" hidden="false" customHeight="false" outlineLevel="0" collapsed="false">
      <c r="A1287" s="76" t="n">
        <v>1257</v>
      </c>
      <c r="B1287" s="20" t="s">
        <v>1691</v>
      </c>
      <c r="C1287" s="20" t="s">
        <v>508</v>
      </c>
      <c r="D1287" s="20" t="s">
        <v>509</v>
      </c>
      <c r="E1287" s="20" t="s">
        <v>148</v>
      </c>
      <c r="F1287" s="76" t="s">
        <v>532</v>
      </c>
      <c r="G1287" s="20" t="s">
        <v>537</v>
      </c>
      <c r="H1287" s="55" t="n">
        <v>12</v>
      </c>
      <c r="I1287" s="76" t="s">
        <v>512</v>
      </c>
      <c r="J1287" s="76" t="n">
        <v>200</v>
      </c>
      <c r="K1287" s="82" t="n">
        <v>1</v>
      </c>
      <c r="L1287" s="55" t="n">
        <v>32</v>
      </c>
      <c r="M1287" s="73" t="n">
        <v>2.25</v>
      </c>
      <c r="N1287" s="74" t="n">
        <f aca="false">K1287*L1287*M1287</f>
        <v>72</v>
      </c>
      <c r="O1287" s="41" t="n">
        <f aca="false">IFERROR(INDEX(Исходные!$B$21:$B$33,MATCH(H1287,Исходные!$A$21:$A$33,0)),0)</f>
        <v>0.888</v>
      </c>
      <c r="P1287" s="83" t="n">
        <f aca="false">N1287*O1287</f>
        <v>63.936</v>
      </c>
      <c r="Q1287" s="20" t="s">
        <v>1692</v>
      </c>
      <c r="R1287" s="85" t="s">
        <v>535</v>
      </c>
      <c r="S1287" s="20" t="s">
        <v>1694</v>
      </c>
      <c r="T1287" s="20" t="s">
        <v>12</v>
      </c>
      <c r="U1287" s="53" t="n">
        <v>1</v>
      </c>
      <c r="V1287" s="76" t="s">
        <v>148</v>
      </c>
      <c r="W1287" s="53" t="n">
        <v>4</v>
      </c>
    </row>
    <row r="1288" customFormat="false" ht="35.05" hidden="false" customHeight="false" outlineLevel="0" collapsed="false">
      <c r="A1288" s="76" t="n">
        <v>1258</v>
      </c>
      <c r="B1288" s="20" t="s">
        <v>1691</v>
      </c>
      <c r="C1288" s="20" t="s">
        <v>508</v>
      </c>
      <c r="D1288" s="20" t="s">
        <v>509</v>
      </c>
      <c r="E1288" s="20" t="s">
        <v>148</v>
      </c>
      <c r="F1288" s="76" t="s">
        <v>539</v>
      </c>
      <c r="G1288" s="20" t="s">
        <v>1695</v>
      </c>
      <c r="H1288" s="55" t="n">
        <v>10</v>
      </c>
      <c r="I1288" s="76" t="s">
        <v>512</v>
      </c>
      <c r="J1288" s="76" t="n">
        <v>200</v>
      </c>
      <c r="K1288" s="82" t="n">
        <v>1</v>
      </c>
      <c r="L1288" s="55" t="n">
        <v>6</v>
      </c>
      <c r="M1288" s="73" t="n">
        <v>1.95</v>
      </c>
      <c r="N1288" s="74" t="n">
        <f aca="false">K1288*L1288*M1288</f>
        <v>11.7</v>
      </c>
      <c r="O1288" s="41" t="n">
        <f aca="false">IFERROR(INDEX(Исходные!$B$21:$B$33,MATCH(H1288,Исходные!$A$21:$A$33,0)),0)</f>
        <v>0.617</v>
      </c>
      <c r="P1288" s="83" t="n">
        <f aca="false">N1288*O1288</f>
        <v>7.2189</v>
      </c>
      <c r="Q1288" s="20" t="s">
        <v>1187</v>
      </c>
      <c r="R1288" s="85" t="s">
        <v>638</v>
      </c>
      <c r="S1288" s="20"/>
      <c r="T1288" s="20" t="s">
        <v>12</v>
      </c>
      <c r="U1288" s="53" t="n">
        <v>1</v>
      </c>
      <c r="V1288" s="76" t="s">
        <v>148</v>
      </c>
      <c r="W1288" s="53" t="n">
        <v>4</v>
      </c>
    </row>
    <row r="1289" customFormat="false" ht="35.05" hidden="false" customHeight="false" outlineLevel="0" collapsed="false">
      <c r="A1289" s="76" t="n">
        <v>1259</v>
      </c>
      <c r="B1289" s="20" t="s">
        <v>1691</v>
      </c>
      <c r="C1289" s="20" t="s">
        <v>508</v>
      </c>
      <c r="D1289" s="20" t="s">
        <v>509</v>
      </c>
      <c r="E1289" s="20" t="s">
        <v>148</v>
      </c>
      <c r="F1289" s="76" t="s">
        <v>539</v>
      </c>
      <c r="G1289" s="20" t="s">
        <v>1696</v>
      </c>
      <c r="H1289" s="55" t="n">
        <v>12</v>
      </c>
      <c r="I1289" s="76" t="s">
        <v>512</v>
      </c>
      <c r="J1289" s="76" t="n">
        <v>200</v>
      </c>
      <c r="K1289" s="82" t="n">
        <v>1</v>
      </c>
      <c r="L1289" s="55" t="n">
        <v>6</v>
      </c>
      <c r="M1289" s="73" t="n">
        <v>1.2</v>
      </c>
      <c r="N1289" s="74" t="n">
        <f aca="false">K1289*L1289*M1289</f>
        <v>7.2</v>
      </c>
      <c r="O1289" s="41" t="n">
        <f aca="false">IFERROR(INDEX(Исходные!$B$21:$B$33,MATCH(H1289,Исходные!$A$21:$A$33,0)),0)</f>
        <v>0.888</v>
      </c>
      <c r="P1289" s="83" t="n">
        <f aca="false">N1289*O1289</f>
        <v>6.3936</v>
      </c>
      <c r="Q1289" s="20" t="s">
        <v>1187</v>
      </c>
      <c r="R1289" s="84" t="s">
        <v>514</v>
      </c>
      <c r="S1289" s="20"/>
      <c r="T1289" s="20" t="s">
        <v>12</v>
      </c>
      <c r="U1289" s="53" t="n">
        <v>0</v>
      </c>
      <c r="V1289" s="76" t="s">
        <v>148</v>
      </c>
      <c r="W1289" s="53" t="n">
        <v>4</v>
      </c>
    </row>
    <row r="1290" customFormat="false" ht="35.05" hidden="false" customHeight="false" outlineLevel="0" collapsed="false">
      <c r="A1290" s="76" t="n">
        <v>1260</v>
      </c>
      <c r="B1290" s="20" t="s">
        <v>1691</v>
      </c>
      <c r="C1290" s="20" t="s">
        <v>508</v>
      </c>
      <c r="D1290" s="20" t="s">
        <v>509</v>
      </c>
      <c r="E1290" s="20" t="s">
        <v>148</v>
      </c>
      <c r="F1290" s="76" t="s">
        <v>539</v>
      </c>
      <c r="G1290" s="20" t="s">
        <v>1697</v>
      </c>
      <c r="H1290" s="55" t="n">
        <v>10</v>
      </c>
      <c r="I1290" s="76" t="s">
        <v>512</v>
      </c>
      <c r="J1290" s="76" t="n">
        <v>200</v>
      </c>
      <c r="K1290" s="82" t="n">
        <v>1</v>
      </c>
      <c r="L1290" s="55" t="n">
        <v>6</v>
      </c>
      <c r="M1290" s="73" t="n">
        <v>1.2</v>
      </c>
      <c r="N1290" s="74" t="n">
        <f aca="false">K1290*L1290*M1290</f>
        <v>7.2</v>
      </c>
      <c r="O1290" s="41" t="n">
        <f aca="false">IFERROR(INDEX(Исходные!$B$21:$B$33,MATCH(H1290,Исходные!$A$21:$A$33,0)),0)</f>
        <v>0.617</v>
      </c>
      <c r="P1290" s="83" t="n">
        <f aca="false">N1290*O1290</f>
        <v>4.4424</v>
      </c>
      <c r="Q1290" s="20" t="s">
        <v>1187</v>
      </c>
      <c r="R1290" s="85" t="s">
        <v>638</v>
      </c>
      <c r="S1290" s="20"/>
      <c r="T1290" s="20" t="s">
        <v>12</v>
      </c>
      <c r="U1290" s="53" t="n">
        <v>1</v>
      </c>
      <c r="V1290" s="76" t="s">
        <v>148</v>
      </c>
      <c r="W1290" s="53" t="n">
        <v>4</v>
      </c>
    </row>
    <row r="1291" customFormat="false" ht="35.05" hidden="false" customHeight="false" outlineLevel="0" collapsed="false">
      <c r="A1291" s="76" t="n">
        <v>1261</v>
      </c>
      <c r="B1291" s="20" t="s">
        <v>1691</v>
      </c>
      <c r="C1291" s="20" t="s">
        <v>508</v>
      </c>
      <c r="D1291" s="20" t="s">
        <v>509</v>
      </c>
      <c r="E1291" s="20" t="s">
        <v>148</v>
      </c>
      <c r="F1291" s="76" t="s">
        <v>1538</v>
      </c>
      <c r="G1291" s="20" t="s">
        <v>1698</v>
      </c>
      <c r="H1291" s="55" t="n">
        <v>16</v>
      </c>
      <c r="I1291" s="76" t="s">
        <v>512</v>
      </c>
      <c r="J1291" s="76" t="s">
        <v>164</v>
      </c>
      <c r="K1291" s="82" t="n">
        <v>1</v>
      </c>
      <c r="L1291" s="55" t="n">
        <v>8</v>
      </c>
      <c r="M1291" s="73" t="n">
        <v>1.6</v>
      </c>
      <c r="N1291" s="74" t="n">
        <f aca="false">K1291*L1291*M1291</f>
        <v>12.8</v>
      </c>
      <c r="O1291" s="41" t="n">
        <f aca="false">IFERROR(INDEX(Исходные!$B$21:$B$33,MATCH(H1291,Исходные!$A$21:$A$33,0)),0)</f>
        <v>1.578</v>
      </c>
      <c r="P1291" s="83" t="n">
        <f aca="false">N1291*O1291</f>
        <v>20.1984</v>
      </c>
      <c r="Q1291" s="20" t="s">
        <v>1699</v>
      </c>
      <c r="R1291" s="85" t="s">
        <v>535</v>
      </c>
      <c r="S1291" s="20" t="s">
        <v>1541</v>
      </c>
      <c r="T1291" s="20" t="s">
        <v>12</v>
      </c>
      <c r="U1291" s="53" t="n">
        <v>1</v>
      </c>
      <c r="V1291" s="76" t="s">
        <v>148</v>
      </c>
      <c r="W1291" s="53" t="n">
        <v>4</v>
      </c>
    </row>
    <row r="1292" customFormat="false" ht="35.05" hidden="false" customHeight="false" outlineLevel="0" collapsed="false">
      <c r="A1292" s="76" t="n">
        <v>1262</v>
      </c>
      <c r="B1292" s="20" t="s">
        <v>1691</v>
      </c>
      <c r="C1292" s="20" t="s">
        <v>508</v>
      </c>
      <c r="D1292" s="20" t="s">
        <v>509</v>
      </c>
      <c r="E1292" s="20" t="s">
        <v>148</v>
      </c>
      <c r="F1292" s="76" t="s">
        <v>544</v>
      </c>
      <c r="G1292" s="20" t="s">
        <v>1191</v>
      </c>
      <c r="H1292" s="55" t="n">
        <v>10</v>
      </c>
      <c r="I1292" s="76" t="s">
        <v>546</v>
      </c>
      <c r="J1292" s="76" t="s">
        <v>547</v>
      </c>
      <c r="K1292" s="82" t="n">
        <v>1</v>
      </c>
      <c r="L1292" s="55" t="n">
        <v>48</v>
      </c>
      <c r="M1292" s="73" t="n">
        <v>1.33</v>
      </c>
      <c r="N1292" s="74" t="n">
        <f aca="false">K1292*L1292*M1292</f>
        <v>63.84</v>
      </c>
      <c r="O1292" s="41" t="n">
        <f aca="false">IFERROR(INDEX(Исходные!$B$21:$B$33,MATCH(H1292,Исходные!$A$21:$A$33,0)),0)</f>
        <v>0.617</v>
      </c>
      <c r="P1292" s="83" t="n">
        <f aca="false">N1292*O1292</f>
        <v>39.38928</v>
      </c>
      <c r="Q1292" s="20" t="s">
        <v>1218</v>
      </c>
      <c r="R1292" s="84" t="s">
        <v>514</v>
      </c>
      <c r="S1292" s="20"/>
      <c r="T1292" s="20" t="s">
        <v>12</v>
      </c>
      <c r="U1292" s="53" t="n">
        <v>0</v>
      </c>
      <c r="V1292" s="76" t="s">
        <v>148</v>
      </c>
      <c r="W1292" s="53" t="n">
        <v>4</v>
      </c>
    </row>
    <row r="1293" customFormat="false" ht="35.05" hidden="false" customHeight="false" outlineLevel="0" collapsed="false">
      <c r="A1293" s="76" t="n">
        <v>1263</v>
      </c>
      <c r="B1293" s="20" t="s">
        <v>1691</v>
      </c>
      <c r="C1293" s="20" t="s">
        <v>508</v>
      </c>
      <c r="D1293" s="20" t="s">
        <v>509</v>
      </c>
      <c r="E1293" s="20" t="s">
        <v>148</v>
      </c>
      <c r="F1293" s="76" t="s">
        <v>696</v>
      </c>
      <c r="G1293" s="20" t="s">
        <v>1193</v>
      </c>
      <c r="H1293" s="55" t="n">
        <v>8</v>
      </c>
      <c r="I1293" s="76" t="s">
        <v>546</v>
      </c>
      <c r="J1293" s="76" t="s">
        <v>547</v>
      </c>
      <c r="K1293" s="82" t="n">
        <v>1</v>
      </c>
      <c r="L1293" s="55" t="n">
        <v>32</v>
      </c>
      <c r="M1293" s="73" t="n">
        <v>1.56</v>
      </c>
      <c r="N1293" s="74" t="n">
        <f aca="false">K1293*L1293*M1293</f>
        <v>49.92</v>
      </c>
      <c r="O1293" s="41" t="n">
        <f aca="false">IFERROR(INDEX(Исходные!$B$21:$B$33,MATCH(H1293,Исходные!$A$21:$A$33,0)),0)</f>
        <v>0.395</v>
      </c>
      <c r="P1293" s="83" t="n">
        <f aca="false">N1293*O1293</f>
        <v>19.7184</v>
      </c>
      <c r="Q1293" s="20" t="s">
        <v>1220</v>
      </c>
      <c r="R1293" s="84" t="s">
        <v>514</v>
      </c>
      <c r="S1293" s="20"/>
      <c r="T1293" s="20" t="s">
        <v>12</v>
      </c>
      <c r="U1293" s="53" t="n">
        <v>0</v>
      </c>
      <c r="V1293" s="76" t="s">
        <v>148</v>
      </c>
      <c r="W1293" s="53" t="n">
        <v>4</v>
      </c>
    </row>
    <row r="1294" customFormat="false" ht="35.05" hidden="false" customHeight="false" outlineLevel="0" collapsed="false">
      <c r="A1294" s="76" t="n">
        <v>1264</v>
      </c>
      <c r="B1294" s="20" t="s">
        <v>1691</v>
      </c>
      <c r="C1294" s="20" t="s">
        <v>508</v>
      </c>
      <c r="D1294" s="20" t="s">
        <v>509</v>
      </c>
      <c r="E1294" s="20" t="s">
        <v>148</v>
      </c>
      <c r="F1294" s="76" t="s">
        <v>603</v>
      </c>
      <c r="G1294" s="20" t="s">
        <v>1195</v>
      </c>
      <c r="H1294" s="55" t="n">
        <v>8</v>
      </c>
      <c r="I1294" s="76" t="s">
        <v>546</v>
      </c>
      <c r="J1294" s="76" t="s">
        <v>547</v>
      </c>
      <c r="K1294" s="82" t="n">
        <v>1</v>
      </c>
      <c r="L1294" s="55" t="n">
        <v>16</v>
      </c>
      <c r="M1294" s="73" t="n">
        <v>1.76</v>
      </c>
      <c r="N1294" s="74" t="n">
        <f aca="false">K1294*L1294*M1294</f>
        <v>28.16</v>
      </c>
      <c r="O1294" s="41" t="n">
        <f aca="false">IFERROR(INDEX(Исходные!$B$21:$B$33,MATCH(H1294,Исходные!$A$21:$A$33,0)),0)</f>
        <v>0.395</v>
      </c>
      <c r="P1294" s="83" t="n">
        <f aca="false">N1294*O1294</f>
        <v>11.1232</v>
      </c>
      <c r="Q1294" s="20" t="s">
        <v>1221</v>
      </c>
      <c r="R1294" s="84" t="s">
        <v>514</v>
      </c>
      <c r="S1294" s="20"/>
      <c r="T1294" s="20" t="s">
        <v>12</v>
      </c>
      <c r="U1294" s="53" t="n">
        <v>0</v>
      </c>
      <c r="V1294" s="76" t="s">
        <v>148</v>
      </c>
      <c r="W1294" s="53" t="n">
        <v>4</v>
      </c>
    </row>
    <row r="1295" customFormat="false" ht="35.05" hidden="false" customHeight="false" outlineLevel="0" collapsed="false">
      <c r="A1295" s="76" t="n">
        <v>1265</v>
      </c>
      <c r="B1295" s="20" t="s">
        <v>1691</v>
      </c>
      <c r="C1295" s="20" t="s">
        <v>508</v>
      </c>
      <c r="D1295" s="20" t="s">
        <v>509</v>
      </c>
      <c r="E1295" s="20" t="s">
        <v>148</v>
      </c>
      <c r="F1295" s="76" t="s">
        <v>555</v>
      </c>
      <c r="G1295" s="20" t="s">
        <v>1197</v>
      </c>
      <c r="H1295" s="55" t="n">
        <v>8</v>
      </c>
      <c r="I1295" s="76" t="s">
        <v>546</v>
      </c>
      <c r="J1295" s="76" t="s">
        <v>547</v>
      </c>
      <c r="K1295" s="82" t="n">
        <v>1</v>
      </c>
      <c r="L1295" s="55" t="n">
        <v>28</v>
      </c>
      <c r="M1295" s="73" t="n">
        <v>2.44</v>
      </c>
      <c r="N1295" s="74" t="n">
        <f aca="false">K1295*L1295*M1295</f>
        <v>68.32</v>
      </c>
      <c r="O1295" s="41" t="n">
        <f aca="false">IFERROR(INDEX(Исходные!$B$21:$B$33,MATCH(H1295,Исходные!$A$21:$A$33,0)),0)</f>
        <v>0.395</v>
      </c>
      <c r="P1295" s="83" t="n">
        <f aca="false">N1295*O1295</f>
        <v>26.9864</v>
      </c>
      <c r="Q1295" s="20" t="s">
        <v>1198</v>
      </c>
      <c r="R1295" s="84" t="s">
        <v>514</v>
      </c>
      <c r="S1295" s="20"/>
      <c r="T1295" s="20" t="s">
        <v>12</v>
      </c>
      <c r="U1295" s="53" t="n">
        <v>0</v>
      </c>
      <c r="V1295" s="76" t="s">
        <v>148</v>
      </c>
      <c r="W1295" s="53" t="n">
        <v>4</v>
      </c>
    </row>
    <row r="1296" customFormat="false" ht="35.05" hidden="false" customHeight="false" outlineLevel="0" collapsed="false">
      <c r="A1296" s="76" t="n">
        <v>1266</v>
      </c>
      <c r="B1296" s="20" t="s">
        <v>1691</v>
      </c>
      <c r="C1296" s="20" t="s">
        <v>508</v>
      </c>
      <c r="D1296" s="20" t="s">
        <v>509</v>
      </c>
      <c r="E1296" s="20" t="s">
        <v>148</v>
      </c>
      <c r="F1296" s="76" t="s">
        <v>558</v>
      </c>
      <c r="G1296" s="20" t="s">
        <v>1199</v>
      </c>
      <c r="H1296" s="55" t="n">
        <v>8</v>
      </c>
      <c r="I1296" s="76" t="s">
        <v>546</v>
      </c>
      <c r="J1296" s="76" t="s">
        <v>547</v>
      </c>
      <c r="K1296" s="82" t="n">
        <v>1</v>
      </c>
      <c r="L1296" s="55" t="n">
        <v>32</v>
      </c>
      <c r="M1296" s="73" t="n">
        <v>1.96</v>
      </c>
      <c r="N1296" s="74" t="n">
        <f aca="false">K1296*L1296*M1296</f>
        <v>62.72</v>
      </c>
      <c r="O1296" s="41" t="n">
        <f aca="false">IFERROR(INDEX(Исходные!$B$21:$B$33,MATCH(H1296,Исходные!$A$21:$A$33,0)),0)</f>
        <v>0.395</v>
      </c>
      <c r="P1296" s="83" t="n">
        <f aca="false">N1296*O1296</f>
        <v>24.7744</v>
      </c>
      <c r="Q1296" s="20" t="s">
        <v>1222</v>
      </c>
      <c r="R1296" s="84" t="s">
        <v>514</v>
      </c>
      <c r="S1296" s="20"/>
      <c r="T1296" s="20" t="s">
        <v>12</v>
      </c>
      <c r="U1296" s="53" t="n">
        <v>0</v>
      </c>
      <c r="V1296" s="76" t="s">
        <v>148</v>
      </c>
      <c r="W1296" s="53" t="n">
        <v>4</v>
      </c>
    </row>
    <row r="1297" customFormat="false" ht="35.05" hidden="false" customHeight="false" outlineLevel="0" collapsed="false">
      <c r="A1297" s="76" t="n">
        <v>1267</v>
      </c>
      <c r="B1297" s="20" t="s">
        <v>1691</v>
      </c>
      <c r="C1297" s="20" t="s">
        <v>508</v>
      </c>
      <c r="D1297" s="20" t="s">
        <v>509</v>
      </c>
      <c r="E1297" s="20" t="s">
        <v>148</v>
      </c>
      <c r="F1297" s="76" t="s">
        <v>561</v>
      </c>
      <c r="G1297" s="20" t="s">
        <v>1201</v>
      </c>
      <c r="H1297" s="55" t="n">
        <v>8</v>
      </c>
      <c r="I1297" s="76" t="s">
        <v>546</v>
      </c>
      <c r="J1297" s="76" t="s">
        <v>547</v>
      </c>
      <c r="K1297" s="82" t="n">
        <v>1</v>
      </c>
      <c r="L1297" s="55" t="n">
        <v>80</v>
      </c>
      <c r="M1297" s="73" t="n">
        <v>0.53</v>
      </c>
      <c r="N1297" s="74" t="n">
        <f aca="false">K1297*L1297*M1297</f>
        <v>42.4</v>
      </c>
      <c r="O1297" s="41" t="n">
        <f aca="false">IFERROR(INDEX(Исходные!$B$21:$B$33,MATCH(H1297,Исходные!$A$21:$A$33,0)),0)</f>
        <v>0.395</v>
      </c>
      <c r="P1297" s="83" t="n">
        <f aca="false">N1297*O1297</f>
        <v>16.748</v>
      </c>
      <c r="Q1297" s="20" t="s">
        <v>1224</v>
      </c>
      <c r="R1297" s="84" t="s">
        <v>514</v>
      </c>
      <c r="S1297" s="20"/>
      <c r="T1297" s="20" t="s">
        <v>12</v>
      </c>
      <c r="U1297" s="53" t="n">
        <v>0</v>
      </c>
      <c r="V1297" s="76" t="s">
        <v>148</v>
      </c>
      <c r="W1297" s="53" t="n">
        <v>4</v>
      </c>
    </row>
    <row r="1298" customFormat="false" ht="35.05" hidden="false" customHeight="false" outlineLevel="0" collapsed="false">
      <c r="A1298" s="76" t="n">
        <v>1268</v>
      </c>
      <c r="B1298" s="20" t="s">
        <v>1691</v>
      </c>
      <c r="C1298" s="20" t="s">
        <v>508</v>
      </c>
      <c r="D1298" s="20" t="s">
        <v>564</v>
      </c>
      <c r="E1298" s="20" t="s">
        <v>149</v>
      </c>
      <c r="F1298" s="76" t="s">
        <v>519</v>
      </c>
      <c r="G1298" s="20" t="s">
        <v>1168</v>
      </c>
      <c r="H1298" s="55" t="n">
        <v>28</v>
      </c>
      <c r="I1298" s="76" t="s">
        <v>512</v>
      </c>
      <c r="J1298" s="76" t="s">
        <v>164</v>
      </c>
      <c r="K1298" s="82" t="n">
        <v>1</v>
      </c>
      <c r="L1298" s="55" t="n">
        <v>4</v>
      </c>
      <c r="M1298" s="73" t="n">
        <v>3.6</v>
      </c>
      <c r="N1298" s="74" t="n">
        <f aca="false">K1298*L1298*M1298</f>
        <v>14.4</v>
      </c>
      <c r="O1298" s="41" t="n">
        <f aca="false">IFERROR(INDEX(Исходные!$B$21:$B$33,MATCH(H1298,Исходные!$A$21:$A$33,0)),0)</f>
        <v>4.834</v>
      </c>
      <c r="P1298" s="83" t="n">
        <f aca="false">N1298*O1298</f>
        <v>69.6096</v>
      </c>
      <c r="Q1298" s="20" t="s">
        <v>1542</v>
      </c>
      <c r="R1298" s="84" t="s">
        <v>514</v>
      </c>
      <c r="S1298" s="20" t="s">
        <v>1204</v>
      </c>
      <c r="T1298" s="20" t="s">
        <v>12</v>
      </c>
      <c r="U1298" s="53" t="n">
        <v>0</v>
      </c>
      <c r="V1298" s="76" t="s">
        <v>149</v>
      </c>
      <c r="W1298" s="53" t="n">
        <v>4</v>
      </c>
    </row>
    <row r="1299" customFormat="false" ht="35.05" hidden="false" customHeight="false" outlineLevel="0" collapsed="false">
      <c r="A1299" s="76" t="n">
        <v>1269</v>
      </c>
      <c r="B1299" s="20" t="s">
        <v>1691</v>
      </c>
      <c r="C1299" s="20" t="s">
        <v>508</v>
      </c>
      <c r="D1299" s="20" t="s">
        <v>564</v>
      </c>
      <c r="E1299" s="20" t="s">
        <v>149</v>
      </c>
      <c r="F1299" s="76" t="s">
        <v>516</v>
      </c>
      <c r="G1299" s="20" t="s">
        <v>1205</v>
      </c>
      <c r="H1299" s="55" t="n">
        <v>20</v>
      </c>
      <c r="I1299" s="76" t="s">
        <v>512</v>
      </c>
      <c r="J1299" s="76" t="s">
        <v>164</v>
      </c>
      <c r="K1299" s="82" t="n">
        <v>1</v>
      </c>
      <c r="L1299" s="55" t="n">
        <v>8</v>
      </c>
      <c r="M1299" s="73" t="n">
        <v>3.6</v>
      </c>
      <c r="N1299" s="74" t="n">
        <f aca="false">K1299*L1299*M1299</f>
        <v>28.8</v>
      </c>
      <c r="O1299" s="41" t="n">
        <f aca="false">IFERROR(INDEX(Исходные!$B$21:$B$33,MATCH(H1299,Исходные!$A$21:$A$33,0)),0)</f>
        <v>2.466</v>
      </c>
      <c r="P1299" s="83" t="n">
        <f aca="false">N1299*O1299</f>
        <v>71.0208</v>
      </c>
      <c r="Q1299" s="20" t="s">
        <v>1542</v>
      </c>
      <c r="R1299" s="84" t="s">
        <v>514</v>
      </c>
      <c r="S1299" s="20" t="s">
        <v>1206</v>
      </c>
      <c r="T1299" s="20" t="s">
        <v>12</v>
      </c>
      <c r="U1299" s="53" t="n">
        <v>0</v>
      </c>
      <c r="V1299" s="76" t="s">
        <v>149</v>
      </c>
      <c r="W1299" s="53" t="n">
        <v>4</v>
      </c>
    </row>
    <row r="1300" customFormat="false" ht="35.05" hidden="false" customHeight="false" outlineLevel="0" collapsed="false">
      <c r="A1300" s="76" t="n">
        <v>1270</v>
      </c>
      <c r="B1300" s="20" t="s">
        <v>1691</v>
      </c>
      <c r="C1300" s="20" t="s">
        <v>508</v>
      </c>
      <c r="D1300" s="20" t="s">
        <v>564</v>
      </c>
      <c r="E1300" s="20" t="s">
        <v>149</v>
      </c>
      <c r="F1300" s="76" t="s">
        <v>575</v>
      </c>
      <c r="G1300" s="20" t="s">
        <v>1543</v>
      </c>
      <c r="H1300" s="55" t="n">
        <v>22</v>
      </c>
      <c r="I1300" s="76" t="s">
        <v>512</v>
      </c>
      <c r="J1300" s="76" t="s">
        <v>164</v>
      </c>
      <c r="K1300" s="82" t="n">
        <v>1</v>
      </c>
      <c r="L1300" s="55" t="n">
        <v>6</v>
      </c>
      <c r="M1300" s="73" t="n">
        <v>3.6</v>
      </c>
      <c r="N1300" s="74" t="n">
        <f aca="false">K1300*L1300*M1300</f>
        <v>21.6</v>
      </c>
      <c r="O1300" s="41" t="n">
        <f aca="false">IFERROR(INDEX(Исходные!$B$21:$B$33,MATCH(H1300,Исходные!$A$21:$A$33,0)),0)</f>
        <v>2.984</v>
      </c>
      <c r="P1300" s="83" t="n">
        <f aca="false">N1300*O1300</f>
        <v>64.4544</v>
      </c>
      <c r="Q1300" s="20" t="s">
        <v>1542</v>
      </c>
      <c r="R1300" s="84" t="s">
        <v>514</v>
      </c>
      <c r="S1300" s="20" t="s">
        <v>1255</v>
      </c>
      <c r="T1300" s="20" t="s">
        <v>12</v>
      </c>
      <c r="U1300" s="53" t="n">
        <v>0</v>
      </c>
      <c r="V1300" s="76" t="s">
        <v>149</v>
      </c>
      <c r="W1300" s="53" t="n">
        <v>4</v>
      </c>
    </row>
    <row r="1301" customFormat="false" ht="35.05" hidden="false" customHeight="false" outlineLevel="0" collapsed="false">
      <c r="A1301" s="76" t="n">
        <v>1271</v>
      </c>
      <c r="B1301" s="20" t="s">
        <v>1691</v>
      </c>
      <c r="C1301" s="20" t="s">
        <v>508</v>
      </c>
      <c r="D1301" s="20" t="s">
        <v>564</v>
      </c>
      <c r="E1301" s="20" t="s">
        <v>149</v>
      </c>
      <c r="F1301" s="76" t="s">
        <v>575</v>
      </c>
      <c r="G1301" s="20" t="s">
        <v>1544</v>
      </c>
      <c r="H1301" s="55" t="n">
        <v>22</v>
      </c>
      <c r="I1301" s="76" t="s">
        <v>512</v>
      </c>
      <c r="J1301" s="76" t="s">
        <v>164</v>
      </c>
      <c r="K1301" s="82" t="n">
        <v>1</v>
      </c>
      <c r="L1301" s="55" t="n">
        <v>6</v>
      </c>
      <c r="M1301" s="73" t="n">
        <v>3.6</v>
      </c>
      <c r="N1301" s="74" t="n">
        <f aca="false">K1301*L1301*M1301</f>
        <v>21.6</v>
      </c>
      <c r="O1301" s="41" t="n">
        <f aca="false">IFERROR(INDEX(Исходные!$B$21:$B$33,MATCH(H1301,Исходные!$A$21:$A$33,0)),0)</f>
        <v>2.984</v>
      </c>
      <c r="P1301" s="83" t="n">
        <f aca="false">N1301*O1301</f>
        <v>64.4544</v>
      </c>
      <c r="Q1301" s="20" t="s">
        <v>1542</v>
      </c>
      <c r="R1301" s="84" t="s">
        <v>514</v>
      </c>
      <c r="S1301" s="20" t="s">
        <v>1255</v>
      </c>
      <c r="T1301" s="20" t="s">
        <v>12</v>
      </c>
      <c r="U1301" s="53" t="n">
        <v>0</v>
      </c>
      <c r="V1301" s="76" t="s">
        <v>149</v>
      </c>
      <c r="W1301" s="53" t="n">
        <v>4</v>
      </c>
    </row>
    <row r="1302" customFormat="false" ht="35.05" hidden="false" customHeight="false" outlineLevel="0" collapsed="false">
      <c r="A1302" s="76" t="n">
        <v>1272</v>
      </c>
      <c r="B1302" s="20" t="s">
        <v>1691</v>
      </c>
      <c r="C1302" s="20" t="s">
        <v>508</v>
      </c>
      <c r="D1302" s="20" t="s">
        <v>564</v>
      </c>
      <c r="E1302" s="20" t="s">
        <v>149</v>
      </c>
      <c r="F1302" s="76" t="s">
        <v>529</v>
      </c>
      <c r="G1302" s="20" t="s">
        <v>1532</v>
      </c>
      <c r="H1302" s="55" t="n">
        <v>18</v>
      </c>
      <c r="I1302" s="76" t="s">
        <v>512</v>
      </c>
      <c r="J1302" s="76" t="s">
        <v>164</v>
      </c>
      <c r="K1302" s="82" t="n">
        <v>1</v>
      </c>
      <c r="L1302" s="55" t="n">
        <v>4</v>
      </c>
      <c r="M1302" s="73" t="n">
        <v>3.744</v>
      </c>
      <c r="N1302" s="74" t="n">
        <f aca="false">K1302*L1302*M1302</f>
        <v>14.976</v>
      </c>
      <c r="O1302" s="41" t="n">
        <f aca="false">IFERROR(INDEX(Исходные!$B$21:$B$33,MATCH(H1302,Исходные!$A$21:$A$33,0)),0)</f>
        <v>1.998</v>
      </c>
      <c r="P1302" s="83" t="n">
        <f aca="false">N1302*O1302</f>
        <v>29.922048</v>
      </c>
      <c r="Q1302" s="20" t="s">
        <v>1542</v>
      </c>
      <c r="R1302" s="84" t="s">
        <v>514</v>
      </c>
      <c r="S1302" s="20" t="s">
        <v>1545</v>
      </c>
      <c r="T1302" s="20" t="s">
        <v>12</v>
      </c>
      <c r="U1302" s="53" t="n">
        <v>0</v>
      </c>
      <c r="V1302" s="76" t="s">
        <v>149</v>
      </c>
      <c r="W1302" s="53" t="n">
        <v>4</v>
      </c>
    </row>
    <row r="1303" customFormat="false" ht="35.05" hidden="false" customHeight="false" outlineLevel="0" collapsed="false">
      <c r="A1303" s="76" t="n">
        <v>1273</v>
      </c>
      <c r="B1303" s="20" t="s">
        <v>1691</v>
      </c>
      <c r="C1303" s="20" t="s">
        <v>508</v>
      </c>
      <c r="D1303" s="20" t="s">
        <v>564</v>
      </c>
      <c r="E1303" s="20" t="s">
        <v>149</v>
      </c>
      <c r="F1303" s="76" t="s">
        <v>669</v>
      </c>
      <c r="G1303" s="20" t="s">
        <v>1181</v>
      </c>
      <c r="H1303" s="55" t="n">
        <v>14</v>
      </c>
      <c r="I1303" s="76" t="s">
        <v>512</v>
      </c>
      <c r="J1303" s="76" t="s">
        <v>164</v>
      </c>
      <c r="K1303" s="82" t="n">
        <v>1</v>
      </c>
      <c r="L1303" s="55" t="n">
        <v>8</v>
      </c>
      <c r="M1303" s="73" t="n">
        <v>3.712</v>
      </c>
      <c r="N1303" s="74" t="n">
        <f aca="false">K1303*L1303*M1303</f>
        <v>29.696</v>
      </c>
      <c r="O1303" s="41" t="n">
        <f aca="false">IFERROR(INDEX(Исходные!$B$21:$B$33,MATCH(H1303,Исходные!$A$21:$A$33,0)),0)</f>
        <v>1.208</v>
      </c>
      <c r="P1303" s="83" t="n">
        <f aca="false">N1303*O1303</f>
        <v>35.872768</v>
      </c>
      <c r="Q1303" s="20" t="s">
        <v>1542</v>
      </c>
      <c r="R1303" s="84" t="s">
        <v>514</v>
      </c>
      <c r="S1303" s="20" t="s">
        <v>1182</v>
      </c>
      <c r="T1303" s="20" t="s">
        <v>12</v>
      </c>
      <c r="U1303" s="53" t="n">
        <v>0</v>
      </c>
      <c r="V1303" s="76" t="s">
        <v>149</v>
      </c>
      <c r="W1303" s="53" t="n">
        <v>4</v>
      </c>
    </row>
    <row r="1304" customFormat="false" ht="35.05" hidden="false" customHeight="false" outlineLevel="0" collapsed="false">
      <c r="A1304" s="76" t="n">
        <v>1274</v>
      </c>
      <c r="B1304" s="20" t="s">
        <v>1691</v>
      </c>
      <c r="C1304" s="20" t="s">
        <v>508</v>
      </c>
      <c r="D1304" s="20" t="s">
        <v>564</v>
      </c>
      <c r="E1304" s="20" t="s">
        <v>149</v>
      </c>
      <c r="F1304" s="76" t="s">
        <v>529</v>
      </c>
      <c r="G1304" s="20" t="s">
        <v>1546</v>
      </c>
      <c r="H1304" s="55" t="n">
        <v>16</v>
      </c>
      <c r="I1304" s="76" t="s">
        <v>512</v>
      </c>
      <c r="J1304" s="76" t="s">
        <v>164</v>
      </c>
      <c r="K1304" s="82" t="n">
        <v>1</v>
      </c>
      <c r="L1304" s="55" t="n">
        <v>4</v>
      </c>
      <c r="M1304" s="73" t="n">
        <v>3.728</v>
      </c>
      <c r="N1304" s="74" t="n">
        <f aca="false">K1304*L1304*M1304</f>
        <v>14.912</v>
      </c>
      <c r="O1304" s="41" t="n">
        <f aca="false">IFERROR(INDEX(Исходные!$B$21:$B$33,MATCH(H1304,Исходные!$A$21:$A$33,0)),0)</f>
        <v>1.578</v>
      </c>
      <c r="P1304" s="83" t="n">
        <f aca="false">N1304*O1304</f>
        <v>23.531136</v>
      </c>
      <c r="Q1304" s="20" t="s">
        <v>1542</v>
      </c>
      <c r="R1304" s="84" t="s">
        <v>514</v>
      </c>
      <c r="S1304" s="20" t="s">
        <v>1180</v>
      </c>
      <c r="T1304" s="20" t="s">
        <v>12</v>
      </c>
      <c r="U1304" s="53" t="n">
        <v>0</v>
      </c>
      <c r="V1304" s="76" t="s">
        <v>149</v>
      </c>
      <c r="W1304" s="53" t="n">
        <v>4</v>
      </c>
    </row>
    <row r="1305" customFormat="false" ht="35.05" hidden="false" customHeight="false" outlineLevel="0" collapsed="false">
      <c r="A1305" s="76" t="n">
        <v>1275</v>
      </c>
      <c r="B1305" s="20" t="s">
        <v>1691</v>
      </c>
      <c r="C1305" s="20" t="s">
        <v>508</v>
      </c>
      <c r="D1305" s="20" t="s">
        <v>564</v>
      </c>
      <c r="E1305" s="20" t="s">
        <v>149</v>
      </c>
      <c r="F1305" s="76" t="s">
        <v>532</v>
      </c>
      <c r="G1305" s="20" t="s">
        <v>577</v>
      </c>
      <c r="H1305" s="55" t="n">
        <v>10</v>
      </c>
      <c r="I1305" s="76" t="s">
        <v>512</v>
      </c>
      <c r="J1305" s="76" t="n">
        <v>200</v>
      </c>
      <c r="K1305" s="82" t="n">
        <v>1</v>
      </c>
      <c r="L1305" s="55" t="n">
        <v>32</v>
      </c>
      <c r="M1305" s="73" t="n">
        <v>1.25</v>
      </c>
      <c r="N1305" s="74" t="n">
        <f aca="false">K1305*L1305*M1305</f>
        <v>40</v>
      </c>
      <c r="O1305" s="41" t="n">
        <f aca="false">IFERROR(INDEX(Исходные!$B$21:$B$33,MATCH(H1305,Исходные!$A$21:$A$33,0)),0)</f>
        <v>0.617</v>
      </c>
      <c r="P1305" s="83" t="n">
        <f aca="false">N1305*O1305</f>
        <v>24.68</v>
      </c>
      <c r="Q1305" s="20" t="s">
        <v>1700</v>
      </c>
      <c r="R1305" s="85" t="s">
        <v>535</v>
      </c>
      <c r="S1305" s="20" t="s">
        <v>1693</v>
      </c>
      <c r="T1305" s="20" t="s">
        <v>12</v>
      </c>
      <c r="U1305" s="53" t="n">
        <v>1</v>
      </c>
      <c r="V1305" s="76" t="s">
        <v>149</v>
      </c>
      <c r="W1305" s="53" t="n">
        <v>4</v>
      </c>
    </row>
    <row r="1306" customFormat="false" ht="35.05" hidden="false" customHeight="false" outlineLevel="0" collapsed="false">
      <c r="A1306" s="76" t="n">
        <v>1276</v>
      </c>
      <c r="B1306" s="20" t="s">
        <v>1691</v>
      </c>
      <c r="C1306" s="20" t="s">
        <v>508</v>
      </c>
      <c r="D1306" s="20" t="s">
        <v>564</v>
      </c>
      <c r="E1306" s="20" t="s">
        <v>149</v>
      </c>
      <c r="F1306" s="76" t="s">
        <v>532</v>
      </c>
      <c r="G1306" s="20" t="s">
        <v>580</v>
      </c>
      <c r="H1306" s="55" t="n">
        <v>10</v>
      </c>
      <c r="I1306" s="76" t="s">
        <v>512</v>
      </c>
      <c r="J1306" s="76" t="n">
        <v>200</v>
      </c>
      <c r="K1306" s="82" t="n">
        <v>1</v>
      </c>
      <c r="L1306" s="55" t="n">
        <v>32</v>
      </c>
      <c r="M1306" s="73" t="n">
        <v>2.25</v>
      </c>
      <c r="N1306" s="74" t="n">
        <f aca="false">K1306*L1306*M1306</f>
        <v>72</v>
      </c>
      <c r="O1306" s="41" t="n">
        <f aca="false">IFERROR(INDEX(Исходные!$B$21:$B$33,MATCH(H1306,Исходные!$A$21:$A$33,0)),0)</f>
        <v>0.617</v>
      </c>
      <c r="P1306" s="83" t="n">
        <f aca="false">N1306*O1306</f>
        <v>44.424</v>
      </c>
      <c r="Q1306" s="20" t="s">
        <v>1700</v>
      </c>
      <c r="R1306" s="85" t="s">
        <v>535</v>
      </c>
      <c r="S1306" s="20" t="s">
        <v>1693</v>
      </c>
      <c r="T1306" s="20" t="s">
        <v>12</v>
      </c>
      <c r="U1306" s="53" t="n">
        <v>1</v>
      </c>
      <c r="V1306" s="76" t="s">
        <v>149</v>
      </c>
      <c r="W1306" s="53" t="n">
        <v>4</v>
      </c>
    </row>
    <row r="1307" customFormat="false" ht="35.05" hidden="false" customHeight="false" outlineLevel="0" collapsed="false">
      <c r="A1307" s="76" t="n">
        <v>1277</v>
      </c>
      <c r="B1307" s="20" t="s">
        <v>1691</v>
      </c>
      <c r="C1307" s="20" t="s">
        <v>508</v>
      </c>
      <c r="D1307" s="20" t="s">
        <v>564</v>
      </c>
      <c r="E1307" s="20" t="s">
        <v>149</v>
      </c>
      <c r="F1307" s="76" t="s">
        <v>539</v>
      </c>
      <c r="G1307" s="20" t="s">
        <v>1701</v>
      </c>
      <c r="H1307" s="55" t="n">
        <v>10</v>
      </c>
      <c r="I1307" s="76" t="s">
        <v>512</v>
      </c>
      <c r="J1307" s="76" t="n">
        <v>200</v>
      </c>
      <c r="K1307" s="82" t="n">
        <v>1</v>
      </c>
      <c r="L1307" s="55" t="n">
        <v>6</v>
      </c>
      <c r="M1307" s="73" t="n">
        <v>1.25</v>
      </c>
      <c r="N1307" s="74" t="n">
        <f aca="false">K1307*L1307*M1307</f>
        <v>7.5</v>
      </c>
      <c r="O1307" s="41" t="n">
        <f aca="false">IFERROR(INDEX(Исходные!$B$21:$B$33,MATCH(H1307,Исходные!$A$21:$A$33,0)),0)</f>
        <v>0.617</v>
      </c>
      <c r="P1307" s="83" t="n">
        <f aca="false">N1307*O1307</f>
        <v>4.6275</v>
      </c>
      <c r="Q1307" s="20" t="s">
        <v>1214</v>
      </c>
      <c r="R1307" s="84" t="s">
        <v>514</v>
      </c>
      <c r="S1307" s="20"/>
      <c r="T1307" s="20" t="s">
        <v>12</v>
      </c>
      <c r="U1307" s="53" t="n">
        <v>0</v>
      </c>
      <c r="V1307" s="76" t="s">
        <v>149</v>
      </c>
      <c r="W1307" s="53" t="n">
        <v>4</v>
      </c>
    </row>
    <row r="1308" customFormat="false" ht="35.05" hidden="false" customHeight="false" outlineLevel="0" collapsed="false">
      <c r="A1308" s="76" t="n">
        <v>1278</v>
      </c>
      <c r="B1308" s="20" t="s">
        <v>1691</v>
      </c>
      <c r="C1308" s="20" t="s">
        <v>508</v>
      </c>
      <c r="D1308" s="20" t="s">
        <v>564</v>
      </c>
      <c r="E1308" s="20" t="s">
        <v>149</v>
      </c>
      <c r="F1308" s="76" t="s">
        <v>539</v>
      </c>
      <c r="G1308" s="20" t="s">
        <v>1702</v>
      </c>
      <c r="H1308" s="55" t="n">
        <v>12</v>
      </c>
      <c r="I1308" s="76" t="s">
        <v>512</v>
      </c>
      <c r="J1308" s="76" t="n">
        <v>200</v>
      </c>
      <c r="K1308" s="82" t="n">
        <v>1</v>
      </c>
      <c r="L1308" s="55" t="n">
        <v>6</v>
      </c>
      <c r="M1308" s="73" t="n">
        <v>1.2</v>
      </c>
      <c r="N1308" s="74" t="n">
        <f aca="false">K1308*L1308*M1308</f>
        <v>7.2</v>
      </c>
      <c r="O1308" s="41" t="n">
        <f aca="false">IFERROR(INDEX(Исходные!$B$21:$B$33,MATCH(H1308,Исходные!$A$21:$A$33,0)),0)</f>
        <v>0.888</v>
      </c>
      <c r="P1308" s="83" t="n">
        <f aca="false">N1308*O1308</f>
        <v>6.3936</v>
      </c>
      <c r="Q1308" s="20" t="s">
        <v>1214</v>
      </c>
      <c r="R1308" s="84" t="s">
        <v>514</v>
      </c>
      <c r="S1308" s="20"/>
      <c r="T1308" s="20" t="s">
        <v>12</v>
      </c>
      <c r="U1308" s="53" t="n">
        <v>0</v>
      </c>
      <c r="V1308" s="76" t="s">
        <v>149</v>
      </c>
      <c r="W1308" s="53" t="n">
        <v>4</v>
      </c>
    </row>
    <row r="1309" customFormat="false" ht="35.05" hidden="false" customHeight="false" outlineLevel="0" collapsed="false">
      <c r="A1309" s="76" t="n">
        <v>1279</v>
      </c>
      <c r="B1309" s="20" t="s">
        <v>1691</v>
      </c>
      <c r="C1309" s="20" t="s">
        <v>508</v>
      </c>
      <c r="D1309" s="20" t="s">
        <v>564</v>
      </c>
      <c r="E1309" s="20" t="s">
        <v>149</v>
      </c>
      <c r="F1309" s="76" t="s">
        <v>539</v>
      </c>
      <c r="G1309" s="20" t="s">
        <v>1703</v>
      </c>
      <c r="H1309" s="55" t="n">
        <v>14</v>
      </c>
      <c r="I1309" s="76" t="s">
        <v>512</v>
      </c>
      <c r="J1309" s="76" t="n">
        <v>200</v>
      </c>
      <c r="K1309" s="82" t="n">
        <v>1</v>
      </c>
      <c r="L1309" s="55" t="n">
        <v>6</v>
      </c>
      <c r="M1309" s="73" t="n">
        <v>1.2</v>
      </c>
      <c r="N1309" s="74" t="n">
        <f aca="false">K1309*L1309*M1309</f>
        <v>7.2</v>
      </c>
      <c r="O1309" s="41" t="n">
        <f aca="false">IFERROR(INDEX(Исходные!$B$21:$B$33,MATCH(H1309,Исходные!$A$21:$A$33,0)),0)</f>
        <v>1.208</v>
      </c>
      <c r="P1309" s="83" t="n">
        <f aca="false">N1309*O1309</f>
        <v>8.6976</v>
      </c>
      <c r="Q1309" s="20" t="s">
        <v>1214</v>
      </c>
      <c r="R1309" s="84" t="s">
        <v>514</v>
      </c>
      <c r="S1309" s="20"/>
      <c r="T1309" s="20" t="s">
        <v>12</v>
      </c>
      <c r="U1309" s="53" t="n">
        <v>0</v>
      </c>
      <c r="V1309" s="76" t="s">
        <v>149</v>
      </c>
      <c r="W1309" s="53" t="n">
        <v>4</v>
      </c>
    </row>
    <row r="1310" customFormat="false" ht="35.05" hidden="false" customHeight="false" outlineLevel="0" collapsed="false">
      <c r="A1310" s="76" t="n">
        <v>1280</v>
      </c>
      <c r="B1310" s="20" t="s">
        <v>1691</v>
      </c>
      <c r="C1310" s="20" t="s">
        <v>508</v>
      </c>
      <c r="D1310" s="20" t="s">
        <v>564</v>
      </c>
      <c r="E1310" s="20" t="s">
        <v>149</v>
      </c>
      <c r="F1310" s="76" t="s">
        <v>1538</v>
      </c>
      <c r="G1310" s="20" t="s">
        <v>1704</v>
      </c>
      <c r="H1310" s="55" t="n">
        <v>16</v>
      </c>
      <c r="I1310" s="76" t="s">
        <v>512</v>
      </c>
      <c r="J1310" s="76" t="s">
        <v>164</v>
      </c>
      <c r="K1310" s="82" t="n">
        <v>1</v>
      </c>
      <c r="L1310" s="55" t="n">
        <v>4</v>
      </c>
      <c r="M1310" s="73" t="n">
        <v>1.6</v>
      </c>
      <c r="N1310" s="74" t="n">
        <f aca="false">K1310*L1310*M1310</f>
        <v>6.4</v>
      </c>
      <c r="O1310" s="41" t="n">
        <f aca="false">IFERROR(INDEX(Исходные!$B$21:$B$33,MATCH(H1310,Исходные!$A$21:$A$33,0)),0)</f>
        <v>1.578</v>
      </c>
      <c r="P1310" s="83" t="n">
        <f aca="false">N1310*O1310</f>
        <v>10.0992</v>
      </c>
      <c r="Q1310" s="20" t="s">
        <v>1705</v>
      </c>
      <c r="R1310" s="85" t="s">
        <v>535</v>
      </c>
      <c r="S1310" s="20" t="s">
        <v>1541</v>
      </c>
      <c r="T1310" s="20" t="s">
        <v>12</v>
      </c>
      <c r="U1310" s="53" t="n">
        <v>1</v>
      </c>
      <c r="V1310" s="76" t="s">
        <v>149</v>
      </c>
      <c r="W1310" s="53" t="n">
        <v>4</v>
      </c>
    </row>
    <row r="1311" customFormat="false" ht="35.05" hidden="false" customHeight="false" outlineLevel="0" collapsed="false">
      <c r="A1311" s="76" t="n">
        <v>1281</v>
      </c>
      <c r="B1311" s="20" t="s">
        <v>1691</v>
      </c>
      <c r="C1311" s="20" t="s">
        <v>508</v>
      </c>
      <c r="D1311" s="20" t="s">
        <v>564</v>
      </c>
      <c r="E1311" s="20" t="s">
        <v>149</v>
      </c>
      <c r="F1311" s="76" t="s">
        <v>544</v>
      </c>
      <c r="G1311" s="20" t="s">
        <v>1217</v>
      </c>
      <c r="H1311" s="55" t="n">
        <v>10</v>
      </c>
      <c r="I1311" s="76" t="s">
        <v>546</v>
      </c>
      <c r="J1311" s="76" t="s">
        <v>547</v>
      </c>
      <c r="K1311" s="82" t="n">
        <v>1</v>
      </c>
      <c r="L1311" s="55" t="n">
        <v>32</v>
      </c>
      <c r="M1311" s="73" t="n">
        <v>1.33</v>
      </c>
      <c r="N1311" s="74" t="n">
        <f aca="false">K1311*L1311*M1311</f>
        <v>42.56</v>
      </c>
      <c r="O1311" s="41" t="n">
        <f aca="false">IFERROR(INDEX(Исходные!$B$21:$B$33,MATCH(H1311,Исходные!$A$21:$A$33,0)),0)</f>
        <v>0.617</v>
      </c>
      <c r="P1311" s="83" t="n">
        <f aca="false">N1311*O1311</f>
        <v>26.25952</v>
      </c>
      <c r="Q1311" s="20" t="s">
        <v>1552</v>
      </c>
      <c r="R1311" s="84" t="s">
        <v>514</v>
      </c>
      <c r="S1311" s="20"/>
      <c r="T1311" s="20" t="s">
        <v>12</v>
      </c>
      <c r="U1311" s="53" t="n">
        <v>0</v>
      </c>
      <c r="V1311" s="76" t="s">
        <v>149</v>
      </c>
      <c r="W1311" s="53" t="n">
        <v>4</v>
      </c>
    </row>
    <row r="1312" customFormat="false" ht="35.05" hidden="false" customHeight="false" outlineLevel="0" collapsed="false">
      <c r="A1312" s="76" t="n">
        <v>1282</v>
      </c>
      <c r="B1312" s="20" t="s">
        <v>1691</v>
      </c>
      <c r="C1312" s="20" t="s">
        <v>508</v>
      </c>
      <c r="D1312" s="20" t="s">
        <v>564</v>
      </c>
      <c r="E1312" s="20" t="s">
        <v>149</v>
      </c>
      <c r="F1312" s="76" t="s">
        <v>696</v>
      </c>
      <c r="G1312" s="20" t="s">
        <v>1219</v>
      </c>
      <c r="H1312" s="55" t="n">
        <v>8</v>
      </c>
      <c r="I1312" s="76" t="s">
        <v>546</v>
      </c>
      <c r="J1312" s="76" t="s">
        <v>547</v>
      </c>
      <c r="K1312" s="82" t="n">
        <v>1</v>
      </c>
      <c r="L1312" s="55" t="n">
        <v>16</v>
      </c>
      <c r="M1312" s="73" t="n">
        <v>1.56</v>
      </c>
      <c r="N1312" s="74" t="n">
        <f aca="false">K1312*L1312*M1312</f>
        <v>24.96</v>
      </c>
      <c r="O1312" s="41" t="n">
        <f aca="false">IFERROR(INDEX(Исходные!$B$21:$B$33,MATCH(H1312,Исходные!$A$21:$A$33,0)),0)</f>
        <v>0.395</v>
      </c>
      <c r="P1312" s="83" t="n">
        <f aca="false">N1312*O1312</f>
        <v>9.8592</v>
      </c>
      <c r="Q1312" s="20" t="s">
        <v>1553</v>
      </c>
      <c r="R1312" s="84" t="s">
        <v>514</v>
      </c>
      <c r="S1312" s="20"/>
      <c r="T1312" s="20" t="s">
        <v>12</v>
      </c>
      <c r="U1312" s="53" t="n">
        <v>0</v>
      </c>
      <c r="V1312" s="76" t="s">
        <v>149</v>
      </c>
      <c r="W1312" s="53" t="n">
        <v>4</v>
      </c>
    </row>
    <row r="1313" customFormat="false" ht="35.05" hidden="false" customHeight="false" outlineLevel="0" collapsed="false">
      <c r="A1313" s="76" t="n">
        <v>1283</v>
      </c>
      <c r="B1313" s="20" t="s">
        <v>1691</v>
      </c>
      <c r="C1313" s="20" t="s">
        <v>508</v>
      </c>
      <c r="D1313" s="20" t="s">
        <v>564</v>
      </c>
      <c r="E1313" s="20" t="s">
        <v>149</v>
      </c>
      <c r="F1313" s="76" t="s">
        <v>603</v>
      </c>
      <c r="G1313" s="20" t="s">
        <v>1195</v>
      </c>
      <c r="H1313" s="55" t="n">
        <v>8</v>
      </c>
      <c r="I1313" s="76" t="s">
        <v>546</v>
      </c>
      <c r="J1313" s="76" t="s">
        <v>547</v>
      </c>
      <c r="K1313" s="82" t="n">
        <v>1</v>
      </c>
      <c r="L1313" s="55" t="n">
        <v>16</v>
      </c>
      <c r="M1313" s="73" t="n">
        <v>1.76</v>
      </c>
      <c r="N1313" s="74" t="n">
        <f aca="false">K1313*L1313*M1313</f>
        <v>28.16</v>
      </c>
      <c r="O1313" s="41" t="n">
        <f aca="false">IFERROR(INDEX(Исходные!$B$21:$B$33,MATCH(H1313,Исходные!$A$21:$A$33,0)),0)</f>
        <v>0.395</v>
      </c>
      <c r="P1313" s="83" t="n">
        <f aca="false">N1313*O1313</f>
        <v>11.1232</v>
      </c>
      <c r="Q1313" s="20" t="s">
        <v>1554</v>
      </c>
      <c r="R1313" s="84" t="s">
        <v>514</v>
      </c>
      <c r="S1313" s="20"/>
      <c r="T1313" s="20" t="s">
        <v>12</v>
      </c>
      <c r="U1313" s="53" t="n">
        <v>0</v>
      </c>
      <c r="V1313" s="76" t="s">
        <v>149</v>
      </c>
      <c r="W1313" s="53" t="n">
        <v>4</v>
      </c>
    </row>
    <row r="1314" customFormat="false" ht="35.05" hidden="false" customHeight="false" outlineLevel="0" collapsed="false">
      <c r="A1314" s="76" t="n">
        <v>1284</v>
      </c>
      <c r="B1314" s="20" t="s">
        <v>1691</v>
      </c>
      <c r="C1314" s="20" t="s">
        <v>508</v>
      </c>
      <c r="D1314" s="20" t="s">
        <v>564</v>
      </c>
      <c r="E1314" s="20" t="s">
        <v>149</v>
      </c>
      <c r="F1314" s="76" t="s">
        <v>555</v>
      </c>
      <c r="G1314" s="20" t="s">
        <v>1197</v>
      </c>
      <c r="H1314" s="55" t="n">
        <v>8</v>
      </c>
      <c r="I1314" s="76" t="s">
        <v>546</v>
      </c>
      <c r="J1314" s="76" t="s">
        <v>547</v>
      </c>
      <c r="K1314" s="82" t="n">
        <v>1</v>
      </c>
      <c r="L1314" s="55" t="n">
        <v>28</v>
      </c>
      <c r="M1314" s="73" t="n">
        <v>2.44</v>
      </c>
      <c r="N1314" s="74" t="n">
        <f aca="false">K1314*L1314*M1314</f>
        <v>68.32</v>
      </c>
      <c r="O1314" s="41" t="n">
        <f aca="false">IFERROR(INDEX(Исходные!$B$21:$B$33,MATCH(H1314,Исходные!$A$21:$A$33,0)),0)</f>
        <v>0.395</v>
      </c>
      <c r="P1314" s="83" t="n">
        <f aca="false">N1314*O1314</f>
        <v>26.9864</v>
      </c>
      <c r="Q1314" s="20" t="s">
        <v>1198</v>
      </c>
      <c r="R1314" s="84" t="s">
        <v>514</v>
      </c>
      <c r="S1314" s="20"/>
      <c r="T1314" s="20" t="s">
        <v>12</v>
      </c>
      <c r="U1314" s="53" t="n">
        <v>0</v>
      </c>
      <c r="V1314" s="76" t="s">
        <v>149</v>
      </c>
      <c r="W1314" s="53" t="n">
        <v>4</v>
      </c>
    </row>
    <row r="1315" customFormat="false" ht="35.05" hidden="false" customHeight="false" outlineLevel="0" collapsed="false">
      <c r="A1315" s="76" t="n">
        <v>1285</v>
      </c>
      <c r="B1315" s="20" t="s">
        <v>1691</v>
      </c>
      <c r="C1315" s="20" t="s">
        <v>508</v>
      </c>
      <c r="D1315" s="20" t="s">
        <v>564</v>
      </c>
      <c r="E1315" s="20" t="s">
        <v>149</v>
      </c>
      <c r="F1315" s="76" t="s">
        <v>558</v>
      </c>
      <c r="G1315" s="20" t="s">
        <v>1199</v>
      </c>
      <c r="H1315" s="55" t="n">
        <v>8</v>
      </c>
      <c r="I1315" s="76" t="s">
        <v>546</v>
      </c>
      <c r="J1315" s="76" t="s">
        <v>547</v>
      </c>
      <c r="K1315" s="82" t="n">
        <v>1</v>
      </c>
      <c r="L1315" s="55" t="n">
        <v>32</v>
      </c>
      <c r="M1315" s="73" t="n">
        <v>1.96</v>
      </c>
      <c r="N1315" s="74" t="n">
        <f aca="false">K1315*L1315*M1315</f>
        <v>62.72</v>
      </c>
      <c r="O1315" s="41" t="n">
        <f aca="false">IFERROR(INDEX(Исходные!$B$21:$B$33,MATCH(H1315,Исходные!$A$21:$A$33,0)),0)</f>
        <v>0.395</v>
      </c>
      <c r="P1315" s="83" t="n">
        <f aca="false">N1315*O1315</f>
        <v>24.7744</v>
      </c>
      <c r="Q1315" s="20" t="s">
        <v>1555</v>
      </c>
      <c r="R1315" s="84" t="s">
        <v>514</v>
      </c>
      <c r="S1315" s="20"/>
      <c r="T1315" s="20" t="s">
        <v>12</v>
      </c>
      <c r="U1315" s="53" t="n">
        <v>0</v>
      </c>
      <c r="V1315" s="76" t="s">
        <v>149</v>
      </c>
      <c r="W1315" s="53" t="n">
        <v>4</v>
      </c>
    </row>
    <row r="1316" customFormat="false" ht="35.05" hidden="false" customHeight="false" outlineLevel="0" collapsed="false">
      <c r="A1316" s="76" t="n">
        <v>1286</v>
      </c>
      <c r="B1316" s="20" t="s">
        <v>1691</v>
      </c>
      <c r="C1316" s="20" t="s">
        <v>508</v>
      </c>
      <c r="D1316" s="20" t="s">
        <v>564</v>
      </c>
      <c r="E1316" s="20" t="s">
        <v>149</v>
      </c>
      <c r="F1316" s="76" t="s">
        <v>561</v>
      </c>
      <c r="G1316" s="20" t="s">
        <v>1223</v>
      </c>
      <c r="H1316" s="55" t="n">
        <v>8</v>
      </c>
      <c r="I1316" s="76" t="s">
        <v>546</v>
      </c>
      <c r="J1316" s="76" t="s">
        <v>547</v>
      </c>
      <c r="K1316" s="82" t="n">
        <v>1</v>
      </c>
      <c r="L1316" s="55" t="n">
        <v>56</v>
      </c>
      <c r="M1316" s="73" t="n">
        <v>0.53</v>
      </c>
      <c r="N1316" s="74" t="n">
        <f aca="false">K1316*L1316*M1316</f>
        <v>29.68</v>
      </c>
      <c r="O1316" s="41" t="n">
        <f aca="false">IFERROR(INDEX(Исходные!$B$21:$B$33,MATCH(H1316,Исходные!$A$21:$A$33,0)),0)</f>
        <v>0.395</v>
      </c>
      <c r="P1316" s="83" t="n">
        <f aca="false">N1316*O1316</f>
        <v>11.7236</v>
      </c>
      <c r="Q1316" s="20" t="s">
        <v>1556</v>
      </c>
      <c r="R1316" s="84" t="s">
        <v>514</v>
      </c>
      <c r="S1316" s="20"/>
      <c r="T1316" s="20" t="s">
        <v>12</v>
      </c>
      <c r="U1316" s="53" t="n">
        <v>0</v>
      </c>
      <c r="V1316" s="76" t="s">
        <v>149</v>
      </c>
      <c r="W1316" s="53" t="n">
        <v>4</v>
      </c>
    </row>
    <row r="1317" customFormat="false" ht="35.05" hidden="false" customHeight="false" outlineLevel="0" collapsed="false">
      <c r="A1317" s="76" t="n">
        <v>1287</v>
      </c>
      <c r="B1317" s="20" t="s">
        <v>1691</v>
      </c>
      <c r="C1317" s="20" t="s">
        <v>508</v>
      </c>
      <c r="D1317" s="20" t="s">
        <v>586</v>
      </c>
      <c r="E1317" s="20" t="s">
        <v>154</v>
      </c>
      <c r="F1317" s="76" t="s">
        <v>519</v>
      </c>
      <c r="G1317" s="20" t="s">
        <v>1168</v>
      </c>
      <c r="H1317" s="55" t="n">
        <v>28</v>
      </c>
      <c r="I1317" s="76" t="s">
        <v>512</v>
      </c>
      <c r="J1317" s="76" t="s">
        <v>164</v>
      </c>
      <c r="K1317" s="82" t="n">
        <v>1</v>
      </c>
      <c r="L1317" s="55" t="n">
        <v>4</v>
      </c>
      <c r="M1317" s="73" t="n">
        <v>3.6</v>
      </c>
      <c r="N1317" s="74" t="n">
        <f aca="false">K1317*L1317*M1317</f>
        <v>14.4</v>
      </c>
      <c r="O1317" s="41" t="n">
        <f aca="false">IFERROR(INDEX(Исходные!$B$21:$B$33,MATCH(H1317,Исходные!$A$21:$A$33,0)),0)</f>
        <v>4.834</v>
      </c>
      <c r="P1317" s="83" t="n">
        <f aca="false">N1317*O1317</f>
        <v>69.6096</v>
      </c>
      <c r="Q1317" s="20" t="s">
        <v>1706</v>
      </c>
      <c r="R1317" s="84" t="s">
        <v>514</v>
      </c>
      <c r="S1317" s="20" t="s">
        <v>1204</v>
      </c>
      <c r="T1317" s="20" t="s">
        <v>12</v>
      </c>
      <c r="U1317" s="53" t="n">
        <v>0</v>
      </c>
      <c r="V1317" s="76" t="s">
        <v>154</v>
      </c>
      <c r="W1317" s="53" t="n">
        <v>4</v>
      </c>
    </row>
    <row r="1318" customFormat="false" ht="35.05" hidden="false" customHeight="false" outlineLevel="0" collapsed="false">
      <c r="A1318" s="76" t="n">
        <v>1288</v>
      </c>
      <c r="B1318" s="20" t="s">
        <v>1691</v>
      </c>
      <c r="C1318" s="20" t="s">
        <v>508</v>
      </c>
      <c r="D1318" s="20" t="s">
        <v>586</v>
      </c>
      <c r="E1318" s="20" t="s">
        <v>154</v>
      </c>
      <c r="F1318" s="76" t="s">
        <v>516</v>
      </c>
      <c r="G1318" s="20" t="s">
        <v>1171</v>
      </c>
      <c r="H1318" s="55" t="n">
        <v>20</v>
      </c>
      <c r="I1318" s="76" t="s">
        <v>512</v>
      </c>
      <c r="J1318" s="76" t="s">
        <v>164</v>
      </c>
      <c r="K1318" s="82" t="n">
        <v>1</v>
      </c>
      <c r="L1318" s="55" t="n">
        <v>8</v>
      </c>
      <c r="M1318" s="73" t="n">
        <v>3.6</v>
      </c>
      <c r="N1318" s="74" t="n">
        <f aca="false">K1318*L1318*M1318</f>
        <v>28.8</v>
      </c>
      <c r="O1318" s="41" t="n">
        <f aca="false">IFERROR(INDEX(Исходные!$B$21:$B$33,MATCH(H1318,Исходные!$A$21:$A$33,0)),0)</f>
        <v>2.466</v>
      </c>
      <c r="P1318" s="83" t="n">
        <f aca="false">N1318*O1318</f>
        <v>71.0208</v>
      </c>
      <c r="Q1318" s="20" t="s">
        <v>1706</v>
      </c>
      <c r="R1318" s="84" t="s">
        <v>514</v>
      </c>
      <c r="S1318" s="20" t="s">
        <v>1206</v>
      </c>
      <c r="T1318" s="20" t="s">
        <v>12</v>
      </c>
      <c r="U1318" s="53" t="n">
        <v>0</v>
      </c>
      <c r="V1318" s="76" t="s">
        <v>154</v>
      </c>
      <c r="W1318" s="53" t="n">
        <v>4</v>
      </c>
    </row>
    <row r="1319" customFormat="false" ht="35.05" hidden="false" customHeight="false" outlineLevel="0" collapsed="false">
      <c r="A1319" s="76" t="n">
        <v>1289</v>
      </c>
      <c r="B1319" s="20" t="s">
        <v>1691</v>
      </c>
      <c r="C1319" s="20" t="s">
        <v>508</v>
      </c>
      <c r="D1319" s="20" t="s">
        <v>586</v>
      </c>
      <c r="E1319" s="20" t="s">
        <v>154</v>
      </c>
      <c r="F1319" s="76" t="s">
        <v>1707</v>
      </c>
      <c r="G1319" s="20" t="s">
        <v>1708</v>
      </c>
      <c r="H1319" s="55" t="n">
        <v>22</v>
      </c>
      <c r="I1319" s="76" t="s">
        <v>512</v>
      </c>
      <c r="J1319" s="76" t="s">
        <v>164</v>
      </c>
      <c r="K1319" s="82" t="n">
        <v>1</v>
      </c>
      <c r="L1319" s="55" t="n">
        <v>12</v>
      </c>
      <c r="M1319" s="73" t="n">
        <v>3.6</v>
      </c>
      <c r="N1319" s="74" t="n">
        <f aca="false">K1319*L1319*M1319</f>
        <v>43.2</v>
      </c>
      <c r="O1319" s="41" t="n">
        <f aca="false">IFERROR(INDEX(Исходные!$B$21:$B$33,MATCH(H1319,Исходные!$A$21:$A$33,0)),0)</f>
        <v>2.984</v>
      </c>
      <c r="P1319" s="83" t="n">
        <f aca="false">N1319*O1319</f>
        <v>128.9088</v>
      </c>
      <c r="Q1319" s="20" t="s">
        <v>1706</v>
      </c>
      <c r="R1319" s="84" t="s">
        <v>514</v>
      </c>
      <c r="S1319" s="20" t="s">
        <v>1709</v>
      </c>
      <c r="T1319" s="20" t="s">
        <v>12</v>
      </c>
      <c r="U1319" s="53" t="n">
        <v>0</v>
      </c>
      <c r="V1319" s="76" t="s">
        <v>154</v>
      </c>
      <c r="W1319" s="53" t="n">
        <v>4</v>
      </c>
    </row>
    <row r="1320" customFormat="false" ht="35.05" hidden="false" customHeight="false" outlineLevel="0" collapsed="false">
      <c r="A1320" s="76" t="n">
        <v>1290</v>
      </c>
      <c r="B1320" s="20" t="s">
        <v>1691</v>
      </c>
      <c r="C1320" s="20" t="s">
        <v>508</v>
      </c>
      <c r="D1320" s="20" t="s">
        <v>586</v>
      </c>
      <c r="E1320" s="20" t="s">
        <v>154</v>
      </c>
      <c r="F1320" s="76" t="s">
        <v>995</v>
      </c>
      <c r="G1320" s="20" t="s">
        <v>1710</v>
      </c>
      <c r="H1320" s="55" t="n">
        <v>14</v>
      </c>
      <c r="I1320" s="76" t="s">
        <v>512</v>
      </c>
      <c r="J1320" s="76" t="s">
        <v>164</v>
      </c>
      <c r="K1320" s="82" t="n">
        <v>1</v>
      </c>
      <c r="L1320" s="55" t="n">
        <v>8</v>
      </c>
      <c r="M1320" s="73" t="n">
        <v>3.712</v>
      </c>
      <c r="N1320" s="74" t="n">
        <f aca="false">K1320*L1320*M1320</f>
        <v>29.696</v>
      </c>
      <c r="O1320" s="41" t="n">
        <f aca="false">IFERROR(INDEX(Исходные!$B$21:$B$33,MATCH(H1320,Исходные!$A$21:$A$33,0)),0)</f>
        <v>1.208</v>
      </c>
      <c r="P1320" s="83" t="n">
        <f aca="false">N1320*O1320</f>
        <v>35.872768</v>
      </c>
      <c r="Q1320" s="20" t="s">
        <v>1706</v>
      </c>
      <c r="R1320" s="84" t="s">
        <v>514</v>
      </c>
      <c r="S1320" s="20" t="s">
        <v>1711</v>
      </c>
      <c r="T1320" s="20" t="s">
        <v>12</v>
      </c>
      <c r="U1320" s="53" t="n">
        <v>0</v>
      </c>
      <c r="V1320" s="76" t="s">
        <v>154</v>
      </c>
      <c r="W1320" s="53" t="n">
        <v>4</v>
      </c>
    </row>
    <row r="1321" customFormat="false" ht="35.05" hidden="false" customHeight="false" outlineLevel="0" collapsed="false">
      <c r="A1321" s="76" t="n">
        <v>1291</v>
      </c>
      <c r="B1321" s="20" t="s">
        <v>1691</v>
      </c>
      <c r="C1321" s="20" t="s">
        <v>508</v>
      </c>
      <c r="D1321" s="20" t="s">
        <v>586</v>
      </c>
      <c r="E1321" s="20" t="s">
        <v>154</v>
      </c>
      <c r="F1321" s="76" t="s">
        <v>669</v>
      </c>
      <c r="G1321" s="20" t="s">
        <v>1712</v>
      </c>
      <c r="H1321" s="55" t="n">
        <v>16</v>
      </c>
      <c r="I1321" s="76" t="s">
        <v>512</v>
      </c>
      <c r="J1321" s="76" t="s">
        <v>164</v>
      </c>
      <c r="K1321" s="82" t="n">
        <v>1</v>
      </c>
      <c r="L1321" s="55" t="n">
        <v>6</v>
      </c>
      <c r="M1321" s="73" t="n">
        <v>3.728</v>
      </c>
      <c r="N1321" s="74" t="n">
        <f aca="false">K1321*L1321*M1321</f>
        <v>22.368</v>
      </c>
      <c r="O1321" s="41" t="n">
        <f aca="false">IFERROR(INDEX(Исходные!$B$21:$B$33,MATCH(H1321,Исходные!$A$21:$A$33,0)),0)</f>
        <v>1.578</v>
      </c>
      <c r="P1321" s="83" t="n">
        <f aca="false">N1321*O1321</f>
        <v>35.296704</v>
      </c>
      <c r="Q1321" s="20" t="s">
        <v>1706</v>
      </c>
      <c r="R1321" s="84" t="s">
        <v>514</v>
      </c>
      <c r="S1321" s="20" t="s">
        <v>1243</v>
      </c>
      <c r="T1321" s="20" t="s">
        <v>12</v>
      </c>
      <c r="U1321" s="53" t="n">
        <v>0</v>
      </c>
      <c r="V1321" s="76" t="s">
        <v>154</v>
      </c>
      <c r="W1321" s="53" t="n">
        <v>4</v>
      </c>
    </row>
    <row r="1322" customFormat="false" ht="35.05" hidden="false" customHeight="false" outlineLevel="0" collapsed="false">
      <c r="A1322" s="76" t="n">
        <v>1292</v>
      </c>
      <c r="B1322" s="20" t="s">
        <v>1691</v>
      </c>
      <c r="C1322" s="20" t="s">
        <v>508</v>
      </c>
      <c r="D1322" s="20" t="s">
        <v>586</v>
      </c>
      <c r="E1322" s="20" t="s">
        <v>154</v>
      </c>
      <c r="F1322" s="76" t="s">
        <v>575</v>
      </c>
      <c r="G1322" s="20" t="s">
        <v>1254</v>
      </c>
      <c r="H1322" s="55" t="n">
        <v>22</v>
      </c>
      <c r="I1322" s="76" t="s">
        <v>512</v>
      </c>
      <c r="J1322" s="76" t="s">
        <v>164</v>
      </c>
      <c r="K1322" s="82" t="n">
        <v>1</v>
      </c>
      <c r="L1322" s="55" t="n">
        <v>6</v>
      </c>
      <c r="M1322" s="73" t="n">
        <v>3.6</v>
      </c>
      <c r="N1322" s="74" t="n">
        <f aca="false">K1322*L1322*M1322</f>
        <v>21.6</v>
      </c>
      <c r="O1322" s="41" t="n">
        <f aca="false">IFERROR(INDEX(Исходные!$B$21:$B$33,MATCH(H1322,Исходные!$A$21:$A$33,0)),0)</f>
        <v>2.984</v>
      </c>
      <c r="P1322" s="83" t="n">
        <f aca="false">N1322*O1322</f>
        <v>64.4544</v>
      </c>
      <c r="Q1322" s="20" t="s">
        <v>1706</v>
      </c>
      <c r="R1322" s="84" t="s">
        <v>514</v>
      </c>
      <c r="S1322" s="20" t="s">
        <v>1255</v>
      </c>
      <c r="T1322" s="20" t="s">
        <v>12</v>
      </c>
      <c r="U1322" s="53" t="n">
        <v>0</v>
      </c>
      <c r="V1322" s="76" t="s">
        <v>154</v>
      </c>
      <c r="W1322" s="53" t="n">
        <v>4</v>
      </c>
    </row>
    <row r="1323" customFormat="false" ht="35.05" hidden="false" customHeight="false" outlineLevel="0" collapsed="false">
      <c r="A1323" s="76" t="n">
        <v>1293</v>
      </c>
      <c r="B1323" s="20" t="s">
        <v>1691</v>
      </c>
      <c r="C1323" s="20" t="s">
        <v>508</v>
      </c>
      <c r="D1323" s="20" t="s">
        <v>586</v>
      </c>
      <c r="E1323" s="20" t="s">
        <v>154</v>
      </c>
      <c r="F1323" s="76" t="s">
        <v>532</v>
      </c>
      <c r="G1323" s="20" t="s">
        <v>595</v>
      </c>
      <c r="H1323" s="55" t="n">
        <v>14</v>
      </c>
      <c r="I1323" s="76" t="s">
        <v>512</v>
      </c>
      <c r="J1323" s="76" t="n">
        <v>200</v>
      </c>
      <c r="K1323" s="82" t="n">
        <v>1</v>
      </c>
      <c r="L1323" s="55" t="n">
        <v>32</v>
      </c>
      <c r="M1323" s="73" t="n">
        <v>1.95</v>
      </c>
      <c r="N1323" s="74" t="n">
        <f aca="false">K1323*L1323*M1323</f>
        <v>62.4</v>
      </c>
      <c r="O1323" s="41" t="n">
        <f aca="false">IFERROR(INDEX(Исходные!$B$21:$B$33,MATCH(H1323,Исходные!$A$21:$A$33,0)),0)</f>
        <v>1.208</v>
      </c>
      <c r="P1323" s="83" t="n">
        <f aca="false">N1323*O1323</f>
        <v>75.3792</v>
      </c>
      <c r="Q1323" s="20" t="s">
        <v>1713</v>
      </c>
      <c r="R1323" s="85" t="s">
        <v>535</v>
      </c>
      <c r="S1323" s="20" t="s">
        <v>1714</v>
      </c>
      <c r="T1323" s="20" t="s">
        <v>12</v>
      </c>
      <c r="U1323" s="53" t="n">
        <v>1</v>
      </c>
      <c r="V1323" s="76" t="s">
        <v>154</v>
      </c>
      <c r="W1323" s="53" t="n">
        <v>4</v>
      </c>
    </row>
    <row r="1324" customFormat="false" ht="35.05" hidden="false" customHeight="false" outlineLevel="0" collapsed="false">
      <c r="A1324" s="76" t="n">
        <v>1294</v>
      </c>
      <c r="B1324" s="20" t="s">
        <v>1691</v>
      </c>
      <c r="C1324" s="20" t="s">
        <v>508</v>
      </c>
      <c r="D1324" s="20" t="s">
        <v>586</v>
      </c>
      <c r="E1324" s="20" t="s">
        <v>154</v>
      </c>
      <c r="F1324" s="76" t="s">
        <v>532</v>
      </c>
      <c r="G1324" s="20" t="s">
        <v>597</v>
      </c>
      <c r="H1324" s="55" t="n">
        <v>12</v>
      </c>
      <c r="I1324" s="76" t="s">
        <v>512</v>
      </c>
      <c r="J1324" s="76" t="n">
        <v>200</v>
      </c>
      <c r="K1324" s="82" t="n">
        <v>1</v>
      </c>
      <c r="L1324" s="55" t="n">
        <v>32</v>
      </c>
      <c r="M1324" s="73" t="n">
        <v>1.45</v>
      </c>
      <c r="N1324" s="74" t="n">
        <f aca="false">K1324*L1324*M1324</f>
        <v>46.4</v>
      </c>
      <c r="O1324" s="41" t="n">
        <f aca="false">IFERROR(INDEX(Исходные!$B$21:$B$33,MATCH(H1324,Исходные!$A$21:$A$33,0)),0)</f>
        <v>0.888</v>
      </c>
      <c r="P1324" s="83" t="n">
        <f aca="false">N1324*O1324</f>
        <v>41.2032</v>
      </c>
      <c r="Q1324" s="20" t="s">
        <v>1713</v>
      </c>
      <c r="R1324" s="85" t="s">
        <v>535</v>
      </c>
      <c r="S1324" s="20" t="s">
        <v>1694</v>
      </c>
      <c r="T1324" s="20" t="s">
        <v>12</v>
      </c>
      <c r="U1324" s="53" t="n">
        <v>1</v>
      </c>
      <c r="V1324" s="76" t="s">
        <v>154</v>
      </c>
      <c r="W1324" s="53" t="n">
        <v>4</v>
      </c>
    </row>
    <row r="1325" customFormat="false" ht="35.05" hidden="false" customHeight="false" outlineLevel="0" collapsed="false">
      <c r="A1325" s="76" t="n">
        <v>1295</v>
      </c>
      <c r="B1325" s="20" t="s">
        <v>1691</v>
      </c>
      <c r="C1325" s="20" t="s">
        <v>508</v>
      </c>
      <c r="D1325" s="20" t="s">
        <v>586</v>
      </c>
      <c r="E1325" s="20" t="s">
        <v>154</v>
      </c>
      <c r="F1325" s="76" t="s">
        <v>539</v>
      </c>
      <c r="G1325" s="20" t="s">
        <v>1715</v>
      </c>
      <c r="H1325" s="55" t="n">
        <v>10</v>
      </c>
      <c r="I1325" s="76" t="s">
        <v>512</v>
      </c>
      <c r="J1325" s="76" t="n">
        <v>200</v>
      </c>
      <c r="K1325" s="82" t="n">
        <v>1</v>
      </c>
      <c r="L1325" s="55" t="n">
        <v>6</v>
      </c>
      <c r="M1325" s="73" t="n">
        <v>1.95</v>
      </c>
      <c r="N1325" s="74" t="n">
        <f aca="false">K1325*L1325*M1325</f>
        <v>11.7</v>
      </c>
      <c r="O1325" s="41" t="n">
        <f aca="false">IFERROR(INDEX(Исходные!$B$21:$B$33,MATCH(H1325,Исходные!$A$21:$A$33,0)),0)</f>
        <v>0.617</v>
      </c>
      <c r="P1325" s="83" t="n">
        <f aca="false">N1325*O1325</f>
        <v>7.2189</v>
      </c>
      <c r="Q1325" s="20" t="s">
        <v>1235</v>
      </c>
      <c r="R1325" s="84" t="s">
        <v>514</v>
      </c>
      <c r="S1325" s="20"/>
      <c r="T1325" s="20" t="s">
        <v>12</v>
      </c>
      <c r="U1325" s="53" t="n">
        <v>0</v>
      </c>
      <c r="V1325" s="76" t="s">
        <v>154</v>
      </c>
      <c r="W1325" s="53" t="n">
        <v>4</v>
      </c>
    </row>
    <row r="1326" customFormat="false" ht="35.05" hidden="false" customHeight="false" outlineLevel="0" collapsed="false">
      <c r="A1326" s="76" t="n">
        <v>1296</v>
      </c>
      <c r="B1326" s="20" t="s">
        <v>1691</v>
      </c>
      <c r="C1326" s="20" t="s">
        <v>508</v>
      </c>
      <c r="D1326" s="20" t="s">
        <v>586</v>
      </c>
      <c r="E1326" s="20" t="s">
        <v>154</v>
      </c>
      <c r="F1326" s="76" t="s">
        <v>539</v>
      </c>
      <c r="G1326" s="20" t="s">
        <v>1716</v>
      </c>
      <c r="H1326" s="55" t="n">
        <v>10</v>
      </c>
      <c r="I1326" s="76" t="s">
        <v>512</v>
      </c>
      <c r="J1326" s="76" t="n">
        <v>200</v>
      </c>
      <c r="K1326" s="82" t="n">
        <v>1</v>
      </c>
      <c r="L1326" s="55" t="n">
        <v>6</v>
      </c>
      <c r="M1326" s="73" t="n">
        <v>1.95</v>
      </c>
      <c r="N1326" s="74" t="n">
        <f aca="false">K1326*L1326*M1326</f>
        <v>11.7</v>
      </c>
      <c r="O1326" s="41" t="n">
        <f aca="false">IFERROR(INDEX(Исходные!$B$21:$B$33,MATCH(H1326,Исходные!$A$21:$A$33,0)),0)</f>
        <v>0.617</v>
      </c>
      <c r="P1326" s="83" t="n">
        <f aca="false">N1326*O1326</f>
        <v>7.2189</v>
      </c>
      <c r="Q1326" s="20" t="s">
        <v>1235</v>
      </c>
      <c r="R1326" s="84" t="s">
        <v>514</v>
      </c>
      <c r="S1326" s="20"/>
      <c r="T1326" s="20" t="s">
        <v>12</v>
      </c>
      <c r="U1326" s="53" t="n">
        <v>0</v>
      </c>
      <c r="V1326" s="76" t="s">
        <v>154</v>
      </c>
      <c r="W1326" s="53" t="n">
        <v>4</v>
      </c>
    </row>
    <row r="1327" customFormat="false" ht="35.05" hidden="false" customHeight="false" outlineLevel="0" collapsed="false">
      <c r="A1327" s="76" t="n">
        <v>1297</v>
      </c>
      <c r="B1327" s="20" t="s">
        <v>1691</v>
      </c>
      <c r="C1327" s="20" t="s">
        <v>508</v>
      </c>
      <c r="D1327" s="20" t="s">
        <v>586</v>
      </c>
      <c r="E1327" s="20" t="s">
        <v>154</v>
      </c>
      <c r="F1327" s="76" t="s">
        <v>539</v>
      </c>
      <c r="G1327" s="20" t="s">
        <v>1717</v>
      </c>
      <c r="H1327" s="55" t="n">
        <v>10</v>
      </c>
      <c r="I1327" s="76" t="s">
        <v>512</v>
      </c>
      <c r="J1327" s="76" t="n">
        <v>200</v>
      </c>
      <c r="K1327" s="82" t="n">
        <v>1</v>
      </c>
      <c r="L1327" s="55" t="n">
        <v>10</v>
      </c>
      <c r="M1327" s="73" t="n">
        <v>1.45</v>
      </c>
      <c r="N1327" s="74" t="n">
        <f aca="false">K1327*L1327*M1327</f>
        <v>14.5</v>
      </c>
      <c r="O1327" s="41" t="n">
        <f aca="false">IFERROR(INDEX(Исходные!$B$21:$B$33,MATCH(H1327,Исходные!$A$21:$A$33,0)),0)</f>
        <v>0.617</v>
      </c>
      <c r="P1327" s="83" t="n">
        <f aca="false">N1327*O1327</f>
        <v>8.9465</v>
      </c>
      <c r="Q1327" s="20" t="s">
        <v>1235</v>
      </c>
      <c r="R1327" s="84" t="s">
        <v>514</v>
      </c>
      <c r="S1327" s="20"/>
      <c r="T1327" s="20" t="s">
        <v>12</v>
      </c>
      <c r="U1327" s="53" t="n">
        <v>0</v>
      </c>
      <c r="V1327" s="76" t="s">
        <v>154</v>
      </c>
      <c r="W1327" s="53" t="n">
        <v>4</v>
      </c>
    </row>
    <row r="1328" customFormat="false" ht="35.05" hidden="false" customHeight="false" outlineLevel="0" collapsed="false">
      <c r="A1328" s="76" t="n">
        <v>1298</v>
      </c>
      <c r="B1328" s="20" t="s">
        <v>1691</v>
      </c>
      <c r="C1328" s="20" t="s">
        <v>508</v>
      </c>
      <c r="D1328" s="20" t="s">
        <v>586</v>
      </c>
      <c r="E1328" s="20" t="s">
        <v>154</v>
      </c>
      <c r="F1328" s="76" t="s">
        <v>539</v>
      </c>
      <c r="G1328" s="20" t="s">
        <v>1718</v>
      </c>
      <c r="H1328" s="55" t="n">
        <v>10</v>
      </c>
      <c r="I1328" s="76" t="s">
        <v>512</v>
      </c>
      <c r="J1328" s="76" t="n">
        <v>200</v>
      </c>
      <c r="K1328" s="82" t="n">
        <v>1</v>
      </c>
      <c r="L1328" s="55" t="n">
        <v>6</v>
      </c>
      <c r="M1328" s="73" t="n">
        <v>1.45</v>
      </c>
      <c r="N1328" s="74" t="n">
        <f aca="false">K1328*L1328*M1328</f>
        <v>8.7</v>
      </c>
      <c r="O1328" s="41" t="n">
        <f aca="false">IFERROR(INDEX(Исходные!$B$21:$B$33,MATCH(H1328,Исходные!$A$21:$A$33,0)),0)</f>
        <v>0.617</v>
      </c>
      <c r="P1328" s="83" t="n">
        <f aca="false">N1328*O1328</f>
        <v>5.3679</v>
      </c>
      <c r="Q1328" s="20" t="s">
        <v>1235</v>
      </c>
      <c r="R1328" s="84" t="s">
        <v>514</v>
      </c>
      <c r="S1328" s="20"/>
      <c r="T1328" s="20" t="s">
        <v>12</v>
      </c>
      <c r="U1328" s="53" t="n">
        <v>0</v>
      </c>
      <c r="V1328" s="76" t="s">
        <v>154</v>
      </c>
      <c r="W1328" s="53" t="n">
        <v>4</v>
      </c>
    </row>
    <row r="1329" customFormat="false" ht="35.05" hidden="false" customHeight="false" outlineLevel="0" collapsed="false">
      <c r="A1329" s="76" t="n">
        <v>1299</v>
      </c>
      <c r="B1329" s="20" t="s">
        <v>1691</v>
      </c>
      <c r="C1329" s="20" t="s">
        <v>508</v>
      </c>
      <c r="D1329" s="20" t="s">
        <v>586</v>
      </c>
      <c r="E1329" s="20" t="s">
        <v>154</v>
      </c>
      <c r="F1329" s="76" t="s">
        <v>1538</v>
      </c>
      <c r="G1329" s="20" t="s">
        <v>1719</v>
      </c>
      <c r="H1329" s="55" t="n">
        <v>16</v>
      </c>
      <c r="I1329" s="76" t="s">
        <v>512</v>
      </c>
      <c r="J1329" s="76" t="s">
        <v>164</v>
      </c>
      <c r="K1329" s="82" t="n">
        <v>1</v>
      </c>
      <c r="L1329" s="55" t="n">
        <v>8</v>
      </c>
      <c r="M1329" s="73" t="n">
        <v>1.6</v>
      </c>
      <c r="N1329" s="74" t="n">
        <f aca="false">K1329*L1329*M1329</f>
        <v>12.8</v>
      </c>
      <c r="O1329" s="41" t="n">
        <f aca="false">IFERROR(INDEX(Исходные!$B$21:$B$33,MATCH(H1329,Исходные!$A$21:$A$33,0)),0)</f>
        <v>1.578</v>
      </c>
      <c r="P1329" s="83" t="n">
        <f aca="false">N1329*O1329</f>
        <v>20.1984</v>
      </c>
      <c r="Q1329" s="20" t="s">
        <v>1720</v>
      </c>
      <c r="R1329" s="85" t="s">
        <v>535</v>
      </c>
      <c r="S1329" s="20" t="s">
        <v>1541</v>
      </c>
      <c r="T1329" s="20" t="s">
        <v>12</v>
      </c>
      <c r="U1329" s="53" t="n">
        <v>1</v>
      </c>
      <c r="V1329" s="76" t="s">
        <v>154</v>
      </c>
      <c r="W1329" s="53" t="n">
        <v>4</v>
      </c>
    </row>
    <row r="1330" customFormat="false" ht="35.05" hidden="false" customHeight="false" outlineLevel="0" collapsed="false">
      <c r="A1330" s="76" t="n">
        <v>1300</v>
      </c>
      <c r="B1330" s="20" t="s">
        <v>1691</v>
      </c>
      <c r="C1330" s="20" t="s">
        <v>508</v>
      </c>
      <c r="D1330" s="20" t="s">
        <v>586</v>
      </c>
      <c r="E1330" s="20" t="s">
        <v>154</v>
      </c>
      <c r="F1330" s="76" t="s">
        <v>544</v>
      </c>
      <c r="G1330" s="20" t="s">
        <v>1191</v>
      </c>
      <c r="H1330" s="55" t="n">
        <v>10</v>
      </c>
      <c r="I1330" s="76" t="s">
        <v>546</v>
      </c>
      <c r="J1330" s="76" t="s">
        <v>547</v>
      </c>
      <c r="K1330" s="82" t="n">
        <v>1</v>
      </c>
      <c r="L1330" s="55" t="n">
        <v>48</v>
      </c>
      <c r="M1330" s="73" t="n">
        <v>1.33</v>
      </c>
      <c r="N1330" s="74" t="n">
        <f aca="false">K1330*L1330*M1330</f>
        <v>63.84</v>
      </c>
      <c r="O1330" s="41" t="n">
        <f aca="false">IFERROR(INDEX(Исходные!$B$21:$B$33,MATCH(H1330,Исходные!$A$21:$A$33,0)),0)</f>
        <v>0.617</v>
      </c>
      <c r="P1330" s="83" t="n">
        <f aca="false">N1330*O1330</f>
        <v>39.38928</v>
      </c>
      <c r="Q1330" s="20" t="s">
        <v>1218</v>
      </c>
      <c r="R1330" s="84" t="s">
        <v>514</v>
      </c>
      <c r="S1330" s="20"/>
      <c r="T1330" s="20" t="s">
        <v>12</v>
      </c>
      <c r="U1330" s="53" t="n">
        <v>0</v>
      </c>
      <c r="V1330" s="76" t="s">
        <v>154</v>
      </c>
      <c r="W1330" s="53" t="n">
        <v>4</v>
      </c>
    </row>
    <row r="1331" customFormat="false" ht="35.05" hidden="false" customHeight="false" outlineLevel="0" collapsed="false">
      <c r="A1331" s="76" t="n">
        <v>1301</v>
      </c>
      <c r="B1331" s="20" t="s">
        <v>1691</v>
      </c>
      <c r="C1331" s="20" t="s">
        <v>508</v>
      </c>
      <c r="D1331" s="20" t="s">
        <v>586</v>
      </c>
      <c r="E1331" s="20" t="s">
        <v>154</v>
      </c>
      <c r="F1331" s="76" t="s">
        <v>696</v>
      </c>
      <c r="G1331" s="20" t="s">
        <v>1193</v>
      </c>
      <c r="H1331" s="55" t="n">
        <v>8</v>
      </c>
      <c r="I1331" s="76" t="s">
        <v>546</v>
      </c>
      <c r="J1331" s="76" t="s">
        <v>547</v>
      </c>
      <c r="K1331" s="82" t="n">
        <v>1</v>
      </c>
      <c r="L1331" s="55" t="n">
        <v>32</v>
      </c>
      <c r="M1331" s="73" t="n">
        <v>1.56</v>
      </c>
      <c r="N1331" s="74" t="n">
        <f aca="false">K1331*L1331*M1331</f>
        <v>49.92</v>
      </c>
      <c r="O1331" s="41" t="n">
        <f aca="false">IFERROR(INDEX(Исходные!$B$21:$B$33,MATCH(H1331,Исходные!$A$21:$A$33,0)),0)</f>
        <v>0.395</v>
      </c>
      <c r="P1331" s="83" t="n">
        <f aca="false">N1331*O1331</f>
        <v>19.7184</v>
      </c>
      <c r="Q1331" s="20" t="s">
        <v>1220</v>
      </c>
      <c r="R1331" s="84" t="s">
        <v>514</v>
      </c>
      <c r="S1331" s="20"/>
      <c r="T1331" s="20" t="s">
        <v>12</v>
      </c>
      <c r="U1331" s="53" t="n">
        <v>0</v>
      </c>
      <c r="V1331" s="76" t="s">
        <v>154</v>
      </c>
      <c r="W1331" s="53" t="n">
        <v>4</v>
      </c>
    </row>
    <row r="1332" customFormat="false" ht="35.05" hidden="false" customHeight="false" outlineLevel="0" collapsed="false">
      <c r="A1332" s="76" t="n">
        <v>1302</v>
      </c>
      <c r="B1332" s="20" t="s">
        <v>1691</v>
      </c>
      <c r="C1332" s="20" t="s">
        <v>508</v>
      </c>
      <c r="D1332" s="20" t="s">
        <v>586</v>
      </c>
      <c r="E1332" s="20" t="s">
        <v>154</v>
      </c>
      <c r="F1332" s="76" t="s">
        <v>603</v>
      </c>
      <c r="G1332" s="20" t="s">
        <v>1195</v>
      </c>
      <c r="H1332" s="55" t="n">
        <v>8</v>
      </c>
      <c r="I1332" s="76" t="s">
        <v>546</v>
      </c>
      <c r="J1332" s="76" t="s">
        <v>547</v>
      </c>
      <c r="K1332" s="82" t="n">
        <v>1</v>
      </c>
      <c r="L1332" s="55" t="n">
        <v>16</v>
      </c>
      <c r="M1332" s="73" t="n">
        <v>1.76</v>
      </c>
      <c r="N1332" s="74" t="n">
        <f aca="false">K1332*L1332*M1332</f>
        <v>28.16</v>
      </c>
      <c r="O1332" s="41" t="n">
        <f aca="false">IFERROR(INDEX(Исходные!$B$21:$B$33,MATCH(H1332,Исходные!$A$21:$A$33,0)),0)</f>
        <v>0.395</v>
      </c>
      <c r="P1332" s="83" t="n">
        <f aca="false">N1332*O1332</f>
        <v>11.1232</v>
      </c>
      <c r="Q1332" s="20" t="s">
        <v>1221</v>
      </c>
      <c r="R1332" s="84" t="s">
        <v>514</v>
      </c>
      <c r="S1332" s="20"/>
      <c r="T1332" s="20" t="s">
        <v>12</v>
      </c>
      <c r="U1332" s="53" t="n">
        <v>0</v>
      </c>
      <c r="V1332" s="76" t="s">
        <v>154</v>
      </c>
      <c r="W1332" s="53" t="n">
        <v>4</v>
      </c>
    </row>
    <row r="1333" customFormat="false" ht="35.05" hidden="false" customHeight="false" outlineLevel="0" collapsed="false">
      <c r="A1333" s="76" t="n">
        <v>1303</v>
      </c>
      <c r="B1333" s="20" t="s">
        <v>1691</v>
      </c>
      <c r="C1333" s="20" t="s">
        <v>508</v>
      </c>
      <c r="D1333" s="20" t="s">
        <v>586</v>
      </c>
      <c r="E1333" s="20" t="s">
        <v>154</v>
      </c>
      <c r="F1333" s="76" t="s">
        <v>555</v>
      </c>
      <c r="G1333" s="20" t="s">
        <v>1197</v>
      </c>
      <c r="H1333" s="55" t="n">
        <v>8</v>
      </c>
      <c r="I1333" s="76" t="s">
        <v>546</v>
      </c>
      <c r="J1333" s="76" t="s">
        <v>547</v>
      </c>
      <c r="K1333" s="82" t="n">
        <v>1</v>
      </c>
      <c r="L1333" s="55" t="n">
        <v>28</v>
      </c>
      <c r="M1333" s="73" t="n">
        <v>2.44</v>
      </c>
      <c r="N1333" s="74" t="n">
        <f aca="false">K1333*L1333*M1333</f>
        <v>68.32</v>
      </c>
      <c r="O1333" s="41" t="n">
        <f aca="false">IFERROR(INDEX(Исходные!$B$21:$B$33,MATCH(H1333,Исходные!$A$21:$A$33,0)),0)</f>
        <v>0.395</v>
      </c>
      <c r="P1333" s="83" t="n">
        <f aca="false">N1333*O1333</f>
        <v>26.9864</v>
      </c>
      <c r="Q1333" s="20" t="s">
        <v>1198</v>
      </c>
      <c r="R1333" s="84" t="s">
        <v>514</v>
      </c>
      <c r="S1333" s="20"/>
      <c r="T1333" s="20" t="s">
        <v>12</v>
      </c>
      <c r="U1333" s="53" t="n">
        <v>0</v>
      </c>
      <c r="V1333" s="76" t="s">
        <v>154</v>
      </c>
      <c r="W1333" s="53" t="n">
        <v>4</v>
      </c>
    </row>
    <row r="1334" customFormat="false" ht="35.05" hidden="false" customHeight="false" outlineLevel="0" collapsed="false">
      <c r="A1334" s="76" t="n">
        <v>1304</v>
      </c>
      <c r="B1334" s="20" t="s">
        <v>1691</v>
      </c>
      <c r="C1334" s="20" t="s">
        <v>508</v>
      </c>
      <c r="D1334" s="20" t="s">
        <v>586</v>
      </c>
      <c r="E1334" s="20" t="s">
        <v>154</v>
      </c>
      <c r="F1334" s="76" t="s">
        <v>558</v>
      </c>
      <c r="G1334" s="20" t="s">
        <v>1199</v>
      </c>
      <c r="H1334" s="55" t="n">
        <v>8</v>
      </c>
      <c r="I1334" s="76" t="s">
        <v>546</v>
      </c>
      <c r="J1334" s="76" t="s">
        <v>547</v>
      </c>
      <c r="K1334" s="82" t="n">
        <v>1</v>
      </c>
      <c r="L1334" s="55" t="n">
        <v>32</v>
      </c>
      <c r="M1334" s="73" t="n">
        <v>1.96</v>
      </c>
      <c r="N1334" s="74" t="n">
        <f aca="false">K1334*L1334*M1334</f>
        <v>62.72</v>
      </c>
      <c r="O1334" s="41" t="n">
        <f aca="false">IFERROR(INDEX(Исходные!$B$21:$B$33,MATCH(H1334,Исходные!$A$21:$A$33,0)),0)</f>
        <v>0.395</v>
      </c>
      <c r="P1334" s="83" t="n">
        <f aca="false">N1334*O1334</f>
        <v>24.7744</v>
      </c>
      <c r="Q1334" s="20" t="s">
        <v>1222</v>
      </c>
      <c r="R1334" s="84" t="s">
        <v>514</v>
      </c>
      <c r="S1334" s="20"/>
      <c r="T1334" s="20" t="s">
        <v>12</v>
      </c>
      <c r="U1334" s="53" t="n">
        <v>0</v>
      </c>
      <c r="V1334" s="76" t="s">
        <v>154</v>
      </c>
      <c r="W1334" s="53" t="n">
        <v>4</v>
      </c>
    </row>
    <row r="1335" customFormat="false" ht="35.05" hidden="false" customHeight="false" outlineLevel="0" collapsed="false">
      <c r="A1335" s="76" t="n">
        <v>1305</v>
      </c>
      <c r="B1335" s="20" t="s">
        <v>1691</v>
      </c>
      <c r="C1335" s="20" t="s">
        <v>508</v>
      </c>
      <c r="D1335" s="20" t="s">
        <v>586</v>
      </c>
      <c r="E1335" s="20" t="s">
        <v>154</v>
      </c>
      <c r="F1335" s="76" t="s">
        <v>561</v>
      </c>
      <c r="G1335" s="20" t="s">
        <v>1239</v>
      </c>
      <c r="H1335" s="55" t="n">
        <v>8</v>
      </c>
      <c r="I1335" s="76" t="s">
        <v>546</v>
      </c>
      <c r="J1335" s="76" t="s">
        <v>547</v>
      </c>
      <c r="K1335" s="82" t="n">
        <v>1</v>
      </c>
      <c r="L1335" s="55" t="n">
        <v>72</v>
      </c>
      <c r="M1335" s="73" t="n">
        <v>0.53</v>
      </c>
      <c r="N1335" s="74" t="n">
        <f aca="false">K1335*L1335*M1335</f>
        <v>38.16</v>
      </c>
      <c r="O1335" s="41" t="n">
        <f aca="false">IFERROR(INDEX(Исходные!$B$21:$B$33,MATCH(H1335,Исходные!$A$21:$A$33,0)),0)</f>
        <v>0.395</v>
      </c>
      <c r="P1335" s="83" t="n">
        <f aca="false">N1335*O1335</f>
        <v>15.0732</v>
      </c>
      <c r="Q1335" s="20" t="s">
        <v>1224</v>
      </c>
      <c r="R1335" s="84" t="s">
        <v>514</v>
      </c>
      <c r="S1335" s="20"/>
      <c r="T1335" s="20" t="s">
        <v>12</v>
      </c>
      <c r="U1335" s="53" t="n">
        <v>0</v>
      </c>
      <c r="V1335" s="76" t="s">
        <v>154</v>
      </c>
      <c r="W1335" s="53" t="n">
        <v>4</v>
      </c>
    </row>
    <row r="1336" customFormat="false" ht="35.05" hidden="false" customHeight="false" outlineLevel="0" collapsed="false">
      <c r="A1336" s="76" t="n">
        <v>1306</v>
      </c>
      <c r="B1336" s="20" t="s">
        <v>1691</v>
      </c>
      <c r="C1336" s="20" t="s">
        <v>508</v>
      </c>
      <c r="D1336" s="20" t="s">
        <v>605</v>
      </c>
      <c r="E1336" s="20" t="s">
        <v>155</v>
      </c>
      <c r="F1336" s="76" t="s">
        <v>519</v>
      </c>
      <c r="G1336" s="20" t="s">
        <v>1168</v>
      </c>
      <c r="H1336" s="55" t="n">
        <v>28</v>
      </c>
      <c r="I1336" s="76" t="s">
        <v>512</v>
      </c>
      <c r="J1336" s="76" t="s">
        <v>164</v>
      </c>
      <c r="K1336" s="82" t="n">
        <v>1</v>
      </c>
      <c r="L1336" s="55" t="n">
        <v>4</v>
      </c>
      <c r="M1336" s="73" t="n">
        <v>3.6</v>
      </c>
      <c r="N1336" s="74" t="n">
        <f aca="false">K1336*L1336*M1336</f>
        <v>14.4</v>
      </c>
      <c r="O1336" s="41" t="n">
        <f aca="false">IFERROR(INDEX(Исходные!$B$21:$B$33,MATCH(H1336,Исходные!$A$21:$A$33,0)),0)</f>
        <v>4.834</v>
      </c>
      <c r="P1336" s="83" t="n">
        <f aca="false">N1336*O1336</f>
        <v>69.6096</v>
      </c>
      <c r="Q1336" s="20" t="s">
        <v>1565</v>
      </c>
      <c r="R1336" s="84" t="s">
        <v>514</v>
      </c>
      <c r="S1336" s="20" t="s">
        <v>1204</v>
      </c>
      <c r="T1336" s="20" t="s">
        <v>12</v>
      </c>
      <c r="U1336" s="53" t="n">
        <v>0</v>
      </c>
      <c r="V1336" s="76" t="s">
        <v>155</v>
      </c>
      <c r="W1336" s="53" t="n">
        <v>4</v>
      </c>
    </row>
    <row r="1337" customFormat="false" ht="35.05" hidden="false" customHeight="false" outlineLevel="0" collapsed="false">
      <c r="A1337" s="76" t="n">
        <v>1307</v>
      </c>
      <c r="B1337" s="20" t="s">
        <v>1691</v>
      </c>
      <c r="C1337" s="20" t="s">
        <v>508</v>
      </c>
      <c r="D1337" s="20" t="s">
        <v>605</v>
      </c>
      <c r="E1337" s="20" t="s">
        <v>155</v>
      </c>
      <c r="F1337" s="76" t="s">
        <v>516</v>
      </c>
      <c r="G1337" s="20" t="s">
        <v>1241</v>
      </c>
      <c r="H1337" s="55" t="n">
        <v>20</v>
      </c>
      <c r="I1337" s="76" t="s">
        <v>512</v>
      </c>
      <c r="J1337" s="76" t="s">
        <v>164</v>
      </c>
      <c r="K1337" s="82" t="n">
        <v>1</v>
      </c>
      <c r="L1337" s="55" t="n">
        <v>8</v>
      </c>
      <c r="M1337" s="73" t="n">
        <v>3.6</v>
      </c>
      <c r="N1337" s="74" t="n">
        <f aca="false">K1337*L1337*M1337</f>
        <v>28.8</v>
      </c>
      <c r="O1337" s="41" t="n">
        <f aca="false">IFERROR(INDEX(Исходные!$B$21:$B$33,MATCH(H1337,Исходные!$A$21:$A$33,0)),0)</f>
        <v>2.466</v>
      </c>
      <c r="P1337" s="83" t="n">
        <f aca="false">N1337*O1337</f>
        <v>71.0208</v>
      </c>
      <c r="Q1337" s="20" t="s">
        <v>1565</v>
      </c>
      <c r="R1337" s="84" t="s">
        <v>514</v>
      </c>
      <c r="S1337" s="20" t="s">
        <v>1206</v>
      </c>
      <c r="T1337" s="20" t="s">
        <v>12</v>
      </c>
      <c r="U1337" s="53" t="n">
        <v>0</v>
      </c>
      <c r="V1337" s="76" t="s">
        <v>155</v>
      </c>
      <c r="W1337" s="53" t="n">
        <v>4</v>
      </c>
    </row>
    <row r="1338" customFormat="false" ht="35.05" hidden="false" customHeight="false" outlineLevel="0" collapsed="false">
      <c r="A1338" s="76" t="n">
        <v>1308</v>
      </c>
      <c r="B1338" s="20" t="s">
        <v>1691</v>
      </c>
      <c r="C1338" s="20" t="s">
        <v>508</v>
      </c>
      <c r="D1338" s="20" t="s">
        <v>605</v>
      </c>
      <c r="E1338" s="20" t="s">
        <v>155</v>
      </c>
      <c r="F1338" s="76" t="s">
        <v>669</v>
      </c>
      <c r="G1338" s="20" t="s">
        <v>1242</v>
      </c>
      <c r="H1338" s="55" t="n">
        <v>16</v>
      </c>
      <c r="I1338" s="76" t="s">
        <v>512</v>
      </c>
      <c r="J1338" s="76" t="s">
        <v>164</v>
      </c>
      <c r="K1338" s="82" t="n">
        <v>1</v>
      </c>
      <c r="L1338" s="55" t="n">
        <v>6</v>
      </c>
      <c r="M1338" s="73" t="n">
        <v>3.728</v>
      </c>
      <c r="N1338" s="74" t="n">
        <f aca="false">K1338*L1338*M1338</f>
        <v>22.368</v>
      </c>
      <c r="O1338" s="41" t="n">
        <f aca="false">IFERROR(INDEX(Исходные!$B$21:$B$33,MATCH(H1338,Исходные!$A$21:$A$33,0)),0)</f>
        <v>1.578</v>
      </c>
      <c r="P1338" s="83" t="n">
        <f aca="false">N1338*O1338</f>
        <v>35.296704</v>
      </c>
      <c r="Q1338" s="20" t="s">
        <v>1565</v>
      </c>
      <c r="R1338" s="84" t="s">
        <v>514</v>
      </c>
      <c r="S1338" s="20" t="s">
        <v>1243</v>
      </c>
      <c r="T1338" s="20" t="s">
        <v>12</v>
      </c>
      <c r="U1338" s="53" t="n">
        <v>0</v>
      </c>
      <c r="V1338" s="76" t="s">
        <v>155</v>
      </c>
      <c r="W1338" s="53" t="n">
        <v>4</v>
      </c>
    </row>
    <row r="1339" customFormat="false" ht="35.05" hidden="false" customHeight="false" outlineLevel="0" collapsed="false">
      <c r="A1339" s="76" t="n">
        <v>1309</v>
      </c>
      <c r="B1339" s="20" t="s">
        <v>1691</v>
      </c>
      <c r="C1339" s="20" t="s">
        <v>508</v>
      </c>
      <c r="D1339" s="20" t="s">
        <v>605</v>
      </c>
      <c r="E1339" s="20" t="s">
        <v>155</v>
      </c>
      <c r="F1339" s="76" t="s">
        <v>522</v>
      </c>
      <c r="G1339" s="20" t="s">
        <v>1244</v>
      </c>
      <c r="H1339" s="55" t="n">
        <v>25</v>
      </c>
      <c r="I1339" s="76" t="s">
        <v>512</v>
      </c>
      <c r="J1339" s="76" t="s">
        <v>164</v>
      </c>
      <c r="K1339" s="82" t="n">
        <v>1</v>
      </c>
      <c r="L1339" s="55" t="n">
        <v>6</v>
      </c>
      <c r="M1339" s="73" t="n">
        <v>3.6</v>
      </c>
      <c r="N1339" s="74" t="n">
        <f aca="false">K1339*L1339*M1339</f>
        <v>21.6</v>
      </c>
      <c r="O1339" s="41" t="n">
        <f aca="false">IFERROR(INDEX(Исходные!$B$21:$B$33,MATCH(H1339,Исходные!$A$21:$A$33,0)),0)</f>
        <v>3.853</v>
      </c>
      <c r="P1339" s="83" t="n">
        <f aca="false">N1339*O1339</f>
        <v>83.2248</v>
      </c>
      <c r="Q1339" s="20" t="s">
        <v>1565</v>
      </c>
      <c r="R1339" s="84" t="s">
        <v>514</v>
      </c>
      <c r="S1339" s="20" t="s">
        <v>1178</v>
      </c>
      <c r="T1339" s="20" t="s">
        <v>12</v>
      </c>
      <c r="U1339" s="53" t="n">
        <v>0</v>
      </c>
      <c r="V1339" s="76" t="s">
        <v>155</v>
      </c>
      <c r="W1339" s="53" t="n">
        <v>4</v>
      </c>
    </row>
    <row r="1340" customFormat="false" ht="35.05" hidden="false" customHeight="false" outlineLevel="0" collapsed="false">
      <c r="A1340" s="76" t="n">
        <v>1310</v>
      </c>
      <c r="B1340" s="20" t="s">
        <v>1691</v>
      </c>
      <c r="C1340" s="20" t="s">
        <v>508</v>
      </c>
      <c r="D1340" s="20" t="s">
        <v>605</v>
      </c>
      <c r="E1340" s="20" t="s">
        <v>155</v>
      </c>
      <c r="F1340" s="76" t="s">
        <v>532</v>
      </c>
      <c r="G1340" s="20" t="s">
        <v>613</v>
      </c>
      <c r="H1340" s="55" t="n">
        <v>10</v>
      </c>
      <c r="I1340" s="76" t="s">
        <v>512</v>
      </c>
      <c r="J1340" s="76" t="n">
        <v>200</v>
      </c>
      <c r="K1340" s="82" t="n">
        <v>1</v>
      </c>
      <c r="L1340" s="55" t="n">
        <v>32</v>
      </c>
      <c r="M1340" s="73" t="n">
        <v>1.45</v>
      </c>
      <c r="N1340" s="74" t="n">
        <f aca="false">K1340*L1340*M1340</f>
        <v>46.4</v>
      </c>
      <c r="O1340" s="41" t="n">
        <f aca="false">IFERROR(INDEX(Исходные!$B$21:$B$33,MATCH(H1340,Исходные!$A$21:$A$33,0)),0)</f>
        <v>0.617</v>
      </c>
      <c r="P1340" s="83" t="n">
        <f aca="false">N1340*O1340</f>
        <v>28.6288</v>
      </c>
      <c r="Q1340" s="20" t="s">
        <v>1721</v>
      </c>
      <c r="R1340" s="85" t="s">
        <v>535</v>
      </c>
      <c r="S1340" s="20" t="s">
        <v>1693</v>
      </c>
      <c r="T1340" s="20" t="s">
        <v>12</v>
      </c>
      <c r="U1340" s="53" t="n">
        <v>1</v>
      </c>
      <c r="V1340" s="76" t="s">
        <v>155</v>
      </c>
      <c r="W1340" s="53" t="n">
        <v>4</v>
      </c>
    </row>
    <row r="1341" customFormat="false" ht="35.05" hidden="false" customHeight="false" outlineLevel="0" collapsed="false">
      <c r="A1341" s="76" t="n">
        <v>1311</v>
      </c>
      <c r="B1341" s="20" t="s">
        <v>1691</v>
      </c>
      <c r="C1341" s="20" t="s">
        <v>508</v>
      </c>
      <c r="D1341" s="20" t="s">
        <v>605</v>
      </c>
      <c r="E1341" s="20" t="s">
        <v>155</v>
      </c>
      <c r="F1341" s="76" t="s">
        <v>539</v>
      </c>
      <c r="G1341" s="20" t="s">
        <v>1722</v>
      </c>
      <c r="H1341" s="55" t="n">
        <v>10</v>
      </c>
      <c r="I1341" s="76" t="s">
        <v>512</v>
      </c>
      <c r="J1341" s="76" t="n">
        <v>200</v>
      </c>
      <c r="K1341" s="82" t="n">
        <v>1</v>
      </c>
      <c r="L1341" s="55" t="n">
        <v>6</v>
      </c>
      <c r="M1341" s="73" t="n">
        <v>1.45</v>
      </c>
      <c r="N1341" s="74" t="n">
        <f aca="false">K1341*L1341*M1341</f>
        <v>8.7</v>
      </c>
      <c r="O1341" s="41" t="n">
        <f aca="false">IFERROR(INDEX(Исходные!$B$21:$B$33,MATCH(H1341,Исходные!$A$21:$A$33,0)),0)</f>
        <v>0.617</v>
      </c>
      <c r="P1341" s="83" t="n">
        <f aca="false">N1341*O1341</f>
        <v>5.3679</v>
      </c>
      <c r="Q1341" s="20" t="s">
        <v>616</v>
      </c>
      <c r="R1341" s="84" t="s">
        <v>514</v>
      </c>
      <c r="S1341" s="20"/>
      <c r="T1341" s="20" t="s">
        <v>12</v>
      </c>
      <c r="U1341" s="53" t="n">
        <v>0</v>
      </c>
      <c r="V1341" s="76" t="s">
        <v>155</v>
      </c>
      <c r="W1341" s="53" t="n">
        <v>4</v>
      </c>
    </row>
    <row r="1342" customFormat="false" ht="35.05" hidden="false" customHeight="false" outlineLevel="0" collapsed="false">
      <c r="A1342" s="76" t="n">
        <v>1312</v>
      </c>
      <c r="B1342" s="20" t="s">
        <v>1691</v>
      </c>
      <c r="C1342" s="20" t="s">
        <v>508</v>
      </c>
      <c r="D1342" s="20" t="s">
        <v>605</v>
      </c>
      <c r="E1342" s="20" t="s">
        <v>155</v>
      </c>
      <c r="F1342" s="76" t="s">
        <v>539</v>
      </c>
      <c r="G1342" s="20" t="s">
        <v>1723</v>
      </c>
      <c r="H1342" s="55" t="n">
        <v>10</v>
      </c>
      <c r="I1342" s="76" t="s">
        <v>512</v>
      </c>
      <c r="J1342" s="76" t="n">
        <v>200</v>
      </c>
      <c r="K1342" s="82" t="n">
        <v>1</v>
      </c>
      <c r="L1342" s="55" t="n">
        <v>6</v>
      </c>
      <c r="M1342" s="73" t="n">
        <v>1.45</v>
      </c>
      <c r="N1342" s="74" t="n">
        <f aca="false">K1342*L1342*M1342</f>
        <v>8.7</v>
      </c>
      <c r="O1342" s="41" t="n">
        <f aca="false">IFERROR(INDEX(Исходные!$B$21:$B$33,MATCH(H1342,Исходные!$A$21:$A$33,0)),0)</f>
        <v>0.617</v>
      </c>
      <c r="P1342" s="83" t="n">
        <f aca="false">N1342*O1342</f>
        <v>5.3679</v>
      </c>
      <c r="Q1342" s="20" t="s">
        <v>616</v>
      </c>
      <c r="R1342" s="84" t="s">
        <v>514</v>
      </c>
      <c r="S1342" s="20"/>
      <c r="T1342" s="20" t="s">
        <v>12</v>
      </c>
      <c r="U1342" s="53" t="n">
        <v>0</v>
      </c>
      <c r="V1342" s="76" t="s">
        <v>155</v>
      </c>
      <c r="W1342" s="53" t="n">
        <v>4</v>
      </c>
    </row>
    <row r="1343" customFormat="false" ht="35.05" hidden="false" customHeight="false" outlineLevel="0" collapsed="false">
      <c r="A1343" s="76" t="n">
        <v>1313</v>
      </c>
      <c r="B1343" s="20" t="s">
        <v>1691</v>
      </c>
      <c r="C1343" s="20" t="s">
        <v>508</v>
      </c>
      <c r="D1343" s="20" t="s">
        <v>605</v>
      </c>
      <c r="E1343" s="20" t="s">
        <v>155</v>
      </c>
      <c r="F1343" s="76" t="s">
        <v>544</v>
      </c>
      <c r="G1343" s="20" t="s">
        <v>1248</v>
      </c>
      <c r="H1343" s="55" t="n">
        <v>10</v>
      </c>
      <c r="I1343" s="76" t="s">
        <v>546</v>
      </c>
      <c r="J1343" s="76" t="s">
        <v>547</v>
      </c>
      <c r="K1343" s="82" t="n">
        <v>1</v>
      </c>
      <c r="L1343" s="55" t="n">
        <v>16</v>
      </c>
      <c r="M1343" s="73" t="n">
        <v>1.33</v>
      </c>
      <c r="N1343" s="74" t="n">
        <f aca="false">K1343*L1343*M1343</f>
        <v>21.28</v>
      </c>
      <c r="O1343" s="41" t="n">
        <f aca="false">IFERROR(INDEX(Исходные!$B$21:$B$33,MATCH(H1343,Исходные!$A$21:$A$33,0)),0)</f>
        <v>0.617</v>
      </c>
      <c r="P1343" s="83" t="n">
        <f aca="false">N1343*O1343</f>
        <v>13.12976</v>
      </c>
      <c r="Q1343" s="20" t="s">
        <v>1192</v>
      </c>
      <c r="R1343" s="84" t="s">
        <v>514</v>
      </c>
      <c r="S1343" s="20"/>
      <c r="T1343" s="20" t="s">
        <v>12</v>
      </c>
      <c r="U1343" s="53" t="n">
        <v>0</v>
      </c>
      <c r="V1343" s="76" t="s">
        <v>155</v>
      </c>
      <c r="W1343" s="53" t="n">
        <v>4</v>
      </c>
    </row>
    <row r="1344" customFormat="false" ht="35.05" hidden="false" customHeight="false" outlineLevel="0" collapsed="false">
      <c r="A1344" s="76" t="n">
        <v>1314</v>
      </c>
      <c r="B1344" s="20" t="s">
        <v>1691</v>
      </c>
      <c r="C1344" s="20" t="s">
        <v>508</v>
      </c>
      <c r="D1344" s="20" t="s">
        <v>605</v>
      </c>
      <c r="E1344" s="20" t="s">
        <v>155</v>
      </c>
      <c r="F1344" s="76" t="s">
        <v>603</v>
      </c>
      <c r="G1344" s="20" t="s">
        <v>1195</v>
      </c>
      <c r="H1344" s="55" t="n">
        <v>8</v>
      </c>
      <c r="I1344" s="76" t="s">
        <v>546</v>
      </c>
      <c r="J1344" s="76" t="s">
        <v>547</v>
      </c>
      <c r="K1344" s="82" t="n">
        <v>1</v>
      </c>
      <c r="L1344" s="55" t="n">
        <v>16</v>
      </c>
      <c r="M1344" s="73" t="n">
        <v>1.76</v>
      </c>
      <c r="N1344" s="74" t="n">
        <f aca="false">K1344*L1344*M1344</f>
        <v>28.16</v>
      </c>
      <c r="O1344" s="41" t="n">
        <f aca="false">IFERROR(INDEX(Исходные!$B$21:$B$33,MATCH(H1344,Исходные!$A$21:$A$33,0)),0)</f>
        <v>0.395</v>
      </c>
      <c r="P1344" s="83" t="n">
        <f aca="false">N1344*O1344</f>
        <v>11.1232</v>
      </c>
      <c r="Q1344" s="20" t="s">
        <v>1196</v>
      </c>
      <c r="R1344" s="84" t="s">
        <v>514</v>
      </c>
      <c r="S1344" s="20"/>
      <c r="T1344" s="20" t="s">
        <v>12</v>
      </c>
      <c r="U1344" s="53" t="n">
        <v>0</v>
      </c>
      <c r="V1344" s="76" t="s">
        <v>155</v>
      </c>
      <c r="W1344" s="53" t="n">
        <v>4</v>
      </c>
    </row>
    <row r="1345" customFormat="false" ht="35.05" hidden="false" customHeight="false" outlineLevel="0" collapsed="false">
      <c r="A1345" s="76" t="n">
        <v>1315</v>
      </c>
      <c r="B1345" s="20" t="s">
        <v>1691</v>
      </c>
      <c r="C1345" s="20" t="s">
        <v>508</v>
      </c>
      <c r="D1345" s="20" t="s">
        <v>605</v>
      </c>
      <c r="E1345" s="20" t="s">
        <v>155</v>
      </c>
      <c r="F1345" s="76" t="s">
        <v>555</v>
      </c>
      <c r="G1345" s="20" t="s">
        <v>1197</v>
      </c>
      <c r="H1345" s="55" t="n">
        <v>8</v>
      </c>
      <c r="I1345" s="76" t="s">
        <v>546</v>
      </c>
      <c r="J1345" s="76" t="s">
        <v>547</v>
      </c>
      <c r="K1345" s="82" t="n">
        <v>1</v>
      </c>
      <c r="L1345" s="55" t="n">
        <v>28</v>
      </c>
      <c r="M1345" s="73" t="n">
        <v>2.44</v>
      </c>
      <c r="N1345" s="74" t="n">
        <f aca="false">K1345*L1345*M1345</f>
        <v>68.32</v>
      </c>
      <c r="O1345" s="41" t="n">
        <f aca="false">IFERROR(INDEX(Исходные!$B$21:$B$33,MATCH(H1345,Исходные!$A$21:$A$33,0)),0)</f>
        <v>0.395</v>
      </c>
      <c r="P1345" s="83" t="n">
        <f aca="false">N1345*O1345</f>
        <v>26.9864</v>
      </c>
      <c r="Q1345" s="20" t="s">
        <v>1198</v>
      </c>
      <c r="R1345" s="84" t="s">
        <v>514</v>
      </c>
      <c r="S1345" s="20"/>
      <c r="T1345" s="20" t="s">
        <v>12</v>
      </c>
      <c r="U1345" s="53" t="n">
        <v>0</v>
      </c>
      <c r="V1345" s="76" t="s">
        <v>155</v>
      </c>
      <c r="W1345" s="53" t="n">
        <v>4</v>
      </c>
    </row>
    <row r="1346" customFormat="false" ht="35.05" hidden="false" customHeight="false" outlineLevel="0" collapsed="false">
      <c r="A1346" s="76" t="n">
        <v>1316</v>
      </c>
      <c r="B1346" s="20" t="s">
        <v>1691</v>
      </c>
      <c r="C1346" s="20" t="s">
        <v>508</v>
      </c>
      <c r="D1346" s="20" t="s">
        <v>605</v>
      </c>
      <c r="E1346" s="20" t="s">
        <v>155</v>
      </c>
      <c r="F1346" s="76" t="s">
        <v>558</v>
      </c>
      <c r="G1346" s="20" t="s">
        <v>1199</v>
      </c>
      <c r="H1346" s="55" t="n">
        <v>8</v>
      </c>
      <c r="I1346" s="76" t="s">
        <v>546</v>
      </c>
      <c r="J1346" s="76" t="s">
        <v>547</v>
      </c>
      <c r="K1346" s="82" t="n">
        <v>1</v>
      </c>
      <c r="L1346" s="55" t="n">
        <v>32</v>
      </c>
      <c r="M1346" s="73" t="n">
        <v>1.96</v>
      </c>
      <c r="N1346" s="74" t="n">
        <f aca="false">K1346*L1346*M1346</f>
        <v>62.72</v>
      </c>
      <c r="O1346" s="41" t="n">
        <f aca="false">IFERROR(INDEX(Исходные!$B$21:$B$33,MATCH(H1346,Исходные!$A$21:$A$33,0)),0)</f>
        <v>0.395</v>
      </c>
      <c r="P1346" s="83" t="n">
        <f aca="false">N1346*O1346</f>
        <v>24.7744</v>
      </c>
      <c r="Q1346" s="20" t="s">
        <v>1200</v>
      </c>
      <c r="R1346" s="84" t="s">
        <v>514</v>
      </c>
      <c r="S1346" s="20"/>
      <c r="T1346" s="20" t="s">
        <v>12</v>
      </c>
      <c r="U1346" s="53" t="n">
        <v>0</v>
      </c>
      <c r="V1346" s="76" t="s">
        <v>155</v>
      </c>
      <c r="W1346" s="53" t="n">
        <v>4</v>
      </c>
    </row>
    <row r="1347" customFormat="false" ht="35.05" hidden="false" customHeight="false" outlineLevel="0" collapsed="false">
      <c r="A1347" s="76" t="n">
        <v>1317</v>
      </c>
      <c r="B1347" s="20" t="s">
        <v>1691</v>
      </c>
      <c r="C1347" s="20" t="s">
        <v>508</v>
      </c>
      <c r="D1347" s="20" t="s">
        <v>605</v>
      </c>
      <c r="E1347" s="20" t="s">
        <v>155</v>
      </c>
      <c r="F1347" s="76" t="s">
        <v>561</v>
      </c>
      <c r="G1347" s="20" t="s">
        <v>1249</v>
      </c>
      <c r="H1347" s="55" t="n">
        <v>8</v>
      </c>
      <c r="I1347" s="76" t="s">
        <v>546</v>
      </c>
      <c r="J1347" s="76" t="s">
        <v>547</v>
      </c>
      <c r="K1347" s="82" t="n">
        <v>1</v>
      </c>
      <c r="L1347" s="55" t="n">
        <v>24</v>
      </c>
      <c r="M1347" s="73" t="n">
        <v>0.53</v>
      </c>
      <c r="N1347" s="74" t="n">
        <f aca="false">K1347*L1347*M1347</f>
        <v>12.72</v>
      </c>
      <c r="O1347" s="41" t="n">
        <f aca="false">IFERROR(INDEX(Исходные!$B$21:$B$33,MATCH(H1347,Исходные!$A$21:$A$33,0)),0)</f>
        <v>0.395</v>
      </c>
      <c r="P1347" s="83" t="n">
        <f aca="false">N1347*O1347</f>
        <v>5.0244</v>
      </c>
      <c r="Q1347" s="20" t="s">
        <v>1202</v>
      </c>
      <c r="R1347" s="84" t="s">
        <v>514</v>
      </c>
      <c r="S1347" s="20"/>
      <c r="T1347" s="20" t="s">
        <v>12</v>
      </c>
      <c r="U1347" s="53" t="n">
        <v>0</v>
      </c>
      <c r="V1347" s="76" t="s">
        <v>155</v>
      </c>
      <c r="W1347" s="53" t="n">
        <v>4</v>
      </c>
    </row>
    <row r="1348" customFormat="false" ht="35.05" hidden="false" customHeight="false" outlineLevel="0" collapsed="false">
      <c r="A1348" s="76" t="n">
        <v>1318</v>
      </c>
      <c r="B1348" s="20" t="s">
        <v>1691</v>
      </c>
      <c r="C1348" s="20" t="s">
        <v>508</v>
      </c>
      <c r="D1348" s="20" t="s">
        <v>619</v>
      </c>
      <c r="E1348" s="20" t="s">
        <v>156</v>
      </c>
      <c r="F1348" s="76" t="s">
        <v>519</v>
      </c>
      <c r="G1348" s="20" t="s">
        <v>1168</v>
      </c>
      <c r="H1348" s="55" t="n">
        <v>28</v>
      </c>
      <c r="I1348" s="76" t="s">
        <v>512</v>
      </c>
      <c r="J1348" s="76" t="s">
        <v>164</v>
      </c>
      <c r="K1348" s="82" t="n">
        <v>1</v>
      </c>
      <c r="L1348" s="55" t="n">
        <v>4</v>
      </c>
      <c r="M1348" s="73" t="n">
        <v>3.6</v>
      </c>
      <c r="N1348" s="74" t="n">
        <f aca="false">K1348*L1348*M1348</f>
        <v>14.4</v>
      </c>
      <c r="O1348" s="41" t="n">
        <f aca="false">IFERROR(INDEX(Исходные!$B$21:$B$33,MATCH(H1348,Исходные!$A$21:$A$33,0)),0)</f>
        <v>4.834</v>
      </c>
      <c r="P1348" s="83" t="n">
        <f aca="false">N1348*O1348</f>
        <v>69.6096</v>
      </c>
      <c r="Q1348" s="20" t="s">
        <v>1569</v>
      </c>
      <c r="R1348" s="84" t="s">
        <v>514</v>
      </c>
      <c r="S1348" s="20" t="s">
        <v>1204</v>
      </c>
      <c r="T1348" s="20" t="s">
        <v>12</v>
      </c>
      <c r="U1348" s="53" t="n">
        <v>0</v>
      </c>
      <c r="V1348" s="76" t="s">
        <v>156</v>
      </c>
      <c r="W1348" s="53" t="n">
        <v>4</v>
      </c>
    </row>
    <row r="1349" customFormat="false" ht="35.05" hidden="false" customHeight="false" outlineLevel="0" collapsed="false">
      <c r="A1349" s="76" t="n">
        <v>1319</v>
      </c>
      <c r="B1349" s="20" t="s">
        <v>1691</v>
      </c>
      <c r="C1349" s="20" t="s">
        <v>508</v>
      </c>
      <c r="D1349" s="20" t="s">
        <v>619</v>
      </c>
      <c r="E1349" s="20" t="s">
        <v>156</v>
      </c>
      <c r="F1349" s="76" t="s">
        <v>516</v>
      </c>
      <c r="G1349" s="20" t="s">
        <v>1241</v>
      </c>
      <c r="H1349" s="55" t="n">
        <v>20</v>
      </c>
      <c r="I1349" s="76" t="s">
        <v>512</v>
      </c>
      <c r="J1349" s="76" t="s">
        <v>164</v>
      </c>
      <c r="K1349" s="82" t="n">
        <v>1</v>
      </c>
      <c r="L1349" s="55" t="n">
        <v>8</v>
      </c>
      <c r="M1349" s="73" t="n">
        <v>3.6</v>
      </c>
      <c r="N1349" s="74" t="n">
        <f aca="false">K1349*L1349*M1349</f>
        <v>28.8</v>
      </c>
      <c r="O1349" s="41" t="n">
        <f aca="false">IFERROR(INDEX(Исходные!$B$21:$B$33,MATCH(H1349,Исходные!$A$21:$A$33,0)),0)</f>
        <v>2.466</v>
      </c>
      <c r="P1349" s="83" t="n">
        <f aca="false">N1349*O1349</f>
        <v>71.0208</v>
      </c>
      <c r="Q1349" s="20" t="s">
        <v>1569</v>
      </c>
      <c r="R1349" s="84" t="s">
        <v>514</v>
      </c>
      <c r="S1349" s="20" t="s">
        <v>1206</v>
      </c>
      <c r="T1349" s="20" t="s">
        <v>12</v>
      </c>
      <c r="U1349" s="53" t="n">
        <v>0</v>
      </c>
      <c r="V1349" s="76" t="s">
        <v>156</v>
      </c>
      <c r="W1349" s="53" t="n">
        <v>4</v>
      </c>
    </row>
    <row r="1350" customFormat="false" ht="35.05" hidden="false" customHeight="false" outlineLevel="0" collapsed="false">
      <c r="A1350" s="76" t="n">
        <v>1320</v>
      </c>
      <c r="B1350" s="20" t="s">
        <v>1691</v>
      </c>
      <c r="C1350" s="20" t="s">
        <v>508</v>
      </c>
      <c r="D1350" s="20" t="s">
        <v>619</v>
      </c>
      <c r="E1350" s="20" t="s">
        <v>156</v>
      </c>
      <c r="F1350" s="76" t="s">
        <v>575</v>
      </c>
      <c r="G1350" s="20" t="s">
        <v>1570</v>
      </c>
      <c r="H1350" s="55" t="n">
        <v>22</v>
      </c>
      <c r="I1350" s="76" t="s">
        <v>512</v>
      </c>
      <c r="J1350" s="76" t="s">
        <v>164</v>
      </c>
      <c r="K1350" s="82" t="n">
        <v>1</v>
      </c>
      <c r="L1350" s="55" t="n">
        <v>6</v>
      </c>
      <c r="M1350" s="73" t="n">
        <v>3.6</v>
      </c>
      <c r="N1350" s="74" t="n">
        <f aca="false">K1350*L1350*M1350</f>
        <v>21.6</v>
      </c>
      <c r="O1350" s="41" t="n">
        <f aca="false">IFERROR(INDEX(Исходные!$B$21:$B$33,MATCH(H1350,Исходные!$A$21:$A$33,0)),0)</f>
        <v>2.984</v>
      </c>
      <c r="P1350" s="83" t="n">
        <f aca="false">N1350*O1350</f>
        <v>64.4544</v>
      </c>
      <c r="Q1350" s="20" t="s">
        <v>1569</v>
      </c>
      <c r="R1350" s="84" t="s">
        <v>514</v>
      </c>
      <c r="S1350" s="20" t="s">
        <v>1255</v>
      </c>
      <c r="T1350" s="20" t="s">
        <v>12</v>
      </c>
      <c r="U1350" s="53" t="n">
        <v>0</v>
      </c>
      <c r="V1350" s="76" t="s">
        <v>156</v>
      </c>
      <c r="W1350" s="53" t="n">
        <v>4</v>
      </c>
    </row>
    <row r="1351" customFormat="false" ht="35.05" hidden="false" customHeight="false" outlineLevel="0" collapsed="false">
      <c r="A1351" s="76" t="n">
        <v>1321</v>
      </c>
      <c r="B1351" s="20" t="s">
        <v>1691</v>
      </c>
      <c r="C1351" s="20" t="s">
        <v>508</v>
      </c>
      <c r="D1351" s="20" t="s">
        <v>619</v>
      </c>
      <c r="E1351" s="20" t="s">
        <v>156</v>
      </c>
      <c r="F1351" s="76" t="s">
        <v>995</v>
      </c>
      <c r="G1351" s="20" t="s">
        <v>1571</v>
      </c>
      <c r="H1351" s="55" t="n">
        <v>14</v>
      </c>
      <c r="I1351" s="76" t="s">
        <v>512</v>
      </c>
      <c r="J1351" s="76" t="s">
        <v>164</v>
      </c>
      <c r="K1351" s="82" t="n">
        <v>1</v>
      </c>
      <c r="L1351" s="55" t="n">
        <v>4</v>
      </c>
      <c r="M1351" s="73" t="n">
        <v>3.712</v>
      </c>
      <c r="N1351" s="74" t="n">
        <f aca="false">K1351*L1351*M1351</f>
        <v>14.848</v>
      </c>
      <c r="O1351" s="41" t="n">
        <f aca="false">IFERROR(INDEX(Исходные!$B$21:$B$33,MATCH(H1351,Исходные!$A$21:$A$33,0)),0)</f>
        <v>1.208</v>
      </c>
      <c r="P1351" s="83" t="n">
        <f aca="false">N1351*O1351</f>
        <v>17.936384</v>
      </c>
      <c r="Q1351" s="20" t="s">
        <v>1569</v>
      </c>
      <c r="R1351" s="84" t="s">
        <v>514</v>
      </c>
      <c r="S1351" s="20" t="s">
        <v>1572</v>
      </c>
      <c r="T1351" s="20" t="s">
        <v>12</v>
      </c>
      <c r="U1351" s="53" t="n">
        <v>0</v>
      </c>
      <c r="V1351" s="76" t="s">
        <v>156</v>
      </c>
      <c r="W1351" s="53" t="n">
        <v>4</v>
      </c>
    </row>
    <row r="1352" customFormat="false" ht="35.05" hidden="false" customHeight="false" outlineLevel="0" collapsed="false">
      <c r="A1352" s="76" t="n">
        <v>1322</v>
      </c>
      <c r="B1352" s="20" t="s">
        <v>1691</v>
      </c>
      <c r="C1352" s="20" t="s">
        <v>508</v>
      </c>
      <c r="D1352" s="20" t="s">
        <v>619</v>
      </c>
      <c r="E1352" s="20" t="s">
        <v>156</v>
      </c>
      <c r="F1352" s="76" t="s">
        <v>995</v>
      </c>
      <c r="G1352" s="20" t="s">
        <v>1573</v>
      </c>
      <c r="H1352" s="55" t="n">
        <v>14</v>
      </c>
      <c r="I1352" s="76" t="s">
        <v>512</v>
      </c>
      <c r="J1352" s="76" t="s">
        <v>164</v>
      </c>
      <c r="K1352" s="82" t="n">
        <v>1</v>
      </c>
      <c r="L1352" s="55" t="n">
        <v>6</v>
      </c>
      <c r="M1352" s="73" t="n">
        <v>3.712</v>
      </c>
      <c r="N1352" s="74" t="n">
        <f aca="false">K1352*L1352*M1352</f>
        <v>22.272</v>
      </c>
      <c r="O1352" s="41" t="n">
        <f aca="false">IFERROR(INDEX(Исходные!$B$21:$B$33,MATCH(H1352,Исходные!$A$21:$A$33,0)),0)</f>
        <v>1.208</v>
      </c>
      <c r="P1352" s="83" t="n">
        <f aca="false">N1352*O1352</f>
        <v>26.904576</v>
      </c>
      <c r="Q1352" s="20" t="s">
        <v>1569</v>
      </c>
      <c r="R1352" s="84" t="s">
        <v>514</v>
      </c>
      <c r="S1352" s="20" t="s">
        <v>1574</v>
      </c>
      <c r="T1352" s="20" t="s">
        <v>12</v>
      </c>
      <c r="U1352" s="53" t="n">
        <v>0</v>
      </c>
      <c r="V1352" s="76" t="s">
        <v>156</v>
      </c>
      <c r="W1352" s="53" t="n">
        <v>4</v>
      </c>
    </row>
    <row r="1353" customFormat="false" ht="35.05" hidden="false" customHeight="false" outlineLevel="0" collapsed="false">
      <c r="A1353" s="76" t="n">
        <v>1323</v>
      </c>
      <c r="B1353" s="20" t="s">
        <v>1691</v>
      </c>
      <c r="C1353" s="20" t="s">
        <v>508</v>
      </c>
      <c r="D1353" s="20" t="s">
        <v>619</v>
      </c>
      <c r="E1353" s="20" t="s">
        <v>156</v>
      </c>
      <c r="F1353" s="76" t="s">
        <v>575</v>
      </c>
      <c r="G1353" s="20" t="s">
        <v>1254</v>
      </c>
      <c r="H1353" s="55" t="n">
        <v>22</v>
      </c>
      <c r="I1353" s="76" t="s">
        <v>512</v>
      </c>
      <c r="J1353" s="76" t="s">
        <v>164</v>
      </c>
      <c r="K1353" s="82" t="n">
        <v>1</v>
      </c>
      <c r="L1353" s="55" t="n">
        <v>6</v>
      </c>
      <c r="M1353" s="73" t="n">
        <v>3.6</v>
      </c>
      <c r="N1353" s="74" t="n">
        <f aca="false">K1353*L1353*M1353</f>
        <v>21.6</v>
      </c>
      <c r="O1353" s="41" t="n">
        <f aca="false">IFERROR(INDEX(Исходные!$B$21:$B$33,MATCH(H1353,Исходные!$A$21:$A$33,0)),0)</f>
        <v>2.984</v>
      </c>
      <c r="P1353" s="83" t="n">
        <f aca="false">N1353*O1353</f>
        <v>64.4544</v>
      </c>
      <c r="Q1353" s="20" t="s">
        <v>1569</v>
      </c>
      <c r="R1353" s="84" t="s">
        <v>514</v>
      </c>
      <c r="S1353" s="20" t="s">
        <v>1255</v>
      </c>
      <c r="T1353" s="20" t="s">
        <v>12</v>
      </c>
      <c r="U1353" s="53" t="n">
        <v>0</v>
      </c>
      <c r="V1353" s="76" t="s">
        <v>156</v>
      </c>
      <c r="W1353" s="53" t="n">
        <v>4</v>
      </c>
    </row>
    <row r="1354" customFormat="false" ht="35.05" hidden="false" customHeight="false" outlineLevel="0" collapsed="false">
      <c r="A1354" s="76" t="n">
        <v>1324</v>
      </c>
      <c r="B1354" s="20" t="s">
        <v>1691</v>
      </c>
      <c r="C1354" s="20" t="s">
        <v>508</v>
      </c>
      <c r="D1354" s="20" t="s">
        <v>619</v>
      </c>
      <c r="E1354" s="20" t="s">
        <v>156</v>
      </c>
      <c r="F1354" s="76" t="s">
        <v>532</v>
      </c>
      <c r="G1354" s="20" t="s">
        <v>624</v>
      </c>
      <c r="H1354" s="55" t="n">
        <v>10</v>
      </c>
      <c r="I1354" s="76" t="s">
        <v>512</v>
      </c>
      <c r="J1354" s="76" t="n">
        <v>200</v>
      </c>
      <c r="K1354" s="82" t="n">
        <v>1</v>
      </c>
      <c r="L1354" s="55" t="n">
        <v>32</v>
      </c>
      <c r="M1354" s="73" t="n">
        <v>1.25</v>
      </c>
      <c r="N1354" s="74" t="n">
        <f aca="false">K1354*L1354*M1354</f>
        <v>40</v>
      </c>
      <c r="O1354" s="41" t="n">
        <f aca="false">IFERROR(INDEX(Исходные!$B$21:$B$33,MATCH(H1354,Исходные!$A$21:$A$33,0)),0)</f>
        <v>0.617</v>
      </c>
      <c r="P1354" s="83" t="n">
        <f aca="false">N1354*O1354</f>
        <v>24.68</v>
      </c>
      <c r="Q1354" s="20" t="s">
        <v>1724</v>
      </c>
      <c r="R1354" s="85" t="s">
        <v>535</v>
      </c>
      <c r="S1354" s="20" t="s">
        <v>1693</v>
      </c>
      <c r="T1354" s="20" t="s">
        <v>12</v>
      </c>
      <c r="U1354" s="53" t="n">
        <v>1</v>
      </c>
      <c r="V1354" s="76" t="s">
        <v>156</v>
      </c>
      <c r="W1354" s="53" t="n">
        <v>4</v>
      </c>
    </row>
    <row r="1355" customFormat="false" ht="35.05" hidden="false" customHeight="false" outlineLevel="0" collapsed="false">
      <c r="A1355" s="76" t="n">
        <v>1325</v>
      </c>
      <c r="B1355" s="20" t="s">
        <v>1691</v>
      </c>
      <c r="C1355" s="20" t="s">
        <v>508</v>
      </c>
      <c r="D1355" s="20" t="s">
        <v>619</v>
      </c>
      <c r="E1355" s="20" t="s">
        <v>156</v>
      </c>
      <c r="F1355" s="76" t="s">
        <v>532</v>
      </c>
      <c r="G1355" s="20" t="s">
        <v>627</v>
      </c>
      <c r="H1355" s="55" t="n">
        <v>12</v>
      </c>
      <c r="I1355" s="76" t="s">
        <v>512</v>
      </c>
      <c r="J1355" s="76" t="n">
        <v>200</v>
      </c>
      <c r="K1355" s="82" t="n">
        <v>1</v>
      </c>
      <c r="L1355" s="55" t="n">
        <v>32</v>
      </c>
      <c r="M1355" s="73" t="n">
        <v>1.45</v>
      </c>
      <c r="N1355" s="74" t="n">
        <f aca="false">K1355*L1355*M1355</f>
        <v>46.4</v>
      </c>
      <c r="O1355" s="41" t="n">
        <f aca="false">IFERROR(INDEX(Исходные!$B$21:$B$33,MATCH(H1355,Исходные!$A$21:$A$33,0)),0)</f>
        <v>0.888</v>
      </c>
      <c r="P1355" s="83" t="n">
        <f aca="false">N1355*O1355</f>
        <v>41.2032</v>
      </c>
      <c r="Q1355" s="20" t="s">
        <v>1724</v>
      </c>
      <c r="R1355" s="85" t="s">
        <v>535</v>
      </c>
      <c r="S1355" s="20" t="s">
        <v>1694</v>
      </c>
      <c r="T1355" s="20" t="s">
        <v>12</v>
      </c>
      <c r="U1355" s="53" t="n">
        <v>1</v>
      </c>
      <c r="V1355" s="76" t="s">
        <v>156</v>
      </c>
      <c r="W1355" s="53" t="n">
        <v>4</v>
      </c>
    </row>
    <row r="1356" customFormat="false" ht="35.05" hidden="false" customHeight="false" outlineLevel="0" collapsed="false">
      <c r="A1356" s="76" t="n">
        <v>1326</v>
      </c>
      <c r="B1356" s="20" t="s">
        <v>1691</v>
      </c>
      <c r="C1356" s="20" t="s">
        <v>508</v>
      </c>
      <c r="D1356" s="20" t="s">
        <v>619</v>
      </c>
      <c r="E1356" s="20" t="s">
        <v>156</v>
      </c>
      <c r="F1356" s="76" t="s">
        <v>539</v>
      </c>
      <c r="G1356" s="20" t="s">
        <v>1725</v>
      </c>
      <c r="H1356" s="55" t="n">
        <v>10</v>
      </c>
      <c r="I1356" s="76" t="s">
        <v>512</v>
      </c>
      <c r="J1356" s="76" t="n">
        <v>200</v>
      </c>
      <c r="K1356" s="82" t="n">
        <v>1</v>
      </c>
      <c r="L1356" s="55" t="n">
        <v>6</v>
      </c>
      <c r="M1356" s="73" t="n">
        <v>1.25</v>
      </c>
      <c r="N1356" s="74" t="n">
        <f aca="false">K1356*L1356*M1356</f>
        <v>7.5</v>
      </c>
      <c r="O1356" s="41" t="n">
        <f aca="false">IFERROR(INDEX(Исходные!$B$21:$B$33,MATCH(H1356,Исходные!$A$21:$A$33,0)),0)</f>
        <v>0.617</v>
      </c>
      <c r="P1356" s="83" t="n">
        <f aca="false">N1356*O1356</f>
        <v>4.6275</v>
      </c>
      <c r="Q1356" s="20" t="s">
        <v>1259</v>
      </c>
      <c r="R1356" s="84" t="s">
        <v>514</v>
      </c>
      <c r="S1356" s="20"/>
      <c r="T1356" s="20" t="s">
        <v>12</v>
      </c>
      <c r="U1356" s="53" t="n">
        <v>0</v>
      </c>
      <c r="V1356" s="76" t="s">
        <v>156</v>
      </c>
      <c r="W1356" s="53" t="n">
        <v>4</v>
      </c>
    </row>
    <row r="1357" customFormat="false" ht="35.05" hidden="false" customHeight="false" outlineLevel="0" collapsed="false">
      <c r="A1357" s="76" t="n">
        <v>1327</v>
      </c>
      <c r="B1357" s="20" t="s">
        <v>1691</v>
      </c>
      <c r="C1357" s="20" t="s">
        <v>508</v>
      </c>
      <c r="D1357" s="20" t="s">
        <v>619</v>
      </c>
      <c r="E1357" s="20" t="s">
        <v>156</v>
      </c>
      <c r="F1357" s="76" t="s">
        <v>539</v>
      </c>
      <c r="G1357" s="20" t="s">
        <v>1726</v>
      </c>
      <c r="H1357" s="55" t="n">
        <v>10</v>
      </c>
      <c r="I1357" s="76" t="s">
        <v>512</v>
      </c>
      <c r="J1357" s="76" t="n">
        <v>200</v>
      </c>
      <c r="K1357" s="82" t="n">
        <v>1</v>
      </c>
      <c r="L1357" s="55" t="n">
        <v>6</v>
      </c>
      <c r="M1357" s="73" t="n">
        <v>1.25</v>
      </c>
      <c r="N1357" s="74" t="n">
        <f aca="false">K1357*L1357*M1357</f>
        <v>7.5</v>
      </c>
      <c r="O1357" s="41" t="n">
        <f aca="false">IFERROR(INDEX(Исходные!$B$21:$B$33,MATCH(H1357,Исходные!$A$21:$A$33,0)),0)</f>
        <v>0.617</v>
      </c>
      <c r="P1357" s="83" t="n">
        <f aca="false">N1357*O1357</f>
        <v>4.6275</v>
      </c>
      <c r="Q1357" s="20" t="s">
        <v>1259</v>
      </c>
      <c r="R1357" s="84" t="s">
        <v>514</v>
      </c>
      <c r="S1357" s="20"/>
      <c r="T1357" s="20" t="s">
        <v>12</v>
      </c>
      <c r="U1357" s="53" t="n">
        <v>0</v>
      </c>
      <c r="V1357" s="76" t="s">
        <v>156</v>
      </c>
      <c r="W1357" s="53" t="n">
        <v>4</v>
      </c>
    </row>
    <row r="1358" customFormat="false" ht="35.05" hidden="false" customHeight="false" outlineLevel="0" collapsed="false">
      <c r="A1358" s="76" t="n">
        <v>1328</v>
      </c>
      <c r="B1358" s="20" t="s">
        <v>1691</v>
      </c>
      <c r="C1358" s="20" t="s">
        <v>508</v>
      </c>
      <c r="D1358" s="20" t="s">
        <v>619</v>
      </c>
      <c r="E1358" s="20" t="s">
        <v>156</v>
      </c>
      <c r="F1358" s="76" t="s">
        <v>539</v>
      </c>
      <c r="G1358" s="20" t="s">
        <v>1727</v>
      </c>
      <c r="H1358" s="55" t="n">
        <v>12</v>
      </c>
      <c r="I1358" s="76" t="s">
        <v>512</v>
      </c>
      <c r="J1358" s="76" t="n">
        <v>200</v>
      </c>
      <c r="K1358" s="82" t="n">
        <v>1</v>
      </c>
      <c r="L1358" s="55" t="n">
        <v>6</v>
      </c>
      <c r="M1358" s="73" t="n">
        <v>1.45</v>
      </c>
      <c r="N1358" s="74" t="n">
        <f aca="false">K1358*L1358*M1358</f>
        <v>8.7</v>
      </c>
      <c r="O1358" s="41" t="n">
        <f aca="false">IFERROR(INDEX(Исходные!$B$21:$B$33,MATCH(H1358,Исходные!$A$21:$A$33,0)),0)</f>
        <v>0.888</v>
      </c>
      <c r="P1358" s="83" t="n">
        <f aca="false">N1358*O1358</f>
        <v>7.7256</v>
      </c>
      <c r="Q1358" s="20" t="s">
        <v>1259</v>
      </c>
      <c r="R1358" s="85" t="s">
        <v>638</v>
      </c>
      <c r="S1358" s="20"/>
      <c r="T1358" s="20" t="s">
        <v>12</v>
      </c>
      <c r="U1358" s="53" t="n">
        <v>1</v>
      </c>
      <c r="V1358" s="76" t="s">
        <v>156</v>
      </c>
      <c r="W1358" s="53" t="n">
        <v>4</v>
      </c>
    </row>
    <row r="1359" customFormat="false" ht="35.05" hidden="false" customHeight="false" outlineLevel="0" collapsed="false">
      <c r="A1359" s="76" t="n">
        <v>1329</v>
      </c>
      <c r="B1359" s="20" t="s">
        <v>1691</v>
      </c>
      <c r="C1359" s="20" t="s">
        <v>508</v>
      </c>
      <c r="D1359" s="20" t="s">
        <v>619</v>
      </c>
      <c r="E1359" s="20" t="s">
        <v>156</v>
      </c>
      <c r="F1359" s="76" t="s">
        <v>539</v>
      </c>
      <c r="G1359" s="20" t="s">
        <v>1728</v>
      </c>
      <c r="H1359" s="55" t="n">
        <v>14</v>
      </c>
      <c r="I1359" s="76" t="s">
        <v>512</v>
      </c>
      <c r="J1359" s="76" t="n">
        <v>200</v>
      </c>
      <c r="K1359" s="82" t="n">
        <v>1</v>
      </c>
      <c r="L1359" s="55" t="n">
        <v>6</v>
      </c>
      <c r="M1359" s="73" t="n">
        <v>1.45</v>
      </c>
      <c r="N1359" s="74" t="n">
        <f aca="false">K1359*L1359*M1359</f>
        <v>8.7</v>
      </c>
      <c r="O1359" s="41" t="n">
        <f aca="false">IFERROR(INDEX(Исходные!$B$21:$B$33,MATCH(H1359,Исходные!$A$21:$A$33,0)),0)</f>
        <v>1.208</v>
      </c>
      <c r="P1359" s="83" t="n">
        <f aca="false">N1359*O1359</f>
        <v>10.5096</v>
      </c>
      <c r="Q1359" s="20" t="s">
        <v>1259</v>
      </c>
      <c r="R1359" s="84" t="s">
        <v>514</v>
      </c>
      <c r="S1359" s="20"/>
      <c r="T1359" s="20" t="s">
        <v>12</v>
      </c>
      <c r="U1359" s="53" t="n">
        <v>0</v>
      </c>
      <c r="V1359" s="76" t="s">
        <v>156</v>
      </c>
      <c r="W1359" s="53" t="n">
        <v>4</v>
      </c>
    </row>
    <row r="1360" customFormat="false" ht="35.05" hidden="false" customHeight="false" outlineLevel="0" collapsed="false">
      <c r="A1360" s="76" t="n">
        <v>1330</v>
      </c>
      <c r="B1360" s="20" t="s">
        <v>1691</v>
      </c>
      <c r="C1360" s="20" t="s">
        <v>508</v>
      </c>
      <c r="D1360" s="20" t="s">
        <v>619</v>
      </c>
      <c r="E1360" s="20" t="s">
        <v>156</v>
      </c>
      <c r="F1360" s="76" t="s">
        <v>544</v>
      </c>
      <c r="G1360" s="20" t="s">
        <v>1217</v>
      </c>
      <c r="H1360" s="55" t="n">
        <v>10</v>
      </c>
      <c r="I1360" s="76" t="s">
        <v>546</v>
      </c>
      <c r="J1360" s="76" t="s">
        <v>547</v>
      </c>
      <c r="K1360" s="82" t="n">
        <v>1</v>
      </c>
      <c r="L1360" s="55" t="n">
        <v>32</v>
      </c>
      <c r="M1360" s="73" t="n">
        <v>1.33</v>
      </c>
      <c r="N1360" s="74" t="n">
        <f aca="false">K1360*L1360*M1360</f>
        <v>42.56</v>
      </c>
      <c r="O1360" s="41" t="n">
        <f aca="false">IFERROR(INDEX(Исходные!$B$21:$B$33,MATCH(H1360,Исходные!$A$21:$A$33,0)),0)</f>
        <v>0.617</v>
      </c>
      <c r="P1360" s="83" t="n">
        <f aca="false">N1360*O1360</f>
        <v>26.25952</v>
      </c>
      <c r="Q1360" s="20" t="s">
        <v>1218</v>
      </c>
      <c r="R1360" s="84" t="s">
        <v>514</v>
      </c>
      <c r="S1360" s="20"/>
      <c r="T1360" s="20" t="s">
        <v>12</v>
      </c>
      <c r="U1360" s="53" t="n">
        <v>0</v>
      </c>
      <c r="V1360" s="76" t="s">
        <v>156</v>
      </c>
      <c r="W1360" s="53" t="n">
        <v>4</v>
      </c>
    </row>
    <row r="1361" customFormat="false" ht="35.05" hidden="false" customHeight="false" outlineLevel="0" collapsed="false">
      <c r="A1361" s="76" t="n">
        <v>1331</v>
      </c>
      <c r="B1361" s="20" t="s">
        <v>1691</v>
      </c>
      <c r="C1361" s="20" t="s">
        <v>508</v>
      </c>
      <c r="D1361" s="20" t="s">
        <v>619</v>
      </c>
      <c r="E1361" s="20" t="s">
        <v>156</v>
      </c>
      <c r="F1361" s="76" t="s">
        <v>696</v>
      </c>
      <c r="G1361" s="20" t="s">
        <v>1219</v>
      </c>
      <c r="H1361" s="55" t="n">
        <v>8</v>
      </c>
      <c r="I1361" s="76" t="s">
        <v>546</v>
      </c>
      <c r="J1361" s="76" t="s">
        <v>547</v>
      </c>
      <c r="K1361" s="82" t="n">
        <v>1</v>
      </c>
      <c r="L1361" s="55" t="n">
        <v>16</v>
      </c>
      <c r="M1361" s="73" t="n">
        <v>1.56</v>
      </c>
      <c r="N1361" s="74" t="n">
        <f aca="false">K1361*L1361*M1361</f>
        <v>24.96</v>
      </c>
      <c r="O1361" s="41" t="n">
        <f aca="false">IFERROR(INDEX(Исходные!$B$21:$B$33,MATCH(H1361,Исходные!$A$21:$A$33,0)),0)</f>
        <v>0.395</v>
      </c>
      <c r="P1361" s="83" t="n">
        <f aca="false">N1361*O1361</f>
        <v>9.8592</v>
      </c>
      <c r="Q1361" s="20" t="s">
        <v>1220</v>
      </c>
      <c r="R1361" s="84" t="s">
        <v>514</v>
      </c>
      <c r="S1361" s="20"/>
      <c r="T1361" s="20" t="s">
        <v>12</v>
      </c>
      <c r="U1361" s="53" t="n">
        <v>0</v>
      </c>
      <c r="V1361" s="76" t="s">
        <v>156</v>
      </c>
      <c r="W1361" s="53" t="n">
        <v>4</v>
      </c>
    </row>
    <row r="1362" customFormat="false" ht="35.05" hidden="false" customHeight="false" outlineLevel="0" collapsed="false">
      <c r="A1362" s="76" t="n">
        <v>1332</v>
      </c>
      <c r="B1362" s="20" t="s">
        <v>1691</v>
      </c>
      <c r="C1362" s="20" t="s">
        <v>508</v>
      </c>
      <c r="D1362" s="20" t="s">
        <v>619</v>
      </c>
      <c r="E1362" s="20" t="s">
        <v>156</v>
      </c>
      <c r="F1362" s="76" t="s">
        <v>603</v>
      </c>
      <c r="G1362" s="20" t="s">
        <v>1195</v>
      </c>
      <c r="H1362" s="55" t="n">
        <v>8</v>
      </c>
      <c r="I1362" s="76" t="s">
        <v>546</v>
      </c>
      <c r="J1362" s="76" t="s">
        <v>547</v>
      </c>
      <c r="K1362" s="82" t="n">
        <v>1</v>
      </c>
      <c r="L1362" s="55" t="n">
        <v>16</v>
      </c>
      <c r="M1362" s="73" t="n">
        <v>1.76</v>
      </c>
      <c r="N1362" s="74" t="n">
        <f aca="false">K1362*L1362*M1362</f>
        <v>28.16</v>
      </c>
      <c r="O1362" s="41" t="n">
        <f aca="false">IFERROR(INDEX(Исходные!$B$21:$B$33,MATCH(H1362,Исходные!$A$21:$A$33,0)),0)</f>
        <v>0.395</v>
      </c>
      <c r="P1362" s="83" t="n">
        <f aca="false">N1362*O1362</f>
        <v>11.1232</v>
      </c>
      <c r="Q1362" s="20" t="s">
        <v>1221</v>
      </c>
      <c r="R1362" s="84" t="s">
        <v>514</v>
      </c>
      <c r="S1362" s="20"/>
      <c r="T1362" s="20" t="s">
        <v>12</v>
      </c>
      <c r="U1362" s="53" t="n">
        <v>0</v>
      </c>
      <c r="V1362" s="76" t="s">
        <v>156</v>
      </c>
      <c r="W1362" s="53" t="n">
        <v>4</v>
      </c>
    </row>
    <row r="1363" customFormat="false" ht="35.05" hidden="false" customHeight="false" outlineLevel="0" collapsed="false">
      <c r="A1363" s="76" t="n">
        <v>1333</v>
      </c>
      <c r="B1363" s="20" t="s">
        <v>1691</v>
      </c>
      <c r="C1363" s="20" t="s">
        <v>508</v>
      </c>
      <c r="D1363" s="20" t="s">
        <v>619</v>
      </c>
      <c r="E1363" s="20" t="s">
        <v>156</v>
      </c>
      <c r="F1363" s="76" t="s">
        <v>555</v>
      </c>
      <c r="G1363" s="20" t="s">
        <v>1197</v>
      </c>
      <c r="H1363" s="55" t="n">
        <v>8</v>
      </c>
      <c r="I1363" s="76" t="s">
        <v>546</v>
      </c>
      <c r="J1363" s="76" t="s">
        <v>547</v>
      </c>
      <c r="K1363" s="82" t="n">
        <v>1</v>
      </c>
      <c r="L1363" s="55" t="n">
        <v>28</v>
      </c>
      <c r="M1363" s="73" t="n">
        <v>2.44</v>
      </c>
      <c r="N1363" s="74" t="n">
        <f aca="false">K1363*L1363*M1363</f>
        <v>68.32</v>
      </c>
      <c r="O1363" s="41" t="n">
        <f aca="false">IFERROR(INDEX(Исходные!$B$21:$B$33,MATCH(H1363,Исходные!$A$21:$A$33,0)),0)</f>
        <v>0.395</v>
      </c>
      <c r="P1363" s="83" t="n">
        <f aca="false">N1363*O1363</f>
        <v>26.9864</v>
      </c>
      <c r="Q1363" s="20" t="s">
        <v>1198</v>
      </c>
      <c r="R1363" s="84" t="s">
        <v>514</v>
      </c>
      <c r="S1363" s="20"/>
      <c r="T1363" s="20" t="s">
        <v>12</v>
      </c>
      <c r="U1363" s="53" t="n">
        <v>0</v>
      </c>
      <c r="V1363" s="76" t="s">
        <v>156</v>
      </c>
      <c r="W1363" s="53" t="n">
        <v>4</v>
      </c>
    </row>
    <row r="1364" customFormat="false" ht="35.05" hidden="false" customHeight="false" outlineLevel="0" collapsed="false">
      <c r="A1364" s="76" t="n">
        <v>1334</v>
      </c>
      <c r="B1364" s="20" t="s">
        <v>1691</v>
      </c>
      <c r="C1364" s="20" t="s">
        <v>508</v>
      </c>
      <c r="D1364" s="20" t="s">
        <v>619</v>
      </c>
      <c r="E1364" s="20" t="s">
        <v>156</v>
      </c>
      <c r="F1364" s="76" t="s">
        <v>558</v>
      </c>
      <c r="G1364" s="20" t="s">
        <v>1199</v>
      </c>
      <c r="H1364" s="55" t="n">
        <v>8</v>
      </c>
      <c r="I1364" s="76" t="s">
        <v>546</v>
      </c>
      <c r="J1364" s="76" t="s">
        <v>547</v>
      </c>
      <c r="K1364" s="82" t="n">
        <v>1</v>
      </c>
      <c r="L1364" s="55" t="n">
        <v>32</v>
      </c>
      <c r="M1364" s="73" t="n">
        <v>1.96</v>
      </c>
      <c r="N1364" s="74" t="n">
        <f aca="false">K1364*L1364*M1364</f>
        <v>62.72</v>
      </c>
      <c r="O1364" s="41" t="n">
        <f aca="false">IFERROR(INDEX(Исходные!$B$21:$B$33,MATCH(H1364,Исходные!$A$21:$A$33,0)),0)</f>
        <v>0.395</v>
      </c>
      <c r="P1364" s="83" t="n">
        <f aca="false">N1364*O1364</f>
        <v>24.7744</v>
      </c>
      <c r="Q1364" s="20" t="s">
        <v>1222</v>
      </c>
      <c r="R1364" s="84" t="s">
        <v>514</v>
      </c>
      <c r="S1364" s="20"/>
      <c r="T1364" s="20" t="s">
        <v>12</v>
      </c>
      <c r="U1364" s="53" t="n">
        <v>0</v>
      </c>
      <c r="V1364" s="76" t="s">
        <v>156</v>
      </c>
      <c r="W1364" s="53" t="n">
        <v>4</v>
      </c>
    </row>
    <row r="1365" customFormat="false" ht="35.05" hidden="false" customHeight="false" outlineLevel="0" collapsed="false">
      <c r="A1365" s="76" t="n">
        <v>1335</v>
      </c>
      <c r="B1365" s="20" t="s">
        <v>1691</v>
      </c>
      <c r="C1365" s="20" t="s">
        <v>508</v>
      </c>
      <c r="D1365" s="20" t="s">
        <v>619</v>
      </c>
      <c r="E1365" s="20" t="s">
        <v>156</v>
      </c>
      <c r="F1365" s="76" t="s">
        <v>561</v>
      </c>
      <c r="G1365" s="20" t="s">
        <v>1263</v>
      </c>
      <c r="H1365" s="55" t="n">
        <v>8</v>
      </c>
      <c r="I1365" s="76" t="s">
        <v>546</v>
      </c>
      <c r="J1365" s="76" t="s">
        <v>547</v>
      </c>
      <c r="K1365" s="82" t="n">
        <v>1</v>
      </c>
      <c r="L1365" s="55" t="n">
        <v>48</v>
      </c>
      <c r="M1365" s="73" t="n">
        <v>0.53</v>
      </c>
      <c r="N1365" s="74" t="n">
        <f aca="false">K1365*L1365*M1365</f>
        <v>25.44</v>
      </c>
      <c r="O1365" s="41" t="n">
        <f aca="false">IFERROR(INDEX(Исходные!$B$21:$B$33,MATCH(H1365,Исходные!$A$21:$A$33,0)),0)</f>
        <v>0.395</v>
      </c>
      <c r="P1365" s="83" t="n">
        <f aca="false">N1365*O1365</f>
        <v>10.0488</v>
      </c>
      <c r="Q1365" s="20" t="s">
        <v>1224</v>
      </c>
      <c r="R1365" s="84" t="s">
        <v>514</v>
      </c>
      <c r="S1365" s="20"/>
      <c r="T1365" s="20" t="s">
        <v>12</v>
      </c>
      <c r="U1365" s="53" t="n">
        <v>0</v>
      </c>
      <c r="V1365" s="76" t="s">
        <v>156</v>
      </c>
      <c r="W1365" s="53" t="n">
        <v>4</v>
      </c>
    </row>
    <row r="1366" customFormat="false" ht="15" hidden="false" customHeight="true" outlineLevel="0" collapsed="false">
      <c r="A1366" s="81" t="s">
        <v>1729</v>
      </c>
      <c r="B1366" s="81"/>
      <c r="C1366" s="81"/>
      <c r="D1366" s="81"/>
      <c r="E1366" s="81"/>
      <c r="F1366" s="81"/>
      <c r="G1366" s="81"/>
      <c r="H1366" s="81"/>
      <c r="I1366" s="81"/>
      <c r="J1366" s="81"/>
      <c r="K1366" s="81"/>
      <c r="L1366" s="81"/>
      <c r="M1366" s="81"/>
      <c r="N1366" s="81"/>
      <c r="O1366" s="81"/>
      <c r="P1366" s="81"/>
      <c r="Q1366" s="81"/>
      <c r="R1366" s="81"/>
      <c r="S1366" s="81"/>
      <c r="T1366" s="81"/>
      <c r="U1366" s="81"/>
      <c r="V1366" s="81"/>
      <c r="W1366" s="81"/>
    </row>
    <row r="1367" customFormat="false" ht="35.05" hidden="false" customHeight="false" outlineLevel="0" collapsed="false">
      <c r="A1367" s="76" t="n">
        <v>1336</v>
      </c>
      <c r="B1367" s="20" t="s">
        <v>1691</v>
      </c>
      <c r="C1367" s="20" t="s">
        <v>633</v>
      </c>
      <c r="D1367" s="20" t="s">
        <v>1265</v>
      </c>
      <c r="E1367" s="20" t="s">
        <v>635</v>
      </c>
      <c r="F1367" s="76" t="s">
        <v>519</v>
      </c>
      <c r="G1367" s="20" t="s">
        <v>1266</v>
      </c>
      <c r="H1367" s="55" t="n">
        <v>28</v>
      </c>
      <c r="I1367" s="76" t="s">
        <v>512</v>
      </c>
      <c r="J1367" s="76" t="s">
        <v>164</v>
      </c>
      <c r="K1367" s="82" t="n">
        <v>1</v>
      </c>
      <c r="L1367" s="55" t="n">
        <v>4</v>
      </c>
      <c r="M1367" s="73" t="n">
        <v>3.6</v>
      </c>
      <c r="N1367" s="74" t="n">
        <f aca="false">K1367*L1367*M1367</f>
        <v>14.4</v>
      </c>
      <c r="O1367" s="41" t="n">
        <f aca="false">IFERROR(INDEX(Исходные!$B$21:$B$33,MATCH(H1367,Исходные!$A$21:$A$33,0)),0)</f>
        <v>4.834</v>
      </c>
      <c r="P1367" s="83" t="n">
        <f aca="false">N1367*O1367</f>
        <v>69.6096</v>
      </c>
      <c r="Q1367" s="20" t="s">
        <v>1267</v>
      </c>
      <c r="R1367" s="84" t="s">
        <v>514</v>
      </c>
      <c r="S1367" s="20" t="s">
        <v>1268</v>
      </c>
      <c r="T1367" s="20" t="s">
        <v>12</v>
      </c>
      <c r="U1367" s="53" t="n">
        <v>0</v>
      </c>
      <c r="V1367" s="76" t="s">
        <v>635</v>
      </c>
      <c r="W1367" s="53" t="n">
        <v>4</v>
      </c>
    </row>
    <row r="1368" customFormat="false" ht="35.05" hidden="false" customHeight="false" outlineLevel="0" collapsed="false">
      <c r="A1368" s="76" t="n">
        <v>1337</v>
      </c>
      <c r="B1368" s="20" t="s">
        <v>1691</v>
      </c>
      <c r="C1368" s="20" t="s">
        <v>633</v>
      </c>
      <c r="D1368" s="20" t="s">
        <v>1269</v>
      </c>
      <c r="E1368" s="20" t="s">
        <v>635</v>
      </c>
      <c r="F1368" s="76" t="s">
        <v>510</v>
      </c>
      <c r="G1368" s="20" t="s">
        <v>1270</v>
      </c>
      <c r="H1368" s="55" t="n">
        <v>32</v>
      </c>
      <c r="I1368" s="76" t="s">
        <v>512</v>
      </c>
      <c r="J1368" s="76" t="s">
        <v>164</v>
      </c>
      <c r="K1368" s="82" t="n">
        <v>2</v>
      </c>
      <c r="L1368" s="55" t="n">
        <v>4</v>
      </c>
      <c r="M1368" s="73" t="n">
        <v>3.6</v>
      </c>
      <c r="N1368" s="74" t="n">
        <f aca="false">K1368*L1368*M1368</f>
        <v>28.8</v>
      </c>
      <c r="O1368" s="41" t="n">
        <f aca="false">IFERROR(INDEX(Исходные!$B$21:$B$33,MATCH(H1368,Исходные!$A$21:$A$33,0)),0)</f>
        <v>6.313</v>
      </c>
      <c r="P1368" s="83" t="n">
        <f aca="false">N1368*O1368</f>
        <v>181.8144</v>
      </c>
      <c r="Q1368" s="20" t="s">
        <v>1271</v>
      </c>
      <c r="R1368" s="84" t="s">
        <v>1272</v>
      </c>
      <c r="S1368" s="20" t="s">
        <v>1273</v>
      </c>
      <c r="T1368" s="20" t="s">
        <v>12</v>
      </c>
      <c r="U1368" s="53" t="n">
        <v>1</v>
      </c>
      <c r="V1368" s="76" t="s">
        <v>635</v>
      </c>
      <c r="W1368" s="53" t="n">
        <v>4</v>
      </c>
    </row>
    <row r="1369" customFormat="false" ht="35.05" hidden="false" customHeight="false" outlineLevel="0" collapsed="false">
      <c r="A1369" s="76" t="n">
        <v>1338</v>
      </c>
      <c r="B1369" s="20" t="s">
        <v>1691</v>
      </c>
      <c r="C1369" s="20" t="s">
        <v>633</v>
      </c>
      <c r="D1369" s="20" t="s">
        <v>634</v>
      </c>
      <c r="E1369" s="20" t="s">
        <v>635</v>
      </c>
      <c r="F1369" s="76" t="s">
        <v>516</v>
      </c>
      <c r="G1369" s="20" t="s">
        <v>1274</v>
      </c>
      <c r="H1369" s="55" t="n">
        <v>20</v>
      </c>
      <c r="I1369" s="76" t="s">
        <v>512</v>
      </c>
      <c r="J1369" s="76" t="s">
        <v>164</v>
      </c>
      <c r="K1369" s="82" t="n">
        <v>3</v>
      </c>
      <c r="L1369" s="55" t="n">
        <v>8</v>
      </c>
      <c r="M1369" s="73" t="n">
        <v>3.6</v>
      </c>
      <c r="N1369" s="74" t="n">
        <f aca="false">K1369*L1369*M1369</f>
        <v>86.4</v>
      </c>
      <c r="O1369" s="41" t="n">
        <f aca="false">IFERROR(INDEX(Исходные!$B$21:$B$33,MATCH(H1369,Исходные!$A$21:$A$33,0)),0)</f>
        <v>2.466</v>
      </c>
      <c r="P1369" s="83" t="n">
        <f aca="false">N1369*O1369</f>
        <v>213.0624</v>
      </c>
      <c r="Q1369" s="20" t="s">
        <v>1275</v>
      </c>
      <c r="R1369" s="84" t="s">
        <v>514</v>
      </c>
      <c r="S1369" s="20" t="s">
        <v>1276</v>
      </c>
      <c r="T1369" s="20" t="s">
        <v>12</v>
      </c>
      <c r="U1369" s="53" t="n">
        <v>0</v>
      </c>
      <c r="V1369" s="76" t="s">
        <v>635</v>
      </c>
      <c r="W1369" s="53" t="n">
        <v>4</v>
      </c>
    </row>
    <row r="1370" customFormat="false" ht="35.05" hidden="false" customHeight="false" outlineLevel="0" collapsed="false">
      <c r="A1370" s="76" t="n">
        <v>1339</v>
      </c>
      <c r="B1370" s="20" t="s">
        <v>1691</v>
      </c>
      <c r="C1370" s="20" t="s">
        <v>633</v>
      </c>
      <c r="D1370" s="20" t="s">
        <v>634</v>
      </c>
      <c r="E1370" s="20" t="s">
        <v>635</v>
      </c>
      <c r="F1370" s="76" t="s">
        <v>555</v>
      </c>
      <c r="G1370" s="20" t="s">
        <v>1277</v>
      </c>
      <c r="H1370" s="55" t="n">
        <v>8</v>
      </c>
      <c r="I1370" s="76" t="s">
        <v>546</v>
      </c>
      <c r="J1370" s="76" t="s">
        <v>644</v>
      </c>
      <c r="K1370" s="82" t="n">
        <v>3</v>
      </c>
      <c r="L1370" s="55" t="n">
        <v>28</v>
      </c>
      <c r="M1370" s="73" t="n">
        <v>2.44</v>
      </c>
      <c r="N1370" s="74" t="n">
        <f aca="false">K1370*L1370*M1370</f>
        <v>204.96</v>
      </c>
      <c r="O1370" s="41" t="n">
        <f aca="false">IFERROR(INDEX(Исходные!$B$21:$B$33,MATCH(H1370,Исходные!$A$21:$A$33,0)),0)</f>
        <v>0.395</v>
      </c>
      <c r="P1370" s="83" t="n">
        <f aca="false">N1370*O1370</f>
        <v>80.9592</v>
      </c>
      <c r="Q1370" s="20" t="s">
        <v>1278</v>
      </c>
      <c r="R1370" s="84" t="s">
        <v>514</v>
      </c>
      <c r="S1370" s="20"/>
      <c r="T1370" s="20" t="s">
        <v>12</v>
      </c>
      <c r="U1370" s="53" t="n">
        <v>0</v>
      </c>
      <c r="V1370" s="76" t="s">
        <v>635</v>
      </c>
      <c r="W1370" s="53" t="n">
        <v>4</v>
      </c>
    </row>
    <row r="1371" customFormat="false" ht="35.05" hidden="false" customHeight="false" outlineLevel="0" collapsed="false">
      <c r="A1371" s="76" t="n">
        <v>1340</v>
      </c>
      <c r="B1371" s="20" t="s">
        <v>1691</v>
      </c>
      <c r="C1371" s="20" t="s">
        <v>633</v>
      </c>
      <c r="D1371" s="20" t="s">
        <v>634</v>
      </c>
      <c r="E1371" s="20" t="s">
        <v>635</v>
      </c>
      <c r="F1371" s="76" t="s">
        <v>558</v>
      </c>
      <c r="G1371" s="20" t="s">
        <v>1279</v>
      </c>
      <c r="H1371" s="55" t="n">
        <v>8</v>
      </c>
      <c r="I1371" s="76" t="s">
        <v>546</v>
      </c>
      <c r="J1371" s="76" t="n">
        <v>200</v>
      </c>
      <c r="K1371" s="82" t="n">
        <v>3</v>
      </c>
      <c r="L1371" s="55" t="n">
        <v>32</v>
      </c>
      <c r="M1371" s="73" t="n">
        <v>1.96</v>
      </c>
      <c r="N1371" s="74" t="n">
        <f aca="false">K1371*L1371*M1371</f>
        <v>188.16</v>
      </c>
      <c r="O1371" s="41" t="n">
        <f aca="false">IFERROR(INDEX(Исходные!$B$21:$B$33,MATCH(H1371,Исходные!$A$21:$A$33,0)),0)</f>
        <v>0.395</v>
      </c>
      <c r="P1371" s="83" t="n">
        <f aca="false">N1371*O1371</f>
        <v>74.3232</v>
      </c>
      <c r="Q1371" s="20" t="s">
        <v>1280</v>
      </c>
      <c r="R1371" s="84" t="s">
        <v>514</v>
      </c>
      <c r="S1371" s="20"/>
      <c r="T1371" s="20" t="s">
        <v>12</v>
      </c>
      <c r="U1371" s="53" t="n">
        <v>0</v>
      </c>
      <c r="V1371" s="76" t="s">
        <v>635</v>
      </c>
      <c r="W1371" s="53" t="n">
        <v>4</v>
      </c>
    </row>
    <row r="1372" customFormat="false" ht="35.05" hidden="false" customHeight="false" outlineLevel="0" collapsed="false">
      <c r="A1372" s="76" t="n">
        <v>1341</v>
      </c>
      <c r="B1372" s="20" t="s">
        <v>1691</v>
      </c>
      <c r="C1372" s="20" t="s">
        <v>633</v>
      </c>
      <c r="D1372" s="20" t="s">
        <v>648</v>
      </c>
      <c r="E1372" s="20" t="s">
        <v>649</v>
      </c>
      <c r="F1372" s="76" t="s">
        <v>510</v>
      </c>
      <c r="G1372" s="20" t="s">
        <v>1281</v>
      </c>
      <c r="H1372" s="55" t="n">
        <v>32</v>
      </c>
      <c r="I1372" s="76" t="s">
        <v>512</v>
      </c>
      <c r="J1372" s="76" t="s">
        <v>164</v>
      </c>
      <c r="K1372" s="82" t="n">
        <v>5</v>
      </c>
      <c r="L1372" s="55" t="n">
        <v>4</v>
      </c>
      <c r="M1372" s="73" t="n">
        <v>3.6</v>
      </c>
      <c r="N1372" s="74" t="n">
        <f aca="false">K1372*L1372*M1372</f>
        <v>72</v>
      </c>
      <c r="O1372" s="41" t="n">
        <f aca="false">IFERROR(INDEX(Исходные!$B$21:$B$33,MATCH(H1372,Исходные!$A$21:$A$33,0)),0)</f>
        <v>6.313</v>
      </c>
      <c r="P1372" s="83" t="n">
        <f aca="false">N1372*O1372</f>
        <v>454.536</v>
      </c>
      <c r="Q1372" s="20" t="s">
        <v>1282</v>
      </c>
      <c r="R1372" s="84" t="s">
        <v>1272</v>
      </c>
      <c r="S1372" s="20" t="s">
        <v>1273</v>
      </c>
      <c r="T1372" s="20" t="s">
        <v>12</v>
      </c>
      <c r="U1372" s="53" t="n">
        <v>1</v>
      </c>
      <c r="V1372" s="76" t="s">
        <v>649</v>
      </c>
      <c r="W1372" s="53" t="n">
        <v>4</v>
      </c>
    </row>
    <row r="1373" customFormat="false" ht="35.05" hidden="false" customHeight="false" outlineLevel="0" collapsed="false">
      <c r="A1373" s="76" t="n">
        <v>1342</v>
      </c>
      <c r="B1373" s="20" t="s">
        <v>1691</v>
      </c>
      <c r="C1373" s="20" t="s">
        <v>633</v>
      </c>
      <c r="D1373" s="20" t="s">
        <v>648</v>
      </c>
      <c r="E1373" s="20" t="s">
        <v>649</v>
      </c>
      <c r="F1373" s="76" t="s">
        <v>516</v>
      </c>
      <c r="G1373" s="20" t="s">
        <v>1274</v>
      </c>
      <c r="H1373" s="55" t="n">
        <v>20</v>
      </c>
      <c r="I1373" s="76" t="s">
        <v>512</v>
      </c>
      <c r="J1373" s="76" t="s">
        <v>164</v>
      </c>
      <c r="K1373" s="82" t="n">
        <v>5</v>
      </c>
      <c r="L1373" s="55" t="n">
        <v>8</v>
      </c>
      <c r="M1373" s="73" t="n">
        <v>3.6</v>
      </c>
      <c r="N1373" s="74" t="n">
        <f aca="false">K1373*L1373*M1373</f>
        <v>144</v>
      </c>
      <c r="O1373" s="41" t="n">
        <f aca="false">IFERROR(INDEX(Исходные!$B$21:$B$33,MATCH(H1373,Исходные!$A$21:$A$33,0)),0)</f>
        <v>2.466</v>
      </c>
      <c r="P1373" s="83" t="n">
        <f aca="false">N1373*O1373</f>
        <v>355.104</v>
      </c>
      <c r="Q1373" s="20" t="s">
        <v>1275</v>
      </c>
      <c r="R1373" s="84" t="s">
        <v>514</v>
      </c>
      <c r="S1373" s="20" t="s">
        <v>1276</v>
      </c>
      <c r="T1373" s="20" t="s">
        <v>12</v>
      </c>
      <c r="U1373" s="53" t="n">
        <v>0</v>
      </c>
      <c r="V1373" s="76" t="s">
        <v>649</v>
      </c>
      <c r="W1373" s="53" t="n">
        <v>4</v>
      </c>
    </row>
    <row r="1374" customFormat="false" ht="35.05" hidden="false" customHeight="false" outlineLevel="0" collapsed="false">
      <c r="A1374" s="76" t="n">
        <v>1343</v>
      </c>
      <c r="B1374" s="20" t="s">
        <v>1691</v>
      </c>
      <c r="C1374" s="20" t="s">
        <v>633</v>
      </c>
      <c r="D1374" s="20" t="s">
        <v>648</v>
      </c>
      <c r="E1374" s="20" t="s">
        <v>649</v>
      </c>
      <c r="F1374" s="76" t="s">
        <v>555</v>
      </c>
      <c r="G1374" s="20" t="s">
        <v>1277</v>
      </c>
      <c r="H1374" s="55" t="n">
        <v>8</v>
      </c>
      <c r="I1374" s="76" t="s">
        <v>546</v>
      </c>
      <c r="J1374" s="76" t="s">
        <v>644</v>
      </c>
      <c r="K1374" s="82" t="n">
        <v>5</v>
      </c>
      <c r="L1374" s="55" t="n">
        <v>28</v>
      </c>
      <c r="M1374" s="73" t="n">
        <v>2.44</v>
      </c>
      <c r="N1374" s="74" t="n">
        <f aca="false">K1374*L1374*M1374</f>
        <v>341.6</v>
      </c>
      <c r="O1374" s="41" t="n">
        <f aca="false">IFERROR(INDEX(Исходные!$B$21:$B$33,MATCH(H1374,Исходные!$A$21:$A$33,0)),0)</f>
        <v>0.395</v>
      </c>
      <c r="P1374" s="83" t="n">
        <f aca="false">N1374*O1374</f>
        <v>134.932</v>
      </c>
      <c r="Q1374" s="20" t="s">
        <v>1278</v>
      </c>
      <c r="R1374" s="84" t="s">
        <v>514</v>
      </c>
      <c r="S1374" s="20"/>
      <c r="T1374" s="20" t="s">
        <v>12</v>
      </c>
      <c r="U1374" s="53" t="n">
        <v>0</v>
      </c>
      <c r="V1374" s="76" t="s">
        <v>649</v>
      </c>
      <c r="W1374" s="53" t="n">
        <v>4</v>
      </c>
    </row>
    <row r="1375" customFormat="false" ht="35.05" hidden="false" customHeight="false" outlineLevel="0" collapsed="false">
      <c r="A1375" s="76" t="n">
        <v>1344</v>
      </c>
      <c r="B1375" s="20" t="s">
        <v>1691</v>
      </c>
      <c r="C1375" s="20" t="s">
        <v>633</v>
      </c>
      <c r="D1375" s="20" t="s">
        <v>648</v>
      </c>
      <c r="E1375" s="20" t="s">
        <v>649</v>
      </c>
      <c r="F1375" s="76" t="s">
        <v>558</v>
      </c>
      <c r="G1375" s="20" t="s">
        <v>1279</v>
      </c>
      <c r="H1375" s="55" t="n">
        <v>8</v>
      </c>
      <c r="I1375" s="76" t="s">
        <v>546</v>
      </c>
      <c r="J1375" s="76" t="n">
        <v>200</v>
      </c>
      <c r="K1375" s="82" t="n">
        <v>5</v>
      </c>
      <c r="L1375" s="55" t="n">
        <v>32</v>
      </c>
      <c r="M1375" s="73" t="n">
        <v>1.96</v>
      </c>
      <c r="N1375" s="74" t="n">
        <f aca="false">K1375*L1375*M1375</f>
        <v>313.6</v>
      </c>
      <c r="O1375" s="41" t="n">
        <f aca="false">IFERROR(INDEX(Исходные!$B$21:$B$33,MATCH(H1375,Исходные!$A$21:$A$33,0)),0)</f>
        <v>0.395</v>
      </c>
      <c r="P1375" s="83" t="n">
        <f aca="false">N1375*O1375</f>
        <v>123.872</v>
      </c>
      <c r="Q1375" s="20" t="s">
        <v>1280</v>
      </c>
      <c r="R1375" s="84" t="s">
        <v>514</v>
      </c>
      <c r="S1375" s="20"/>
      <c r="T1375" s="20" t="s">
        <v>12</v>
      </c>
      <c r="U1375" s="53" t="n">
        <v>0</v>
      </c>
      <c r="V1375" s="76" t="s">
        <v>649</v>
      </c>
      <c r="W1375" s="53" t="n">
        <v>4</v>
      </c>
    </row>
    <row r="1376" customFormat="false" ht="35.05" hidden="false" customHeight="false" outlineLevel="0" collapsed="false">
      <c r="A1376" s="76" t="n">
        <v>1345</v>
      </c>
      <c r="B1376" s="20" t="s">
        <v>1691</v>
      </c>
      <c r="C1376" s="20" t="s">
        <v>633</v>
      </c>
      <c r="D1376" s="20" t="s">
        <v>1283</v>
      </c>
      <c r="E1376" s="20" t="s">
        <v>651</v>
      </c>
      <c r="F1376" s="76" t="s">
        <v>519</v>
      </c>
      <c r="G1376" s="20" t="s">
        <v>1284</v>
      </c>
      <c r="H1376" s="55" t="n">
        <v>28</v>
      </c>
      <c r="I1376" s="76" t="s">
        <v>512</v>
      </c>
      <c r="J1376" s="76" t="s">
        <v>164</v>
      </c>
      <c r="K1376" s="82" t="n">
        <v>1</v>
      </c>
      <c r="L1376" s="55" t="n">
        <v>4</v>
      </c>
      <c r="M1376" s="73" t="n">
        <v>3.6</v>
      </c>
      <c r="N1376" s="74" t="n">
        <f aca="false">K1376*L1376*M1376</f>
        <v>14.4</v>
      </c>
      <c r="O1376" s="41" t="n">
        <f aca="false">IFERROR(INDEX(Исходные!$B$21:$B$33,MATCH(H1376,Исходные!$A$21:$A$33,0)),0)</f>
        <v>4.834</v>
      </c>
      <c r="P1376" s="83" t="n">
        <f aca="false">N1376*O1376</f>
        <v>69.6096</v>
      </c>
      <c r="Q1376" s="20" t="s">
        <v>1285</v>
      </c>
      <c r="R1376" s="84" t="s">
        <v>514</v>
      </c>
      <c r="S1376" s="20" t="s">
        <v>1268</v>
      </c>
      <c r="T1376" s="20" t="s">
        <v>12</v>
      </c>
      <c r="U1376" s="53" t="n">
        <v>0</v>
      </c>
      <c r="V1376" s="76" t="s">
        <v>651</v>
      </c>
      <c r="W1376" s="53" t="n">
        <v>4</v>
      </c>
    </row>
    <row r="1377" customFormat="false" ht="35.05" hidden="false" customHeight="false" outlineLevel="0" collapsed="false">
      <c r="A1377" s="76" t="n">
        <v>1346</v>
      </c>
      <c r="B1377" s="20" t="s">
        <v>1691</v>
      </c>
      <c r="C1377" s="20" t="s">
        <v>633</v>
      </c>
      <c r="D1377" s="20" t="s">
        <v>1286</v>
      </c>
      <c r="E1377" s="20" t="s">
        <v>651</v>
      </c>
      <c r="F1377" s="76" t="s">
        <v>510</v>
      </c>
      <c r="G1377" s="20" t="s">
        <v>1287</v>
      </c>
      <c r="H1377" s="55" t="n">
        <v>32</v>
      </c>
      <c r="I1377" s="76" t="s">
        <v>512</v>
      </c>
      <c r="J1377" s="76" t="s">
        <v>164</v>
      </c>
      <c r="K1377" s="82" t="n">
        <v>4</v>
      </c>
      <c r="L1377" s="55" t="n">
        <v>4</v>
      </c>
      <c r="M1377" s="73" t="n">
        <v>3.6</v>
      </c>
      <c r="N1377" s="74" t="n">
        <f aca="false">K1377*L1377*M1377</f>
        <v>57.6</v>
      </c>
      <c r="O1377" s="41" t="n">
        <f aca="false">IFERROR(INDEX(Исходные!$B$21:$B$33,MATCH(H1377,Исходные!$A$21:$A$33,0)),0)</f>
        <v>6.313</v>
      </c>
      <c r="P1377" s="83" t="n">
        <f aca="false">N1377*O1377</f>
        <v>363.6288</v>
      </c>
      <c r="Q1377" s="20" t="s">
        <v>1288</v>
      </c>
      <c r="R1377" s="84" t="s">
        <v>1272</v>
      </c>
      <c r="S1377" s="20" t="s">
        <v>1273</v>
      </c>
      <c r="T1377" s="20" t="s">
        <v>12</v>
      </c>
      <c r="U1377" s="53" t="n">
        <v>1</v>
      </c>
      <c r="V1377" s="76" t="s">
        <v>651</v>
      </c>
      <c r="W1377" s="53" t="n">
        <v>4</v>
      </c>
    </row>
    <row r="1378" customFormat="false" ht="35.05" hidden="false" customHeight="false" outlineLevel="0" collapsed="false">
      <c r="A1378" s="76" t="n">
        <v>1347</v>
      </c>
      <c r="B1378" s="20" t="s">
        <v>1691</v>
      </c>
      <c r="C1378" s="20" t="s">
        <v>633</v>
      </c>
      <c r="D1378" s="20" t="s">
        <v>650</v>
      </c>
      <c r="E1378" s="20" t="s">
        <v>651</v>
      </c>
      <c r="F1378" s="76" t="s">
        <v>516</v>
      </c>
      <c r="G1378" s="20" t="s">
        <v>1274</v>
      </c>
      <c r="H1378" s="55" t="n">
        <v>20</v>
      </c>
      <c r="I1378" s="76" t="s">
        <v>512</v>
      </c>
      <c r="J1378" s="76" t="s">
        <v>164</v>
      </c>
      <c r="K1378" s="82" t="n">
        <v>5</v>
      </c>
      <c r="L1378" s="55" t="n">
        <v>8</v>
      </c>
      <c r="M1378" s="73" t="n">
        <v>3.6</v>
      </c>
      <c r="N1378" s="74" t="n">
        <f aca="false">K1378*L1378*M1378</f>
        <v>144</v>
      </c>
      <c r="O1378" s="41" t="n">
        <f aca="false">IFERROR(INDEX(Исходные!$B$21:$B$33,MATCH(H1378,Исходные!$A$21:$A$33,0)),0)</f>
        <v>2.466</v>
      </c>
      <c r="P1378" s="83" t="n">
        <f aca="false">N1378*O1378</f>
        <v>355.104</v>
      </c>
      <c r="Q1378" s="20" t="s">
        <v>1275</v>
      </c>
      <c r="R1378" s="84" t="s">
        <v>514</v>
      </c>
      <c r="S1378" s="20" t="s">
        <v>1276</v>
      </c>
      <c r="T1378" s="20" t="s">
        <v>12</v>
      </c>
      <c r="U1378" s="53" t="n">
        <v>0</v>
      </c>
      <c r="V1378" s="76" t="s">
        <v>651</v>
      </c>
      <c r="W1378" s="53" t="n">
        <v>4</v>
      </c>
    </row>
    <row r="1379" customFormat="false" ht="35.05" hidden="false" customHeight="false" outlineLevel="0" collapsed="false">
      <c r="A1379" s="76" t="n">
        <v>1348</v>
      </c>
      <c r="B1379" s="20" t="s">
        <v>1691</v>
      </c>
      <c r="C1379" s="20" t="s">
        <v>633</v>
      </c>
      <c r="D1379" s="20" t="s">
        <v>650</v>
      </c>
      <c r="E1379" s="20" t="s">
        <v>651</v>
      </c>
      <c r="F1379" s="76" t="s">
        <v>555</v>
      </c>
      <c r="G1379" s="20" t="s">
        <v>1277</v>
      </c>
      <c r="H1379" s="55" t="n">
        <v>8</v>
      </c>
      <c r="I1379" s="76" t="s">
        <v>546</v>
      </c>
      <c r="J1379" s="76" t="s">
        <v>644</v>
      </c>
      <c r="K1379" s="82" t="n">
        <v>5</v>
      </c>
      <c r="L1379" s="55" t="n">
        <v>28</v>
      </c>
      <c r="M1379" s="73" t="n">
        <v>2.44</v>
      </c>
      <c r="N1379" s="74" t="n">
        <f aca="false">K1379*L1379*M1379</f>
        <v>341.6</v>
      </c>
      <c r="O1379" s="41" t="n">
        <f aca="false">IFERROR(INDEX(Исходные!$B$21:$B$33,MATCH(H1379,Исходные!$A$21:$A$33,0)),0)</f>
        <v>0.395</v>
      </c>
      <c r="P1379" s="83" t="n">
        <f aca="false">N1379*O1379</f>
        <v>134.932</v>
      </c>
      <c r="Q1379" s="20" t="s">
        <v>1278</v>
      </c>
      <c r="R1379" s="84" t="s">
        <v>514</v>
      </c>
      <c r="S1379" s="20"/>
      <c r="T1379" s="20" t="s">
        <v>12</v>
      </c>
      <c r="U1379" s="53" t="n">
        <v>0</v>
      </c>
      <c r="V1379" s="76" t="s">
        <v>651</v>
      </c>
      <c r="W1379" s="53" t="n">
        <v>4</v>
      </c>
    </row>
    <row r="1380" customFormat="false" ht="35.05" hidden="false" customHeight="false" outlineLevel="0" collapsed="false">
      <c r="A1380" s="76" t="n">
        <v>1349</v>
      </c>
      <c r="B1380" s="20" t="s">
        <v>1691</v>
      </c>
      <c r="C1380" s="20" t="s">
        <v>633</v>
      </c>
      <c r="D1380" s="20" t="s">
        <v>650</v>
      </c>
      <c r="E1380" s="20" t="s">
        <v>651</v>
      </c>
      <c r="F1380" s="76" t="s">
        <v>558</v>
      </c>
      <c r="G1380" s="20" t="s">
        <v>1279</v>
      </c>
      <c r="H1380" s="55" t="n">
        <v>8</v>
      </c>
      <c r="I1380" s="76" t="s">
        <v>546</v>
      </c>
      <c r="J1380" s="76" t="n">
        <v>200</v>
      </c>
      <c r="K1380" s="82" t="n">
        <v>5</v>
      </c>
      <c r="L1380" s="55" t="n">
        <v>32</v>
      </c>
      <c r="M1380" s="73" t="n">
        <v>1.96</v>
      </c>
      <c r="N1380" s="74" t="n">
        <f aca="false">K1380*L1380*M1380</f>
        <v>313.6</v>
      </c>
      <c r="O1380" s="41" t="n">
        <f aca="false">IFERROR(INDEX(Исходные!$B$21:$B$33,MATCH(H1380,Исходные!$A$21:$A$33,0)),0)</f>
        <v>0.395</v>
      </c>
      <c r="P1380" s="83" t="n">
        <f aca="false">N1380*O1380</f>
        <v>123.872</v>
      </c>
      <c r="Q1380" s="20" t="s">
        <v>1280</v>
      </c>
      <c r="R1380" s="84" t="s">
        <v>514</v>
      </c>
      <c r="S1380" s="20"/>
      <c r="T1380" s="20" t="s">
        <v>12</v>
      </c>
      <c r="U1380" s="53" t="n">
        <v>0</v>
      </c>
      <c r="V1380" s="76" t="s">
        <v>651</v>
      </c>
      <c r="W1380" s="53" t="n">
        <v>4</v>
      </c>
    </row>
    <row r="1381" customFormat="false" ht="35.05" hidden="false" customHeight="false" outlineLevel="0" collapsed="false">
      <c r="A1381" s="76" t="n">
        <v>1350</v>
      </c>
      <c r="B1381" s="20" t="s">
        <v>1691</v>
      </c>
      <c r="C1381" s="20" t="s">
        <v>633</v>
      </c>
      <c r="D1381" s="20" t="s">
        <v>652</v>
      </c>
      <c r="E1381" s="20" t="s">
        <v>653</v>
      </c>
      <c r="F1381" s="76" t="s">
        <v>519</v>
      </c>
      <c r="G1381" s="20" t="s">
        <v>1289</v>
      </c>
      <c r="H1381" s="55" t="n">
        <v>28</v>
      </c>
      <c r="I1381" s="76" t="s">
        <v>512</v>
      </c>
      <c r="J1381" s="76" t="s">
        <v>164</v>
      </c>
      <c r="K1381" s="82" t="n">
        <v>2</v>
      </c>
      <c r="L1381" s="55" t="n">
        <v>4</v>
      </c>
      <c r="M1381" s="73" t="n">
        <v>3.6</v>
      </c>
      <c r="N1381" s="74" t="n">
        <f aca="false">K1381*L1381*M1381</f>
        <v>28.8</v>
      </c>
      <c r="O1381" s="41" t="n">
        <f aca="false">IFERROR(INDEX(Исходные!$B$21:$B$33,MATCH(H1381,Исходные!$A$21:$A$33,0)),0)</f>
        <v>4.834</v>
      </c>
      <c r="P1381" s="83" t="n">
        <f aca="false">N1381*O1381</f>
        <v>139.2192</v>
      </c>
      <c r="Q1381" s="20" t="s">
        <v>1290</v>
      </c>
      <c r="R1381" s="84" t="s">
        <v>514</v>
      </c>
      <c r="S1381" s="20" t="s">
        <v>1268</v>
      </c>
      <c r="T1381" s="20" t="s">
        <v>12</v>
      </c>
      <c r="U1381" s="53" t="n">
        <v>0</v>
      </c>
      <c r="V1381" s="76" t="s">
        <v>653</v>
      </c>
      <c r="W1381" s="53" t="n">
        <v>4</v>
      </c>
    </row>
    <row r="1382" customFormat="false" ht="35.05" hidden="false" customHeight="false" outlineLevel="0" collapsed="false">
      <c r="A1382" s="76" t="n">
        <v>1351</v>
      </c>
      <c r="B1382" s="20" t="s">
        <v>1691</v>
      </c>
      <c r="C1382" s="20" t="s">
        <v>633</v>
      </c>
      <c r="D1382" s="20" t="s">
        <v>652</v>
      </c>
      <c r="E1382" s="20" t="s">
        <v>653</v>
      </c>
      <c r="F1382" s="76" t="s">
        <v>516</v>
      </c>
      <c r="G1382" s="20" t="s">
        <v>1274</v>
      </c>
      <c r="H1382" s="55" t="n">
        <v>20</v>
      </c>
      <c r="I1382" s="76" t="s">
        <v>512</v>
      </c>
      <c r="J1382" s="76" t="s">
        <v>164</v>
      </c>
      <c r="K1382" s="82" t="n">
        <v>2</v>
      </c>
      <c r="L1382" s="55" t="n">
        <v>8</v>
      </c>
      <c r="M1382" s="73" t="n">
        <v>3.6</v>
      </c>
      <c r="N1382" s="74" t="n">
        <f aca="false">K1382*L1382*M1382</f>
        <v>57.6</v>
      </c>
      <c r="O1382" s="41" t="n">
        <f aca="false">IFERROR(INDEX(Исходные!$B$21:$B$33,MATCH(H1382,Исходные!$A$21:$A$33,0)),0)</f>
        <v>2.466</v>
      </c>
      <c r="P1382" s="83" t="n">
        <f aca="false">N1382*O1382</f>
        <v>142.0416</v>
      </c>
      <c r="Q1382" s="20" t="s">
        <v>1275</v>
      </c>
      <c r="R1382" s="84" t="s">
        <v>514</v>
      </c>
      <c r="S1382" s="20" t="s">
        <v>1276</v>
      </c>
      <c r="T1382" s="20" t="s">
        <v>12</v>
      </c>
      <c r="U1382" s="53" t="n">
        <v>0</v>
      </c>
      <c r="V1382" s="76" t="s">
        <v>653</v>
      </c>
      <c r="W1382" s="53" t="n">
        <v>4</v>
      </c>
    </row>
    <row r="1383" customFormat="false" ht="35.05" hidden="false" customHeight="false" outlineLevel="0" collapsed="false">
      <c r="A1383" s="76" t="n">
        <v>1352</v>
      </c>
      <c r="B1383" s="20" t="s">
        <v>1691</v>
      </c>
      <c r="C1383" s="20" t="s">
        <v>633</v>
      </c>
      <c r="D1383" s="20" t="s">
        <v>652</v>
      </c>
      <c r="E1383" s="20" t="s">
        <v>653</v>
      </c>
      <c r="F1383" s="76" t="s">
        <v>555</v>
      </c>
      <c r="G1383" s="20" t="s">
        <v>1277</v>
      </c>
      <c r="H1383" s="55" t="n">
        <v>8</v>
      </c>
      <c r="I1383" s="76" t="s">
        <v>546</v>
      </c>
      <c r="J1383" s="76" t="s">
        <v>644</v>
      </c>
      <c r="K1383" s="82" t="n">
        <v>2</v>
      </c>
      <c r="L1383" s="55" t="n">
        <v>28</v>
      </c>
      <c r="M1383" s="73" t="n">
        <v>2.44</v>
      </c>
      <c r="N1383" s="74" t="n">
        <f aca="false">K1383*L1383*M1383</f>
        <v>136.64</v>
      </c>
      <c r="O1383" s="41" t="n">
        <f aca="false">IFERROR(INDEX(Исходные!$B$21:$B$33,MATCH(H1383,Исходные!$A$21:$A$33,0)),0)</f>
        <v>0.395</v>
      </c>
      <c r="P1383" s="83" t="n">
        <f aca="false">N1383*O1383</f>
        <v>53.9728</v>
      </c>
      <c r="Q1383" s="20" t="s">
        <v>1278</v>
      </c>
      <c r="R1383" s="84" t="s">
        <v>514</v>
      </c>
      <c r="S1383" s="20"/>
      <c r="T1383" s="20" t="s">
        <v>12</v>
      </c>
      <c r="U1383" s="53" t="n">
        <v>0</v>
      </c>
      <c r="V1383" s="76" t="s">
        <v>653</v>
      </c>
      <c r="W1383" s="53" t="n">
        <v>4</v>
      </c>
    </row>
    <row r="1384" customFormat="false" ht="35.05" hidden="false" customHeight="false" outlineLevel="0" collapsed="false">
      <c r="A1384" s="76" t="n">
        <v>1353</v>
      </c>
      <c r="B1384" s="20" t="s">
        <v>1691</v>
      </c>
      <c r="C1384" s="20" t="s">
        <v>633</v>
      </c>
      <c r="D1384" s="20" t="s">
        <v>652</v>
      </c>
      <c r="E1384" s="20" t="s">
        <v>653</v>
      </c>
      <c r="F1384" s="76" t="s">
        <v>558</v>
      </c>
      <c r="G1384" s="20" t="s">
        <v>1279</v>
      </c>
      <c r="H1384" s="55" t="n">
        <v>8</v>
      </c>
      <c r="I1384" s="76" t="s">
        <v>546</v>
      </c>
      <c r="J1384" s="76" t="n">
        <v>200</v>
      </c>
      <c r="K1384" s="82" t="n">
        <v>2</v>
      </c>
      <c r="L1384" s="55" t="n">
        <v>32</v>
      </c>
      <c r="M1384" s="73" t="n">
        <v>1.96</v>
      </c>
      <c r="N1384" s="74" t="n">
        <f aca="false">K1384*L1384*M1384</f>
        <v>125.44</v>
      </c>
      <c r="O1384" s="41" t="n">
        <f aca="false">IFERROR(INDEX(Исходные!$B$21:$B$33,MATCH(H1384,Исходные!$A$21:$A$33,0)),0)</f>
        <v>0.395</v>
      </c>
      <c r="P1384" s="83" t="n">
        <f aca="false">N1384*O1384</f>
        <v>49.5488</v>
      </c>
      <c r="Q1384" s="20" t="s">
        <v>1280</v>
      </c>
      <c r="R1384" s="84" t="s">
        <v>514</v>
      </c>
      <c r="S1384" s="20"/>
      <c r="T1384" s="20" t="s">
        <v>12</v>
      </c>
      <c r="U1384" s="53" t="n">
        <v>0</v>
      </c>
      <c r="V1384" s="76" t="s">
        <v>653</v>
      </c>
      <c r="W1384" s="53" t="n">
        <v>4</v>
      </c>
    </row>
    <row r="1385" customFormat="false" ht="15" hidden="false" customHeight="true" outlineLevel="0" collapsed="false">
      <c r="A1385" s="81" t="s">
        <v>1730</v>
      </c>
      <c r="B1385" s="81"/>
      <c r="C1385" s="81"/>
      <c r="D1385" s="81"/>
      <c r="E1385" s="81"/>
      <c r="F1385" s="81"/>
      <c r="G1385" s="81"/>
      <c r="H1385" s="81"/>
      <c r="I1385" s="81"/>
      <c r="J1385" s="81"/>
      <c r="K1385" s="81"/>
      <c r="L1385" s="81"/>
      <c r="M1385" s="81"/>
      <c r="N1385" s="81"/>
      <c r="O1385" s="81"/>
      <c r="P1385" s="81"/>
      <c r="Q1385" s="81"/>
      <c r="R1385" s="81"/>
      <c r="S1385" s="81"/>
      <c r="T1385" s="81"/>
      <c r="U1385" s="81"/>
      <c r="V1385" s="81"/>
      <c r="W1385" s="81"/>
    </row>
    <row r="1386" customFormat="false" ht="35.05" hidden="false" customHeight="false" outlineLevel="0" collapsed="false">
      <c r="A1386" s="76" t="n">
        <v>1354</v>
      </c>
      <c r="B1386" s="20" t="s">
        <v>1691</v>
      </c>
      <c r="C1386" s="20" t="s">
        <v>655</v>
      </c>
      <c r="D1386" s="20" t="s">
        <v>1731</v>
      </c>
      <c r="E1386" s="20" t="s">
        <v>657</v>
      </c>
      <c r="F1386" s="76" t="s">
        <v>519</v>
      </c>
      <c r="G1386" s="20" t="s">
        <v>658</v>
      </c>
      <c r="H1386" s="55" t="n">
        <v>28</v>
      </c>
      <c r="I1386" s="76" t="s">
        <v>512</v>
      </c>
      <c r="J1386" s="76" t="s">
        <v>164</v>
      </c>
      <c r="K1386" s="82" t="n">
        <v>1</v>
      </c>
      <c r="L1386" s="55" t="n">
        <v>4</v>
      </c>
      <c r="M1386" s="73" t="n">
        <v>25.5</v>
      </c>
      <c r="N1386" s="74" t="n">
        <f aca="false">K1386*L1386*M1386</f>
        <v>102</v>
      </c>
      <c r="O1386" s="41" t="n">
        <f aca="false">IFERROR(INDEX(Исходные!$B$21:$B$33,MATCH(H1386,Исходные!$A$21:$A$33,0)),0)</f>
        <v>4.834</v>
      </c>
      <c r="P1386" s="83" t="n">
        <f aca="false">N1386*O1386</f>
        <v>493.068</v>
      </c>
      <c r="Q1386" s="20" t="s">
        <v>1293</v>
      </c>
      <c r="R1386" s="84" t="s">
        <v>660</v>
      </c>
      <c r="S1386" s="20" t="s">
        <v>661</v>
      </c>
      <c r="T1386" s="20" t="s">
        <v>123</v>
      </c>
      <c r="U1386" s="53" t="n">
        <v>0</v>
      </c>
      <c r="V1386" s="76" t="s">
        <v>657</v>
      </c>
      <c r="W1386" s="53" t="n">
        <v>4</v>
      </c>
    </row>
    <row r="1387" customFormat="false" ht="35.05" hidden="false" customHeight="false" outlineLevel="0" collapsed="false">
      <c r="A1387" s="76" t="n">
        <v>1355</v>
      </c>
      <c r="B1387" s="20" t="s">
        <v>1691</v>
      </c>
      <c r="C1387" s="20" t="s">
        <v>655</v>
      </c>
      <c r="D1387" s="20" t="s">
        <v>1731</v>
      </c>
      <c r="E1387" s="20" t="s">
        <v>657</v>
      </c>
      <c r="F1387" s="76" t="s">
        <v>529</v>
      </c>
      <c r="G1387" s="20" t="s">
        <v>662</v>
      </c>
      <c r="H1387" s="55" t="n">
        <v>18</v>
      </c>
      <c r="I1387" s="76" t="s">
        <v>512</v>
      </c>
      <c r="J1387" s="76" t="s">
        <v>164</v>
      </c>
      <c r="K1387" s="82" t="n">
        <v>1</v>
      </c>
      <c r="L1387" s="55" t="n">
        <v>2</v>
      </c>
      <c r="M1387" s="73" t="n">
        <v>25.5</v>
      </c>
      <c r="N1387" s="74" t="n">
        <f aca="false">K1387*L1387*M1387</f>
        <v>51</v>
      </c>
      <c r="O1387" s="41" t="n">
        <f aca="false">IFERROR(INDEX(Исходные!$B$21:$B$33,MATCH(H1387,Исходные!$A$21:$A$33,0)),0)</f>
        <v>1.998</v>
      </c>
      <c r="P1387" s="83" t="n">
        <f aca="false">N1387*O1387</f>
        <v>101.898</v>
      </c>
      <c r="Q1387" s="20" t="s">
        <v>663</v>
      </c>
      <c r="R1387" s="84" t="s">
        <v>660</v>
      </c>
      <c r="S1387" s="20"/>
      <c r="T1387" s="20" t="s">
        <v>123</v>
      </c>
      <c r="U1387" s="53" t="n">
        <v>0</v>
      </c>
      <c r="V1387" s="76" t="s">
        <v>657</v>
      </c>
      <c r="W1387" s="53" t="n">
        <v>4</v>
      </c>
    </row>
    <row r="1388" customFormat="false" ht="35.05" hidden="false" customHeight="false" outlineLevel="0" collapsed="false">
      <c r="A1388" s="76" t="n">
        <v>1356</v>
      </c>
      <c r="B1388" s="20" t="s">
        <v>1691</v>
      </c>
      <c r="C1388" s="20" t="s">
        <v>655</v>
      </c>
      <c r="D1388" s="20" t="s">
        <v>1731</v>
      </c>
      <c r="E1388" s="20" t="s">
        <v>657</v>
      </c>
      <c r="F1388" s="76" t="s">
        <v>664</v>
      </c>
      <c r="G1388" s="20" t="s">
        <v>665</v>
      </c>
      <c r="H1388" s="55" t="n">
        <v>18</v>
      </c>
      <c r="I1388" s="76" t="s">
        <v>512</v>
      </c>
      <c r="J1388" s="76" t="s">
        <v>164</v>
      </c>
      <c r="K1388" s="82" t="n">
        <v>2</v>
      </c>
      <c r="L1388" s="55" t="n">
        <v>2</v>
      </c>
      <c r="M1388" s="73" t="n">
        <v>0.144</v>
      </c>
      <c r="N1388" s="74" t="n">
        <f aca="false">K1388*L1388*M1388</f>
        <v>0.576</v>
      </c>
      <c r="O1388" s="41" t="n">
        <f aca="false">IFERROR(INDEX(Исходные!$B$21:$B$33,MATCH(H1388,Исходные!$A$21:$A$33,0)),0)</f>
        <v>1.998</v>
      </c>
      <c r="P1388" s="83" t="n">
        <f aca="false">N1388*O1388</f>
        <v>1.150848</v>
      </c>
      <c r="Q1388" s="20" t="s">
        <v>666</v>
      </c>
      <c r="R1388" s="84" t="s">
        <v>667</v>
      </c>
      <c r="S1388" s="20" t="s">
        <v>668</v>
      </c>
      <c r="T1388" s="20" t="s">
        <v>123</v>
      </c>
      <c r="U1388" s="53" t="n">
        <v>0</v>
      </c>
      <c r="V1388" s="76" t="s">
        <v>657</v>
      </c>
      <c r="W1388" s="53" t="n">
        <v>4</v>
      </c>
    </row>
    <row r="1389" customFormat="false" ht="35.05" hidden="false" customHeight="false" outlineLevel="0" collapsed="false">
      <c r="A1389" s="76" t="n">
        <v>1357</v>
      </c>
      <c r="B1389" s="20" t="s">
        <v>1691</v>
      </c>
      <c r="C1389" s="20" t="s">
        <v>655</v>
      </c>
      <c r="D1389" s="20" t="s">
        <v>1731</v>
      </c>
      <c r="E1389" s="20" t="s">
        <v>657</v>
      </c>
      <c r="F1389" s="76" t="s">
        <v>669</v>
      </c>
      <c r="G1389" s="20" t="s">
        <v>670</v>
      </c>
      <c r="H1389" s="55" t="n">
        <v>16</v>
      </c>
      <c r="I1389" s="76" t="s">
        <v>512</v>
      </c>
      <c r="J1389" s="76" t="s">
        <v>164</v>
      </c>
      <c r="K1389" s="82" t="n">
        <v>1</v>
      </c>
      <c r="L1389" s="55" t="n">
        <v>2</v>
      </c>
      <c r="M1389" s="73" t="n">
        <v>25.5</v>
      </c>
      <c r="N1389" s="74" t="n">
        <f aca="false">K1389*L1389*M1389</f>
        <v>51</v>
      </c>
      <c r="O1389" s="41" t="n">
        <f aca="false">IFERROR(INDEX(Исходные!$B$21:$B$33,MATCH(H1389,Исходные!$A$21:$A$33,0)),0)</f>
        <v>1.578</v>
      </c>
      <c r="P1389" s="83" t="n">
        <f aca="false">N1389*O1389</f>
        <v>80.478</v>
      </c>
      <c r="Q1389" s="20" t="s">
        <v>671</v>
      </c>
      <c r="R1389" s="84" t="s">
        <v>660</v>
      </c>
      <c r="S1389" s="20"/>
      <c r="T1389" s="20" t="s">
        <v>123</v>
      </c>
      <c r="U1389" s="53" t="n">
        <v>0</v>
      </c>
      <c r="V1389" s="76" t="s">
        <v>657</v>
      </c>
      <c r="W1389" s="53" t="n">
        <v>4</v>
      </c>
    </row>
    <row r="1390" customFormat="false" ht="35.05" hidden="false" customHeight="false" outlineLevel="0" collapsed="false">
      <c r="A1390" s="76" t="n">
        <v>1358</v>
      </c>
      <c r="B1390" s="20" t="s">
        <v>1691</v>
      </c>
      <c r="C1390" s="20" t="s">
        <v>655</v>
      </c>
      <c r="D1390" s="20" t="s">
        <v>1731</v>
      </c>
      <c r="E1390" s="20" t="s">
        <v>657</v>
      </c>
      <c r="F1390" s="76" t="s">
        <v>672</v>
      </c>
      <c r="G1390" s="20" t="s">
        <v>673</v>
      </c>
      <c r="H1390" s="55" t="n">
        <v>16</v>
      </c>
      <c r="I1390" s="76" t="s">
        <v>512</v>
      </c>
      <c r="J1390" s="76" t="s">
        <v>164</v>
      </c>
      <c r="K1390" s="82" t="n">
        <v>2</v>
      </c>
      <c r="L1390" s="55" t="n">
        <v>2</v>
      </c>
      <c r="M1390" s="73" t="n">
        <v>0.128</v>
      </c>
      <c r="N1390" s="74" t="n">
        <f aca="false">K1390*L1390*M1390</f>
        <v>0.512</v>
      </c>
      <c r="O1390" s="41" t="n">
        <f aca="false">IFERROR(INDEX(Исходные!$B$21:$B$33,MATCH(H1390,Исходные!$A$21:$A$33,0)),0)</f>
        <v>1.578</v>
      </c>
      <c r="P1390" s="83" t="n">
        <f aca="false">N1390*O1390</f>
        <v>0.807936</v>
      </c>
      <c r="Q1390" s="20" t="s">
        <v>674</v>
      </c>
      <c r="R1390" s="84" t="s">
        <v>667</v>
      </c>
      <c r="S1390" s="20" t="s">
        <v>675</v>
      </c>
      <c r="T1390" s="20" t="s">
        <v>123</v>
      </c>
      <c r="U1390" s="53" t="n">
        <v>0</v>
      </c>
      <c r="V1390" s="76" t="s">
        <v>657</v>
      </c>
      <c r="W1390" s="53" t="n">
        <v>4</v>
      </c>
    </row>
    <row r="1391" customFormat="false" ht="35.05" hidden="false" customHeight="false" outlineLevel="0" collapsed="false">
      <c r="A1391" s="76" t="n">
        <v>1359</v>
      </c>
      <c r="B1391" s="20" t="s">
        <v>1691</v>
      </c>
      <c r="C1391" s="20" t="s">
        <v>655</v>
      </c>
      <c r="D1391" s="20" t="s">
        <v>1731</v>
      </c>
      <c r="E1391" s="20" t="s">
        <v>657</v>
      </c>
      <c r="F1391" s="76" t="s">
        <v>676</v>
      </c>
      <c r="G1391" s="20" t="s">
        <v>1732</v>
      </c>
      <c r="H1391" s="55" t="n">
        <v>20</v>
      </c>
      <c r="I1391" s="76" t="s">
        <v>512</v>
      </c>
      <c r="J1391" s="76" t="s">
        <v>164</v>
      </c>
      <c r="K1391" s="82" t="n">
        <v>1</v>
      </c>
      <c r="L1391" s="55" t="n">
        <v>2</v>
      </c>
      <c r="M1391" s="73" t="n">
        <v>2.05</v>
      </c>
      <c r="N1391" s="74" t="n">
        <f aca="false">K1391*L1391*M1391</f>
        <v>4.1</v>
      </c>
      <c r="O1391" s="41" t="n">
        <f aca="false">IFERROR(INDEX(Исходные!$B$21:$B$33,MATCH(H1391,Исходные!$A$21:$A$33,0)),0)</f>
        <v>2.466</v>
      </c>
      <c r="P1391" s="83" t="n">
        <f aca="false">N1391*O1391</f>
        <v>10.1106</v>
      </c>
      <c r="Q1391" s="20" t="s">
        <v>1733</v>
      </c>
      <c r="R1391" s="84" t="s">
        <v>660</v>
      </c>
      <c r="S1391" s="20" t="s">
        <v>1295</v>
      </c>
      <c r="T1391" s="20" t="s">
        <v>123</v>
      </c>
      <c r="U1391" s="53" t="n">
        <v>0</v>
      </c>
      <c r="V1391" s="76" t="s">
        <v>657</v>
      </c>
      <c r="W1391" s="53" t="n">
        <v>4</v>
      </c>
    </row>
    <row r="1392" customFormat="false" ht="35.05" hidden="false" customHeight="false" outlineLevel="0" collapsed="false">
      <c r="A1392" s="76" t="n">
        <v>1360</v>
      </c>
      <c r="B1392" s="20" t="s">
        <v>1691</v>
      </c>
      <c r="C1392" s="20" t="s">
        <v>655</v>
      </c>
      <c r="D1392" s="20" t="s">
        <v>1731</v>
      </c>
      <c r="E1392" s="20" t="s">
        <v>657</v>
      </c>
      <c r="F1392" s="76" t="s">
        <v>676</v>
      </c>
      <c r="G1392" s="20" t="s">
        <v>1734</v>
      </c>
      <c r="H1392" s="55" t="n">
        <v>28</v>
      </c>
      <c r="I1392" s="76" t="s">
        <v>512</v>
      </c>
      <c r="J1392" s="76" t="s">
        <v>164</v>
      </c>
      <c r="K1392" s="82" t="n">
        <v>1</v>
      </c>
      <c r="L1392" s="55" t="n">
        <v>2</v>
      </c>
      <c r="M1392" s="73" t="n">
        <v>4.5</v>
      </c>
      <c r="N1392" s="74" t="n">
        <f aca="false">K1392*L1392*M1392</f>
        <v>9</v>
      </c>
      <c r="O1392" s="41" t="n">
        <f aca="false">IFERROR(INDEX(Исходные!$B$21:$B$33,MATCH(H1392,Исходные!$A$21:$A$33,0)),0)</f>
        <v>4.834</v>
      </c>
      <c r="P1392" s="83" t="n">
        <f aca="false">N1392*O1392</f>
        <v>43.506</v>
      </c>
      <c r="Q1392" s="20" t="s">
        <v>1735</v>
      </c>
      <c r="R1392" s="84" t="s">
        <v>660</v>
      </c>
      <c r="S1392" s="20" t="s">
        <v>682</v>
      </c>
      <c r="T1392" s="20" t="s">
        <v>123</v>
      </c>
      <c r="U1392" s="53" t="n">
        <v>0</v>
      </c>
      <c r="V1392" s="76" t="s">
        <v>657</v>
      </c>
      <c r="W1392" s="53" t="n">
        <v>4</v>
      </c>
    </row>
    <row r="1393" customFormat="false" ht="35.05" hidden="false" customHeight="false" outlineLevel="0" collapsed="false">
      <c r="A1393" s="76" t="n">
        <v>1361</v>
      </c>
      <c r="B1393" s="20" t="s">
        <v>1691</v>
      </c>
      <c r="C1393" s="20" t="s">
        <v>655</v>
      </c>
      <c r="D1393" s="20" t="s">
        <v>1731</v>
      </c>
      <c r="E1393" s="20" t="s">
        <v>657</v>
      </c>
      <c r="F1393" s="76" t="s">
        <v>676</v>
      </c>
      <c r="G1393" s="20" t="s">
        <v>1736</v>
      </c>
      <c r="H1393" s="55" t="n">
        <v>25</v>
      </c>
      <c r="I1393" s="76" t="s">
        <v>512</v>
      </c>
      <c r="J1393" s="76" t="s">
        <v>164</v>
      </c>
      <c r="K1393" s="82" t="n">
        <v>1</v>
      </c>
      <c r="L1393" s="55" t="n">
        <v>2</v>
      </c>
      <c r="M1393" s="73" t="n">
        <v>3.3</v>
      </c>
      <c r="N1393" s="74" t="n">
        <f aca="false">K1393*L1393*M1393</f>
        <v>6.6</v>
      </c>
      <c r="O1393" s="41" t="n">
        <f aca="false">IFERROR(INDEX(Исходные!$B$21:$B$33,MATCH(H1393,Исходные!$A$21:$A$33,0)),0)</f>
        <v>3.853</v>
      </c>
      <c r="P1393" s="83" t="n">
        <f aca="false">N1393*O1393</f>
        <v>25.4298</v>
      </c>
      <c r="Q1393" s="20" t="s">
        <v>1737</v>
      </c>
      <c r="R1393" s="84" t="s">
        <v>660</v>
      </c>
      <c r="S1393" s="20" t="s">
        <v>687</v>
      </c>
      <c r="T1393" s="20" t="s">
        <v>123</v>
      </c>
      <c r="U1393" s="53" t="n">
        <v>0</v>
      </c>
      <c r="V1393" s="76" t="s">
        <v>657</v>
      </c>
      <c r="W1393" s="53" t="n">
        <v>4</v>
      </c>
    </row>
    <row r="1394" customFormat="false" ht="35.05" hidden="false" customHeight="false" outlineLevel="0" collapsed="false">
      <c r="A1394" s="76" t="n">
        <v>1362</v>
      </c>
      <c r="B1394" s="20" t="s">
        <v>1691</v>
      </c>
      <c r="C1394" s="20" t="s">
        <v>655</v>
      </c>
      <c r="D1394" s="20" t="s">
        <v>1731</v>
      </c>
      <c r="E1394" s="20" t="s">
        <v>657</v>
      </c>
      <c r="F1394" s="76" t="s">
        <v>676</v>
      </c>
      <c r="G1394" s="20" t="s">
        <v>1738</v>
      </c>
      <c r="H1394" s="55" t="n">
        <v>28</v>
      </c>
      <c r="I1394" s="76" t="s">
        <v>512</v>
      </c>
      <c r="J1394" s="76" t="s">
        <v>164</v>
      </c>
      <c r="K1394" s="82" t="n">
        <v>1</v>
      </c>
      <c r="L1394" s="55" t="n">
        <v>2</v>
      </c>
      <c r="M1394" s="73" t="n">
        <v>7.85</v>
      </c>
      <c r="N1394" s="74" t="n">
        <f aca="false">K1394*L1394*M1394</f>
        <v>15.7</v>
      </c>
      <c r="O1394" s="41" t="n">
        <f aca="false">IFERROR(INDEX(Исходные!$B$21:$B$33,MATCH(H1394,Исходные!$A$21:$A$33,0)),0)</f>
        <v>4.834</v>
      </c>
      <c r="P1394" s="83" t="n">
        <f aca="false">N1394*O1394</f>
        <v>75.8938</v>
      </c>
      <c r="Q1394" s="20" t="s">
        <v>1735</v>
      </c>
      <c r="R1394" s="84" t="s">
        <v>660</v>
      </c>
      <c r="S1394" s="20" t="s">
        <v>1299</v>
      </c>
      <c r="T1394" s="20" t="s">
        <v>123</v>
      </c>
      <c r="U1394" s="53" t="n">
        <v>0</v>
      </c>
      <c r="V1394" s="76" t="s">
        <v>657</v>
      </c>
      <c r="W1394" s="53" t="n">
        <v>4</v>
      </c>
    </row>
    <row r="1395" customFormat="false" ht="35.05" hidden="false" customHeight="false" outlineLevel="0" collapsed="false">
      <c r="A1395" s="76" t="n">
        <v>1363</v>
      </c>
      <c r="B1395" s="20" t="s">
        <v>1691</v>
      </c>
      <c r="C1395" s="20" t="s">
        <v>655</v>
      </c>
      <c r="D1395" s="20" t="s">
        <v>1731</v>
      </c>
      <c r="E1395" s="20" t="s">
        <v>657</v>
      </c>
      <c r="F1395" s="76" t="s">
        <v>676</v>
      </c>
      <c r="G1395" s="20" t="s">
        <v>1590</v>
      </c>
      <c r="H1395" s="55" t="n">
        <v>14</v>
      </c>
      <c r="I1395" s="76" t="s">
        <v>512</v>
      </c>
      <c r="J1395" s="76" t="s">
        <v>164</v>
      </c>
      <c r="K1395" s="82" t="n">
        <v>1</v>
      </c>
      <c r="L1395" s="55" t="n">
        <v>2</v>
      </c>
      <c r="M1395" s="73" t="n">
        <v>2.7</v>
      </c>
      <c r="N1395" s="74" t="n">
        <f aca="false">K1395*L1395*M1395</f>
        <v>5.4</v>
      </c>
      <c r="O1395" s="41" t="n">
        <f aca="false">IFERROR(INDEX(Исходные!$B$21:$B$33,MATCH(H1395,Исходные!$A$21:$A$33,0)),0)</f>
        <v>1.208</v>
      </c>
      <c r="P1395" s="83" t="n">
        <f aca="false">N1395*O1395</f>
        <v>6.5232</v>
      </c>
      <c r="Q1395" s="20" t="s">
        <v>1739</v>
      </c>
      <c r="R1395" s="84" t="s">
        <v>660</v>
      </c>
      <c r="S1395" s="20" t="s">
        <v>1592</v>
      </c>
      <c r="T1395" s="20" t="s">
        <v>123</v>
      </c>
      <c r="U1395" s="53" t="n">
        <v>0</v>
      </c>
      <c r="V1395" s="76" t="s">
        <v>657</v>
      </c>
      <c r="W1395" s="53" t="n">
        <v>4</v>
      </c>
    </row>
    <row r="1396" customFormat="false" ht="35.05" hidden="false" customHeight="false" outlineLevel="0" collapsed="false">
      <c r="A1396" s="76" t="n">
        <v>1364</v>
      </c>
      <c r="B1396" s="20" t="s">
        <v>1691</v>
      </c>
      <c r="C1396" s="20" t="s">
        <v>655</v>
      </c>
      <c r="D1396" s="20" t="s">
        <v>1731</v>
      </c>
      <c r="E1396" s="20" t="s">
        <v>657</v>
      </c>
      <c r="F1396" s="76" t="s">
        <v>676</v>
      </c>
      <c r="G1396" s="20" t="s">
        <v>1740</v>
      </c>
      <c r="H1396" s="55" t="n">
        <v>18</v>
      </c>
      <c r="I1396" s="76" t="s">
        <v>512</v>
      </c>
      <c r="J1396" s="76" t="s">
        <v>164</v>
      </c>
      <c r="K1396" s="82" t="n">
        <v>1</v>
      </c>
      <c r="L1396" s="55" t="n">
        <v>2</v>
      </c>
      <c r="M1396" s="73" t="n">
        <v>7.85</v>
      </c>
      <c r="N1396" s="74" t="n">
        <f aca="false">K1396*L1396*M1396</f>
        <v>15.7</v>
      </c>
      <c r="O1396" s="41" t="n">
        <f aca="false">IFERROR(INDEX(Исходные!$B$21:$B$33,MATCH(H1396,Исходные!$A$21:$A$33,0)),0)</f>
        <v>1.998</v>
      </c>
      <c r="P1396" s="83" t="n">
        <f aca="false">N1396*O1396</f>
        <v>31.3686</v>
      </c>
      <c r="Q1396" s="20" t="s">
        <v>1741</v>
      </c>
      <c r="R1396" s="84" t="s">
        <v>660</v>
      </c>
      <c r="S1396" s="20" t="s">
        <v>1299</v>
      </c>
      <c r="T1396" s="20" t="s">
        <v>123</v>
      </c>
      <c r="U1396" s="53" t="n">
        <v>0</v>
      </c>
      <c r="V1396" s="76" t="s">
        <v>657</v>
      </c>
      <c r="W1396" s="53" t="n">
        <v>4</v>
      </c>
    </row>
    <row r="1397" customFormat="false" ht="35.05" hidden="false" customHeight="false" outlineLevel="0" collapsed="false">
      <c r="A1397" s="76" t="n">
        <v>1365</v>
      </c>
      <c r="B1397" s="20" t="s">
        <v>1691</v>
      </c>
      <c r="C1397" s="20" t="s">
        <v>655</v>
      </c>
      <c r="D1397" s="20" t="s">
        <v>1731</v>
      </c>
      <c r="E1397" s="20" t="s">
        <v>657</v>
      </c>
      <c r="F1397" s="76" t="s">
        <v>676</v>
      </c>
      <c r="G1397" s="20" t="s">
        <v>1742</v>
      </c>
      <c r="H1397" s="55" t="n">
        <v>14</v>
      </c>
      <c r="I1397" s="76" t="s">
        <v>512</v>
      </c>
      <c r="J1397" s="76" t="s">
        <v>164</v>
      </c>
      <c r="K1397" s="82" t="n">
        <v>1</v>
      </c>
      <c r="L1397" s="55" t="n">
        <v>4</v>
      </c>
      <c r="M1397" s="73" t="n">
        <v>4.5</v>
      </c>
      <c r="N1397" s="74" t="n">
        <f aca="false">K1397*L1397*M1397</f>
        <v>18</v>
      </c>
      <c r="O1397" s="41" t="n">
        <f aca="false">IFERROR(INDEX(Исходные!$B$21:$B$33,MATCH(H1397,Исходные!$A$21:$A$33,0)),0)</f>
        <v>1.208</v>
      </c>
      <c r="P1397" s="83" t="n">
        <f aca="false">N1397*O1397</f>
        <v>21.744</v>
      </c>
      <c r="Q1397" s="20" t="s">
        <v>1743</v>
      </c>
      <c r="R1397" s="84" t="s">
        <v>660</v>
      </c>
      <c r="S1397" s="20" t="s">
        <v>682</v>
      </c>
      <c r="T1397" s="20" t="s">
        <v>123</v>
      </c>
      <c r="U1397" s="53" t="n">
        <v>0</v>
      </c>
      <c r="V1397" s="76" t="s">
        <v>657</v>
      </c>
      <c r="W1397" s="53" t="n">
        <v>4</v>
      </c>
    </row>
    <row r="1398" customFormat="false" ht="35.05" hidden="false" customHeight="false" outlineLevel="0" collapsed="false">
      <c r="A1398" s="76" t="n">
        <v>1366</v>
      </c>
      <c r="B1398" s="20" t="s">
        <v>1691</v>
      </c>
      <c r="C1398" s="20" t="s">
        <v>655</v>
      </c>
      <c r="D1398" s="20" t="s">
        <v>1731</v>
      </c>
      <c r="E1398" s="20" t="s">
        <v>657</v>
      </c>
      <c r="F1398" s="76" t="s">
        <v>696</v>
      </c>
      <c r="G1398" s="20" t="s">
        <v>1308</v>
      </c>
      <c r="H1398" s="55" t="n">
        <v>8</v>
      </c>
      <c r="I1398" s="76" t="s">
        <v>546</v>
      </c>
      <c r="J1398" s="76" t="s">
        <v>698</v>
      </c>
      <c r="K1398" s="82" t="n">
        <v>1</v>
      </c>
      <c r="L1398" s="55" t="n">
        <v>134</v>
      </c>
      <c r="M1398" s="73" t="n">
        <v>2.06</v>
      </c>
      <c r="N1398" s="74" t="n">
        <f aca="false">K1398*L1398*M1398</f>
        <v>276.04</v>
      </c>
      <c r="O1398" s="41" t="n">
        <f aca="false">IFERROR(INDEX(Исходные!$B$21:$B$33,MATCH(H1398,Исходные!$A$21:$A$33,0)),0)</f>
        <v>0.395</v>
      </c>
      <c r="P1398" s="83" t="n">
        <f aca="false">N1398*O1398</f>
        <v>109.0358</v>
      </c>
      <c r="Q1398" s="20" t="s">
        <v>1309</v>
      </c>
      <c r="R1398" s="84" t="s">
        <v>514</v>
      </c>
      <c r="S1398" s="20" t="s">
        <v>1310</v>
      </c>
      <c r="T1398" s="20" t="s">
        <v>123</v>
      </c>
      <c r="U1398" s="53" t="n">
        <v>0</v>
      </c>
      <c r="V1398" s="76" t="s">
        <v>657</v>
      </c>
      <c r="W1398" s="53" t="n">
        <v>4</v>
      </c>
    </row>
    <row r="1399" customFormat="false" ht="35.05" hidden="false" customHeight="false" outlineLevel="0" collapsed="false">
      <c r="A1399" s="76" t="n">
        <v>1367</v>
      </c>
      <c r="B1399" s="20" t="s">
        <v>1691</v>
      </c>
      <c r="C1399" s="20" t="s">
        <v>655</v>
      </c>
      <c r="D1399" s="20" t="s">
        <v>1731</v>
      </c>
      <c r="E1399" s="20" t="s">
        <v>657</v>
      </c>
      <c r="F1399" s="76" t="s">
        <v>561</v>
      </c>
      <c r="G1399" s="20" t="s">
        <v>1311</v>
      </c>
      <c r="H1399" s="55" t="n">
        <v>10</v>
      </c>
      <c r="I1399" s="76" t="s">
        <v>546</v>
      </c>
      <c r="J1399" s="76" t="n">
        <v>100</v>
      </c>
      <c r="K1399" s="82" t="n">
        <v>1</v>
      </c>
      <c r="L1399" s="55" t="n">
        <v>34</v>
      </c>
      <c r="M1399" s="73" t="n">
        <v>2.06</v>
      </c>
      <c r="N1399" s="74" t="n">
        <f aca="false">K1399*L1399*M1399</f>
        <v>70.04</v>
      </c>
      <c r="O1399" s="41" t="n">
        <f aca="false">IFERROR(INDEX(Исходные!$B$21:$B$33,MATCH(H1399,Исходные!$A$21:$A$33,0)),0)</f>
        <v>0.617</v>
      </c>
      <c r="P1399" s="83" t="n">
        <f aca="false">N1399*O1399</f>
        <v>43.21468</v>
      </c>
      <c r="Q1399" s="20" t="s">
        <v>1744</v>
      </c>
      <c r="R1399" s="84" t="s">
        <v>514</v>
      </c>
      <c r="S1399" s="20" t="s">
        <v>1594</v>
      </c>
      <c r="T1399" s="20" t="s">
        <v>123</v>
      </c>
      <c r="U1399" s="53" t="n">
        <v>0</v>
      </c>
      <c r="V1399" s="76" t="s">
        <v>657</v>
      </c>
      <c r="W1399" s="53" t="n">
        <v>4</v>
      </c>
    </row>
    <row r="1400" customFormat="false" ht="35.05" hidden="false" customHeight="false" outlineLevel="0" collapsed="false">
      <c r="A1400" s="76" t="n">
        <v>1368</v>
      </c>
      <c r="B1400" s="20" t="s">
        <v>1691</v>
      </c>
      <c r="C1400" s="20" t="s">
        <v>655</v>
      </c>
      <c r="D1400" s="20" t="s">
        <v>1731</v>
      </c>
      <c r="E1400" s="20" t="s">
        <v>657</v>
      </c>
      <c r="F1400" s="76" t="s">
        <v>603</v>
      </c>
      <c r="G1400" s="20" t="s">
        <v>704</v>
      </c>
      <c r="H1400" s="55" t="n">
        <v>10</v>
      </c>
      <c r="I1400" s="76" t="s">
        <v>546</v>
      </c>
      <c r="J1400" s="76" t="n">
        <v>100</v>
      </c>
      <c r="K1400" s="82" t="n">
        <v>1</v>
      </c>
      <c r="L1400" s="55" t="n">
        <v>8</v>
      </c>
      <c r="M1400" s="73" t="n">
        <v>1.6</v>
      </c>
      <c r="N1400" s="74" t="n">
        <f aca="false">K1400*L1400*M1400</f>
        <v>12.8</v>
      </c>
      <c r="O1400" s="41" t="n">
        <f aca="false">IFERROR(INDEX(Исходные!$B$21:$B$33,MATCH(H1400,Исходные!$A$21:$A$33,0)),0)</f>
        <v>0.617</v>
      </c>
      <c r="P1400" s="83" t="n">
        <f aca="false">N1400*O1400</f>
        <v>7.8976</v>
      </c>
      <c r="Q1400" s="20" t="s">
        <v>705</v>
      </c>
      <c r="R1400" s="84" t="s">
        <v>514</v>
      </c>
      <c r="S1400" s="20"/>
      <c r="T1400" s="20" t="s">
        <v>123</v>
      </c>
      <c r="U1400" s="53" t="n">
        <v>0</v>
      </c>
      <c r="V1400" s="76" t="s">
        <v>657</v>
      </c>
      <c r="W1400" s="53" t="n">
        <v>4</v>
      </c>
    </row>
    <row r="1401" customFormat="false" ht="35.05" hidden="false" customHeight="false" outlineLevel="0" collapsed="false">
      <c r="A1401" s="76" t="n">
        <v>1369</v>
      </c>
      <c r="B1401" s="20" t="s">
        <v>1691</v>
      </c>
      <c r="C1401" s="20" t="s">
        <v>655</v>
      </c>
      <c r="D1401" s="20" t="s">
        <v>1731</v>
      </c>
      <c r="E1401" s="20" t="s">
        <v>657</v>
      </c>
      <c r="F1401" s="76" t="s">
        <v>706</v>
      </c>
      <c r="G1401" s="20" t="s">
        <v>1314</v>
      </c>
      <c r="H1401" s="55" t="n">
        <v>8</v>
      </c>
      <c r="I1401" s="76" t="s">
        <v>546</v>
      </c>
      <c r="J1401" s="76" t="s">
        <v>708</v>
      </c>
      <c r="K1401" s="82" t="n">
        <v>1</v>
      </c>
      <c r="L1401" s="55" t="n">
        <v>105</v>
      </c>
      <c r="M1401" s="73" t="n">
        <v>0.75</v>
      </c>
      <c r="N1401" s="74" t="n">
        <f aca="false">K1401*L1401*M1401</f>
        <v>78.75</v>
      </c>
      <c r="O1401" s="41" t="n">
        <f aca="false">IFERROR(INDEX(Исходные!$B$21:$B$33,MATCH(H1401,Исходные!$A$21:$A$33,0)),0)</f>
        <v>0.395</v>
      </c>
      <c r="P1401" s="83" t="n">
        <f aca="false">N1401*O1401</f>
        <v>31.10625</v>
      </c>
      <c r="Q1401" s="20" t="s">
        <v>709</v>
      </c>
      <c r="R1401" s="84" t="s">
        <v>514</v>
      </c>
      <c r="S1401" s="20"/>
      <c r="T1401" s="20" t="s">
        <v>123</v>
      </c>
      <c r="U1401" s="53" t="n">
        <v>0</v>
      </c>
      <c r="V1401" s="76" t="s">
        <v>657</v>
      </c>
      <c r="W1401" s="53" t="n">
        <v>4</v>
      </c>
    </row>
    <row r="1402" customFormat="false" ht="35.05" hidden="false" customHeight="false" outlineLevel="0" collapsed="false">
      <c r="A1402" s="76" t="n">
        <v>1370</v>
      </c>
      <c r="B1402" s="20" t="s">
        <v>1691</v>
      </c>
      <c r="C1402" s="20" t="s">
        <v>655</v>
      </c>
      <c r="D1402" s="20" t="s">
        <v>1731</v>
      </c>
      <c r="E1402" s="20" t="s">
        <v>657</v>
      </c>
      <c r="F1402" s="76" t="s">
        <v>710</v>
      </c>
      <c r="G1402" s="20" t="s">
        <v>1315</v>
      </c>
      <c r="H1402" s="55" t="n">
        <v>8</v>
      </c>
      <c r="I1402" s="76" t="s">
        <v>546</v>
      </c>
      <c r="J1402" s="76" t="n">
        <v>300</v>
      </c>
      <c r="K1402" s="82" t="n">
        <v>1</v>
      </c>
      <c r="L1402" s="55" t="n">
        <v>70</v>
      </c>
      <c r="M1402" s="73" t="n">
        <v>0.58</v>
      </c>
      <c r="N1402" s="74" t="n">
        <f aca="false">K1402*L1402*M1402</f>
        <v>40.6</v>
      </c>
      <c r="O1402" s="41" t="n">
        <f aca="false">IFERROR(INDEX(Исходные!$B$21:$B$33,MATCH(H1402,Исходные!$A$21:$A$33,0)),0)</f>
        <v>0.395</v>
      </c>
      <c r="P1402" s="83" t="n">
        <f aca="false">N1402*O1402</f>
        <v>16.037</v>
      </c>
      <c r="Q1402" s="20" t="s">
        <v>1316</v>
      </c>
      <c r="R1402" s="85" t="s">
        <v>638</v>
      </c>
      <c r="S1402" s="20"/>
      <c r="T1402" s="20" t="s">
        <v>123</v>
      </c>
      <c r="U1402" s="53" t="n">
        <v>1</v>
      </c>
      <c r="V1402" s="76" t="s">
        <v>657</v>
      </c>
      <c r="W1402" s="53" t="n">
        <v>4</v>
      </c>
    </row>
    <row r="1403" customFormat="false" ht="35.05" hidden="false" customHeight="false" outlineLevel="0" collapsed="false">
      <c r="A1403" s="76" t="n">
        <v>1371</v>
      </c>
      <c r="B1403" s="20" t="s">
        <v>1691</v>
      </c>
      <c r="C1403" s="20" t="s">
        <v>655</v>
      </c>
      <c r="D1403" s="20" t="s">
        <v>1745</v>
      </c>
      <c r="E1403" s="20" t="s">
        <v>715</v>
      </c>
      <c r="F1403" s="76" t="s">
        <v>519</v>
      </c>
      <c r="G1403" s="20" t="s">
        <v>658</v>
      </c>
      <c r="H1403" s="55" t="n">
        <v>28</v>
      </c>
      <c r="I1403" s="76" t="s">
        <v>512</v>
      </c>
      <c r="J1403" s="76" t="s">
        <v>164</v>
      </c>
      <c r="K1403" s="82" t="n">
        <v>1</v>
      </c>
      <c r="L1403" s="55" t="n">
        <v>4</v>
      </c>
      <c r="M1403" s="73" t="n">
        <v>25.5</v>
      </c>
      <c r="N1403" s="74" t="n">
        <f aca="false">K1403*L1403*M1403</f>
        <v>102</v>
      </c>
      <c r="O1403" s="41" t="n">
        <f aca="false">IFERROR(INDEX(Исходные!$B$21:$B$33,MATCH(H1403,Исходные!$A$21:$A$33,0)),0)</f>
        <v>4.834</v>
      </c>
      <c r="P1403" s="83" t="n">
        <f aca="false">N1403*O1403</f>
        <v>493.068</v>
      </c>
      <c r="Q1403" s="20" t="s">
        <v>1318</v>
      </c>
      <c r="R1403" s="84" t="s">
        <v>660</v>
      </c>
      <c r="S1403" s="20" t="s">
        <v>661</v>
      </c>
      <c r="T1403" s="20" t="s">
        <v>123</v>
      </c>
      <c r="U1403" s="53" t="n">
        <v>0</v>
      </c>
      <c r="V1403" s="76" t="s">
        <v>715</v>
      </c>
      <c r="W1403" s="53" t="n">
        <v>4</v>
      </c>
    </row>
    <row r="1404" customFormat="false" ht="35.05" hidden="false" customHeight="false" outlineLevel="0" collapsed="false">
      <c r="A1404" s="76" t="n">
        <v>1372</v>
      </c>
      <c r="B1404" s="20" t="s">
        <v>1691</v>
      </c>
      <c r="C1404" s="20" t="s">
        <v>655</v>
      </c>
      <c r="D1404" s="20" t="s">
        <v>1745</v>
      </c>
      <c r="E1404" s="20" t="s">
        <v>715</v>
      </c>
      <c r="F1404" s="76" t="s">
        <v>529</v>
      </c>
      <c r="G1404" s="20" t="s">
        <v>662</v>
      </c>
      <c r="H1404" s="55" t="n">
        <v>18</v>
      </c>
      <c r="I1404" s="76" t="s">
        <v>512</v>
      </c>
      <c r="J1404" s="76" t="s">
        <v>164</v>
      </c>
      <c r="K1404" s="82" t="n">
        <v>1</v>
      </c>
      <c r="L1404" s="55" t="n">
        <v>2</v>
      </c>
      <c r="M1404" s="73" t="n">
        <v>25.5</v>
      </c>
      <c r="N1404" s="74" t="n">
        <f aca="false">K1404*L1404*M1404</f>
        <v>51</v>
      </c>
      <c r="O1404" s="41" t="n">
        <f aca="false">IFERROR(INDEX(Исходные!$B$21:$B$33,MATCH(H1404,Исходные!$A$21:$A$33,0)),0)</f>
        <v>1.998</v>
      </c>
      <c r="P1404" s="83" t="n">
        <f aca="false">N1404*O1404</f>
        <v>101.898</v>
      </c>
      <c r="Q1404" s="20" t="s">
        <v>663</v>
      </c>
      <c r="R1404" s="84" t="s">
        <v>660</v>
      </c>
      <c r="S1404" s="20"/>
      <c r="T1404" s="20" t="s">
        <v>123</v>
      </c>
      <c r="U1404" s="53" t="n">
        <v>0</v>
      </c>
      <c r="V1404" s="76" t="s">
        <v>715</v>
      </c>
      <c r="W1404" s="53" t="n">
        <v>4</v>
      </c>
    </row>
    <row r="1405" customFormat="false" ht="35.05" hidden="false" customHeight="false" outlineLevel="0" collapsed="false">
      <c r="A1405" s="76" t="n">
        <v>1373</v>
      </c>
      <c r="B1405" s="20" t="s">
        <v>1691</v>
      </c>
      <c r="C1405" s="20" t="s">
        <v>655</v>
      </c>
      <c r="D1405" s="20" t="s">
        <v>1745</v>
      </c>
      <c r="E1405" s="20" t="s">
        <v>715</v>
      </c>
      <c r="F1405" s="76" t="s">
        <v>664</v>
      </c>
      <c r="G1405" s="20" t="s">
        <v>665</v>
      </c>
      <c r="H1405" s="55" t="n">
        <v>18</v>
      </c>
      <c r="I1405" s="76" t="s">
        <v>512</v>
      </c>
      <c r="J1405" s="76" t="s">
        <v>164</v>
      </c>
      <c r="K1405" s="82" t="n">
        <v>2</v>
      </c>
      <c r="L1405" s="55" t="n">
        <v>2</v>
      </c>
      <c r="M1405" s="73" t="n">
        <v>0.144</v>
      </c>
      <c r="N1405" s="74" t="n">
        <f aca="false">K1405*L1405*M1405</f>
        <v>0.576</v>
      </c>
      <c r="O1405" s="41" t="n">
        <f aca="false">IFERROR(INDEX(Исходные!$B$21:$B$33,MATCH(H1405,Исходные!$A$21:$A$33,0)),0)</f>
        <v>1.998</v>
      </c>
      <c r="P1405" s="83" t="n">
        <f aca="false">N1405*O1405</f>
        <v>1.150848</v>
      </c>
      <c r="Q1405" s="20" t="s">
        <v>666</v>
      </c>
      <c r="R1405" s="84" t="s">
        <v>667</v>
      </c>
      <c r="S1405" s="20" t="s">
        <v>668</v>
      </c>
      <c r="T1405" s="20" t="s">
        <v>123</v>
      </c>
      <c r="U1405" s="53" t="n">
        <v>0</v>
      </c>
      <c r="V1405" s="76" t="s">
        <v>715</v>
      </c>
      <c r="W1405" s="53" t="n">
        <v>4</v>
      </c>
    </row>
    <row r="1406" customFormat="false" ht="35.05" hidden="false" customHeight="false" outlineLevel="0" collapsed="false">
      <c r="A1406" s="76" t="n">
        <v>1374</v>
      </c>
      <c r="B1406" s="20" t="s">
        <v>1691</v>
      </c>
      <c r="C1406" s="20" t="s">
        <v>655</v>
      </c>
      <c r="D1406" s="20" t="s">
        <v>1745</v>
      </c>
      <c r="E1406" s="20" t="s">
        <v>715</v>
      </c>
      <c r="F1406" s="76" t="s">
        <v>669</v>
      </c>
      <c r="G1406" s="20" t="s">
        <v>670</v>
      </c>
      <c r="H1406" s="55" t="n">
        <v>16</v>
      </c>
      <c r="I1406" s="76" t="s">
        <v>512</v>
      </c>
      <c r="J1406" s="76" t="s">
        <v>164</v>
      </c>
      <c r="K1406" s="82" t="n">
        <v>1</v>
      </c>
      <c r="L1406" s="55" t="n">
        <v>2</v>
      </c>
      <c r="M1406" s="73" t="n">
        <v>25.5</v>
      </c>
      <c r="N1406" s="74" t="n">
        <f aca="false">K1406*L1406*M1406</f>
        <v>51</v>
      </c>
      <c r="O1406" s="41" t="n">
        <f aca="false">IFERROR(INDEX(Исходные!$B$21:$B$33,MATCH(H1406,Исходные!$A$21:$A$33,0)),0)</f>
        <v>1.578</v>
      </c>
      <c r="P1406" s="83" t="n">
        <f aca="false">N1406*O1406</f>
        <v>80.478</v>
      </c>
      <c r="Q1406" s="20" t="s">
        <v>671</v>
      </c>
      <c r="R1406" s="84" t="s">
        <v>660</v>
      </c>
      <c r="S1406" s="20"/>
      <c r="T1406" s="20" t="s">
        <v>123</v>
      </c>
      <c r="U1406" s="53" t="n">
        <v>0</v>
      </c>
      <c r="V1406" s="76" t="s">
        <v>715</v>
      </c>
      <c r="W1406" s="53" t="n">
        <v>4</v>
      </c>
    </row>
    <row r="1407" customFormat="false" ht="35.05" hidden="false" customHeight="false" outlineLevel="0" collapsed="false">
      <c r="A1407" s="76" t="n">
        <v>1375</v>
      </c>
      <c r="B1407" s="20" t="s">
        <v>1691</v>
      </c>
      <c r="C1407" s="20" t="s">
        <v>655</v>
      </c>
      <c r="D1407" s="20" t="s">
        <v>1745</v>
      </c>
      <c r="E1407" s="20" t="s">
        <v>715</v>
      </c>
      <c r="F1407" s="76" t="s">
        <v>672</v>
      </c>
      <c r="G1407" s="20" t="s">
        <v>673</v>
      </c>
      <c r="H1407" s="55" t="n">
        <v>16</v>
      </c>
      <c r="I1407" s="76" t="s">
        <v>512</v>
      </c>
      <c r="J1407" s="76" t="s">
        <v>164</v>
      </c>
      <c r="K1407" s="82" t="n">
        <v>2</v>
      </c>
      <c r="L1407" s="55" t="n">
        <v>2</v>
      </c>
      <c r="M1407" s="73" t="n">
        <v>0.128</v>
      </c>
      <c r="N1407" s="74" t="n">
        <f aca="false">K1407*L1407*M1407</f>
        <v>0.512</v>
      </c>
      <c r="O1407" s="41" t="n">
        <f aca="false">IFERROR(INDEX(Исходные!$B$21:$B$33,MATCH(H1407,Исходные!$A$21:$A$33,0)),0)</f>
        <v>1.578</v>
      </c>
      <c r="P1407" s="83" t="n">
        <f aca="false">N1407*O1407</f>
        <v>0.807936</v>
      </c>
      <c r="Q1407" s="20" t="s">
        <v>674</v>
      </c>
      <c r="R1407" s="84" t="s">
        <v>667</v>
      </c>
      <c r="S1407" s="20" t="s">
        <v>675</v>
      </c>
      <c r="T1407" s="20" t="s">
        <v>123</v>
      </c>
      <c r="U1407" s="53" t="n">
        <v>0</v>
      </c>
      <c r="V1407" s="76" t="s">
        <v>715</v>
      </c>
      <c r="W1407" s="53" t="n">
        <v>4</v>
      </c>
    </row>
    <row r="1408" customFormat="false" ht="35.05" hidden="false" customHeight="false" outlineLevel="0" collapsed="false">
      <c r="A1408" s="76" t="n">
        <v>1376</v>
      </c>
      <c r="B1408" s="20" t="s">
        <v>1691</v>
      </c>
      <c r="C1408" s="20" t="s">
        <v>655</v>
      </c>
      <c r="D1408" s="20" t="s">
        <v>1745</v>
      </c>
      <c r="E1408" s="20" t="s">
        <v>715</v>
      </c>
      <c r="F1408" s="76" t="s">
        <v>676</v>
      </c>
      <c r="G1408" s="20" t="s">
        <v>677</v>
      </c>
      <c r="H1408" s="55" t="n">
        <v>28</v>
      </c>
      <c r="I1408" s="76" t="s">
        <v>512</v>
      </c>
      <c r="J1408" s="76" t="s">
        <v>164</v>
      </c>
      <c r="K1408" s="82" t="n">
        <v>1</v>
      </c>
      <c r="L1408" s="55" t="n">
        <v>2</v>
      </c>
      <c r="M1408" s="73" t="n">
        <v>2.05</v>
      </c>
      <c r="N1408" s="74" t="n">
        <f aca="false">K1408*L1408*M1408</f>
        <v>4.1</v>
      </c>
      <c r="O1408" s="41" t="n">
        <f aca="false">IFERROR(INDEX(Исходные!$B$21:$B$33,MATCH(H1408,Исходные!$A$21:$A$33,0)),0)</f>
        <v>4.834</v>
      </c>
      <c r="P1408" s="83" t="n">
        <f aca="false">N1408*O1408</f>
        <v>19.8194</v>
      </c>
      <c r="Q1408" s="20" t="s">
        <v>1746</v>
      </c>
      <c r="R1408" s="84" t="s">
        <v>660</v>
      </c>
      <c r="S1408" s="20" t="s">
        <v>1295</v>
      </c>
      <c r="T1408" s="20" t="s">
        <v>123</v>
      </c>
      <c r="U1408" s="53" t="n">
        <v>0</v>
      </c>
      <c r="V1408" s="76" t="s">
        <v>715</v>
      </c>
      <c r="W1408" s="53" t="n">
        <v>4</v>
      </c>
    </row>
    <row r="1409" customFormat="false" ht="35.05" hidden="false" customHeight="false" outlineLevel="0" collapsed="false">
      <c r="A1409" s="76" t="n">
        <v>1377</v>
      </c>
      <c r="B1409" s="20" t="s">
        <v>1691</v>
      </c>
      <c r="C1409" s="20" t="s">
        <v>655</v>
      </c>
      <c r="D1409" s="20" t="s">
        <v>1745</v>
      </c>
      <c r="E1409" s="20" t="s">
        <v>715</v>
      </c>
      <c r="F1409" s="76" t="s">
        <v>676</v>
      </c>
      <c r="G1409" s="20" t="s">
        <v>1320</v>
      </c>
      <c r="H1409" s="55" t="n">
        <v>28</v>
      </c>
      <c r="I1409" s="76" t="s">
        <v>512</v>
      </c>
      <c r="J1409" s="76" t="s">
        <v>164</v>
      </c>
      <c r="K1409" s="82" t="n">
        <v>1</v>
      </c>
      <c r="L1409" s="55" t="n">
        <v>2</v>
      </c>
      <c r="M1409" s="73" t="n">
        <v>3.7</v>
      </c>
      <c r="N1409" s="74" t="n">
        <f aca="false">K1409*L1409*M1409</f>
        <v>7.4</v>
      </c>
      <c r="O1409" s="41" t="n">
        <f aca="false">IFERROR(INDEX(Исходные!$B$21:$B$33,MATCH(H1409,Исходные!$A$21:$A$33,0)),0)</f>
        <v>4.834</v>
      </c>
      <c r="P1409" s="83" t="n">
        <f aca="false">N1409*O1409</f>
        <v>35.7716</v>
      </c>
      <c r="Q1409" s="20" t="s">
        <v>1746</v>
      </c>
      <c r="R1409" s="84" t="s">
        <v>660</v>
      </c>
      <c r="S1409" s="20" t="s">
        <v>721</v>
      </c>
      <c r="T1409" s="20" t="s">
        <v>123</v>
      </c>
      <c r="U1409" s="53" t="n">
        <v>0</v>
      </c>
      <c r="V1409" s="76" t="s">
        <v>715</v>
      </c>
      <c r="W1409" s="53" t="n">
        <v>4</v>
      </c>
    </row>
    <row r="1410" customFormat="false" ht="35.05" hidden="false" customHeight="false" outlineLevel="0" collapsed="false">
      <c r="A1410" s="76" t="n">
        <v>1378</v>
      </c>
      <c r="B1410" s="20" t="s">
        <v>1691</v>
      </c>
      <c r="C1410" s="20" t="s">
        <v>655</v>
      </c>
      <c r="D1410" s="20" t="s">
        <v>1745</v>
      </c>
      <c r="E1410" s="20" t="s">
        <v>715</v>
      </c>
      <c r="F1410" s="76" t="s">
        <v>676</v>
      </c>
      <c r="G1410" s="20" t="s">
        <v>1598</v>
      </c>
      <c r="H1410" s="55" t="n">
        <v>20</v>
      </c>
      <c r="I1410" s="76" t="s">
        <v>512</v>
      </c>
      <c r="J1410" s="76" t="s">
        <v>164</v>
      </c>
      <c r="K1410" s="82" t="n">
        <v>1</v>
      </c>
      <c r="L1410" s="55" t="n">
        <v>2</v>
      </c>
      <c r="M1410" s="73" t="n">
        <v>3.7</v>
      </c>
      <c r="N1410" s="74" t="n">
        <f aca="false">K1410*L1410*M1410</f>
        <v>7.4</v>
      </c>
      <c r="O1410" s="41" t="n">
        <f aca="false">IFERROR(INDEX(Исходные!$B$21:$B$33,MATCH(H1410,Исходные!$A$21:$A$33,0)),0)</f>
        <v>2.466</v>
      </c>
      <c r="P1410" s="83" t="n">
        <f aca="false">N1410*O1410</f>
        <v>18.2484</v>
      </c>
      <c r="Q1410" s="20" t="s">
        <v>1747</v>
      </c>
      <c r="R1410" s="84" t="s">
        <v>660</v>
      </c>
      <c r="S1410" s="20" t="s">
        <v>721</v>
      </c>
      <c r="T1410" s="20" t="s">
        <v>123</v>
      </c>
      <c r="U1410" s="53" t="n">
        <v>0</v>
      </c>
      <c r="V1410" s="76" t="s">
        <v>715</v>
      </c>
      <c r="W1410" s="53" t="n">
        <v>4</v>
      </c>
    </row>
    <row r="1411" customFormat="false" ht="35.05" hidden="false" customHeight="false" outlineLevel="0" collapsed="false">
      <c r="A1411" s="76" t="n">
        <v>1379</v>
      </c>
      <c r="B1411" s="20" t="s">
        <v>1691</v>
      </c>
      <c r="C1411" s="20" t="s">
        <v>655</v>
      </c>
      <c r="D1411" s="20" t="s">
        <v>1745</v>
      </c>
      <c r="E1411" s="20" t="s">
        <v>715</v>
      </c>
      <c r="F1411" s="76" t="s">
        <v>676</v>
      </c>
      <c r="G1411" s="20" t="s">
        <v>722</v>
      </c>
      <c r="H1411" s="55" t="n">
        <v>28</v>
      </c>
      <c r="I1411" s="76" t="s">
        <v>512</v>
      </c>
      <c r="J1411" s="76" t="s">
        <v>164</v>
      </c>
      <c r="K1411" s="82" t="n">
        <v>1</v>
      </c>
      <c r="L1411" s="55" t="n">
        <v>2</v>
      </c>
      <c r="M1411" s="73" t="n">
        <v>3.7</v>
      </c>
      <c r="N1411" s="74" t="n">
        <f aca="false">K1411*L1411*M1411</f>
        <v>7.4</v>
      </c>
      <c r="O1411" s="41" t="n">
        <f aca="false">IFERROR(INDEX(Исходные!$B$21:$B$33,MATCH(H1411,Исходные!$A$21:$A$33,0)),0)</f>
        <v>4.834</v>
      </c>
      <c r="P1411" s="83" t="n">
        <f aca="false">N1411*O1411</f>
        <v>35.7716</v>
      </c>
      <c r="Q1411" s="20" t="s">
        <v>1746</v>
      </c>
      <c r="R1411" s="84" t="s">
        <v>660</v>
      </c>
      <c r="S1411" s="20" t="s">
        <v>724</v>
      </c>
      <c r="T1411" s="20" t="s">
        <v>123</v>
      </c>
      <c r="U1411" s="53" t="n">
        <v>0</v>
      </c>
      <c r="V1411" s="76" t="s">
        <v>715</v>
      </c>
      <c r="W1411" s="53" t="n">
        <v>4</v>
      </c>
    </row>
    <row r="1412" customFormat="false" ht="35.05" hidden="false" customHeight="false" outlineLevel="0" collapsed="false">
      <c r="A1412" s="76" t="n">
        <v>1380</v>
      </c>
      <c r="B1412" s="20" t="s">
        <v>1691</v>
      </c>
      <c r="C1412" s="20" t="s">
        <v>655</v>
      </c>
      <c r="D1412" s="20" t="s">
        <v>1745</v>
      </c>
      <c r="E1412" s="20" t="s">
        <v>715</v>
      </c>
      <c r="F1412" s="76" t="s">
        <v>676</v>
      </c>
      <c r="G1412" s="20" t="s">
        <v>725</v>
      </c>
      <c r="H1412" s="55" t="n">
        <v>28</v>
      </c>
      <c r="I1412" s="76" t="s">
        <v>512</v>
      </c>
      <c r="J1412" s="76" t="s">
        <v>164</v>
      </c>
      <c r="K1412" s="82" t="n">
        <v>1</v>
      </c>
      <c r="L1412" s="55" t="n">
        <v>2</v>
      </c>
      <c r="M1412" s="73" t="n">
        <v>3.6</v>
      </c>
      <c r="N1412" s="74" t="n">
        <f aca="false">K1412*L1412*M1412</f>
        <v>7.2</v>
      </c>
      <c r="O1412" s="41" t="n">
        <f aca="false">IFERROR(INDEX(Исходные!$B$21:$B$33,MATCH(H1412,Исходные!$A$21:$A$33,0)),0)</f>
        <v>4.834</v>
      </c>
      <c r="P1412" s="83" t="n">
        <f aca="false">N1412*O1412</f>
        <v>34.8048</v>
      </c>
      <c r="Q1412" s="20" t="s">
        <v>1746</v>
      </c>
      <c r="R1412" s="84" t="s">
        <v>660</v>
      </c>
      <c r="S1412" s="20" t="s">
        <v>726</v>
      </c>
      <c r="T1412" s="20" t="s">
        <v>123</v>
      </c>
      <c r="U1412" s="53" t="n">
        <v>0</v>
      </c>
      <c r="V1412" s="76" t="s">
        <v>715</v>
      </c>
      <c r="W1412" s="53" t="n">
        <v>4</v>
      </c>
    </row>
    <row r="1413" customFormat="false" ht="35.05" hidden="false" customHeight="false" outlineLevel="0" collapsed="false">
      <c r="A1413" s="76" t="n">
        <v>1381</v>
      </c>
      <c r="B1413" s="20" t="s">
        <v>1691</v>
      </c>
      <c r="C1413" s="20" t="s">
        <v>655</v>
      </c>
      <c r="D1413" s="20" t="s">
        <v>1745</v>
      </c>
      <c r="E1413" s="20" t="s">
        <v>715</v>
      </c>
      <c r="F1413" s="76" t="s">
        <v>676</v>
      </c>
      <c r="G1413" s="20" t="s">
        <v>1748</v>
      </c>
      <c r="H1413" s="55" t="n">
        <v>16</v>
      </c>
      <c r="I1413" s="76" t="s">
        <v>512</v>
      </c>
      <c r="J1413" s="76" t="s">
        <v>164</v>
      </c>
      <c r="K1413" s="82" t="n">
        <v>1</v>
      </c>
      <c r="L1413" s="55" t="n">
        <v>2</v>
      </c>
      <c r="M1413" s="73" t="n">
        <v>2.05</v>
      </c>
      <c r="N1413" s="74" t="n">
        <f aca="false">K1413*L1413*M1413</f>
        <v>4.1</v>
      </c>
      <c r="O1413" s="41" t="n">
        <f aca="false">IFERROR(INDEX(Исходные!$B$21:$B$33,MATCH(H1413,Исходные!$A$21:$A$33,0)),0)</f>
        <v>1.578</v>
      </c>
      <c r="P1413" s="83" t="n">
        <f aca="false">N1413*O1413</f>
        <v>6.4698</v>
      </c>
      <c r="Q1413" s="20" t="s">
        <v>1749</v>
      </c>
      <c r="R1413" s="84" t="s">
        <v>660</v>
      </c>
      <c r="S1413" s="20" t="s">
        <v>1324</v>
      </c>
      <c r="T1413" s="20" t="s">
        <v>123</v>
      </c>
      <c r="U1413" s="53" t="n">
        <v>0</v>
      </c>
      <c r="V1413" s="76" t="s">
        <v>715</v>
      </c>
      <c r="W1413" s="53" t="n">
        <v>4</v>
      </c>
    </row>
    <row r="1414" customFormat="false" ht="35.05" hidden="false" customHeight="false" outlineLevel="0" collapsed="false">
      <c r="A1414" s="76" t="n">
        <v>1382</v>
      </c>
      <c r="B1414" s="20" t="s">
        <v>1691</v>
      </c>
      <c r="C1414" s="20" t="s">
        <v>655</v>
      </c>
      <c r="D1414" s="20" t="s">
        <v>1745</v>
      </c>
      <c r="E1414" s="20" t="s">
        <v>715</v>
      </c>
      <c r="F1414" s="76" t="s">
        <v>676</v>
      </c>
      <c r="G1414" s="20" t="s">
        <v>729</v>
      </c>
      <c r="H1414" s="55" t="n">
        <v>16</v>
      </c>
      <c r="I1414" s="76" t="s">
        <v>512</v>
      </c>
      <c r="J1414" s="76" t="s">
        <v>164</v>
      </c>
      <c r="K1414" s="82" t="n">
        <v>1</v>
      </c>
      <c r="L1414" s="55" t="n">
        <v>2</v>
      </c>
      <c r="M1414" s="73" t="n">
        <v>2.9</v>
      </c>
      <c r="N1414" s="74" t="n">
        <f aca="false">K1414*L1414*M1414</f>
        <v>5.8</v>
      </c>
      <c r="O1414" s="41" t="n">
        <f aca="false">IFERROR(INDEX(Исходные!$B$21:$B$33,MATCH(H1414,Исходные!$A$21:$A$33,0)),0)</f>
        <v>1.578</v>
      </c>
      <c r="P1414" s="83" t="n">
        <f aca="false">N1414*O1414</f>
        <v>9.1524</v>
      </c>
      <c r="Q1414" s="20" t="s">
        <v>1749</v>
      </c>
      <c r="R1414" s="84" t="s">
        <v>660</v>
      </c>
      <c r="S1414" s="20" t="s">
        <v>731</v>
      </c>
      <c r="T1414" s="20" t="s">
        <v>123</v>
      </c>
      <c r="U1414" s="53" t="n">
        <v>0</v>
      </c>
      <c r="V1414" s="76" t="s">
        <v>715</v>
      </c>
      <c r="W1414" s="53" t="n">
        <v>4</v>
      </c>
    </row>
    <row r="1415" customFormat="false" ht="35.05" hidden="false" customHeight="false" outlineLevel="0" collapsed="false">
      <c r="A1415" s="76" t="n">
        <v>1383</v>
      </c>
      <c r="B1415" s="20" t="s">
        <v>1691</v>
      </c>
      <c r="C1415" s="20" t="s">
        <v>655</v>
      </c>
      <c r="D1415" s="20" t="s">
        <v>1745</v>
      </c>
      <c r="E1415" s="20" t="s">
        <v>715</v>
      </c>
      <c r="F1415" s="76" t="s">
        <v>676</v>
      </c>
      <c r="G1415" s="20" t="s">
        <v>732</v>
      </c>
      <c r="H1415" s="55" t="n">
        <v>22</v>
      </c>
      <c r="I1415" s="76" t="s">
        <v>512</v>
      </c>
      <c r="J1415" s="76" t="s">
        <v>164</v>
      </c>
      <c r="K1415" s="82" t="n">
        <v>1</v>
      </c>
      <c r="L1415" s="55" t="n">
        <v>2</v>
      </c>
      <c r="M1415" s="73" t="n">
        <v>3.2</v>
      </c>
      <c r="N1415" s="74" t="n">
        <f aca="false">K1415*L1415*M1415</f>
        <v>6.4</v>
      </c>
      <c r="O1415" s="41" t="n">
        <f aca="false">IFERROR(INDEX(Исходные!$B$21:$B$33,MATCH(H1415,Исходные!$A$21:$A$33,0)),0)</f>
        <v>2.984</v>
      </c>
      <c r="P1415" s="83" t="n">
        <f aca="false">N1415*O1415</f>
        <v>19.0976</v>
      </c>
      <c r="Q1415" s="20" t="s">
        <v>1750</v>
      </c>
      <c r="R1415" s="84" t="s">
        <v>660</v>
      </c>
      <c r="S1415" s="20" t="s">
        <v>734</v>
      </c>
      <c r="T1415" s="20" t="s">
        <v>123</v>
      </c>
      <c r="U1415" s="53" t="n">
        <v>0</v>
      </c>
      <c r="V1415" s="76" t="s">
        <v>715</v>
      </c>
      <c r="W1415" s="53" t="n">
        <v>4</v>
      </c>
    </row>
    <row r="1416" customFormat="false" ht="35.05" hidden="false" customHeight="false" outlineLevel="0" collapsed="false">
      <c r="A1416" s="76" t="n">
        <v>1384</v>
      </c>
      <c r="B1416" s="20" t="s">
        <v>1691</v>
      </c>
      <c r="C1416" s="20" t="s">
        <v>655</v>
      </c>
      <c r="D1416" s="20" t="s">
        <v>1745</v>
      </c>
      <c r="E1416" s="20" t="s">
        <v>715</v>
      </c>
      <c r="F1416" s="76" t="s">
        <v>676</v>
      </c>
      <c r="G1416" s="20" t="s">
        <v>1326</v>
      </c>
      <c r="H1416" s="55" t="n">
        <v>16</v>
      </c>
      <c r="I1416" s="76" t="s">
        <v>512</v>
      </c>
      <c r="J1416" s="76" t="s">
        <v>164</v>
      </c>
      <c r="K1416" s="82" t="n">
        <v>1</v>
      </c>
      <c r="L1416" s="55" t="n">
        <v>2</v>
      </c>
      <c r="M1416" s="73" t="n">
        <v>6.5</v>
      </c>
      <c r="N1416" s="74" t="n">
        <f aca="false">K1416*L1416*M1416</f>
        <v>13</v>
      </c>
      <c r="O1416" s="41" t="n">
        <f aca="false">IFERROR(INDEX(Исходные!$B$21:$B$33,MATCH(H1416,Исходные!$A$21:$A$33,0)),0)</f>
        <v>1.578</v>
      </c>
      <c r="P1416" s="83" t="n">
        <f aca="false">N1416*O1416</f>
        <v>20.514</v>
      </c>
      <c r="Q1416" s="20" t="s">
        <v>1749</v>
      </c>
      <c r="R1416" s="84" t="s">
        <v>660</v>
      </c>
      <c r="S1416" s="20" t="s">
        <v>1327</v>
      </c>
      <c r="T1416" s="20" t="s">
        <v>123</v>
      </c>
      <c r="U1416" s="53" t="n">
        <v>0</v>
      </c>
      <c r="V1416" s="76" t="s">
        <v>715</v>
      </c>
      <c r="W1416" s="53" t="n">
        <v>4</v>
      </c>
    </row>
    <row r="1417" customFormat="false" ht="35.05" hidden="false" customHeight="false" outlineLevel="0" collapsed="false">
      <c r="A1417" s="76" t="n">
        <v>1385</v>
      </c>
      <c r="B1417" s="20" t="s">
        <v>1691</v>
      </c>
      <c r="C1417" s="20" t="s">
        <v>655</v>
      </c>
      <c r="D1417" s="20" t="s">
        <v>1745</v>
      </c>
      <c r="E1417" s="20" t="s">
        <v>715</v>
      </c>
      <c r="F1417" s="76" t="s">
        <v>676</v>
      </c>
      <c r="G1417" s="20" t="s">
        <v>737</v>
      </c>
      <c r="H1417" s="55" t="n">
        <v>14</v>
      </c>
      <c r="I1417" s="76" t="s">
        <v>512</v>
      </c>
      <c r="J1417" s="76" t="s">
        <v>164</v>
      </c>
      <c r="K1417" s="82" t="n">
        <v>1</v>
      </c>
      <c r="L1417" s="55" t="n">
        <v>2</v>
      </c>
      <c r="M1417" s="73" t="n">
        <v>3.7</v>
      </c>
      <c r="N1417" s="74" t="n">
        <f aca="false">K1417*L1417*M1417</f>
        <v>7.4</v>
      </c>
      <c r="O1417" s="41" t="n">
        <f aca="false">IFERROR(INDEX(Исходные!$B$21:$B$33,MATCH(H1417,Исходные!$A$21:$A$33,0)),0)</f>
        <v>1.208</v>
      </c>
      <c r="P1417" s="83" t="n">
        <f aca="false">N1417*O1417</f>
        <v>8.9392</v>
      </c>
      <c r="Q1417" s="20" t="s">
        <v>1751</v>
      </c>
      <c r="R1417" s="84" t="s">
        <v>660</v>
      </c>
      <c r="S1417" s="20" t="s">
        <v>721</v>
      </c>
      <c r="T1417" s="20" t="s">
        <v>123</v>
      </c>
      <c r="U1417" s="53" t="n">
        <v>0</v>
      </c>
      <c r="V1417" s="76" t="s">
        <v>715</v>
      </c>
      <c r="W1417" s="53" t="n">
        <v>4</v>
      </c>
    </row>
    <row r="1418" customFormat="false" ht="35.05" hidden="false" customHeight="false" outlineLevel="0" collapsed="false">
      <c r="A1418" s="76" t="n">
        <v>1386</v>
      </c>
      <c r="B1418" s="20" t="s">
        <v>1691</v>
      </c>
      <c r="C1418" s="20" t="s">
        <v>655</v>
      </c>
      <c r="D1418" s="20" t="s">
        <v>1745</v>
      </c>
      <c r="E1418" s="20" t="s">
        <v>715</v>
      </c>
      <c r="F1418" s="76" t="s">
        <v>676</v>
      </c>
      <c r="G1418" s="20" t="s">
        <v>739</v>
      </c>
      <c r="H1418" s="55" t="n">
        <v>14</v>
      </c>
      <c r="I1418" s="76" t="s">
        <v>512</v>
      </c>
      <c r="J1418" s="76" t="s">
        <v>164</v>
      </c>
      <c r="K1418" s="82" t="n">
        <v>1</v>
      </c>
      <c r="L1418" s="55" t="n">
        <v>2</v>
      </c>
      <c r="M1418" s="73" t="n">
        <v>3.7</v>
      </c>
      <c r="N1418" s="74" t="n">
        <f aca="false">K1418*L1418*M1418</f>
        <v>7.4</v>
      </c>
      <c r="O1418" s="41" t="n">
        <f aca="false">IFERROR(INDEX(Исходные!$B$21:$B$33,MATCH(H1418,Исходные!$A$21:$A$33,0)),0)</f>
        <v>1.208</v>
      </c>
      <c r="P1418" s="83" t="n">
        <f aca="false">N1418*O1418</f>
        <v>8.9392</v>
      </c>
      <c r="Q1418" s="20" t="s">
        <v>1751</v>
      </c>
      <c r="R1418" s="84" t="s">
        <v>660</v>
      </c>
      <c r="S1418" s="20" t="s">
        <v>724</v>
      </c>
      <c r="T1418" s="20" t="s">
        <v>123</v>
      </c>
      <c r="U1418" s="53" t="n">
        <v>0</v>
      </c>
      <c r="V1418" s="76" t="s">
        <v>715</v>
      </c>
      <c r="W1418" s="53" t="n">
        <v>4</v>
      </c>
    </row>
    <row r="1419" customFormat="false" ht="35.05" hidden="false" customHeight="false" outlineLevel="0" collapsed="false">
      <c r="A1419" s="76" t="n">
        <v>1387</v>
      </c>
      <c r="B1419" s="20" t="s">
        <v>1691</v>
      </c>
      <c r="C1419" s="20" t="s">
        <v>655</v>
      </c>
      <c r="D1419" s="20" t="s">
        <v>1745</v>
      </c>
      <c r="E1419" s="20" t="s">
        <v>715</v>
      </c>
      <c r="F1419" s="76" t="s">
        <v>676</v>
      </c>
      <c r="G1419" s="20" t="s">
        <v>764</v>
      </c>
      <c r="H1419" s="55" t="n">
        <v>12</v>
      </c>
      <c r="I1419" s="76" t="s">
        <v>512</v>
      </c>
      <c r="J1419" s="76" t="s">
        <v>164</v>
      </c>
      <c r="K1419" s="82" t="n">
        <v>1</v>
      </c>
      <c r="L1419" s="55" t="n">
        <v>4</v>
      </c>
      <c r="M1419" s="73" t="n">
        <v>17.1</v>
      </c>
      <c r="N1419" s="74" t="n">
        <f aca="false">K1419*L1419*M1419</f>
        <v>68.4</v>
      </c>
      <c r="O1419" s="41" t="n">
        <f aca="false">IFERROR(INDEX(Исходные!$B$21:$B$33,MATCH(H1419,Исходные!$A$21:$A$33,0)),0)</f>
        <v>0.888</v>
      </c>
      <c r="P1419" s="83" t="n">
        <f aca="false">N1419*O1419</f>
        <v>60.7392</v>
      </c>
      <c r="Q1419" s="20" t="s">
        <v>1752</v>
      </c>
      <c r="R1419" s="84" t="s">
        <v>660</v>
      </c>
      <c r="S1419" s="20" t="s">
        <v>766</v>
      </c>
      <c r="T1419" s="20" t="s">
        <v>123</v>
      </c>
      <c r="U1419" s="53" t="n">
        <v>0</v>
      </c>
      <c r="V1419" s="76" t="s">
        <v>715</v>
      </c>
      <c r="W1419" s="53" t="n">
        <v>4</v>
      </c>
    </row>
    <row r="1420" customFormat="false" ht="35.05" hidden="false" customHeight="false" outlineLevel="0" collapsed="false">
      <c r="A1420" s="76" t="n">
        <v>1388</v>
      </c>
      <c r="B1420" s="20" t="s">
        <v>1691</v>
      </c>
      <c r="C1420" s="20" t="s">
        <v>655</v>
      </c>
      <c r="D1420" s="20" t="s">
        <v>1745</v>
      </c>
      <c r="E1420" s="20" t="s">
        <v>715</v>
      </c>
      <c r="F1420" s="76" t="s">
        <v>767</v>
      </c>
      <c r="G1420" s="20" t="s">
        <v>768</v>
      </c>
      <c r="H1420" s="55" t="n">
        <v>12</v>
      </c>
      <c r="I1420" s="76" t="s">
        <v>512</v>
      </c>
      <c r="J1420" s="76" t="s">
        <v>164</v>
      </c>
      <c r="K1420" s="82" t="n">
        <v>4</v>
      </c>
      <c r="L1420" s="55" t="n">
        <v>1</v>
      </c>
      <c r="M1420" s="73" t="n">
        <v>0.096</v>
      </c>
      <c r="N1420" s="74" t="n">
        <f aca="false">K1420*L1420*M1420</f>
        <v>0.384</v>
      </c>
      <c r="O1420" s="41" t="n">
        <f aca="false">IFERROR(INDEX(Исходные!$B$21:$B$33,MATCH(H1420,Исходные!$A$21:$A$33,0)),0)</f>
        <v>0.888</v>
      </c>
      <c r="P1420" s="83" t="n">
        <f aca="false">N1420*O1420</f>
        <v>0.340992</v>
      </c>
      <c r="Q1420" s="20" t="s">
        <v>769</v>
      </c>
      <c r="R1420" s="84" t="s">
        <v>667</v>
      </c>
      <c r="S1420" s="20" t="s">
        <v>770</v>
      </c>
      <c r="T1420" s="20" t="s">
        <v>123</v>
      </c>
      <c r="U1420" s="53" t="n">
        <v>0</v>
      </c>
      <c r="V1420" s="76" t="s">
        <v>715</v>
      </c>
      <c r="W1420" s="53" t="n">
        <v>4</v>
      </c>
    </row>
    <row r="1421" customFormat="false" ht="35.05" hidden="false" customHeight="false" outlineLevel="0" collapsed="false">
      <c r="A1421" s="76" t="n">
        <v>1389</v>
      </c>
      <c r="B1421" s="20" t="s">
        <v>1691</v>
      </c>
      <c r="C1421" s="20" t="s">
        <v>655</v>
      </c>
      <c r="D1421" s="20" t="s">
        <v>1745</v>
      </c>
      <c r="E1421" s="20" t="s">
        <v>715</v>
      </c>
      <c r="F1421" s="76" t="s">
        <v>696</v>
      </c>
      <c r="G1421" s="20" t="s">
        <v>1308</v>
      </c>
      <c r="H1421" s="55" t="n">
        <v>8</v>
      </c>
      <c r="I1421" s="76" t="s">
        <v>546</v>
      </c>
      <c r="J1421" s="76" t="s">
        <v>698</v>
      </c>
      <c r="K1421" s="82" t="n">
        <v>1</v>
      </c>
      <c r="L1421" s="55" t="n">
        <v>90</v>
      </c>
      <c r="M1421" s="73" t="n">
        <v>2.06</v>
      </c>
      <c r="N1421" s="74" t="n">
        <f aca="false">K1421*L1421*M1421</f>
        <v>185.4</v>
      </c>
      <c r="O1421" s="41" t="n">
        <f aca="false">IFERROR(INDEX(Исходные!$B$21:$B$33,MATCH(H1421,Исходные!$A$21:$A$33,0)),0)</f>
        <v>0.395</v>
      </c>
      <c r="P1421" s="83" t="n">
        <f aca="false">N1421*O1421</f>
        <v>73.233</v>
      </c>
      <c r="Q1421" s="20" t="s">
        <v>1309</v>
      </c>
      <c r="R1421" s="84" t="s">
        <v>514</v>
      </c>
      <c r="S1421" s="20" t="s">
        <v>1331</v>
      </c>
      <c r="T1421" s="20" t="s">
        <v>123</v>
      </c>
      <c r="U1421" s="53" t="n">
        <v>0</v>
      </c>
      <c r="V1421" s="76" t="s">
        <v>715</v>
      </c>
      <c r="W1421" s="53" t="n">
        <v>4</v>
      </c>
    </row>
    <row r="1422" customFormat="false" ht="35.05" hidden="false" customHeight="false" outlineLevel="0" collapsed="false">
      <c r="A1422" s="76" t="n">
        <v>1390</v>
      </c>
      <c r="B1422" s="20" t="s">
        <v>1691</v>
      </c>
      <c r="C1422" s="20" t="s">
        <v>655</v>
      </c>
      <c r="D1422" s="20" t="s">
        <v>1745</v>
      </c>
      <c r="E1422" s="20" t="s">
        <v>715</v>
      </c>
      <c r="F1422" s="76" t="s">
        <v>561</v>
      </c>
      <c r="G1422" s="20" t="s">
        <v>1311</v>
      </c>
      <c r="H1422" s="55" t="n">
        <v>10</v>
      </c>
      <c r="I1422" s="76" t="s">
        <v>546</v>
      </c>
      <c r="J1422" s="76" t="n">
        <v>100</v>
      </c>
      <c r="K1422" s="82" t="n">
        <v>1</v>
      </c>
      <c r="L1422" s="55" t="n">
        <v>105</v>
      </c>
      <c r="M1422" s="73" t="n">
        <v>2.06</v>
      </c>
      <c r="N1422" s="74" t="n">
        <f aca="false">K1422*L1422*M1422</f>
        <v>216.3</v>
      </c>
      <c r="O1422" s="41" t="n">
        <f aca="false">IFERROR(INDEX(Исходные!$B$21:$B$33,MATCH(H1422,Исходные!$A$21:$A$33,0)),0)</f>
        <v>0.617</v>
      </c>
      <c r="P1422" s="83" t="n">
        <f aca="false">N1422*O1422</f>
        <v>133.4571</v>
      </c>
      <c r="Q1422" s="20" t="s">
        <v>1753</v>
      </c>
      <c r="R1422" s="84" t="s">
        <v>514</v>
      </c>
      <c r="S1422" s="20" t="s">
        <v>1333</v>
      </c>
      <c r="T1422" s="20" t="s">
        <v>123</v>
      </c>
      <c r="U1422" s="53" t="n">
        <v>0</v>
      </c>
      <c r="V1422" s="76" t="s">
        <v>715</v>
      </c>
      <c r="W1422" s="53" t="n">
        <v>4</v>
      </c>
    </row>
    <row r="1423" customFormat="false" ht="35.05" hidden="false" customHeight="false" outlineLevel="0" collapsed="false">
      <c r="A1423" s="76" t="n">
        <v>1391</v>
      </c>
      <c r="B1423" s="20" t="s">
        <v>1691</v>
      </c>
      <c r="C1423" s="20" t="s">
        <v>655</v>
      </c>
      <c r="D1423" s="20" t="s">
        <v>1745</v>
      </c>
      <c r="E1423" s="20" t="s">
        <v>715</v>
      </c>
      <c r="F1423" s="76" t="s">
        <v>603</v>
      </c>
      <c r="G1423" s="20" t="s">
        <v>704</v>
      </c>
      <c r="H1423" s="55" t="n">
        <v>10</v>
      </c>
      <c r="I1423" s="76" t="s">
        <v>546</v>
      </c>
      <c r="J1423" s="76" t="n">
        <v>100</v>
      </c>
      <c r="K1423" s="82" t="n">
        <v>1</v>
      </c>
      <c r="L1423" s="55" t="n">
        <v>28</v>
      </c>
      <c r="M1423" s="73" t="n">
        <v>1.6</v>
      </c>
      <c r="N1423" s="74" t="n">
        <f aca="false">K1423*L1423*M1423</f>
        <v>44.8</v>
      </c>
      <c r="O1423" s="41" t="n">
        <f aca="false">IFERROR(INDEX(Исходные!$B$21:$B$33,MATCH(H1423,Исходные!$A$21:$A$33,0)),0)</f>
        <v>0.617</v>
      </c>
      <c r="P1423" s="83" t="n">
        <f aca="false">N1423*O1423</f>
        <v>27.6416</v>
      </c>
      <c r="Q1423" s="20" t="s">
        <v>747</v>
      </c>
      <c r="R1423" s="84" t="s">
        <v>514</v>
      </c>
      <c r="S1423" s="20"/>
      <c r="T1423" s="20" t="s">
        <v>123</v>
      </c>
      <c r="U1423" s="53" t="n">
        <v>0</v>
      </c>
      <c r="V1423" s="76" t="s">
        <v>715</v>
      </c>
      <c r="W1423" s="53" t="n">
        <v>4</v>
      </c>
    </row>
    <row r="1424" customFormat="false" ht="35.05" hidden="false" customHeight="false" outlineLevel="0" collapsed="false">
      <c r="A1424" s="76" t="n">
        <v>1392</v>
      </c>
      <c r="B1424" s="20" t="s">
        <v>1691</v>
      </c>
      <c r="C1424" s="20" t="s">
        <v>655</v>
      </c>
      <c r="D1424" s="20" t="s">
        <v>1745</v>
      </c>
      <c r="E1424" s="20" t="s">
        <v>715</v>
      </c>
      <c r="F1424" s="76" t="s">
        <v>706</v>
      </c>
      <c r="G1424" s="20" t="s">
        <v>1314</v>
      </c>
      <c r="H1424" s="55" t="n">
        <v>8</v>
      </c>
      <c r="I1424" s="76" t="s">
        <v>546</v>
      </c>
      <c r="J1424" s="76" t="s">
        <v>708</v>
      </c>
      <c r="K1424" s="82" t="n">
        <v>1</v>
      </c>
      <c r="L1424" s="55" t="n">
        <v>109</v>
      </c>
      <c r="M1424" s="73" t="n">
        <v>0.75</v>
      </c>
      <c r="N1424" s="74" t="n">
        <f aca="false">K1424*L1424*M1424</f>
        <v>81.75</v>
      </c>
      <c r="O1424" s="41" t="n">
        <f aca="false">IFERROR(INDEX(Исходные!$B$21:$B$33,MATCH(H1424,Исходные!$A$21:$A$33,0)),0)</f>
        <v>0.395</v>
      </c>
      <c r="P1424" s="83" t="n">
        <f aca="false">N1424*O1424</f>
        <v>32.29125</v>
      </c>
      <c r="Q1424" s="20" t="s">
        <v>709</v>
      </c>
      <c r="R1424" s="84" t="s">
        <v>514</v>
      </c>
      <c r="S1424" s="20"/>
      <c r="T1424" s="20" t="s">
        <v>123</v>
      </c>
      <c r="U1424" s="53" t="n">
        <v>0</v>
      </c>
      <c r="V1424" s="76" t="s">
        <v>715</v>
      </c>
      <c r="W1424" s="53" t="n">
        <v>4</v>
      </c>
    </row>
    <row r="1425" customFormat="false" ht="35.05" hidden="false" customHeight="false" outlineLevel="0" collapsed="false">
      <c r="A1425" s="76" t="n">
        <v>1393</v>
      </c>
      <c r="B1425" s="20" t="s">
        <v>1691</v>
      </c>
      <c r="C1425" s="20" t="s">
        <v>655</v>
      </c>
      <c r="D1425" s="20" t="s">
        <v>1745</v>
      </c>
      <c r="E1425" s="20" t="s">
        <v>715</v>
      </c>
      <c r="F1425" s="76" t="s">
        <v>710</v>
      </c>
      <c r="G1425" s="20" t="s">
        <v>1315</v>
      </c>
      <c r="H1425" s="55" t="n">
        <v>8</v>
      </c>
      <c r="I1425" s="76" t="s">
        <v>546</v>
      </c>
      <c r="J1425" s="76" t="n">
        <v>300</v>
      </c>
      <c r="K1425" s="82" t="n">
        <v>1</v>
      </c>
      <c r="L1425" s="55" t="n">
        <v>77</v>
      </c>
      <c r="M1425" s="73" t="n">
        <v>0.58</v>
      </c>
      <c r="N1425" s="74" t="n">
        <f aca="false">K1425*L1425*M1425</f>
        <v>44.66</v>
      </c>
      <c r="O1425" s="41" t="n">
        <f aca="false">IFERROR(INDEX(Исходные!$B$21:$B$33,MATCH(H1425,Исходные!$A$21:$A$33,0)),0)</f>
        <v>0.395</v>
      </c>
      <c r="P1425" s="83" t="n">
        <f aca="false">N1425*O1425</f>
        <v>17.6407</v>
      </c>
      <c r="Q1425" s="20" t="s">
        <v>1316</v>
      </c>
      <c r="R1425" s="85" t="s">
        <v>638</v>
      </c>
      <c r="S1425" s="20"/>
      <c r="T1425" s="20" t="s">
        <v>123</v>
      </c>
      <c r="U1425" s="53" t="n">
        <v>1</v>
      </c>
      <c r="V1425" s="76" t="s">
        <v>715</v>
      </c>
      <c r="W1425" s="53" t="n">
        <v>4</v>
      </c>
    </row>
    <row r="1426" customFormat="false" ht="35.05" hidden="false" customHeight="false" outlineLevel="0" collapsed="false">
      <c r="A1426" s="76" t="n">
        <v>1394</v>
      </c>
      <c r="B1426" s="20" t="s">
        <v>1691</v>
      </c>
      <c r="C1426" s="20" t="s">
        <v>655</v>
      </c>
      <c r="D1426" s="20" t="s">
        <v>1754</v>
      </c>
      <c r="E1426" s="20" t="s">
        <v>749</v>
      </c>
      <c r="F1426" s="76" t="s">
        <v>519</v>
      </c>
      <c r="G1426" s="20" t="s">
        <v>658</v>
      </c>
      <c r="H1426" s="55" t="n">
        <v>28</v>
      </c>
      <c r="I1426" s="76" t="s">
        <v>512</v>
      </c>
      <c r="J1426" s="76" t="s">
        <v>164</v>
      </c>
      <c r="K1426" s="82" t="n">
        <v>1</v>
      </c>
      <c r="L1426" s="55" t="n">
        <v>4</v>
      </c>
      <c r="M1426" s="73" t="n">
        <v>25.5</v>
      </c>
      <c r="N1426" s="74" t="n">
        <f aca="false">K1426*L1426*M1426</f>
        <v>102</v>
      </c>
      <c r="O1426" s="41" t="n">
        <f aca="false">IFERROR(INDEX(Исходные!$B$21:$B$33,MATCH(H1426,Исходные!$A$21:$A$33,0)),0)</f>
        <v>4.834</v>
      </c>
      <c r="P1426" s="83" t="n">
        <f aca="false">N1426*O1426</f>
        <v>493.068</v>
      </c>
      <c r="Q1426" s="20" t="s">
        <v>1335</v>
      </c>
      <c r="R1426" s="84" t="s">
        <v>660</v>
      </c>
      <c r="S1426" s="20" t="s">
        <v>661</v>
      </c>
      <c r="T1426" s="20" t="s">
        <v>123</v>
      </c>
      <c r="U1426" s="53" t="n">
        <v>0</v>
      </c>
      <c r="V1426" s="76" t="s">
        <v>749</v>
      </c>
      <c r="W1426" s="53" t="n">
        <v>4</v>
      </c>
    </row>
    <row r="1427" customFormat="false" ht="35.05" hidden="false" customHeight="false" outlineLevel="0" collapsed="false">
      <c r="A1427" s="76" t="n">
        <v>1395</v>
      </c>
      <c r="B1427" s="20" t="s">
        <v>1691</v>
      </c>
      <c r="C1427" s="20" t="s">
        <v>655</v>
      </c>
      <c r="D1427" s="20" t="s">
        <v>1754</v>
      </c>
      <c r="E1427" s="20" t="s">
        <v>749</v>
      </c>
      <c r="F1427" s="76" t="s">
        <v>529</v>
      </c>
      <c r="G1427" s="20" t="s">
        <v>662</v>
      </c>
      <c r="H1427" s="55" t="n">
        <v>18</v>
      </c>
      <c r="I1427" s="76" t="s">
        <v>512</v>
      </c>
      <c r="J1427" s="76" t="s">
        <v>164</v>
      </c>
      <c r="K1427" s="82" t="n">
        <v>1</v>
      </c>
      <c r="L1427" s="55" t="n">
        <v>2</v>
      </c>
      <c r="M1427" s="73" t="n">
        <v>25.5</v>
      </c>
      <c r="N1427" s="74" t="n">
        <f aca="false">K1427*L1427*M1427</f>
        <v>51</v>
      </c>
      <c r="O1427" s="41" t="n">
        <f aca="false">IFERROR(INDEX(Исходные!$B$21:$B$33,MATCH(H1427,Исходные!$A$21:$A$33,0)),0)</f>
        <v>1.998</v>
      </c>
      <c r="P1427" s="83" t="n">
        <f aca="false">N1427*O1427</f>
        <v>101.898</v>
      </c>
      <c r="Q1427" s="20" t="s">
        <v>663</v>
      </c>
      <c r="R1427" s="84" t="s">
        <v>660</v>
      </c>
      <c r="S1427" s="20"/>
      <c r="T1427" s="20" t="s">
        <v>123</v>
      </c>
      <c r="U1427" s="53" t="n">
        <v>0</v>
      </c>
      <c r="V1427" s="76" t="s">
        <v>749</v>
      </c>
      <c r="W1427" s="53" t="n">
        <v>4</v>
      </c>
    </row>
    <row r="1428" customFormat="false" ht="35.05" hidden="false" customHeight="false" outlineLevel="0" collapsed="false">
      <c r="A1428" s="76" t="n">
        <v>1396</v>
      </c>
      <c r="B1428" s="20" t="s">
        <v>1691</v>
      </c>
      <c r="C1428" s="20" t="s">
        <v>655</v>
      </c>
      <c r="D1428" s="20" t="s">
        <v>1754</v>
      </c>
      <c r="E1428" s="20" t="s">
        <v>749</v>
      </c>
      <c r="F1428" s="76" t="s">
        <v>664</v>
      </c>
      <c r="G1428" s="20" t="s">
        <v>665</v>
      </c>
      <c r="H1428" s="55" t="n">
        <v>18</v>
      </c>
      <c r="I1428" s="76" t="s">
        <v>512</v>
      </c>
      <c r="J1428" s="76" t="s">
        <v>164</v>
      </c>
      <c r="K1428" s="82" t="n">
        <v>2</v>
      </c>
      <c r="L1428" s="55" t="n">
        <v>2</v>
      </c>
      <c r="M1428" s="73" t="n">
        <v>0.144</v>
      </c>
      <c r="N1428" s="74" t="n">
        <f aca="false">K1428*L1428*M1428</f>
        <v>0.576</v>
      </c>
      <c r="O1428" s="41" t="n">
        <f aca="false">IFERROR(INDEX(Исходные!$B$21:$B$33,MATCH(H1428,Исходные!$A$21:$A$33,0)),0)</f>
        <v>1.998</v>
      </c>
      <c r="P1428" s="83" t="n">
        <f aca="false">N1428*O1428</f>
        <v>1.150848</v>
      </c>
      <c r="Q1428" s="20" t="s">
        <v>666</v>
      </c>
      <c r="R1428" s="84" t="s">
        <v>667</v>
      </c>
      <c r="S1428" s="20" t="s">
        <v>668</v>
      </c>
      <c r="T1428" s="20" t="s">
        <v>123</v>
      </c>
      <c r="U1428" s="53" t="n">
        <v>0</v>
      </c>
      <c r="V1428" s="76" t="s">
        <v>749</v>
      </c>
      <c r="W1428" s="53" t="n">
        <v>4</v>
      </c>
    </row>
    <row r="1429" customFormat="false" ht="35.05" hidden="false" customHeight="false" outlineLevel="0" collapsed="false">
      <c r="A1429" s="76" t="n">
        <v>1397</v>
      </c>
      <c r="B1429" s="20" t="s">
        <v>1691</v>
      </c>
      <c r="C1429" s="20" t="s">
        <v>655</v>
      </c>
      <c r="D1429" s="20" t="s">
        <v>1754</v>
      </c>
      <c r="E1429" s="20" t="s">
        <v>749</v>
      </c>
      <c r="F1429" s="76" t="s">
        <v>669</v>
      </c>
      <c r="G1429" s="20" t="s">
        <v>670</v>
      </c>
      <c r="H1429" s="55" t="n">
        <v>16</v>
      </c>
      <c r="I1429" s="76" t="s">
        <v>512</v>
      </c>
      <c r="J1429" s="76" t="s">
        <v>164</v>
      </c>
      <c r="K1429" s="82" t="n">
        <v>1</v>
      </c>
      <c r="L1429" s="55" t="n">
        <v>2</v>
      </c>
      <c r="M1429" s="73" t="n">
        <v>25.5</v>
      </c>
      <c r="N1429" s="74" t="n">
        <f aca="false">K1429*L1429*M1429</f>
        <v>51</v>
      </c>
      <c r="O1429" s="41" t="n">
        <f aca="false">IFERROR(INDEX(Исходные!$B$21:$B$33,MATCH(H1429,Исходные!$A$21:$A$33,0)),0)</f>
        <v>1.578</v>
      </c>
      <c r="P1429" s="83" t="n">
        <f aca="false">N1429*O1429</f>
        <v>80.478</v>
      </c>
      <c r="Q1429" s="20" t="s">
        <v>671</v>
      </c>
      <c r="R1429" s="84" t="s">
        <v>660</v>
      </c>
      <c r="S1429" s="20"/>
      <c r="T1429" s="20" t="s">
        <v>123</v>
      </c>
      <c r="U1429" s="53" t="n">
        <v>0</v>
      </c>
      <c r="V1429" s="76" t="s">
        <v>749</v>
      </c>
      <c r="W1429" s="53" t="n">
        <v>4</v>
      </c>
    </row>
    <row r="1430" customFormat="false" ht="35.05" hidden="false" customHeight="false" outlineLevel="0" collapsed="false">
      <c r="A1430" s="76" t="n">
        <v>1398</v>
      </c>
      <c r="B1430" s="20" t="s">
        <v>1691</v>
      </c>
      <c r="C1430" s="20" t="s">
        <v>655</v>
      </c>
      <c r="D1430" s="20" t="s">
        <v>1754</v>
      </c>
      <c r="E1430" s="20" t="s">
        <v>749</v>
      </c>
      <c r="F1430" s="76" t="s">
        <v>672</v>
      </c>
      <c r="G1430" s="20" t="s">
        <v>673</v>
      </c>
      <c r="H1430" s="55" t="n">
        <v>16</v>
      </c>
      <c r="I1430" s="76" t="s">
        <v>512</v>
      </c>
      <c r="J1430" s="76" t="s">
        <v>164</v>
      </c>
      <c r="K1430" s="82" t="n">
        <v>2</v>
      </c>
      <c r="L1430" s="55" t="n">
        <v>2</v>
      </c>
      <c r="M1430" s="73" t="n">
        <v>0.128</v>
      </c>
      <c r="N1430" s="74" t="n">
        <f aca="false">K1430*L1430*M1430</f>
        <v>0.512</v>
      </c>
      <c r="O1430" s="41" t="n">
        <f aca="false">IFERROR(INDEX(Исходные!$B$21:$B$33,MATCH(H1430,Исходные!$A$21:$A$33,0)),0)</f>
        <v>1.578</v>
      </c>
      <c r="P1430" s="83" t="n">
        <f aca="false">N1430*O1430</f>
        <v>0.807936</v>
      </c>
      <c r="Q1430" s="20" t="s">
        <v>674</v>
      </c>
      <c r="R1430" s="84" t="s">
        <v>667</v>
      </c>
      <c r="S1430" s="20" t="s">
        <v>675</v>
      </c>
      <c r="T1430" s="20" t="s">
        <v>123</v>
      </c>
      <c r="U1430" s="53" t="n">
        <v>0</v>
      </c>
      <c r="V1430" s="76" t="s">
        <v>749</v>
      </c>
      <c r="W1430" s="53" t="n">
        <v>4</v>
      </c>
    </row>
    <row r="1431" customFormat="false" ht="35.05" hidden="false" customHeight="false" outlineLevel="0" collapsed="false">
      <c r="A1431" s="76" t="n">
        <v>1399</v>
      </c>
      <c r="B1431" s="20" t="s">
        <v>1691</v>
      </c>
      <c r="C1431" s="20" t="s">
        <v>655</v>
      </c>
      <c r="D1431" s="20" t="s">
        <v>1754</v>
      </c>
      <c r="E1431" s="20" t="s">
        <v>749</v>
      </c>
      <c r="F1431" s="76" t="s">
        <v>676</v>
      </c>
      <c r="G1431" s="20" t="s">
        <v>677</v>
      </c>
      <c r="H1431" s="55" t="n">
        <v>28</v>
      </c>
      <c r="I1431" s="76" t="s">
        <v>512</v>
      </c>
      <c r="J1431" s="76" t="s">
        <v>164</v>
      </c>
      <c r="K1431" s="82" t="n">
        <v>1</v>
      </c>
      <c r="L1431" s="55" t="n">
        <v>2</v>
      </c>
      <c r="M1431" s="73" t="n">
        <v>2.05</v>
      </c>
      <c r="N1431" s="74" t="n">
        <f aca="false">K1431*L1431*M1431</f>
        <v>4.1</v>
      </c>
      <c r="O1431" s="41" t="n">
        <f aca="false">IFERROR(INDEX(Исходные!$B$21:$B$33,MATCH(H1431,Исходные!$A$21:$A$33,0)),0)</f>
        <v>4.834</v>
      </c>
      <c r="P1431" s="83" t="n">
        <f aca="false">N1431*O1431</f>
        <v>19.8194</v>
      </c>
      <c r="Q1431" s="20" t="s">
        <v>1755</v>
      </c>
      <c r="R1431" s="84" t="s">
        <v>660</v>
      </c>
      <c r="S1431" s="20" t="s">
        <v>1295</v>
      </c>
      <c r="T1431" s="20" t="s">
        <v>123</v>
      </c>
      <c r="U1431" s="53" t="n">
        <v>0</v>
      </c>
      <c r="V1431" s="76" t="s">
        <v>749</v>
      </c>
      <c r="W1431" s="53" t="n">
        <v>4</v>
      </c>
    </row>
    <row r="1432" customFormat="false" ht="35.05" hidden="false" customHeight="false" outlineLevel="0" collapsed="false">
      <c r="A1432" s="76" t="n">
        <v>1400</v>
      </c>
      <c r="B1432" s="20" t="s">
        <v>1691</v>
      </c>
      <c r="C1432" s="20" t="s">
        <v>655</v>
      </c>
      <c r="D1432" s="20" t="s">
        <v>1754</v>
      </c>
      <c r="E1432" s="20" t="s">
        <v>749</v>
      </c>
      <c r="F1432" s="76" t="s">
        <v>676</v>
      </c>
      <c r="G1432" s="20" t="s">
        <v>1320</v>
      </c>
      <c r="H1432" s="55" t="n">
        <v>28</v>
      </c>
      <c r="I1432" s="76" t="s">
        <v>512</v>
      </c>
      <c r="J1432" s="76" t="s">
        <v>164</v>
      </c>
      <c r="K1432" s="82" t="n">
        <v>1</v>
      </c>
      <c r="L1432" s="55" t="n">
        <v>2</v>
      </c>
      <c r="M1432" s="73" t="n">
        <v>3.7</v>
      </c>
      <c r="N1432" s="74" t="n">
        <f aca="false">K1432*L1432*M1432</f>
        <v>7.4</v>
      </c>
      <c r="O1432" s="41" t="n">
        <f aca="false">IFERROR(INDEX(Исходные!$B$21:$B$33,MATCH(H1432,Исходные!$A$21:$A$33,0)),0)</f>
        <v>4.834</v>
      </c>
      <c r="P1432" s="83" t="n">
        <f aca="false">N1432*O1432</f>
        <v>35.7716</v>
      </c>
      <c r="Q1432" s="20" t="s">
        <v>1755</v>
      </c>
      <c r="R1432" s="84" t="s">
        <v>660</v>
      </c>
      <c r="S1432" s="20" t="s">
        <v>721</v>
      </c>
      <c r="T1432" s="20" t="s">
        <v>123</v>
      </c>
      <c r="U1432" s="53" t="n">
        <v>0</v>
      </c>
      <c r="V1432" s="76" t="s">
        <v>749</v>
      </c>
      <c r="W1432" s="53" t="n">
        <v>4</v>
      </c>
    </row>
    <row r="1433" customFormat="false" ht="35.05" hidden="false" customHeight="false" outlineLevel="0" collapsed="false">
      <c r="A1433" s="76" t="n">
        <v>1401</v>
      </c>
      <c r="B1433" s="20" t="s">
        <v>1691</v>
      </c>
      <c r="C1433" s="20" t="s">
        <v>655</v>
      </c>
      <c r="D1433" s="20" t="s">
        <v>1754</v>
      </c>
      <c r="E1433" s="20" t="s">
        <v>749</v>
      </c>
      <c r="F1433" s="76" t="s">
        <v>676</v>
      </c>
      <c r="G1433" s="20" t="s">
        <v>1608</v>
      </c>
      <c r="H1433" s="55" t="n">
        <v>25</v>
      </c>
      <c r="I1433" s="76" t="s">
        <v>512</v>
      </c>
      <c r="J1433" s="76" t="s">
        <v>164</v>
      </c>
      <c r="K1433" s="82" t="n">
        <v>1</v>
      </c>
      <c r="L1433" s="55" t="n">
        <v>2</v>
      </c>
      <c r="M1433" s="73" t="n">
        <v>3.7</v>
      </c>
      <c r="N1433" s="74" t="n">
        <f aca="false">K1433*L1433*M1433</f>
        <v>7.4</v>
      </c>
      <c r="O1433" s="41" t="n">
        <f aca="false">IFERROR(INDEX(Исходные!$B$21:$B$33,MATCH(H1433,Исходные!$A$21:$A$33,0)),0)</f>
        <v>3.853</v>
      </c>
      <c r="P1433" s="83" t="n">
        <f aca="false">N1433*O1433</f>
        <v>28.5122</v>
      </c>
      <c r="Q1433" s="20" t="s">
        <v>1756</v>
      </c>
      <c r="R1433" s="84" t="s">
        <v>660</v>
      </c>
      <c r="S1433" s="20" t="s">
        <v>721</v>
      </c>
      <c r="T1433" s="20" t="s">
        <v>123</v>
      </c>
      <c r="U1433" s="53" t="n">
        <v>0</v>
      </c>
      <c r="V1433" s="76" t="s">
        <v>749</v>
      </c>
      <c r="W1433" s="53" t="n">
        <v>4</v>
      </c>
    </row>
    <row r="1434" customFormat="false" ht="35.05" hidden="false" customHeight="false" outlineLevel="0" collapsed="false">
      <c r="A1434" s="76" t="n">
        <v>1402</v>
      </c>
      <c r="B1434" s="20" t="s">
        <v>1691</v>
      </c>
      <c r="C1434" s="20" t="s">
        <v>655</v>
      </c>
      <c r="D1434" s="20" t="s">
        <v>1754</v>
      </c>
      <c r="E1434" s="20" t="s">
        <v>749</v>
      </c>
      <c r="F1434" s="76" t="s">
        <v>676</v>
      </c>
      <c r="G1434" s="20" t="s">
        <v>753</v>
      </c>
      <c r="H1434" s="55" t="n">
        <v>32</v>
      </c>
      <c r="I1434" s="76" t="s">
        <v>512</v>
      </c>
      <c r="J1434" s="76" t="s">
        <v>164</v>
      </c>
      <c r="K1434" s="82" t="n">
        <v>1</v>
      </c>
      <c r="L1434" s="55" t="n">
        <v>2</v>
      </c>
      <c r="M1434" s="73" t="n">
        <v>3.7</v>
      </c>
      <c r="N1434" s="74" t="n">
        <f aca="false">K1434*L1434*M1434</f>
        <v>7.4</v>
      </c>
      <c r="O1434" s="41" t="n">
        <f aca="false">IFERROR(INDEX(Исходные!$B$21:$B$33,MATCH(H1434,Исходные!$A$21:$A$33,0)),0)</f>
        <v>6.313</v>
      </c>
      <c r="P1434" s="83" t="n">
        <f aca="false">N1434*O1434</f>
        <v>46.7162</v>
      </c>
      <c r="Q1434" s="20" t="s">
        <v>1757</v>
      </c>
      <c r="R1434" s="84" t="s">
        <v>660</v>
      </c>
      <c r="S1434" s="20" t="s">
        <v>724</v>
      </c>
      <c r="T1434" s="20" t="s">
        <v>123</v>
      </c>
      <c r="U1434" s="53" t="n">
        <v>0</v>
      </c>
      <c r="V1434" s="76" t="s">
        <v>749</v>
      </c>
      <c r="W1434" s="53" t="n">
        <v>4</v>
      </c>
    </row>
    <row r="1435" customFormat="false" ht="35.05" hidden="false" customHeight="false" outlineLevel="0" collapsed="false">
      <c r="A1435" s="76" t="n">
        <v>1403</v>
      </c>
      <c r="B1435" s="20" t="s">
        <v>1691</v>
      </c>
      <c r="C1435" s="20" t="s">
        <v>655</v>
      </c>
      <c r="D1435" s="20" t="s">
        <v>1754</v>
      </c>
      <c r="E1435" s="20" t="s">
        <v>749</v>
      </c>
      <c r="F1435" s="76" t="s">
        <v>676</v>
      </c>
      <c r="G1435" s="20" t="s">
        <v>1758</v>
      </c>
      <c r="H1435" s="55" t="n">
        <v>25</v>
      </c>
      <c r="I1435" s="76" t="s">
        <v>512</v>
      </c>
      <c r="J1435" s="76" t="s">
        <v>164</v>
      </c>
      <c r="K1435" s="82" t="n">
        <v>1</v>
      </c>
      <c r="L1435" s="55" t="n">
        <v>2</v>
      </c>
      <c r="M1435" s="73" t="n">
        <v>3.6</v>
      </c>
      <c r="N1435" s="74" t="n">
        <f aca="false">K1435*L1435*M1435</f>
        <v>7.2</v>
      </c>
      <c r="O1435" s="41" t="n">
        <f aca="false">IFERROR(INDEX(Исходные!$B$21:$B$33,MATCH(H1435,Исходные!$A$21:$A$33,0)),0)</f>
        <v>3.853</v>
      </c>
      <c r="P1435" s="83" t="n">
        <f aca="false">N1435*O1435</f>
        <v>27.7416</v>
      </c>
      <c r="Q1435" s="20" t="s">
        <v>1756</v>
      </c>
      <c r="R1435" s="84" t="s">
        <v>660</v>
      </c>
      <c r="S1435" s="20" t="s">
        <v>726</v>
      </c>
      <c r="T1435" s="20" t="s">
        <v>123</v>
      </c>
      <c r="U1435" s="53" t="n">
        <v>0</v>
      </c>
      <c r="V1435" s="76" t="s">
        <v>749</v>
      </c>
      <c r="W1435" s="53" t="n">
        <v>4</v>
      </c>
    </row>
    <row r="1436" customFormat="false" ht="35.05" hidden="false" customHeight="false" outlineLevel="0" collapsed="false">
      <c r="A1436" s="76" t="n">
        <v>1404</v>
      </c>
      <c r="B1436" s="20" t="s">
        <v>1691</v>
      </c>
      <c r="C1436" s="20" t="s">
        <v>655</v>
      </c>
      <c r="D1436" s="20" t="s">
        <v>1754</v>
      </c>
      <c r="E1436" s="20" t="s">
        <v>749</v>
      </c>
      <c r="F1436" s="76" t="s">
        <v>676</v>
      </c>
      <c r="G1436" s="20" t="s">
        <v>1748</v>
      </c>
      <c r="H1436" s="55" t="n">
        <v>16</v>
      </c>
      <c r="I1436" s="76" t="s">
        <v>512</v>
      </c>
      <c r="J1436" s="76" t="s">
        <v>164</v>
      </c>
      <c r="K1436" s="82" t="n">
        <v>1</v>
      </c>
      <c r="L1436" s="55" t="n">
        <v>2</v>
      </c>
      <c r="M1436" s="73" t="n">
        <v>2.05</v>
      </c>
      <c r="N1436" s="74" t="n">
        <f aca="false">K1436*L1436*M1436</f>
        <v>4.1</v>
      </c>
      <c r="O1436" s="41" t="n">
        <f aca="false">IFERROR(INDEX(Исходные!$B$21:$B$33,MATCH(H1436,Исходные!$A$21:$A$33,0)),0)</f>
        <v>1.578</v>
      </c>
      <c r="P1436" s="83" t="n">
        <f aca="false">N1436*O1436</f>
        <v>6.4698</v>
      </c>
      <c r="Q1436" s="20" t="s">
        <v>1759</v>
      </c>
      <c r="R1436" s="84" t="s">
        <v>660</v>
      </c>
      <c r="S1436" s="20" t="s">
        <v>1324</v>
      </c>
      <c r="T1436" s="20" t="s">
        <v>123</v>
      </c>
      <c r="U1436" s="53" t="n">
        <v>0</v>
      </c>
      <c r="V1436" s="76" t="s">
        <v>749</v>
      </c>
      <c r="W1436" s="53" t="n">
        <v>4</v>
      </c>
    </row>
    <row r="1437" customFormat="false" ht="35.05" hidden="false" customHeight="false" outlineLevel="0" collapsed="false">
      <c r="A1437" s="76" t="n">
        <v>1405</v>
      </c>
      <c r="B1437" s="20" t="s">
        <v>1691</v>
      </c>
      <c r="C1437" s="20" t="s">
        <v>655</v>
      </c>
      <c r="D1437" s="20" t="s">
        <v>1754</v>
      </c>
      <c r="E1437" s="20" t="s">
        <v>749</v>
      </c>
      <c r="F1437" s="76" t="s">
        <v>676</v>
      </c>
      <c r="G1437" s="20" t="s">
        <v>755</v>
      </c>
      <c r="H1437" s="55" t="n">
        <v>14</v>
      </c>
      <c r="I1437" s="76" t="s">
        <v>512</v>
      </c>
      <c r="J1437" s="76" t="s">
        <v>164</v>
      </c>
      <c r="K1437" s="82" t="n">
        <v>1</v>
      </c>
      <c r="L1437" s="55" t="n">
        <v>2</v>
      </c>
      <c r="M1437" s="73" t="n">
        <v>4.2</v>
      </c>
      <c r="N1437" s="74" t="n">
        <f aca="false">K1437*L1437*M1437</f>
        <v>8.4</v>
      </c>
      <c r="O1437" s="41" t="n">
        <f aca="false">IFERROR(INDEX(Исходные!$B$21:$B$33,MATCH(H1437,Исходные!$A$21:$A$33,0)),0)</f>
        <v>1.208</v>
      </c>
      <c r="P1437" s="83" t="n">
        <f aca="false">N1437*O1437</f>
        <v>10.1472</v>
      </c>
      <c r="Q1437" s="20" t="s">
        <v>1760</v>
      </c>
      <c r="R1437" s="84" t="s">
        <v>660</v>
      </c>
      <c r="S1437" s="20" t="s">
        <v>757</v>
      </c>
      <c r="T1437" s="20" t="s">
        <v>123</v>
      </c>
      <c r="U1437" s="53" t="n">
        <v>0</v>
      </c>
      <c r="V1437" s="76" t="s">
        <v>749</v>
      </c>
      <c r="W1437" s="53" t="n">
        <v>4</v>
      </c>
    </row>
    <row r="1438" customFormat="false" ht="35.05" hidden="false" customHeight="false" outlineLevel="0" collapsed="false">
      <c r="A1438" s="76" t="n">
        <v>1406</v>
      </c>
      <c r="B1438" s="20" t="s">
        <v>1691</v>
      </c>
      <c r="C1438" s="20" t="s">
        <v>655</v>
      </c>
      <c r="D1438" s="20" t="s">
        <v>1754</v>
      </c>
      <c r="E1438" s="20" t="s">
        <v>749</v>
      </c>
      <c r="F1438" s="76" t="s">
        <v>676</v>
      </c>
      <c r="G1438" s="20" t="s">
        <v>758</v>
      </c>
      <c r="H1438" s="55" t="n">
        <v>14</v>
      </c>
      <c r="I1438" s="76" t="s">
        <v>512</v>
      </c>
      <c r="J1438" s="76" t="s">
        <v>164</v>
      </c>
      <c r="K1438" s="82" t="n">
        <v>1</v>
      </c>
      <c r="L1438" s="55" t="n">
        <v>2</v>
      </c>
      <c r="M1438" s="73" t="n">
        <v>3.9</v>
      </c>
      <c r="N1438" s="74" t="n">
        <f aca="false">K1438*L1438*M1438</f>
        <v>7.8</v>
      </c>
      <c r="O1438" s="41" t="n">
        <f aca="false">IFERROR(INDEX(Исходные!$B$21:$B$33,MATCH(H1438,Исходные!$A$21:$A$33,0)),0)</f>
        <v>1.208</v>
      </c>
      <c r="P1438" s="83" t="n">
        <f aca="false">N1438*O1438</f>
        <v>9.4224</v>
      </c>
      <c r="Q1438" s="20" t="s">
        <v>1760</v>
      </c>
      <c r="R1438" s="84" t="s">
        <v>660</v>
      </c>
      <c r="S1438" s="20" t="s">
        <v>759</v>
      </c>
      <c r="T1438" s="20" t="s">
        <v>123</v>
      </c>
      <c r="U1438" s="53" t="n">
        <v>0</v>
      </c>
      <c r="V1438" s="76" t="s">
        <v>749</v>
      </c>
      <c r="W1438" s="53" t="n">
        <v>4</v>
      </c>
    </row>
    <row r="1439" customFormat="false" ht="35.05" hidden="false" customHeight="false" outlineLevel="0" collapsed="false">
      <c r="A1439" s="76" t="n">
        <v>1407</v>
      </c>
      <c r="B1439" s="20" t="s">
        <v>1691</v>
      </c>
      <c r="C1439" s="20" t="s">
        <v>655</v>
      </c>
      <c r="D1439" s="20" t="s">
        <v>1754</v>
      </c>
      <c r="E1439" s="20" t="s">
        <v>749</v>
      </c>
      <c r="F1439" s="76" t="s">
        <v>676</v>
      </c>
      <c r="G1439" s="20" t="s">
        <v>729</v>
      </c>
      <c r="H1439" s="55" t="n">
        <v>16</v>
      </c>
      <c r="I1439" s="76" t="s">
        <v>512</v>
      </c>
      <c r="J1439" s="76" t="s">
        <v>164</v>
      </c>
      <c r="K1439" s="82" t="n">
        <v>1</v>
      </c>
      <c r="L1439" s="55" t="n">
        <v>2</v>
      </c>
      <c r="M1439" s="73" t="n">
        <v>2.9</v>
      </c>
      <c r="N1439" s="74" t="n">
        <f aca="false">K1439*L1439*M1439</f>
        <v>5.8</v>
      </c>
      <c r="O1439" s="41" t="n">
        <f aca="false">IFERROR(INDEX(Исходные!$B$21:$B$33,MATCH(H1439,Исходные!$A$21:$A$33,0)),0)</f>
        <v>1.578</v>
      </c>
      <c r="P1439" s="83" t="n">
        <f aca="false">N1439*O1439</f>
        <v>9.1524</v>
      </c>
      <c r="Q1439" s="20" t="s">
        <v>1759</v>
      </c>
      <c r="R1439" s="84" t="s">
        <v>660</v>
      </c>
      <c r="S1439" s="20" t="s">
        <v>731</v>
      </c>
      <c r="T1439" s="20" t="s">
        <v>123</v>
      </c>
      <c r="U1439" s="53" t="n">
        <v>0</v>
      </c>
      <c r="V1439" s="76" t="s">
        <v>749</v>
      </c>
      <c r="W1439" s="53" t="n">
        <v>4</v>
      </c>
    </row>
    <row r="1440" customFormat="false" ht="35.05" hidden="false" customHeight="false" outlineLevel="0" collapsed="false">
      <c r="A1440" s="76" t="n">
        <v>1408</v>
      </c>
      <c r="B1440" s="20" t="s">
        <v>1691</v>
      </c>
      <c r="C1440" s="20" t="s">
        <v>655</v>
      </c>
      <c r="D1440" s="20" t="s">
        <v>1754</v>
      </c>
      <c r="E1440" s="20" t="s">
        <v>749</v>
      </c>
      <c r="F1440" s="76" t="s">
        <v>676</v>
      </c>
      <c r="G1440" s="20" t="s">
        <v>732</v>
      </c>
      <c r="H1440" s="55" t="n">
        <v>22</v>
      </c>
      <c r="I1440" s="76" t="s">
        <v>512</v>
      </c>
      <c r="J1440" s="76" t="s">
        <v>164</v>
      </c>
      <c r="K1440" s="82" t="n">
        <v>1</v>
      </c>
      <c r="L1440" s="55" t="n">
        <v>2</v>
      </c>
      <c r="M1440" s="73" t="n">
        <v>3.2</v>
      </c>
      <c r="N1440" s="74" t="n">
        <f aca="false">K1440*L1440*M1440</f>
        <v>6.4</v>
      </c>
      <c r="O1440" s="41" t="n">
        <f aca="false">IFERROR(INDEX(Исходные!$B$21:$B$33,MATCH(H1440,Исходные!$A$21:$A$33,0)),0)</f>
        <v>2.984</v>
      </c>
      <c r="P1440" s="83" t="n">
        <f aca="false">N1440*O1440</f>
        <v>19.0976</v>
      </c>
      <c r="Q1440" s="20" t="s">
        <v>1761</v>
      </c>
      <c r="R1440" s="84" t="s">
        <v>660</v>
      </c>
      <c r="S1440" s="20" t="s">
        <v>734</v>
      </c>
      <c r="T1440" s="20" t="s">
        <v>123</v>
      </c>
      <c r="U1440" s="53" t="n">
        <v>0</v>
      </c>
      <c r="V1440" s="76" t="s">
        <v>749</v>
      </c>
      <c r="W1440" s="53" t="n">
        <v>4</v>
      </c>
    </row>
    <row r="1441" customFormat="false" ht="35.05" hidden="false" customHeight="false" outlineLevel="0" collapsed="false">
      <c r="A1441" s="76" t="n">
        <v>1409</v>
      </c>
      <c r="B1441" s="20" t="s">
        <v>1691</v>
      </c>
      <c r="C1441" s="20" t="s">
        <v>655</v>
      </c>
      <c r="D1441" s="20" t="s">
        <v>1754</v>
      </c>
      <c r="E1441" s="20" t="s">
        <v>749</v>
      </c>
      <c r="F1441" s="76" t="s">
        <v>676</v>
      </c>
      <c r="G1441" s="20" t="s">
        <v>1326</v>
      </c>
      <c r="H1441" s="55" t="n">
        <v>16</v>
      </c>
      <c r="I1441" s="76" t="s">
        <v>512</v>
      </c>
      <c r="J1441" s="76" t="s">
        <v>164</v>
      </c>
      <c r="K1441" s="82" t="n">
        <v>1</v>
      </c>
      <c r="L1441" s="55" t="n">
        <v>2</v>
      </c>
      <c r="M1441" s="73" t="n">
        <v>6.5</v>
      </c>
      <c r="N1441" s="74" t="n">
        <f aca="false">K1441*L1441*M1441</f>
        <v>13</v>
      </c>
      <c r="O1441" s="41" t="n">
        <f aca="false">IFERROR(INDEX(Исходные!$B$21:$B$33,MATCH(H1441,Исходные!$A$21:$A$33,0)),0)</f>
        <v>1.578</v>
      </c>
      <c r="P1441" s="83" t="n">
        <f aca="false">N1441*O1441</f>
        <v>20.514</v>
      </c>
      <c r="Q1441" s="20" t="s">
        <v>1759</v>
      </c>
      <c r="R1441" s="84" t="s">
        <v>660</v>
      </c>
      <c r="S1441" s="20" t="s">
        <v>1327</v>
      </c>
      <c r="T1441" s="20" t="s">
        <v>123</v>
      </c>
      <c r="U1441" s="53" t="n">
        <v>0</v>
      </c>
      <c r="V1441" s="76" t="s">
        <v>749</v>
      </c>
      <c r="W1441" s="53" t="n">
        <v>4</v>
      </c>
    </row>
    <row r="1442" customFormat="false" ht="35.05" hidden="false" customHeight="false" outlineLevel="0" collapsed="false">
      <c r="A1442" s="76" t="n">
        <v>1410</v>
      </c>
      <c r="B1442" s="20" t="s">
        <v>1691</v>
      </c>
      <c r="C1442" s="20" t="s">
        <v>655</v>
      </c>
      <c r="D1442" s="20" t="s">
        <v>1754</v>
      </c>
      <c r="E1442" s="20" t="s">
        <v>749</v>
      </c>
      <c r="F1442" s="76" t="s">
        <v>676</v>
      </c>
      <c r="G1442" s="20" t="s">
        <v>737</v>
      </c>
      <c r="H1442" s="55" t="n">
        <v>14</v>
      </c>
      <c r="I1442" s="76" t="s">
        <v>512</v>
      </c>
      <c r="J1442" s="76" t="s">
        <v>164</v>
      </c>
      <c r="K1442" s="82" t="n">
        <v>1</v>
      </c>
      <c r="L1442" s="55" t="n">
        <v>2</v>
      </c>
      <c r="M1442" s="73" t="n">
        <v>3.7</v>
      </c>
      <c r="N1442" s="74" t="n">
        <f aca="false">K1442*L1442*M1442</f>
        <v>7.4</v>
      </c>
      <c r="O1442" s="41" t="n">
        <f aca="false">IFERROR(INDEX(Исходные!$B$21:$B$33,MATCH(H1442,Исходные!$A$21:$A$33,0)),0)</f>
        <v>1.208</v>
      </c>
      <c r="P1442" s="83" t="n">
        <f aca="false">N1442*O1442</f>
        <v>8.9392</v>
      </c>
      <c r="Q1442" s="20" t="s">
        <v>1760</v>
      </c>
      <c r="R1442" s="84" t="s">
        <v>660</v>
      </c>
      <c r="S1442" s="20" t="s">
        <v>721</v>
      </c>
      <c r="T1442" s="20" t="s">
        <v>123</v>
      </c>
      <c r="U1442" s="53" t="n">
        <v>0</v>
      </c>
      <c r="V1442" s="76" t="s">
        <v>749</v>
      </c>
      <c r="W1442" s="53" t="n">
        <v>4</v>
      </c>
    </row>
    <row r="1443" customFormat="false" ht="35.05" hidden="false" customHeight="false" outlineLevel="0" collapsed="false">
      <c r="A1443" s="76" t="n">
        <v>1411</v>
      </c>
      <c r="B1443" s="20" t="s">
        <v>1691</v>
      </c>
      <c r="C1443" s="20" t="s">
        <v>655</v>
      </c>
      <c r="D1443" s="20" t="s">
        <v>1754</v>
      </c>
      <c r="E1443" s="20" t="s">
        <v>749</v>
      </c>
      <c r="F1443" s="76" t="s">
        <v>676</v>
      </c>
      <c r="G1443" s="20" t="s">
        <v>762</v>
      </c>
      <c r="H1443" s="55" t="n">
        <v>14</v>
      </c>
      <c r="I1443" s="76" t="s">
        <v>512</v>
      </c>
      <c r="J1443" s="76" t="s">
        <v>164</v>
      </c>
      <c r="K1443" s="82" t="n">
        <v>1</v>
      </c>
      <c r="L1443" s="55" t="n">
        <v>2</v>
      </c>
      <c r="M1443" s="73" t="n">
        <v>4.2</v>
      </c>
      <c r="N1443" s="74" t="n">
        <f aca="false">K1443*L1443*M1443</f>
        <v>8.4</v>
      </c>
      <c r="O1443" s="41" t="n">
        <f aca="false">IFERROR(INDEX(Исходные!$B$21:$B$33,MATCH(H1443,Исходные!$A$21:$A$33,0)),0)</f>
        <v>1.208</v>
      </c>
      <c r="P1443" s="83" t="n">
        <f aca="false">N1443*O1443</f>
        <v>10.1472</v>
      </c>
      <c r="Q1443" s="20" t="s">
        <v>1760</v>
      </c>
      <c r="R1443" s="84" t="s">
        <v>660</v>
      </c>
      <c r="S1443" s="20" t="s">
        <v>763</v>
      </c>
      <c r="T1443" s="20" t="s">
        <v>123</v>
      </c>
      <c r="U1443" s="53" t="n">
        <v>0</v>
      </c>
      <c r="V1443" s="76" t="s">
        <v>749</v>
      </c>
      <c r="W1443" s="53" t="n">
        <v>4</v>
      </c>
    </row>
    <row r="1444" customFormat="false" ht="35.05" hidden="false" customHeight="false" outlineLevel="0" collapsed="false">
      <c r="A1444" s="76" t="n">
        <v>1412</v>
      </c>
      <c r="B1444" s="20" t="s">
        <v>1691</v>
      </c>
      <c r="C1444" s="20" t="s">
        <v>655</v>
      </c>
      <c r="D1444" s="20" t="s">
        <v>1754</v>
      </c>
      <c r="E1444" s="20" t="s">
        <v>749</v>
      </c>
      <c r="F1444" s="76" t="s">
        <v>676</v>
      </c>
      <c r="G1444" s="20" t="s">
        <v>764</v>
      </c>
      <c r="H1444" s="55" t="n">
        <v>12</v>
      </c>
      <c r="I1444" s="76" t="s">
        <v>512</v>
      </c>
      <c r="J1444" s="76" t="s">
        <v>164</v>
      </c>
      <c r="K1444" s="82" t="n">
        <v>1</v>
      </c>
      <c r="L1444" s="55" t="n">
        <v>4</v>
      </c>
      <c r="M1444" s="73" t="n">
        <v>17.1</v>
      </c>
      <c r="N1444" s="74" t="n">
        <f aca="false">K1444*L1444*M1444</f>
        <v>68.4</v>
      </c>
      <c r="O1444" s="41" t="n">
        <f aca="false">IFERROR(INDEX(Исходные!$B$21:$B$33,MATCH(H1444,Исходные!$A$21:$A$33,0)),0)</f>
        <v>0.888</v>
      </c>
      <c r="P1444" s="83" t="n">
        <f aca="false">N1444*O1444</f>
        <v>60.7392</v>
      </c>
      <c r="Q1444" s="20" t="s">
        <v>1762</v>
      </c>
      <c r="R1444" s="84" t="s">
        <v>660</v>
      </c>
      <c r="S1444" s="20" t="s">
        <v>766</v>
      </c>
      <c r="T1444" s="20" t="s">
        <v>123</v>
      </c>
      <c r="U1444" s="53" t="n">
        <v>0</v>
      </c>
      <c r="V1444" s="76" t="s">
        <v>749</v>
      </c>
      <c r="W1444" s="53" t="n">
        <v>4</v>
      </c>
    </row>
    <row r="1445" customFormat="false" ht="35.05" hidden="false" customHeight="false" outlineLevel="0" collapsed="false">
      <c r="A1445" s="76" t="n">
        <v>1413</v>
      </c>
      <c r="B1445" s="20" t="s">
        <v>1691</v>
      </c>
      <c r="C1445" s="20" t="s">
        <v>655</v>
      </c>
      <c r="D1445" s="20" t="s">
        <v>1754</v>
      </c>
      <c r="E1445" s="20" t="s">
        <v>749</v>
      </c>
      <c r="F1445" s="76" t="s">
        <v>767</v>
      </c>
      <c r="G1445" s="20" t="s">
        <v>768</v>
      </c>
      <c r="H1445" s="55" t="n">
        <v>12</v>
      </c>
      <c r="I1445" s="76" t="s">
        <v>512</v>
      </c>
      <c r="J1445" s="76" t="s">
        <v>164</v>
      </c>
      <c r="K1445" s="82" t="n">
        <v>4</v>
      </c>
      <c r="L1445" s="55" t="n">
        <v>1</v>
      </c>
      <c r="M1445" s="73" t="n">
        <v>0.096</v>
      </c>
      <c r="N1445" s="74" t="n">
        <f aca="false">K1445*L1445*M1445</f>
        <v>0.384</v>
      </c>
      <c r="O1445" s="41" t="n">
        <f aca="false">IFERROR(INDEX(Исходные!$B$21:$B$33,MATCH(H1445,Исходные!$A$21:$A$33,0)),0)</f>
        <v>0.888</v>
      </c>
      <c r="P1445" s="83" t="n">
        <f aca="false">N1445*O1445</f>
        <v>0.340992</v>
      </c>
      <c r="Q1445" s="20" t="s">
        <v>769</v>
      </c>
      <c r="R1445" s="84" t="s">
        <v>667</v>
      </c>
      <c r="S1445" s="20" t="s">
        <v>770</v>
      </c>
      <c r="T1445" s="20" t="s">
        <v>123</v>
      </c>
      <c r="U1445" s="53" t="n">
        <v>0</v>
      </c>
      <c r="V1445" s="76" t="s">
        <v>749</v>
      </c>
      <c r="W1445" s="53" t="n">
        <v>4</v>
      </c>
    </row>
    <row r="1446" customFormat="false" ht="35.05" hidden="false" customHeight="false" outlineLevel="0" collapsed="false">
      <c r="A1446" s="76" t="n">
        <v>1414</v>
      </c>
      <c r="B1446" s="20" t="s">
        <v>1691</v>
      </c>
      <c r="C1446" s="20" t="s">
        <v>655</v>
      </c>
      <c r="D1446" s="20" t="s">
        <v>1754</v>
      </c>
      <c r="E1446" s="20" t="s">
        <v>749</v>
      </c>
      <c r="F1446" s="76" t="s">
        <v>696</v>
      </c>
      <c r="G1446" s="20" t="s">
        <v>1308</v>
      </c>
      <c r="H1446" s="55" t="n">
        <v>8</v>
      </c>
      <c r="I1446" s="76" t="s">
        <v>546</v>
      </c>
      <c r="J1446" s="76" t="s">
        <v>698</v>
      </c>
      <c r="K1446" s="82" t="n">
        <v>1</v>
      </c>
      <c r="L1446" s="55" t="n">
        <v>87</v>
      </c>
      <c r="M1446" s="73" t="n">
        <v>2.06</v>
      </c>
      <c r="N1446" s="74" t="n">
        <f aca="false">K1446*L1446*M1446</f>
        <v>179.22</v>
      </c>
      <c r="O1446" s="41" t="n">
        <f aca="false">IFERROR(INDEX(Исходные!$B$21:$B$33,MATCH(H1446,Исходные!$A$21:$A$33,0)),0)</f>
        <v>0.395</v>
      </c>
      <c r="P1446" s="83" t="n">
        <f aca="false">N1446*O1446</f>
        <v>70.7919</v>
      </c>
      <c r="Q1446" s="20" t="s">
        <v>1309</v>
      </c>
      <c r="R1446" s="84" t="s">
        <v>514</v>
      </c>
      <c r="S1446" s="20" t="s">
        <v>1331</v>
      </c>
      <c r="T1446" s="20" t="s">
        <v>123</v>
      </c>
      <c r="U1446" s="53" t="n">
        <v>0</v>
      </c>
      <c r="V1446" s="76" t="s">
        <v>749</v>
      </c>
      <c r="W1446" s="53" t="n">
        <v>4</v>
      </c>
    </row>
    <row r="1447" customFormat="false" ht="35.05" hidden="false" customHeight="false" outlineLevel="0" collapsed="false">
      <c r="A1447" s="76" t="n">
        <v>1415</v>
      </c>
      <c r="B1447" s="20" t="s">
        <v>1691</v>
      </c>
      <c r="C1447" s="20" t="s">
        <v>655</v>
      </c>
      <c r="D1447" s="20" t="s">
        <v>1754</v>
      </c>
      <c r="E1447" s="20" t="s">
        <v>749</v>
      </c>
      <c r="F1447" s="76" t="s">
        <v>561</v>
      </c>
      <c r="G1447" s="20" t="s">
        <v>1311</v>
      </c>
      <c r="H1447" s="55" t="n">
        <v>10</v>
      </c>
      <c r="I1447" s="76" t="s">
        <v>546</v>
      </c>
      <c r="J1447" s="76" t="n">
        <v>100</v>
      </c>
      <c r="K1447" s="82" t="n">
        <v>1</v>
      </c>
      <c r="L1447" s="55" t="n">
        <v>115</v>
      </c>
      <c r="M1447" s="73" t="n">
        <v>2.06</v>
      </c>
      <c r="N1447" s="74" t="n">
        <f aca="false">K1447*L1447*M1447</f>
        <v>236.9</v>
      </c>
      <c r="O1447" s="41" t="n">
        <f aca="false">IFERROR(INDEX(Исходные!$B$21:$B$33,MATCH(H1447,Исходные!$A$21:$A$33,0)),0)</f>
        <v>0.617</v>
      </c>
      <c r="P1447" s="83" t="n">
        <f aca="false">N1447*O1447</f>
        <v>146.1673</v>
      </c>
      <c r="Q1447" s="20" t="s">
        <v>1763</v>
      </c>
      <c r="R1447" s="84" t="s">
        <v>514</v>
      </c>
      <c r="S1447" s="20" t="s">
        <v>1764</v>
      </c>
      <c r="T1447" s="20" t="s">
        <v>123</v>
      </c>
      <c r="U1447" s="53" t="n">
        <v>0</v>
      </c>
      <c r="V1447" s="76" t="s">
        <v>749</v>
      </c>
      <c r="W1447" s="53" t="n">
        <v>4</v>
      </c>
    </row>
    <row r="1448" customFormat="false" ht="35.05" hidden="false" customHeight="false" outlineLevel="0" collapsed="false">
      <c r="A1448" s="76" t="n">
        <v>1416</v>
      </c>
      <c r="B1448" s="20" t="s">
        <v>1691</v>
      </c>
      <c r="C1448" s="20" t="s">
        <v>655</v>
      </c>
      <c r="D1448" s="20" t="s">
        <v>1754</v>
      </c>
      <c r="E1448" s="20" t="s">
        <v>749</v>
      </c>
      <c r="F1448" s="76" t="s">
        <v>603</v>
      </c>
      <c r="G1448" s="20" t="s">
        <v>704</v>
      </c>
      <c r="H1448" s="55" t="n">
        <v>10</v>
      </c>
      <c r="I1448" s="76" t="s">
        <v>546</v>
      </c>
      <c r="J1448" s="76" t="n">
        <v>100</v>
      </c>
      <c r="K1448" s="82" t="n">
        <v>1</v>
      </c>
      <c r="L1448" s="55" t="n">
        <v>115</v>
      </c>
      <c r="M1448" s="73" t="n">
        <v>1.6</v>
      </c>
      <c r="N1448" s="74" t="n">
        <f aca="false">K1448*L1448*M1448</f>
        <v>184</v>
      </c>
      <c r="O1448" s="41" t="n">
        <f aca="false">IFERROR(INDEX(Исходные!$B$21:$B$33,MATCH(H1448,Исходные!$A$21:$A$33,0)),0)</f>
        <v>0.617</v>
      </c>
      <c r="P1448" s="83" t="n">
        <f aca="false">N1448*O1448</f>
        <v>113.528</v>
      </c>
      <c r="Q1448" s="20" t="s">
        <v>773</v>
      </c>
      <c r="R1448" s="84" t="s">
        <v>514</v>
      </c>
      <c r="S1448" s="20"/>
      <c r="T1448" s="20" t="s">
        <v>123</v>
      </c>
      <c r="U1448" s="53" t="n">
        <v>0</v>
      </c>
      <c r="V1448" s="76" t="s">
        <v>749</v>
      </c>
      <c r="W1448" s="53" t="n">
        <v>4</v>
      </c>
    </row>
    <row r="1449" customFormat="false" ht="35.05" hidden="false" customHeight="false" outlineLevel="0" collapsed="false">
      <c r="A1449" s="76" t="n">
        <v>1417</v>
      </c>
      <c r="B1449" s="20" t="s">
        <v>1691</v>
      </c>
      <c r="C1449" s="20" t="s">
        <v>655</v>
      </c>
      <c r="D1449" s="20" t="s">
        <v>1754</v>
      </c>
      <c r="E1449" s="20" t="s">
        <v>749</v>
      </c>
      <c r="F1449" s="76" t="s">
        <v>706</v>
      </c>
      <c r="G1449" s="20" t="s">
        <v>1314</v>
      </c>
      <c r="H1449" s="55" t="n">
        <v>8</v>
      </c>
      <c r="I1449" s="76" t="s">
        <v>546</v>
      </c>
      <c r="J1449" s="76" t="s">
        <v>708</v>
      </c>
      <c r="K1449" s="82" t="n">
        <v>1</v>
      </c>
      <c r="L1449" s="55" t="n">
        <v>54</v>
      </c>
      <c r="M1449" s="73" t="n">
        <v>0.75</v>
      </c>
      <c r="N1449" s="74" t="n">
        <f aca="false">K1449*L1449*M1449</f>
        <v>40.5</v>
      </c>
      <c r="O1449" s="41" t="n">
        <f aca="false">IFERROR(INDEX(Исходные!$B$21:$B$33,MATCH(H1449,Исходные!$A$21:$A$33,0)),0)</f>
        <v>0.395</v>
      </c>
      <c r="P1449" s="83" t="n">
        <f aca="false">N1449*O1449</f>
        <v>15.9975</v>
      </c>
      <c r="Q1449" s="20" t="s">
        <v>709</v>
      </c>
      <c r="R1449" s="84" t="s">
        <v>514</v>
      </c>
      <c r="S1449" s="20"/>
      <c r="T1449" s="20" t="s">
        <v>123</v>
      </c>
      <c r="U1449" s="53" t="n">
        <v>0</v>
      </c>
      <c r="V1449" s="76" t="s">
        <v>749</v>
      </c>
      <c r="W1449" s="53" t="n">
        <v>4</v>
      </c>
    </row>
    <row r="1450" customFormat="false" ht="35.05" hidden="false" customHeight="false" outlineLevel="0" collapsed="false">
      <c r="A1450" s="76" t="n">
        <v>1418</v>
      </c>
      <c r="B1450" s="20" t="s">
        <v>1691</v>
      </c>
      <c r="C1450" s="20" t="s">
        <v>655</v>
      </c>
      <c r="D1450" s="20" t="s">
        <v>1754</v>
      </c>
      <c r="E1450" s="20" t="s">
        <v>749</v>
      </c>
      <c r="F1450" s="76" t="s">
        <v>710</v>
      </c>
      <c r="G1450" s="20" t="s">
        <v>1315</v>
      </c>
      <c r="H1450" s="55" t="n">
        <v>8</v>
      </c>
      <c r="I1450" s="76" t="s">
        <v>546</v>
      </c>
      <c r="J1450" s="76" t="n">
        <v>300</v>
      </c>
      <c r="K1450" s="82" t="n">
        <v>1</v>
      </c>
      <c r="L1450" s="55" t="n">
        <v>77</v>
      </c>
      <c r="M1450" s="73" t="n">
        <v>0.58</v>
      </c>
      <c r="N1450" s="74" t="n">
        <f aca="false">K1450*L1450*M1450</f>
        <v>44.66</v>
      </c>
      <c r="O1450" s="41" t="n">
        <f aca="false">IFERROR(INDEX(Исходные!$B$21:$B$33,MATCH(H1450,Исходные!$A$21:$A$33,0)),0)</f>
        <v>0.395</v>
      </c>
      <c r="P1450" s="83" t="n">
        <f aca="false">N1450*O1450</f>
        <v>17.6407</v>
      </c>
      <c r="Q1450" s="20" t="s">
        <v>1316</v>
      </c>
      <c r="R1450" s="85" t="s">
        <v>638</v>
      </c>
      <c r="S1450" s="20"/>
      <c r="T1450" s="20" t="s">
        <v>123</v>
      </c>
      <c r="U1450" s="53" t="n">
        <v>1</v>
      </c>
      <c r="V1450" s="76" t="s">
        <v>749</v>
      </c>
      <c r="W1450" s="53" t="n">
        <v>4</v>
      </c>
    </row>
    <row r="1451" customFormat="false" ht="35.05" hidden="false" customHeight="false" outlineLevel="0" collapsed="false">
      <c r="A1451" s="76" t="n">
        <v>1419</v>
      </c>
      <c r="B1451" s="20" t="s">
        <v>1691</v>
      </c>
      <c r="C1451" s="20" t="s">
        <v>655</v>
      </c>
      <c r="D1451" s="20" t="s">
        <v>1765</v>
      </c>
      <c r="E1451" s="20" t="s">
        <v>775</v>
      </c>
      <c r="F1451" s="76" t="s">
        <v>519</v>
      </c>
      <c r="G1451" s="20" t="s">
        <v>658</v>
      </c>
      <c r="H1451" s="55" t="n">
        <v>28</v>
      </c>
      <c r="I1451" s="76" t="s">
        <v>512</v>
      </c>
      <c r="J1451" s="76" t="s">
        <v>164</v>
      </c>
      <c r="K1451" s="82" t="n">
        <v>1</v>
      </c>
      <c r="L1451" s="55" t="n">
        <v>4</v>
      </c>
      <c r="M1451" s="73" t="n">
        <v>25.5</v>
      </c>
      <c r="N1451" s="74" t="n">
        <f aca="false">K1451*L1451*M1451</f>
        <v>102</v>
      </c>
      <c r="O1451" s="41" t="n">
        <f aca="false">IFERROR(INDEX(Исходные!$B$21:$B$33,MATCH(H1451,Исходные!$A$21:$A$33,0)),0)</f>
        <v>4.834</v>
      </c>
      <c r="P1451" s="83" t="n">
        <f aca="false">N1451*O1451</f>
        <v>493.068</v>
      </c>
      <c r="Q1451" s="20" t="s">
        <v>1347</v>
      </c>
      <c r="R1451" s="84" t="s">
        <v>660</v>
      </c>
      <c r="S1451" s="20" t="s">
        <v>661</v>
      </c>
      <c r="T1451" s="20" t="s">
        <v>123</v>
      </c>
      <c r="U1451" s="53" t="n">
        <v>0</v>
      </c>
      <c r="V1451" s="76" t="s">
        <v>775</v>
      </c>
      <c r="W1451" s="53" t="n">
        <v>4</v>
      </c>
    </row>
    <row r="1452" customFormat="false" ht="35.05" hidden="false" customHeight="false" outlineLevel="0" collapsed="false">
      <c r="A1452" s="76" t="n">
        <v>1420</v>
      </c>
      <c r="B1452" s="20" t="s">
        <v>1691</v>
      </c>
      <c r="C1452" s="20" t="s">
        <v>655</v>
      </c>
      <c r="D1452" s="20" t="s">
        <v>1765</v>
      </c>
      <c r="E1452" s="20" t="s">
        <v>775</v>
      </c>
      <c r="F1452" s="76" t="s">
        <v>529</v>
      </c>
      <c r="G1452" s="20" t="s">
        <v>662</v>
      </c>
      <c r="H1452" s="55" t="n">
        <v>18</v>
      </c>
      <c r="I1452" s="76" t="s">
        <v>512</v>
      </c>
      <c r="J1452" s="76" t="s">
        <v>164</v>
      </c>
      <c r="K1452" s="82" t="n">
        <v>1</v>
      </c>
      <c r="L1452" s="55" t="n">
        <v>2</v>
      </c>
      <c r="M1452" s="73" t="n">
        <v>25.5</v>
      </c>
      <c r="N1452" s="74" t="n">
        <f aca="false">K1452*L1452*M1452</f>
        <v>51</v>
      </c>
      <c r="O1452" s="41" t="n">
        <f aca="false">IFERROR(INDEX(Исходные!$B$21:$B$33,MATCH(H1452,Исходные!$A$21:$A$33,0)),0)</f>
        <v>1.998</v>
      </c>
      <c r="P1452" s="83" t="n">
        <f aca="false">N1452*O1452</f>
        <v>101.898</v>
      </c>
      <c r="Q1452" s="20" t="s">
        <v>663</v>
      </c>
      <c r="R1452" s="84" t="s">
        <v>660</v>
      </c>
      <c r="S1452" s="20"/>
      <c r="T1452" s="20" t="s">
        <v>123</v>
      </c>
      <c r="U1452" s="53" t="n">
        <v>0</v>
      </c>
      <c r="V1452" s="76" t="s">
        <v>775</v>
      </c>
      <c r="W1452" s="53" t="n">
        <v>4</v>
      </c>
    </row>
    <row r="1453" customFormat="false" ht="35.05" hidden="false" customHeight="false" outlineLevel="0" collapsed="false">
      <c r="A1453" s="76" t="n">
        <v>1421</v>
      </c>
      <c r="B1453" s="20" t="s">
        <v>1691</v>
      </c>
      <c r="C1453" s="20" t="s">
        <v>655</v>
      </c>
      <c r="D1453" s="20" t="s">
        <v>1765</v>
      </c>
      <c r="E1453" s="20" t="s">
        <v>775</v>
      </c>
      <c r="F1453" s="76" t="s">
        <v>664</v>
      </c>
      <c r="G1453" s="20" t="s">
        <v>665</v>
      </c>
      <c r="H1453" s="55" t="n">
        <v>18</v>
      </c>
      <c r="I1453" s="76" t="s">
        <v>512</v>
      </c>
      <c r="J1453" s="76" t="s">
        <v>164</v>
      </c>
      <c r="K1453" s="82" t="n">
        <v>2</v>
      </c>
      <c r="L1453" s="55" t="n">
        <v>2</v>
      </c>
      <c r="M1453" s="73" t="n">
        <v>0.144</v>
      </c>
      <c r="N1453" s="74" t="n">
        <f aca="false">K1453*L1453*M1453</f>
        <v>0.576</v>
      </c>
      <c r="O1453" s="41" t="n">
        <f aca="false">IFERROR(INDEX(Исходные!$B$21:$B$33,MATCH(H1453,Исходные!$A$21:$A$33,0)),0)</f>
        <v>1.998</v>
      </c>
      <c r="P1453" s="83" t="n">
        <f aca="false">N1453*O1453</f>
        <v>1.150848</v>
      </c>
      <c r="Q1453" s="20" t="s">
        <v>666</v>
      </c>
      <c r="R1453" s="84" t="s">
        <v>667</v>
      </c>
      <c r="S1453" s="20" t="s">
        <v>668</v>
      </c>
      <c r="T1453" s="20" t="s">
        <v>123</v>
      </c>
      <c r="U1453" s="53" t="n">
        <v>0</v>
      </c>
      <c r="V1453" s="76" t="s">
        <v>775</v>
      </c>
      <c r="W1453" s="53" t="n">
        <v>4</v>
      </c>
    </row>
    <row r="1454" customFormat="false" ht="35.05" hidden="false" customHeight="false" outlineLevel="0" collapsed="false">
      <c r="A1454" s="76" t="n">
        <v>1422</v>
      </c>
      <c r="B1454" s="20" t="s">
        <v>1691</v>
      </c>
      <c r="C1454" s="20" t="s">
        <v>655</v>
      </c>
      <c r="D1454" s="20" t="s">
        <v>1765</v>
      </c>
      <c r="E1454" s="20" t="s">
        <v>775</v>
      </c>
      <c r="F1454" s="76" t="s">
        <v>669</v>
      </c>
      <c r="G1454" s="20" t="s">
        <v>670</v>
      </c>
      <c r="H1454" s="55" t="n">
        <v>16</v>
      </c>
      <c r="I1454" s="76" t="s">
        <v>512</v>
      </c>
      <c r="J1454" s="76" t="s">
        <v>164</v>
      </c>
      <c r="K1454" s="82" t="n">
        <v>1</v>
      </c>
      <c r="L1454" s="55" t="n">
        <v>2</v>
      </c>
      <c r="M1454" s="73" t="n">
        <v>25.5</v>
      </c>
      <c r="N1454" s="74" t="n">
        <f aca="false">K1454*L1454*M1454</f>
        <v>51</v>
      </c>
      <c r="O1454" s="41" t="n">
        <f aca="false">IFERROR(INDEX(Исходные!$B$21:$B$33,MATCH(H1454,Исходные!$A$21:$A$33,0)),0)</f>
        <v>1.578</v>
      </c>
      <c r="P1454" s="83" t="n">
        <f aca="false">N1454*O1454</f>
        <v>80.478</v>
      </c>
      <c r="Q1454" s="20" t="s">
        <v>671</v>
      </c>
      <c r="R1454" s="84" t="s">
        <v>660</v>
      </c>
      <c r="S1454" s="20"/>
      <c r="T1454" s="20" t="s">
        <v>123</v>
      </c>
      <c r="U1454" s="53" t="n">
        <v>0</v>
      </c>
      <c r="V1454" s="76" t="s">
        <v>775</v>
      </c>
      <c r="W1454" s="53" t="n">
        <v>4</v>
      </c>
    </row>
    <row r="1455" customFormat="false" ht="35.05" hidden="false" customHeight="false" outlineLevel="0" collapsed="false">
      <c r="A1455" s="76" t="n">
        <v>1423</v>
      </c>
      <c r="B1455" s="20" t="s">
        <v>1691</v>
      </c>
      <c r="C1455" s="20" t="s">
        <v>655</v>
      </c>
      <c r="D1455" s="20" t="s">
        <v>1765</v>
      </c>
      <c r="E1455" s="20" t="s">
        <v>775</v>
      </c>
      <c r="F1455" s="76" t="s">
        <v>672</v>
      </c>
      <c r="G1455" s="20" t="s">
        <v>673</v>
      </c>
      <c r="H1455" s="55" t="n">
        <v>16</v>
      </c>
      <c r="I1455" s="76" t="s">
        <v>512</v>
      </c>
      <c r="J1455" s="76" t="s">
        <v>164</v>
      </c>
      <c r="K1455" s="82" t="n">
        <v>2</v>
      </c>
      <c r="L1455" s="55" t="n">
        <v>2</v>
      </c>
      <c r="M1455" s="73" t="n">
        <v>0.128</v>
      </c>
      <c r="N1455" s="74" t="n">
        <f aca="false">K1455*L1455*M1455</f>
        <v>0.512</v>
      </c>
      <c r="O1455" s="41" t="n">
        <f aca="false">IFERROR(INDEX(Исходные!$B$21:$B$33,MATCH(H1455,Исходные!$A$21:$A$33,0)),0)</f>
        <v>1.578</v>
      </c>
      <c r="P1455" s="83" t="n">
        <f aca="false">N1455*O1455</f>
        <v>0.807936</v>
      </c>
      <c r="Q1455" s="20" t="s">
        <v>674</v>
      </c>
      <c r="R1455" s="84" t="s">
        <v>667</v>
      </c>
      <c r="S1455" s="20" t="s">
        <v>675</v>
      </c>
      <c r="T1455" s="20" t="s">
        <v>123</v>
      </c>
      <c r="U1455" s="53" t="n">
        <v>0</v>
      </c>
      <c r="V1455" s="76" t="s">
        <v>775</v>
      </c>
      <c r="W1455" s="53" t="n">
        <v>4</v>
      </c>
    </row>
    <row r="1456" customFormat="false" ht="35.05" hidden="false" customHeight="false" outlineLevel="0" collapsed="false">
      <c r="A1456" s="76" t="n">
        <v>1424</v>
      </c>
      <c r="B1456" s="20" t="s">
        <v>1691</v>
      </c>
      <c r="C1456" s="20" t="s">
        <v>655</v>
      </c>
      <c r="D1456" s="20" t="s">
        <v>1765</v>
      </c>
      <c r="E1456" s="20" t="s">
        <v>775</v>
      </c>
      <c r="F1456" s="76" t="s">
        <v>676</v>
      </c>
      <c r="G1456" s="20" t="s">
        <v>1766</v>
      </c>
      <c r="H1456" s="55" t="n">
        <v>20</v>
      </c>
      <c r="I1456" s="76" t="s">
        <v>512</v>
      </c>
      <c r="J1456" s="76" t="s">
        <v>164</v>
      </c>
      <c r="K1456" s="82" t="n">
        <v>1</v>
      </c>
      <c r="L1456" s="55" t="n">
        <v>2</v>
      </c>
      <c r="M1456" s="73" t="n">
        <v>1.85</v>
      </c>
      <c r="N1456" s="74" t="n">
        <f aca="false">K1456*L1456*M1456</f>
        <v>3.7</v>
      </c>
      <c r="O1456" s="41" t="n">
        <f aca="false">IFERROR(INDEX(Исходные!$B$21:$B$33,MATCH(H1456,Исходные!$A$21:$A$33,0)),0)</f>
        <v>2.466</v>
      </c>
      <c r="P1456" s="83" t="n">
        <f aca="false">N1456*O1456</f>
        <v>9.1242</v>
      </c>
      <c r="Q1456" s="20" t="s">
        <v>1767</v>
      </c>
      <c r="R1456" s="84" t="s">
        <v>660</v>
      </c>
      <c r="S1456" s="20" t="s">
        <v>1350</v>
      </c>
      <c r="T1456" s="20" t="s">
        <v>123</v>
      </c>
      <c r="U1456" s="53" t="n">
        <v>0</v>
      </c>
      <c r="V1456" s="76" t="s">
        <v>775</v>
      </c>
      <c r="W1456" s="53" t="n">
        <v>4</v>
      </c>
    </row>
    <row r="1457" customFormat="false" ht="35.05" hidden="false" customHeight="false" outlineLevel="0" collapsed="false">
      <c r="A1457" s="76" t="n">
        <v>1425</v>
      </c>
      <c r="B1457" s="20" t="s">
        <v>1691</v>
      </c>
      <c r="C1457" s="20" t="s">
        <v>655</v>
      </c>
      <c r="D1457" s="20" t="s">
        <v>1765</v>
      </c>
      <c r="E1457" s="20" t="s">
        <v>775</v>
      </c>
      <c r="F1457" s="76" t="s">
        <v>676</v>
      </c>
      <c r="G1457" s="20" t="s">
        <v>1768</v>
      </c>
      <c r="H1457" s="55" t="n">
        <v>32</v>
      </c>
      <c r="I1457" s="76" t="s">
        <v>512</v>
      </c>
      <c r="J1457" s="76" t="s">
        <v>164</v>
      </c>
      <c r="K1457" s="82" t="n">
        <v>1</v>
      </c>
      <c r="L1457" s="55" t="n">
        <v>2</v>
      </c>
      <c r="M1457" s="73" t="n">
        <v>5.5</v>
      </c>
      <c r="N1457" s="74" t="n">
        <f aca="false">K1457*L1457*M1457</f>
        <v>11</v>
      </c>
      <c r="O1457" s="41" t="n">
        <f aca="false">IFERROR(INDEX(Исходные!$B$21:$B$33,MATCH(H1457,Исходные!$A$21:$A$33,0)),0)</f>
        <v>6.313</v>
      </c>
      <c r="P1457" s="83" t="n">
        <f aca="false">N1457*O1457</f>
        <v>69.443</v>
      </c>
      <c r="Q1457" s="20" t="s">
        <v>1769</v>
      </c>
      <c r="R1457" s="84" t="s">
        <v>660</v>
      </c>
      <c r="S1457" s="20" t="s">
        <v>781</v>
      </c>
      <c r="T1457" s="20" t="s">
        <v>123</v>
      </c>
      <c r="U1457" s="53" t="n">
        <v>0</v>
      </c>
      <c r="V1457" s="76" t="s">
        <v>775</v>
      </c>
      <c r="W1457" s="53" t="n">
        <v>4</v>
      </c>
    </row>
    <row r="1458" customFormat="false" ht="35.05" hidden="false" customHeight="false" outlineLevel="0" collapsed="false">
      <c r="A1458" s="76" t="n">
        <v>1426</v>
      </c>
      <c r="B1458" s="20" t="s">
        <v>1691</v>
      </c>
      <c r="C1458" s="20" t="s">
        <v>655</v>
      </c>
      <c r="D1458" s="20" t="s">
        <v>1765</v>
      </c>
      <c r="E1458" s="20" t="s">
        <v>775</v>
      </c>
      <c r="F1458" s="76" t="s">
        <v>676</v>
      </c>
      <c r="G1458" s="20" t="s">
        <v>784</v>
      </c>
      <c r="H1458" s="55" t="n">
        <v>28</v>
      </c>
      <c r="I1458" s="76" t="s">
        <v>512</v>
      </c>
      <c r="J1458" s="76" t="s">
        <v>164</v>
      </c>
      <c r="K1458" s="82" t="n">
        <v>1</v>
      </c>
      <c r="L1458" s="55" t="n">
        <v>2</v>
      </c>
      <c r="M1458" s="73" t="n">
        <v>4.7</v>
      </c>
      <c r="N1458" s="74" t="n">
        <f aca="false">K1458*L1458*M1458</f>
        <v>9.4</v>
      </c>
      <c r="O1458" s="41" t="n">
        <f aca="false">IFERROR(INDEX(Исходные!$B$21:$B$33,MATCH(H1458,Исходные!$A$21:$A$33,0)),0)</f>
        <v>4.834</v>
      </c>
      <c r="P1458" s="83" t="n">
        <f aca="false">N1458*O1458</f>
        <v>45.4396</v>
      </c>
      <c r="Q1458" s="20" t="s">
        <v>1770</v>
      </c>
      <c r="R1458" s="84" t="s">
        <v>660</v>
      </c>
      <c r="S1458" s="20" t="s">
        <v>785</v>
      </c>
      <c r="T1458" s="20" t="s">
        <v>123</v>
      </c>
      <c r="U1458" s="53" t="n">
        <v>0</v>
      </c>
      <c r="V1458" s="76" t="s">
        <v>775</v>
      </c>
      <c r="W1458" s="53" t="n">
        <v>4</v>
      </c>
    </row>
    <row r="1459" customFormat="false" ht="35.05" hidden="false" customHeight="false" outlineLevel="0" collapsed="false">
      <c r="A1459" s="76" t="n">
        <v>1427</v>
      </c>
      <c r="B1459" s="20" t="s">
        <v>1691</v>
      </c>
      <c r="C1459" s="20" t="s">
        <v>655</v>
      </c>
      <c r="D1459" s="20" t="s">
        <v>1765</v>
      </c>
      <c r="E1459" s="20" t="s">
        <v>775</v>
      </c>
      <c r="F1459" s="76" t="s">
        <v>676</v>
      </c>
      <c r="G1459" s="20" t="s">
        <v>1354</v>
      </c>
      <c r="H1459" s="55" t="n">
        <v>25</v>
      </c>
      <c r="I1459" s="76" t="s">
        <v>512</v>
      </c>
      <c r="J1459" s="76" t="s">
        <v>164</v>
      </c>
      <c r="K1459" s="82" t="n">
        <v>1</v>
      </c>
      <c r="L1459" s="55" t="n">
        <v>2</v>
      </c>
      <c r="M1459" s="73" t="n">
        <v>4.3</v>
      </c>
      <c r="N1459" s="74" t="n">
        <f aca="false">K1459*L1459*M1459</f>
        <v>8.6</v>
      </c>
      <c r="O1459" s="41" t="n">
        <f aca="false">IFERROR(INDEX(Исходные!$B$21:$B$33,MATCH(H1459,Исходные!$A$21:$A$33,0)),0)</f>
        <v>3.853</v>
      </c>
      <c r="P1459" s="83" t="n">
        <f aca="false">N1459*O1459</f>
        <v>33.1358</v>
      </c>
      <c r="Q1459" s="20" t="s">
        <v>1771</v>
      </c>
      <c r="R1459" s="84" t="s">
        <v>660</v>
      </c>
      <c r="S1459" s="20" t="s">
        <v>789</v>
      </c>
      <c r="T1459" s="20" t="s">
        <v>123</v>
      </c>
      <c r="U1459" s="53" t="n">
        <v>0</v>
      </c>
      <c r="V1459" s="76" t="s">
        <v>775</v>
      </c>
      <c r="W1459" s="53" t="n">
        <v>4</v>
      </c>
    </row>
    <row r="1460" customFormat="false" ht="35.05" hidden="false" customHeight="false" outlineLevel="0" collapsed="false">
      <c r="A1460" s="76" t="n">
        <v>1428</v>
      </c>
      <c r="B1460" s="20" t="s">
        <v>1691</v>
      </c>
      <c r="C1460" s="20" t="s">
        <v>655</v>
      </c>
      <c r="D1460" s="20" t="s">
        <v>1765</v>
      </c>
      <c r="E1460" s="20" t="s">
        <v>775</v>
      </c>
      <c r="F1460" s="76" t="s">
        <v>676</v>
      </c>
      <c r="G1460" s="20" t="s">
        <v>1748</v>
      </c>
      <c r="H1460" s="55" t="n">
        <v>16</v>
      </c>
      <c r="I1460" s="76" t="s">
        <v>512</v>
      </c>
      <c r="J1460" s="76" t="s">
        <v>164</v>
      </c>
      <c r="K1460" s="82" t="n">
        <v>1</v>
      </c>
      <c r="L1460" s="55" t="n">
        <v>2</v>
      </c>
      <c r="M1460" s="73" t="n">
        <v>2.05</v>
      </c>
      <c r="N1460" s="74" t="n">
        <f aca="false">K1460*L1460*M1460</f>
        <v>4.1</v>
      </c>
      <c r="O1460" s="41" t="n">
        <f aca="false">IFERROR(INDEX(Исходные!$B$21:$B$33,MATCH(H1460,Исходные!$A$21:$A$33,0)),0)</f>
        <v>1.578</v>
      </c>
      <c r="P1460" s="83" t="n">
        <f aca="false">N1460*O1460</f>
        <v>6.4698</v>
      </c>
      <c r="Q1460" s="20" t="s">
        <v>1772</v>
      </c>
      <c r="R1460" s="84" t="s">
        <v>660</v>
      </c>
      <c r="S1460" s="20" t="s">
        <v>1324</v>
      </c>
      <c r="T1460" s="20" t="s">
        <v>123</v>
      </c>
      <c r="U1460" s="53" t="n">
        <v>0</v>
      </c>
      <c r="V1460" s="76" t="s">
        <v>775</v>
      </c>
      <c r="W1460" s="53" t="n">
        <v>4</v>
      </c>
    </row>
    <row r="1461" customFormat="false" ht="35.05" hidden="false" customHeight="false" outlineLevel="0" collapsed="false">
      <c r="A1461" s="76" t="n">
        <v>1429</v>
      </c>
      <c r="B1461" s="20" t="s">
        <v>1691</v>
      </c>
      <c r="C1461" s="20" t="s">
        <v>655</v>
      </c>
      <c r="D1461" s="20" t="s">
        <v>1765</v>
      </c>
      <c r="E1461" s="20" t="s">
        <v>775</v>
      </c>
      <c r="F1461" s="76" t="s">
        <v>676</v>
      </c>
      <c r="G1461" s="20" t="s">
        <v>1773</v>
      </c>
      <c r="H1461" s="55" t="n">
        <v>16</v>
      </c>
      <c r="I1461" s="76" t="s">
        <v>512</v>
      </c>
      <c r="J1461" s="76" t="s">
        <v>164</v>
      </c>
      <c r="K1461" s="82" t="n">
        <v>1</v>
      </c>
      <c r="L1461" s="55" t="n">
        <v>2</v>
      </c>
      <c r="M1461" s="73" t="n">
        <v>5.5</v>
      </c>
      <c r="N1461" s="74" t="n">
        <f aca="false">K1461*L1461*M1461</f>
        <v>11</v>
      </c>
      <c r="O1461" s="41" t="n">
        <f aca="false">IFERROR(INDEX(Исходные!$B$21:$B$33,MATCH(H1461,Исходные!$A$21:$A$33,0)),0)</f>
        <v>1.578</v>
      </c>
      <c r="P1461" s="83" t="n">
        <f aca="false">N1461*O1461</f>
        <v>17.358</v>
      </c>
      <c r="Q1461" s="20" t="s">
        <v>1772</v>
      </c>
      <c r="R1461" s="84" t="s">
        <v>660</v>
      </c>
      <c r="S1461" s="20" t="s">
        <v>781</v>
      </c>
      <c r="T1461" s="20" t="s">
        <v>123</v>
      </c>
      <c r="U1461" s="53" t="n">
        <v>0</v>
      </c>
      <c r="V1461" s="76" t="s">
        <v>775</v>
      </c>
      <c r="W1461" s="53" t="n">
        <v>4</v>
      </c>
    </row>
    <row r="1462" customFormat="false" ht="35.05" hidden="false" customHeight="false" outlineLevel="0" collapsed="false">
      <c r="A1462" s="76" t="n">
        <v>1430</v>
      </c>
      <c r="B1462" s="20" t="s">
        <v>1691</v>
      </c>
      <c r="C1462" s="20" t="s">
        <v>655</v>
      </c>
      <c r="D1462" s="20" t="s">
        <v>1765</v>
      </c>
      <c r="E1462" s="20" t="s">
        <v>775</v>
      </c>
      <c r="F1462" s="76" t="s">
        <v>676</v>
      </c>
      <c r="G1462" s="20" t="s">
        <v>1774</v>
      </c>
      <c r="H1462" s="55" t="n">
        <v>20</v>
      </c>
      <c r="I1462" s="76" t="s">
        <v>512</v>
      </c>
      <c r="J1462" s="76" t="s">
        <v>164</v>
      </c>
      <c r="K1462" s="82" t="n">
        <v>1</v>
      </c>
      <c r="L1462" s="55" t="n">
        <v>2</v>
      </c>
      <c r="M1462" s="73" t="n">
        <v>4.7</v>
      </c>
      <c r="N1462" s="74" t="n">
        <f aca="false">K1462*L1462*M1462</f>
        <v>9.4</v>
      </c>
      <c r="O1462" s="41" t="n">
        <f aca="false">IFERROR(INDEX(Исходные!$B$21:$B$33,MATCH(H1462,Исходные!$A$21:$A$33,0)),0)</f>
        <v>2.466</v>
      </c>
      <c r="P1462" s="83" t="n">
        <f aca="false">N1462*O1462</f>
        <v>23.1804</v>
      </c>
      <c r="Q1462" s="20" t="s">
        <v>1767</v>
      </c>
      <c r="R1462" s="84" t="s">
        <v>660</v>
      </c>
      <c r="S1462" s="20" t="s">
        <v>785</v>
      </c>
      <c r="T1462" s="20" t="s">
        <v>123</v>
      </c>
      <c r="U1462" s="53" t="n">
        <v>0</v>
      </c>
      <c r="V1462" s="76" t="s">
        <v>775</v>
      </c>
      <c r="W1462" s="53" t="n">
        <v>4</v>
      </c>
    </row>
    <row r="1463" customFormat="false" ht="35.05" hidden="false" customHeight="false" outlineLevel="0" collapsed="false">
      <c r="A1463" s="76" t="n">
        <v>1431</v>
      </c>
      <c r="B1463" s="20" t="s">
        <v>1691</v>
      </c>
      <c r="C1463" s="20" t="s">
        <v>655</v>
      </c>
      <c r="D1463" s="20" t="s">
        <v>1765</v>
      </c>
      <c r="E1463" s="20" t="s">
        <v>775</v>
      </c>
      <c r="F1463" s="76" t="s">
        <v>676</v>
      </c>
      <c r="G1463" s="20" t="s">
        <v>1775</v>
      </c>
      <c r="H1463" s="55" t="n">
        <v>18</v>
      </c>
      <c r="I1463" s="76" t="s">
        <v>512</v>
      </c>
      <c r="J1463" s="76" t="s">
        <v>164</v>
      </c>
      <c r="K1463" s="82" t="n">
        <v>1</v>
      </c>
      <c r="L1463" s="55" t="n">
        <v>2</v>
      </c>
      <c r="M1463" s="73" t="n">
        <v>2.5</v>
      </c>
      <c r="N1463" s="74" t="n">
        <f aca="false">K1463*L1463*M1463</f>
        <v>5</v>
      </c>
      <c r="O1463" s="41" t="n">
        <f aca="false">IFERROR(INDEX(Исходные!$B$21:$B$33,MATCH(H1463,Исходные!$A$21:$A$33,0)),0)</f>
        <v>1.998</v>
      </c>
      <c r="P1463" s="83" t="n">
        <f aca="false">N1463*O1463</f>
        <v>9.99</v>
      </c>
      <c r="Q1463" s="20" t="s">
        <v>1776</v>
      </c>
      <c r="R1463" s="84" t="s">
        <v>660</v>
      </c>
      <c r="S1463" s="20" t="s">
        <v>1777</v>
      </c>
      <c r="T1463" s="20" t="s">
        <v>123</v>
      </c>
      <c r="U1463" s="53" t="n">
        <v>0</v>
      </c>
      <c r="V1463" s="76" t="s">
        <v>775</v>
      </c>
      <c r="W1463" s="53" t="n">
        <v>4</v>
      </c>
    </row>
    <row r="1464" customFormat="false" ht="35.05" hidden="false" customHeight="false" outlineLevel="0" collapsed="false">
      <c r="A1464" s="76" t="n">
        <v>1432</v>
      </c>
      <c r="B1464" s="20" t="s">
        <v>1691</v>
      </c>
      <c r="C1464" s="20" t="s">
        <v>655</v>
      </c>
      <c r="D1464" s="20" t="s">
        <v>1765</v>
      </c>
      <c r="E1464" s="20" t="s">
        <v>775</v>
      </c>
      <c r="F1464" s="76" t="s">
        <v>696</v>
      </c>
      <c r="G1464" s="20" t="s">
        <v>1308</v>
      </c>
      <c r="H1464" s="55" t="n">
        <v>8</v>
      </c>
      <c r="I1464" s="76" t="s">
        <v>546</v>
      </c>
      <c r="J1464" s="76" t="s">
        <v>698</v>
      </c>
      <c r="K1464" s="82" t="n">
        <v>1</v>
      </c>
      <c r="L1464" s="55" t="n">
        <v>125</v>
      </c>
      <c r="M1464" s="73" t="n">
        <v>2.06</v>
      </c>
      <c r="N1464" s="74" t="n">
        <f aca="false">K1464*L1464*M1464</f>
        <v>257.5</v>
      </c>
      <c r="O1464" s="41" t="n">
        <f aca="false">IFERROR(INDEX(Исходные!$B$21:$B$33,MATCH(H1464,Исходные!$A$21:$A$33,0)),0)</f>
        <v>0.395</v>
      </c>
      <c r="P1464" s="83" t="n">
        <f aca="false">N1464*O1464</f>
        <v>101.7125</v>
      </c>
      <c r="Q1464" s="20" t="s">
        <v>1309</v>
      </c>
      <c r="R1464" s="84" t="s">
        <v>514</v>
      </c>
      <c r="S1464" s="20" t="s">
        <v>1363</v>
      </c>
      <c r="T1464" s="20" t="s">
        <v>123</v>
      </c>
      <c r="U1464" s="53" t="n">
        <v>0</v>
      </c>
      <c r="V1464" s="76" t="s">
        <v>775</v>
      </c>
      <c r="W1464" s="53" t="n">
        <v>4</v>
      </c>
    </row>
    <row r="1465" customFormat="false" ht="35.05" hidden="false" customHeight="false" outlineLevel="0" collapsed="false">
      <c r="A1465" s="76" t="n">
        <v>1433</v>
      </c>
      <c r="B1465" s="20" t="s">
        <v>1691</v>
      </c>
      <c r="C1465" s="20" t="s">
        <v>655</v>
      </c>
      <c r="D1465" s="20" t="s">
        <v>1765</v>
      </c>
      <c r="E1465" s="20" t="s">
        <v>775</v>
      </c>
      <c r="F1465" s="76" t="s">
        <v>561</v>
      </c>
      <c r="G1465" s="20" t="s">
        <v>1311</v>
      </c>
      <c r="H1465" s="55" t="n">
        <v>10</v>
      </c>
      <c r="I1465" s="76" t="s">
        <v>546</v>
      </c>
      <c r="J1465" s="76" t="n">
        <v>100</v>
      </c>
      <c r="K1465" s="82" t="n">
        <v>1</v>
      </c>
      <c r="L1465" s="55" t="n">
        <v>45</v>
      </c>
      <c r="M1465" s="73" t="n">
        <v>2.06</v>
      </c>
      <c r="N1465" s="74" t="n">
        <f aca="false">K1465*L1465*M1465</f>
        <v>92.7</v>
      </c>
      <c r="O1465" s="41" t="n">
        <f aca="false">IFERROR(INDEX(Исходные!$B$21:$B$33,MATCH(H1465,Исходные!$A$21:$A$33,0)),0)</f>
        <v>0.617</v>
      </c>
      <c r="P1465" s="83" t="n">
        <f aca="false">N1465*O1465</f>
        <v>57.1959</v>
      </c>
      <c r="Q1465" s="20" t="s">
        <v>1778</v>
      </c>
      <c r="R1465" s="84" t="s">
        <v>514</v>
      </c>
      <c r="S1465" s="20" t="s">
        <v>799</v>
      </c>
      <c r="T1465" s="20" t="s">
        <v>123</v>
      </c>
      <c r="U1465" s="53" t="n">
        <v>0</v>
      </c>
      <c r="V1465" s="76" t="s">
        <v>775</v>
      </c>
      <c r="W1465" s="53" t="n">
        <v>4</v>
      </c>
    </row>
    <row r="1466" customFormat="false" ht="35.05" hidden="false" customHeight="false" outlineLevel="0" collapsed="false">
      <c r="A1466" s="76" t="n">
        <v>1434</v>
      </c>
      <c r="B1466" s="20" t="s">
        <v>1691</v>
      </c>
      <c r="C1466" s="20" t="s">
        <v>655</v>
      </c>
      <c r="D1466" s="20" t="s">
        <v>1765</v>
      </c>
      <c r="E1466" s="20" t="s">
        <v>775</v>
      </c>
      <c r="F1466" s="76" t="s">
        <v>706</v>
      </c>
      <c r="G1466" s="20" t="s">
        <v>1314</v>
      </c>
      <c r="H1466" s="55" t="n">
        <v>8</v>
      </c>
      <c r="I1466" s="76" t="s">
        <v>546</v>
      </c>
      <c r="J1466" s="76" t="s">
        <v>708</v>
      </c>
      <c r="K1466" s="82" t="n">
        <v>1</v>
      </c>
      <c r="L1466" s="55" t="n">
        <v>106</v>
      </c>
      <c r="M1466" s="73" t="n">
        <v>0.75</v>
      </c>
      <c r="N1466" s="74" t="n">
        <f aca="false">K1466*L1466*M1466</f>
        <v>79.5</v>
      </c>
      <c r="O1466" s="41" t="n">
        <f aca="false">IFERROR(INDEX(Исходные!$B$21:$B$33,MATCH(H1466,Исходные!$A$21:$A$33,0)),0)</f>
        <v>0.395</v>
      </c>
      <c r="P1466" s="83" t="n">
        <f aca="false">N1466*O1466</f>
        <v>31.4025</v>
      </c>
      <c r="Q1466" s="20" t="s">
        <v>709</v>
      </c>
      <c r="R1466" s="84" t="s">
        <v>514</v>
      </c>
      <c r="S1466" s="20"/>
      <c r="T1466" s="20" t="s">
        <v>123</v>
      </c>
      <c r="U1466" s="53" t="n">
        <v>0</v>
      </c>
      <c r="V1466" s="76" t="s">
        <v>775</v>
      </c>
      <c r="W1466" s="53" t="n">
        <v>4</v>
      </c>
    </row>
    <row r="1467" customFormat="false" ht="35.05" hidden="false" customHeight="false" outlineLevel="0" collapsed="false">
      <c r="A1467" s="76" t="n">
        <v>1435</v>
      </c>
      <c r="B1467" s="20" t="s">
        <v>1691</v>
      </c>
      <c r="C1467" s="20" t="s">
        <v>655</v>
      </c>
      <c r="D1467" s="20" t="s">
        <v>1765</v>
      </c>
      <c r="E1467" s="20" t="s">
        <v>775</v>
      </c>
      <c r="F1467" s="76" t="s">
        <v>710</v>
      </c>
      <c r="G1467" s="20" t="s">
        <v>1315</v>
      </c>
      <c r="H1467" s="55" t="n">
        <v>8</v>
      </c>
      <c r="I1467" s="76" t="s">
        <v>546</v>
      </c>
      <c r="J1467" s="76" t="n">
        <v>300</v>
      </c>
      <c r="K1467" s="82" t="n">
        <v>1</v>
      </c>
      <c r="L1467" s="55" t="n">
        <v>67</v>
      </c>
      <c r="M1467" s="73" t="n">
        <v>0.58</v>
      </c>
      <c r="N1467" s="74" t="n">
        <f aca="false">K1467*L1467*M1467</f>
        <v>38.86</v>
      </c>
      <c r="O1467" s="41" t="n">
        <f aca="false">IFERROR(INDEX(Исходные!$B$21:$B$33,MATCH(H1467,Исходные!$A$21:$A$33,0)),0)</f>
        <v>0.395</v>
      </c>
      <c r="P1467" s="83" t="n">
        <f aca="false">N1467*O1467</f>
        <v>15.3497</v>
      </c>
      <c r="Q1467" s="20" t="s">
        <v>1316</v>
      </c>
      <c r="R1467" s="85" t="s">
        <v>638</v>
      </c>
      <c r="S1467" s="20"/>
      <c r="T1467" s="20" t="s">
        <v>123</v>
      </c>
      <c r="U1467" s="53" t="n">
        <v>1</v>
      </c>
      <c r="V1467" s="76" t="s">
        <v>775</v>
      </c>
      <c r="W1467" s="53" t="n">
        <v>4</v>
      </c>
    </row>
    <row r="1468" customFormat="false" ht="35.05" hidden="false" customHeight="false" outlineLevel="0" collapsed="false">
      <c r="A1468" s="76" t="n">
        <v>1436</v>
      </c>
      <c r="B1468" s="20" t="s">
        <v>1691</v>
      </c>
      <c r="C1468" s="20" t="s">
        <v>655</v>
      </c>
      <c r="D1468" s="20" t="s">
        <v>1779</v>
      </c>
      <c r="E1468" s="20" t="s">
        <v>801</v>
      </c>
      <c r="F1468" s="76" t="s">
        <v>519</v>
      </c>
      <c r="G1468" s="20" t="s">
        <v>658</v>
      </c>
      <c r="H1468" s="55" t="n">
        <v>28</v>
      </c>
      <c r="I1468" s="76" t="s">
        <v>512</v>
      </c>
      <c r="J1468" s="76" t="s">
        <v>164</v>
      </c>
      <c r="K1468" s="82" t="n">
        <v>2</v>
      </c>
      <c r="L1468" s="55" t="n">
        <v>4</v>
      </c>
      <c r="M1468" s="73" t="n">
        <v>20.5</v>
      </c>
      <c r="N1468" s="74" t="n">
        <f aca="false">K1468*L1468*M1468</f>
        <v>164</v>
      </c>
      <c r="O1468" s="41" t="n">
        <f aca="false">IFERROR(INDEX(Исходные!$B$21:$B$33,MATCH(H1468,Исходные!$A$21:$A$33,0)),0)</f>
        <v>4.834</v>
      </c>
      <c r="P1468" s="83" t="n">
        <f aca="false">N1468*O1468</f>
        <v>792.776</v>
      </c>
      <c r="Q1468" s="20" t="s">
        <v>1367</v>
      </c>
      <c r="R1468" s="84" t="s">
        <v>660</v>
      </c>
      <c r="S1468" s="20" t="s">
        <v>803</v>
      </c>
      <c r="T1468" s="20" t="s">
        <v>123</v>
      </c>
      <c r="U1468" s="53" t="n">
        <v>0</v>
      </c>
      <c r="V1468" s="76" t="s">
        <v>801</v>
      </c>
      <c r="W1468" s="53" t="n">
        <v>4</v>
      </c>
    </row>
    <row r="1469" customFormat="false" ht="35.05" hidden="false" customHeight="false" outlineLevel="0" collapsed="false">
      <c r="A1469" s="76" t="n">
        <v>1437</v>
      </c>
      <c r="B1469" s="20" t="s">
        <v>1691</v>
      </c>
      <c r="C1469" s="20" t="s">
        <v>655</v>
      </c>
      <c r="D1469" s="20" t="s">
        <v>1779</v>
      </c>
      <c r="E1469" s="20" t="s">
        <v>801</v>
      </c>
      <c r="F1469" s="76" t="s">
        <v>529</v>
      </c>
      <c r="G1469" s="20" t="s">
        <v>662</v>
      </c>
      <c r="H1469" s="55" t="n">
        <v>18</v>
      </c>
      <c r="I1469" s="76" t="s">
        <v>512</v>
      </c>
      <c r="J1469" s="76" t="s">
        <v>164</v>
      </c>
      <c r="K1469" s="82" t="n">
        <v>2</v>
      </c>
      <c r="L1469" s="55" t="n">
        <v>2</v>
      </c>
      <c r="M1469" s="73" t="n">
        <v>20.5</v>
      </c>
      <c r="N1469" s="74" t="n">
        <f aca="false">K1469*L1469*M1469</f>
        <v>82</v>
      </c>
      <c r="O1469" s="41" t="n">
        <f aca="false">IFERROR(INDEX(Исходные!$B$21:$B$33,MATCH(H1469,Исходные!$A$21:$A$33,0)),0)</f>
        <v>1.998</v>
      </c>
      <c r="P1469" s="83" t="n">
        <f aca="false">N1469*O1469</f>
        <v>163.836</v>
      </c>
      <c r="Q1469" s="20" t="s">
        <v>663</v>
      </c>
      <c r="R1469" s="84" t="s">
        <v>660</v>
      </c>
      <c r="S1469" s="20"/>
      <c r="T1469" s="20" t="s">
        <v>123</v>
      </c>
      <c r="U1469" s="53" t="n">
        <v>0</v>
      </c>
      <c r="V1469" s="76" t="s">
        <v>801</v>
      </c>
      <c r="W1469" s="53" t="n">
        <v>4</v>
      </c>
    </row>
    <row r="1470" customFormat="false" ht="35.05" hidden="false" customHeight="false" outlineLevel="0" collapsed="false">
      <c r="A1470" s="76" t="n">
        <v>1438</v>
      </c>
      <c r="B1470" s="20" t="s">
        <v>1691</v>
      </c>
      <c r="C1470" s="20" t="s">
        <v>655</v>
      </c>
      <c r="D1470" s="20" t="s">
        <v>1779</v>
      </c>
      <c r="E1470" s="20" t="s">
        <v>801</v>
      </c>
      <c r="F1470" s="76" t="s">
        <v>664</v>
      </c>
      <c r="G1470" s="20" t="s">
        <v>804</v>
      </c>
      <c r="H1470" s="55" t="n">
        <v>18</v>
      </c>
      <c r="I1470" s="76" t="s">
        <v>512</v>
      </c>
      <c r="J1470" s="76" t="s">
        <v>164</v>
      </c>
      <c r="K1470" s="82" t="n">
        <v>4</v>
      </c>
      <c r="L1470" s="55" t="n">
        <v>1</v>
      </c>
      <c r="M1470" s="73" t="n">
        <v>0.144</v>
      </c>
      <c r="N1470" s="74" t="n">
        <f aca="false">K1470*L1470*M1470</f>
        <v>0.576</v>
      </c>
      <c r="O1470" s="41" t="n">
        <f aca="false">IFERROR(INDEX(Исходные!$B$21:$B$33,MATCH(H1470,Исходные!$A$21:$A$33,0)),0)</f>
        <v>1.998</v>
      </c>
      <c r="P1470" s="83" t="n">
        <f aca="false">N1470*O1470</f>
        <v>1.150848</v>
      </c>
      <c r="Q1470" s="20" t="s">
        <v>666</v>
      </c>
      <c r="R1470" s="84" t="s">
        <v>667</v>
      </c>
      <c r="S1470" s="20" t="s">
        <v>805</v>
      </c>
      <c r="T1470" s="20" t="s">
        <v>123</v>
      </c>
      <c r="U1470" s="53" t="n">
        <v>0</v>
      </c>
      <c r="V1470" s="76" t="s">
        <v>801</v>
      </c>
      <c r="W1470" s="53" t="n">
        <v>4</v>
      </c>
    </row>
    <row r="1471" customFormat="false" ht="35.05" hidden="false" customHeight="false" outlineLevel="0" collapsed="false">
      <c r="A1471" s="76" t="n">
        <v>1439</v>
      </c>
      <c r="B1471" s="20" t="s">
        <v>1691</v>
      </c>
      <c r="C1471" s="20" t="s">
        <v>655</v>
      </c>
      <c r="D1471" s="20" t="s">
        <v>1779</v>
      </c>
      <c r="E1471" s="20" t="s">
        <v>801</v>
      </c>
      <c r="F1471" s="76" t="s">
        <v>669</v>
      </c>
      <c r="G1471" s="20" t="s">
        <v>670</v>
      </c>
      <c r="H1471" s="55" t="n">
        <v>16</v>
      </c>
      <c r="I1471" s="76" t="s">
        <v>512</v>
      </c>
      <c r="J1471" s="76" t="s">
        <v>164</v>
      </c>
      <c r="K1471" s="82" t="n">
        <v>2</v>
      </c>
      <c r="L1471" s="55" t="n">
        <v>2</v>
      </c>
      <c r="M1471" s="73" t="n">
        <v>20.5</v>
      </c>
      <c r="N1471" s="74" t="n">
        <f aca="false">K1471*L1471*M1471</f>
        <v>82</v>
      </c>
      <c r="O1471" s="41" t="n">
        <f aca="false">IFERROR(INDEX(Исходные!$B$21:$B$33,MATCH(H1471,Исходные!$A$21:$A$33,0)),0)</f>
        <v>1.578</v>
      </c>
      <c r="P1471" s="83" t="n">
        <f aca="false">N1471*O1471</f>
        <v>129.396</v>
      </c>
      <c r="Q1471" s="20" t="s">
        <v>671</v>
      </c>
      <c r="R1471" s="84" t="s">
        <v>660</v>
      </c>
      <c r="S1471" s="20"/>
      <c r="T1471" s="20" t="s">
        <v>123</v>
      </c>
      <c r="U1471" s="53" t="n">
        <v>0</v>
      </c>
      <c r="V1471" s="76" t="s">
        <v>801</v>
      </c>
      <c r="W1471" s="53" t="n">
        <v>4</v>
      </c>
    </row>
    <row r="1472" customFormat="false" ht="35.05" hidden="false" customHeight="false" outlineLevel="0" collapsed="false">
      <c r="A1472" s="76" t="n">
        <v>1440</v>
      </c>
      <c r="B1472" s="20" t="s">
        <v>1691</v>
      </c>
      <c r="C1472" s="20" t="s">
        <v>655</v>
      </c>
      <c r="D1472" s="20" t="s">
        <v>1779</v>
      </c>
      <c r="E1472" s="20" t="s">
        <v>801</v>
      </c>
      <c r="F1472" s="76" t="s">
        <v>672</v>
      </c>
      <c r="G1472" s="20" t="s">
        <v>806</v>
      </c>
      <c r="H1472" s="55" t="n">
        <v>16</v>
      </c>
      <c r="I1472" s="76" t="s">
        <v>512</v>
      </c>
      <c r="J1472" s="76" t="s">
        <v>164</v>
      </c>
      <c r="K1472" s="82" t="n">
        <v>4</v>
      </c>
      <c r="L1472" s="55" t="n">
        <v>1</v>
      </c>
      <c r="M1472" s="73" t="n">
        <v>0.128</v>
      </c>
      <c r="N1472" s="74" t="n">
        <f aca="false">K1472*L1472*M1472</f>
        <v>0.512</v>
      </c>
      <c r="O1472" s="41" t="n">
        <f aca="false">IFERROR(INDEX(Исходные!$B$21:$B$33,MATCH(H1472,Исходные!$A$21:$A$33,0)),0)</f>
        <v>1.578</v>
      </c>
      <c r="P1472" s="83" t="n">
        <f aca="false">N1472*O1472</f>
        <v>0.807936</v>
      </c>
      <c r="Q1472" s="20" t="s">
        <v>674</v>
      </c>
      <c r="R1472" s="84" t="s">
        <v>667</v>
      </c>
      <c r="S1472" s="20" t="s">
        <v>807</v>
      </c>
      <c r="T1472" s="20" t="s">
        <v>123</v>
      </c>
      <c r="U1472" s="53" t="n">
        <v>0</v>
      </c>
      <c r="V1472" s="76" t="s">
        <v>801</v>
      </c>
      <c r="W1472" s="53" t="n">
        <v>4</v>
      </c>
    </row>
    <row r="1473" customFormat="false" ht="35.05" hidden="false" customHeight="false" outlineLevel="0" collapsed="false">
      <c r="A1473" s="76" t="n">
        <v>1441</v>
      </c>
      <c r="B1473" s="20" t="s">
        <v>1691</v>
      </c>
      <c r="C1473" s="20" t="s">
        <v>655</v>
      </c>
      <c r="D1473" s="20" t="s">
        <v>1779</v>
      </c>
      <c r="E1473" s="20" t="s">
        <v>801</v>
      </c>
      <c r="F1473" s="76" t="s">
        <v>676</v>
      </c>
      <c r="G1473" s="20" t="s">
        <v>1780</v>
      </c>
      <c r="H1473" s="55" t="n">
        <v>18</v>
      </c>
      <c r="I1473" s="76" t="s">
        <v>512</v>
      </c>
      <c r="J1473" s="76" t="s">
        <v>164</v>
      </c>
      <c r="K1473" s="82" t="n">
        <v>2</v>
      </c>
      <c r="L1473" s="55" t="n">
        <v>2</v>
      </c>
      <c r="M1473" s="73" t="n">
        <v>2.05</v>
      </c>
      <c r="N1473" s="74" t="n">
        <f aca="false">K1473*L1473*M1473</f>
        <v>8.2</v>
      </c>
      <c r="O1473" s="41" t="n">
        <f aca="false">IFERROR(INDEX(Исходные!$B$21:$B$33,MATCH(H1473,Исходные!$A$21:$A$33,0)),0)</f>
        <v>1.998</v>
      </c>
      <c r="P1473" s="83" t="n">
        <f aca="false">N1473*O1473</f>
        <v>16.3836</v>
      </c>
      <c r="Q1473" s="20" t="s">
        <v>1781</v>
      </c>
      <c r="R1473" s="84" t="s">
        <v>660</v>
      </c>
      <c r="S1473" s="20" t="s">
        <v>1369</v>
      </c>
      <c r="T1473" s="20" t="s">
        <v>123</v>
      </c>
      <c r="U1473" s="53" t="n">
        <v>0</v>
      </c>
      <c r="V1473" s="76" t="s">
        <v>801</v>
      </c>
      <c r="W1473" s="53" t="n">
        <v>4</v>
      </c>
    </row>
    <row r="1474" customFormat="false" ht="35.05" hidden="false" customHeight="false" outlineLevel="0" collapsed="false">
      <c r="A1474" s="76" t="n">
        <v>1442</v>
      </c>
      <c r="B1474" s="20" t="s">
        <v>1691</v>
      </c>
      <c r="C1474" s="20" t="s">
        <v>655</v>
      </c>
      <c r="D1474" s="20" t="s">
        <v>1779</v>
      </c>
      <c r="E1474" s="20" t="s">
        <v>801</v>
      </c>
      <c r="F1474" s="76" t="s">
        <v>676</v>
      </c>
      <c r="G1474" s="20" t="s">
        <v>810</v>
      </c>
      <c r="H1474" s="55" t="n">
        <v>28</v>
      </c>
      <c r="I1474" s="76" t="s">
        <v>512</v>
      </c>
      <c r="J1474" s="76" t="s">
        <v>164</v>
      </c>
      <c r="K1474" s="82" t="n">
        <v>2</v>
      </c>
      <c r="L1474" s="55" t="n">
        <v>2</v>
      </c>
      <c r="M1474" s="73" t="n">
        <v>3.8</v>
      </c>
      <c r="N1474" s="74" t="n">
        <f aca="false">K1474*L1474*M1474</f>
        <v>15.2</v>
      </c>
      <c r="O1474" s="41" t="n">
        <f aca="false">IFERROR(INDEX(Исходные!$B$21:$B$33,MATCH(H1474,Исходные!$A$21:$A$33,0)),0)</f>
        <v>4.834</v>
      </c>
      <c r="P1474" s="83" t="n">
        <f aca="false">N1474*O1474</f>
        <v>73.4768</v>
      </c>
      <c r="Q1474" s="20" t="s">
        <v>1782</v>
      </c>
      <c r="R1474" s="84" t="s">
        <v>660</v>
      </c>
      <c r="S1474" s="20" t="s">
        <v>812</v>
      </c>
      <c r="T1474" s="20" t="s">
        <v>123</v>
      </c>
      <c r="U1474" s="53" t="n">
        <v>0</v>
      </c>
      <c r="V1474" s="76" t="s">
        <v>801</v>
      </c>
      <c r="W1474" s="53" t="n">
        <v>4</v>
      </c>
    </row>
    <row r="1475" customFormat="false" ht="35.05" hidden="false" customHeight="false" outlineLevel="0" collapsed="false">
      <c r="A1475" s="76" t="n">
        <v>1443</v>
      </c>
      <c r="B1475" s="20" t="s">
        <v>1691</v>
      </c>
      <c r="C1475" s="20" t="s">
        <v>655</v>
      </c>
      <c r="D1475" s="20" t="s">
        <v>1779</v>
      </c>
      <c r="E1475" s="20" t="s">
        <v>801</v>
      </c>
      <c r="F1475" s="76" t="s">
        <v>676</v>
      </c>
      <c r="G1475" s="20" t="s">
        <v>1401</v>
      </c>
      <c r="H1475" s="55" t="n">
        <v>28</v>
      </c>
      <c r="I1475" s="76" t="s">
        <v>512</v>
      </c>
      <c r="J1475" s="76" t="s">
        <v>164</v>
      </c>
      <c r="K1475" s="82" t="n">
        <v>2</v>
      </c>
      <c r="L1475" s="55" t="n">
        <v>2</v>
      </c>
      <c r="M1475" s="73" t="n">
        <v>3.8</v>
      </c>
      <c r="N1475" s="74" t="n">
        <f aca="false">K1475*L1475*M1475</f>
        <v>15.2</v>
      </c>
      <c r="O1475" s="41" t="n">
        <f aca="false">IFERROR(INDEX(Исходные!$B$21:$B$33,MATCH(H1475,Исходные!$A$21:$A$33,0)),0)</f>
        <v>4.834</v>
      </c>
      <c r="P1475" s="83" t="n">
        <f aca="false">N1475*O1475</f>
        <v>73.4768</v>
      </c>
      <c r="Q1475" s="20" t="s">
        <v>1782</v>
      </c>
      <c r="R1475" s="84" t="s">
        <v>660</v>
      </c>
      <c r="S1475" s="20" t="s">
        <v>815</v>
      </c>
      <c r="T1475" s="20" t="s">
        <v>123</v>
      </c>
      <c r="U1475" s="53" t="n">
        <v>0</v>
      </c>
      <c r="V1475" s="76" t="s">
        <v>801</v>
      </c>
      <c r="W1475" s="53" t="n">
        <v>4</v>
      </c>
    </row>
    <row r="1476" customFormat="false" ht="35.05" hidden="false" customHeight="false" outlineLevel="0" collapsed="false">
      <c r="A1476" s="76" t="n">
        <v>1444</v>
      </c>
      <c r="B1476" s="20" t="s">
        <v>1691</v>
      </c>
      <c r="C1476" s="20" t="s">
        <v>655</v>
      </c>
      <c r="D1476" s="20" t="s">
        <v>1779</v>
      </c>
      <c r="E1476" s="20" t="s">
        <v>801</v>
      </c>
      <c r="F1476" s="76" t="s">
        <v>676</v>
      </c>
      <c r="G1476" s="20" t="s">
        <v>816</v>
      </c>
      <c r="H1476" s="55" t="n">
        <v>28</v>
      </c>
      <c r="I1476" s="76" t="s">
        <v>512</v>
      </c>
      <c r="J1476" s="76" t="s">
        <v>164</v>
      </c>
      <c r="K1476" s="82" t="n">
        <v>2</v>
      </c>
      <c r="L1476" s="55" t="n">
        <v>2</v>
      </c>
      <c r="M1476" s="73" t="n">
        <v>2.05</v>
      </c>
      <c r="N1476" s="74" t="n">
        <f aca="false">K1476*L1476*M1476</f>
        <v>8.2</v>
      </c>
      <c r="O1476" s="41" t="n">
        <f aca="false">IFERROR(INDEX(Исходные!$B$21:$B$33,MATCH(H1476,Исходные!$A$21:$A$33,0)),0)</f>
        <v>4.834</v>
      </c>
      <c r="P1476" s="83" t="n">
        <f aca="false">N1476*O1476</f>
        <v>39.6388</v>
      </c>
      <c r="Q1476" s="20" t="s">
        <v>1782</v>
      </c>
      <c r="R1476" s="84" t="s">
        <v>660</v>
      </c>
      <c r="S1476" s="20" t="s">
        <v>1372</v>
      </c>
      <c r="T1476" s="20" t="s">
        <v>123</v>
      </c>
      <c r="U1476" s="53" t="n">
        <v>0</v>
      </c>
      <c r="V1476" s="76" t="s">
        <v>801</v>
      </c>
      <c r="W1476" s="53" t="n">
        <v>4</v>
      </c>
    </row>
    <row r="1477" customFormat="false" ht="35.05" hidden="false" customHeight="false" outlineLevel="0" collapsed="false">
      <c r="A1477" s="76" t="n">
        <v>1445</v>
      </c>
      <c r="B1477" s="20" t="s">
        <v>1691</v>
      </c>
      <c r="C1477" s="20" t="s">
        <v>655</v>
      </c>
      <c r="D1477" s="20" t="s">
        <v>1779</v>
      </c>
      <c r="E1477" s="20" t="s">
        <v>801</v>
      </c>
      <c r="F1477" s="76" t="s">
        <v>676</v>
      </c>
      <c r="G1477" s="20" t="s">
        <v>821</v>
      </c>
      <c r="H1477" s="55" t="n">
        <v>16</v>
      </c>
      <c r="I1477" s="76" t="s">
        <v>512</v>
      </c>
      <c r="J1477" s="76" t="s">
        <v>164</v>
      </c>
      <c r="K1477" s="82" t="n">
        <v>2</v>
      </c>
      <c r="L1477" s="55" t="n">
        <v>2</v>
      </c>
      <c r="M1477" s="73" t="n">
        <v>3</v>
      </c>
      <c r="N1477" s="74" t="n">
        <f aca="false">K1477*L1477*M1477</f>
        <v>12</v>
      </c>
      <c r="O1477" s="41" t="n">
        <f aca="false">IFERROR(INDEX(Исходные!$B$21:$B$33,MATCH(H1477,Исходные!$A$21:$A$33,0)),0)</f>
        <v>1.578</v>
      </c>
      <c r="P1477" s="83" t="n">
        <f aca="false">N1477*O1477</f>
        <v>18.936</v>
      </c>
      <c r="Q1477" s="20" t="s">
        <v>1783</v>
      </c>
      <c r="R1477" s="84" t="s">
        <v>660</v>
      </c>
      <c r="S1477" s="20" t="s">
        <v>822</v>
      </c>
      <c r="T1477" s="20" t="s">
        <v>123</v>
      </c>
      <c r="U1477" s="53" t="n">
        <v>0</v>
      </c>
      <c r="V1477" s="76" t="s">
        <v>801</v>
      </c>
      <c r="W1477" s="53" t="n">
        <v>4</v>
      </c>
    </row>
    <row r="1478" customFormat="false" ht="35.05" hidden="false" customHeight="false" outlineLevel="0" collapsed="false">
      <c r="A1478" s="76" t="n">
        <v>1446</v>
      </c>
      <c r="B1478" s="20" t="s">
        <v>1691</v>
      </c>
      <c r="C1478" s="20" t="s">
        <v>655</v>
      </c>
      <c r="D1478" s="20" t="s">
        <v>1779</v>
      </c>
      <c r="E1478" s="20" t="s">
        <v>801</v>
      </c>
      <c r="F1478" s="76" t="s">
        <v>676</v>
      </c>
      <c r="G1478" s="20" t="s">
        <v>735</v>
      </c>
      <c r="H1478" s="55" t="n">
        <v>16</v>
      </c>
      <c r="I1478" s="76" t="s">
        <v>512</v>
      </c>
      <c r="J1478" s="76" t="s">
        <v>164</v>
      </c>
      <c r="K1478" s="82" t="n">
        <v>2</v>
      </c>
      <c r="L1478" s="55" t="n">
        <v>2</v>
      </c>
      <c r="M1478" s="73" t="n">
        <v>2.9</v>
      </c>
      <c r="N1478" s="74" t="n">
        <f aca="false">K1478*L1478*M1478</f>
        <v>11.6</v>
      </c>
      <c r="O1478" s="41" t="n">
        <f aca="false">IFERROR(INDEX(Исходные!$B$21:$B$33,MATCH(H1478,Исходные!$A$21:$A$33,0)),0)</f>
        <v>1.578</v>
      </c>
      <c r="P1478" s="83" t="n">
        <f aca="false">N1478*O1478</f>
        <v>18.3048</v>
      </c>
      <c r="Q1478" s="20" t="s">
        <v>1783</v>
      </c>
      <c r="R1478" s="84" t="s">
        <v>660</v>
      </c>
      <c r="S1478" s="20" t="s">
        <v>823</v>
      </c>
      <c r="T1478" s="20" t="s">
        <v>123</v>
      </c>
      <c r="U1478" s="53" t="n">
        <v>0</v>
      </c>
      <c r="V1478" s="76" t="s">
        <v>801</v>
      </c>
      <c r="W1478" s="53" t="n">
        <v>4</v>
      </c>
    </row>
    <row r="1479" customFormat="false" ht="35.05" hidden="false" customHeight="false" outlineLevel="0" collapsed="false">
      <c r="A1479" s="76" t="n">
        <v>1447</v>
      </c>
      <c r="B1479" s="20" t="s">
        <v>1691</v>
      </c>
      <c r="C1479" s="20" t="s">
        <v>655</v>
      </c>
      <c r="D1479" s="20" t="s">
        <v>1779</v>
      </c>
      <c r="E1479" s="20" t="s">
        <v>801</v>
      </c>
      <c r="F1479" s="76" t="s">
        <v>676</v>
      </c>
      <c r="G1479" s="20" t="s">
        <v>824</v>
      </c>
      <c r="H1479" s="55" t="n">
        <v>12</v>
      </c>
      <c r="I1479" s="76" t="s">
        <v>512</v>
      </c>
      <c r="J1479" s="76" t="s">
        <v>164</v>
      </c>
      <c r="K1479" s="82" t="n">
        <v>2</v>
      </c>
      <c r="L1479" s="55" t="n">
        <v>4</v>
      </c>
      <c r="M1479" s="73" t="n">
        <v>2.05</v>
      </c>
      <c r="N1479" s="74" t="n">
        <f aca="false">K1479*L1479*M1479</f>
        <v>16.4</v>
      </c>
      <c r="O1479" s="41" t="n">
        <f aca="false">IFERROR(INDEX(Исходные!$B$21:$B$33,MATCH(H1479,Исходные!$A$21:$A$33,0)),0)</f>
        <v>0.888</v>
      </c>
      <c r="P1479" s="83" t="n">
        <f aca="false">N1479*O1479</f>
        <v>14.5632</v>
      </c>
      <c r="Q1479" s="20" t="s">
        <v>1784</v>
      </c>
      <c r="R1479" s="84" t="s">
        <v>660</v>
      </c>
      <c r="S1479" s="20" t="s">
        <v>1369</v>
      </c>
      <c r="T1479" s="20" t="s">
        <v>123</v>
      </c>
      <c r="U1479" s="53" t="n">
        <v>0</v>
      </c>
      <c r="V1479" s="76" t="s">
        <v>801</v>
      </c>
      <c r="W1479" s="53" t="n">
        <v>4</v>
      </c>
    </row>
    <row r="1480" customFormat="false" ht="35.05" hidden="false" customHeight="false" outlineLevel="0" collapsed="false">
      <c r="A1480" s="76" t="n">
        <v>1448</v>
      </c>
      <c r="B1480" s="20" t="s">
        <v>1691</v>
      </c>
      <c r="C1480" s="20" t="s">
        <v>655</v>
      </c>
      <c r="D1480" s="20" t="s">
        <v>1779</v>
      </c>
      <c r="E1480" s="20" t="s">
        <v>801</v>
      </c>
      <c r="F1480" s="76" t="s">
        <v>676</v>
      </c>
      <c r="G1480" s="20" t="s">
        <v>879</v>
      </c>
      <c r="H1480" s="55" t="n">
        <v>12</v>
      </c>
      <c r="I1480" s="76" t="s">
        <v>512</v>
      </c>
      <c r="J1480" s="76" t="s">
        <v>164</v>
      </c>
      <c r="K1480" s="82" t="n">
        <v>2</v>
      </c>
      <c r="L1480" s="55" t="n">
        <v>4</v>
      </c>
      <c r="M1480" s="73" t="n">
        <v>3.8</v>
      </c>
      <c r="N1480" s="74" t="n">
        <f aca="false">K1480*L1480*M1480</f>
        <v>30.4</v>
      </c>
      <c r="O1480" s="41" t="n">
        <f aca="false">IFERROR(INDEX(Исходные!$B$21:$B$33,MATCH(H1480,Исходные!$A$21:$A$33,0)),0)</f>
        <v>0.888</v>
      </c>
      <c r="P1480" s="83" t="n">
        <f aca="false">N1480*O1480</f>
        <v>26.9952</v>
      </c>
      <c r="Q1480" s="20" t="s">
        <v>1784</v>
      </c>
      <c r="R1480" s="84" t="s">
        <v>660</v>
      </c>
      <c r="S1480" s="20" t="s">
        <v>812</v>
      </c>
      <c r="T1480" s="20" t="s">
        <v>123</v>
      </c>
      <c r="U1480" s="53" t="n">
        <v>0</v>
      </c>
      <c r="V1480" s="76" t="s">
        <v>801</v>
      </c>
      <c r="W1480" s="53" t="n">
        <v>4</v>
      </c>
    </row>
    <row r="1481" customFormat="false" ht="35.05" hidden="false" customHeight="false" outlineLevel="0" collapsed="false">
      <c r="A1481" s="76" t="n">
        <v>1449</v>
      </c>
      <c r="B1481" s="20" t="s">
        <v>1691</v>
      </c>
      <c r="C1481" s="20" t="s">
        <v>655</v>
      </c>
      <c r="D1481" s="20" t="s">
        <v>1779</v>
      </c>
      <c r="E1481" s="20" t="s">
        <v>801</v>
      </c>
      <c r="F1481" s="76" t="s">
        <v>696</v>
      </c>
      <c r="G1481" s="20" t="s">
        <v>1308</v>
      </c>
      <c r="H1481" s="55" t="n">
        <v>8</v>
      </c>
      <c r="I1481" s="76" t="s">
        <v>546</v>
      </c>
      <c r="J1481" s="76" t="s">
        <v>698</v>
      </c>
      <c r="K1481" s="82" t="n">
        <v>2</v>
      </c>
      <c r="L1481" s="55" t="n">
        <v>101</v>
      </c>
      <c r="M1481" s="73" t="n">
        <v>2.06</v>
      </c>
      <c r="N1481" s="74" t="n">
        <f aca="false">K1481*L1481*M1481</f>
        <v>416.12</v>
      </c>
      <c r="O1481" s="41" t="n">
        <f aca="false">IFERROR(INDEX(Исходные!$B$21:$B$33,MATCH(H1481,Исходные!$A$21:$A$33,0)),0)</f>
        <v>0.395</v>
      </c>
      <c r="P1481" s="83" t="n">
        <f aca="false">N1481*O1481</f>
        <v>164.3674</v>
      </c>
      <c r="Q1481" s="20" t="s">
        <v>1309</v>
      </c>
      <c r="R1481" s="84" t="s">
        <v>514</v>
      </c>
      <c r="S1481" s="20" t="s">
        <v>1375</v>
      </c>
      <c r="T1481" s="20" t="s">
        <v>123</v>
      </c>
      <c r="U1481" s="53" t="n">
        <v>0</v>
      </c>
      <c r="V1481" s="76" t="s">
        <v>801</v>
      </c>
      <c r="W1481" s="53" t="n">
        <v>4</v>
      </c>
    </row>
    <row r="1482" customFormat="false" ht="35.05" hidden="false" customHeight="false" outlineLevel="0" collapsed="false">
      <c r="A1482" s="76" t="n">
        <v>1450</v>
      </c>
      <c r="B1482" s="20" t="s">
        <v>1691</v>
      </c>
      <c r="C1482" s="20" t="s">
        <v>655</v>
      </c>
      <c r="D1482" s="20" t="s">
        <v>1779</v>
      </c>
      <c r="E1482" s="20" t="s">
        <v>801</v>
      </c>
      <c r="F1482" s="76" t="s">
        <v>561</v>
      </c>
      <c r="G1482" s="20" t="s">
        <v>1311</v>
      </c>
      <c r="H1482" s="55" t="n">
        <v>10</v>
      </c>
      <c r="I1482" s="76" t="s">
        <v>546</v>
      </c>
      <c r="J1482" s="76" t="n">
        <v>100</v>
      </c>
      <c r="K1482" s="82" t="n">
        <v>2</v>
      </c>
      <c r="L1482" s="55" t="n">
        <v>47</v>
      </c>
      <c r="M1482" s="73" t="n">
        <v>2.06</v>
      </c>
      <c r="N1482" s="74" t="n">
        <f aca="false">K1482*L1482*M1482</f>
        <v>193.64</v>
      </c>
      <c r="O1482" s="41" t="n">
        <f aca="false">IFERROR(INDEX(Исходные!$B$21:$B$33,MATCH(H1482,Исходные!$A$21:$A$33,0)),0)</f>
        <v>0.617</v>
      </c>
      <c r="P1482" s="83" t="n">
        <f aca="false">N1482*O1482</f>
        <v>119.47588</v>
      </c>
      <c r="Q1482" s="20" t="s">
        <v>1785</v>
      </c>
      <c r="R1482" s="84" t="s">
        <v>514</v>
      </c>
      <c r="S1482" s="20" t="s">
        <v>1377</v>
      </c>
      <c r="T1482" s="20" t="s">
        <v>123</v>
      </c>
      <c r="U1482" s="53" t="n">
        <v>0</v>
      </c>
      <c r="V1482" s="76" t="s">
        <v>801</v>
      </c>
      <c r="W1482" s="53" t="n">
        <v>4</v>
      </c>
    </row>
    <row r="1483" customFormat="false" ht="35.05" hidden="false" customHeight="false" outlineLevel="0" collapsed="false">
      <c r="A1483" s="76" t="n">
        <v>1451</v>
      </c>
      <c r="B1483" s="20" t="s">
        <v>1691</v>
      </c>
      <c r="C1483" s="20" t="s">
        <v>655</v>
      </c>
      <c r="D1483" s="20" t="s">
        <v>1779</v>
      </c>
      <c r="E1483" s="20" t="s">
        <v>801</v>
      </c>
      <c r="F1483" s="76" t="s">
        <v>706</v>
      </c>
      <c r="G1483" s="20" t="s">
        <v>1314</v>
      </c>
      <c r="H1483" s="55" t="n">
        <v>8</v>
      </c>
      <c r="I1483" s="76" t="s">
        <v>546</v>
      </c>
      <c r="J1483" s="76" t="s">
        <v>708</v>
      </c>
      <c r="K1483" s="82" t="n">
        <v>2</v>
      </c>
      <c r="L1483" s="55" t="n">
        <v>99</v>
      </c>
      <c r="M1483" s="73" t="n">
        <v>0.75</v>
      </c>
      <c r="N1483" s="74" t="n">
        <f aca="false">K1483*L1483*M1483</f>
        <v>148.5</v>
      </c>
      <c r="O1483" s="41" t="n">
        <f aca="false">IFERROR(INDEX(Исходные!$B$21:$B$33,MATCH(H1483,Исходные!$A$21:$A$33,0)),0)</f>
        <v>0.395</v>
      </c>
      <c r="P1483" s="83" t="n">
        <f aca="false">N1483*O1483</f>
        <v>58.6575</v>
      </c>
      <c r="Q1483" s="20" t="s">
        <v>709</v>
      </c>
      <c r="R1483" s="84" t="s">
        <v>514</v>
      </c>
      <c r="S1483" s="20"/>
      <c r="T1483" s="20" t="s">
        <v>123</v>
      </c>
      <c r="U1483" s="53" t="n">
        <v>0</v>
      </c>
      <c r="V1483" s="76" t="s">
        <v>801</v>
      </c>
      <c r="W1483" s="53" t="n">
        <v>4</v>
      </c>
    </row>
    <row r="1484" customFormat="false" ht="35.05" hidden="false" customHeight="false" outlineLevel="0" collapsed="false">
      <c r="A1484" s="76" t="n">
        <v>1452</v>
      </c>
      <c r="B1484" s="20" t="s">
        <v>1691</v>
      </c>
      <c r="C1484" s="20" t="s">
        <v>655</v>
      </c>
      <c r="D1484" s="20" t="s">
        <v>1779</v>
      </c>
      <c r="E1484" s="20" t="s">
        <v>801</v>
      </c>
      <c r="F1484" s="76" t="s">
        <v>710</v>
      </c>
      <c r="G1484" s="20" t="s">
        <v>1315</v>
      </c>
      <c r="H1484" s="55" t="n">
        <v>8</v>
      </c>
      <c r="I1484" s="76" t="s">
        <v>546</v>
      </c>
      <c r="J1484" s="76" t="n">
        <v>300</v>
      </c>
      <c r="K1484" s="82" t="n">
        <v>2</v>
      </c>
      <c r="L1484" s="55" t="n">
        <v>62</v>
      </c>
      <c r="M1484" s="73" t="n">
        <v>0.58</v>
      </c>
      <c r="N1484" s="74" t="n">
        <f aca="false">K1484*L1484*M1484</f>
        <v>71.92</v>
      </c>
      <c r="O1484" s="41" t="n">
        <f aca="false">IFERROR(INDEX(Исходные!$B$21:$B$33,MATCH(H1484,Исходные!$A$21:$A$33,0)),0)</f>
        <v>0.395</v>
      </c>
      <c r="P1484" s="83" t="n">
        <f aca="false">N1484*O1484</f>
        <v>28.4084</v>
      </c>
      <c r="Q1484" s="20" t="s">
        <v>1316</v>
      </c>
      <c r="R1484" s="85" t="s">
        <v>638</v>
      </c>
      <c r="S1484" s="20"/>
      <c r="T1484" s="20" t="s">
        <v>123</v>
      </c>
      <c r="U1484" s="53" t="n">
        <v>1</v>
      </c>
      <c r="V1484" s="76" t="s">
        <v>801</v>
      </c>
      <c r="W1484" s="53" t="n">
        <v>4</v>
      </c>
    </row>
    <row r="1485" customFormat="false" ht="35.05" hidden="false" customHeight="false" outlineLevel="0" collapsed="false">
      <c r="A1485" s="76" t="n">
        <v>1453</v>
      </c>
      <c r="B1485" s="20" t="s">
        <v>1691</v>
      </c>
      <c r="C1485" s="20" t="s">
        <v>655</v>
      </c>
      <c r="D1485" s="20" t="s">
        <v>1786</v>
      </c>
      <c r="E1485" s="20" t="s">
        <v>830</v>
      </c>
      <c r="F1485" s="76" t="s">
        <v>519</v>
      </c>
      <c r="G1485" s="20" t="s">
        <v>658</v>
      </c>
      <c r="H1485" s="55" t="n">
        <v>28</v>
      </c>
      <c r="I1485" s="76" t="s">
        <v>512</v>
      </c>
      <c r="J1485" s="76" t="s">
        <v>164</v>
      </c>
      <c r="K1485" s="82" t="n">
        <v>1</v>
      </c>
      <c r="L1485" s="55" t="n">
        <v>4</v>
      </c>
      <c r="M1485" s="73" t="n">
        <v>20.5</v>
      </c>
      <c r="N1485" s="74" t="n">
        <f aca="false">K1485*L1485*M1485</f>
        <v>82</v>
      </c>
      <c r="O1485" s="41" t="n">
        <f aca="false">IFERROR(INDEX(Исходные!$B$21:$B$33,MATCH(H1485,Исходные!$A$21:$A$33,0)),0)</f>
        <v>4.834</v>
      </c>
      <c r="P1485" s="83" t="n">
        <f aca="false">N1485*O1485</f>
        <v>396.388</v>
      </c>
      <c r="Q1485" s="20" t="s">
        <v>1379</v>
      </c>
      <c r="R1485" s="84" t="s">
        <v>660</v>
      </c>
      <c r="S1485" s="20" t="s">
        <v>832</v>
      </c>
      <c r="T1485" s="20" t="s">
        <v>123</v>
      </c>
      <c r="U1485" s="53" t="n">
        <v>0</v>
      </c>
      <c r="V1485" s="76" t="s">
        <v>830</v>
      </c>
      <c r="W1485" s="53" t="n">
        <v>4</v>
      </c>
    </row>
    <row r="1486" customFormat="false" ht="35.05" hidden="false" customHeight="false" outlineLevel="0" collapsed="false">
      <c r="A1486" s="76" t="n">
        <v>1454</v>
      </c>
      <c r="B1486" s="20" t="s">
        <v>1691</v>
      </c>
      <c r="C1486" s="20" t="s">
        <v>655</v>
      </c>
      <c r="D1486" s="20" t="s">
        <v>1786</v>
      </c>
      <c r="E1486" s="20" t="s">
        <v>830</v>
      </c>
      <c r="F1486" s="76" t="s">
        <v>529</v>
      </c>
      <c r="G1486" s="20" t="s">
        <v>662</v>
      </c>
      <c r="H1486" s="55" t="n">
        <v>18</v>
      </c>
      <c r="I1486" s="76" t="s">
        <v>512</v>
      </c>
      <c r="J1486" s="76" t="s">
        <v>164</v>
      </c>
      <c r="K1486" s="82" t="n">
        <v>1</v>
      </c>
      <c r="L1486" s="55" t="n">
        <v>2</v>
      </c>
      <c r="M1486" s="73" t="n">
        <v>20.5</v>
      </c>
      <c r="N1486" s="74" t="n">
        <f aca="false">K1486*L1486*M1486</f>
        <v>41</v>
      </c>
      <c r="O1486" s="41" t="n">
        <f aca="false">IFERROR(INDEX(Исходные!$B$21:$B$33,MATCH(H1486,Исходные!$A$21:$A$33,0)),0)</f>
        <v>1.998</v>
      </c>
      <c r="P1486" s="83" t="n">
        <f aca="false">N1486*O1486</f>
        <v>81.918</v>
      </c>
      <c r="Q1486" s="20" t="s">
        <v>663</v>
      </c>
      <c r="R1486" s="84" t="s">
        <v>660</v>
      </c>
      <c r="S1486" s="20"/>
      <c r="T1486" s="20" t="s">
        <v>123</v>
      </c>
      <c r="U1486" s="53" t="n">
        <v>0</v>
      </c>
      <c r="V1486" s="76" t="s">
        <v>830</v>
      </c>
      <c r="W1486" s="53" t="n">
        <v>4</v>
      </c>
    </row>
    <row r="1487" customFormat="false" ht="35.05" hidden="false" customHeight="false" outlineLevel="0" collapsed="false">
      <c r="A1487" s="76" t="n">
        <v>1455</v>
      </c>
      <c r="B1487" s="20" t="s">
        <v>1691</v>
      </c>
      <c r="C1487" s="20" t="s">
        <v>655</v>
      </c>
      <c r="D1487" s="20" t="s">
        <v>1786</v>
      </c>
      <c r="E1487" s="20" t="s">
        <v>830</v>
      </c>
      <c r="F1487" s="76" t="s">
        <v>664</v>
      </c>
      <c r="G1487" s="20" t="s">
        <v>833</v>
      </c>
      <c r="H1487" s="55" t="n">
        <v>18</v>
      </c>
      <c r="I1487" s="76" t="s">
        <v>512</v>
      </c>
      <c r="J1487" s="76" t="s">
        <v>164</v>
      </c>
      <c r="K1487" s="82" t="n">
        <v>2</v>
      </c>
      <c r="L1487" s="55" t="n">
        <v>1</v>
      </c>
      <c r="M1487" s="73" t="n">
        <v>0.144</v>
      </c>
      <c r="N1487" s="74" t="n">
        <f aca="false">K1487*L1487*M1487</f>
        <v>0.288</v>
      </c>
      <c r="O1487" s="41" t="n">
        <f aca="false">IFERROR(INDEX(Исходные!$B$21:$B$33,MATCH(H1487,Исходные!$A$21:$A$33,0)),0)</f>
        <v>1.998</v>
      </c>
      <c r="P1487" s="83" t="n">
        <f aca="false">N1487*O1487</f>
        <v>0.575424</v>
      </c>
      <c r="Q1487" s="20" t="s">
        <v>666</v>
      </c>
      <c r="R1487" s="84" t="s">
        <v>667</v>
      </c>
      <c r="S1487" s="20" t="s">
        <v>805</v>
      </c>
      <c r="T1487" s="20" t="s">
        <v>123</v>
      </c>
      <c r="U1487" s="53" t="n">
        <v>0</v>
      </c>
      <c r="V1487" s="76" t="s">
        <v>830</v>
      </c>
      <c r="W1487" s="53" t="n">
        <v>4</v>
      </c>
    </row>
    <row r="1488" customFormat="false" ht="35.05" hidden="false" customHeight="false" outlineLevel="0" collapsed="false">
      <c r="A1488" s="76" t="n">
        <v>1456</v>
      </c>
      <c r="B1488" s="20" t="s">
        <v>1691</v>
      </c>
      <c r="C1488" s="20" t="s">
        <v>655</v>
      </c>
      <c r="D1488" s="20" t="s">
        <v>1786</v>
      </c>
      <c r="E1488" s="20" t="s">
        <v>830</v>
      </c>
      <c r="F1488" s="76" t="s">
        <v>669</v>
      </c>
      <c r="G1488" s="20" t="s">
        <v>670</v>
      </c>
      <c r="H1488" s="55" t="n">
        <v>16</v>
      </c>
      <c r="I1488" s="76" t="s">
        <v>512</v>
      </c>
      <c r="J1488" s="76" t="s">
        <v>164</v>
      </c>
      <c r="K1488" s="82" t="n">
        <v>1</v>
      </c>
      <c r="L1488" s="55" t="n">
        <v>2</v>
      </c>
      <c r="M1488" s="73" t="n">
        <v>20.5</v>
      </c>
      <c r="N1488" s="74" t="n">
        <f aca="false">K1488*L1488*M1488</f>
        <v>41</v>
      </c>
      <c r="O1488" s="41" t="n">
        <f aca="false">IFERROR(INDEX(Исходные!$B$21:$B$33,MATCH(H1488,Исходные!$A$21:$A$33,0)),0)</f>
        <v>1.578</v>
      </c>
      <c r="P1488" s="83" t="n">
        <f aca="false">N1488*O1488</f>
        <v>64.698</v>
      </c>
      <c r="Q1488" s="20" t="s">
        <v>671</v>
      </c>
      <c r="R1488" s="84" t="s">
        <v>660</v>
      </c>
      <c r="S1488" s="20"/>
      <c r="T1488" s="20" t="s">
        <v>123</v>
      </c>
      <c r="U1488" s="53" t="n">
        <v>0</v>
      </c>
      <c r="V1488" s="76" t="s">
        <v>830</v>
      </c>
      <c r="W1488" s="53" t="n">
        <v>4</v>
      </c>
    </row>
    <row r="1489" customFormat="false" ht="35.05" hidden="false" customHeight="false" outlineLevel="0" collapsed="false">
      <c r="A1489" s="76" t="n">
        <v>1457</v>
      </c>
      <c r="B1489" s="20" t="s">
        <v>1691</v>
      </c>
      <c r="C1489" s="20" t="s">
        <v>655</v>
      </c>
      <c r="D1489" s="20" t="s">
        <v>1786</v>
      </c>
      <c r="E1489" s="20" t="s">
        <v>830</v>
      </c>
      <c r="F1489" s="76" t="s">
        <v>672</v>
      </c>
      <c r="G1489" s="20" t="s">
        <v>834</v>
      </c>
      <c r="H1489" s="55" t="n">
        <v>16</v>
      </c>
      <c r="I1489" s="76" t="s">
        <v>512</v>
      </c>
      <c r="J1489" s="76" t="s">
        <v>164</v>
      </c>
      <c r="K1489" s="82" t="n">
        <v>2</v>
      </c>
      <c r="L1489" s="55" t="n">
        <v>1</v>
      </c>
      <c r="M1489" s="73" t="n">
        <v>0.128</v>
      </c>
      <c r="N1489" s="74" t="n">
        <f aca="false">K1489*L1489*M1489</f>
        <v>0.256</v>
      </c>
      <c r="O1489" s="41" t="n">
        <f aca="false">IFERROR(INDEX(Исходные!$B$21:$B$33,MATCH(H1489,Исходные!$A$21:$A$33,0)),0)</f>
        <v>1.578</v>
      </c>
      <c r="P1489" s="83" t="n">
        <f aca="false">N1489*O1489</f>
        <v>0.403968</v>
      </c>
      <c r="Q1489" s="20" t="s">
        <v>674</v>
      </c>
      <c r="R1489" s="84" t="s">
        <v>667</v>
      </c>
      <c r="S1489" s="20" t="s">
        <v>807</v>
      </c>
      <c r="T1489" s="20" t="s">
        <v>123</v>
      </c>
      <c r="U1489" s="53" t="n">
        <v>0</v>
      </c>
      <c r="V1489" s="76" t="s">
        <v>830</v>
      </c>
      <c r="W1489" s="53" t="n">
        <v>4</v>
      </c>
    </row>
    <row r="1490" customFormat="false" ht="35.05" hidden="false" customHeight="false" outlineLevel="0" collapsed="false">
      <c r="A1490" s="76" t="n">
        <v>1458</v>
      </c>
      <c r="B1490" s="20" t="s">
        <v>1691</v>
      </c>
      <c r="C1490" s="20" t="s">
        <v>655</v>
      </c>
      <c r="D1490" s="20" t="s">
        <v>1786</v>
      </c>
      <c r="E1490" s="20" t="s">
        <v>830</v>
      </c>
      <c r="F1490" s="76" t="s">
        <v>676</v>
      </c>
      <c r="G1490" s="20" t="s">
        <v>841</v>
      </c>
      <c r="H1490" s="55" t="n">
        <v>32</v>
      </c>
      <c r="I1490" s="76" t="s">
        <v>512</v>
      </c>
      <c r="J1490" s="76" t="s">
        <v>164</v>
      </c>
      <c r="K1490" s="82" t="n">
        <v>1</v>
      </c>
      <c r="L1490" s="55" t="n">
        <v>2</v>
      </c>
      <c r="M1490" s="73" t="n">
        <v>7.5</v>
      </c>
      <c r="N1490" s="74" t="n">
        <f aca="false">K1490*L1490*M1490</f>
        <v>15</v>
      </c>
      <c r="O1490" s="41" t="n">
        <f aca="false">IFERROR(INDEX(Исходные!$B$21:$B$33,MATCH(H1490,Исходные!$A$21:$A$33,0)),0)</f>
        <v>6.313</v>
      </c>
      <c r="P1490" s="83" t="n">
        <f aca="false">N1490*O1490</f>
        <v>94.695</v>
      </c>
      <c r="Q1490" s="20" t="s">
        <v>1787</v>
      </c>
      <c r="R1490" s="84" t="s">
        <v>660</v>
      </c>
      <c r="S1490" s="20" t="s">
        <v>843</v>
      </c>
      <c r="T1490" s="20" t="s">
        <v>123</v>
      </c>
      <c r="U1490" s="53" t="n">
        <v>0</v>
      </c>
      <c r="V1490" s="76" t="s">
        <v>830</v>
      </c>
      <c r="W1490" s="53" t="n">
        <v>4</v>
      </c>
    </row>
    <row r="1491" customFormat="false" ht="35.05" hidden="false" customHeight="false" outlineLevel="0" collapsed="false">
      <c r="A1491" s="76" t="n">
        <v>1459</v>
      </c>
      <c r="B1491" s="20" t="s">
        <v>1691</v>
      </c>
      <c r="C1491" s="20" t="s">
        <v>655</v>
      </c>
      <c r="D1491" s="20" t="s">
        <v>1786</v>
      </c>
      <c r="E1491" s="20" t="s">
        <v>830</v>
      </c>
      <c r="F1491" s="76" t="s">
        <v>676</v>
      </c>
      <c r="G1491" s="20" t="s">
        <v>844</v>
      </c>
      <c r="H1491" s="55" t="n">
        <v>32</v>
      </c>
      <c r="I1491" s="76" t="s">
        <v>512</v>
      </c>
      <c r="J1491" s="76" t="s">
        <v>164</v>
      </c>
      <c r="K1491" s="82" t="n">
        <v>1</v>
      </c>
      <c r="L1491" s="55" t="n">
        <v>2</v>
      </c>
      <c r="M1491" s="73" t="n">
        <v>3.6</v>
      </c>
      <c r="N1491" s="74" t="n">
        <f aca="false">K1491*L1491*M1491</f>
        <v>7.2</v>
      </c>
      <c r="O1491" s="41" t="n">
        <f aca="false">IFERROR(INDEX(Исходные!$B$21:$B$33,MATCH(H1491,Исходные!$A$21:$A$33,0)),0)</f>
        <v>6.313</v>
      </c>
      <c r="P1491" s="83" t="n">
        <f aca="false">N1491*O1491</f>
        <v>45.4536</v>
      </c>
      <c r="Q1491" s="20" t="s">
        <v>1787</v>
      </c>
      <c r="R1491" s="84" t="s">
        <v>660</v>
      </c>
      <c r="S1491" s="20" t="s">
        <v>845</v>
      </c>
      <c r="T1491" s="20" t="s">
        <v>123</v>
      </c>
      <c r="U1491" s="53" t="n">
        <v>0</v>
      </c>
      <c r="V1491" s="76" t="s">
        <v>830</v>
      </c>
      <c r="W1491" s="53" t="n">
        <v>4</v>
      </c>
    </row>
    <row r="1492" customFormat="false" ht="35.05" hidden="false" customHeight="false" outlineLevel="0" collapsed="false">
      <c r="A1492" s="76" t="n">
        <v>1460</v>
      </c>
      <c r="B1492" s="20" t="s">
        <v>1691</v>
      </c>
      <c r="C1492" s="20" t="s">
        <v>655</v>
      </c>
      <c r="D1492" s="20" t="s">
        <v>1786</v>
      </c>
      <c r="E1492" s="20" t="s">
        <v>830</v>
      </c>
      <c r="F1492" s="76" t="s">
        <v>676</v>
      </c>
      <c r="G1492" s="20" t="s">
        <v>846</v>
      </c>
      <c r="H1492" s="55" t="n">
        <v>32</v>
      </c>
      <c r="I1492" s="76" t="s">
        <v>512</v>
      </c>
      <c r="J1492" s="76" t="s">
        <v>164</v>
      </c>
      <c r="K1492" s="82" t="n">
        <v>1</v>
      </c>
      <c r="L1492" s="55" t="n">
        <v>2</v>
      </c>
      <c r="M1492" s="73" t="n">
        <v>2.85</v>
      </c>
      <c r="N1492" s="74" t="n">
        <f aca="false">K1492*L1492*M1492</f>
        <v>5.7</v>
      </c>
      <c r="O1492" s="41" t="n">
        <f aca="false">IFERROR(INDEX(Исходные!$B$21:$B$33,MATCH(H1492,Исходные!$A$21:$A$33,0)),0)</f>
        <v>6.313</v>
      </c>
      <c r="P1492" s="83" t="n">
        <f aca="false">N1492*O1492</f>
        <v>35.9841</v>
      </c>
      <c r="Q1492" s="20" t="s">
        <v>1787</v>
      </c>
      <c r="R1492" s="84" t="s">
        <v>660</v>
      </c>
      <c r="S1492" s="20" t="s">
        <v>1381</v>
      </c>
      <c r="T1492" s="20" t="s">
        <v>123</v>
      </c>
      <c r="U1492" s="53" t="n">
        <v>0</v>
      </c>
      <c r="V1492" s="76" t="s">
        <v>830</v>
      </c>
      <c r="W1492" s="53" t="n">
        <v>4</v>
      </c>
    </row>
    <row r="1493" customFormat="false" ht="35.05" hidden="false" customHeight="false" outlineLevel="0" collapsed="false">
      <c r="A1493" s="76" t="n">
        <v>1461</v>
      </c>
      <c r="B1493" s="20" t="s">
        <v>1691</v>
      </c>
      <c r="C1493" s="20" t="s">
        <v>655</v>
      </c>
      <c r="D1493" s="20" t="s">
        <v>1786</v>
      </c>
      <c r="E1493" s="20" t="s">
        <v>830</v>
      </c>
      <c r="F1493" s="76" t="s">
        <v>676</v>
      </c>
      <c r="G1493" s="20" t="s">
        <v>838</v>
      </c>
      <c r="H1493" s="55" t="n">
        <v>14</v>
      </c>
      <c r="I1493" s="76" t="s">
        <v>512</v>
      </c>
      <c r="J1493" s="76" t="s">
        <v>164</v>
      </c>
      <c r="K1493" s="82" t="n">
        <v>1</v>
      </c>
      <c r="L1493" s="55" t="n">
        <v>2</v>
      </c>
      <c r="M1493" s="73" t="n">
        <v>4</v>
      </c>
      <c r="N1493" s="74" t="n">
        <f aca="false">K1493*L1493*M1493</f>
        <v>8</v>
      </c>
      <c r="O1493" s="41" t="n">
        <f aca="false">IFERROR(INDEX(Исходные!$B$21:$B$33,MATCH(H1493,Исходные!$A$21:$A$33,0)),0)</f>
        <v>1.208</v>
      </c>
      <c r="P1493" s="83" t="n">
        <f aca="false">N1493*O1493</f>
        <v>9.664</v>
      </c>
      <c r="Q1493" s="20" t="s">
        <v>1788</v>
      </c>
      <c r="R1493" s="84" t="s">
        <v>660</v>
      </c>
      <c r="S1493" s="20" t="s">
        <v>840</v>
      </c>
      <c r="T1493" s="20" t="s">
        <v>123</v>
      </c>
      <c r="U1493" s="53" t="n">
        <v>0</v>
      </c>
      <c r="V1493" s="76" t="s">
        <v>830</v>
      </c>
      <c r="W1493" s="53" t="n">
        <v>4</v>
      </c>
    </row>
    <row r="1494" customFormat="false" ht="35.05" hidden="false" customHeight="false" outlineLevel="0" collapsed="false">
      <c r="A1494" s="76" t="n">
        <v>1462</v>
      </c>
      <c r="B1494" s="20" t="s">
        <v>1691</v>
      </c>
      <c r="C1494" s="20" t="s">
        <v>655</v>
      </c>
      <c r="D1494" s="20" t="s">
        <v>1786</v>
      </c>
      <c r="E1494" s="20" t="s">
        <v>830</v>
      </c>
      <c r="F1494" s="76" t="s">
        <v>676</v>
      </c>
      <c r="G1494" s="20" t="s">
        <v>1789</v>
      </c>
      <c r="H1494" s="55" t="n">
        <v>25</v>
      </c>
      <c r="I1494" s="76" t="s">
        <v>512</v>
      </c>
      <c r="J1494" s="76" t="s">
        <v>164</v>
      </c>
      <c r="K1494" s="82" t="n">
        <v>1</v>
      </c>
      <c r="L1494" s="55" t="n">
        <v>2</v>
      </c>
      <c r="M1494" s="73" t="n">
        <v>13.2</v>
      </c>
      <c r="N1494" s="74" t="n">
        <f aca="false">K1494*L1494*M1494</f>
        <v>26.4</v>
      </c>
      <c r="O1494" s="41" t="n">
        <f aca="false">IFERROR(INDEX(Исходные!$B$21:$B$33,MATCH(H1494,Исходные!$A$21:$A$33,0)),0)</f>
        <v>3.853</v>
      </c>
      <c r="P1494" s="83" t="n">
        <f aca="false">N1494*O1494</f>
        <v>101.7192</v>
      </c>
      <c r="Q1494" s="20" t="s">
        <v>1790</v>
      </c>
      <c r="R1494" s="84" t="s">
        <v>660</v>
      </c>
      <c r="S1494" s="20" t="s">
        <v>1791</v>
      </c>
      <c r="T1494" s="20" t="s">
        <v>123</v>
      </c>
      <c r="U1494" s="53" t="n">
        <v>0</v>
      </c>
      <c r="V1494" s="76" t="s">
        <v>830</v>
      </c>
      <c r="W1494" s="53" t="n">
        <v>4</v>
      </c>
    </row>
    <row r="1495" customFormat="false" ht="35.05" hidden="false" customHeight="false" outlineLevel="0" collapsed="false">
      <c r="A1495" s="76" t="n">
        <v>1463</v>
      </c>
      <c r="B1495" s="20" t="s">
        <v>1691</v>
      </c>
      <c r="C1495" s="20" t="s">
        <v>655</v>
      </c>
      <c r="D1495" s="20" t="s">
        <v>1786</v>
      </c>
      <c r="E1495" s="20" t="s">
        <v>830</v>
      </c>
      <c r="F1495" s="76" t="s">
        <v>676</v>
      </c>
      <c r="G1495" s="20" t="s">
        <v>1792</v>
      </c>
      <c r="H1495" s="55" t="n">
        <v>14</v>
      </c>
      <c r="I1495" s="76" t="s">
        <v>512</v>
      </c>
      <c r="J1495" s="76" t="s">
        <v>164</v>
      </c>
      <c r="K1495" s="82" t="n">
        <v>1</v>
      </c>
      <c r="L1495" s="55" t="n">
        <v>2</v>
      </c>
      <c r="M1495" s="73" t="n">
        <v>2.85</v>
      </c>
      <c r="N1495" s="74" t="n">
        <f aca="false">K1495*L1495*M1495</f>
        <v>5.7</v>
      </c>
      <c r="O1495" s="41" t="n">
        <f aca="false">IFERROR(INDEX(Исходные!$B$21:$B$33,MATCH(H1495,Исходные!$A$21:$A$33,0)),0)</f>
        <v>1.208</v>
      </c>
      <c r="P1495" s="83" t="n">
        <f aca="false">N1495*O1495</f>
        <v>6.8856</v>
      </c>
      <c r="Q1495" s="20" t="s">
        <v>1788</v>
      </c>
      <c r="R1495" s="84" t="s">
        <v>660</v>
      </c>
      <c r="S1495" s="20" t="s">
        <v>1381</v>
      </c>
      <c r="T1495" s="20" t="s">
        <v>123</v>
      </c>
      <c r="U1495" s="53" t="n">
        <v>0</v>
      </c>
      <c r="V1495" s="76" t="s">
        <v>830</v>
      </c>
      <c r="W1495" s="53" t="n">
        <v>4</v>
      </c>
    </row>
    <row r="1496" customFormat="false" ht="35.05" hidden="false" customHeight="false" outlineLevel="0" collapsed="false">
      <c r="A1496" s="76" t="n">
        <v>1464</v>
      </c>
      <c r="B1496" s="20" t="s">
        <v>1691</v>
      </c>
      <c r="C1496" s="20" t="s">
        <v>655</v>
      </c>
      <c r="D1496" s="20" t="s">
        <v>1786</v>
      </c>
      <c r="E1496" s="20" t="s">
        <v>830</v>
      </c>
      <c r="F1496" s="76" t="s">
        <v>676</v>
      </c>
      <c r="G1496" s="20" t="s">
        <v>855</v>
      </c>
      <c r="H1496" s="55" t="n">
        <v>14</v>
      </c>
      <c r="I1496" s="76" t="s">
        <v>512</v>
      </c>
      <c r="J1496" s="76" t="s">
        <v>164</v>
      </c>
      <c r="K1496" s="82" t="n">
        <v>1</v>
      </c>
      <c r="L1496" s="55" t="n">
        <v>2</v>
      </c>
      <c r="M1496" s="73" t="n">
        <v>2.4</v>
      </c>
      <c r="N1496" s="74" t="n">
        <f aca="false">K1496*L1496*M1496</f>
        <v>4.8</v>
      </c>
      <c r="O1496" s="41" t="n">
        <f aca="false">IFERROR(INDEX(Исходные!$B$21:$B$33,MATCH(H1496,Исходные!$A$21:$A$33,0)),0)</f>
        <v>1.208</v>
      </c>
      <c r="P1496" s="83" t="n">
        <f aca="false">N1496*O1496</f>
        <v>5.7984</v>
      </c>
      <c r="Q1496" s="20" t="s">
        <v>1793</v>
      </c>
      <c r="R1496" s="84" t="s">
        <v>660</v>
      </c>
      <c r="S1496" s="20" t="s">
        <v>837</v>
      </c>
      <c r="T1496" s="20" t="s">
        <v>123</v>
      </c>
      <c r="U1496" s="53" t="n">
        <v>0</v>
      </c>
      <c r="V1496" s="76" t="s">
        <v>830</v>
      </c>
      <c r="W1496" s="53" t="n">
        <v>4</v>
      </c>
    </row>
    <row r="1497" customFormat="false" ht="35.05" hidden="false" customHeight="false" outlineLevel="0" collapsed="false">
      <c r="A1497" s="76" t="n">
        <v>1465</v>
      </c>
      <c r="B1497" s="20" t="s">
        <v>1691</v>
      </c>
      <c r="C1497" s="20" t="s">
        <v>655</v>
      </c>
      <c r="D1497" s="20" t="s">
        <v>1786</v>
      </c>
      <c r="E1497" s="20" t="s">
        <v>830</v>
      </c>
      <c r="F1497" s="76" t="s">
        <v>676</v>
      </c>
      <c r="G1497" s="20" t="s">
        <v>1393</v>
      </c>
      <c r="H1497" s="55" t="n">
        <v>14</v>
      </c>
      <c r="I1497" s="76" t="s">
        <v>512</v>
      </c>
      <c r="J1497" s="76" t="s">
        <v>164</v>
      </c>
      <c r="K1497" s="82" t="n">
        <v>1</v>
      </c>
      <c r="L1497" s="55" t="n">
        <v>4</v>
      </c>
      <c r="M1497" s="73" t="n">
        <v>9.1</v>
      </c>
      <c r="N1497" s="74" t="n">
        <f aca="false">K1497*L1497*M1497</f>
        <v>36.4</v>
      </c>
      <c r="O1497" s="41" t="n">
        <f aca="false">IFERROR(INDEX(Исходные!$B$21:$B$33,MATCH(H1497,Исходные!$A$21:$A$33,0)),0)</f>
        <v>1.208</v>
      </c>
      <c r="P1497" s="83" t="n">
        <f aca="false">N1497*O1497</f>
        <v>43.9712</v>
      </c>
      <c r="Q1497" s="20" t="s">
        <v>1794</v>
      </c>
      <c r="R1497" s="84" t="s">
        <v>660</v>
      </c>
      <c r="S1497" s="20" t="s">
        <v>858</v>
      </c>
      <c r="T1497" s="20" t="s">
        <v>123</v>
      </c>
      <c r="U1497" s="53" t="n">
        <v>0</v>
      </c>
      <c r="V1497" s="76" t="s">
        <v>830</v>
      </c>
      <c r="W1497" s="53" t="n">
        <v>4</v>
      </c>
    </row>
    <row r="1498" customFormat="false" ht="35.05" hidden="false" customHeight="false" outlineLevel="0" collapsed="false">
      <c r="A1498" s="76" t="n">
        <v>1466</v>
      </c>
      <c r="B1498" s="20" t="s">
        <v>1691</v>
      </c>
      <c r="C1498" s="20" t="s">
        <v>655</v>
      </c>
      <c r="D1498" s="20" t="s">
        <v>1786</v>
      </c>
      <c r="E1498" s="20" t="s">
        <v>830</v>
      </c>
      <c r="F1498" s="76" t="s">
        <v>696</v>
      </c>
      <c r="G1498" s="20" t="s">
        <v>1308</v>
      </c>
      <c r="H1498" s="55" t="n">
        <v>8</v>
      </c>
      <c r="I1498" s="76" t="s">
        <v>546</v>
      </c>
      <c r="J1498" s="76" t="s">
        <v>698</v>
      </c>
      <c r="K1498" s="82" t="n">
        <v>1</v>
      </c>
      <c r="L1498" s="55" t="n">
        <v>47</v>
      </c>
      <c r="M1498" s="73" t="n">
        <v>2.06</v>
      </c>
      <c r="N1498" s="74" t="n">
        <f aca="false">K1498*L1498*M1498</f>
        <v>96.82</v>
      </c>
      <c r="O1498" s="41" t="n">
        <f aca="false">IFERROR(INDEX(Исходные!$B$21:$B$33,MATCH(H1498,Исходные!$A$21:$A$33,0)),0)</f>
        <v>0.395</v>
      </c>
      <c r="P1498" s="83" t="n">
        <f aca="false">N1498*O1498</f>
        <v>38.2439</v>
      </c>
      <c r="Q1498" s="20" t="s">
        <v>1309</v>
      </c>
      <c r="R1498" s="84" t="s">
        <v>514</v>
      </c>
      <c r="S1498" s="20" t="s">
        <v>1395</v>
      </c>
      <c r="T1498" s="20" t="s">
        <v>123</v>
      </c>
      <c r="U1498" s="53" t="n">
        <v>0</v>
      </c>
      <c r="V1498" s="76" t="s">
        <v>830</v>
      </c>
      <c r="W1498" s="53" t="n">
        <v>4</v>
      </c>
    </row>
    <row r="1499" customFormat="false" ht="35.05" hidden="false" customHeight="false" outlineLevel="0" collapsed="false">
      <c r="A1499" s="76" t="n">
        <v>1467</v>
      </c>
      <c r="B1499" s="20" t="s">
        <v>1691</v>
      </c>
      <c r="C1499" s="20" t="s">
        <v>655</v>
      </c>
      <c r="D1499" s="20" t="s">
        <v>1786</v>
      </c>
      <c r="E1499" s="20" t="s">
        <v>830</v>
      </c>
      <c r="F1499" s="76" t="s">
        <v>561</v>
      </c>
      <c r="G1499" s="20" t="s">
        <v>1311</v>
      </c>
      <c r="H1499" s="55" t="n">
        <v>10</v>
      </c>
      <c r="I1499" s="76" t="s">
        <v>546</v>
      </c>
      <c r="J1499" s="76" t="n">
        <v>100</v>
      </c>
      <c r="K1499" s="82" t="n">
        <v>1</v>
      </c>
      <c r="L1499" s="55" t="n">
        <v>92</v>
      </c>
      <c r="M1499" s="73" t="n">
        <v>2.06</v>
      </c>
      <c r="N1499" s="74" t="n">
        <f aca="false">K1499*L1499*M1499</f>
        <v>189.52</v>
      </c>
      <c r="O1499" s="41" t="n">
        <f aca="false">IFERROR(INDEX(Исходные!$B$21:$B$33,MATCH(H1499,Исходные!$A$21:$A$33,0)),0)</f>
        <v>0.617</v>
      </c>
      <c r="P1499" s="83" t="n">
        <f aca="false">N1499*O1499</f>
        <v>116.93384</v>
      </c>
      <c r="Q1499" s="20" t="s">
        <v>1795</v>
      </c>
      <c r="R1499" s="84" t="s">
        <v>514</v>
      </c>
      <c r="S1499" s="20" t="s">
        <v>862</v>
      </c>
      <c r="T1499" s="20" t="s">
        <v>123</v>
      </c>
      <c r="U1499" s="53" t="n">
        <v>0</v>
      </c>
      <c r="V1499" s="76" t="s">
        <v>830</v>
      </c>
      <c r="W1499" s="53" t="n">
        <v>4</v>
      </c>
    </row>
    <row r="1500" customFormat="false" ht="35.05" hidden="false" customHeight="false" outlineLevel="0" collapsed="false">
      <c r="A1500" s="76" t="n">
        <v>1468</v>
      </c>
      <c r="B1500" s="20" t="s">
        <v>1691</v>
      </c>
      <c r="C1500" s="20" t="s">
        <v>655</v>
      </c>
      <c r="D1500" s="20" t="s">
        <v>1786</v>
      </c>
      <c r="E1500" s="20" t="s">
        <v>830</v>
      </c>
      <c r="F1500" s="76" t="s">
        <v>603</v>
      </c>
      <c r="G1500" s="20" t="s">
        <v>704</v>
      </c>
      <c r="H1500" s="55" t="n">
        <v>10</v>
      </c>
      <c r="I1500" s="76" t="s">
        <v>546</v>
      </c>
      <c r="J1500" s="76" t="n">
        <v>100</v>
      </c>
      <c r="K1500" s="82" t="n">
        <v>1</v>
      </c>
      <c r="L1500" s="55" t="n">
        <v>86</v>
      </c>
      <c r="M1500" s="73" t="n">
        <v>1.6</v>
      </c>
      <c r="N1500" s="74" t="n">
        <f aca="false">K1500*L1500*M1500</f>
        <v>137.6</v>
      </c>
      <c r="O1500" s="41" t="n">
        <f aca="false">IFERROR(INDEX(Исходные!$B$21:$B$33,MATCH(H1500,Исходные!$A$21:$A$33,0)),0)</f>
        <v>0.617</v>
      </c>
      <c r="P1500" s="83" t="n">
        <f aca="false">N1500*O1500</f>
        <v>84.8992</v>
      </c>
      <c r="Q1500" s="20" t="s">
        <v>863</v>
      </c>
      <c r="R1500" s="84" t="s">
        <v>514</v>
      </c>
      <c r="S1500" s="20"/>
      <c r="T1500" s="20" t="s">
        <v>123</v>
      </c>
      <c r="U1500" s="53" t="n">
        <v>0</v>
      </c>
      <c r="V1500" s="76" t="s">
        <v>830</v>
      </c>
      <c r="W1500" s="53" t="n">
        <v>4</v>
      </c>
    </row>
    <row r="1501" customFormat="false" ht="35.05" hidden="false" customHeight="false" outlineLevel="0" collapsed="false">
      <c r="A1501" s="76" t="n">
        <v>1469</v>
      </c>
      <c r="B1501" s="20" t="s">
        <v>1691</v>
      </c>
      <c r="C1501" s="20" t="s">
        <v>655</v>
      </c>
      <c r="D1501" s="20" t="s">
        <v>1786</v>
      </c>
      <c r="E1501" s="20" t="s">
        <v>830</v>
      </c>
      <c r="F1501" s="76" t="s">
        <v>706</v>
      </c>
      <c r="G1501" s="20" t="s">
        <v>1314</v>
      </c>
      <c r="H1501" s="55" t="n">
        <v>8</v>
      </c>
      <c r="I1501" s="76" t="s">
        <v>546</v>
      </c>
      <c r="J1501" s="76" t="s">
        <v>708</v>
      </c>
      <c r="K1501" s="82" t="n">
        <v>1</v>
      </c>
      <c r="L1501" s="55" t="n">
        <v>35</v>
      </c>
      <c r="M1501" s="73" t="n">
        <v>0.75</v>
      </c>
      <c r="N1501" s="74" t="n">
        <f aca="false">K1501*L1501*M1501</f>
        <v>26.25</v>
      </c>
      <c r="O1501" s="41" t="n">
        <f aca="false">IFERROR(INDEX(Исходные!$B$21:$B$33,MATCH(H1501,Исходные!$A$21:$A$33,0)),0)</f>
        <v>0.395</v>
      </c>
      <c r="P1501" s="83" t="n">
        <f aca="false">N1501*O1501</f>
        <v>10.36875</v>
      </c>
      <c r="Q1501" s="20" t="s">
        <v>709</v>
      </c>
      <c r="R1501" s="84" t="s">
        <v>514</v>
      </c>
      <c r="S1501" s="20"/>
      <c r="T1501" s="20" t="s">
        <v>123</v>
      </c>
      <c r="U1501" s="53" t="n">
        <v>0</v>
      </c>
      <c r="V1501" s="76" t="s">
        <v>830</v>
      </c>
      <c r="W1501" s="53" t="n">
        <v>4</v>
      </c>
    </row>
    <row r="1502" customFormat="false" ht="35.05" hidden="false" customHeight="false" outlineLevel="0" collapsed="false">
      <c r="A1502" s="76" t="n">
        <v>1470</v>
      </c>
      <c r="B1502" s="20" t="s">
        <v>1691</v>
      </c>
      <c r="C1502" s="20" t="s">
        <v>655</v>
      </c>
      <c r="D1502" s="20" t="s">
        <v>1786</v>
      </c>
      <c r="E1502" s="20" t="s">
        <v>830</v>
      </c>
      <c r="F1502" s="76" t="s">
        <v>710</v>
      </c>
      <c r="G1502" s="20" t="s">
        <v>1315</v>
      </c>
      <c r="H1502" s="55" t="n">
        <v>8</v>
      </c>
      <c r="I1502" s="76" t="s">
        <v>546</v>
      </c>
      <c r="J1502" s="76" t="n">
        <v>300</v>
      </c>
      <c r="K1502" s="82" t="n">
        <v>1</v>
      </c>
      <c r="L1502" s="55" t="n">
        <v>54</v>
      </c>
      <c r="M1502" s="73" t="n">
        <v>0.58</v>
      </c>
      <c r="N1502" s="74" t="n">
        <f aca="false">K1502*L1502*M1502</f>
        <v>31.32</v>
      </c>
      <c r="O1502" s="41" t="n">
        <f aca="false">IFERROR(INDEX(Исходные!$B$21:$B$33,MATCH(H1502,Исходные!$A$21:$A$33,0)),0)</f>
        <v>0.395</v>
      </c>
      <c r="P1502" s="83" t="n">
        <f aca="false">N1502*O1502</f>
        <v>12.3714</v>
      </c>
      <c r="Q1502" s="20" t="s">
        <v>1316</v>
      </c>
      <c r="R1502" s="85" t="s">
        <v>638</v>
      </c>
      <c r="S1502" s="20"/>
      <c r="T1502" s="20" t="s">
        <v>123</v>
      </c>
      <c r="U1502" s="53" t="n">
        <v>1</v>
      </c>
      <c r="V1502" s="76" t="s">
        <v>830</v>
      </c>
      <c r="W1502" s="53" t="n">
        <v>4</v>
      </c>
    </row>
    <row r="1503" customFormat="false" ht="35.05" hidden="false" customHeight="false" outlineLevel="0" collapsed="false">
      <c r="A1503" s="76" t="n">
        <v>1471</v>
      </c>
      <c r="B1503" s="20" t="s">
        <v>1691</v>
      </c>
      <c r="C1503" s="20" t="s">
        <v>655</v>
      </c>
      <c r="D1503" s="20" t="s">
        <v>1796</v>
      </c>
      <c r="E1503" s="20" t="s">
        <v>865</v>
      </c>
      <c r="F1503" s="76" t="s">
        <v>519</v>
      </c>
      <c r="G1503" s="20" t="s">
        <v>658</v>
      </c>
      <c r="H1503" s="55" t="n">
        <v>28</v>
      </c>
      <c r="I1503" s="76" t="s">
        <v>512</v>
      </c>
      <c r="J1503" s="76" t="s">
        <v>164</v>
      </c>
      <c r="K1503" s="82" t="n">
        <v>1</v>
      </c>
      <c r="L1503" s="55" t="n">
        <v>4</v>
      </c>
      <c r="M1503" s="73" t="n">
        <v>20.5</v>
      </c>
      <c r="N1503" s="74" t="n">
        <f aca="false">K1503*L1503*M1503</f>
        <v>82</v>
      </c>
      <c r="O1503" s="41" t="n">
        <f aca="false">IFERROR(INDEX(Исходные!$B$21:$B$33,MATCH(H1503,Исходные!$A$21:$A$33,0)),0)</f>
        <v>4.834</v>
      </c>
      <c r="P1503" s="83" t="n">
        <f aca="false">N1503*O1503</f>
        <v>396.388</v>
      </c>
      <c r="Q1503" s="20" t="s">
        <v>1398</v>
      </c>
      <c r="R1503" s="84" t="s">
        <v>660</v>
      </c>
      <c r="S1503" s="20" t="s">
        <v>832</v>
      </c>
      <c r="T1503" s="20" t="s">
        <v>123</v>
      </c>
      <c r="U1503" s="53" t="n">
        <v>0</v>
      </c>
      <c r="V1503" s="76" t="s">
        <v>865</v>
      </c>
      <c r="W1503" s="53" t="n">
        <v>4</v>
      </c>
    </row>
    <row r="1504" customFormat="false" ht="35.05" hidden="false" customHeight="false" outlineLevel="0" collapsed="false">
      <c r="A1504" s="76" t="n">
        <v>1472</v>
      </c>
      <c r="B1504" s="20" t="s">
        <v>1691</v>
      </c>
      <c r="C1504" s="20" t="s">
        <v>655</v>
      </c>
      <c r="D1504" s="20" t="s">
        <v>1796</v>
      </c>
      <c r="E1504" s="20" t="s">
        <v>865</v>
      </c>
      <c r="F1504" s="76" t="s">
        <v>529</v>
      </c>
      <c r="G1504" s="20" t="s">
        <v>662</v>
      </c>
      <c r="H1504" s="55" t="n">
        <v>18</v>
      </c>
      <c r="I1504" s="76" t="s">
        <v>512</v>
      </c>
      <c r="J1504" s="76" t="s">
        <v>164</v>
      </c>
      <c r="K1504" s="82" t="n">
        <v>1</v>
      </c>
      <c r="L1504" s="55" t="n">
        <v>2</v>
      </c>
      <c r="M1504" s="73" t="n">
        <v>20.5</v>
      </c>
      <c r="N1504" s="74" t="n">
        <f aca="false">K1504*L1504*M1504</f>
        <v>41</v>
      </c>
      <c r="O1504" s="41" t="n">
        <f aca="false">IFERROR(INDEX(Исходные!$B$21:$B$33,MATCH(H1504,Исходные!$A$21:$A$33,0)),0)</f>
        <v>1.998</v>
      </c>
      <c r="P1504" s="83" t="n">
        <f aca="false">N1504*O1504</f>
        <v>81.918</v>
      </c>
      <c r="Q1504" s="20" t="s">
        <v>663</v>
      </c>
      <c r="R1504" s="84" t="s">
        <v>660</v>
      </c>
      <c r="S1504" s="20"/>
      <c r="T1504" s="20" t="s">
        <v>123</v>
      </c>
      <c r="U1504" s="53" t="n">
        <v>0</v>
      </c>
      <c r="V1504" s="76" t="s">
        <v>865</v>
      </c>
      <c r="W1504" s="53" t="n">
        <v>4</v>
      </c>
    </row>
    <row r="1505" customFormat="false" ht="35.05" hidden="false" customHeight="false" outlineLevel="0" collapsed="false">
      <c r="A1505" s="76" t="n">
        <v>1473</v>
      </c>
      <c r="B1505" s="20" t="s">
        <v>1691</v>
      </c>
      <c r="C1505" s="20" t="s">
        <v>655</v>
      </c>
      <c r="D1505" s="20" t="s">
        <v>1796</v>
      </c>
      <c r="E1505" s="20" t="s">
        <v>865</v>
      </c>
      <c r="F1505" s="76" t="s">
        <v>664</v>
      </c>
      <c r="G1505" s="20" t="s">
        <v>833</v>
      </c>
      <c r="H1505" s="55" t="n">
        <v>18</v>
      </c>
      <c r="I1505" s="76" t="s">
        <v>512</v>
      </c>
      <c r="J1505" s="76" t="s">
        <v>164</v>
      </c>
      <c r="K1505" s="82" t="n">
        <v>2</v>
      </c>
      <c r="L1505" s="55" t="n">
        <v>1</v>
      </c>
      <c r="M1505" s="73" t="n">
        <v>0.144</v>
      </c>
      <c r="N1505" s="74" t="n">
        <f aca="false">K1505*L1505*M1505</f>
        <v>0.288</v>
      </c>
      <c r="O1505" s="41" t="n">
        <f aca="false">IFERROR(INDEX(Исходные!$B$21:$B$33,MATCH(H1505,Исходные!$A$21:$A$33,0)),0)</f>
        <v>1.998</v>
      </c>
      <c r="P1505" s="83" t="n">
        <f aca="false">N1505*O1505</f>
        <v>0.575424</v>
      </c>
      <c r="Q1505" s="20" t="s">
        <v>666</v>
      </c>
      <c r="R1505" s="84" t="s">
        <v>667</v>
      </c>
      <c r="S1505" s="20" t="s">
        <v>805</v>
      </c>
      <c r="T1505" s="20" t="s">
        <v>123</v>
      </c>
      <c r="U1505" s="53" t="n">
        <v>0</v>
      </c>
      <c r="V1505" s="76" t="s">
        <v>865</v>
      </c>
      <c r="W1505" s="53" t="n">
        <v>4</v>
      </c>
    </row>
    <row r="1506" customFormat="false" ht="35.05" hidden="false" customHeight="false" outlineLevel="0" collapsed="false">
      <c r="A1506" s="76" t="n">
        <v>1474</v>
      </c>
      <c r="B1506" s="20" t="s">
        <v>1691</v>
      </c>
      <c r="C1506" s="20" t="s">
        <v>655</v>
      </c>
      <c r="D1506" s="20" t="s">
        <v>1796</v>
      </c>
      <c r="E1506" s="20" t="s">
        <v>865</v>
      </c>
      <c r="F1506" s="76" t="s">
        <v>669</v>
      </c>
      <c r="G1506" s="20" t="s">
        <v>670</v>
      </c>
      <c r="H1506" s="55" t="n">
        <v>16</v>
      </c>
      <c r="I1506" s="76" t="s">
        <v>512</v>
      </c>
      <c r="J1506" s="76" t="s">
        <v>164</v>
      </c>
      <c r="K1506" s="82" t="n">
        <v>1</v>
      </c>
      <c r="L1506" s="55" t="n">
        <v>2</v>
      </c>
      <c r="M1506" s="73" t="n">
        <v>20.5</v>
      </c>
      <c r="N1506" s="74" t="n">
        <f aca="false">K1506*L1506*M1506</f>
        <v>41</v>
      </c>
      <c r="O1506" s="41" t="n">
        <f aca="false">IFERROR(INDEX(Исходные!$B$21:$B$33,MATCH(H1506,Исходные!$A$21:$A$33,0)),0)</f>
        <v>1.578</v>
      </c>
      <c r="P1506" s="83" t="n">
        <f aca="false">N1506*O1506</f>
        <v>64.698</v>
      </c>
      <c r="Q1506" s="20" t="s">
        <v>671</v>
      </c>
      <c r="R1506" s="84" t="s">
        <v>660</v>
      </c>
      <c r="S1506" s="20"/>
      <c r="T1506" s="20" t="s">
        <v>123</v>
      </c>
      <c r="U1506" s="53" t="n">
        <v>0</v>
      </c>
      <c r="V1506" s="76" t="s">
        <v>865</v>
      </c>
      <c r="W1506" s="53" t="n">
        <v>4</v>
      </c>
    </row>
    <row r="1507" customFormat="false" ht="35.05" hidden="false" customHeight="false" outlineLevel="0" collapsed="false">
      <c r="A1507" s="76" t="n">
        <v>1475</v>
      </c>
      <c r="B1507" s="20" t="s">
        <v>1691</v>
      </c>
      <c r="C1507" s="20" t="s">
        <v>655</v>
      </c>
      <c r="D1507" s="20" t="s">
        <v>1796</v>
      </c>
      <c r="E1507" s="20" t="s">
        <v>865</v>
      </c>
      <c r="F1507" s="76" t="s">
        <v>672</v>
      </c>
      <c r="G1507" s="20" t="s">
        <v>834</v>
      </c>
      <c r="H1507" s="55" t="n">
        <v>16</v>
      </c>
      <c r="I1507" s="76" t="s">
        <v>512</v>
      </c>
      <c r="J1507" s="76" t="s">
        <v>164</v>
      </c>
      <c r="K1507" s="82" t="n">
        <v>2</v>
      </c>
      <c r="L1507" s="55" t="n">
        <v>1</v>
      </c>
      <c r="M1507" s="73" t="n">
        <v>0.128</v>
      </c>
      <c r="N1507" s="74" t="n">
        <f aca="false">K1507*L1507*M1507</f>
        <v>0.256</v>
      </c>
      <c r="O1507" s="41" t="n">
        <f aca="false">IFERROR(INDEX(Исходные!$B$21:$B$33,MATCH(H1507,Исходные!$A$21:$A$33,0)),0)</f>
        <v>1.578</v>
      </c>
      <c r="P1507" s="83" t="n">
        <f aca="false">N1507*O1507</f>
        <v>0.403968</v>
      </c>
      <c r="Q1507" s="20" t="s">
        <v>674</v>
      </c>
      <c r="R1507" s="84" t="s">
        <v>667</v>
      </c>
      <c r="S1507" s="20" t="s">
        <v>807</v>
      </c>
      <c r="T1507" s="20" t="s">
        <v>123</v>
      </c>
      <c r="U1507" s="53" t="n">
        <v>0</v>
      </c>
      <c r="V1507" s="76" t="s">
        <v>865</v>
      </c>
      <c r="W1507" s="53" t="n">
        <v>4</v>
      </c>
    </row>
    <row r="1508" customFormat="false" ht="35.05" hidden="false" customHeight="false" outlineLevel="0" collapsed="false">
      <c r="A1508" s="76" t="n">
        <v>1476</v>
      </c>
      <c r="B1508" s="20" t="s">
        <v>1691</v>
      </c>
      <c r="C1508" s="20" t="s">
        <v>655</v>
      </c>
      <c r="D1508" s="20" t="s">
        <v>1796</v>
      </c>
      <c r="E1508" s="20" t="s">
        <v>865</v>
      </c>
      <c r="F1508" s="76" t="s">
        <v>676</v>
      </c>
      <c r="G1508" s="20" t="s">
        <v>677</v>
      </c>
      <c r="H1508" s="55" t="n">
        <v>28</v>
      </c>
      <c r="I1508" s="76" t="s">
        <v>512</v>
      </c>
      <c r="J1508" s="76" t="s">
        <v>164</v>
      </c>
      <c r="K1508" s="82" t="n">
        <v>1</v>
      </c>
      <c r="L1508" s="55" t="n">
        <v>2</v>
      </c>
      <c r="M1508" s="73" t="n">
        <v>2.05</v>
      </c>
      <c r="N1508" s="74" t="n">
        <f aca="false">K1508*L1508*M1508</f>
        <v>4.1</v>
      </c>
      <c r="O1508" s="41" t="n">
        <f aca="false">IFERROR(INDEX(Исходные!$B$21:$B$33,MATCH(H1508,Исходные!$A$21:$A$33,0)),0)</f>
        <v>4.834</v>
      </c>
      <c r="P1508" s="83" t="n">
        <f aca="false">N1508*O1508</f>
        <v>19.8194</v>
      </c>
      <c r="Q1508" s="20" t="s">
        <v>1797</v>
      </c>
      <c r="R1508" s="84" t="s">
        <v>660</v>
      </c>
      <c r="S1508" s="20" t="s">
        <v>1369</v>
      </c>
      <c r="T1508" s="20" t="s">
        <v>123</v>
      </c>
      <c r="U1508" s="53" t="n">
        <v>0</v>
      </c>
      <c r="V1508" s="76" t="s">
        <v>865</v>
      </c>
      <c r="W1508" s="53" t="n">
        <v>4</v>
      </c>
    </row>
    <row r="1509" customFormat="false" ht="35.05" hidden="false" customHeight="false" outlineLevel="0" collapsed="false">
      <c r="A1509" s="76" t="n">
        <v>1477</v>
      </c>
      <c r="B1509" s="20" t="s">
        <v>1691</v>
      </c>
      <c r="C1509" s="20" t="s">
        <v>655</v>
      </c>
      <c r="D1509" s="20" t="s">
        <v>1796</v>
      </c>
      <c r="E1509" s="20" t="s">
        <v>865</v>
      </c>
      <c r="F1509" s="76" t="s">
        <v>676</v>
      </c>
      <c r="G1509" s="20" t="s">
        <v>810</v>
      </c>
      <c r="H1509" s="55" t="n">
        <v>28</v>
      </c>
      <c r="I1509" s="76" t="s">
        <v>512</v>
      </c>
      <c r="J1509" s="76" t="s">
        <v>164</v>
      </c>
      <c r="K1509" s="82" t="n">
        <v>1</v>
      </c>
      <c r="L1509" s="55" t="n">
        <v>2</v>
      </c>
      <c r="M1509" s="73" t="n">
        <v>3.8</v>
      </c>
      <c r="N1509" s="74" t="n">
        <f aca="false">K1509*L1509*M1509</f>
        <v>7.6</v>
      </c>
      <c r="O1509" s="41" t="n">
        <f aca="false">IFERROR(INDEX(Исходные!$B$21:$B$33,MATCH(H1509,Исходные!$A$21:$A$33,0)),0)</f>
        <v>4.834</v>
      </c>
      <c r="P1509" s="83" t="n">
        <f aca="false">N1509*O1509</f>
        <v>36.7384</v>
      </c>
      <c r="Q1509" s="20" t="s">
        <v>1797</v>
      </c>
      <c r="R1509" s="84" t="s">
        <v>660</v>
      </c>
      <c r="S1509" s="20" t="s">
        <v>812</v>
      </c>
      <c r="T1509" s="20" t="s">
        <v>123</v>
      </c>
      <c r="U1509" s="53" t="n">
        <v>0</v>
      </c>
      <c r="V1509" s="76" t="s">
        <v>865</v>
      </c>
      <c r="W1509" s="53" t="n">
        <v>4</v>
      </c>
    </row>
    <row r="1510" customFormat="false" ht="35.05" hidden="false" customHeight="false" outlineLevel="0" collapsed="false">
      <c r="A1510" s="76" t="n">
        <v>1478</v>
      </c>
      <c r="B1510" s="20" t="s">
        <v>1691</v>
      </c>
      <c r="C1510" s="20" t="s">
        <v>655</v>
      </c>
      <c r="D1510" s="20" t="s">
        <v>1796</v>
      </c>
      <c r="E1510" s="20" t="s">
        <v>865</v>
      </c>
      <c r="F1510" s="76" t="s">
        <v>676</v>
      </c>
      <c r="G1510" s="20" t="s">
        <v>1644</v>
      </c>
      <c r="H1510" s="55" t="n">
        <v>28</v>
      </c>
      <c r="I1510" s="76" t="s">
        <v>512</v>
      </c>
      <c r="J1510" s="76" t="s">
        <v>164</v>
      </c>
      <c r="K1510" s="82" t="n">
        <v>1</v>
      </c>
      <c r="L1510" s="55" t="n">
        <v>2</v>
      </c>
      <c r="M1510" s="73" t="n">
        <v>3.8</v>
      </c>
      <c r="N1510" s="74" t="n">
        <f aca="false">K1510*L1510*M1510</f>
        <v>7.6</v>
      </c>
      <c r="O1510" s="41" t="n">
        <f aca="false">IFERROR(INDEX(Исходные!$B$21:$B$33,MATCH(H1510,Исходные!$A$21:$A$33,0)),0)</f>
        <v>4.834</v>
      </c>
      <c r="P1510" s="83" t="n">
        <f aca="false">N1510*O1510</f>
        <v>36.7384</v>
      </c>
      <c r="Q1510" s="20" t="s">
        <v>1797</v>
      </c>
      <c r="R1510" s="84" t="s">
        <v>660</v>
      </c>
      <c r="S1510" s="20" t="s">
        <v>812</v>
      </c>
      <c r="T1510" s="20" t="s">
        <v>123</v>
      </c>
      <c r="U1510" s="53" t="n">
        <v>0</v>
      </c>
      <c r="V1510" s="76" t="s">
        <v>865</v>
      </c>
      <c r="W1510" s="53" t="n">
        <v>4</v>
      </c>
    </row>
    <row r="1511" customFormat="false" ht="35.05" hidden="false" customHeight="false" outlineLevel="0" collapsed="false">
      <c r="A1511" s="76" t="n">
        <v>1479</v>
      </c>
      <c r="B1511" s="20" t="s">
        <v>1691</v>
      </c>
      <c r="C1511" s="20" t="s">
        <v>655</v>
      </c>
      <c r="D1511" s="20" t="s">
        <v>1796</v>
      </c>
      <c r="E1511" s="20" t="s">
        <v>865</v>
      </c>
      <c r="F1511" s="76" t="s">
        <v>676</v>
      </c>
      <c r="G1511" s="20" t="s">
        <v>1401</v>
      </c>
      <c r="H1511" s="55" t="n">
        <v>28</v>
      </c>
      <c r="I1511" s="76" t="s">
        <v>512</v>
      </c>
      <c r="J1511" s="76" t="s">
        <v>164</v>
      </c>
      <c r="K1511" s="82" t="n">
        <v>1</v>
      </c>
      <c r="L1511" s="55" t="n">
        <v>2</v>
      </c>
      <c r="M1511" s="73" t="n">
        <v>3.8</v>
      </c>
      <c r="N1511" s="74" t="n">
        <f aca="false">K1511*L1511*M1511</f>
        <v>7.6</v>
      </c>
      <c r="O1511" s="41" t="n">
        <f aca="false">IFERROR(INDEX(Исходные!$B$21:$B$33,MATCH(H1511,Исходные!$A$21:$A$33,0)),0)</f>
        <v>4.834</v>
      </c>
      <c r="P1511" s="83" t="n">
        <f aca="false">N1511*O1511</f>
        <v>36.7384</v>
      </c>
      <c r="Q1511" s="20" t="s">
        <v>1797</v>
      </c>
      <c r="R1511" s="84" t="s">
        <v>660</v>
      </c>
      <c r="S1511" s="20" t="s">
        <v>815</v>
      </c>
      <c r="T1511" s="20" t="s">
        <v>123</v>
      </c>
      <c r="U1511" s="53" t="n">
        <v>0</v>
      </c>
      <c r="V1511" s="76" t="s">
        <v>865</v>
      </c>
      <c r="W1511" s="53" t="n">
        <v>4</v>
      </c>
    </row>
    <row r="1512" customFormat="false" ht="35.05" hidden="false" customHeight="false" outlineLevel="0" collapsed="false">
      <c r="A1512" s="76" t="n">
        <v>1480</v>
      </c>
      <c r="B1512" s="20" t="s">
        <v>1691</v>
      </c>
      <c r="C1512" s="20" t="s">
        <v>655</v>
      </c>
      <c r="D1512" s="20" t="s">
        <v>1796</v>
      </c>
      <c r="E1512" s="20" t="s">
        <v>865</v>
      </c>
      <c r="F1512" s="76" t="s">
        <v>676</v>
      </c>
      <c r="G1512" s="20" t="s">
        <v>871</v>
      </c>
      <c r="H1512" s="55" t="n">
        <v>25</v>
      </c>
      <c r="I1512" s="76" t="s">
        <v>512</v>
      </c>
      <c r="J1512" s="76" t="s">
        <v>164</v>
      </c>
      <c r="K1512" s="82" t="n">
        <v>1</v>
      </c>
      <c r="L1512" s="55" t="n">
        <v>2</v>
      </c>
      <c r="M1512" s="73" t="n">
        <v>3.8</v>
      </c>
      <c r="N1512" s="74" t="n">
        <f aca="false">K1512*L1512*M1512</f>
        <v>7.6</v>
      </c>
      <c r="O1512" s="41" t="n">
        <f aca="false">IFERROR(INDEX(Исходные!$B$21:$B$33,MATCH(H1512,Исходные!$A$21:$A$33,0)),0)</f>
        <v>3.853</v>
      </c>
      <c r="P1512" s="83" t="n">
        <f aca="false">N1512*O1512</f>
        <v>29.2828</v>
      </c>
      <c r="Q1512" s="20" t="s">
        <v>1798</v>
      </c>
      <c r="R1512" s="84" t="s">
        <v>660</v>
      </c>
      <c r="S1512" s="20" t="s">
        <v>815</v>
      </c>
      <c r="T1512" s="20" t="s">
        <v>123</v>
      </c>
      <c r="U1512" s="53" t="n">
        <v>0</v>
      </c>
      <c r="V1512" s="76" t="s">
        <v>865</v>
      </c>
      <c r="W1512" s="53" t="n">
        <v>4</v>
      </c>
    </row>
    <row r="1513" customFormat="false" ht="35.05" hidden="false" customHeight="false" outlineLevel="0" collapsed="false">
      <c r="A1513" s="76" t="n">
        <v>1481</v>
      </c>
      <c r="B1513" s="20" t="s">
        <v>1691</v>
      </c>
      <c r="C1513" s="20" t="s">
        <v>655</v>
      </c>
      <c r="D1513" s="20" t="s">
        <v>1796</v>
      </c>
      <c r="E1513" s="20" t="s">
        <v>865</v>
      </c>
      <c r="F1513" s="76" t="s">
        <v>676</v>
      </c>
      <c r="G1513" s="20" t="s">
        <v>872</v>
      </c>
      <c r="H1513" s="55" t="n">
        <v>32</v>
      </c>
      <c r="I1513" s="76" t="s">
        <v>512</v>
      </c>
      <c r="J1513" s="76" t="s">
        <v>164</v>
      </c>
      <c r="K1513" s="82" t="n">
        <v>1</v>
      </c>
      <c r="L1513" s="55" t="n">
        <v>2</v>
      </c>
      <c r="M1513" s="73" t="n">
        <v>2.05</v>
      </c>
      <c r="N1513" s="74" t="n">
        <f aca="false">K1513*L1513*M1513</f>
        <v>4.1</v>
      </c>
      <c r="O1513" s="41" t="n">
        <f aca="false">IFERROR(INDEX(Исходные!$B$21:$B$33,MATCH(H1513,Исходные!$A$21:$A$33,0)),0)</f>
        <v>6.313</v>
      </c>
      <c r="P1513" s="83" t="n">
        <f aca="false">N1513*O1513</f>
        <v>25.8833</v>
      </c>
      <c r="Q1513" s="20" t="s">
        <v>1799</v>
      </c>
      <c r="R1513" s="84" t="s">
        <v>660</v>
      </c>
      <c r="S1513" s="20" t="s">
        <v>1372</v>
      </c>
      <c r="T1513" s="20" t="s">
        <v>123</v>
      </c>
      <c r="U1513" s="53" t="n">
        <v>0</v>
      </c>
      <c r="V1513" s="76" t="s">
        <v>865</v>
      </c>
      <c r="W1513" s="53" t="n">
        <v>4</v>
      </c>
    </row>
    <row r="1514" customFormat="false" ht="35.05" hidden="false" customHeight="false" outlineLevel="0" collapsed="false">
      <c r="A1514" s="76" t="n">
        <v>1482</v>
      </c>
      <c r="B1514" s="20" t="s">
        <v>1691</v>
      </c>
      <c r="C1514" s="20" t="s">
        <v>655</v>
      </c>
      <c r="D1514" s="20" t="s">
        <v>1796</v>
      </c>
      <c r="E1514" s="20" t="s">
        <v>865</v>
      </c>
      <c r="F1514" s="76" t="s">
        <v>676</v>
      </c>
      <c r="G1514" s="20" t="s">
        <v>729</v>
      </c>
      <c r="H1514" s="55" t="n">
        <v>16</v>
      </c>
      <c r="I1514" s="76" t="s">
        <v>512</v>
      </c>
      <c r="J1514" s="76" t="s">
        <v>164</v>
      </c>
      <c r="K1514" s="82" t="n">
        <v>1</v>
      </c>
      <c r="L1514" s="55" t="n">
        <v>2</v>
      </c>
      <c r="M1514" s="73" t="n">
        <v>2.9</v>
      </c>
      <c r="N1514" s="74" t="n">
        <f aca="false">K1514*L1514*M1514</f>
        <v>5.8</v>
      </c>
      <c r="O1514" s="41" t="n">
        <f aca="false">IFERROR(INDEX(Исходные!$B$21:$B$33,MATCH(H1514,Исходные!$A$21:$A$33,0)),0)</f>
        <v>1.578</v>
      </c>
      <c r="P1514" s="83" t="n">
        <f aca="false">N1514*O1514</f>
        <v>9.1524</v>
      </c>
      <c r="Q1514" s="20" t="s">
        <v>1800</v>
      </c>
      <c r="R1514" s="84" t="s">
        <v>660</v>
      </c>
      <c r="S1514" s="20" t="s">
        <v>875</v>
      </c>
      <c r="T1514" s="20" t="s">
        <v>123</v>
      </c>
      <c r="U1514" s="53" t="n">
        <v>0</v>
      </c>
      <c r="V1514" s="76" t="s">
        <v>865</v>
      </c>
      <c r="W1514" s="53" t="n">
        <v>4</v>
      </c>
    </row>
    <row r="1515" customFormat="false" ht="35.05" hidden="false" customHeight="false" outlineLevel="0" collapsed="false">
      <c r="A1515" s="76" t="n">
        <v>1483</v>
      </c>
      <c r="B1515" s="20" t="s">
        <v>1691</v>
      </c>
      <c r="C1515" s="20" t="s">
        <v>655</v>
      </c>
      <c r="D1515" s="20" t="s">
        <v>1796</v>
      </c>
      <c r="E1515" s="20" t="s">
        <v>865</v>
      </c>
      <c r="F1515" s="76" t="s">
        <v>676</v>
      </c>
      <c r="G1515" s="20" t="s">
        <v>876</v>
      </c>
      <c r="H1515" s="55" t="n">
        <v>28</v>
      </c>
      <c r="I1515" s="76" t="s">
        <v>512</v>
      </c>
      <c r="J1515" s="76" t="s">
        <v>164</v>
      </c>
      <c r="K1515" s="82" t="n">
        <v>1</v>
      </c>
      <c r="L1515" s="55" t="n">
        <v>2</v>
      </c>
      <c r="M1515" s="73" t="n">
        <v>3</v>
      </c>
      <c r="N1515" s="74" t="n">
        <f aca="false">K1515*L1515*M1515</f>
        <v>6</v>
      </c>
      <c r="O1515" s="41" t="n">
        <f aca="false">IFERROR(INDEX(Исходные!$B$21:$B$33,MATCH(H1515,Исходные!$A$21:$A$33,0)),0)</f>
        <v>4.834</v>
      </c>
      <c r="P1515" s="83" t="n">
        <f aca="false">N1515*O1515</f>
        <v>29.004</v>
      </c>
      <c r="Q1515" s="20" t="s">
        <v>1797</v>
      </c>
      <c r="R1515" s="84" t="s">
        <v>660</v>
      </c>
      <c r="S1515" s="20" t="s">
        <v>822</v>
      </c>
      <c r="T1515" s="20" t="s">
        <v>123</v>
      </c>
      <c r="U1515" s="53" t="n">
        <v>0</v>
      </c>
      <c r="V1515" s="76" t="s">
        <v>865</v>
      </c>
      <c r="W1515" s="53" t="n">
        <v>4</v>
      </c>
    </row>
    <row r="1516" customFormat="false" ht="35.05" hidden="false" customHeight="false" outlineLevel="0" collapsed="false">
      <c r="A1516" s="76" t="n">
        <v>1484</v>
      </c>
      <c r="B1516" s="20" t="s">
        <v>1691</v>
      </c>
      <c r="C1516" s="20" t="s">
        <v>655</v>
      </c>
      <c r="D1516" s="20" t="s">
        <v>1796</v>
      </c>
      <c r="E1516" s="20" t="s">
        <v>865</v>
      </c>
      <c r="F1516" s="76" t="s">
        <v>676</v>
      </c>
      <c r="G1516" s="20" t="s">
        <v>1404</v>
      </c>
      <c r="H1516" s="55" t="n">
        <v>18</v>
      </c>
      <c r="I1516" s="76" t="s">
        <v>512</v>
      </c>
      <c r="J1516" s="76" t="s">
        <v>164</v>
      </c>
      <c r="K1516" s="82" t="n">
        <v>1</v>
      </c>
      <c r="L1516" s="55" t="n">
        <v>2</v>
      </c>
      <c r="M1516" s="73" t="n">
        <v>4.95</v>
      </c>
      <c r="N1516" s="74" t="n">
        <f aca="false">K1516*L1516*M1516</f>
        <v>9.9</v>
      </c>
      <c r="O1516" s="41" t="n">
        <f aca="false">IFERROR(INDEX(Исходные!$B$21:$B$33,MATCH(H1516,Исходные!$A$21:$A$33,0)),0)</f>
        <v>1.998</v>
      </c>
      <c r="P1516" s="83" t="n">
        <f aca="false">N1516*O1516</f>
        <v>19.7802</v>
      </c>
      <c r="Q1516" s="20" t="s">
        <v>1801</v>
      </c>
      <c r="R1516" s="84" t="s">
        <v>660</v>
      </c>
      <c r="S1516" s="20" t="s">
        <v>1406</v>
      </c>
      <c r="T1516" s="20" t="s">
        <v>123</v>
      </c>
      <c r="U1516" s="53" t="n">
        <v>0</v>
      </c>
      <c r="V1516" s="76" t="s">
        <v>865</v>
      </c>
      <c r="W1516" s="53" t="n">
        <v>4</v>
      </c>
    </row>
    <row r="1517" customFormat="false" ht="35.05" hidden="false" customHeight="false" outlineLevel="0" collapsed="false">
      <c r="A1517" s="76" t="n">
        <v>1485</v>
      </c>
      <c r="B1517" s="20" t="s">
        <v>1691</v>
      </c>
      <c r="C1517" s="20" t="s">
        <v>655</v>
      </c>
      <c r="D1517" s="20" t="s">
        <v>1796</v>
      </c>
      <c r="E1517" s="20" t="s">
        <v>865</v>
      </c>
      <c r="F1517" s="76" t="s">
        <v>676</v>
      </c>
      <c r="G1517" s="20" t="s">
        <v>1649</v>
      </c>
      <c r="H1517" s="55" t="n">
        <v>12</v>
      </c>
      <c r="I1517" s="76" t="s">
        <v>512</v>
      </c>
      <c r="J1517" s="76" t="s">
        <v>164</v>
      </c>
      <c r="K1517" s="82" t="n">
        <v>1</v>
      </c>
      <c r="L1517" s="55" t="n">
        <v>4</v>
      </c>
      <c r="M1517" s="73" t="n">
        <v>3.8</v>
      </c>
      <c r="N1517" s="74" t="n">
        <f aca="false">K1517*L1517*M1517</f>
        <v>15.2</v>
      </c>
      <c r="O1517" s="41" t="n">
        <f aca="false">IFERROR(INDEX(Исходные!$B$21:$B$33,MATCH(H1517,Исходные!$A$21:$A$33,0)),0)</f>
        <v>0.888</v>
      </c>
      <c r="P1517" s="83" t="n">
        <f aca="false">N1517*O1517</f>
        <v>13.4976</v>
      </c>
      <c r="Q1517" s="20" t="s">
        <v>1802</v>
      </c>
      <c r="R1517" s="84" t="s">
        <v>660</v>
      </c>
      <c r="S1517" s="20" t="s">
        <v>812</v>
      </c>
      <c r="T1517" s="20" t="s">
        <v>123</v>
      </c>
      <c r="U1517" s="53" t="n">
        <v>0</v>
      </c>
      <c r="V1517" s="76" t="s">
        <v>865</v>
      </c>
      <c r="W1517" s="53" t="n">
        <v>4</v>
      </c>
    </row>
    <row r="1518" customFormat="false" ht="35.05" hidden="false" customHeight="false" outlineLevel="0" collapsed="false">
      <c r="A1518" s="76" t="n">
        <v>1486</v>
      </c>
      <c r="B1518" s="20" t="s">
        <v>1691</v>
      </c>
      <c r="C1518" s="20" t="s">
        <v>655</v>
      </c>
      <c r="D1518" s="20" t="s">
        <v>1796</v>
      </c>
      <c r="E1518" s="20" t="s">
        <v>865</v>
      </c>
      <c r="F1518" s="76" t="s">
        <v>676</v>
      </c>
      <c r="G1518" s="20" t="s">
        <v>1651</v>
      </c>
      <c r="H1518" s="55" t="n">
        <v>12</v>
      </c>
      <c r="I1518" s="76" t="s">
        <v>512</v>
      </c>
      <c r="J1518" s="76" t="s">
        <v>164</v>
      </c>
      <c r="K1518" s="82" t="n">
        <v>1</v>
      </c>
      <c r="L1518" s="55" t="n">
        <v>4</v>
      </c>
      <c r="M1518" s="73" t="n">
        <v>3.8</v>
      </c>
      <c r="N1518" s="74" t="n">
        <f aca="false">K1518*L1518*M1518</f>
        <v>15.2</v>
      </c>
      <c r="O1518" s="41" t="n">
        <f aca="false">IFERROR(INDEX(Исходные!$B$21:$B$33,MATCH(H1518,Исходные!$A$21:$A$33,0)),0)</f>
        <v>0.888</v>
      </c>
      <c r="P1518" s="83" t="n">
        <f aca="false">N1518*O1518</f>
        <v>13.4976</v>
      </c>
      <c r="Q1518" s="20" t="s">
        <v>1802</v>
      </c>
      <c r="R1518" s="84" t="s">
        <v>660</v>
      </c>
      <c r="S1518" s="20" t="s">
        <v>815</v>
      </c>
      <c r="T1518" s="20" t="s">
        <v>123</v>
      </c>
      <c r="U1518" s="53" t="n">
        <v>0</v>
      </c>
      <c r="V1518" s="76" t="s">
        <v>865</v>
      </c>
      <c r="W1518" s="53" t="n">
        <v>4</v>
      </c>
    </row>
    <row r="1519" customFormat="false" ht="35.05" hidden="false" customHeight="false" outlineLevel="0" collapsed="false">
      <c r="A1519" s="76" t="n">
        <v>1487</v>
      </c>
      <c r="B1519" s="20" t="s">
        <v>1691</v>
      </c>
      <c r="C1519" s="20" t="s">
        <v>655</v>
      </c>
      <c r="D1519" s="20" t="s">
        <v>1796</v>
      </c>
      <c r="E1519" s="20" t="s">
        <v>865</v>
      </c>
      <c r="F1519" s="76" t="s">
        <v>676</v>
      </c>
      <c r="G1519" s="20" t="s">
        <v>1803</v>
      </c>
      <c r="H1519" s="55" t="n">
        <v>14</v>
      </c>
      <c r="I1519" s="76" t="s">
        <v>512</v>
      </c>
      <c r="J1519" s="76" t="s">
        <v>164</v>
      </c>
      <c r="K1519" s="82" t="n">
        <v>1</v>
      </c>
      <c r="L1519" s="55" t="n">
        <v>2</v>
      </c>
      <c r="M1519" s="73" t="n">
        <v>10.6</v>
      </c>
      <c r="N1519" s="74" t="n">
        <f aca="false">K1519*L1519*M1519</f>
        <v>21.2</v>
      </c>
      <c r="O1519" s="41" t="n">
        <f aca="false">IFERROR(INDEX(Исходные!$B$21:$B$33,MATCH(H1519,Исходные!$A$21:$A$33,0)),0)</f>
        <v>1.208</v>
      </c>
      <c r="P1519" s="83" t="n">
        <f aca="false">N1519*O1519</f>
        <v>25.6096</v>
      </c>
      <c r="Q1519" s="20" t="s">
        <v>1804</v>
      </c>
      <c r="R1519" s="84" t="s">
        <v>660</v>
      </c>
      <c r="S1519" s="20" t="s">
        <v>1654</v>
      </c>
      <c r="T1519" s="20" t="s">
        <v>123</v>
      </c>
      <c r="U1519" s="53" t="n">
        <v>0</v>
      </c>
      <c r="V1519" s="76" t="s">
        <v>865</v>
      </c>
      <c r="W1519" s="53" t="n">
        <v>4</v>
      </c>
    </row>
    <row r="1520" customFormat="false" ht="35.05" hidden="false" customHeight="false" outlineLevel="0" collapsed="false">
      <c r="A1520" s="76" t="n">
        <v>1488</v>
      </c>
      <c r="B1520" s="20" t="s">
        <v>1691</v>
      </c>
      <c r="C1520" s="20" t="s">
        <v>655</v>
      </c>
      <c r="D1520" s="20" t="s">
        <v>1796</v>
      </c>
      <c r="E1520" s="20" t="s">
        <v>865</v>
      </c>
      <c r="F1520" s="76" t="s">
        <v>676</v>
      </c>
      <c r="G1520" s="20" t="s">
        <v>882</v>
      </c>
      <c r="H1520" s="55" t="n">
        <v>12</v>
      </c>
      <c r="I1520" s="76" t="s">
        <v>512</v>
      </c>
      <c r="J1520" s="76" t="s">
        <v>164</v>
      </c>
      <c r="K1520" s="82" t="n">
        <v>1</v>
      </c>
      <c r="L1520" s="55" t="n">
        <v>4</v>
      </c>
      <c r="M1520" s="73" t="n">
        <v>2.05</v>
      </c>
      <c r="N1520" s="74" t="n">
        <f aca="false">K1520*L1520*M1520</f>
        <v>8.2</v>
      </c>
      <c r="O1520" s="41" t="n">
        <f aca="false">IFERROR(INDEX(Исходные!$B$21:$B$33,MATCH(H1520,Исходные!$A$21:$A$33,0)),0)</f>
        <v>0.888</v>
      </c>
      <c r="P1520" s="83" t="n">
        <f aca="false">N1520*O1520</f>
        <v>7.2816</v>
      </c>
      <c r="Q1520" s="20" t="s">
        <v>1805</v>
      </c>
      <c r="R1520" s="84" t="s">
        <v>660</v>
      </c>
      <c r="S1520" s="20" t="s">
        <v>1372</v>
      </c>
      <c r="T1520" s="20" t="s">
        <v>123</v>
      </c>
      <c r="U1520" s="53" t="n">
        <v>0</v>
      </c>
      <c r="V1520" s="76" t="s">
        <v>865</v>
      </c>
      <c r="W1520" s="53" t="n">
        <v>4</v>
      </c>
    </row>
    <row r="1521" customFormat="false" ht="35.05" hidden="false" customHeight="false" outlineLevel="0" collapsed="false">
      <c r="A1521" s="76" t="n">
        <v>1489</v>
      </c>
      <c r="B1521" s="20" t="s">
        <v>1691</v>
      </c>
      <c r="C1521" s="20" t="s">
        <v>655</v>
      </c>
      <c r="D1521" s="20" t="s">
        <v>1796</v>
      </c>
      <c r="E1521" s="20" t="s">
        <v>865</v>
      </c>
      <c r="F1521" s="76" t="s">
        <v>696</v>
      </c>
      <c r="G1521" s="20" t="s">
        <v>1308</v>
      </c>
      <c r="H1521" s="55" t="n">
        <v>8</v>
      </c>
      <c r="I1521" s="76" t="s">
        <v>546</v>
      </c>
      <c r="J1521" s="76" t="s">
        <v>698</v>
      </c>
      <c r="K1521" s="82" t="n">
        <v>1</v>
      </c>
      <c r="L1521" s="55" t="n">
        <v>88</v>
      </c>
      <c r="M1521" s="73" t="n">
        <v>2.06</v>
      </c>
      <c r="N1521" s="74" t="n">
        <f aca="false">K1521*L1521*M1521</f>
        <v>181.28</v>
      </c>
      <c r="O1521" s="41" t="n">
        <f aca="false">IFERROR(INDEX(Исходные!$B$21:$B$33,MATCH(H1521,Исходные!$A$21:$A$33,0)),0)</f>
        <v>0.395</v>
      </c>
      <c r="P1521" s="83" t="n">
        <f aca="false">N1521*O1521</f>
        <v>71.6056</v>
      </c>
      <c r="Q1521" s="20" t="s">
        <v>1309</v>
      </c>
      <c r="R1521" s="84" t="s">
        <v>514</v>
      </c>
      <c r="S1521" s="20" t="s">
        <v>1375</v>
      </c>
      <c r="T1521" s="20" t="s">
        <v>123</v>
      </c>
      <c r="U1521" s="53" t="n">
        <v>0</v>
      </c>
      <c r="V1521" s="76" t="s">
        <v>865</v>
      </c>
      <c r="W1521" s="53" t="n">
        <v>4</v>
      </c>
    </row>
    <row r="1522" customFormat="false" ht="35.05" hidden="false" customHeight="false" outlineLevel="0" collapsed="false">
      <c r="A1522" s="76" t="n">
        <v>1490</v>
      </c>
      <c r="B1522" s="20" t="s">
        <v>1691</v>
      </c>
      <c r="C1522" s="20" t="s">
        <v>655</v>
      </c>
      <c r="D1522" s="20" t="s">
        <v>1796</v>
      </c>
      <c r="E1522" s="20" t="s">
        <v>865</v>
      </c>
      <c r="F1522" s="76" t="s">
        <v>561</v>
      </c>
      <c r="G1522" s="20" t="s">
        <v>1311</v>
      </c>
      <c r="H1522" s="55" t="n">
        <v>10</v>
      </c>
      <c r="I1522" s="76" t="s">
        <v>546</v>
      </c>
      <c r="J1522" s="76" t="n">
        <v>100</v>
      </c>
      <c r="K1522" s="82" t="n">
        <v>1</v>
      </c>
      <c r="L1522" s="55" t="n">
        <v>70</v>
      </c>
      <c r="M1522" s="73" t="n">
        <v>2.06</v>
      </c>
      <c r="N1522" s="74" t="n">
        <f aca="false">K1522*L1522*M1522</f>
        <v>144.2</v>
      </c>
      <c r="O1522" s="41" t="n">
        <f aca="false">IFERROR(INDEX(Исходные!$B$21:$B$33,MATCH(H1522,Исходные!$A$21:$A$33,0)),0)</f>
        <v>0.617</v>
      </c>
      <c r="P1522" s="83" t="n">
        <f aca="false">N1522*O1522</f>
        <v>88.9714</v>
      </c>
      <c r="Q1522" s="20" t="s">
        <v>1806</v>
      </c>
      <c r="R1522" s="84" t="s">
        <v>514</v>
      </c>
      <c r="S1522" s="20" t="s">
        <v>1807</v>
      </c>
      <c r="T1522" s="20" t="s">
        <v>123</v>
      </c>
      <c r="U1522" s="53" t="n">
        <v>0</v>
      </c>
      <c r="V1522" s="76" t="s">
        <v>865</v>
      </c>
      <c r="W1522" s="53" t="n">
        <v>4</v>
      </c>
    </row>
    <row r="1523" customFormat="false" ht="35.05" hidden="false" customHeight="false" outlineLevel="0" collapsed="false">
      <c r="A1523" s="76" t="n">
        <v>1491</v>
      </c>
      <c r="B1523" s="20" t="s">
        <v>1691</v>
      </c>
      <c r="C1523" s="20" t="s">
        <v>655</v>
      </c>
      <c r="D1523" s="20" t="s">
        <v>1796</v>
      </c>
      <c r="E1523" s="20" t="s">
        <v>865</v>
      </c>
      <c r="F1523" s="76" t="s">
        <v>603</v>
      </c>
      <c r="G1523" s="20" t="s">
        <v>704</v>
      </c>
      <c r="H1523" s="55" t="n">
        <v>10</v>
      </c>
      <c r="I1523" s="76" t="s">
        <v>546</v>
      </c>
      <c r="J1523" s="76" t="n">
        <v>100</v>
      </c>
      <c r="K1523" s="82" t="n">
        <v>1</v>
      </c>
      <c r="L1523" s="55" t="n">
        <v>50</v>
      </c>
      <c r="M1523" s="73" t="n">
        <v>1.6</v>
      </c>
      <c r="N1523" s="74" t="n">
        <f aca="false">K1523*L1523*M1523</f>
        <v>80</v>
      </c>
      <c r="O1523" s="41" t="n">
        <f aca="false">IFERROR(INDEX(Исходные!$B$21:$B$33,MATCH(H1523,Исходные!$A$21:$A$33,0)),0)</f>
        <v>0.617</v>
      </c>
      <c r="P1523" s="83" t="n">
        <f aca="false">N1523*O1523</f>
        <v>49.36</v>
      </c>
      <c r="Q1523" s="20" t="s">
        <v>885</v>
      </c>
      <c r="R1523" s="84" t="s">
        <v>514</v>
      </c>
      <c r="S1523" s="20"/>
      <c r="T1523" s="20" t="s">
        <v>123</v>
      </c>
      <c r="U1523" s="53" t="n">
        <v>0</v>
      </c>
      <c r="V1523" s="76" t="s">
        <v>865</v>
      </c>
      <c r="W1523" s="53" t="n">
        <v>4</v>
      </c>
    </row>
    <row r="1524" customFormat="false" ht="35.05" hidden="false" customHeight="false" outlineLevel="0" collapsed="false">
      <c r="A1524" s="76" t="n">
        <v>1492</v>
      </c>
      <c r="B1524" s="20" t="s">
        <v>1691</v>
      </c>
      <c r="C1524" s="20" t="s">
        <v>655</v>
      </c>
      <c r="D1524" s="20" t="s">
        <v>1796</v>
      </c>
      <c r="E1524" s="20" t="s">
        <v>865</v>
      </c>
      <c r="F1524" s="76" t="s">
        <v>706</v>
      </c>
      <c r="G1524" s="20" t="s">
        <v>1314</v>
      </c>
      <c r="H1524" s="55" t="n">
        <v>8</v>
      </c>
      <c r="I1524" s="76" t="s">
        <v>546</v>
      </c>
      <c r="J1524" s="76" t="s">
        <v>708</v>
      </c>
      <c r="K1524" s="82" t="n">
        <v>1</v>
      </c>
      <c r="L1524" s="55" t="n">
        <v>73</v>
      </c>
      <c r="M1524" s="73" t="n">
        <v>0.75</v>
      </c>
      <c r="N1524" s="74" t="n">
        <f aca="false">K1524*L1524*M1524</f>
        <v>54.75</v>
      </c>
      <c r="O1524" s="41" t="n">
        <f aca="false">IFERROR(INDEX(Исходные!$B$21:$B$33,MATCH(H1524,Исходные!$A$21:$A$33,0)),0)</f>
        <v>0.395</v>
      </c>
      <c r="P1524" s="83" t="n">
        <f aca="false">N1524*O1524</f>
        <v>21.62625</v>
      </c>
      <c r="Q1524" s="20" t="s">
        <v>709</v>
      </c>
      <c r="R1524" s="84" t="s">
        <v>514</v>
      </c>
      <c r="S1524" s="20"/>
      <c r="T1524" s="20" t="s">
        <v>123</v>
      </c>
      <c r="U1524" s="53" t="n">
        <v>0</v>
      </c>
      <c r="V1524" s="76" t="s">
        <v>865</v>
      </c>
      <c r="W1524" s="53" t="n">
        <v>4</v>
      </c>
    </row>
    <row r="1525" customFormat="false" ht="35.05" hidden="false" customHeight="false" outlineLevel="0" collapsed="false">
      <c r="A1525" s="76" t="n">
        <v>1493</v>
      </c>
      <c r="B1525" s="20" t="s">
        <v>1691</v>
      </c>
      <c r="C1525" s="20" t="s">
        <v>655</v>
      </c>
      <c r="D1525" s="20" t="s">
        <v>1796</v>
      </c>
      <c r="E1525" s="20" t="s">
        <v>865</v>
      </c>
      <c r="F1525" s="76" t="s">
        <v>710</v>
      </c>
      <c r="G1525" s="20" t="s">
        <v>1315</v>
      </c>
      <c r="H1525" s="55" t="n">
        <v>8</v>
      </c>
      <c r="I1525" s="76" t="s">
        <v>546</v>
      </c>
      <c r="J1525" s="76" t="n">
        <v>300</v>
      </c>
      <c r="K1525" s="82" t="n">
        <v>1</v>
      </c>
      <c r="L1525" s="55" t="n">
        <v>62</v>
      </c>
      <c r="M1525" s="73" t="n">
        <v>0.58</v>
      </c>
      <c r="N1525" s="74" t="n">
        <f aca="false">K1525*L1525*M1525</f>
        <v>35.96</v>
      </c>
      <c r="O1525" s="41" t="n">
        <f aca="false">IFERROR(INDEX(Исходные!$B$21:$B$33,MATCH(H1525,Исходные!$A$21:$A$33,0)),0)</f>
        <v>0.395</v>
      </c>
      <c r="P1525" s="83" t="n">
        <f aca="false">N1525*O1525</f>
        <v>14.2042</v>
      </c>
      <c r="Q1525" s="20" t="s">
        <v>1316</v>
      </c>
      <c r="R1525" s="85" t="s">
        <v>638</v>
      </c>
      <c r="S1525" s="20"/>
      <c r="T1525" s="20" t="s">
        <v>123</v>
      </c>
      <c r="U1525" s="53" t="n">
        <v>1</v>
      </c>
      <c r="V1525" s="76" t="s">
        <v>865</v>
      </c>
      <c r="W1525" s="53" t="n">
        <v>4</v>
      </c>
    </row>
    <row r="1526" customFormat="false" ht="35.05" hidden="false" customHeight="false" outlineLevel="0" collapsed="false">
      <c r="A1526" s="76" t="n">
        <v>1494</v>
      </c>
      <c r="B1526" s="20" t="s">
        <v>1691</v>
      </c>
      <c r="C1526" s="20" t="s">
        <v>655</v>
      </c>
      <c r="D1526" s="20" t="s">
        <v>1808</v>
      </c>
      <c r="E1526" s="20" t="s">
        <v>887</v>
      </c>
      <c r="F1526" s="76" t="s">
        <v>519</v>
      </c>
      <c r="G1526" s="20" t="s">
        <v>658</v>
      </c>
      <c r="H1526" s="55" t="n">
        <v>28</v>
      </c>
      <c r="I1526" s="76" t="s">
        <v>512</v>
      </c>
      <c r="J1526" s="76" t="s">
        <v>164</v>
      </c>
      <c r="K1526" s="82" t="n">
        <v>1</v>
      </c>
      <c r="L1526" s="55" t="n">
        <v>4</v>
      </c>
      <c r="M1526" s="73" t="n">
        <v>20.5</v>
      </c>
      <c r="N1526" s="74" t="n">
        <f aca="false">K1526*L1526*M1526</f>
        <v>82</v>
      </c>
      <c r="O1526" s="41" t="n">
        <f aca="false">IFERROR(INDEX(Исходные!$B$21:$B$33,MATCH(H1526,Исходные!$A$21:$A$33,0)),0)</f>
        <v>4.834</v>
      </c>
      <c r="P1526" s="83" t="n">
        <f aca="false">N1526*O1526</f>
        <v>396.388</v>
      </c>
      <c r="Q1526" s="20" t="s">
        <v>1411</v>
      </c>
      <c r="R1526" s="84" t="s">
        <v>660</v>
      </c>
      <c r="S1526" s="20" t="s">
        <v>832</v>
      </c>
      <c r="T1526" s="20" t="s">
        <v>123</v>
      </c>
      <c r="U1526" s="53" t="n">
        <v>0</v>
      </c>
      <c r="V1526" s="76" t="s">
        <v>887</v>
      </c>
      <c r="W1526" s="53" t="n">
        <v>4</v>
      </c>
    </row>
    <row r="1527" customFormat="false" ht="35.05" hidden="false" customHeight="false" outlineLevel="0" collapsed="false">
      <c r="A1527" s="76" t="n">
        <v>1495</v>
      </c>
      <c r="B1527" s="20" t="s">
        <v>1691</v>
      </c>
      <c r="C1527" s="20" t="s">
        <v>655</v>
      </c>
      <c r="D1527" s="20" t="s">
        <v>1808</v>
      </c>
      <c r="E1527" s="20" t="s">
        <v>887</v>
      </c>
      <c r="F1527" s="76" t="s">
        <v>529</v>
      </c>
      <c r="G1527" s="20" t="s">
        <v>662</v>
      </c>
      <c r="H1527" s="55" t="n">
        <v>18</v>
      </c>
      <c r="I1527" s="76" t="s">
        <v>512</v>
      </c>
      <c r="J1527" s="76" t="s">
        <v>164</v>
      </c>
      <c r="K1527" s="82" t="n">
        <v>1</v>
      </c>
      <c r="L1527" s="55" t="n">
        <v>2</v>
      </c>
      <c r="M1527" s="73" t="n">
        <v>20.5</v>
      </c>
      <c r="N1527" s="74" t="n">
        <f aca="false">K1527*L1527*M1527</f>
        <v>41</v>
      </c>
      <c r="O1527" s="41" t="n">
        <f aca="false">IFERROR(INDEX(Исходные!$B$21:$B$33,MATCH(H1527,Исходные!$A$21:$A$33,0)),0)</f>
        <v>1.998</v>
      </c>
      <c r="P1527" s="83" t="n">
        <f aca="false">N1527*O1527</f>
        <v>81.918</v>
      </c>
      <c r="Q1527" s="20" t="s">
        <v>663</v>
      </c>
      <c r="R1527" s="84" t="s">
        <v>660</v>
      </c>
      <c r="S1527" s="20"/>
      <c r="T1527" s="20" t="s">
        <v>123</v>
      </c>
      <c r="U1527" s="53" t="n">
        <v>0</v>
      </c>
      <c r="V1527" s="76" t="s">
        <v>887</v>
      </c>
      <c r="W1527" s="53" t="n">
        <v>4</v>
      </c>
    </row>
    <row r="1528" customFormat="false" ht="35.05" hidden="false" customHeight="false" outlineLevel="0" collapsed="false">
      <c r="A1528" s="76" t="n">
        <v>1496</v>
      </c>
      <c r="B1528" s="20" t="s">
        <v>1691</v>
      </c>
      <c r="C1528" s="20" t="s">
        <v>655</v>
      </c>
      <c r="D1528" s="20" t="s">
        <v>1808</v>
      </c>
      <c r="E1528" s="20" t="s">
        <v>887</v>
      </c>
      <c r="F1528" s="76" t="s">
        <v>664</v>
      </c>
      <c r="G1528" s="20" t="s">
        <v>833</v>
      </c>
      <c r="H1528" s="55" t="n">
        <v>18</v>
      </c>
      <c r="I1528" s="76" t="s">
        <v>512</v>
      </c>
      <c r="J1528" s="76" t="s">
        <v>164</v>
      </c>
      <c r="K1528" s="82" t="n">
        <v>2</v>
      </c>
      <c r="L1528" s="55" t="n">
        <v>1</v>
      </c>
      <c r="M1528" s="73" t="n">
        <v>0.144</v>
      </c>
      <c r="N1528" s="74" t="n">
        <f aca="false">K1528*L1528*M1528</f>
        <v>0.288</v>
      </c>
      <c r="O1528" s="41" t="n">
        <f aca="false">IFERROR(INDEX(Исходные!$B$21:$B$33,MATCH(H1528,Исходные!$A$21:$A$33,0)),0)</f>
        <v>1.998</v>
      </c>
      <c r="P1528" s="83" t="n">
        <f aca="false">N1528*O1528</f>
        <v>0.575424</v>
      </c>
      <c r="Q1528" s="20" t="s">
        <v>666</v>
      </c>
      <c r="R1528" s="84" t="s">
        <v>667</v>
      </c>
      <c r="S1528" s="20" t="s">
        <v>805</v>
      </c>
      <c r="T1528" s="20" t="s">
        <v>123</v>
      </c>
      <c r="U1528" s="53" t="n">
        <v>0</v>
      </c>
      <c r="V1528" s="76" t="s">
        <v>887</v>
      </c>
      <c r="W1528" s="53" t="n">
        <v>4</v>
      </c>
    </row>
    <row r="1529" customFormat="false" ht="35.05" hidden="false" customHeight="false" outlineLevel="0" collapsed="false">
      <c r="A1529" s="76" t="n">
        <v>1497</v>
      </c>
      <c r="B1529" s="20" t="s">
        <v>1691</v>
      </c>
      <c r="C1529" s="20" t="s">
        <v>655</v>
      </c>
      <c r="D1529" s="20" t="s">
        <v>1808</v>
      </c>
      <c r="E1529" s="20" t="s">
        <v>887</v>
      </c>
      <c r="F1529" s="76" t="s">
        <v>669</v>
      </c>
      <c r="G1529" s="20" t="s">
        <v>670</v>
      </c>
      <c r="H1529" s="55" t="n">
        <v>16</v>
      </c>
      <c r="I1529" s="76" t="s">
        <v>512</v>
      </c>
      <c r="J1529" s="76" t="s">
        <v>164</v>
      </c>
      <c r="K1529" s="82" t="n">
        <v>1</v>
      </c>
      <c r="L1529" s="55" t="n">
        <v>2</v>
      </c>
      <c r="M1529" s="73" t="n">
        <v>20.5</v>
      </c>
      <c r="N1529" s="74" t="n">
        <f aca="false">K1529*L1529*M1529</f>
        <v>41</v>
      </c>
      <c r="O1529" s="41" t="n">
        <f aca="false">IFERROR(INDEX(Исходные!$B$21:$B$33,MATCH(H1529,Исходные!$A$21:$A$33,0)),0)</f>
        <v>1.578</v>
      </c>
      <c r="P1529" s="83" t="n">
        <f aca="false">N1529*O1529</f>
        <v>64.698</v>
      </c>
      <c r="Q1529" s="20" t="s">
        <v>671</v>
      </c>
      <c r="R1529" s="84" t="s">
        <v>660</v>
      </c>
      <c r="S1529" s="20"/>
      <c r="T1529" s="20" t="s">
        <v>123</v>
      </c>
      <c r="U1529" s="53" t="n">
        <v>0</v>
      </c>
      <c r="V1529" s="76" t="s">
        <v>887</v>
      </c>
      <c r="W1529" s="53" t="n">
        <v>4</v>
      </c>
    </row>
    <row r="1530" customFormat="false" ht="35.05" hidden="false" customHeight="false" outlineLevel="0" collapsed="false">
      <c r="A1530" s="76" t="n">
        <v>1498</v>
      </c>
      <c r="B1530" s="20" t="s">
        <v>1691</v>
      </c>
      <c r="C1530" s="20" t="s">
        <v>655</v>
      </c>
      <c r="D1530" s="20" t="s">
        <v>1808</v>
      </c>
      <c r="E1530" s="20" t="s">
        <v>887</v>
      </c>
      <c r="F1530" s="76" t="s">
        <v>672</v>
      </c>
      <c r="G1530" s="20" t="s">
        <v>834</v>
      </c>
      <c r="H1530" s="55" t="n">
        <v>16</v>
      </c>
      <c r="I1530" s="76" t="s">
        <v>512</v>
      </c>
      <c r="J1530" s="76" t="s">
        <v>164</v>
      </c>
      <c r="K1530" s="82" t="n">
        <v>2</v>
      </c>
      <c r="L1530" s="55" t="n">
        <v>1</v>
      </c>
      <c r="M1530" s="73" t="n">
        <v>0.128</v>
      </c>
      <c r="N1530" s="74" t="n">
        <f aca="false">K1530*L1530*M1530</f>
        <v>0.256</v>
      </c>
      <c r="O1530" s="41" t="n">
        <f aca="false">IFERROR(INDEX(Исходные!$B$21:$B$33,MATCH(H1530,Исходные!$A$21:$A$33,0)),0)</f>
        <v>1.578</v>
      </c>
      <c r="P1530" s="83" t="n">
        <f aca="false">N1530*O1530</f>
        <v>0.403968</v>
      </c>
      <c r="Q1530" s="20" t="s">
        <v>674</v>
      </c>
      <c r="R1530" s="84" t="s">
        <v>667</v>
      </c>
      <c r="S1530" s="20" t="s">
        <v>807</v>
      </c>
      <c r="T1530" s="20" t="s">
        <v>123</v>
      </c>
      <c r="U1530" s="53" t="n">
        <v>0</v>
      </c>
      <c r="V1530" s="76" t="s">
        <v>887</v>
      </c>
      <c r="W1530" s="53" t="n">
        <v>4</v>
      </c>
    </row>
    <row r="1531" customFormat="false" ht="35.05" hidden="false" customHeight="false" outlineLevel="0" collapsed="false">
      <c r="A1531" s="76" t="n">
        <v>1499</v>
      </c>
      <c r="B1531" s="20" t="s">
        <v>1691</v>
      </c>
      <c r="C1531" s="20" t="s">
        <v>655</v>
      </c>
      <c r="D1531" s="20" t="s">
        <v>1808</v>
      </c>
      <c r="E1531" s="20" t="s">
        <v>887</v>
      </c>
      <c r="F1531" s="76" t="s">
        <v>676</v>
      </c>
      <c r="G1531" s="20" t="s">
        <v>889</v>
      </c>
      <c r="H1531" s="55" t="n">
        <v>32</v>
      </c>
      <c r="I1531" s="76" t="s">
        <v>512</v>
      </c>
      <c r="J1531" s="76" t="s">
        <v>164</v>
      </c>
      <c r="K1531" s="82" t="n">
        <v>1</v>
      </c>
      <c r="L1531" s="55" t="n">
        <v>2</v>
      </c>
      <c r="M1531" s="73" t="n">
        <v>2.4</v>
      </c>
      <c r="N1531" s="74" t="n">
        <f aca="false">K1531*L1531*M1531</f>
        <v>4.8</v>
      </c>
      <c r="O1531" s="41" t="n">
        <f aca="false">IFERROR(INDEX(Исходные!$B$21:$B$33,MATCH(H1531,Исходные!$A$21:$A$33,0)),0)</f>
        <v>6.313</v>
      </c>
      <c r="P1531" s="83" t="n">
        <f aca="false">N1531*O1531</f>
        <v>30.3024</v>
      </c>
      <c r="Q1531" s="20" t="s">
        <v>1809</v>
      </c>
      <c r="R1531" s="84" t="s">
        <v>660</v>
      </c>
      <c r="S1531" s="20" t="s">
        <v>837</v>
      </c>
      <c r="T1531" s="20" t="s">
        <v>123</v>
      </c>
      <c r="U1531" s="53" t="n">
        <v>0</v>
      </c>
      <c r="V1531" s="76" t="s">
        <v>887</v>
      </c>
      <c r="W1531" s="53" t="n">
        <v>4</v>
      </c>
    </row>
    <row r="1532" customFormat="false" ht="35.05" hidden="false" customHeight="false" outlineLevel="0" collapsed="false">
      <c r="A1532" s="76" t="n">
        <v>1500</v>
      </c>
      <c r="B1532" s="20" t="s">
        <v>1691</v>
      </c>
      <c r="C1532" s="20" t="s">
        <v>655</v>
      </c>
      <c r="D1532" s="20" t="s">
        <v>1808</v>
      </c>
      <c r="E1532" s="20" t="s">
        <v>887</v>
      </c>
      <c r="F1532" s="76" t="s">
        <v>676</v>
      </c>
      <c r="G1532" s="20" t="s">
        <v>1659</v>
      </c>
      <c r="H1532" s="55" t="n">
        <v>28</v>
      </c>
      <c r="I1532" s="76" t="s">
        <v>512</v>
      </c>
      <c r="J1532" s="76" t="s">
        <v>164</v>
      </c>
      <c r="K1532" s="82" t="n">
        <v>1</v>
      </c>
      <c r="L1532" s="55" t="n">
        <v>2</v>
      </c>
      <c r="M1532" s="73" t="n">
        <v>3.4</v>
      </c>
      <c r="N1532" s="74" t="n">
        <f aca="false">K1532*L1532*M1532</f>
        <v>6.8</v>
      </c>
      <c r="O1532" s="41" t="n">
        <f aca="false">IFERROR(INDEX(Исходные!$B$21:$B$33,MATCH(H1532,Исходные!$A$21:$A$33,0)),0)</f>
        <v>4.834</v>
      </c>
      <c r="P1532" s="83" t="n">
        <f aca="false">N1532*O1532</f>
        <v>32.8712</v>
      </c>
      <c r="Q1532" s="20" t="s">
        <v>1810</v>
      </c>
      <c r="R1532" s="84" t="s">
        <v>660</v>
      </c>
      <c r="S1532" s="20" t="s">
        <v>892</v>
      </c>
      <c r="T1532" s="20" t="s">
        <v>123</v>
      </c>
      <c r="U1532" s="53" t="n">
        <v>0</v>
      </c>
      <c r="V1532" s="76" t="s">
        <v>887</v>
      </c>
      <c r="W1532" s="53" t="n">
        <v>4</v>
      </c>
    </row>
    <row r="1533" customFormat="false" ht="35.05" hidden="false" customHeight="false" outlineLevel="0" collapsed="false">
      <c r="A1533" s="76" t="n">
        <v>1501</v>
      </c>
      <c r="B1533" s="20" t="s">
        <v>1691</v>
      </c>
      <c r="C1533" s="20" t="s">
        <v>655</v>
      </c>
      <c r="D1533" s="20" t="s">
        <v>1808</v>
      </c>
      <c r="E1533" s="20" t="s">
        <v>887</v>
      </c>
      <c r="F1533" s="76" t="s">
        <v>676</v>
      </c>
      <c r="G1533" s="20" t="s">
        <v>893</v>
      </c>
      <c r="H1533" s="55" t="n">
        <v>28</v>
      </c>
      <c r="I1533" s="76" t="s">
        <v>512</v>
      </c>
      <c r="J1533" s="76" t="s">
        <v>164</v>
      </c>
      <c r="K1533" s="82" t="n">
        <v>1</v>
      </c>
      <c r="L1533" s="55" t="n">
        <v>2</v>
      </c>
      <c r="M1533" s="73" t="n">
        <v>3.6</v>
      </c>
      <c r="N1533" s="74" t="n">
        <f aca="false">K1533*L1533*M1533</f>
        <v>7.2</v>
      </c>
      <c r="O1533" s="41" t="n">
        <f aca="false">IFERROR(INDEX(Исходные!$B$21:$B$33,MATCH(H1533,Исходные!$A$21:$A$33,0)),0)</f>
        <v>4.834</v>
      </c>
      <c r="P1533" s="83" t="n">
        <f aca="false">N1533*O1533</f>
        <v>34.8048</v>
      </c>
      <c r="Q1533" s="20" t="s">
        <v>1810</v>
      </c>
      <c r="R1533" s="84" t="s">
        <v>660</v>
      </c>
      <c r="S1533" s="20" t="s">
        <v>845</v>
      </c>
      <c r="T1533" s="20" t="s">
        <v>123</v>
      </c>
      <c r="U1533" s="53" t="n">
        <v>0</v>
      </c>
      <c r="V1533" s="76" t="s">
        <v>887</v>
      </c>
      <c r="W1533" s="53" t="n">
        <v>4</v>
      </c>
    </row>
    <row r="1534" customFormat="false" ht="35.05" hidden="false" customHeight="false" outlineLevel="0" collapsed="false">
      <c r="A1534" s="76" t="n">
        <v>1502</v>
      </c>
      <c r="B1534" s="20" t="s">
        <v>1691</v>
      </c>
      <c r="C1534" s="20" t="s">
        <v>655</v>
      </c>
      <c r="D1534" s="20" t="s">
        <v>1808</v>
      </c>
      <c r="E1534" s="20" t="s">
        <v>887</v>
      </c>
      <c r="F1534" s="76" t="s">
        <v>676</v>
      </c>
      <c r="G1534" s="20" t="s">
        <v>1811</v>
      </c>
      <c r="H1534" s="55" t="n">
        <v>28</v>
      </c>
      <c r="I1534" s="76" t="s">
        <v>512</v>
      </c>
      <c r="J1534" s="76" t="s">
        <v>164</v>
      </c>
      <c r="K1534" s="82" t="n">
        <v>1</v>
      </c>
      <c r="L1534" s="55" t="n">
        <v>2</v>
      </c>
      <c r="M1534" s="73" t="n">
        <v>2.85</v>
      </c>
      <c r="N1534" s="74" t="n">
        <f aca="false">K1534*L1534*M1534</f>
        <v>5.7</v>
      </c>
      <c r="O1534" s="41" t="n">
        <f aca="false">IFERROR(INDEX(Исходные!$B$21:$B$33,MATCH(H1534,Исходные!$A$21:$A$33,0)),0)</f>
        <v>4.834</v>
      </c>
      <c r="P1534" s="83" t="n">
        <f aca="false">N1534*O1534</f>
        <v>27.5538</v>
      </c>
      <c r="Q1534" s="20" t="s">
        <v>1810</v>
      </c>
      <c r="R1534" s="84" t="s">
        <v>660</v>
      </c>
      <c r="S1534" s="20" t="s">
        <v>1381</v>
      </c>
      <c r="T1534" s="20" t="s">
        <v>123</v>
      </c>
      <c r="U1534" s="53" t="n">
        <v>0</v>
      </c>
      <c r="V1534" s="76" t="s">
        <v>887</v>
      </c>
      <c r="W1534" s="53" t="n">
        <v>4</v>
      </c>
    </row>
    <row r="1535" customFormat="false" ht="35.05" hidden="false" customHeight="false" outlineLevel="0" collapsed="false">
      <c r="A1535" s="76" t="n">
        <v>1503</v>
      </c>
      <c r="B1535" s="20" t="s">
        <v>1691</v>
      </c>
      <c r="C1535" s="20" t="s">
        <v>655</v>
      </c>
      <c r="D1535" s="20" t="s">
        <v>1808</v>
      </c>
      <c r="E1535" s="20" t="s">
        <v>887</v>
      </c>
      <c r="F1535" s="76" t="s">
        <v>676</v>
      </c>
      <c r="G1535" s="20" t="s">
        <v>895</v>
      </c>
      <c r="H1535" s="55" t="n">
        <v>25</v>
      </c>
      <c r="I1535" s="76" t="s">
        <v>512</v>
      </c>
      <c r="J1535" s="76" t="s">
        <v>164</v>
      </c>
      <c r="K1535" s="82" t="n">
        <v>1</v>
      </c>
      <c r="L1535" s="55" t="n">
        <v>2</v>
      </c>
      <c r="M1535" s="73" t="n">
        <v>6.2</v>
      </c>
      <c r="N1535" s="74" t="n">
        <f aca="false">K1535*L1535*M1535</f>
        <v>12.4</v>
      </c>
      <c r="O1535" s="41" t="n">
        <f aca="false">IFERROR(INDEX(Исходные!$B$21:$B$33,MATCH(H1535,Исходные!$A$21:$A$33,0)),0)</f>
        <v>3.853</v>
      </c>
      <c r="P1535" s="83" t="n">
        <f aca="false">N1535*O1535</f>
        <v>47.7772</v>
      </c>
      <c r="Q1535" s="20" t="s">
        <v>1812</v>
      </c>
      <c r="R1535" s="84" t="s">
        <v>660</v>
      </c>
      <c r="S1535" s="20" t="s">
        <v>897</v>
      </c>
      <c r="T1535" s="20" t="s">
        <v>123</v>
      </c>
      <c r="U1535" s="53" t="n">
        <v>0</v>
      </c>
      <c r="V1535" s="76" t="s">
        <v>887</v>
      </c>
      <c r="W1535" s="53" t="n">
        <v>4</v>
      </c>
    </row>
    <row r="1536" customFormat="false" ht="35.05" hidden="false" customHeight="false" outlineLevel="0" collapsed="false">
      <c r="A1536" s="76" t="n">
        <v>1504</v>
      </c>
      <c r="B1536" s="20" t="s">
        <v>1691</v>
      </c>
      <c r="C1536" s="20" t="s">
        <v>655</v>
      </c>
      <c r="D1536" s="20" t="s">
        <v>1808</v>
      </c>
      <c r="E1536" s="20" t="s">
        <v>887</v>
      </c>
      <c r="F1536" s="76" t="s">
        <v>676</v>
      </c>
      <c r="G1536" s="20" t="s">
        <v>898</v>
      </c>
      <c r="H1536" s="55" t="n">
        <v>20</v>
      </c>
      <c r="I1536" s="76" t="s">
        <v>512</v>
      </c>
      <c r="J1536" s="76" t="s">
        <v>164</v>
      </c>
      <c r="K1536" s="82" t="n">
        <v>1</v>
      </c>
      <c r="L1536" s="55" t="n">
        <v>2</v>
      </c>
      <c r="M1536" s="73" t="n">
        <v>3</v>
      </c>
      <c r="N1536" s="74" t="n">
        <f aca="false">K1536*L1536*M1536</f>
        <v>6</v>
      </c>
      <c r="O1536" s="41" t="n">
        <f aca="false">IFERROR(INDEX(Исходные!$B$21:$B$33,MATCH(H1536,Исходные!$A$21:$A$33,0)),0)</f>
        <v>2.466</v>
      </c>
      <c r="P1536" s="83" t="n">
        <f aca="false">N1536*O1536</f>
        <v>14.796</v>
      </c>
      <c r="Q1536" s="20" t="s">
        <v>1813</v>
      </c>
      <c r="R1536" s="84" t="s">
        <v>660</v>
      </c>
      <c r="S1536" s="20" t="s">
        <v>822</v>
      </c>
      <c r="T1536" s="20" t="s">
        <v>123</v>
      </c>
      <c r="U1536" s="53" t="n">
        <v>0</v>
      </c>
      <c r="V1536" s="76" t="s">
        <v>887</v>
      </c>
      <c r="W1536" s="53" t="n">
        <v>4</v>
      </c>
    </row>
    <row r="1537" customFormat="false" ht="35.05" hidden="false" customHeight="false" outlineLevel="0" collapsed="false">
      <c r="A1537" s="76" t="n">
        <v>1505</v>
      </c>
      <c r="B1537" s="20" t="s">
        <v>1691</v>
      </c>
      <c r="C1537" s="20" t="s">
        <v>655</v>
      </c>
      <c r="D1537" s="20" t="s">
        <v>1808</v>
      </c>
      <c r="E1537" s="20" t="s">
        <v>887</v>
      </c>
      <c r="F1537" s="76" t="s">
        <v>676</v>
      </c>
      <c r="G1537" s="20" t="s">
        <v>1419</v>
      </c>
      <c r="H1537" s="55" t="n">
        <v>16</v>
      </c>
      <c r="I1537" s="76" t="s">
        <v>512</v>
      </c>
      <c r="J1537" s="76" t="s">
        <v>164</v>
      </c>
      <c r="K1537" s="82" t="n">
        <v>1</v>
      </c>
      <c r="L1537" s="55" t="n">
        <v>2</v>
      </c>
      <c r="M1537" s="73" t="n">
        <v>3.6</v>
      </c>
      <c r="N1537" s="74" t="n">
        <f aca="false">K1537*L1537*M1537</f>
        <v>7.2</v>
      </c>
      <c r="O1537" s="41" t="n">
        <f aca="false">IFERROR(INDEX(Исходные!$B$21:$B$33,MATCH(H1537,Исходные!$A$21:$A$33,0)),0)</f>
        <v>1.578</v>
      </c>
      <c r="P1537" s="83" t="n">
        <f aca="false">N1537*O1537</f>
        <v>11.3616</v>
      </c>
      <c r="Q1537" s="20" t="s">
        <v>1814</v>
      </c>
      <c r="R1537" s="84" t="s">
        <v>660</v>
      </c>
      <c r="S1537" s="20" t="s">
        <v>845</v>
      </c>
      <c r="T1537" s="20" t="s">
        <v>123</v>
      </c>
      <c r="U1537" s="53" t="n">
        <v>0</v>
      </c>
      <c r="V1537" s="76" t="s">
        <v>887</v>
      </c>
      <c r="W1537" s="53" t="n">
        <v>4</v>
      </c>
    </row>
    <row r="1538" customFormat="false" ht="35.05" hidden="false" customHeight="false" outlineLevel="0" collapsed="false">
      <c r="A1538" s="76" t="n">
        <v>1506</v>
      </c>
      <c r="B1538" s="20" t="s">
        <v>1691</v>
      </c>
      <c r="C1538" s="20" t="s">
        <v>655</v>
      </c>
      <c r="D1538" s="20" t="s">
        <v>1808</v>
      </c>
      <c r="E1538" s="20" t="s">
        <v>887</v>
      </c>
      <c r="F1538" s="76" t="s">
        <v>676</v>
      </c>
      <c r="G1538" s="20" t="s">
        <v>1421</v>
      </c>
      <c r="H1538" s="55" t="n">
        <v>14</v>
      </c>
      <c r="I1538" s="76" t="s">
        <v>512</v>
      </c>
      <c r="J1538" s="76" t="s">
        <v>164</v>
      </c>
      <c r="K1538" s="82" t="n">
        <v>1</v>
      </c>
      <c r="L1538" s="55" t="n">
        <v>2</v>
      </c>
      <c r="M1538" s="73" t="n">
        <v>3.4</v>
      </c>
      <c r="N1538" s="74" t="n">
        <f aca="false">K1538*L1538*M1538</f>
        <v>6.8</v>
      </c>
      <c r="O1538" s="41" t="n">
        <f aca="false">IFERROR(INDEX(Исходные!$B$21:$B$33,MATCH(H1538,Исходные!$A$21:$A$33,0)),0)</f>
        <v>1.208</v>
      </c>
      <c r="P1538" s="83" t="n">
        <f aca="false">N1538*O1538</f>
        <v>8.2144</v>
      </c>
      <c r="Q1538" s="20" t="s">
        <v>1815</v>
      </c>
      <c r="R1538" s="84" t="s">
        <v>660</v>
      </c>
      <c r="S1538" s="20" t="s">
        <v>892</v>
      </c>
      <c r="T1538" s="20" t="s">
        <v>123</v>
      </c>
      <c r="U1538" s="53" t="n">
        <v>0</v>
      </c>
      <c r="V1538" s="76" t="s">
        <v>887</v>
      </c>
      <c r="W1538" s="53" t="n">
        <v>4</v>
      </c>
    </row>
    <row r="1539" customFormat="false" ht="35.05" hidden="false" customHeight="false" outlineLevel="0" collapsed="false">
      <c r="A1539" s="76" t="n">
        <v>1507</v>
      </c>
      <c r="B1539" s="20" t="s">
        <v>1691</v>
      </c>
      <c r="C1539" s="20" t="s">
        <v>655</v>
      </c>
      <c r="D1539" s="20" t="s">
        <v>1808</v>
      </c>
      <c r="E1539" s="20" t="s">
        <v>887</v>
      </c>
      <c r="F1539" s="76" t="s">
        <v>676</v>
      </c>
      <c r="G1539" s="20" t="s">
        <v>903</v>
      </c>
      <c r="H1539" s="55" t="n">
        <v>12</v>
      </c>
      <c r="I1539" s="76" t="s">
        <v>512</v>
      </c>
      <c r="J1539" s="76" t="s">
        <v>164</v>
      </c>
      <c r="K1539" s="82" t="n">
        <v>1</v>
      </c>
      <c r="L1539" s="55" t="n">
        <v>4</v>
      </c>
      <c r="M1539" s="73" t="n">
        <v>2.4</v>
      </c>
      <c r="N1539" s="74" t="n">
        <f aca="false">K1539*L1539*M1539</f>
        <v>9.6</v>
      </c>
      <c r="O1539" s="41" t="n">
        <f aca="false">IFERROR(INDEX(Исходные!$B$21:$B$33,MATCH(H1539,Исходные!$A$21:$A$33,0)),0)</f>
        <v>0.888</v>
      </c>
      <c r="P1539" s="83" t="n">
        <f aca="false">N1539*O1539</f>
        <v>8.5248</v>
      </c>
      <c r="Q1539" s="20" t="s">
        <v>1816</v>
      </c>
      <c r="R1539" s="84" t="s">
        <v>660</v>
      </c>
      <c r="S1539" s="20" t="s">
        <v>837</v>
      </c>
      <c r="T1539" s="20" t="s">
        <v>123</v>
      </c>
      <c r="U1539" s="53" t="n">
        <v>0</v>
      </c>
      <c r="V1539" s="76" t="s">
        <v>887</v>
      </c>
      <c r="W1539" s="53" t="n">
        <v>4</v>
      </c>
    </row>
    <row r="1540" customFormat="false" ht="35.05" hidden="false" customHeight="false" outlineLevel="0" collapsed="false">
      <c r="A1540" s="76" t="n">
        <v>1508</v>
      </c>
      <c r="B1540" s="20" t="s">
        <v>1691</v>
      </c>
      <c r="C1540" s="20" t="s">
        <v>655</v>
      </c>
      <c r="D1540" s="20" t="s">
        <v>1808</v>
      </c>
      <c r="E1540" s="20" t="s">
        <v>887</v>
      </c>
      <c r="F1540" s="76" t="s">
        <v>676</v>
      </c>
      <c r="G1540" s="20" t="s">
        <v>905</v>
      </c>
      <c r="H1540" s="55" t="n">
        <v>12</v>
      </c>
      <c r="I1540" s="76" t="s">
        <v>512</v>
      </c>
      <c r="J1540" s="76" t="s">
        <v>164</v>
      </c>
      <c r="K1540" s="82" t="n">
        <v>1</v>
      </c>
      <c r="L1540" s="55" t="n">
        <v>4</v>
      </c>
      <c r="M1540" s="73" t="n">
        <v>3.4</v>
      </c>
      <c r="N1540" s="74" t="n">
        <f aca="false">K1540*L1540*M1540</f>
        <v>13.6</v>
      </c>
      <c r="O1540" s="41" t="n">
        <f aca="false">IFERROR(INDEX(Исходные!$B$21:$B$33,MATCH(H1540,Исходные!$A$21:$A$33,0)),0)</f>
        <v>0.888</v>
      </c>
      <c r="P1540" s="83" t="n">
        <f aca="false">N1540*O1540</f>
        <v>12.0768</v>
      </c>
      <c r="Q1540" s="20" t="s">
        <v>1816</v>
      </c>
      <c r="R1540" s="84" t="s">
        <v>660</v>
      </c>
      <c r="S1540" s="20" t="s">
        <v>892</v>
      </c>
      <c r="T1540" s="20" t="s">
        <v>123</v>
      </c>
      <c r="U1540" s="53" t="n">
        <v>0</v>
      </c>
      <c r="V1540" s="76" t="s">
        <v>887</v>
      </c>
      <c r="W1540" s="53" t="n">
        <v>4</v>
      </c>
    </row>
    <row r="1541" customFormat="false" ht="35.05" hidden="false" customHeight="false" outlineLevel="0" collapsed="false">
      <c r="A1541" s="76" t="n">
        <v>1509</v>
      </c>
      <c r="B1541" s="20" t="s">
        <v>1691</v>
      </c>
      <c r="C1541" s="20" t="s">
        <v>655</v>
      </c>
      <c r="D1541" s="20" t="s">
        <v>1808</v>
      </c>
      <c r="E1541" s="20" t="s">
        <v>887</v>
      </c>
      <c r="F1541" s="76" t="s">
        <v>676</v>
      </c>
      <c r="G1541" s="20" t="s">
        <v>1817</v>
      </c>
      <c r="H1541" s="55" t="n">
        <v>12</v>
      </c>
      <c r="I1541" s="76" t="s">
        <v>512</v>
      </c>
      <c r="J1541" s="76" t="s">
        <v>164</v>
      </c>
      <c r="K1541" s="82" t="n">
        <v>1</v>
      </c>
      <c r="L1541" s="55" t="n">
        <v>4</v>
      </c>
      <c r="M1541" s="73" t="n">
        <v>3.6</v>
      </c>
      <c r="N1541" s="74" t="n">
        <f aca="false">K1541*L1541*M1541</f>
        <v>14.4</v>
      </c>
      <c r="O1541" s="41" t="n">
        <f aca="false">IFERROR(INDEX(Исходные!$B$21:$B$33,MATCH(H1541,Исходные!$A$21:$A$33,0)),0)</f>
        <v>0.888</v>
      </c>
      <c r="P1541" s="83" t="n">
        <f aca="false">N1541*O1541</f>
        <v>12.7872</v>
      </c>
      <c r="Q1541" s="20" t="s">
        <v>1818</v>
      </c>
      <c r="R1541" s="84" t="s">
        <v>660</v>
      </c>
      <c r="S1541" s="20" t="s">
        <v>845</v>
      </c>
      <c r="T1541" s="20" t="s">
        <v>123</v>
      </c>
      <c r="U1541" s="53" t="n">
        <v>0</v>
      </c>
      <c r="V1541" s="76" t="s">
        <v>887</v>
      </c>
      <c r="W1541" s="53" t="n">
        <v>4</v>
      </c>
    </row>
    <row r="1542" customFormat="false" ht="35.05" hidden="false" customHeight="false" outlineLevel="0" collapsed="false">
      <c r="A1542" s="76" t="n">
        <v>1510</v>
      </c>
      <c r="B1542" s="20" t="s">
        <v>1691</v>
      </c>
      <c r="C1542" s="20" t="s">
        <v>655</v>
      </c>
      <c r="D1542" s="20" t="s">
        <v>1808</v>
      </c>
      <c r="E1542" s="20" t="s">
        <v>887</v>
      </c>
      <c r="F1542" s="76" t="s">
        <v>676</v>
      </c>
      <c r="G1542" s="20" t="s">
        <v>907</v>
      </c>
      <c r="H1542" s="55" t="n">
        <v>12</v>
      </c>
      <c r="I1542" s="76" t="s">
        <v>512</v>
      </c>
      <c r="J1542" s="76" t="s">
        <v>164</v>
      </c>
      <c r="K1542" s="82" t="n">
        <v>1</v>
      </c>
      <c r="L1542" s="55" t="n">
        <v>4</v>
      </c>
      <c r="M1542" s="73" t="n">
        <v>2.3</v>
      </c>
      <c r="N1542" s="74" t="n">
        <f aca="false">K1542*L1542*M1542</f>
        <v>9.2</v>
      </c>
      <c r="O1542" s="41" t="n">
        <f aca="false">IFERROR(INDEX(Исходные!$B$21:$B$33,MATCH(H1542,Исходные!$A$21:$A$33,0)),0)</f>
        <v>0.888</v>
      </c>
      <c r="P1542" s="83" t="n">
        <f aca="false">N1542*O1542</f>
        <v>8.1696</v>
      </c>
      <c r="Q1542" s="20" t="s">
        <v>1816</v>
      </c>
      <c r="R1542" s="84" t="s">
        <v>660</v>
      </c>
      <c r="S1542" s="20" t="s">
        <v>902</v>
      </c>
      <c r="T1542" s="20" t="s">
        <v>123</v>
      </c>
      <c r="U1542" s="53" t="n">
        <v>0</v>
      </c>
      <c r="V1542" s="76" t="s">
        <v>887</v>
      </c>
      <c r="W1542" s="53" t="n">
        <v>4</v>
      </c>
    </row>
    <row r="1543" customFormat="false" ht="35.05" hidden="false" customHeight="false" outlineLevel="0" collapsed="false">
      <c r="A1543" s="76" t="n">
        <v>1511</v>
      </c>
      <c r="B1543" s="20" t="s">
        <v>1691</v>
      </c>
      <c r="C1543" s="20" t="s">
        <v>655</v>
      </c>
      <c r="D1543" s="20" t="s">
        <v>1808</v>
      </c>
      <c r="E1543" s="20" t="s">
        <v>887</v>
      </c>
      <c r="F1543" s="76" t="s">
        <v>696</v>
      </c>
      <c r="G1543" s="20" t="s">
        <v>1308</v>
      </c>
      <c r="H1543" s="55" t="n">
        <v>8</v>
      </c>
      <c r="I1543" s="76" t="s">
        <v>546</v>
      </c>
      <c r="J1543" s="76" t="s">
        <v>698</v>
      </c>
      <c r="K1543" s="82" t="n">
        <v>1</v>
      </c>
      <c r="L1543" s="55" t="n">
        <v>51</v>
      </c>
      <c r="M1543" s="73" t="n">
        <v>2.06</v>
      </c>
      <c r="N1543" s="74" t="n">
        <f aca="false">K1543*L1543*M1543</f>
        <v>105.06</v>
      </c>
      <c r="O1543" s="41" t="n">
        <f aca="false">IFERROR(INDEX(Исходные!$B$21:$B$33,MATCH(H1543,Исходные!$A$21:$A$33,0)),0)</f>
        <v>0.395</v>
      </c>
      <c r="P1543" s="83" t="n">
        <f aca="false">N1543*O1543</f>
        <v>41.4987</v>
      </c>
      <c r="Q1543" s="20" t="s">
        <v>1309</v>
      </c>
      <c r="R1543" s="84" t="s">
        <v>514</v>
      </c>
      <c r="S1543" s="20" t="s">
        <v>1395</v>
      </c>
      <c r="T1543" s="20" t="s">
        <v>123</v>
      </c>
      <c r="U1543" s="53" t="n">
        <v>0</v>
      </c>
      <c r="V1543" s="76" t="s">
        <v>887</v>
      </c>
      <c r="W1543" s="53" t="n">
        <v>4</v>
      </c>
    </row>
    <row r="1544" customFormat="false" ht="35.05" hidden="false" customHeight="false" outlineLevel="0" collapsed="false">
      <c r="A1544" s="76" t="n">
        <v>1512</v>
      </c>
      <c r="B1544" s="20" t="s">
        <v>1691</v>
      </c>
      <c r="C1544" s="20" t="s">
        <v>655</v>
      </c>
      <c r="D1544" s="20" t="s">
        <v>1808</v>
      </c>
      <c r="E1544" s="20" t="s">
        <v>887</v>
      </c>
      <c r="F1544" s="76" t="s">
        <v>561</v>
      </c>
      <c r="G1544" s="20" t="s">
        <v>1311</v>
      </c>
      <c r="H1544" s="55" t="n">
        <v>10</v>
      </c>
      <c r="I1544" s="76" t="s">
        <v>546</v>
      </c>
      <c r="J1544" s="76" t="n">
        <v>100</v>
      </c>
      <c r="K1544" s="82" t="n">
        <v>1</v>
      </c>
      <c r="L1544" s="55" t="n">
        <v>87</v>
      </c>
      <c r="M1544" s="73" t="n">
        <v>2.06</v>
      </c>
      <c r="N1544" s="74" t="n">
        <f aca="false">K1544*L1544*M1544</f>
        <v>179.22</v>
      </c>
      <c r="O1544" s="41" t="n">
        <f aca="false">IFERROR(INDEX(Исходные!$B$21:$B$33,MATCH(H1544,Исходные!$A$21:$A$33,0)),0)</f>
        <v>0.617</v>
      </c>
      <c r="P1544" s="83" t="n">
        <f aca="false">N1544*O1544</f>
        <v>110.57874</v>
      </c>
      <c r="Q1544" s="20" t="s">
        <v>1819</v>
      </c>
      <c r="R1544" s="84" t="s">
        <v>514</v>
      </c>
      <c r="S1544" s="20" t="s">
        <v>1820</v>
      </c>
      <c r="T1544" s="20" t="s">
        <v>123</v>
      </c>
      <c r="U1544" s="53" t="n">
        <v>0</v>
      </c>
      <c r="V1544" s="76" t="s">
        <v>887</v>
      </c>
      <c r="W1544" s="53" t="n">
        <v>4</v>
      </c>
    </row>
    <row r="1545" customFormat="false" ht="35.05" hidden="false" customHeight="false" outlineLevel="0" collapsed="false">
      <c r="A1545" s="76" t="n">
        <v>1513</v>
      </c>
      <c r="B1545" s="20" t="s">
        <v>1691</v>
      </c>
      <c r="C1545" s="20" t="s">
        <v>655</v>
      </c>
      <c r="D1545" s="20" t="s">
        <v>1808</v>
      </c>
      <c r="E1545" s="20" t="s">
        <v>887</v>
      </c>
      <c r="F1545" s="76" t="s">
        <v>603</v>
      </c>
      <c r="G1545" s="20" t="s">
        <v>704</v>
      </c>
      <c r="H1545" s="55" t="n">
        <v>10</v>
      </c>
      <c r="I1545" s="76" t="s">
        <v>546</v>
      </c>
      <c r="J1545" s="76" t="n">
        <v>100</v>
      </c>
      <c r="K1545" s="82" t="n">
        <v>1</v>
      </c>
      <c r="L1545" s="55" t="n">
        <v>45</v>
      </c>
      <c r="M1545" s="73" t="n">
        <v>1.6</v>
      </c>
      <c r="N1545" s="74" t="n">
        <f aca="false">K1545*L1545*M1545</f>
        <v>72</v>
      </c>
      <c r="O1545" s="41" t="n">
        <f aca="false">IFERROR(INDEX(Исходные!$B$21:$B$33,MATCH(H1545,Исходные!$A$21:$A$33,0)),0)</f>
        <v>0.617</v>
      </c>
      <c r="P1545" s="83" t="n">
        <f aca="false">N1545*O1545</f>
        <v>44.424</v>
      </c>
      <c r="Q1545" s="20" t="s">
        <v>910</v>
      </c>
      <c r="R1545" s="84" t="s">
        <v>514</v>
      </c>
      <c r="S1545" s="20"/>
      <c r="T1545" s="20" t="s">
        <v>123</v>
      </c>
      <c r="U1545" s="53" t="n">
        <v>0</v>
      </c>
      <c r="V1545" s="76" t="s">
        <v>887</v>
      </c>
      <c r="W1545" s="53" t="n">
        <v>4</v>
      </c>
    </row>
    <row r="1546" customFormat="false" ht="35.05" hidden="false" customHeight="false" outlineLevel="0" collapsed="false">
      <c r="A1546" s="76" t="n">
        <v>1514</v>
      </c>
      <c r="B1546" s="20" t="s">
        <v>1691</v>
      </c>
      <c r="C1546" s="20" t="s">
        <v>655</v>
      </c>
      <c r="D1546" s="20" t="s">
        <v>1808</v>
      </c>
      <c r="E1546" s="20" t="s">
        <v>887</v>
      </c>
      <c r="F1546" s="76" t="s">
        <v>706</v>
      </c>
      <c r="G1546" s="20" t="s">
        <v>1314</v>
      </c>
      <c r="H1546" s="55" t="n">
        <v>8</v>
      </c>
      <c r="I1546" s="76" t="s">
        <v>546</v>
      </c>
      <c r="J1546" s="76" t="s">
        <v>708</v>
      </c>
      <c r="K1546" s="82" t="n">
        <v>1</v>
      </c>
      <c r="L1546" s="55" t="n">
        <v>61</v>
      </c>
      <c r="M1546" s="73" t="n">
        <v>0.75</v>
      </c>
      <c r="N1546" s="74" t="n">
        <f aca="false">K1546*L1546*M1546</f>
        <v>45.75</v>
      </c>
      <c r="O1546" s="41" t="n">
        <f aca="false">IFERROR(INDEX(Исходные!$B$21:$B$33,MATCH(H1546,Исходные!$A$21:$A$33,0)),0)</f>
        <v>0.395</v>
      </c>
      <c r="P1546" s="83" t="n">
        <f aca="false">N1546*O1546</f>
        <v>18.07125</v>
      </c>
      <c r="Q1546" s="20" t="s">
        <v>709</v>
      </c>
      <c r="R1546" s="84" t="s">
        <v>514</v>
      </c>
      <c r="S1546" s="20"/>
      <c r="T1546" s="20" t="s">
        <v>123</v>
      </c>
      <c r="U1546" s="53" t="n">
        <v>0</v>
      </c>
      <c r="V1546" s="76" t="s">
        <v>887</v>
      </c>
      <c r="W1546" s="53" t="n">
        <v>4</v>
      </c>
    </row>
    <row r="1547" customFormat="false" ht="35.05" hidden="false" customHeight="false" outlineLevel="0" collapsed="false">
      <c r="A1547" s="76" t="n">
        <v>1515</v>
      </c>
      <c r="B1547" s="20" t="s">
        <v>1691</v>
      </c>
      <c r="C1547" s="20" t="s">
        <v>655</v>
      </c>
      <c r="D1547" s="20" t="s">
        <v>1808</v>
      </c>
      <c r="E1547" s="20" t="s">
        <v>887</v>
      </c>
      <c r="F1547" s="76" t="s">
        <v>710</v>
      </c>
      <c r="G1547" s="20" t="s">
        <v>1315</v>
      </c>
      <c r="H1547" s="55" t="n">
        <v>8</v>
      </c>
      <c r="I1547" s="76" t="s">
        <v>546</v>
      </c>
      <c r="J1547" s="76" t="n">
        <v>300</v>
      </c>
      <c r="K1547" s="82" t="n">
        <v>1</v>
      </c>
      <c r="L1547" s="55" t="n">
        <v>54</v>
      </c>
      <c r="M1547" s="73" t="n">
        <v>0.58</v>
      </c>
      <c r="N1547" s="74" t="n">
        <f aca="false">K1547*L1547*M1547</f>
        <v>31.32</v>
      </c>
      <c r="O1547" s="41" t="n">
        <f aca="false">IFERROR(INDEX(Исходные!$B$21:$B$33,MATCH(H1547,Исходные!$A$21:$A$33,0)),0)</f>
        <v>0.395</v>
      </c>
      <c r="P1547" s="83" t="n">
        <f aca="false">N1547*O1547</f>
        <v>12.3714</v>
      </c>
      <c r="Q1547" s="20" t="s">
        <v>1316</v>
      </c>
      <c r="R1547" s="85" t="s">
        <v>638</v>
      </c>
      <c r="S1547" s="20"/>
      <c r="T1547" s="20" t="s">
        <v>123</v>
      </c>
      <c r="U1547" s="53" t="n">
        <v>1</v>
      </c>
      <c r="V1547" s="76" t="s">
        <v>887</v>
      </c>
      <c r="W1547" s="53" t="n">
        <v>4</v>
      </c>
    </row>
    <row r="1548" customFormat="false" ht="15" hidden="false" customHeight="true" outlineLevel="0" collapsed="false">
      <c r="A1548" s="81" t="s">
        <v>1821</v>
      </c>
      <c r="B1548" s="81"/>
      <c r="C1548" s="81"/>
      <c r="D1548" s="81"/>
      <c r="E1548" s="81"/>
      <c r="F1548" s="81"/>
      <c r="G1548" s="81"/>
      <c r="H1548" s="81"/>
      <c r="I1548" s="81"/>
      <c r="J1548" s="81"/>
      <c r="K1548" s="81"/>
      <c r="L1548" s="81"/>
      <c r="M1548" s="81"/>
      <c r="N1548" s="81"/>
      <c r="O1548" s="81"/>
      <c r="P1548" s="81"/>
      <c r="Q1548" s="81"/>
      <c r="R1548" s="81"/>
      <c r="S1548" s="81"/>
      <c r="T1548" s="81"/>
      <c r="U1548" s="81"/>
      <c r="V1548" s="81"/>
      <c r="W1548" s="81"/>
    </row>
    <row r="1549" customFormat="false" ht="35.05" hidden="false" customHeight="false" outlineLevel="0" collapsed="false">
      <c r="A1549" s="76" t="n">
        <v>1516</v>
      </c>
      <c r="B1549" s="20" t="s">
        <v>1691</v>
      </c>
      <c r="C1549" s="20" t="s">
        <v>912</v>
      </c>
      <c r="D1549" s="20" t="s">
        <v>913</v>
      </c>
      <c r="E1549" s="20" t="s">
        <v>1822</v>
      </c>
      <c r="F1549" s="76" t="s">
        <v>915</v>
      </c>
      <c r="G1549" s="20" t="s">
        <v>916</v>
      </c>
      <c r="H1549" s="55" t="n">
        <v>10</v>
      </c>
      <c r="I1549" s="76" t="s">
        <v>512</v>
      </c>
      <c r="J1549" s="76" t="n">
        <v>200</v>
      </c>
      <c r="K1549" s="82" t="n">
        <v>1</v>
      </c>
      <c r="L1549" s="55" t="n">
        <v>26</v>
      </c>
      <c r="M1549" s="73" t="n">
        <v>27.32</v>
      </c>
      <c r="N1549" s="74" t="n">
        <f aca="false">K1549*L1549*M1549</f>
        <v>710.32</v>
      </c>
      <c r="O1549" s="41" t="n">
        <f aca="false">IFERROR(INDEX(Исходные!$B$21:$B$33,MATCH(H1549,Исходные!$A$21:$A$33,0)),0)</f>
        <v>0.617</v>
      </c>
      <c r="P1549" s="83" t="n">
        <f aca="false">N1549*O1549</f>
        <v>438.26744</v>
      </c>
      <c r="Q1549" s="20" t="s">
        <v>1428</v>
      </c>
      <c r="R1549" s="84" t="s">
        <v>660</v>
      </c>
      <c r="S1549" s="20"/>
      <c r="T1549" s="20" t="s">
        <v>123</v>
      </c>
      <c r="U1549" s="53" t="n">
        <v>0</v>
      </c>
      <c r="V1549" s="76" t="s">
        <v>918</v>
      </c>
      <c r="W1549" s="53" t="n">
        <v>4</v>
      </c>
    </row>
    <row r="1550" customFormat="false" ht="35.05" hidden="false" customHeight="false" outlineLevel="0" collapsed="false">
      <c r="A1550" s="76" t="n">
        <v>1517</v>
      </c>
      <c r="B1550" s="20" t="s">
        <v>1691</v>
      </c>
      <c r="C1550" s="20" t="s">
        <v>912</v>
      </c>
      <c r="D1550" s="20" t="s">
        <v>913</v>
      </c>
      <c r="E1550" s="20" t="s">
        <v>1822</v>
      </c>
      <c r="F1550" s="76" t="s">
        <v>919</v>
      </c>
      <c r="G1550" s="20" t="s">
        <v>1429</v>
      </c>
      <c r="H1550" s="55" t="n">
        <v>10</v>
      </c>
      <c r="I1550" s="76" t="s">
        <v>512</v>
      </c>
      <c r="J1550" s="76" t="s">
        <v>164</v>
      </c>
      <c r="K1550" s="82" t="n">
        <v>26</v>
      </c>
      <c r="L1550" s="55" t="n">
        <v>2</v>
      </c>
      <c r="M1550" s="73" t="n">
        <v>0.4</v>
      </c>
      <c r="N1550" s="74" t="n">
        <f aca="false">K1550*L1550*M1550</f>
        <v>20.8</v>
      </c>
      <c r="O1550" s="41" t="n">
        <f aca="false">IFERROR(INDEX(Исходные!$B$21:$B$33,MATCH(H1550,Исходные!$A$21:$A$33,0)),0)</f>
        <v>0.617</v>
      </c>
      <c r="P1550" s="83" t="n">
        <f aca="false">N1550*O1550</f>
        <v>12.8336</v>
      </c>
      <c r="Q1550" s="20" t="s">
        <v>921</v>
      </c>
      <c r="R1550" s="84" t="s">
        <v>667</v>
      </c>
      <c r="S1550" s="20" t="s">
        <v>1430</v>
      </c>
      <c r="T1550" s="20" t="s">
        <v>123</v>
      </c>
      <c r="U1550" s="53" t="n">
        <v>0</v>
      </c>
      <c r="V1550" s="76" t="s">
        <v>918</v>
      </c>
      <c r="W1550" s="53" t="n">
        <v>4</v>
      </c>
    </row>
    <row r="1551" customFormat="false" ht="35.05" hidden="false" customHeight="false" outlineLevel="0" collapsed="false">
      <c r="A1551" s="76" t="n">
        <v>1518</v>
      </c>
      <c r="B1551" s="20" t="s">
        <v>1691</v>
      </c>
      <c r="C1551" s="20" t="s">
        <v>912</v>
      </c>
      <c r="D1551" s="20" t="s">
        <v>913</v>
      </c>
      <c r="E1551" s="20" t="s">
        <v>1822</v>
      </c>
      <c r="F1551" s="76" t="s">
        <v>915</v>
      </c>
      <c r="G1551" s="20" t="s">
        <v>916</v>
      </c>
      <c r="H1551" s="55" t="n">
        <v>10</v>
      </c>
      <c r="I1551" s="76" t="s">
        <v>512</v>
      </c>
      <c r="J1551" s="76" t="n">
        <v>200</v>
      </c>
      <c r="K1551" s="82" t="n">
        <v>1</v>
      </c>
      <c r="L1551" s="55" t="n">
        <v>49</v>
      </c>
      <c r="M1551" s="73" t="n">
        <v>25.6</v>
      </c>
      <c r="N1551" s="74" t="n">
        <f aca="false">K1551*L1551*M1551</f>
        <v>1254.4</v>
      </c>
      <c r="O1551" s="41" t="n">
        <f aca="false">IFERROR(INDEX(Исходные!$B$21:$B$33,MATCH(H1551,Исходные!$A$21:$A$33,0)),0)</f>
        <v>0.617</v>
      </c>
      <c r="P1551" s="83" t="n">
        <f aca="false">N1551*O1551</f>
        <v>773.9648</v>
      </c>
      <c r="Q1551" s="20" t="s">
        <v>1428</v>
      </c>
      <c r="R1551" s="84" t="s">
        <v>660</v>
      </c>
      <c r="S1551" s="20"/>
      <c r="T1551" s="20" t="s">
        <v>123</v>
      </c>
      <c r="U1551" s="53" t="n">
        <v>0</v>
      </c>
      <c r="V1551" s="76" t="s">
        <v>918</v>
      </c>
      <c r="W1551" s="53" t="n">
        <v>4</v>
      </c>
    </row>
    <row r="1552" customFormat="false" ht="35.05" hidden="false" customHeight="false" outlineLevel="0" collapsed="false">
      <c r="A1552" s="76" t="n">
        <v>1519</v>
      </c>
      <c r="B1552" s="20" t="s">
        <v>1691</v>
      </c>
      <c r="C1552" s="20" t="s">
        <v>912</v>
      </c>
      <c r="D1552" s="20" t="s">
        <v>913</v>
      </c>
      <c r="E1552" s="20" t="s">
        <v>1822</v>
      </c>
      <c r="F1552" s="76" t="s">
        <v>919</v>
      </c>
      <c r="G1552" s="20" t="s">
        <v>1431</v>
      </c>
      <c r="H1552" s="55" t="n">
        <v>10</v>
      </c>
      <c r="I1552" s="76" t="s">
        <v>512</v>
      </c>
      <c r="J1552" s="76" t="s">
        <v>164</v>
      </c>
      <c r="K1552" s="82" t="n">
        <v>49</v>
      </c>
      <c r="L1552" s="55" t="n">
        <v>2</v>
      </c>
      <c r="M1552" s="73" t="n">
        <v>0.4</v>
      </c>
      <c r="N1552" s="74" t="n">
        <f aca="false">K1552*L1552*M1552</f>
        <v>39.2</v>
      </c>
      <c r="O1552" s="41" t="n">
        <f aca="false">IFERROR(INDEX(Исходные!$B$21:$B$33,MATCH(H1552,Исходные!$A$21:$A$33,0)),0)</f>
        <v>0.617</v>
      </c>
      <c r="P1552" s="83" t="n">
        <f aca="false">N1552*O1552</f>
        <v>24.1864</v>
      </c>
      <c r="Q1552" s="20" t="s">
        <v>921</v>
      </c>
      <c r="R1552" s="84" t="s">
        <v>667</v>
      </c>
      <c r="S1552" s="20" t="s">
        <v>1432</v>
      </c>
      <c r="T1552" s="20" t="s">
        <v>123</v>
      </c>
      <c r="U1552" s="53" t="n">
        <v>0</v>
      </c>
      <c r="V1552" s="76" t="s">
        <v>918</v>
      </c>
      <c r="W1552" s="53" t="n">
        <v>4</v>
      </c>
    </row>
    <row r="1553" customFormat="false" ht="35.05" hidden="false" customHeight="false" outlineLevel="0" collapsed="false">
      <c r="A1553" s="76" t="n">
        <v>1520</v>
      </c>
      <c r="B1553" s="20" t="s">
        <v>1691</v>
      </c>
      <c r="C1553" s="20" t="s">
        <v>912</v>
      </c>
      <c r="D1553" s="20" t="s">
        <v>913</v>
      </c>
      <c r="E1553" s="20" t="s">
        <v>1822</v>
      </c>
      <c r="F1553" s="76" t="s">
        <v>915</v>
      </c>
      <c r="G1553" s="20" t="s">
        <v>916</v>
      </c>
      <c r="H1553" s="55" t="n">
        <v>10</v>
      </c>
      <c r="I1553" s="76" t="s">
        <v>512</v>
      </c>
      <c r="J1553" s="76" t="n">
        <v>200</v>
      </c>
      <c r="K1553" s="82" t="n">
        <v>1</v>
      </c>
      <c r="L1553" s="55" t="n">
        <v>1</v>
      </c>
      <c r="M1553" s="73" t="n">
        <v>22.2</v>
      </c>
      <c r="N1553" s="74" t="n">
        <f aca="false">K1553*L1553*M1553</f>
        <v>22.2</v>
      </c>
      <c r="O1553" s="41" t="n">
        <f aca="false">IFERROR(INDEX(Исходные!$B$21:$B$33,MATCH(H1553,Исходные!$A$21:$A$33,0)),0)</f>
        <v>0.617</v>
      </c>
      <c r="P1553" s="83" t="n">
        <f aca="false">N1553*O1553</f>
        <v>13.6974</v>
      </c>
      <c r="Q1553" s="20" t="s">
        <v>1428</v>
      </c>
      <c r="R1553" s="84" t="s">
        <v>660</v>
      </c>
      <c r="S1553" s="20"/>
      <c r="T1553" s="20" t="s">
        <v>123</v>
      </c>
      <c r="U1553" s="53" t="n">
        <v>0</v>
      </c>
      <c r="V1553" s="76" t="s">
        <v>918</v>
      </c>
      <c r="W1553" s="53" t="n">
        <v>4</v>
      </c>
    </row>
    <row r="1554" customFormat="false" ht="35.05" hidden="false" customHeight="false" outlineLevel="0" collapsed="false">
      <c r="A1554" s="76" t="n">
        <v>1521</v>
      </c>
      <c r="B1554" s="20" t="s">
        <v>1691</v>
      </c>
      <c r="C1554" s="20" t="s">
        <v>912</v>
      </c>
      <c r="D1554" s="20" t="s">
        <v>913</v>
      </c>
      <c r="E1554" s="20" t="s">
        <v>1822</v>
      </c>
      <c r="F1554" s="76" t="s">
        <v>919</v>
      </c>
      <c r="G1554" s="20" t="s">
        <v>925</v>
      </c>
      <c r="H1554" s="55" t="n">
        <v>10</v>
      </c>
      <c r="I1554" s="76" t="s">
        <v>512</v>
      </c>
      <c r="J1554" s="76" t="s">
        <v>164</v>
      </c>
      <c r="K1554" s="82" t="n">
        <v>1</v>
      </c>
      <c r="L1554" s="55" t="n">
        <v>1</v>
      </c>
      <c r="M1554" s="73" t="n">
        <v>0.4</v>
      </c>
      <c r="N1554" s="74" t="n">
        <f aca="false">K1554*L1554*M1554</f>
        <v>0.4</v>
      </c>
      <c r="O1554" s="41" t="n">
        <f aca="false">IFERROR(INDEX(Исходные!$B$21:$B$33,MATCH(H1554,Исходные!$A$21:$A$33,0)),0)</f>
        <v>0.617</v>
      </c>
      <c r="P1554" s="83" t="n">
        <f aca="false">N1554*O1554</f>
        <v>0.2468</v>
      </c>
      <c r="Q1554" s="20" t="s">
        <v>921</v>
      </c>
      <c r="R1554" s="84" t="s">
        <v>667</v>
      </c>
      <c r="S1554" s="20" t="s">
        <v>926</v>
      </c>
      <c r="T1554" s="20" t="s">
        <v>123</v>
      </c>
      <c r="U1554" s="53" t="n">
        <v>0</v>
      </c>
      <c r="V1554" s="76" t="s">
        <v>918</v>
      </c>
      <c r="W1554" s="53" t="n">
        <v>4</v>
      </c>
    </row>
    <row r="1555" customFormat="false" ht="35.05" hidden="false" customHeight="false" outlineLevel="0" collapsed="false">
      <c r="A1555" s="76" t="n">
        <v>1522</v>
      </c>
      <c r="B1555" s="20" t="s">
        <v>1691</v>
      </c>
      <c r="C1555" s="20" t="s">
        <v>912</v>
      </c>
      <c r="D1555" s="20" t="s">
        <v>913</v>
      </c>
      <c r="E1555" s="20" t="s">
        <v>1822</v>
      </c>
      <c r="F1555" s="76" t="s">
        <v>915</v>
      </c>
      <c r="G1555" s="20" t="s">
        <v>916</v>
      </c>
      <c r="H1555" s="55" t="n">
        <v>10</v>
      </c>
      <c r="I1555" s="76" t="s">
        <v>512</v>
      </c>
      <c r="J1555" s="76" t="n">
        <v>200</v>
      </c>
      <c r="K1555" s="82" t="n">
        <v>1</v>
      </c>
      <c r="L1555" s="55" t="n">
        <v>16</v>
      </c>
      <c r="M1555" s="73" t="n">
        <v>15.62</v>
      </c>
      <c r="N1555" s="74" t="n">
        <f aca="false">K1555*L1555*M1555</f>
        <v>249.92</v>
      </c>
      <c r="O1555" s="41" t="n">
        <f aca="false">IFERROR(INDEX(Исходные!$B$21:$B$33,MATCH(H1555,Исходные!$A$21:$A$33,0)),0)</f>
        <v>0.617</v>
      </c>
      <c r="P1555" s="83" t="n">
        <f aca="false">N1555*O1555</f>
        <v>154.20064</v>
      </c>
      <c r="Q1555" s="20" t="s">
        <v>1428</v>
      </c>
      <c r="R1555" s="84" t="s">
        <v>660</v>
      </c>
      <c r="S1555" s="20"/>
      <c r="T1555" s="20" t="s">
        <v>123</v>
      </c>
      <c r="U1555" s="53" t="n">
        <v>0</v>
      </c>
      <c r="V1555" s="76" t="s">
        <v>918</v>
      </c>
      <c r="W1555" s="53" t="n">
        <v>4</v>
      </c>
    </row>
    <row r="1556" customFormat="false" ht="35.05" hidden="false" customHeight="false" outlineLevel="0" collapsed="false">
      <c r="A1556" s="76" t="n">
        <v>1523</v>
      </c>
      <c r="B1556" s="20" t="s">
        <v>1691</v>
      </c>
      <c r="C1556" s="20" t="s">
        <v>912</v>
      </c>
      <c r="D1556" s="20" t="s">
        <v>913</v>
      </c>
      <c r="E1556" s="20" t="s">
        <v>1822</v>
      </c>
      <c r="F1556" s="76" t="s">
        <v>919</v>
      </c>
      <c r="G1556" s="20" t="s">
        <v>927</v>
      </c>
      <c r="H1556" s="55" t="n">
        <v>10</v>
      </c>
      <c r="I1556" s="76" t="s">
        <v>512</v>
      </c>
      <c r="J1556" s="76" t="s">
        <v>164</v>
      </c>
      <c r="K1556" s="82" t="n">
        <v>16</v>
      </c>
      <c r="L1556" s="55" t="n">
        <v>1</v>
      </c>
      <c r="M1556" s="73" t="n">
        <v>0.4</v>
      </c>
      <c r="N1556" s="74" t="n">
        <f aca="false">K1556*L1556*M1556</f>
        <v>6.4</v>
      </c>
      <c r="O1556" s="41" t="n">
        <f aca="false">IFERROR(INDEX(Исходные!$B$21:$B$33,MATCH(H1556,Исходные!$A$21:$A$33,0)),0)</f>
        <v>0.617</v>
      </c>
      <c r="P1556" s="83" t="n">
        <f aca="false">N1556*O1556</f>
        <v>3.9488</v>
      </c>
      <c r="Q1556" s="20" t="s">
        <v>921</v>
      </c>
      <c r="R1556" s="84" t="s">
        <v>667</v>
      </c>
      <c r="S1556" s="20" t="s">
        <v>928</v>
      </c>
      <c r="T1556" s="20" t="s">
        <v>123</v>
      </c>
      <c r="U1556" s="53" t="n">
        <v>0</v>
      </c>
      <c r="V1556" s="76" t="s">
        <v>918</v>
      </c>
      <c r="W1556" s="53" t="n">
        <v>4</v>
      </c>
    </row>
    <row r="1557" customFormat="false" ht="35.05" hidden="false" customHeight="false" outlineLevel="0" collapsed="false">
      <c r="A1557" s="76" t="n">
        <v>1524</v>
      </c>
      <c r="B1557" s="20" t="s">
        <v>1691</v>
      </c>
      <c r="C1557" s="20" t="s">
        <v>912</v>
      </c>
      <c r="D1557" s="20" t="s">
        <v>913</v>
      </c>
      <c r="E1557" s="20" t="s">
        <v>1822</v>
      </c>
      <c r="F1557" s="76" t="s">
        <v>915</v>
      </c>
      <c r="G1557" s="20" t="s">
        <v>916</v>
      </c>
      <c r="H1557" s="55" t="n">
        <v>10</v>
      </c>
      <c r="I1557" s="76" t="s">
        <v>512</v>
      </c>
      <c r="J1557" s="76" t="n">
        <v>200</v>
      </c>
      <c r="K1557" s="82" t="n">
        <v>1</v>
      </c>
      <c r="L1557" s="55" t="n">
        <v>12</v>
      </c>
      <c r="M1557" s="73" t="n">
        <v>13.9</v>
      </c>
      <c r="N1557" s="74" t="n">
        <f aca="false">K1557*L1557*M1557</f>
        <v>166.8</v>
      </c>
      <c r="O1557" s="41" t="n">
        <f aca="false">IFERROR(INDEX(Исходные!$B$21:$B$33,MATCH(H1557,Исходные!$A$21:$A$33,0)),0)</f>
        <v>0.617</v>
      </c>
      <c r="P1557" s="83" t="n">
        <f aca="false">N1557*O1557</f>
        <v>102.9156</v>
      </c>
      <c r="Q1557" s="20" t="s">
        <v>1428</v>
      </c>
      <c r="R1557" s="84" t="s">
        <v>660</v>
      </c>
      <c r="S1557" s="20"/>
      <c r="T1557" s="20" t="s">
        <v>123</v>
      </c>
      <c r="U1557" s="53" t="n">
        <v>0</v>
      </c>
      <c r="V1557" s="76" t="s">
        <v>918</v>
      </c>
      <c r="W1557" s="53" t="n">
        <v>4</v>
      </c>
    </row>
    <row r="1558" customFormat="false" ht="35.05" hidden="false" customHeight="false" outlineLevel="0" collapsed="false">
      <c r="A1558" s="76" t="n">
        <v>1525</v>
      </c>
      <c r="B1558" s="20" t="s">
        <v>1691</v>
      </c>
      <c r="C1558" s="20" t="s">
        <v>912</v>
      </c>
      <c r="D1558" s="20" t="s">
        <v>913</v>
      </c>
      <c r="E1558" s="20" t="s">
        <v>1822</v>
      </c>
      <c r="F1558" s="76" t="s">
        <v>919</v>
      </c>
      <c r="G1558" s="20" t="s">
        <v>929</v>
      </c>
      <c r="H1558" s="55" t="n">
        <v>10</v>
      </c>
      <c r="I1558" s="76" t="s">
        <v>512</v>
      </c>
      <c r="J1558" s="76" t="s">
        <v>164</v>
      </c>
      <c r="K1558" s="82" t="n">
        <v>12</v>
      </c>
      <c r="L1558" s="55" t="n">
        <v>1</v>
      </c>
      <c r="M1558" s="73" t="n">
        <v>0.4</v>
      </c>
      <c r="N1558" s="74" t="n">
        <f aca="false">K1558*L1558*M1558</f>
        <v>4.8</v>
      </c>
      <c r="O1558" s="41" t="n">
        <f aca="false">IFERROR(INDEX(Исходные!$B$21:$B$33,MATCH(H1558,Исходные!$A$21:$A$33,0)),0)</f>
        <v>0.617</v>
      </c>
      <c r="P1558" s="83" t="n">
        <f aca="false">N1558*O1558</f>
        <v>2.9616</v>
      </c>
      <c r="Q1558" s="20" t="s">
        <v>921</v>
      </c>
      <c r="R1558" s="84" t="s">
        <v>667</v>
      </c>
      <c r="S1558" s="20" t="s">
        <v>930</v>
      </c>
      <c r="T1558" s="20" t="s">
        <v>123</v>
      </c>
      <c r="U1558" s="53" t="n">
        <v>0</v>
      </c>
      <c r="V1558" s="76" t="s">
        <v>918</v>
      </c>
      <c r="W1558" s="53" t="n">
        <v>4</v>
      </c>
    </row>
    <row r="1559" customFormat="false" ht="35.05" hidden="false" customHeight="false" outlineLevel="0" collapsed="false">
      <c r="A1559" s="76" t="n">
        <v>1526</v>
      </c>
      <c r="B1559" s="20" t="s">
        <v>1691</v>
      </c>
      <c r="C1559" s="20" t="s">
        <v>912</v>
      </c>
      <c r="D1559" s="20" t="s">
        <v>913</v>
      </c>
      <c r="E1559" s="20" t="s">
        <v>1822</v>
      </c>
      <c r="F1559" s="76" t="s">
        <v>915</v>
      </c>
      <c r="G1559" s="20" t="s">
        <v>916</v>
      </c>
      <c r="H1559" s="55" t="n">
        <v>10</v>
      </c>
      <c r="I1559" s="76" t="s">
        <v>512</v>
      </c>
      <c r="J1559" s="76" t="n">
        <v>200</v>
      </c>
      <c r="K1559" s="82" t="n">
        <v>1</v>
      </c>
      <c r="L1559" s="55" t="n">
        <v>1</v>
      </c>
      <c r="M1559" s="73" t="n">
        <v>10.77</v>
      </c>
      <c r="N1559" s="74" t="n">
        <f aca="false">K1559*L1559*M1559</f>
        <v>10.77</v>
      </c>
      <c r="O1559" s="41" t="n">
        <f aca="false">IFERROR(INDEX(Исходные!$B$21:$B$33,MATCH(H1559,Исходные!$A$21:$A$33,0)),0)</f>
        <v>0.617</v>
      </c>
      <c r="P1559" s="83" t="n">
        <f aca="false">N1559*O1559</f>
        <v>6.64509</v>
      </c>
      <c r="Q1559" s="20" t="s">
        <v>1428</v>
      </c>
      <c r="R1559" s="84" t="s">
        <v>660</v>
      </c>
      <c r="S1559" s="20"/>
      <c r="T1559" s="20" t="s">
        <v>123</v>
      </c>
      <c r="U1559" s="53" t="n">
        <v>0</v>
      </c>
      <c r="V1559" s="76" t="s">
        <v>918</v>
      </c>
      <c r="W1559" s="53" t="n">
        <v>4</v>
      </c>
    </row>
    <row r="1560" customFormat="false" ht="35.05" hidden="false" customHeight="false" outlineLevel="0" collapsed="false">
      <c r="A1560" s="76" t="n">
        <v>1527</v>
      </c>
      <c r="B1560" s="20" t="s">
        <v>1691</v>
      </c>
      <c r="C1560" s="20" t="s">
        <v>912</v>
      </c>
      <c r="D1560" s="20" t="s">
        <v>913</v>
      </c>
      <c r="E1560" s="20" t="s">
        <v>1822</v>
      </c>
      <c r="F1560" s="76" t="s">
        <v>915</v>
      </c>
      <c r="G1560" s="20" t="s">
        <v>916</v>
      </c>
      <c r="H1560" s="55" t="n">
        <v>10</v>
      </c>
      <c r="I1560" s="76" t="s">
        <v>512</v>
      </c>
      <c r="J1560" s="76" t="n">
        <v>200</v>
      </c>
      <c r="K1560" s="82" t="n">
        <v>1</v>
      </c>
      <c r="L1560" s="55" t="n">
        <v>14</v>
      </c>
      <c r="M1560" s="73" t="n">
        <v>7.97</v>
      </c>
      <c r="N1560" s="74" t="n">
        <f aca="false">K1560*L1560*M1560</f>
        <v>111.58</v>
      </c>
      <c r="O1560" s="41" t="n">
        <f aca="false">IFERROR(INDEX(Исходные!$B$21:$B$33,MATCH(H1560,Исходные!$A$21:$A$33,0)),0)</f>
        <v>0.617</v>
      </c>
      <c r="P1560" s="83" t="n">
        <f aca="false">N1560*O1560</f>
        <v>68.84486</v>
      </c>
      <c r="Q1560" s="20" t="s">
        <v>1428</v>
      </c>
      <c r="R1560" s="84" t="s">
        <v>660</v>
      </c>
      <c r="S1560" s="20"/>
      <c r="T1560" s="20" t="s">
        <v>123</v>
      </c>
      <c r="U1560" s="53" t="n">
        <v>0</v>
      </c>
      <c r="V1560" s="76" t="s">
        <v>918</v>
      </c>
      <c r="W1560" s="53" t="n">
        <v>4</v>
      </c>
    </row>
    <row r="1561" customFormat="false" ht="35.05" hidden="false" customHeight="false" outlineLevel="0" collapsed="false">
      <c r="A1561" s="76" t="n">
        <v>1528</v>
      </c>
      <c r="B1561" s="20" t="s">
        <v>1691</v>
      </c>
      <c r="C1561" s="20" t="s">
        <v>912</v>
      </c>
      <c r="D1561" s="20" t="s">
        <v>913</v>
      </c>
      <c r="E1561" s="20" t="s">
        <v>1822</v>
      </c>
      <c r="F1561" s="76" t="s">
        <v>915</v>
      </c>
      <c r="G1561" s="20" t="s">
        <v>916</v>
      </c>
      <c r="H1561" s="55" t="n">
        <v>10</v>
      </c>
      <c r="I1561" s="76" t="s">
        <v>512</v>
      </c>
      <c r="J1561" s="76" t="n">
        <v>200</v>
      </c>
      <c r="K1561" s="82" t="n">
        <v>1</v>
      </c>
      <c r="L1561" s="55" t="n">
        <v>9</v>
      </c>
      <c r="M1561" s="73" t="n">
        <v>7.95</v>
      </c>
      <c r="N1561" s="74" t="n">
        <f aca="false">K1561*L1561*M1561</f>
        <v>71.55</v>
      </c>
      <c r="O1561" s="41" t="n">
        <f aca="false">IFERROR(INDEX(Исходные!$B$21:$B$33,MATCH(H1561,Исходные!$A$21:$A$33,0)),0)</f>
        <v>0.617</v>
      </c>
      <c r="P1561" s="83" t="n">
        <f aca="false">N1561*O1561</f>
        <v>44.14635</v>
      </c>
      <c r="Q1561" s="20" t="s">
        <v>1428</v>
      </c>
      <c r="R1561" s="84" t="s">
        <v>660</v>
      </c>
      <c r="S1561" s="20"/>
      <c r="T1561" s="20" t="s">
        <v>123</v>
      </c>
      <c r="U1561" s="53" t="n">
        <v>0</v>
      </c>
      <c r="V1561" s="76" t="s">
        <v>918</v>
      </c>
      <c r="W1561" s="53" t="n">
        <v>4</v>
      </c>
    </row>
    <row r="1562" customFormat="false" ht="35.05" hidden="false" customHeight="false" outlineLevel="0" collapsed="false">
      <c r="A1562" s="76" t="n">
        <v>1529</v>
      </c>
      <c r="B1562" s="20" t="s">
        <v>1691</v>
      </c>
      <c r="C1562" s="20" t="s">
        <v>912</v>
      </c>
      <c r="D1562" s="20" t="s">
        <v>913</v>
      </c>
      <c r="E1562" s="20" t="s">
        <v>1822</v>
      </c>
      <c r="F1562" s="76" t="s">
        <v>915</v>
      </c>
      <c r="G1562" s="20" t="s">
        <v>916</v>
      </c>
      <c r="H1562" s="55" t="n">
        <v>10</v>
      </c>
      <c r="I1562" s="76" t="s">
        <v>512</v>
      </c>
      <c r="J1562" s="76" t="n">
        <v>200</v>
      </c>
      <c r="K1562" s="82" t="n">
        <v>1</v>
      </c>
      <c r="L1562" s="55" t="n">
        <v>13</v>
      </c>
      <c r="M1562" s="73" t="n">
        <v>7.17</v>
      </c>
      <c r="N1562" s="74" t="n">
        <f aca="false">K1562*L1562*M1562</f>
        <v>93.21</v>
      </c>
      <c r="O1562" s="41" t="n">
        <f aca="false">IFERROR(INDEX(Исходные!$B$21:$B$33,MATCH(H1562,Исходные!$A$21:$A$33,0)),0)</f>
        <v>0.617</v>
      </c>
      <c r="P1562" s="83" t="n">
        <f aca="false">N1562*O1562</f>
        <v>57.51057</v>
      </c>
      <c r="Q1562" s="20" t="s">
        <v>1428</v>
      </c>
      <c r="R1562" s="84" t="s">
        <v>660</v>
      </c>
      <c r="S1562" s="20"/>
      <c r="T1562" s="20" t="s">
        <v>123</v>
      </c>
      <c r="U1562" s="53" t="n">
        <v>0</v>
      </c>
      <c r="V1562" s="76" t="s">
        <v>918</v>
      </c>
      <c r="W1562" s="53" t="n">
        <v>4</v>
      </c>
    </row>
    <row r="1563" customFormat="false" ht="35.05" hidden="false" customHeight="false" outlineLevel="0" collapsed="false">
      <c r="A1563" s="76" t="n">
        <v>1530</v>
      </c>
      <c r="B1563" s="20" t="s">
        <v>1691</v>
      </c>
      <c r="C1563" s="20" t="s">
        <v>912</v>
      </c>
      <c r="D1563" s="20" t="s">
        <v>913</v>
      </c>
      <c r="E1563" s="20" t="s">
        <v>1822</v>
      </c>
      <c r="F1563" s="76" t="s">
        <v>915</v>
      </c>
      <c r="G1563" s="20" t="s">
        <v>916</v>
      </c>
      <c r="H1563" s="55" t="n">
        <v>10</v>
      </c>
      <c r="I1563" s="76" t="s">
        <v>512</v>
      </c>
      <c r="J1563" s="76" t="n">
        <v>200</v>
      </c>
      <c r="K1563" s="82" t="n">
        <v>1</v>
      </c>
      <c r="L1563" s="55" t="n">
        <v>9</v>
      </c>
      <c r="M1563" s="73" t="n">
        <v>3.78</v>
      </c>
      <c r="N1563" s="74" t="n">
        <f aca="false">K1563*L1563*M1563</f>
        <v>34.02</v>
      </c>
      <c r="O1563" s="41" t="n">
        <f aca="false">IFERROR(INDEX(Исходные!$B$21:$B$33,MATCH(H1563,Исходные!$A$21:$A$33,0)),0)</f>
        <v>0.617</v>
      </c>
      <c r="P1563" s="83" t="n">
        <f aca="false">N1563*O1563</f>
        <v>20.99034</v>
      </c>
      <c r="Q1563" s="20" t="s">
        <v>1428</v>
      </c>
      <c r="R1563" s="84" t="s">
        <v>660</v>
      </c>
      <c r="S1563" s="20"/>
      <c r="T1563" s="20" t="s">
        <v>123</v>
      </c>
      <c r="U1563" s="53" t="n">
        <v>0</v>
      </c>
      <c r="V1563" s="76" t="s">
        <v>918</v>
      </c>
      <c r="W1563" s="53" t="n">
        <v>4</v>
      </c>
    </row>
    <row r="1564" customFormat="false" ht="35.05" hidden="false" customHeight="false" outlineLevel="0" collapsed="false">
      <c r="A1564" s="76" t="n">
        <v>1531</v>
      </c>
      <c r="B1564" s="20" t="s">
        <v>1691</v>
      </c>
      <c r="C1564" s="20" t="s">
        <v>912</v>
      </c>
      <c r="D1564" s="20" t="s">
        <v>913</v>
      </c>
      <c r="E1564" s="20" t="s">
        <v>1822</v>
      </c>
      <c r="F1564" s="76" t="s">
        <v>931</v>
      </c>
      <c r="G1564" s="20" t="s">
        <v>932</v>
      </c>
      <c r="H1564" s="55" t="n">
        <v>10</v>
      </c>
      <c r="I1564" s="76" t="s">
        <v>512</v>
      </c>
      <c r="J1564" s="76" t="n">
        <v>200</v>
      </c>
      <c r="K1564" s="82" t="n">
        <v>1</v>
      </c>
      <c r="L1564" s="55" t="n">
        <v>40</v>
      </c>
      <c r="M1564" s="73" t="n">
        <v>22.32</v>
      </c>
      <c r="N1564" s="74" t="n">
        <f aca="false">K1564*L1564*M1564</f>
        <v>892.8</v>
      </c>
      <c r="O1564" s="41" t="n">
        <f aca="false">IFERROR(INDEX(Исходные!$B$21:$B$33,MATCH(H1564,Исходные!$A$21:$A$33,0)),0)</f>
        <v>0.617</v>
      </c>
      <c r="P1564" s="83" t="n">
        <f aca="false">N1564*O1564</f>
        <v>550.8576</v>
      </c>
      <c r="Q1564" s="20" t="s">
        <v>1428</v>
      </c>
      <c r="R1564" s="84" t="s">
        <v>660</v>
      </c>
      <c r="S1564" s="20"/>
      <c r="T1564" s="20" t="s">
        <v>123</v>
      </c>
      <c r="U1564" s="53" t="n">
        <v>0</v>
      </c>
      <c r="V1564" s="76" t="s">
        <v>918</v>
      </c>
      <c r="W1564" s="53" t="n">
        <v>4</v>
      </c>
    </row>
    <row r="1565" customFormat="false" ht="35.05" hidden="false" customHeight="false" outlineLevel="0" collapsed="false">
      <c r="A1565" s="76" t="n">
        <v>1532</v>
      </c>
      <c r="B1565" s="20" t="s">
        <v>1691</v>
      </c>
      <c r="C1565" s="20" t="s">
        <v>912</v>
      </c>
      <c r="D1565" s="20" t="s">
        <v>913</v>
      </c>
      <c r="E1565" s="20" t="s">
        <v>1822</v>
      </c>
      <c r="F1565" s="76" t="s">
        <v>933</v>
      </c>
      <c r="G1565" s="20" t="s">
        <v>1433</v>
      </c>
      <c r="H1565" s="55" t="n">
        <v>10</v>
      </c>
      <c r="I1565" s="76" t="s">
        <v>512</v>
      </c>
      <c r="J1565" s="76" t="s">
        <v>164</v>
      </c>
      <c r="K1565" s="82" t="n">
        <v>40</v>
      </c>
      <c r="L1565" s="55" t="n">
        <v>1</v>
      </c>
      <c r="M1565" s="73" t="n">
        <v>0.4</v>
      </c>
      <c r="N1565" s="74" t="n">
        <f aca="false">K1565*L1565*M1565</f>
        <v>16</v>
      </c>
      <c r="O1565" s="41" t="n">
        <f aca="false">IFERROR(INDEX(Исходные!$B$21:$B$33,MATCH(H1565,Исходные!$A$21:$A$33,0)),0)</f>
        <v>0.617</v>
      </c>
      <c r="P1565" s="83" t="n">
        <f aca="false">N1565*O1565</f>
        <v>9.872</v>
      </c>
      <c r="Q1565" s="20" t="s">
        <v>921</v>
      </c>
      <c r="R1565" s="84" t="s">
        <v>667</v>
      </c>
      <c r="S1565" s="20" t="s">
        <v>1434</v>
      </c>
      <c r="T1565" s="20" t="s">
        <v>123</v>
      </c>
      <c r="U1565" s="53" t="n">
        <v>0</v>
      </c>
      <c r="V1565" s="76" t="s">
        <v>918</v>
      </c>
      <c r="W1565" s="53" t="n">
        <v>4</v>
      </c>
    </row>
    <row r="1566" customFormat="false" ht="35.05" hidden="false" customHeight="false" outlineLevel="0" collapsed="false">
      <c r="A1566" s="76" t="n">
        <v>1533</v>
      </c>
      <c r="B1566" s="20" t="s">
        <v>1691</v>
      </c>
      <c r="C1566" s="20" t="s">
        <v>912</v>
      </c>
      <c r="D1566" s="20" t="s">
        <v>913</v>
      </c>
      <c r="E1566" s="20" t="s">
        <v>1822</v>
      </c>
      <c r="F1566" s="76" t="s">
        <v>931</v>
      </c>
      <c r="G1566" s="20" t="s">
        <v>932</v>
      </c>
      <c r="H1566" s="55" t="n">
        <v>10</v>
      </c>
      <c r="I1566" s="76" t="s">
        <v>512</v>
      </c>
      <c r="J1566" s="76" t="n">
        <v>200</v>
      </c>
      <c r="K1566" s="82" t="n">
        <v>1</v>
      </c>
      <c r="L1566" s="55" t="n">
        <v>41</v>
      </c>
      <c r="M1566" s="73" t="n">
        <v>20.6</v>
      </c>
      <c r="N1566" s="74" t="n">
        <f aca="false">K1566*L1566*M1566</f>
        <v>844.6</v>
      </c>
      <c r="O1566" s="41" t="n">
        <f aca="false">IFERROR(INDEX(Исходные!$B$21:$B$33,MATCH(H1566,Исходные!$A$21:$A$33,0)),0)</f>
        <v>0.617</v>
      </c>
      <c r="P1566" s="83" t="n">
        <f aca="false">N1566*O1566</f>
        <v>521.1182</v>
      </c>
      <c r="Q1566" s="20" t="s">
        <v>1428</v>
      </c>
      <c r="R1566" s="84" t="s">
        <v>660</v>
      </c>
      <c r="S1566" s="20"/>
      <c r="T1566" s="20" t="s">
        <v>123</v>
      </c>
      <c r="U1566" s="53" t="n">
        <v>0</v>
      </c>
      <c r="V1566" s="76" t="s">
        <v>918</v>
      </c>
      <c r="W1566" s="53" t="n">
        <v>4</v>
      </c>
    </row>
    <row r="1567" customFormat="false" ht="35.05" hidden="false" customHeight="false" outlineLevel="0" collapsed="false">
      <c r="A1567" s="76" t="n">
        <v>1534</v>
      </c>
      <c r="B1567" s="20" t="s">
        <v>1691</v>
      </c>
      <c r="C1567" s="20" t="s">
        <v>912</v>
      </c>
      <c r="D1567" s="20" t="s">
        <v>913</v>
      </c>
      <c r="E1567" s="20" t="s">
        <v>1822</v>
      </c>
      <c r="F1567" s="76" t="s">
        <v>933</v>
      </c>
      <c r="G1567" s="20" t="s">
        <v>1435</v>
      </c>
      <c r="H1567" s="55" t="n">
        <v>10</v>
      </c>
      <c r="I1567" s="76" t="s">
        <v>512</v>
      </c>
      <c r="J1567" s="76" t="s">
        <v>164</v>
      </c>
      <c r="K1567" s="82" t="n">
        <v>41</v>
      </c>
      <c r="L1567" s="55" t="n">
        <v>1</v>
      </c>
      <c r="M1567" s="73" t="n">
        <v>0.4</v>
      </c>
      <c r="N1567" s="74" t="n">
        <f aca="false">K1567*L1567*M1567</f>
        <v>16.4</v>
      </c>
      <c r="O1567" s="41" t="n">
        <f aca="false">IFERROR(INDEX(Исходные!$B$21:$B$33,MATCH(H1567,Исходные!$A$21:$A$33,0)),0)</f>
        <v>0.617</v>
      </c>
      <c r="P1567" s="83" t="n">
        <f aca="false">N1567*O1567</f>
        <v>10.1188</v>
      </c>
      <c r="Q1567" s="20" t="s">
        <v>921</v>
      </c>
      <c r="R1567" s="84" t="s">
        <v>667</v>
      </c>
      <c r="S1567" s="20" t="s">
        <v>1436</v>
      </c>
      <c r="T1567" s="20" t="s">
        <v>123</v>
      </c>
      <c r="U1567" s="53" t="n">
        <v>0</v>
      </c>
      <c r="V1567" s="76" t="s">
        <v>918</v>
      </c>
      <c r="W1567" s="53" t="n">
        <v>4</v>
      </c>
    </row>
    <row r="1568" customFormat="false" ht="35.05" hidden="false" customHeight="false" outlineLevel="0" collapsed="false">
      <c r="A1568" s="76" t="n">
        <v>1535</v>
      </c>
      <c r="B1568" s="20" t="s">
        <v>1691</v>
      </c>
      <c r="C1568" s="20" t="s">
        <v>912</v>
      </c>
      <c r="D1568" s="20" t="s">
        <v>913</v>
      </c>
      <c r="E1568" s="20" t="s">
        <v>1822</v>
      </c>
      <c r="F1568" s="76" t="s">
        <v>931</v>
      </c>
      <c r="G1568" s="20" t="s">
        <v>932</v>
      </c>
      <c r="H1568" s="55" t="n">
        <v>10</v>
      </c>
      <c r="I1568" s="76" t="s">
        <v>512</v>
      </c>
      <c r="J1568" s="76" t="n">
        <v>200</v>
      </c>
      <c r="K1568" s="82" t="n">
        <v>1</v>
      </c>
      <c r="L1568" s="55" t="n">
        <v>26</v>
      </c>
      <c r="M1568" s="73" t="n">
        <v>20.48</v>
      </c>
      <c r="N1568" s="74" t="n">
        <f aca="false">K1568*L1568*M1568</f>
        <v>532.48</v>
      </c>
      <c r="O1568" s="41" t="n">
        <f aca="false">IFERROR(INDEX(Исходные!$B$21:$B$33,MATCH(H1568,Исходные!$A$21:$A$33,0)),0)</f>
        <v>0.617</v>
      </c>
      <c r="P1568" s="83" t="n">
        <f aca="false">N1568*O1568</f>
        <v>328.54016</v>
      </c>
      <c r="Q1568" s="20" t="s">
        <v>1428</v>
      </c>
      <c r="R1568" s="84" t="s">
        <v>660</v>
      </c>
      <c r="S1568" s="20"/>
      <c r="T1568" s="20" t="s">
        <v>123</v>
      </c>
      <c r="U1568" s="53" t="n">
        <v>0</v>
      </c>
      <c r="V1568" s="76" t="s">
        <v>918</v>
      </c>
      <c r="W1568" s="53" t="n">
        <v>4</v>
      </c>
    </row>
    <row r="1569" customFormat="false" ht="35.05" hidden="false" customHeight="false" outlineLevel="0" collapsed="false">
      <c r="A1569" s="76" t="n">
        <v>1536</v>
      </c>
      <c r="B1569" s="20" t="s">
        <v>1691</v>
      </c>
      <c r="C1569" s="20" t="s">
        <v>912</v>
      </c>
      <c r="D1569" s="20" t="s">
        <v>913</v>
      </c>
      <c r="E1569" s="20" t="s">
        <v>1822</v>
      </c>
      <c r="F1569" s="76" t="s">
        <v>933</v>
      </c>
      <c r="G1569" s="20" t="s">
        <v>938</v>
      </c>
      <c r="H1569" s="55" t="n">
        <v>10</v>
      </c>
      <c r="I1569" s="76" t="s">
        <v>512</v>
      </c>
      <c r="J1569" s="76" t="s">
        <v>164</v>
      </c>
      <c r="K1569" s="82" t="n">
        <v>26</v>
      </c>
      <c r="L1569" s="55" t="n">
        <v>1</v>
      </c>
      <c r="M1569" s="73" t="n">
        <v>0.4</v>
      </c>
      <c r="N1569" s="74" t="n">
        <f aca="false">K1569*L1569*M1569</f>
        <v>10.4</v>
      </c>
      <c r="O1569" s="41" t="n">
        <f aca="false">IFERROR(INDEX(Исходные!$B$21:$B$33,MATCH(H1569,Исходные!$A$21:$A$33,0)),0)</f>
        <v>0.617</v>
      </c>
      <c r="P1569" s="83" t="n">
        <f aca="false">N1569*O1569</f>
        <v>6.4168</v>
      </c>
      <c r="Q1569" s="20" t="s">
        <v>921</v>
      </c>
      <c r="R1569" s="84" t="s">
        <v>667</v>
      </c>
      <c r="S1569" s="20" t="s">
        <v>939</v>
      </c>
      <c r="T1569" s="20" t="s">
        <v>123</v>
      </c>
      <c r="U1569" s="53" t="n">
        <v>0</v>
      </c>
      <c r="V1569" s="76" t="s">
        <v>918</v>
      </c>
      <c r="W1569" s="53" t="n">
        <v>4</v>
      </c>
    </row>
    <row r="1570" customFormat="false" ht="35.05" hidden="false" customHeight="false" outlineLevel="0" collapsed="false">
      <c r="A1570" s="76" t="n">
        <v>1537</v>
      </c>
      <c r="B1570" s="20" t="s">
        <v>1691</v>
      </c>
      <c r="C1570" s="20" t="s">
        <v>912</v>
      </c>
      <c r="D1570" s="20" t="s">
        <v>913</v>
      </c>
      <c r="E1570" s="20" t="s">
        <v>1822</v>
      </c>
      <c r="F1570" s="76" t="s">
        <v>931</v>
      </c>
      <c r="G1570" s="20" t="s">
        <v>932</v>
      </c>
      <c r="H1570" s="55" t="n">
        <v>10</v>
      </c>
      <c r="I1570" s="76" t="s">
        <v>512</v>
      </c>
      <c r="J1570" s="76" t="n">
        <v>200</v>
      </c>
      <c r="K1570" s="82" t="n">
        <v>1</v>
      </c>
      <c r="L1570" s="55" t="n">
        <v>2</v>
      </c>
      <c r="M1570" s="73" t="n">
        <v>19.01</v>
      </c>
      <c r="N1570" s="74" t="n">
        <f aca="false">K1570*L1570*M1570</f>
        <v>38.02</v>
      </c>
      <c r="O1570" s="41" t="n">
        <f aca="false">IFERROR(INDEX(Исходные!$B$21:$B$33,MATCH(H1570,Исходные!$A$21:$A$33,0)),0)</f>
        <v>0.617</v>
      </c>
      <c r="P1570" s="83" t="n">
        <f aca="false">N1570*O1570</f>
        <v>23.45834</v>
      </c>
      <c r="Q1570" s="20" t="s">
        <v>1428</v>
      </c>
      <c r="R1570" s="84" t="s">
        <v>660</v>
      </c>
      <c r="S1570" s="20"/>
      <c r="T1570" s="20" t="s">
        <v>123</v>
      </c>
      <c r="U1570" s="53" t="n">
        <v>0</v>
      </c>
      <c r="V1570" s="76" t="s">
        <v>918</v>
      </c>
      <c r="W1570" s="53" t="n">
        <v>4</v>
      </c>
    </row>
    <row r="1571" customFormat="false" ht="35.05" hidden="false" customHeight="false" outlineLevel="0" collapsed="false">
      <c r="A1571" s="76" t="n">
        <v>1538</v>
      </c>
      <c r="B1571" s="20" t="s">
        <v>1691</v>
      </c>
      <c r="C1571" s="20" t="s">
        <v>912</v>
      </c>
      <c r="D1571" s="20" t="s">
        <v>913</v>
      </c>
      <c r="E1571" s="20" t="s">
        <v>1822</v>
      </c>
      <c r="F1571" s="76" t="s">
        <v>933</v>
      </c>
      <c r="G1571" s="20" t="s">
        <v>940</v>
      </c>
      <c r="H1571" s="55" t="n">
        <v>10</v>
      </c>
      <c r="I1571" s="76" t="s">
        <v>512</v>
      </c>
      <c r="J1571" s="76" t="s">
        <v>164</v>
      </c>
      <c r="K1571" s="82" t="n">
        <v>2</v>
      </c>
      <c r="L1571" s="55" t="n">
        <v>1</v>
      </c>
      <c r="M1571" s="73" t="n">
        <v>0.4</v>
      </c>
      <c r="N1571" s="74" t="n">
        <f aca="false">K1571*L1571*M1571</f>
        <v>0.8</v>
      </c>
      <c r="O1571" s="41" t="n">
        <f aca="false">IFERROR(INDEX(Исходные!$B$21:$B$33,MATCH(H1571,Исходные!$A$21:$A$33,0)),0)</f>
        <v>0.617</v>
      </c>
      <c r="P1571" s="83" t="n">
        <f aca="false">N1571*O1571</f>
        <v>0.4936</v>
      </c>
      <c r="Q1571" s="20" t="s">
        <v>921</v>
      </c>
      <c r="R1571" s="84" t="s">
        <v>667</v>
      </c>
      <c r="S1571" s="20" t="s">
        <v>941</v>
      </c>
      <c r="T1571" s="20" t="s">
        <v>123</v>
      </c>
      <c r="U1571" s="53" t="n">
        <v>0</v>
      </c>
      <c r="V1571" s="76" t="s">
        <v>918</v>
      </c>
      <c r="W1571" s="53" t="n">
        <v>4</v>
      </c>
    </row>
    <row r="1572" customFormat="false" ht="35.05" hidden="false" customHeight="false" outlineLevel="0" collapsed="false">
      <c r="A1572" s="76" t="n">
        <v>1539</v>
      </c>
      <c r="B1572" s="20" t="s">
        <v>1691</v>
      </c>
      <c r="C1572" s="20" t="s">
        <v>912</v>
      </c>
      <c r="D1572" s="20" t="s">
        <v>913</v>
      </c>
      <c r="E1572" s="20" t="s">
        <v>1822</v>
      </c>
      <c r="F1572" s="76" t="s">
        <v>931</v>
      </c>
      <c r="G1572" s="20" t="s">
        <v>932</v>
      </c>
      <c r="H1572" s="55" t="n">
        <v>10</v>
      </c>
      <c r="I1572" s="76" t="s">
        <v>512</v>
      </c>
      <c r="J1572" s="76" t="n">
        <v>200</v>
      </c>
      <c r="K1572" s="82" t="n">
        <v>1</v>
      </c>
      <c r="L1572" s="55" t="n">
        <v>3</v>
      </c>
      <c r="M1572" s="73" t="n">
        <v>17.28</v>
      </c>
      <c r="N1572" s="74" t="n">
        <f aca="false">K1572*L1572*M1572</f>
        <v>51.84</v>
      </c>
      <c r="O1572" s="41" t="n">
        <f aca="false">IFERROR(INDEX(Исходные!$B$21:$B$33,MATCH(H1572,Исходные!$A$21:$A$33,0)),0)</f>
        <v>0.617</v>
      </c>
      <c r="P1572" s="83" t="n">
        <f aca="false">N1572*O1572</f>
        <v>31.98528</v>
      </c>
      <c r="Q1572" s="20" t="s">
        <v>1428</v>
      </c>
      <c r="R1572" s="84" t="s">
        <v>660</v>
      </c>
      <c r="S1572" s="20"/>
      <c r="T1572" s="20" t="s">
        <v>123</v>
      </c>
      <c r="U1572" s="53" t="n">
        <v>0</v>
      </c>
      <c r="V1572" s="76" t="s">
        <v>918</v>
      </c>
      <c r="W1572" s="53" t="n">
        <v>4</v>
      </c>
    </row>
    <row r="1573" customFormat="false" ht="35.05" hidden="false" customHeight="false" outlineLevel="0" collapsed="false">
      <c r="A1573" s="76" t="n">
        <v>1540</v>
      </c>
      <c r="B1573" s="20" t="s">
        <v>1691</v>
      </c>
      <c r="C1573" s="20" t="s">
        <v>912</v>
      </c>
      <c r="D1573" s="20" t="s">
        <v>913</v>
      </c>
      <c r="E1573" s="20" t="s">
        <v>1822</v>
      </c>
      <c r="F1573" s="76" t="s">
        <v>933</v>
      </c>
      <c r="G1573" s="20" t="s">
        <v>1437</v>
      </c>
      <c r="H1573" s="55" t="n">
        <v>10</v>
      </c>
      <c r="I1573" s="76" t="s">
        <v>512</v>
      </c>
      <c r="J1573" s="76" t="s">
        <v>164</v>
      </c>
      <c r="K1573" s="82" t="n">
        <v>3</v>
      </c>
      <c r="L1573" s="55" t="n">
        <v>1</v>
      </c>
      <c r="M1573" s="73" t="n">
        <v>0.4</v>
      </c>
      <c r="N1573" s="74" t="n">
        <f aca="false">K1573*L1573*M1573</f>
        <v>1.2</v>
      </c>
      <c r="O1573" s="41" t="n">
        <f aca="false">IFERROR(INDEX(Исходные!$B$21:$B$33,MATCH(H1573,Исходные!$A$21:$A$33,0)),0)</f>
        <v>0.617</v>
      </c>
      <c r="P1573" s="83" t="n">
        <f aca="false">N1573*O1573</f>
        <v>0.7404</v>
      </c>
      <c r="Q1573" s="20" t="s">
        <v>921</v>
      </c>
      <c r="R1573" s="84" t="s">
        <v>667</v>
      </c>
      <c r="S1573" s="20" t="s">
        <v>943</v>
      </c>
      <c r="T1573" s="20" t="s">
        <v>123</v>
      </c>
      <c r="U1573" s="53" t="n">
        <v>0</v>
      </c>
      <c r="V1573" s="76" t="s">
        <v>918</v>
      </c>
      <c r="W1573" s="53" t="n">
        <v>4</v>
      </c>
    </row>
    <row r="1574" customFormat="false" ht="35.05" hidden="false" customHeight="false" outlineLevel="0" collapsed="false">
      <c r="A1574" s="76" t="n">
        <v>1541</v>
      </c>
      <c r="B1574" s="20" t="s">
        <v>1691</v>
      </c>
      <c r="C1574" s="20" t="s">
        <v>912</v>
      </c>
      <c r="D1574" s="20" t="s">
        <v>913</v>
      </c>
      <c r="E1574" s="20" t="s">
        <v>1822</v>
      </c>
      <c r="F1574" s="76" t="s">
        <v>931</v>
      </c>
      <c r="G1574" s="20" t="s">
        <v>932</v>
      </c>
      <c r="H1574" s="55" t="n">
        <v>10</v>
      </c>
      <c r="I1574" s="76" t="s">
        <v>512</v>
      </c>
      <c r="J1574" s="76" t="n">
        <v>200</v>
      </c>
      <c r="K1574" s="82" t="n">
        <v>1</v>
      </c>
      <c r="L1574" s="55" t="n">
        <v>17</v>
      </c>
      <c r="M1574" s="73" t="n">
        <v>15.6</v>
      </c>
      <c r="N1574" s="74" t="n">
        <f aca="false">K1574*L1574*M1574</f>
        <v>265.2</v>
      </c>
      <c r="O1574" s="41" t="n">
        <f aca="false">IFERROR(INDEX(Исходные!$B$21:$B$33,MATCH(H1574,Исходные!$A$21:$A$33,0)),0)</f>
        <v>0.617</v>
      </c>
      <c r="P1574" s="83" t="n">
        <f aca="false">N1574*O1574</f>
        <v>163.6284</v>
      </c>
      <c r="Q1574" s="20" t="s">
        <v>1428</v>
      </c>
      <c r="R1574" s="84" t="s">
        <v>660</v>
      </c>
      <c r="S1574" s="20"/>
      <c r="T1574" s="20" t="s">
        <v>123</v>
      </c>
      <c r="U1574" s="53" t="n">
        <v>0</v>
      </c>
      <c r="V1574" s="76" t="s">
        <v>918</v>
      </c>
      <c r="W1574" s="53" t="n">
        <v>4</v>
      </c>
    </row>
    <row r="1575" customFormat="false" ht="35.05" hidden="false" customHeight="false" outlineLevel="0" collapsed="false">
      <c r="A1575" s="76" t="n">
        <v>1542</v>
      </c>
      <c r="B1575" s="20" t="s">
        <v>1691</v>
      </c>
      <c r="C1575" s="20" t="s">
        <v>912</v>
      </c>
      <c r="D1575" s="20" t="s">
        <v>913</v>
      </c>
      <c r="E1575" s="20" t="s">
        <v>1822</v>
      </c>
      <c r="F1575" s="76" t="s">
        <v>933</v>
      </c>
      <c r="G1575" s="20" t="s">
        <v>944</v>
      </c>
      <c r="H1575" s="55" t="n">
        <v>10</v>
      </c>
      <c r="I1575" s="76" t="s">
        <v>512</v>
      </c>
      <c r="J1575" s="76" t="s">
        <v>164</v>
      </c>
      <c r="K1575" s="82" t="n">
        <v>17</v>
      </c>
      <c r="L1575" s="55" t="n">
        <v>1</v>
      </c>
      <c r="M1575" s="73" t="n">
        <v>0.4</v>
      </c>
      <c r="N1575" s="74" t="n">
        <f aca="false">K1575*L1575*M1575</f>
        <v>6.8</v>
      </c>
      <c r="O1575" s="41" t="n">
        <f aca="false">IFERROR(INDEX(Исходные!$B$21:$B$33,MATCH(H1575,Исходные!$A$21:$A$33,0)),0)</f>
        <v>0.617</v>
      </c>
      <c r="P1575" s="83" t="n">
        <f aca="false">N1575*O1575</f>
        <v>4.1956</v>
      </c>
      <c r="Q1575" s="20" t="s">
        <v>921</v>
      </c>
      <c r="R1575" s="84" t="s">
        <v>667</v>
      </c>
      <c r="S1575" s="20" t="s">
        <v>945</v>
      </c>
      <c r="T1575" s="20" t="s">
        <v>123</v>
      </c>
      <c r="U1575" s="53" t="n">
        <v>0</v>
      </c>
      <c r="V1575" s="76" t="s">
        <v>918</v>
      </c>
      <c r="W1575" s="53" t="n">
        <v>4</v>
      </c>
    </row>
    <row r="1576" customFormat="false" ht="35.05" hidden="false" customHeight="false" outlineLevel="0" collapsed="false">
      <c r="A1576" s="76" t="n">
        <v>1543</v>
      </c>
      <c r="B1576" s="20" t="s">
        <v>1691</v>
      </c>
      <c r="C1576" s="20" t="s">
        <v>912</v>
      </c>
      <c r="D1576" s="20" t="s">
        <v>913</v>
      </c>
      <c r="E1576" s="20" t="s">
        <v>1822</v>
      </c>
      <c r="F1576" s="76" t="s">
        <v>931</v>
      </c>
      <c r="G1576" s="20" t="s">
        <v>932</v>
      </c>
      <c r="H1576" s="55" t="n">
        <v>10</v>
      </c>
      <c r="I1576" s="76" t="s">
        <v>512</v>
      </c>
      <c r="J1576" s="76" t="n">
        <v>200</v>
      </c>
      <c r="K1576" s="82" t="n">
        <v>1</v>
      </c>
      <c r="L1576" s="55" t="n">
        <v>18</v>
      </c>
      <c r="M1576" s="73" t="n">
        <v>4.15</v>
      </c>
      <c r="N1576" s="74" t="n">
        <f aca="false">K1576*L1576*M1576</f>
        <v>74.7</v>
      </c>
      <c r="O1576" s="41" t="n">
        <f aca="false">IFERROR(INDEX(Исходные!$B$21:$B$33,MATCH(H1576,Исходные!$A$21:$A$33,0)),0)</f>
        <v>0.617</v>
      </c>
      <c r="P1576" s="83" t="n">
        <f aca="false">N1576*O1576</f>
        <v>46.0899</v>
      </c>
      <c r="Q1576" s="20" t="s">
        <v>1428</v>
      </c>
      <c r="R1576" s="84" t="s">
        <v>660</v>
      </c>
      <c r="S1576" s="20"/>
      <c r="T1576" s="20" t="s">
        <v>123</v>
      </c>
      <c r="U1576" s="53" t="n">
        <v>0</v>
      </c>
      <c r="V1576" s="76" t="s">
        <v>918</v>
      </c>
      <c r="W1576" s="53" t="n">
        <v>4</v>
      </c>
    </row>
    <row r="1577" customFormat="false" ht="35.05" hidden="false" customHeight="false" outlineLevel="0" collapsed="false">
      <c r="A1577" s="76" t="n">
        <v>1544</v>
      </c>
      <c r="B1577" s="20" t="s">
        <v>1691</v>
      </c>
      <c r="C1577" s="20" t="s">
        <v>912</v>
      </c>
      <c r="D1577" s="20" t="s">
        <v>913</v>
      </c>
      <c r="E1577" s="20" t="s">
        <v>1822</v>
      </c>
      <c r="F1577" s="76" t="s">
        <v>931</v>
      </c>
      <c r="G1577" s="20" t="s">
        <v>932</v>
      </c>
      <c r="H1577" s="55" t="n">
        <v>10</v>
      </c>
      <c r="I1577" s="76" t="s">
        <v>512</v>
      </c>
      <c r="J1577" s="76" t="n">
        <v>200</v>
      </c>
      <c r="K1577" s="82" t="n">
        <v>1</v>
      </c>
      <c r="L1577" s="55" t="n">
        <v>22</v>
      </c>
      <c r="M1577" s="73" t="n">
        <v>0.6</v>
      </c>
      <c r="N1577" s="74" t="n">
        <f aca="false">K1577*L1577*M1577</f>
        <v>13.2</v>
      </c>
      <c r="O1577" s="41" t="n">
        <f aca="false">IFERROR(INDEX(Исходные!$B$21:$B$33,MATCH(H1577,Исходные!$A$21:$A$33,0)),0)</f>
        <v>0.617</v>
      </c>
      <c r="P1577" s="83" t="n">
        <f aca="false">N1577*O1577</f>
        <v>8.1444</v>
      </c>
      <c r="Q1577" s="20" t="s">
        <v>1428</v>
      </c>
      <c r="R1577" s="84" t="s">
        <v>660</v>
      </c>
      <c r="S1577" s="20"/>
      <c r="T1577" s="20" t="s">
        <v>123</v>
      </c>
      <c r="U1577" s="53" t="n">
        <v>0</v>
      </c>
      <c r="V1577" s="76" t="s">
        <v>918</v>
      </c>
      <c r="W1577" s="53" t="n">
        <v>4</v>
      </c>
    </row>
    <row r="1578" customFormat="false" ht="35.05" hidden="false" customHeight="false" outlineLevel="0" collapsed="false">
      <c r="A1578" s="76" t="n">
        <v>1545</v>
      </c>
      <c r="B1578" s="20" t="s">
        <v>1691</v>
      </c>
      <c r="C1578" s="20" t="s">
        <v>912</v>
      </c>
      <c r="D1578" s="20" t="s">
        <v>913</v>
      </c>
      <c r="E1578" s="20" t="s">
        <v>1822</v>
      </c>
      <c r="F1578" s="76" t="s">
        <v>946</v>
      </c>
      <c r="G1578" s="20" t="s">
        <v>947</v>
      </c>
      <c r="H1578" s="55" t="n">
        <v>10</v>
      </c>
      <c r="I1578" s="76" t="s">
        <v>512</v>
      </c>
      <c r="J1578" s="76" t="n">
        <v>200</v>
      </c>
      <c r="K1578" s="82" t="n">
        <v>1</v>
      </c>
      <c r="L1578" s="55" t="n">
        <v>26</v>
      </c>
      <c r="M1578" s="73" t="n">
        <v>27.32</v>
      </c>
      <c r="N1578" s="74" t="n">
        <f aca="false">K1578*L1578*M1578</f>
        <v>710.32</v>
      </c>
      <c r="O1578" s="41" t="n">
        <f aca="false">IFERROR(INDEX(Исходные!$B$21:$B$33,MATCH(H1578,Исходные!$A$21:$A$33,0)),0)</f>
        <v>0.617</v>
      </c>
      <c r="P1578" s="83" t="n">
        <f aca="false">N1578*O1578</f>
        <v>438.26744</v>
      </c>
      <c r="Q1578" s="20" t="s">
        <v>1428</v>
      </c>
      <c r="R1578" s="84" t="s">
        <v>660</v>
      </c>
      <c r="S1578" s="20"/>
      <c r="T1578" s="20" t="s">
        <v>123</v>
      </c>
      <c r="U1578" s="53" t="n">
        <v>0</v>
      </c>
      <c r="V1578" s="76" t="s">
        <v>918</v>
      </c>
      <c r="W1578" s="53" t="n">
        <v>4</v>
      </c>
    </row>
    <row r="1579" customFormat="false" ht="35.05" hidden="false" customHeight="false" outlineLevel="0" collapsed="false">
      <c r="A1579" s="76" t="n">
        <v>1546</v>
      </c>
      <c r="B1579" s="20" t="s">
        <v>1691</v>
      </c>
      <c r="C1579" s="20" t="s">
        <v>912</v>
      </c>
      <c r="D1579" s="20" t="s">
        <v>913</v>
      </c>
      <c r="E1579" s="20" t="s">
        <v>1822</v>
      </c>
      <c r="F1579" s="76" t="s">
        <v>948</v>
      </c>
      <c r="G1579" s="20" t="s">
        <v>1438</v>
      </c>
      <c r="H1579" s="55" t="n">
        <v>10</v>
      </c>
      <c r="I1579" s="76" t="s">
        <v>512</v>
      </c>
      <c r="J1579" s="76" t="s">
        <v>164</v>
      </c>
      <c r="K1579" s="82" t="n">
        <v>26</v>
      </c>
      <c r="L1579" s="55" t="n">
        <v>2</v>
      </c>
      <c r="M1579" s="73" t="n">
        <v>0.4</v>
      </c>
      <c r="N1579" s="74" t="n">
        <f aca="false">K1579*L1579*M1579</f>
        <v>20.8</v>
      </c>
      <c r="O1579" s="41" t="n">
        <f aca="false">IFERROR(INDEX(Исходные!$B$21:$B$33,MATCH(H1579,Исходные!$A$21:$A$33,0)),0)</f>
        <v>0.617</v>
      </c>
      <c r="P1579" s="83" t="n">
        <f aca="false">N1579*O1579</f>
        <v>12.8336</v>
      </c>
      <c r="Q1579" s="20" t="s">
        <v>921</v>
      </c>
      <c r="R1579" s="84" t="s">
        <v>667</v>
      </c>
      <c r="S1579" s="20" t="s">
        <v>1430</v>
      </c>
      <c r="T1579" s="20" t="s">
        <v>123</v>
      </c>
      <c r="U1579" s="53" t="n">
        <v>0</v>
      </c>
      <c r="V1579" s="76" t="s">
        <v>918</v>
      </c>
      <c r="W1579" s="53" t="n">
        <v>4</v>
      </c>
    </row>
    <row r="1580" customFormat="false" ht="35.05" hidden="false" customHeight="false" outlineLevel="0" collapsed="false">
      <c r="A1580" s="76" t="n">
        <v>1547</v>
      </c>
      <c r="B1580" s="20" t="s">
        <v>1691</v>
      </c>
      <c r="C1580" s="20" t="s">
        <v>912</v>
      </c>
      <c r="D1580" s="20" t="s">
        <v>913</v>
      </c>
      <c r="E1580" s="20" t="s">
        <v>1822</v>
      </c>
      <c r="F1580" s="76" t="s">
        <v>946</v>
      </c>
      <c r="G1580" s="20" t="s">
        <v>947</v>
      </c>
      <c r="H1580" s="55" t="n">
        <v>10</v>
      </c>
      <c r="I1580" s="76" t="s">
        <v>512</v>
      </c>
      <c r="J1580" s="76" t="n">
        <v>200</v>
      </c>
      <c r="K1580" s="82" t="n">
        <v>1</v>
      </c>
      <c r="L1580" s="55" t="n">
        <v>49</v>
      </c>
      <c r="M1580" s="73" t="n">
        <v>25.6</v>
      </c>
      <c r="N1580" s="74" t="n">
        <f aca="false">K1580*L1580*M1580</f>
        <v>1254.4</v>
      </c>
      <c r="O1580" s="41" t="n">
        <f aca="false">IFERROR(INDEX(Исходные!$B$21:$B$33,MATCH(H1580,Исходные!$A$21:$A$33,0)),0)</f>
        <v>0.617</v>
      </c>
      <c r="P1580" s="83" t="n">
        <f aca="false">N1580*O1580</f>
        <v>773.9648</v>
      </c>
      <c r="Q1580" s="20" t="s">
        <v>1428</v>
      </c>
      <c r="R1580" s="84" t="s">
        <v>660</v>
      </c>
      <c r="S1580" s="20"/>
      <c r="T1580" s="20" t="s">
        <v>123</v>
      </c>
      <c r="U1580" s="53" t="n">
        <v>0</v>
      </c>
      <c r="V1580" s="76" t="s">
        <v>918</v>
      </c>
      <c r="W1580" s="53" t="n">
        <v>4</v>
      </c>
    </row>
    <row r="1581" customFormat="false" ht="35.05" hidden="false" customHeight="false" outlineLevel="0" collapsed="false">
      <c r="A1581" s="76" t="n">
        <v>1548</v>
      </c>
      <c r="B1581" s="20" t="s">
        <v>1691</v>
      </c>
      <c r="C1581" s="20" t="s">
        <v>912</v>
      </c>
      <c r="D1581" s="20" t="s">
        <v>913</v>
      </c>
      <c r="E1581" s="20" t="s">
        <v>1822</v>
      </c>
      <c r="F1581" s="76" t="s">
        <v>948</v>
      </c>
      <c r="G1581" s="20" t="s">
        <v>1439</v>
      </c>
      <c r="H1581" s="55" t="n">
        <v>10</v>
      </c>
      <c r="I1581" s="76" t="s">
        <v>512</v>
      </c>
      <c r="J1581" s="76" t="s">
        <v>164</v>
      </c>
      <c r="K1581" s="82" t="n">
        <v>49</v>
      </c>
      <c r="L1581" s="55" t="n">
        <v>2</v>
      </c>
      <c r="M1581" s="73" t="n">
        <v>0.4</v>
      </c>
      <c r="N1581" s="74" t="n">
        <f aca="false">K1581*L1581*M1581</f>
        <v>39.2</v>
      </c>
      <c r="O1581" s="41" t="n">
        <f aca="false">IFERROR(INDEX(Исходные!$B$21:$B$33,MATCH(H1581,Исходные!$A$21:$A$33,0)),0)</f>
        <v>0.617</v>
      </c>
      <c r="P1581" s="83" t="n">
        <f aca="false">N1581*O1581</f>
        <v>24.1864</v>
      </c>
      <c r="Q1581" s="20" t="s">
        <v>921</v>
      </c>
      <c r="R1581" s="84" t="s">
        <v>667</v>
      </c>
      <c r="S1581" s="20" t="s">
        <v>1432</v>
      </c>
      <c r="T1581" s="20" t="s">
        <v>123</v>
      </c>
      <c r="U1581" s="53" t="n">
        <v>0</v>
      </c>
      <c r="V1581" s="76" t="s">
        <v>918</v>
      </c>
      <c r="W1581" s="53" t="n">
        <v>4</v>
      </c>
    </row>
    <row r="1582" customFormat="false" ht="35.05" hidden="false" customHeight="false" outlineLevel="0" collapsed="false">
      <c r="A1582" s="76" t="n">
        <v>1549</v>
      </c>
      <c r="B1582" s="20" t="s">
        <v>1691</v>
      </c>
      <c r="C1582" s="20" t="s">
        <v>912</v>
      </c>
      <c r="D1582" s="20" t="s">
        <v>913</v>
      </c>
      <c r="E1582" s="20" t="s">
        <v>1822</v>
      </c>
      <c r="F1582" s="76" t="s">
        <v>946</v>
      </c>
      <c r="G1582" s="20" t="s">
        <v>947</v>
      </c>
      <c r="H1582" s="55" t="n">
        <v>10</v>
      </c>
      <c r="I1582" s="76" t="s">
        <v>512</v>
      </c>
      <c r="J1582" s="76" t="n">
        <v>200</v>
      </c>
      <c r="K1582" s="82" t="n">
        <v>1</v>
      </c>
      <c r="L1582" s="55" t="n">
        <v>1</v>
      </c>
      <c r="M1582" s="73" t="n">
        <v>22.2</v>
      </c>
      <c r="N1582" s="74" t="n">
        <f aca="false">K1582*L1582*M1582</f>
        <v>22.2</v>
      </c>
      <c r="O1582" s="41" t="n">
        <f aca="false">IFERROR(INDEX(Исходные!$B$21:$B$33,MATCH(H1582,Исходные!$A$21:$A$33,0)),0)</f>
        <v>0.617</v>
      </c>
      <c r="P1582" s="83" t="n">
        <f aca="false">N1582*O1582</f>
        <v>13.6974</v>
      </c>
      <c r="Q1582" s="20" t="s">
        <v>1428</v>
      </c>
      <c r="R1582" s="84" t="s">
        <v>660</v>
      </c>
      <c r="S1582" s="20"/>
      <c r="T1582" s="20" t="s">
        <v>123</v>
      </c>
      <c r="U1582" s="53" t="n">
        <v>0</v>
      </c>
      <c r="V1582" s="76" t="s">
        <v>918</v>
      </c>
      <c r="W1582" s="53" t="n">
        <v>4</v>
      </c>
    </row>
    <row r="1583" customFormat="false" ht="35.05" hidden="false" customHeight="false" outlineLevel="0" collapsed="false">
      <c r="A1583" s="76" t="n">
        <v>1550</v>
      </c>
      <c r="B1583" s="20" t="s">
        <v>1691</v>
      </c>
      <c r="C1583" s="20" t="s">
        <v>912</v>
      </c>
      <c r="D1583" s="20" t="s">
        <v>913</v>
      </c>
      <c r="E1583" s="20" t="s">
        <v>1822</v>
      </c>
      <c r="F1583" s="76" t="s">
        <v>948</v>
      </c>
      <c r="G1583" s="20" t="s">
        <v>951</v>
      </c>
      <c r="H1583" s="55" t="n">
        <v>10</v>
      </c>
      <c r="I1583" s="76" t="s">
        <v>512</v>
      </c>
      <c r="J1583" s="76" t="s">
        <v>164</v>
      </c>
      <c r="K1583" s="82" t="n">
        <v>1</v>
      </c>
      <c r="L1583" s="55" t="n">
        <v>1</v>
      </c>
      <c r="M1583" s="73" t="n">
        <v>0.4</v>
      </c>
      <c r="N1583" s="74" t="n">
        <f aca="false">K1583*L1583*M1583</f>
        <v>0.4</v>
      </c>
      <c r="O1583" s="41" t="n">
        <f aca="false">IFERROR(INDEX(Исходные!$B$21:$B$33,MATCH(H1583,Исходные!$A$21:$A$33,0)),0)</f>
        <v>0.617</v>
      </c>
      <c r="P1583" s="83" t="n">
        <f aca="false">N1583*O1583</f>
        <v>0.2468</v>
      </c>
      <c r="Q1583" s="20" t="s">
        <v>921</v>
      </c>
      <c r="R1583" s="84" t="s">
        <v>667</v>
      </c>
      <c r="S1583" s="20" t="s">
        <v>926</v>
      </c>
      <c r="T1583" s="20" t="s">
        <v>123</v>
      </c>
      <c r="U1583" s="53" t="n">
        <v>0</v>
      </c>
      <c r="V1583" s="76" t="s">
        <v>918</v>
      </c>
      <c r="W1583" s="53" t="n">
        <v>4</v>
      </c>
    </row>
    <row r="1584" customFormat="false" ht="35.05" hidden="false" customHeight="false" outlineLevel="0" collapsed="false">
      <c r="A1584" s="76" t="n">
        <v>1551</v>
      </c>
      <c r="B1584" s="20" t="s">
        <v>1691</v>
      </c>
      <c r="C1584" s="20" t="s">
        <v>912</v>
      </c>
      <c r="D1584" s="20" t="s">
        <v>913</v>
      </c>
      <c r="E1584" s="20" t="s">
        <v>1822</v>
      </c>
      <c r="F1584" s="76" t="s">
        <v>946</v>
      </c>
      <c r="G1584" s="20" t="s">
        <v>947</v>
      </c>
      <c r="H1584" s="55" t="n">
        <v>10</v>
      </c>
      <c r="I1584" s="76" t="s">
        <v>512</v>
      </c>
      <c r="J1584" s="76" t="n">
        <v>200</v>
      </c>
      <c r="K1584" s="82" t="n">
        <v>1</v>
      </c>
      <c r="L1584" s="55" t="n">
        <v>16</v>
      </c>
      <c r="M1584" s="73" t="n">
        <v>15.62</v>
      </c>
      <c r="N1584" s="74" t="n">
        <f aca="false">K1584*L1584*M1584</f>
        <v>249.92</v>
      </c>
      <c r="O1584" s="41" t="n">
        <f aca="false">IFERROR(INDEX(Исходные!$B$21:$B$33,MATCH(H1584,Исходные!$A$21:$A$33,0)),0)</f>
        <v>0.617</v>
      </c>
      <c r="P1584" s="83" t="n">
        <f aca="false">N1584*O1584</f>
        <v>154.20064</v>
      </c>
      <c r="Q1584" s="20" t="s">
        <v>1428</v>
      </c>
      <c r="R1584" s="84" t="s">
        <v>660</v>
      </c>
      <c r="S1584" s="20"/>
      <c r="T1584" s="20" t="s">
        <v>123</v>
      </c>
      <c r="U1584" s="53" t="n">
        <v>0</v>
      </c>
      <c r="V1584" s="76" t="s">
        <v>918</v>
      </c>
      <c r="W1584" s="53" t="n">
        <v>4</v>
      </c>
    </row>
    <row r="1585" customFormat="false" ht="35.05" hidden="false" customHeight="false" outlineLevel="0" collapsed="false">
      <c r="A1585" s="76" t="n">
        <v>1552</v>
      </c>
      <c r="B1585" s="20" t="s">
        <v>1691</v>
      </c>
      <c r="C1585" s="20" t="s">
        <v>912</v>
      </c>
      <c r="D1585" s="20" t="s">
        <v>913</v>
      </c>
      <c r="E1585" s="20" t="s">
        <v>1822</v>
      </c>
      <c r="F1585" s="76" t="s">
        <v>948</v>
      </c>
      <c r="G1585" s="20" t="s">
        <v>952</v>
      </c>
      <c r="H1585" s="55" t="n">
        <v>10</v>
      </c>
      <c r="I1585" s="76" t="s">
        <v>512</v>
      </c>
      <c r="J1585" s="76" t="s">
        <v>164</v>
      </c>
      <c r="K1585" s="82" t="n">
        <v>16</v>
      </c>
      <c r="L1585" s="55" t="n">
        <v>1</v>
      </c>
      <c r="M1585" s="73" t="n">
        <v>0.4</v>
      </c>
      <c r="N1585" s="74" t="n">
        <f aca="false">K1585*L1585*M1585</f>
        <v>6.4</v>
      </c>
      <c r="O1585" s="41" t="n">
        <f aca="false">IFERROR(INDEX(Исходные!$B$21:$B$33,MATCH(H1585,Исходные!$A$21:$A$33,0)),0)</f>
        <v>0.617</v>
      </c>
      <c r="P1585" s="83" t="n">
        <f aca="false">N1585*O1585</f>
        <v>3.9488</v>
      </c>
      <c r="Q1585" s="20" t="s">
        <v>921</v>
      </c>
      <c r="R1585" s="84" t="s">
        <v>667</v>
      </c>
      <c r="S1585" s="20" t="s">
        <v>928</v>
      </c>
      <c r="T1585" s="20" t="s">
        <v>123</v>
      </c>
      <c r="U1585" s="53" t="n">
        <v>0</v>
      </c>
      <c r="V1585" s="76" t="s">
        <v>918</v>
      </c>
      <c r="W1585" s="53" t="n">
        <v>4</v>
      </c>
    </row>
    <row r="1586" customFormat="false" ht="35.05" hidden="false" customHeight="false" outlineLevel="0" collapsed="false">
      <c r="A1586" s="76" t="n">
        <v>1553</v>
      </c>
      <c r="B1586" s="20" t="s">
        <v>1691</v>
      </c>
      <c r="C1586" s="20" t="s">
        <v>912</v>
      </c>
      <c r="D1586" s="20" t="s">
        <v>913</v>
      </c>
      <c r="E1586" s="20" t="s">
        <v>1822</v>
      </c>
      <c r="F1586" s="76" t="s">
        <v>946</v>
      </c>
      <c r="G1586" s="20" t="s">
        <v>947</v>
      </c>
      <c r="H1586" s="55" t="n">
        <v>10</v>
      </c>
      <c r="I1586" s="76" t="s">
        <v>512</v>
      </c>
      <c r="J1586" s="76" t="n">
        <v>200</v>
      </c>
      <c r="K1586" s="82" t="n">
        <v>1</v>
      </c>
      <c r="L1586" s="55" t="n">
        <v>12</v>
      </c>
      <c r="M1586" s="73" t="n">
        <v>13.9</v>
      </c>
      <c r="N1586" s="74" t="n">
        <f aca="false">K1586*L1586*M1586</f>
        <v>166.8</v>
      </c>
      <c r="O1586" s="41" t="n">
        <f aca="false">IFERROR(INDEX(Исходные!$B$21:$B$33,MATCH(H1586,Исходные!$A$21:$A$33,0)),0)</f>
        <v>0.617</v>
      </c>
      <c r="P1586" s="83" t="n">
        <f aca="false">N1586*O1586</f>
        <v>102.9156</v>
      </c>
      <c r="Q1586" s="20" t="s">
        <v>1428</v>
      </c>
      <c r="R1586" s="84" t="s">
        <v>660</v>
      </c>
      <c r="S1586" s="20"/>
      <c r="T1586" s="20" t="s">
        <v>123</v>
      </c>
      <c r="U1586" s="53" t="n">
        <v>0</v>
      </c>
      <c r="V1586" s="76" t="s">
        <v>918</v>
      </c>
      <c r="W1586" s="53" t="n">
        <v>4</v>
      </c>
    </row>
    <row r="1587" customFormat="false" ht="35.05" hidden="false" customHeight="false" outlineLevel="0" collapsed="false">
      <c r="A1587" s="76" t="n">
        <v>1554</v>
      </c>
      <c r="B1587" s="20" t="s">
        <v>1691</v>
      </c>
      <c r="C1587" s="20" t="s">
        <v>912</v>
      </c>
      <c r="D1587" s="20" t="s">
        <v>913</v>
      </c>
      <c r="E1587" s="20" t="s">
        <v>1822</v>
      </c>
      <c r="F1587" s="76" t="s">
        <v>948</v>
      </c>
      <c r="G1587" s="20" t="s">
        <v>953</v>
      </c>
      <c r="H1587" s="55" t="n">
        <v>10</v>
      </c>
      <c r="I1587" s="76" t="s">
        <v>512</v>
      </c>
      <c r="J1587" s="76" t="s">
        <v>164</v>
      </c>
      <c r="K1587" s="82" t="n">
        <v>12</v>
      </c>
      <c r="L1587" s="55" t="n">
        <v>1</v>
      </c>
      <c r="M1587" s="73" t="n">
        <v>0.4</v>
      </c>
      <c r="N1587" s="74" t="n">
        <f aca="false">K1587*L1587*M1587</f>
        <v>4.8</v>
      </c>
      <c r="O1587" s="41" t="n">
        <f aca="false">IFERROR(INDEX(Исходные!$B$21:$B$33,MATCH(H1587,Исходные!$A$21:$A$33,0)),0)</f>
        <v>0.617</v>
      </c>
      <c r="P1587" s="83" t="n">
        <f aca="false">N1587*O1587</f>
        <v>2.9616</v>
      </c>
      <c r="Q1587" s="20" t="s">
        <v>921</v>
      </c>
      <c r="R1587" s="84" t="s">
        <v>667</v>
      </c>
      <c r="S1587" s="20" t="s">
        <v>930</v>
      </c>
      <c r="T1587" s="20" t="s">
        <v>123</v>
      </c>
      <c r="U1587" s="53" t="n">
        <v>0</v>
      </c>
      <c r="V1587" s="76" t="s">
        <v>918</v>
      </c>
      <c r="W1587" s="53" t="n">
        <v>4</v>
      </c>
    </row>
    <row r="1588" customFormat="false" ht="35.05" hidden="false" customHeight="false" outlineLevel="0" collapsed="false">
      <c r="A1588" s="76" t="n">
        <v>1555</v>
      </c>
      <c r="B1588" s="20" t="s">
        <v>1691</v>
      </c>
      <c r="C1588" s="20" t="s">
        <v>912</v>
      </c>
      <c r="D1588" s="20" t="s">
        <v>913</v>
      </c>
      <c r="E1588" s="20" t="s">
        <v>1822</v>
      </c>
      <c r="F1588" s="76" t="s">
        <v>946</v>
      </c>
      <c r="G1588" s="20" t="s">
        <v>947</v>
      </c>
      <c r="H1588" s="55" t="n">
        <v>10</v>
      </c>
      <c r="I1588" s="76" t="s">
        <v>512</v>
      </c>
      <c r="J1588" s="76" t="n">
        <v>200</v>
      </c>
      <c r="K1588" s="82" t="n">
        <v>1</v>
      </c>
      <c r="L1588" s="55" t="n">
        <v>1</v>
      </c>
      <c r="M1588" s="73" t="n">
        <v>10.77</v>
      </c>
      <c r="N1588" s="74" t="n">
        <f aca="false">K1588*L1588*M1588</f>
        <v>10.77</v>
      </c>
      <c r="O1588" s="41" t="n">
        <f aca="false">IFERROR(INDEX(Исходные!$B$21:$B$33,MATCH(H1588,Исходные!$A$21:$A$33,0)),0)</f>
        <v>0.617</v>
      </c>
      <c r="P1588" s="83" t="n">
        <f aca="false">N1588*O1588</f>
        <v>6.64509</v>
      </c>
      <c r="Q1588" s="20" t="s">
        <v>1428</v>
      </c>
      <c r="R1588" s="84" t="s">
        <v>660</v>
      </c>
      <c r="S1588" s="20"/>
      <c r="T1588" s="20" t="s">
        <v>123</v>
      </c>
      <c r="U1588" s="53" t="n">
        <v>0</v>
      </c>
      <c r="V1588" s="76" t="s">
        <v>918</v>
      </c>
      <c r="W1588" s="53" t="n">
        <v>4</v>
      </c>
    </row>
    <row r="1589" customFormat="false" ht="35.05" hidden="false" customHeight="false" outlineLevel="0" collapsed="false">
      <c r="A1589" s="76" t="n">
        <v>1556</v>
      </c>
      <c r="B1589" s="20" t="s">
        <v>1691</v>
      </c>
      <c r="C1589" s="20" t="s">
        <v>912</v>
      </c>
      <c r="D1589" s="20" t="s">
        <v>913</v>
      </c>
      <c r="E1589" s="20" t="s">
        <v>1822</v>
      </c>
      <c r="F1589" s="76" t="s">
        <v>946</v>
      </c>
      <c r="G1589" s="20" t="s">
        <v>947</v>
      </c>
      <c r="H1589" s="55" t="n">
        <v>10</v>
      </c>
      <c r="I1589" s="76" t="s">
        <v>512</v>
      </c>
      <c r="J1589" s="76" t="n">
        <v>200</v>
      </c>
      <c r="K1589" s="82" t="n">
        <v>1</v>
      </c>
      <c r="L1589" s="55" t="n">
        <v>14</v>
      </c>
      <c r="M1589" s="73" t="n">
        <v>7.97</v>
      </c>
      <c r="N1589" s="74" t="n">
        <f aca="false">K1589*L1589*M1589</f>
        <v>111.58</v>
      </c>
      <c r="O1589" s="41" t="n">
        <f aca="false">IFERROR(INDEX(Исходные!$B$21:$B$33,MATCH(H1589,Исходные!$A$21:$A$33,0)),0)</f>
        <v>0.617</v>
      </c>
      <c r="P1589" s="83" t="n">
        <f aca="false">N1589*O1589</f>
        <v>68.84486</v>
      </c>
      <c r="Q1589" s="20" t="s">
        <v>1428</v>
      </c>
      <c r="R1589" s="84" t="s">
        <v>660</v>
      </c>
      <c r="S1589" s="20"/>
      <c r="T1589" s="20" t="s">
        <v>123</v>
      </c>
      <c r="U1589" s="53" t="n">
        <v>0</v>
      </c>
      <c r="V1589" s="76" t="s">
        <v>918</v>
      </c>
      <c r="W1589" s="53" t="n">
        <v>4</v>
      </c>
    </row>
    <row r="1590" customFormat="false" ht="35.05" hidden="false" customHeight="false" outlineLevel="0" collapsed="false">
      <c r="A1590" s="76" t="n">
        <v>1557</v>
      </c>
      <c r="B1590" s="20" t="s">
        <v>1691</v>
      </c>
      <c r="C1590" s="20" t="s">
        <v>912</v>
      </c>
      <c r="D1590" s="20" t="s">
        <v>913</v>
      </c>
      <c r="E1590" s="20" t="s">
        <v>1822</v>
      </c>
      <c r="F1590" s="76" t="s">
        <v>946</v>
      </c>
      <c r="G1590" s="20" t="s">
        <v>947</v>
      </c>
      <c r="H1590" s="55" t="n">
        <v>10</v>
      </c>
      <c r="I1590" s="76" t="s">
        <v>512</v>
      </c>
      <c r="J1590" s="76" t="n">
        <v>200</v>
      </c>
      <c r="K1590" s="82" t="n">
        <v>1</v>
      </c>
      <c r="L1590" s="55" t="n">
        <v>9</v>
      </c>
      <c r="M1590" s="73" t="n">
        <v>7.95</v>
      </c>
      <c r="N1590" s="74" t="n">
        <f aca="false">K1590*L1590*M1590</f>
        <v>71.55</v>
      </c>
      <c r="O1590" s="41" t="n">
        <f aca="false">IFERROR(INDEX(Исходные!$B$21:$B$33,MATCH(H1590,Исходные!$A$21:$A$33,0)),0)</f>
        <v>0.617</v>
      </c>
      <c r="P1590" s="83" t="n">
        <f aca="false">N1590*O1590</f>
        <v>44.14635</v>
      </c>
      <c r="Q1590" s="20" t="s">
        <v>1428</v>
      </c>
      <c r="R1590" s="84" t="s">
        <v>660</v>
      </c>
      <c r="S1590" s="20"/>
      <c r="T1590" s="20" t="s">
        <v>123</v>
      </c>
      <c r="U1590" s="53" t="n">
        <v>0</v>
      </c>
      <c r="V1590" s="76" t="s">
        <v>918</v>
      </c>
      <c r="W1590" s="53" t="n">
        <v>4</v>
      </c>
    </row>
    <row r="1591" customFormat="false" ht="35.05" hidden="false" customHeight="false" outlineLevel="0" collapsed="false">
      <c r="A1591" s="76" t="n">
        <v>1558</v>
      </c>
      <c r="B1591" s="20" t="s">
        <v>1691</v>
      </c>
      <c r="C1591" s="20" t="s">
        <v>912</v>
      </c>
      <c r="D1591" s="20" t="s">
        <v>913</v>
      </c>
      <c r="E1591" s="20" t="s">
        <v>1822</v>
      </c>
      <c r="F1591" s="76" t="s">
        <v>946</v>
      </c>
      <c r="G1591" s="20" t="s">
        <v>947</v>
      </c>
      <c r="H1591" s="55" t="n">
        <v>10</v>
      </c>
      <c r="I1591" s="76" t="s">
        <v>512</v>
      </c>
      <c r="J1591" s="76" t="n">
        <v>200</v>
      </c>
      <c r="K1591" s="82" t="n">
        <v>1</v>
      </c>
      <c r="L1591" s="55" t="n">
        <v>13</v>
      </c>
      <c r="M1591" s="73" t="n">
        <v>7.17</v>
      </c>
      <c r="N1591" s="74" t="n">
        <f aca="false">K1591*L1591*M1591</f>
        <v>93.21</v>
      </c>
      <c r="O1591" s="41" t="n">
        <f aca="false">IFERROR(INDEX(Исходные!$B$21:$B$33,MATCH(H1591,Исходные!$A$21:$A$33,0)),0)</f>
        <v>0.617</v>
      </c>
      <c r="P1591" s="83" t="n">
        <f aca="false">N1591*O1591</f>
        <v>57.51057</v>
      </c>
      <c r="Q1591" s="20" t="s">
        <v>1428</v>
      </c>
      <c r="R1591" s="84" t="s">
        <v>660</v>
      </c>
      <c r="S1591" s="20"/>
      <c r="T1591" s="20" t="s">
        <v>123</v>
      </c>
      <c r="U1591" s="53" t="n">
        <v>0</v>
      </c>
      <c r="V1591" s="76" t="s">
        <v>918</v>
      </c>
      <c r="W1591" s="53" t="n">
        <v>4</v>
      </c>
    </row>
    <row r="1592" customFormat="false" ht="35.05" hidden="false" customHeight="false" outlineLevel="0" collapsed="false">
      <c r="A1592" s="76" t="n">
        <v>1559</v>
      </c>
      <c r="B1592" s="20" t="s">
        <v>1691</v>
      </c>
      <c r="C1592" s="20" t="s">
        <v>912</v>
      </c>
      <c r="D1592" s="20" t="s">
        <v>913</v>
      </c>
      <c r="E1592" s="20" t="s">
        <v>1822</v>
      </c>
      <c r="F1592" s="76" t="s">
        <v>946</v>
      </c>
      <c r="G1592" s="20" t="s">
        <v>947</v>
      </c>
      <c r="H1592" s="55" t="n">
        <v>10</v>
      </c>
      <c r="I1592" s="76" t="s">
        <v>512</v>
      </c>
      <c r="J1592" s="76" t="n">
        <v>200</v>
      </c>
      <c r="K1592" s="82" t="n">
        <v>1</v>
      </c>
      <c r="L1592" s="55" t="n">
        <v>9</v>
      </c>
      <c r="M1592" s="73" t="n">
        <v>3.78</v>
      </c>
      <c r="N1592" s="74" t="n">
        <f aca="false">K1592*L1592*M1592</f>
        <v>34.02</v>
      </c>
      <c r="O1592" s="41" t="n">
        <f aca="false">IFERROR(INDEX(Исходные!$B$21:$B$33,MATCH(H1592,Исходные!$A$21:$A$33,0)),0)</f>
        <v>0.617</v>
      </c>
      <c r="P1592" s="83" t="n">
        <f aca="false">N1592*O1592</f>
        <v>20.99034</v>
      </c>
      <c r="Q1592" s="20" t="s">
        <v>1428</v>
      </c>
      <c r="R1592" s="84" t="s">
        <v>660</v>
      </c>
      <c r="S1592" s="20"/>
      <c r="T1592" s="20" t="s">
        <v>123</v>
      </c>
      <c r="U1592" s="53" t="n">
        <v>0</v>
      </c>
      <c r="V1592" s="76" t="s">
        <v>918</v>
      </c>
      <c r="W1592" s="53" t="n">
        <v>4</v>
      </c>
    </row>
    <row r="1593" customFormat="false" ht="35.05" hidden="false" customHeight="false" outlineLevel="0" collapsed="false">
      <c r="A1593" s="76" t="n">
        <v>1560</v>
      </c>
      <c r="B1593" s="20" t="s">
        <v>1691</v>
      </c>
      <c r="C1593" s="20" t="s">
        <v>912</v>
      </c>
      <c r="D1593" s="20" t="s">
        <v>913</v>
      </c>
      <c r="E1593" s="20" t="s">
        <v>1822</v>
      </c>
      <c r="F1593" s="76" t="s">
        <v>954</v>
      </c>
      <c r="G1593" s="20" t="s">
        <v>955</v>
      </c>
      <c r="H1593" s="55" t="n">
        <v>10</v>
      </c>
      <c r="I1593" s="76" t="s">
        <v>512</v>
      </c>
      <c r="J1593" s="76" t="n">
        <v>200</v>
      </c>
      <c r="K1593" s="82" t="n">
        <v>1</v>
      </c>
      <c r="L1593" s="55" t="n">
        <v>40</v>
      </c>
      <c r="M1593" s="73" t="n">
        <v>22.32</v>
      </c>
      <c r="N1593" s="74" t="n">
        <f aca="false">K1593*L1593*M1593</f>
        <v>892.8</v>
      </c>
      <c r="O1593" s="41" t="n">
        <f aca="false">IFERROR(INDEX(Исходные!$B$21:$B$33,MATCH(H1593,Исходные!$A$21:$A$33,0)),0)</f>
        <v>0.617</v>
      </c>
      <c r="P1593" s="83" t="n">
        <f aca="false">N1593*O1593</f>
        <v>550.8576</v>
      </c>
      <c r="Q1593" s="20" t="s">
        <v>1428</v>
      </c>
      <c r="R1593" s="84" t="s">
        <v>660</v>
      </c>
      <c r="S1593" s="20"/>
      <c r="T1593" s="20" t="s">
        <v>123</v>
      </c>
      <c r="U1593" s="53" t="n">
        <v>0</v>
      </c>
      <c r="V1593" s="76" t="s">
        <v>918</v>
      </c>
      <c r="W1593" s="53" t="n">
        <v>4</v>
      </c>
    </row>
    <row r="1594" customFormat="false" ht="35.05" hidden="false" customHeight="false" outlineLevel="0" collapsed="false">
      <c r="A1594" s="76" t="n">
        <v>1561</v>
      </c>
      <c r="B1594" s="20" t="s">
        <v>1691</v>
      </c>
      <c r="C1594" s="20" t="s">
        <v>912</v>
      </c>
      <c r="D1594" s="20" t="s">
        <v>913</v>
      </c>
      <c r="E1594" s="20" t="s">
        <v>1822</v>
      </c>
      <c r="F1594" s="76" t="s">
        <v>956</v>
      </c>
      <c r="G1594" s="20" t="s">
        <v>1440</v>
      </c>
      <c r="H1594" s="55" t="n">
        <v>10</v>
      </c>
      <c r="I1594" s="76" t="s">
        <v>512</v>
      </c>
      <c r="J1594" s="76" t="s">
        <v>164</v>
      </c>
      <c r="K1594" s="82" t="n">
        <v>40</v>
      </c>
      <c r="L1594" s="55" t="n">
        <v>1</v>
      </c>
      <c r="M1594" s="73" t="n">
        <v>0.4</v>
      </c>
      <c r="N1594" s="74" t="n">
        <f aca="false">K1594*L1594*M1594</f>
        <v>16</v>
      </c>
      <c r="O1594" s="41" t="n">
        <f aca="false">IFERROR(INDEX(Исходные!$B$21:$B$33,MATCH(H1594,Исходные!$A$21:$A$33,0)),0)</f>
        <v>0.617</v>
      </c>
      <c r="P1594" s="83" t="n">
        <f aca="false">N1594*O1594</f>
        <v>9.872</v>
      </c>
      <c r="Q1594" s="20" t="s">
        <v>921</v>
      </c>
      <c r="R1594" s="84" t="s">
        <v>667</v>
      </c>
      <c r="S1594" s="20" t="s">
        <v>1434</v>
      </c>
      <c r="T1594" s="20" t="s">
        <v>123</v>
      </c>
      <c r="U1594" s="53" t="n">
        <v>0</v>
      </c>
      <c r="V1594" s="76" t="s">
        <v>918</v>
      </c>
      <c r="W1594" s="53" t="n">
        <v>4</v>
      </c>
    </row>
    <row r="1595" customFormat="false" ht="35.05" hidden="false" customHeight="false" outlineLevel="0" collapsed="false">
      <c r="A1595" s="76" t="n">
        <v>1562</v>
      </c>
      <c r="B1595" s="20" t="s">
        <v>1691</v>
      </c>
      <c r="C1595" s="20" t="s">
        <v>912</v>
      </c>
      <c r="D1595" s="20" t="s">
        <v>913</v>
      </c>
      <c r="E1595" s="20" t="s">
        <v>1822</v>
      </c>
      <c r="F1595" s="76" t="s">
        <v>954</v>
      </c>
      <c r="G1595" s="20" t="s">
        <v>955</v>
      </c>
      <c r="H1595" s="55" t="n">
        <v>10</v>
      </c>
      <c r="I1595" s="76" t="s">
        <v>512</v>
      </c>
      <c r="J1595" s="76" t="n">
        <v>200</v>
      </c>
      <c r="K1595" s="82" t="n">
        <v>1</v>
      </c>
      <c r="L1595" s="55" t="n">
        <v>41</v>
      </c>
      <c r="M1595" s="73" t="n">
        <v>20.6</v>
      </c>
      <c r="N1595" s="74" t="n">
        <f aca="false">K1595*L1595*M1595</f>
        <v>844.6</v>
      </c>
      <c r="O1595" s="41" t="n">
        <f aca="false">IFERROR(INDEX(Исходные!$B$21:$B$33,MATCH(H1595,Исходные!$A$21:$A$33,0)),0)</f>
        <v>0.617</v>
      </c>
      <c r="P1595" s="83" t="n">
        <f aca="false">N1595*O1595</f>
        <v>521.1182</v>
      </c>
      <c r="Q1595" s="20" t="s">
        <v>1428</v>
      </c>
      <c r="R1595" s="84" t="s">
        <v>660</v>
      </c>
      <c r="S1595" s="20"/>
      <c r="T1595" s="20" t="s">
        <v>123</v>
      </c>
      <c r="U1595" s="53" t="n">
        <v>0</v>
      </c>
      <c r="V1595" s="76" t="s">
        <v>918</v>
      </c>
      <c r="W1595" s="53" t="n">
        <v>4</v>
      </c>
    </row>
    <row r="1596" customFormat="false" ht="35.05" hidden="false" customHeight="false" outlineLevel="0" collapsed="false">
      <c r="A1596" s="76" t="n">
        <v>1563</v>
      </c>
      <c r="B1596" s="20" t="s">
        <v>1691</v>
      </c>
      <c r="C1596" s="20" t="s">
        <v>912</v>
      </c>
      <c r="D1596" s="20" t="s">
        <v>913</v>
      </c>
      <c r="E1596" s="20" t="s">
        <v>1822</v>
      </c>
      <c r="F1596" s="76" t="s">
        <v>956</v>
      </c>
      <c r="G1596" s="20" t="s">
        <v>1441</v>
      </c>
      <c r="H1596" s="55" t="n">
        <v>10</v>
      </c>
      <c r="I1596" s="76" t="s">
        <v>512</v>
      </c>
      <c r="J1596" s="76" t="s">
        <v>164</v>
      </c>
      <c r="K1596" s="82" t="n">
        <v>41</v>
      </c>
      <c r="L1596" s="55" t="n">
        <v>1</v>
      </c>
      <c r="M1596" s="73" t="n">
        <v>0.4</v>
      </c>
      <c r="N1596" s="74" t="n">
        <f aca="false">K1596*L1596*M1596</f>
        <v>16.4</v>
      </c>
      <c r="O1596" s="41" t="n">
        <f aca="false">IFERROR(INDEX(Исходные!$B$21:$B$33,MATCH(H1596,Исходные!$A$21:$A$33,0)),0)</f>
        <v>0.617</v>
      </c>
      <c r="P1596" s="83" t="n">
        <f aca="false">N1596*O1596</f>
        <v>10.1188</v>
      </c>
      <c r="Q1596" s="20" t="s">
        <v>921</v>
      </c>
      <c r="R1596" s="84" t="s">
        <v>667</v>
      </c>
      <c r="S1596" s="20" t="s">
        <v>1436</v>
      </c>
      <c r="T1596" s="20" t="s">
        <v>123</v>
      </c>
      <c r="U1596" s="53" t="n">
        <v>0</v>
      </c>
      <c r="V1596" s="76" t="s">
        <v>918</v>
      </c>
      <c r="W1596" s="53" t="n">
        <v>4</v>
      </c>
    </row>
    <row r="1597" customFormat="false" ht="35.05" hidden="false" customHeight="false" outlineLevel="0" collapsed="false">
      <c r="A1597" s="76" t="n">
        <v>1564</v>
      </c>
      <c r="B1597" s="20" t="s">
        <v>1691</v>
      </c>
      <c r="C1597" s="20" t="s">
        <v>912</v>
      </c>
      <c r="D1597" s="20" t="s">
        <v>913</v>
      </c>
      <c r="E1597" s="20" t="s">
        <v>1822</v>
      </c>
      <c r="F1597" s="76" t="s">
        <v>954</v>
      </c>
      <c r="G1597" s="20" t="s">
        <v>955</v>
      </c>
      <c r="H1597" s="55" t="n">
        <v>10</v>
      </c>
      <c r="I1597" s="76" t="s">
        <v>512</v>
      </c>
      <c r="J1597" s="76" t="n">
        <v>200</v>
      </c>
      <c r="K1597" s="82" t="n">
        <v>1</v>
      </c>
      <c r="L1597" s="55" t="n">
        <v>26</v>
      </c>
      <c r="M1597" s="73" t="n">
        <v>20.48</v>
      </c>
      <c r="N1597" s="74" t="n">
        <f aca="false">K1597*L1597*M1597</f>
        <v>532.48</v>
      </c>
      <c r="O1597" s="41" t="n">
        <f aca="false">IFERROR(INDEX(Исходные!$B$21:$B$33,MATCH(H1597,Исходные!$A$21:$A$33,0)),0)</f>
        <v>0.617</v>
      </c>
      <c r="P1597" s="83" t="n">
        <f aca="false">N1597*O1597</f>
        <v>328.54016</v>
      </c>
      <c r="Q1597" s="20" t="s">
        <v>1428</v>
      </c>
      <c r="R1597" s="84" t="s">
        <v>660</v>
      </c>
      <c r="S1597" s="20"/>
      <c r="T1597" s="20" t="s">
        <v>123</v>
      </c>
      <c r="U1597" s="53" t="n">
        <v>0</v>
      </c>
      <c r="V1597" s="76" t="s">
        <v>918</v>
      </c>
      <c r="W1597" s="53" t="n">
        <v>4</v>
      </c>
    </row>
    <row r="1598" customFormat="false" ht="35.05" hidden="false" customHeight="false" outlineLevel="0" collapsed="false">
      <c r="A1598" s="76" t="n">
        <v>1565</v>
      </c>
      <c r="B1598" s="20" t="s">
        <v>1691</v>
      </c>
      <c r="C1598" s="20" t="s">
        <v>912</v>
      </c>
      <c r="D1598" s="20" t="s">
        <v>913</v>
      </c>
      <c r="E1598" s="20" t="s">
        <v>1822</v>
      </c>
      <c r="F1598" s="76" t="s">
        <v>956</v>
      </c>
      <c r="G1598" s="20" t="s">
        <v>959</v>
      </c>
      <c r="H1598" s="55" t="n">
        <v>10</v>
      </c>
      <c r="I1598" s="76" t="s">
        <v>512</v>
      </c>
      <c r="J1598" s="76" t="s">
        <v>164</v>
      </c>
      <c r="K1598" s="82" t="n">
        <v>26</v>
      </c>
      <c r="L1598" s="55" t="n">
        <v>1</v>
      </c>
      <c r="M1598" s="73" t="n">
        <v>0.4</v>
      </c>
      <c r="N1598" s="74" t="n">
        <f aca="false">K1598*L1598*M1598</f>
        <v>10.4</v>
      </c>
      <c r="O1598" s="41" t="n">
        <f aca="false">IFERROR(INDEX(Исходные!$B$21:$B$33,MATCH(H1598,Исходные!$A$21:$A$33,0)),0)</f>
        <v>0.617</v>
      </c>
      <c r="P1598" s="83" t="n">
        <f aca="false">N1598*O1598</f>
        <v>6.4168</v>
      </c>
      <c r="Q1598" s="20" t="s">
        <v>921</v>
      </c>
      <c r="R1598" s="84" t="s">
        <v>667</v>
      </c>
      <c r="S1598" s="20" t="s">
        <v>939</v>
      </c>
      <c r="T1598" s="20" t="s">
        <v>123</v>
      </c>
      <c r="U1598" s="53" t="n">
        <v>0</v>
      </c>
      <c r="V1598" s="76" t="s">
        <v>918</v>
      </c>
      <c r="W1598" s="53" t="n">
        <v>4</v>
      </c>
    </row>
    <row r="1599" customFormat="false" ht="35.05" hidden="false" customHeight="false" outlineLevel="0" collapsed="false">
      <c r="A1599" s="76" t="n">
        <v>1566</v>
      </c>
      <c r="B1599" s="20" t="s">
        <v>1691</v>
      </c>
      <c r="C1599" s="20" t="s">
        <v>912</v>
      </c>
      <c r="D1599" s="20" t="s">
        <v>913</v>
      </c>
      <c r="E1599" s="20" t="s">
        <v>1822</v>
      </c>
      <c r="F1599" s="76" t="s">
        <v>954</v>
      </c>
      <c r="G1599" s="20" t="s">
        <v>955</v>
      </c>
      <c r="H1599" s="55" t="n">
        <v>10</v>
      </c>
      <c r="I1599" s="76" t="s">
        <v>512</v>
      </c>
      <c r="J1599" s="76" t="n">
        <v>200</v>
      </c>
      <c r="K1599" s="82" t="n">
        <v>1</v>
      </c>
      <c r="L1599" s="55" t="n">
        <v>2</v>
      </c>
      <c r="M1599" s="73" t="n">
        <v>19.01</v>
      </c>
      <c r="N1599" s="74" t="n">
        <f aca="false">K1599*L1599*M1599</f>
        <v>38.02</v>
      </c>
      <c r="O1599" s="41" t="n">
        <f aca="false">IFERROR(INDEX(Исходные!$B$21:$B$33,MATCH(H1599,Исходные!$A$21:$A$33,0)),0)</f>
        <v>0.617</v>
      </c>
      <c r="P1599" s="83" t="n">
        <f aca="false">N1599*O1599</f>
        <v>23.45834</v>
      </c>
      <c r="Q1599" s="20" t="s">
        <v>1428</v>
      </c>
      <c r="R1599" s="84" t="s">
        <v>660</v>
      </c>
      <c r="S1599" s="20"/>
      <c r="T1599" s="20" t="s">
        <v>123</v>
      </c>
      <c r="U1599" s="53" t="n">
        <v>0</v>
      </c>
      <c r="V1599" s="76" t="s">
        <v>918</v>
      </c>
      <c r="W1599" s="53" t="n">
        <v>4</v>
      </c>
    </row>
    <row r="1600" customFormat="false" ht="35.05" hidden="false" customHeight="false" outlineLevel="0" collapsed="false">
      <c r="A1600" s="76" t="n">
        <v>1567</v>
      </c>
      <c r="B1600" s="20" t="s">
        <v>1691</v>
      </c>
      <c r="C1600" s="20" t="s">
        <v>912</v>
      </c>
      <c r="D1600" s="20" t="s">
        <v>913</v>
      </c>
      <c r="E1600" s="20" t="s">
        <v>1822</v>
      </c>
      <c r="F1600" s="76" t="s">
        <v>956</v>
      </c>
      <c r="G1600" s="20" t="s">
        <v>960</v>
      </c>
      <c r="H1600" s="55" t="n">
        <v>10</v>
      </c>
      <c r="I1600" s="76" t="s">
        <v>512</v>
      </c>
      <c r="J1600" s="76" t="s">
        <v>164</v>
      </c>
      <c r="K1600" s="82" t="n">
        <v>2</v>
      </c>
      <c r="L1600" s="55" t="n">
        <v>1</v>
      </c>
      <c r="M1600" s="73" t="n">
        <v>0.4</v>
      </c>
      <c r="N1600" s="74" t="n">
        <f aca="false">K1600*L1600*M1600</f>
        <v>0.8</v>
      </c>
      <c r="O1600" s="41" t="n">
        <f aca="false">IFERROR(INDEX(Исходные!$B$21:$B$33,MATCH(H1600,Исходные!$A$21:$A$33,0)),0)</f>
        <v>0.617</v>
      </c>
      <c r="P1600" s="83" t="n">
        <f aca="false">N1600*O1600</f>
        <v>0.4936</v>
      </c>
      <c r="Q1600" s="20" t="s">
        <v>921</v>
      </c>
      <c r="R1600" s="84" t="s">
        <v>667</v>
      </c>
      <c r="S1600" s="20" t="s">
        <v>941</v>
      </c>
      <c r="T1600" s="20" t="s">
        <v>123</v>
      </c>
      <c r="U1600" s="53" t="n">
        <v>0</v>
      </c>
      <c r="V1600" s="76" t="s">
        <v>918</v>
      </c>
      <c r="W1600" s="53" t="n">
        <v>4</v>
      </c>
    </row>
    <row r="1601" customFormat="false" ht="35.05" hidden="false" customHeight="false" outlineLevel="0" collapsed="false">
      <c r="A1601" s="76" t="n">
        <v>1568</v>
      </c>
      <c r="B1601" s="20" t="s">
        <v>1691</v>
      </c>
      <c r="C1601" s="20" t="s">
        <v>912</v>
      </c>
      <c r="D1601" s="20" t="s">
        <v>913</v>
      </c>
      <c r="E1601" s="20" t="s">
        <v>1822</v>
      </c>
      <c r="F1601" s="76" t="s">
        <v>954</v>
      </c>
      <c r="G1601" s="20" t="s">
        <v>955</v>
      </c>
      <c r="H1601" s="55" t="n">
        <v>10</v>
      </c>
      <c r="I1601" s="76" t="s">
        <v>512</v>
      </c>
      <c r="J1601" s="76" t="n">
        <v>200</v>
      </c>
      <c r="K1601" s="82" t="n">
        <v>1</v>
      </c>
      <c r="L1601" s="55" t="n">
        <v>3</v>
      </c>
      <c r="M1601" s="73" t="n">
        <v>17.28</v>
      </c>
      <c r="N1601" s="74" t="n">
        <f aca="false">K1601*L1601*M1601</f>
        <v>51.84</v>
      </c>
      <c r="O1601" s="41" t="n">
        <f aca="false">IFERROR(INDEX(Исходные!$B$21:$B$33,MATCH(H1601,Исходные!$A$21:$A$33,0)),0)</f>
        <v>0.617</v>
      </c>
      <c r="P1601" s="83" t="n">
        <f aca="false">N1601*O1601</f>
        <v>31.98528</v>
      </c>
      <c r="Q1601" s="20" t="s">
        <v>1428</v>
      </c>
      <c r="R1601" s="84" t="s">
        <v>660</v>
      </c>
      <c r="S1601" s="20"/>
      <c r="T1601" s="20" t="s">
        <v>123</v>
      </c>
      <c r="U1601" s="53" t="n">
        <v>0</v>
      </c>
      <c r="V1601" s="76" t="s">
        <v>918</v>
      </c>
      <c r="W1601" s="53" t="n">
        <v>4</v>
      </c>
    </row>
    <row r="1602" customFormat="false" ht="35.05" hidden="false" customHeight="false" outlineLevel="0" collapsed="false">
      <c r="A1602" s="76" t="n">
        <v>1569</v>
      </c>
      <c r="B1602" s="20" t="s">
        <v>1691</v>
      </c>
      <c r="C1602" s="20" t="s">
        <v>912</v>
      </c>
      <c r="D1602" s="20" t="s">
        <v>913</v>
      </c>
      <c r="E1602" s="20" t="s">
        <v>1822</v>
      </c>
      <c r="F1602" s="76" t="s">
        <v>956</v>
      </c>
      <c r="G1602" s="20" t="s">
        <v>1442</v>
      </c>
      <c r="H1602" s="55" t="n">
        <v>10</v>
      </c>
      <c r="I1602" s="76" t="s">
        <v>512</v>
      </c>
      <c r="J1602" s="76" t="s">
        <v>164</v>
      </c>
      <c r="K1602" s="82" t="n">
        <v>3</v>
      </c>
      <c r="L1602" s="55" t="n">
        <v>1</v>
      </c>
      <c r="M1602" s="73" t="n">
        <v>0.4</v>
      </c>
      <c r="N1602" s="74" t="n">
        <f aca="false">K1602*L1602*M1602</f>
        <v>1.2</v>
      </c>
      <c r="O1602" s="41" t="n">
        <f aca="false">IFERROR(INDEX(Исходные!$B$21:$B$33,MATCH(H1602,Исходные!$A$21:$A$33,0)),0)</f>
        <v>0.617</v>
      </c>
      <c r="P1602" s="83" t="n">
        <f aca="false">N1602*O1602</f>
        <v>0.7404</v>
      </c>
      <c r="Q1602" s="20" t="s">
        <v>921</v>
      </c>
      <c r="R1602" s="84" t="s">
        <v>667</v>
      </c>
      <c r="S1602" s="20" t="s">
        <v>943</v>
      </c>
      <c r="T1602" s="20" t="s">
        <v>123</v>
      </c>
      <c r="U1602" s="53" t="n">
        <v>0</v>
      </c>
      <c r="V1602" s="76" t="s">
        <v>918</v>
      </c>
      <c r="W1602" s="53" t="n">
        <v>4</v>
      </c>
    </row>
    <row r="1603" customFormat="false" ht="35.05" hidden="false" customHeight="false" outlineLevel="0" collapsed="false">
      <c r="A1603" s="76" t="n">
        <v>1570</v>
      </c>
      <c r="B1603" s="20" t="s">
        <v>1691</v>
      </c>
      <c r="C1603" s="20" t="s">
        <v>912</v>
      </c>
      <c r="D1603" s="20" t="s">
        <v>913</v>
      </c>
      <c r="E1603" s="20" t="s">
        <v>1822</v>
      </c>
      <c r="F1603" s="76" t="s">
        <v>954</v>
      </c>
      <c r="G1603" s="20" t="s">
        <v>955</v>
      </c>
      <c r="H1603" s="55" t="n">
        <v>10</v>
      </c>
      <c r="I1603" s="76" t="s">
        <v>512</v>
      </c>
      <c r="J1603" s="76" t="n">
        <v>200</v>
      </c>
      <c r="K1603" s="82" t="n">
        <v>1</v>
      </c>
      <c r="L1603" s="55" t="n">
        <v>17</v>
      </c>
      <c r="M1603" s="73" t="n">
        <v>15.6</v>
      </c>
      <c r="N1603" s="74" t="n">
        <f aca="false">K1603*L1603*M1603</f>
        <v>265.2</v>
      </c>
      <c r="O1603" s="41" t="n">
        <f aca="false">IFERROR(INDEX(Исходные!$B$21:$B$33,MATCH(H1603,Исходные!$A$21:$A$33,0)),0)</f>
        <v>0.617</v>
      </c>
      <c r="P1603" s="83" t="n">
        <f aca="false">N1603*O1603</f>
        <v>163.6284</v>
      </c>
      <c r="Q1603" s="20" t="s">
        <v>1428</v>
      </c>
      <c r="R1603" s="84" t="s">
        <v>660</v>
      </c>
      <c r="S1603" s="20"/>
      <c r="T1603" s="20" t="s">
        <v>123</v>
      </c>
      <c r="U1603" s="53" t="n">
        <v>0</v>
      </c>
      <c r="V1603" s="76" t="s">
        <v>918</v>
      </c>
      <c r="W1603" s="53" t="n">
        <v>4</v>
      </c>
    </row>
    <row r="1604" customFormat="false" ht="35.05" hidden="false" customHeight="false" outlineLevel="0" collapsed="false">
      <c r="A1604" s="76" t="n">
        <v>1571</v>
      </c>
      <c r="B1604" s="20" t="s">
        <v>1691</v>
      </c>
      <c r="C1604" s="20" t="s">
        <v>912</v>
      </c>
      <c r="D1604" s="20" t="s">
        <v>913</v>
      </c>
      <c r="E1604" s="20" t="s">
        <v>1822</v>
      </c>
      <c r="F1604" s="76" t="s">
        <v>956</v>
      </c>
      <c r="G1604" s="20" t="s">
        <v>962</v>
      </c>
      <c r="H1604" s="55" t="n">
        <v>10</v>
      </c>
      <c r="I1604" s="76" t="s">
        <v>512</v>
      </c>
      <c r="J1604" s="76" t="s">
        <v>164</v>
      </c>
      <c r="K1604" s="82" t="n">
        <v>17</v>
      </c>
      <c r="L1604" s="55" t="n">
        <v>1</v>
      </c>
      <c r="M1604" s="73" t="n">
        <v>0.4</v>
      </c>
      <c r="N1604" s="74" t="n">
        <f aca="false">K1604*L1604*M1604</f>
        <v>6.8</v>
      </c>
      <c r="O1604" s="41" t="n">
        <f aca="false">IFERROR(INDEX(Исходные!$B$21:$B$33,MATCH(H1604,Исходные!$A$21:$A$33,0)),0)</f>
        <v>0.617</v>
      </c>
      <c r="P1604" s="83" t="n">
        <f aca="false">N1604*O1604</f>
        <v>4.1956</v>
      </c>
      <c r="Q1604" s="20" t="s">
        <v>921</v>
      </c>
      <c r="R1604" s="84" t="s">
        <v>667</v>
      </c>
      <c r="S1604" s="20" t="s">
        <v>945</v>
      </c>
      <c r="T1604" s="20" t="s">
        <v>123</v>
      </c>
      <c r="U1604" s="53" t="n">
        <v>0</v>
      </c>
      <c r="V1604" s="76" t="s">
        <v>918</v>
      </c>
      <c r="W1604" s="53" t="n">
        <v>4</v>
      </c>
    </row>
    <row r="1605" customFormat="false" ht="35.05" hidden="false" customHeight="false" outlineLevel="0" collapsed="false">
      <c r="A1605" s="76" t="n">
        <v>1572</v>
      </c>
      <c r="B1605" s="20" t="s">
        <v>1691</v>
      </c>
      <c r="C1605" s="20" t="s">
        <v>912</v>
      </c>
      <c r="D1605" s="20" t="s">
        <v>913</v>
      </c>
      <c r="E1605" s="20" t="s">
        <v>1822</v>
      </c>
      <c r="F1605" s="76" t="s">
        <v>954</v>
      </c>
      <c r="G1605" s="20" t="s">
        <v>955</v>
      </c>
      <c r="H1605" s="55" t="n">
        <v>10</v>
      </c>
      <c r="I1605" s="76" t="s">
        <v>512</v>
      </c>
      <c r="J1605" s="76" t="n">
        <v>200</v>
      </c>
      <c r="K1605" s="82" t="n">
        <v>1</v>
      </c>
      <c r="L1605" s="55" t="n">
        <v>18</v>
      </c>
      <c r="M1605" s="73" t="n">
        <v>4.15</v>
      </c>
      <c r="N1605" s="74" t="n">
        <f aca="false">K1605*L1605*M1605</f>
        <v>74.7</v>
      </c>
      <c r="O1605" s="41" t="n">
        <f aca="false">IFERROR(INDEX(Исходные!$B$21:$B$33,MATCH(H1605,Исходные!$A$21:$A$33,0)),0)</f>
        <v>0.617</v>
      </c>
      <c r="P1605" s="83" t="n">
        <f aca="false">N1605*O1605</f>
        <v>46.0899</v>
      </c>
      <c r="Q1605" s="20" t="s">
        <v>1428</v>
      </c>
      <c r="R1605" s="84" t="s">
        <v>660</v>
      </c>
      <c r="S1605" s="20"/>
      <c r="T1605" s="20" t="s">
        <v>123</v>
      </c>
      <c r="U1605" s="53" t="n">
        <v>0</v>
      </c>
      <c r="V1605" s="76" t="s">
        <v>918</v>
      </c>
      <c r="W1605" s="53" t="n">
        <v>4</v>
      </c>
    </row>
    <row r="1606" customFormat="false" ht="35.05" hidden="false" customHeight="false" outlineLevel="0" collapsed="false">
      <c r="A1606" s="76" t="n">
        <v>1573</v>
      </c>
      <c r="B1606" s="20" t="s">
        <v>1691</v>
      </c>
      <c r="C1606" s="20" t="s">
        <v>912</v>
      </c>
      <c r="D1606" s="20" t="s">
        <v>913</v>
      </c>
      <c r="E1606" s="20" t="s">
        <v>1822</v>
      </c>
      <c r="F1606" s="76" t="s">
        <v>954</v>
      </c>
      <c r="G1606" s="20" t="s">
        <v>955</v>
      </c>
      <c r="H1606" s="55" t="n">
        <v>10</v>
      </c>
      <c r="I1606" s="76" t="s">
        <v>512</v>
      </c>
      <c r="J1606" s="76" t="n">
        <v>200</v>
      </c>
      <c r="K1606" s="82" t="n">
        <v>1</v>
      </c>
      <c r="L1606" s="55" t="n">
        <v>22</v>
      </c>
      <c r="M1606" s="73" t="n">
        <v>0.6</v>
      </c>
      <c r="N1606" s="74" t="n">
        <f aca="false">K1606*L1606*M1606</f>
        <v>13.2</v>
      </c>
      <c r="O1606" s="41" t="n">
        <f aca="false">IFERROR(INDEX(Исходные!$B$21:$B$33,MATCH(H1606,Исходные!$A$21:$A$33,0)),0)</f>
        <v>0.617</v>
      </c>
      <c r="P1606" s="83" t="n">
        <f aca="false">N1606*O1606</f>
        <v>8.1444</v>
      </c>
      <c r="Q1606" s="20" t="s">
        <v>1428</v>
      </c>
      <c r="R1606" s="84" t="s">
        <v>660</v>
      </c>
      <c r="S1606" s="20"/>
      <c r="T1606" s="20" t="s">
        <v>123</v>
      </c>
      <c r="U1606" s="53" t="n">
        <v>0</v>
      </c>
      <c r="V1606" s="76" t="s">
        <v>918</v>
      </c>
      <c r="W1606" s="53" t="n">
        <v>4</v>
      </c>
    </row>
    <row r="1607" customFormat="false" ht="35.05" hidden="false" customHeight="false" outlineLevel="0" collapsed="false">
      <c r="A1607" s="76" t="n">
        <v>1574</v>
      </c>
      <c r="B1607" s="20" t="s">
        <v>1691</v>
      </c>
      <c r="C1607" s="20" t="s">
        <v>912</v>
      </c>
      <c r="D1607" s="20" t="s">
        <v>963</v>
      </c>
      <c r="E1607" s="20" t="s">
        <v>1822</v>
      </c>
      <c r="F1607" s="76" t="s">
        <v>964</v>
      </c>
      <c r="G1607" s="20" t="s">
        <v>965</v>
      </c>
      <c r="H1607" s="55" t="n">
        <v>10</v>
      </c>
      <c r="I1607" s="76" t="s">
        <v>512</v>
      </c>
      <c r="J1607" s="76" t="n">
        <v>200</v>
      </c>
      <c r="K1607" s="82" t="n">
        <v>1</v>
      </c>
      <c r="L1607" s="55" t="n">
        <v>22</v>
      </c>
      <c r="M1607" s="73" t="n">
        <v>5.05</v>
      </c>
      <c r="N1607" s="74" t="n">
        <f aca="false">K1607*L1607*M1607</f>
        <v>111.1</v>
      </c>
      <c r="O1607" s="41" t="n">
        <f aca="false">IFERROR(INDEX(Исходные!$B$21:$B$33,MATCH(H1607,Исходные!$A$21:$A$33,0)),0)</f>
        <v>0.617</v>
      </c>
      <c r="P1607" s="83" t="n">
        <f aca="false">N1607*O1607</f>
        <v>68.5487</v>
      </c>
      <c r="Q1607" s="20" t="s">
        <v>1443</v>
      </c>
      <c r="R1607" s="84" t="s">
        <v>514</v>
      </c>
      <c r="S1607" s="20"/>
      <c r="T1607" s="20" t="s">
        <v>123</v>
      </c>
      <c r="U1607" s="53" t="n">
        <v>0</v>
      </c>
      <c r="V1607" s="76" t="s">
        <v>967</v>
      </c>
      <c r="W1607" s="53" t="n">
        <v>4</v>
      </c>
    </row>
    <row r="1608" customFormat="false" ht="35.05" hidden="false" customHeight="false" outlineLevel="0" collapsed="false">
      <c r="A1608" s="76" t="n">
        <v>1575</v>
      </c>
      <c r="B1608" s="20" t="s">
        <v>1691</v>
      </c>
      <c r="C1608" s="20" t="s">
        <v>912</v>
      </c>
      <c r="D1608" s="20" t="s">
        <v>963</v>
      </c>
      <c r="E1608" s="20" t="s">
        <v>1822</v>
      </c>
      <c r="F1608" s="76" t="s">
        <v>964</v>
      </c>
      <c r="G1608" s="20" t="s">
        <v>968</v>
      </c>
      <c r="H1608" s="55" t="n">
        <v>10</v>
      </c>
      <c r="I1608" s="76" t="s">
        <v>512</v>
      </c>
      <c r="J1608" s="76" t="n">
        <v>200</v>
      </c>
      <c r="K1608" s="82" t="n">
        <v>1</v>
      </c>
      <c r="L1608" s="55" t="n">
        <v>25</v>
      </c>
      <c r="M1608" s="73" t="n">
        <v>4.5</v>
      </c>
      <c r="N1608" s="74" t="n">
        <f aca="false">K1608*L1608*M1608</f>
        <v>112.5</v>
      </c>
      <c r="O1608" s="41" t="n">
        <f aca="false">IFERROR(INDEX(Исходные!$B$21:$B$33,MATCH(H1608,Исходные!$A$21:$A$33,0)),0)</f>
        <v>0.617</v>
      </c>
      <c r="P1608" s="83" t="n">
        <f aca="false">N1608*O1608</f>
        <v>69.4125</v>
      </c>
      <c r="Q1608" s="20" t="s">
        <v>1443</v>
      </c>
      <c r="R1608" s="84" t="s">
        <v>514</v>
      </c>
      <c r="S1608" s="20"/>
      <c r="T1608" s="20" t="s">
        <v>123</v>
      </c>
      <c r="U1608" s="53" t="n">
        <v>0</v>
      </c>
      <c r="V1608" s="76" t="s">
        <v>967</v>
      </c>
      <c r="W1608" s="53" t="n">
        <v>4</v>
      </c>
    </row>
    <row r="1609" customFormat="false" ht="35.05" hidden="false" customHeight="false" outlineLevel="0" collapsed="false">
      <c r="A1609" s="76" t="n">
        <v>1576</v>
      </c>
      <c r="B1609" s="20" t="s">
        <v>1691</v>
      </c>
      <c r="C1609" s="20" t="s">
        <v>912</v>
      </c>
      <c r="D1609" s="20" t="s">
        <v>963</v>
      </c>
      <c r="E1609" s="20" t="s">
        <v>1822</v>
      </c>
      <c r="F1609" s="76" t="s">
        <v>964</v>
      </c>
      <c r="G1609" s="20" t="s">
        <v>969</v>
      </c>
      <c r="H1609" s="55" t="n">
        <v>10</v>
      </c>
      <c r="I1609" s="76" t="s">
        <v>512</v>
      </c>
      <c r="J1609" s="76" t="n">
        <v>200</v>
      </c>
      <c r="K1609" s="82" t="n">
        <v>1</v>
      </c>
      <c r="L1609" s="55" t="n">
        <v>20</v>
      </c>
      <c r="M1609" s="73" t="n">
        <v>3.625</v>
      </c>
      <c r="N1609" s="74" t="n">
        <f aca="false">K1609*L1609*M1609</f>
        <v>72.5</v>
      </c>
      <c r="O1609" s="41" t="n">
        <f aca="false">IFERROR(INDEX(Исходные!$B$21:$B$33,MATCH(H1609,Исходные!$A$21:$A$33,0)),0)</f>
        <v>0.617</v>
      </c>
      <c r="P1609" s="83" t="n">
        <f aca="false">N1609*O1609</f>
        <v>44.7325</v>
      </c>
      <c r="Q1609" s="20" t="s">
        <v>1443</v>
      </c>
      <c r="R1609" s="84" t="s">
        <v>514</v>
      </c>
      <c r="S1609" s="20"/>
      <c r="T1609" s="20" t="s">
        <v>123</v>
      </c>
      <c r="U1609" s="53" t="n">
        <v>0</v>
      </c>
      <c r="V1609" s="76" t="s">
        <v>967</v>
      </c>
      <c r="W1609" s="53" t="n">
        <v>4</v>
      </c>
    </row>
    <row r="1610" customFormat="false" ht="35.05" hidden="false" customHeight="false" outlineLevel="0" collapsed="false">
      <c r="A1610" s="76" t="n">
        <v>1577</v>
      </c>
      <c r="B1610" s="20" t="s">
        <v>1691</v>
      </c>
      <c r="C1610" s="20" t="s">
        <v>912</v>
      </c>
      <c r="D1610" s="20" t="s">
        <v>963</v>
      </c>
      <c r="E1610" s="20" t="s">
        <v>1822</v>
      </c>
      <c r="F1610" s="76" t="s">
        <v>964</v>
      </c>
      <c r="G1610" s="20" t="s">
        <v>970</v>
      </c>
      <c r="H1610" s="55" t="n">
        <v>10</v>
      </c>
      <c r="I1610" s="76" t="s">
        <v>512</v>
      </c>
      <c r="J1610" s="76" t="n">
        <v>200</v>
      </c>
      <c r="K1610" s="82" t="n">
        <v>1</v>
      </c>
      <c r="L1610" s="55" t="n">
        <v>17</v>
      </c>
      <c r="M1610" s="73" t="n">
        <v>4.5</v>
      </c>
      <c r="N1610" s="74" t="n">
        <f aca="false">K1610*L1610*M1610</f>
        <v>76.5</v>
      </c>
      <c r="O1610" s="41" t="n">
        <f aca="false">IFERROR(INDEX(Исходные!$B$21:$B$33,MATCH(H1610,Исходные!$A$21:$A$33,0)),0)</f>
        <v>0.617</v>
      </c>
      <c r="P1610" s="83" t="n">
        <f aca="false">N1610*O1610</f>
        <v>47.2005</v>
      </c>
      <c r="Q1610" s="20" t="s">
        <v>1443</v>
      </c>
      <c r="R1610" s="84" t="s">
        <v>514</v>
      </c>
      <c r="S1610" s="20"/>
      <c r="T1610" s="20" t="s">
        <v>123</v>
      </c>
      <c r="U1610" s="53" t="n">
        <v>0</v>
      </c>
      <c r="V1610" s="76" t="s">
        <v>967</v>
      </c>
      <c r="W1610" s="53" t="n">
        <v>4</v>
      </c>
    </row>
    <row r="1611" customFormat="false" ht="35.05" hidden="false" customHeight="false" outlineLevel="0" collapsed="false">
      <c r="A1611" s="76" t="n">
        <v>1578</v>
      </c>
      <c r="B1611" s="20" t="s">
        <v>1691</v>
      </c>
      <c r="C1611" s="20" t="s">
        <v>912</v>
      </c>
      <c r="D1611" s="20" t="s">
        <v>963</v>
      </c>
      <c r="E1611" s="20" t="s">
        <v>1822</v>
      </c>
      <c r="F1611" s="76" t="s">
        <v>964</v>
      </c>
      <c r="G1611" s="20" t="s">
        <v>971</v>
      </c>
      <c r="H1611" s="55" t="n">
        <v>10</v>
      </c>
      <c r="I1611" s="76" t="s">
        <v>512</v>
      </c>
      <c r="J1611" s="76" t="n">
        <v>200</v>
      </c>
      <c r="K1611" s="82" t="n">
        <v>1</v>
      </c>
      <c r="L1611" s="55" t="n">
        <v>17</v>
      </c>
      <c r="M1611" s="73" t="n">
        <v>1.2</v>
      </c>
      <c r="N1611" s="74" t="n">
        <f aca="false">K1611*L1611*M1611</f>
        <v>20.4</v>
      </c>
      <c r="O1611" s="41" t="n">
        <f aca="false">IFERROR(INDEX(Исходные!$B$21:$B$33,MATCH(H1611,Исходные!$A$21:$A$33,0)),0)</f>
        <v>0.617</v>
      </c>
      <c r="P1611" s="83" t="n">
        <f aca="false">N1611*O1611</f>
        <v>12.5868</v>
      </c>
      <c r="Q1611" s="20" t="s">
        <v>1443</v>
      </c>
      <c r="R1611" s="84" t="s">
        <v>514</v>
      </c>
      <c r="S1611" s="20"/>
      <c r="T1611" s="20" t="s">
        <v>123</v>
      </c>
      <c r="U1611" s="53" t="n">
        <v>0</v>
      </c>
      <c r="V1611" s="76" t="s">
        <v>967</v>
      </c>
      <c r="W1611" s="53" t="n">
        <v>4</v>
      </c>
    </row>
    <row r="1612" customFormat="false" ht="35.05" hidden="false" customHeight="false" outlineLevel="0" collapsed="false">
      <c r="A1612" s="76" t="n">
        <v>1579</v>
      </c>
      <c r="B1612" s="20" t="s">
        <v>1691</v>
      </c>
      <c r="C1612" s="20" t="s">
        <v>912</v>
      </c>
      <c r="D1612" s="20" t="s">
        <v>963</v>
      </c>
      <c r="E1612" s="20" t="s">
        <v>1822</v>
      </c>
      <c r="F1612" s="76" t="s">
        <v>972</v>
      </c>
      <c r="G1612" s="20" t="s">
        <v>973</v>
      </c>
      <c r="H1612" s="55" t="n">
        <v>10</v>
      </c>
      <c r="I1612" s="76" t="s">
        <v>512</v>
      </c>
      <c r="J1612" s="76" t="n">
        <v>200</v>
      </c>
      <c r="K1612" s="82" t="n">
        <v>1</v>
      </c>
      <c r="L1612" s="55" t="n">
        <v>18</v>
      </c>
      <c r="M1612" s="73" t="n">
        <v>1.2</v>
      </c>
      <c r="N1612" s="74" t="n">
        <f aca="false">K1612*L1612*M1612</f>
        <v>21.6</v>
      </c>
      <c r="O1612" s="41" t="n">
        <f aca="false">IFERROR(INDEX(Исходные!$B$21:$B$33,MATCH(H1612,Исходные!$A$21:$A$33,0)),0)</f>
        <v>0.617</v>
      </c>
      <c r="P1612" s="83" t="n">
        <f aca="false">N1612*O1612</f>
        <v>13.3272</v>
      </c>
      <c r="Q1612" s="20" t="s">
        <v>1444</v>
      </c>
      <c r="R1612" s="84" t="s">
        <v>514</v>
      </c>
      <c r="S1612" s="20"/>
      <c r="T1612" s="20" t="s">
        <v>123</v>
      </c>
      <c r="U1612" s="53" t="n">
        <v>0</v>
      </c>
      <c r="V1612" s="76" t="s">
        <v>975</v>
      </c>
      <c r="W1612" s="53" t="n">
        <v>4</v>
      </c>
    </row>
    <row r="1613" customFormat="false" ht="35.05" hidden="false" customHeight="false" outlineLevel="0" collapsed="false">
      <c r="A1613" s="76" t="n">
        <v>1580</v>
      </c>
      <c r="B1613" s="20" t="s">
        <v>1691</v>
      </c>
      <c r="C1613" s="20" t="s">
        <v>912</v>
      </c>
      <c r="D1613" s="20" t="s">
        <v>963</v>
      </c>
      <c r="E1613" s="20" t="s">
        <v>1822</v>
      </c>
      <c r="F1613" s="76" t="s">
        <v>972</v>
      </c>
      <c r="G1613" s="20" t="s">
        <v>976</v>
      </c>
      <c r="H1613" s="55" t="n">
        <v>10</v>
      </c>
      <c r="I1613" s="76" t="s">
        <v>512</v>
      </c>
      <c r="J1613" s="76" t="n">
        <v>200</v>
      </c>
      <c r="K1613" s="82" t="n">
        <v>1</v>
      </c>
      <c r="L1613" s="55" t="n">
        <v>11</v>
      </c>
      <c r="M1613" s="73" t="n">
        <v>1.2</v>
      </c>
      <c r="N1613" s="74" t="n">
        <f aca="false">K1613*L1613*M1613</f>
        <v>13.2</v>
      </c>
      <c r="O1613" s="41" t="n">
        <f aca="false">IFERROR(INDEX(Исходные!$B$21:$B$33,MATCH(H1613,Исходные!$A$21:$A$33,0)),0)</f>
        <v>0.617</v>
      </c>
      <c r="P1613" s="83" t="n">
        <f aca="false">N1613*O1613</f>
        <v>8.1444</v>
      </c>
      <c r="Q1613" s="20" t="s">
        <v>1444</v>
      </c>
      <c r="R1613" s="84" t="s">
        <v>514</v>
      </c>
      <c r="S1613" s="20"/>
      <c r="T1613" s="20" t="s">
        <v>123</v>
      </c>
      <c r="U1613" s="53" t="n">
        <v>0</v>
      </c>
      <c r="V1613" s="76" t="s">
        <v>975</v>
      </c>
      <c r="W1613" s="53" t="n">
        <v>4</v>
      </c>
    </row>
    <row r="1614" customFormat="false" ht="35.05" hidden="false" customHeight="false" outlineLevel="0" collapsed="false">
      <c r="A1614" s="76" t="n">
        <v>1581</v>
      </c>
      <c r="B1614" s="20" t="s">
        <v>1691</v>
      </c>
      <c r="C1614" s="20" t="s">
        <v>912</v>
      </c>
      <c r="D1614" s="20" t="s">
        <v>963</v>
      </c>
      <c r="E1614" s="20" t="s">
        <v>1822</v>
      </c>
      <c r="F1614" s="76" t="s">
        <v>972</v>
      </c>
      <c r="G1614" s="20" t="s">
        <v>977</v>
      </c>
      <c r="H1614" s="55" t="n">
        <v>10</v>
      </c>
      <c r="I1614" s="76" t="s">
        <v>512</v>
      </c>
      <c r="J1614" s="76" t="n">
        <v>200</v>
      </c>
      <c r="K1614" s="82" t="n">
        <v>1</v>
      </c>
      <c r="L1614" s="55" t="n">
        <v>18</v>
      </c>
      <c r="M1614" s="73" t="n">
        <v>1.2</v>
      </c>
      <c r="N1614" s="74" t="n">
        <f aca="false">K1614*L1614*M1614</f>
        <v>21.6</v>
      </c>
      <c r="O1614" s="41" t="n">
        <f aca="false">IFERROR(INDEX(Исходные!$B$21:$B$33,MATCH(H1614,Исходные!$A$21:$A$33,0)),0)</f>
        <v>0.617</v>
      </c>
      <c r="P1614" s="83" t="n">
        <f aca="false">N1614*O1614</f>
        <v>13.3272</v>
      </c>
      <c r="Q1614" s="20" t="s">
        <v>1444</v>
      </c>
      <c r="R1614" s="84" t="s">
        <v>514</v>
      </c>
      <c r="S1614" s="20"/>
      <c r="T1614" s="20" t="s">
        <v>123</v>
      </c>
      <c r="U1614" s="53" t="n">
        <v>0</v>
      </c>
      <c r="V1614" s="76" t="s">
        <v>975</v>
      </c>
      <c r="W1614" s="53" t="n">
        <v>4</v>
      </c>
    </row>
    <row r="1615" customFormat="false" ht="35.05" hidden="false" customHeight="false" outlineLevel="0" collapsed="false">
      <c r="A1615" s="76" t="n">
        <v>1582</v>
      </c>
      <c r="B1615" s="20" t="s">
        <v>1691</v>
      </c>
      <c r="C1615" s="20" t="s">
        <v>912</v>
      </c>
      <c r="D1615" s="20" t="s">
        <v>963</v>
      </c>
      <c r="E1615" s="20" t="s">
        <v>1822</v>
      </c>
      <c r="F1615" s="76" t="s">
        <v>972</v>
      </c>
      <c r="G1615" s="20" t="s">
        <v>978</v>
      </c>
      <c r="H1615" s="55" t="n">
        <v>12</v>
      </c>
      <c r="I1615" s="76" t="s">
        <v>512</v>
      </c>
      <c r="J1615" s="76" t="n">
        <v>200</v>
      </c>
      <c r="K1615" s="82" t="n">
        <v>1</v>
      </c>
      <c r="L1615" s="55" t="n">
        <v>12</v>
      </c>
      <c r="M1615" s="73" t="n">
        <v>1.4</v>
      </c>
      <c r="N1615" s="74" t="n">
        <f aca="false">K1615*L1615*M1615</f>
        <v>16.8</v>
      </c>
      <c r="O1615" s="41" t="n">
        <f aca="false">IFERROR(INDEX(Исходные!$B$21:$B$33,MATCH(H1615,Исходные!$A$21:$A$33,0)),0)</f>
        <v>0.888</v>
      </c>
      <c r="P1615" s="83" t="n">
        <f aca="false">N1615*O1615</f>
        <v>14.9184</v>
      </c>
      <c r="Q1615" s="20" t="s">
        <v>1444</v>
      </c>
      <c r="R1615" s="84" t="s">
        <v>514</v>
      </c>
      <c r="S1615" s="20"/>
      <c r="T1615" s="20" t="s">
        <v>123</v>
      </c>
      <c r="U1615" s="53" t="n">
        <v>0</v>
      </c>
      <c r="V1615" s="76" t="s">
        <v>975</v>
      </c>
      <c r="W1615" s="53" t="n">
        <v>4</v>
      </c>
    </row>
    <row r="1616" customFormat="false" ht="35.05" hidden="false" customHeight="false" outlineLevel="0" collapsed="false">
      <c r="A1616" s="76" t="n">
        <v>1583</v>
      </c>
      <c r="B1616" s="20" t="s">
        <v>1691</v>
      </c>
      <c r="C1616" s="20" t="s">
        <v>912</v>
      </c>
      <c r="D1616" s="20" t="s">
        <v>963</v>
      </c>
      <c r="E1616" s="20" t="s">
        <v>1822</v>
      </c>
      <c r="F1616" s="76" t="s">
        <v>972</v>
      </c>
      <c r="G1616" s="20" t="s">
        <v>979</v>
      </c>
      <c r="H1616" s="55" t="n">
        <v>10</v>
      </c>
      <c r="I1616" s="76" t="s">
        <v>512</v>
      </c>
      <c r="J1616" s="76" t="n">
        <v>200</v>
      </c>
      <c r="K1616" s="82" t="n">
        <v>1</v>
      </c>
      <c r="L1616" s="55" t="n">
        <v>18</v>
      </c>
      <c r="M1616" s="73" t="n">
        <v>1.4</v>
      </c>
      <c r="N1616" s="74" t="n">
        <f aca="false">K1616*L1616*M1616</f>
        <v>25.2</v>
      </c>
      <c r="O1616" s="41" t="n">
        <f aca="false">IFERROR(INDEX(Исходные!$B$21:$B$33,MATCH(H1616,Исходные!$A$21:$A$33,0)),0)</f>
        <v>0.617</v>
      </c>
      <c r="P1616" s="83" t="n">
        <f aca="false">N1616*O1616</f>
        <v>15.5484</v>
      </c>
      <c r="Q1616" s="20" t="s">
        <v>1444</v>
      </c>
      <c r="R1616" s="84" t="s">
        <v>514</v>
      </c>
      <c r="S1616" s="20"/>
      <c r="T1616" s="20" t="s">
        <v>123</v>
      </c>
      <c r="U1616" s="53" t="n">
        <v>0</v>
      </c>
      <c r="V1616" s="76" t="s">
        <v>975</v>
      </c>
      <c r="W1616" s="53" t="n">
        <v>4</v>
      </c>
    </row>
    <row r="1617" customFormat="false" ht="35.05" hidden="false" customHeight="false" outlineLevel="0" collapsed="false">
      <c r="A1617" s="76" t="n">
        <v>1584</v>
      </c>
      <c r="B1617" s="20" t="s">
        <v>1691</v>
      </c>
      <c r="C1617" s="20" t="s">
        <v>912</v>
      </c>
      <c r="D1617" s="20" t="s">
        <v>963</v>
      </c>
      <c r="E1617" s="20" t="s">
        <v>1822</v>
      </c>
      <c r="F1617" s="76" t="s">
        <v>972</v>
      </c>
      <c r="G1617" s="20" t="s">
        <v>980</v>
      </c>
      <c r="H1617" s="55" t="n">
        <v>12</v>
      </c>
      <c r="I1617" s="76" t="s">
        <v>512</v>
      </c>
      <c r="J1617" s="76" t="n">
        <v>200</v>
      </c>
      <c r="K1617" s="82" t="n">
        <v>1</v>
      </c>
      <c r="L1617" s="55" t="n">
        <v>12</v>
      </c>
      <c r="M1617" s="73" t="n">
        <v>2.2</v>
      </c>
      <c r="N1617" s="74" t="n">
        <f aca="false">K1617*L1617*M1617</f>
        <v>26.4</v>
      </c>
      <c r="O1617" s="41" t="n">
        <f aca="false">IFERROR(INDEX(Исходные!$B$21:$B$33,MATCH(H1617,Исходные!$A$21:$A$33,0)),0)</f>
        <v>0.888</v>
      </c>
      <c r="P1617" s="83" t="n">
        <f aca="false">N1617*O1617</f>
        <v>23.4432</v>
      </c>
      <c r="Q1617" s="20" t="s">
        <v>1444</v>
      </c>
      <c r="R1617" s="84" t="s">
        <v>514</v>
      </c>
      <c r="S1617" s="20"/>
      <c r="T1617" s="20" t="s">
        <v>123</v>
      </c>
      <c r="U1617" s="53" t="n">
        <v>0</v>
      </c>
      <c r="V1617" s="76" t="s">
        <v>975</v>
      </c>
      <c r="W1617" s="53" t="n">
        <v>4</v>
      </c>
    </row>
    <row r="1618" customFormat="false" ht="35.05" hidden="false" customHeight="false" outlineLevel="0" collapsed="false">
      <c r="A1618" s="76" t="n">
        <v>1585</v>
      </c>
      <c r="B1618" s="20" t="s">
        <v>1691</v>
      </c>
      <c r="C1618" s="20" t="s">
        <v>912</v>
      </c>
      <c r="D1618" s="20" t="s">
        <v>963</v>
      </c>
      <c r="E1618" s="20" t="s">
        <v>1822</v>
      </c>
      <c r="F1618" s="76" t="s">
        <v>972</v>
      </c>
      <c r="G1618" s="20" t="s">
        <v>981</v>
      </c>
      <c r="H1618" s="55" t="n">
        <v>10</v>
      </c>
      <c r="I1618" s="76" t="s">
        <v>512</v>
      </c>
      <c r="J1618" s="76" t="n">
        <v>200</v>
      </c>
      <c r="K1618" s="82" t="n">
        <v>1</v>
      </c>
      <c r="L1618" s="55" t="n">
        <v>18</v>
      </c>
      <c r="M1618" s="73" t="n">
        <v>2.2</v>
      </c>
      <c r="N1618" s="74" t="n">
        <f aca="false">K1618*L1618*M1618</f>
        <v>39.6</v>
      </c>
      <c r="O1618" s="41" t="n">
        <f aca="false">IFERROR(INDEX(Исходные!$B$21:$B$33,MATCH(H1618,Исходные!$A$21:$A$33,0)),0)</f>
        <v>0.617</v>
      </c>
      <c r="P1618" s="83" t="n">
        <f aca="false">N1618*O1618</f>
        <v>24.4332</v>
      </c>
      <c r="Q1618" s="20" t="s">
        <v>1444</v>
      </c>
      <c r="R1618" s="84" t="s">
        <v>514</v>
      </c>
      <c r="S1618" s="20"/>
      <c r="T1618" s="20" t="s">
        <v>123</v>
      </c>
      <c r="U1618" s="53" t="n">
        <v>0</v>
      </c>
      <c r="V1618" s="76" t="s">
        <v>975</v>
      </c>
      <c r="W1618" s="53" t="n">
        <v>4</v>
      </c>
    </row>
    <row r="1619" customFormat="false" ht="35.05" hidden="false" customHeight="false" outlineLevel="0" collapsed="false">
      <c r="A1619" s="76" t="n">
        <v>1586</v>
      </c>
      <c r="B1619" s="20" t="s">
        <v>1691</v>
      </c>
      <c r="C1619" s="20" t="s">
        <v>912</v>
      </c>
      <c r="D1619" s="20" t="s">
        <v>963</v>
      </c>
      <c r="E1619" s="20" t="s">
        <v>1822</v>
      </c>
      <c r="F1619" s="76" t="s">
        <v>972</v>
      </c>
      <c r="G1619" s="20" t="s">
        <v>982</v>
      </c>
      <c r="H1619" s="55" t="n">
        <v>10</v>
      </c>
      <c r="I1619" s="76" t="s">
        <v>512</v>
      </c>
      <c r="J1619" s="76" t="n">
        <v>200</v>
      </c>
      <c r="K1619" s="82" t="n">
        <v>1</v>
      </c>
      <c r="L1619" s="55" t="n">
        <v>24</v>
      </c>
      <c r="M1619" s="73" t="n">
        <v>1.2</v>
      </c>
      <c r="N1619" s="74" t="n">
        <f aca="false">K1619*L1619*M1619</f>
        <v>28.8</v>
      </c>
      <c r="O1619" s="41" t="n">
        <f aca="false">IFERROR(INDEX(Исходные!$B$21:$B$33,MATCH(H1619,Исходные!$A$21:$A$33,0)),0)</f>
        <v>0.617</v>
      </c>
      <c r="P1619" s="83" t="n">
        <f aca="false">N1619*O1619</f>
        <v>17.7696</v>
      </c>
      <c r="Q1619" s="20" t="s">
        <v>1444</v>
      </c>
      <c r="R1619" s="84" t="s">
        <v>514</v>
      </c>
      <c r="S1619" s="20"/>
      <c r="T1619" s="20" t="s">
        <v>123</v>
      </c>
      <c r="U1619" s="53" t="n">
        <v>0</v>
      </c>
      <c r="V1619" s="76" t="s">
        <v>975</v>
      </c>
      <c r="W1619" s="53" t="n">
        <v>4</v>
      </c>
    </row>
    <row r="1620" customFormat="false" ht="35.05" hidden="false" customHeight="false" outlineLevel="0" collapsed="false">
      <c r="A1620" s="76" t="n">
        <v>1587</v>
      </c>
      <c r="B1620" s="20" t="s">
        <v>1691</v>
      </c>
      <c r="C1620" s="20" t="s">
        <v>912</v>
      </c>
      <c r="D1620" s="20" t="s">
        <v>963</v>
      </c>
      <c r="E1620" s="20" t="s">
        <v>1822</v>
      </c>
      <c r="F1620" s="76" t="s">
        <v>972</v>
      </c>
      <c r="G1620" s="20" t="s">
        <v>983</v>
      </c>
      <c r="H1620" s="55" t="n">
        <v>10</v>
      </c>
      <c r="I1620" s="76" t="s">
        <v>512</v>
      </c>
      <c r="J1620" s="76" t="n">
        <v>200</v>
      </c>
      <c r="K1620" s="82" t="n">
        <v>1</v>
      </c>
      <c r="L1620" s="55" t="n">
        <v>25</v>
      </c>
      <c r="M1620" s="73" t="n">
        <v>2</v>
      </c>
      <c r="N1620" s="74" t="n">
        <f aca="false">K1620*L1620*M1620</f>
        <v>50</v>
      </c>
      <c r="O1620" s="41" t="n">
        <f aca="false">IFERROR(INDEX(Исходные!$B$21:$B$33,MATCH(H1620,Исходные!$A$21:$A$33,0)),0)</f>
        <v>0.617</v>
      </c>
      <c r="P1620" s="83" t="n">
        <f aca="false">N1620*O1620</f>
        <v>30.85</v>
      </c>
      <c r="Q1620" s="20" t="s">
        <v>1444</v>
      </c>
      <c r="R1620" s="84" t="s">
        <v>514</v>
      </c>
      <c r="S1620" s="20"/>
      <c r="T1620" s="20" t="s">
        <v>123</v>
      </c>
      <c r="U1620" s="53" t="n">
        <v>0</v>
      </c>
      <c r="V1620" s="76" t="s">
        <v>975</v>
      </c>
      <c r="W1620" s="53" t="n">
        <v>4</v>
      </c>
    </row>
    <row r="1621" customFormat="false" ht="35.05" hidden="false" customHeight="false" outlineLevel="0" collapsed="false">
      <c r="A1621" s="76" t="n">
        <v>1588</v>
      </c>
      <c r="B1621" s="20" t="s">
        <v>1691</v>
      </c>
      <c r="C1621" s="20" t="s">
        <v>912</v>
      </c>
      <c r="D1621" s="20" t="s">
        <v>963</v>
      </c>
      <c r="E1621" s="20" t="s">
        <v>1822</v>
      </c>
      <c r="F1621" s="76" t="s">
        <v>972</v>
      </c>
      <c r="G1621" s="20" t="s">
        <v>984</v>
      </c>
      <c r="H1621" s="55" t="n">
        <v>10</v>
      </c>
      <c r="I1621" s="76" t="s">
        <v>512</v>
      </c>
      <c r="J1621" s="76" t="n">
        <v>200</v>
      </c>
      <c r="K1621" s="82" t="n">
        <v>1</v>
      </c>
      <c r="L1621" s="55" t="n">
        <v>25</v>
      </c>
      <c r="M1621" s="73" t="n">
        <v>1.2</v>
      </c>
      <c r="N1621" s="74" t="n">
        <f aca="false">K1621*L1621*M1621</f>
        <v>30</v>
      </c>
      <c r="O1621" s="41" t="n">
        <f aca="false">IFERROR(INDEX(Исходные!$B$21:$B$33,MATCH(H1621,Исходные!$A$21:$A$33,0)),0)</f>
        <v>0.617</v>
      </c>
      <c r="P1621" s="83" t="n">
        <f aca="false">N1621*O1621</f>
        <v>18.51</v>
      </c>
      <c r="Q1621" s="20" t="s">
        <v>1444</v>
      </c>
      <c r="R1621" s="84" t="s">
        <v>514</v>
      </c>
      <c r="S1621" s="20"/>
      <c r="T1621" s="20" t="s">
        <v>123</v>
      </c>
      <c r="U1621" s="53" t="n">
        <v>0</v>
      </c>
      <c r="V1621" s="76" t="s">
        <v>975</v>
      </c>
      <c r="W1621" s="53" t="n">
        <v>4</v>
      </c>
    </row>
    <row r="1622" customFormat="false" ht="35.05" hidden="false" customHeight="false" outlineLevel="0" collapsed="false">
      <c r="A1622" s="76" t="n">
        <v>1589</v>
      </c>
      <c r="B1622" s="20" t="s">
        <v>1691</v>
      </c>
      <c r="C1622" s="20" t="s">
        <v>912</v>
      </c>
      <c r="D1622" s="20" t="s">
        <v>963</v>
      </c>
      <c r="E1622" s="20" t="s">
        <v>1822</v>
      </c>
      <c r="F1622" s="76" t="s">
        <v>972</v>
      </c>
      <c r="G1622" s="20" t="s">
        <v>985</v>
      </c>
      <c r="H1622" s="55" t="n">
        <v>10</v>
      </c>
      <c r="I1622" s="76" t="s">
        <v>512</v>
      </c>
      <c r="J1622" s="76" t="n">
        <v>200</v>
      </c>
      <c r="K1622" s="82" t="n">
        <v>1</v>
      </c>
      <c r="L1622" s="55" t="n">
        <v>17</v>
      </c>
      <c r="M1622" s="73" t="n">
        <v>1.2</v>
      </c>
      <c r="N1622" s="74" t="n">
        <f aca="false">K1622*L1622*M1622</f>
        <v>20.4</v>
      </c>
      <c r="O1622" s="41" t="n">
        <f aca="false">IFERROR(INDEX(Исходные!$B$21:$B$33,MATCH(H1622,Исходные!$A$21:$A$33,0)),0)</f>
        <v>0.617</v>
      </c>
      <c r="P1622" s="83" t="n">
        <f aca="false">N1622*O1622</f>
        <v>12.5868</v>
      </c>
      <c r="Q1622" s="20" t="s">
        <v>1444</v>
      </c>
      <c r="R1622" s="84" t="s">
        <v>514</v>
      </c>
      <c r="S1622" s="20"/>
      <c r="T1622" s="20" t="s">
        <v>123</v>
      </c>
      <c r="U1622" s="53" t="n">
        <v>0</v>
      </c>
      <c r="V1622" s="76" t="s">
        <v>975</v>
      </c>
      <c r="W1622" s="53" t="n">
        <v>4</v>
      </c>
    </row>
    <row r="1623" customFormat="false" ht="35.05" hidden="false" customHeight="false" outlineLevel="0" collapsed="false">
      <c r="A1623" s="76" t="n">
        <v>1590</v>
      </c>
      <c r="B1623" s="20" t="s">
        <v>1691</v>
      </c>
      <c r="C1623" s="20" t="s">
        <v>912</v>
      </c>
      <c r="D1623" s="20" t="s">
        <v>963</v>
      </c>
      <c r="E1623" s="20" t="s">
        <v>1822</v>
      </c>
      <c r="F1623" s="76" t="s">
        <v>972</v>
      </c>
      <c r="G1623" s="20" t="s">
        <v>986</v>
      </c>
      <c r="H1623" s="55" t="n">
        <v>10</v>
      </c>
      <c r="I1623" s="76" t="s">
        <v>512</v>
      </c>
      <c r="J1623" s="76" t="n">
        <v>200</v>
      </c>
      <c r="K1623" s="82" t="n">
        <v>1</v>
      </c>
      <c r="L1623" s="55" t="n">
        <v>36</v>
      </c>
      <c r="M1623" s="73" t="n">
        <v>1.2</v>
      </c>
      <c r="N1623" s="74" t="n">
        <f aca="false">K1623*L1623*M1623</f>
        <v>43.2</v>
      </c>
      <c r="O1623" s="41" t="n">
        <f aca="false">IFERROR(INDEX(Исходные!$B$21:$B$33,MATCH(H1623,Исходные!$A$21:$A$33,0)),0)</f>
        <v>0.617</v>
      </c>
      <c r="P1623" s="83" t="n">
        <f aca="false">N1623*O1623</f>
        <v>26.6544</v>
      </c>
      <c r="Q1623" s="20" t="s">
        <v>1444</v>
      </c>
      <c r="R1623" s="84" t="s">
        <v>514</v>
      </c>
      <c r="S1623" s="20"/>
      <c r="T1623" s="20" t="s">
        <v>123</v>
      </c>
      <c r="U1623" s="53" t="n">
        <v>0</v>
      </c>
      <c r="V1623" s="76" t="s">
        <v>975</v>
      </c>
      <c r="W1623" s="53" t="n">
        <v>4</v>
      </c>
    </row>
    <row r="1624" customFormat="false" ht="35.05" hidden="false" customHeight="false" outlineLevel="0" collapsed="false">
      <c r="A1624" s="76" t="n">
        <v>1591</v>
      </c>
      <c r="B1624" s="20" t="s">
        <v>1691</v>
      </c>
      <c r="C1624" s="20" t="s">
        <v>912</v>
      </c>
      <c r="D1624" s="20" t="s">
        <v>963</v>
      </c>
      <c r="E1624" s="20" t="s">
        <v>1822</v>
      </c>
      <c r="F1624" s="76" t="s">
        <v>972</v>
      </c>
      <c r="G1624" s="20" t="s">
        <v>987</v>
      </c>
      <c r="H1624" s="55" t="n">
        <v>10</v>
      </c>
      <c r="I1624" s="76" t="s">
        <v>512</v>
      </c>
      <c r="J1624" s="76" t="n">
        <v>200</v>
      </c>
      <c r="K1624" s="82" t="n">
        <v>1</v>
      </c>
      <c r="L1624" s="55" t="n">
        <v>15</v>
      </c>
      <c r="M1624" s="73" t="n">
        <v>1.4</v>
      </c>
      <c r="N1624" s="74" t="n">
        <f aca="false">K1624*L1624*M1624</f>
        <v>21</v>
      </c>
      <c r="O1624" s="41" t="n">
        <f aca="false">IFERROR(INDEX(Исходные!$B$21:$B$33,MATCH(H1624,Исходные!$A$21:$A$33,0)),0)</f>
        <v>0.617</v>
      </c>
      <c r="P1624" s="83" t="n">
        <f aca="false">N1624*O1624</f>
        <v>12.957</v>
      </c>
      <c r="Q1624" s="20" t="s">
        <v>1444</v>
      </c>
      <c r="R1624" s="84" t="s">
        <v>514</v>
      </c>
      <c r="S1624" s="20"/>
      <c r="T1624" s="20" t="s">
        <v>123</v>
      </c>
      <c r="U1624" s="53" t="n">
        <v>0</v>
      </c>
      <c r="V1624" s="76" t="s">
        <v>975</v>
      </c>
      <c r="W1624" s="53" t="n">
        <v>4</v>
      </c>
    </row>
    <row r="1625" customFormat="false" ht="35.05" hidden="false" customHeight="false" outlineLevel="0" collapsed="false">
      <c r="A1625" s="76" t="n">
        <v>1592</v>
      </c>
      <c r="B1625" s="20" t="s">
        <v>1691</v>
      </c>
      <c r="C1625" s="20" t="s">
        <v>912</v>
      </c>
      <c r="D1625" s="20" t="s">
        <v>963</v>
      </c>
      <c r="E1625" s="20" t="s">
        <v>1822</v>
      </c>
      <c r="F1625" s="76" t="s">
        <v>972</v>
      </c>
      <c r="G1625" s="20" t="s">
        <v>988</v>
      </c>
      <c r="H1625" s="55" t="n">
        <v>10</v>
      </c>
      <c r="I1625" s="76" t="s">
        <v>512</v>
      </c>
      <c r="J1625" s="76" t="n">
        <v>200</v>
      </c>
      <c r="K1625" s="82" t="n">
        <v>1</v>
      </c>
      <c r="L1625" s="55" t="n">
        <v>17</v>
      </c>
      <c r="M1625" s="73" t="n">
        <v>2.2</v>
      </c>
      <c r="N1625" s="74" t="n">
        <f aca="false">K1625*L1625*M1625</f>
        <v>37.4</v>
      </c>
      <c r="O1625" s="41" t="n">
        <f aca="false">IFERROR(INDEX(Исходные!$B$21:$B$33,MATCH(H1625,Исходные!$A$21:$A$33,0)),0)</f>
        <v>0.617</v>
      </c>
      <c r="P1625" s="83" t="n">
        <f aca="false">N1625*O1625</f>
        <v>23.0758</v>
      </c>
      <c r="Q1625" s="20" t="s">
        <v>1444</v>
      </c>
      <c r="R1625" s="84" t="s">
        <v>514</v>
      </c>
      <c r="S1625" s="20"/>
      <c r="T1625" s="20" t="s">
        <v>123</v>
      </c>
      <c r="U1625" s="53" t="n">
        <v>0</v>
      </c>
      <c r="V1625" s="76" t="s">
        <v>975</v>
      </c>
      <c r="W1625" s="53" t="n">
        <v>4</v>
      </c>
    </row>
    <row r="1626" customFormat="false" ht="35.05" hidden="false" customHeight="false" outlineLevel="0" collapsed="false">
      <c r="A1626" s="76" t="n">
        <v>1593</v>
      </c>
      <c r="B1626" s="20" t="s">
        <v>1691</v>
      </c>
      <c r="C1626" s="20" t="s">
        <v>912</v>
      </c>
      <c r="D1626" s="20" t="s">
        <v>963</v>
      </c>
      <c r="E1626" s="20" t="s">
        <v>1822</v>
      </c>
      <c r="F1626" s="76" t="s">
        <v>972</v>
      </c>
      <c r="G1626" s="20" t="s">
        <v>989</v>
      </c>
      <c r="H1626" s="55" t="n">
        <v>10</v>
      </c>
      <c r="I1626" s="76" t="s">
        <v>512</v>
      </c>
      <c r="J1626" s="76" t="n">
        <v>200</v>
      </c>
      <c r="K1626" s="82" t="n">
        <v>1</v>
      </c>
      <c r="L1626" s="55" t="n">
        <v>29</v>
      </c>
      <c r="M1626" s="73" t="n">
        <v>1.4</v>
      </c>
      <c r="N1626" s="74" t="n">
        <f aca="false">K1626*L1626*M1626</f>
        <v>40.6</v>
      </c>
      <c r="O1626" s="41" t="n">
        <f aca="false">IFERROR(INDEX(Исходные!$B$21:$B$33,MATCH(H1626,Исходные!$A$21:$A$33,0)),0)</f>
        <v>0.617</v>
      </c>
      <c r="P1626" s="83" t="n">
        <f aca="false">N1626*O1626</f>
        <v>25.0502</v>
      </c>
      <c r="Q1626" s="20" t="s">
        <v>1444</v>
      </c>
      <c r="R1626" s="84" t="s">
        <v>514</v>
      </c>
      <c r="S1626" s="20"/>
      <c r="T1626" s="20" t="s">
        <v>123</v>
      </c>
      <c r="U1626" s="53" t="n">
        <v>0</v>
      </c>
      <c r="V1626" s="76" t="s">
        <v>975</v>
      </c>
      <c r="W1626" s="53" t="n">
        <v>4</v>
      </c>
    </row>
    <row r="1627" customFormat="false" ht="35.05" hidden="false" customHeight="false" outlineLevel="0" collapsed="false">
      <c r="A1627" s="76" t="n">
        <v>1594</v>
      </c>
      <c r="B1627" s="20" t="s">
        <v>1691</v>
      </c>
      <c r="C1627" s="20" t="s">
        <v>912</v>
      </c>
      <c r="D1627" s="20" t="s">
        <v>963</v>
      </c>
      <c r="E1627" s="20" t="s">
        <v>1822</v>
      </c>
      <c r="F1627" s="76" t="s">
        <v>972</v>
      </c>
      <c r="G1627" s="20" t="s">
        <v>990</v>
      </c>
      <c r="H1627" s="55" t="n">
        <v>10</v>
      </c>
      <c r="I1627" s="76" t="s">
        <v>512</v>
      </c>
      <c r="J1627" s="76" t="n">
        <v>200</v>
      </c>
      <c r="K1627" s="82" t="n">
        <v>1</v>
      </c>
      <c r="L1627" s="55" t="n">
        <v>62</v>
      </c>
      <c r="M1627" s="73" t="n">
        <v>2.2</v>
      </c>
      <c r="N1627" s="74" t="n">
        <f aca="false">K1627*L1627*M1627</f>
        <v>136.4</v>
      </c>
      <c r="O1627" s="41" t="n">
        <f aca="false">IFERROR(INDEX(Исходные!$B$21:$B$33,MATCH(H1627,Исходные!$A$21:$A$33,0)),0)</f>
        <v>0.617</v>
      </c>
      <c r="P1627" s="83" t="n">
        <f aca="false">N1627*O1627</f>
        <v>84.1588</v>
      </c>
      <c r="Q1627" s="20" t="s">
        <v>1444</v>
      </c>
      <c r="R1627" s="84" t="s">
        <v>514</v>
      </c>
      <c r="S1627" s="20"/>
      <c r="T1627" s="20" t="s">
        <v>123</v>
      </c>
      <c r="U1627" s="53" t="n">
        <v>0</v>
      </c>
      <c r="V1627" s="76" t="s">
        <v>975</v>
      </c>
      <c r="W1627" s="53" t="n">
        <v>4</v>
      </c>
    </row>
    <row r="1628" customFormat="false" ht="35.05" hidden="false" customHeight="false" outlineLevel="0" collapsed="false">
      <c r="A1628" s="76" t="n">
        <v>1595</v>
      </c>
      <c r="B1628" s="20" t="s">
        <v>1691</v>
      </c>
      <c r="C1628" s="20" t="s">
        <v>912</v>
      </c>
      <c r="D1628" s="20" t="s">
        <v>991</v>
      </c>
      <c r="E1628" s="20" t="s">
        <v>1822</v>
      </c>
      <c r="F1628" s="76" t="s">
        <v>972</v>
      </c>
      <c r="G1628" s="20" t="s">
        <v>1445</v>
      </c>
      <c r="H1628" s="55" t="n">
        <v>20</v>
      </c>
      <c r="I1628" s="76" t="s">
        <v>512</v>
      </c>
      <c r="J1628" s="76" t="s">
        <v>164</v>
      </c>
      <c r="K1628" s="82" t="n">
        <v>4</v>
      </c>
      <c r="L1628" s="55" t="n">
        <v>2</v>
      </c>
      <c r="M1628" s="73" t="n">
        <v>3</v>
      </c>
      <c r="N1628" s="74" t="n">
        <f aca="false">K1628*L1628*M1628</f>
        <v>24</v>
      </c>
      <c r="O1628" s="41" t="n">
        <f aca="false">IFERROR(INDEX(Исходные!$B$21:$B$33,MATCH(H1628,Исходные!$A$21:$A$33,0)),0)</f>
        <v>2.466</v>
      </c>
      <c r="P1628" s="83" t="n">
        <f aca="false">N1628*O1628</f>
        <v>59.184</v>
      </c>
      <c r="Q1628" s="20" t="s">
        <v>1670</v>
      </c>
      <c r="R1628" s="84" t="s">
        <v>514</v>
      </c>
      <c r="S1628" s="20"/>
      <c r="T1628" s="20" t="s">
        <v>123</v>
      </c>
      <c r="U1628" s="53" t="n">
        <v>0</v>
      </c>
      <c r="V1628" s="76" t="s">
        <v>975</v>
      </c>
      <c r="W1628" s="53" t="n">
        <v>4</v>
      </c>
    </row>
    <row r="1629" customFormat="false" ht="35.05" hidden="false" customHeight="false" outlineLevel="0" collapsed="false">
      <c r="A1629" s="76" t="n">
        <v>1596</v>
      </c>
      <c r="B1629" s="20" t="s">
        <v>1691</v>
      </c>
      <c r="C1629" s="20" t="s">
        <v>912</v>
      </c>
      <c r="D1629" s="20" t="s">
        <v>1447</v>
      </c>
      <c r="E1629" s="20" t="s">
        <v>1822</v>
      </c>
      <c r="F1629" s="76" t="s">
        <v>972</v>
      </c>
      <c r="G1629" s="20" t="s">
        <v>1448</v>
      </c>
      <c r="H1629" s="55" t="n">
        <v>18</v>
      </c>
      <c r="I1629" s="76" t="s">
        <v>512</v>
      </c>
      <c r="J1629" s="76" t="s">
        <v>164</v>
      </c>
      <c r="K1629" s="82" t="n">
        <v>1</v>
      </c>
      <c r="L1629" s="55" t="n">
        <v>1</v>
      </c>
      <c r="M1629" s="73" t="n">
        <v>3</v>
      </c>
      <c r="N1629" s="74" t="n">
        <f aca="false">K1629*L1629*M1629</f>
        <v>3</v>
      </c>
      <c r="O1629" s="41" t="n">
        <f aca="false">IFERROR(INDEX(Исходные!$B$21:$B$33,MATCH(H1629,Исходные!$A$21:$A$33,0)),0)</f>
        <v>1.998</v>
      </c>
      <c r="P1629" s="83" t="n">
        <f aca="false">N1629*O1629</f>
        <v>5.994</v>
      </c>
      <c r="Q1629" s="20" t="s">
        <v>1449</v>
      </c>
      <c r="R1629" s="84" t="s">
        <v>514</v>
      </c>
      <c r="S1629" s="20"/>
      <c r="T1629" s="20" t="s">
        <v>123</v>
      </c>
      <c r="U1629" s="53" t="n">
        <v>0</v>
      </c>
      <c r="V1629" s="76" t="s">
        <v>975</v>
      </c>
      <c r="W1629" s="53" t="n">
        <v>4</v>
      </c>
    </row>
    <row r="1630" customFormat="false" ht="35.05" hidden="false" customHeight="false" outlineLevel="0" collapsed="false">
      <c r="A1630" s="76" t="n">
        <v>1597</v>
      </c>
      <c r="B1630" s="20" t="s">
        <v>1691</v>
      </c>
      <c r="C1630" s="20" t="s">
        <v>912</v>
      </c>
      <c r="D1630" s="20" t="s">
        <v>1450</v>
      </c>
      <c r="E1630" s="20" t="s">
        <v>1822</v>
      </c>
      <c r="F1630" s="76" t="s">
        <v>972</v>
      </c>
      <c r="G1630" s="20" t="s">
        <v>1451</v>
      </c>
      <c r="H1630" s="55" t="n">
        <v>18</v>
      </c>
      <c r="I1630" s="76" t="s">
        <v>512</v>
      </c>
      <c r="J1630" s="76" t="s">
        <v>164</v>
      </c>
      <c r="K1630" s="82" t="n">
        <v>1</v>
      </c>
      <c r="L1630" s="55" t="n">
        <v>1</v>
      </c>
      <c r="M1630" s="73" t="n">
        <v>1.7</v>
      </c>
      <c r="N1630" s="74" t="n">
        <f aca="false">K1630*L1630*M1630</f>
        <v>1.7</v>
      </c>
      <c r="O1630" s="41" t="n">
        <f aca="false">IFERROR(INDEX(Исходные!$B$21:$B$33,MATCH(H1630,Исходные!$A$21:$A$33,0)),0)</f>
        <v>1.998</v>
      </c>
      <c r="P1630" s="83" t="n">
        <f aca="false">N1630*O1630</f>
        <v>3.3966</v>
      </c>
      <c r="Q1630" s="20" t="s">
        <v>1452</v>
      </c>
      <c r="R1630" s="84" t="s">
        <v>514</v>
      </c>
      <c r="S1630" s="20"/>
      <c r="T1630" s="20" t="s">
        <v>123</v>
      </c>
      <c r="U1630" s="53" t="n">
        <v>0</v>
      </c>
      <c r="V1630" s="76" t="s">
        <v>975</v>
      </c>
      <c r="W1630" s="53" t="n">
        <v>4</v>
      </c>
    </row>
    <row r="1631" customFormat="false" ht="35.05" hidden="false" customHeight="false" outlineLevel="0" collapsed="false">
      <c r="A1631" s="76" t="n">
        <v>1598</v>
      </c>
      <c r="B1631" s="20" t="s">
        <v>1691</v>
      </c>
      <c r="C1631" s="20" t="s">
        <v>912</v>
      </c>
      <c r="D1631" s="20" t="s">
        <v>994</v>
      </c>
      <c r="E1631" s="20" t="s">
        <v>1822</v>
      </c>
      <c r="F1631" s="76" t="s">
        <v>995</v>
      </c>
      <c r="G1631" s="20" t="s">
        <v>996</v>
      </c>
      <c r="H1631" s="55" t="n">
        <v>14</v>
      </c>
      <c r="I1631" s="76" t="s">
        <v>512</v>
      </c>
      <c r="J1631" s="76" t="s">
        <v>164</v>
      </c>
      <c r="K1631" s="82" t="n">
        <v>1</v>
      </c>
      <c r="L1631" s="55" t="n">
        <v>2</v>
      </c>
      <c r="M1631" s="73" t="n">
        <v>25.795</v>
      </c>
      <c r="N1631" s="74" t="n">
        <f aca="false">K1631*L1631*M1631</f>
        <v>51.59</v>
      </c>
      <c r="O1631" s="41" t="n">
        <f aca="false">IFERROR(INDEX(Исходные!$B$21:$B$33,MATCH(H1631,Исходные!$A$21:$A$33,0)),0)</f>
        <v>1.208</v>
      </c>
      <c r="P1631" s="83" t="n">
        <f aca="false">N1631*O1631</f>
        <v>62.32072</v>
      </c>
      <c r="Q1631" s="20" t="s">
        <v>1453</v>
      </c>
      <c r="R1631" s="84" t="s">
        <v>660</v>
      </c>
      <c r="S1631" s="20"/>
      <c r="T1631" s="20" t="s">
        <v>123</v>
      </c>
      <c r="U1631" s="53" t="n">
        <v>0</v>
      </c>
      <c r="V1631" s="76" t="s">
        <v>998</v>
      </c>
      <c r="W1631" s="53" t="n">
        <v>4</v>
      </c>
    </row>
    <row r="1632" customFormat="false" ht="35.05" hidden="false" customHeight="false" outlineLevel="0" collapsed="false">
      <c r="A1632" s="76" t="n">
        <v>1599</v>
      </c>
      <c r="B1632" s="20" t="s">
        <v>1691</v>
      </c>
      <c r="C1632" s="20" t="s">
        <v>912</v>
      </c>
      <c r="D1632" s="20" t="s">
        <v>994</v>
      </c>
      <c r="E1632" s="20" t="s">
        <v>1822</v>
      </c>
      <c r="F1632" s="76" t="s">
        <v>999</v>
      </c>
      <c r="G1632" s="20" t="s">
        <v>1454</v>
      </c>
      <c r="H1632" s="55" t="n">
        <v>14</v>
      </c>
      <c r="I1632" s="76" t="s">
        <v>512</v>
      </c>
      <c r="J1632" s="76" t="s">
        <v>164</v>
      </c>
      <c r="K1632" s="82" t="n">
        <v>2</v>
      </c>
      <c r="L1632" s="55" t="n">
        <v>2</v>
      </c>
      <c r="M1632" s="73" t="n">
        <v>0.56</v>
      </c>
      <c r="N1632" s="74" t="n">
        <f aca="false">K1632*L1632*M1632</f>
        <v>2.24</v>
      </c>
      <c r="O1632" s="41" t="n">
        <f aca="false">IFERROR(INDEX(Исходные!$B$21:$B$33,MATCH(H1632,Исходные!$A$21:$A$33,0)),0)</f>
        <v>1.208</v>
      </c>
      <c r="P1632" s="83" t="n">
        <f aca="false">N1632*O1632</f>
        <v>2.70592</v>
      </c>
      <c r="Q1632" s="20" t="s">
        <v>1001</v>
      </c>
      <c r="R1632" s="84" t="s">
        <v>667</v>
      </c>
      <c r="S1632" s="20" t="s">
        <v>1455</v>
      </c>
      <c r="T1632" s="20" t="s">
        <v>123</v>
      </c>
      <c r="U1632" s="53" t="n">
        <v>0</v>
      </c>
      <c r="V1632" s="76" t="s">
        <v>998</v>
      </c>
      <c r="W1632" s="53" t="n">
        <v>4</v>
      </c>
    </row>
    <row r="1633" customFormat="false" ht="35.05" hidden="false" customHeight="false" outlineLevel="0" collapsed="false">
      <c r="A1633" s="76" t="n">
        <v>1600</v>
      </c>
      <c r="B1633" s="20" t="s">
        <v>1691</v>
      </c>
      <c r="C1633" s="20" t="s">
        <v>912</v>
      </c>
      <c r="D1633" s="20" t="s">
        <v>994</v>
      </c>
      <c r="E1633" s="20" t="s">
        <v>1822</v>
      </c>
      <c r="F1633" s="76" t="s">
        <v>995</v>
      </c>
      <c r="G1633" s="20" t="s">
        <v>1003</v>
      </c>
      <c r="H1633" s="55" t="n">
        <v>14</v>
      </c>
      <c r="I1633" s="76" t="s">
        <v>512</v>
      </c>
      <c r="J1633" s="76" t="s">
        <v>164</v>
      </c>
      <c r="K1633" s="82" t="n">
        <v>1</v>
      </c>
      <c r="L1633" s="55" t="n">
        <v>2</v>
      </c>
      <c r="M1633" s="73" t="n">
        <v>20.495</v>
      </c>
      <c r="N1633" s="74" t="n">
        <f aca="false">K1633*L1633*M1633</f>
        <v>40.99</v>
      </c>
      <c r="O1633" s="41" t="n">
        <f aca="false">IFERROR(INDEX(Исходные!$B$21:$B$33,MATCH(H1633,Исходные!$A$21:$A$33,0)),0)</f>
        <v>1.208</v>
      </c>
      <c r="P1633" s="83" t="n">
        <f aca="false">N1633*O1633</f>
        <v>49.51592</v>
      </c>
      <c r="Q1633" s="20" t="s">
        <v>1004</v>
      </c>
      <c r="R1633" s="84" t="s">
        <v>660</v>
      </c>
      <c r="S1633" s="20"/>
      <c r="T1633" s="20" t="s">
        <v>123</v>
      </c>
      <c r="U1633" s="53" t="n">
        <v>0</v>
      </c>
      <c r="V1633" s="76" t="s">
        <v>998</v>
      </c>
      <c r="W1633" s="53" t="n">
        <v>4</v>
      </c>
    </row>
    <row r="1634" customFormat="false" ht="35.05" hidden="false" customHeight="false" outlineLevel="0" collapsed="false">
      <c r="A1634" s="76" t="n">
        <v>1601</v>
      </c>
      <c r="B1634" s="20" t="s">
        <v>1691</v>
      </c>
      <c r="C1634" s="20" t="s">
        <v>912</v>
      </c>
      <c r="D1634" s="20" t="s">
        <v>994</v>
      </c>
      <c r="E1634" s="20" t="s">
        <v>1822</v>
      </c>
      <c r="F1634" s="76" t="s">
        <v>999</v>
      </c>
      <c r="G1634" s="20" t="s">
        <v>1456</v>
      </c>
      <c r="H1634" s="55" t="n">
        <v>14</v>
      </c>
      <c r="I1634" s="76" t="s">
        <v>512</v>
      </c>
      <c r="J1634" s="76" t="s">
        <v>164</v>
      </c>
      <c r="K1634" s="82" t="n">
        <v>2</v>
      </c>
      <c r="L1634" s="55" t="n">
        <v>1</v>
      </c>
      <c r="M1634" s="73" t="n">
        <v>0.56</v>
      </c>
      <c r="N1634" s="74" t="n">
        <f aca="false">K1634*L1634*M1634</f>
        <v>1.12</v>
      </c>
      <c r="O1634" s="41" t="n">
        <f aca="false">IFERROR(INDEX(Исходные!$B$21:$B$33,MATCH(H1634,Исходные!$A$21:$A$33,0)),0)</f>
        <v>1.208</v>
      </c>
      <c r="P1634" s="83" t="n">
        <f aca="false">N1634*O1634</f>
        <v>1.35296</v>
      </c>
      <c r="Q1634" s="20" t="s">
        <v>1001</v>
      </c>
      <c r="R1634" s="84" t="s">
        <v>667</v>
      </c>
      <c r="S1634" s="20" t="s">
        <v>1457</v>
      </c>
      <c r="T1634" s="20" t="s">
        <v>123</v>
      </c>
      <c r="U1634" s="53" t="n">
        <v>0</v>
      </c>
      <c r="V1634" s="76" t="s">
        <v>998</v>
      </c>
      <c r="W1634" s="53" t="n">
        <v>4</v>
      </c>
    </row>
    <row r="1635" customFormat="false" ht="35.05" hidden="false" customHeight="false" outlineLevel="0" collapsed="false">
      <c r="A1635" s="76" t="n">
        <v>1602</v>
      </c>
      <c r="B1635" s="20" t="s">
        <v>1691</v>
      </c>
      <c r="C1635" s="20" t="s">
        <v>912</v>
      </c>
      <c r="D1635" s="20" t="s">
        <v>994</v>
      </c>
      <c r="E1635" s="20" t="s">
        <v>1822</v>
      </c>
      <c r="F1635" s="76" t="s">
        <v>544</v>
      </c>
      <c r="G1635" s="20" t="s">
        <v>1458</v>
      </c>
      <c r="H1635" s="55" t="n">
        <v>10</v>
      </c>
      <c r="I1635" s="76" t="s">
        <v>546</v>
      </c>
      <c r="J1635" s="76" t="n">
        <v>400</v>
      </c>
      <c r="K1635" s="82" t="n">
        <v>1</v>
      </c>
      <c r="L1635" s="55" t="n">
        <v>119</v>
      </c>
      <c r="M1635" s="73" t="n">
        <v>0.7</v>
      </c>
      <c r="N1635" s="74" t="n">
        <f aca="false">K1635*L1635*M1635</f>
        <v>83.3</v>
      </c>
      <c r="O1635" s="41" t="n">
        <f aca="false">IFERROR(INDEX(Исходные!$B$21:$B$33,MATCH(H1635,Исходные!$A$21:$A$33,0)),0)</f>
        <v>0.617</v>
      </c>
      <c r="P1635" s="83" t="n">
        <f aca="false">N1635*O1635</f>
        <v>51.3961</v>
      </c>
      <c r="Q1635" s="20" t="s">
        <v>1008</v>
      </c>
      <c r="R1635" s="84" t="s">
        <v>514</v>
      </c>
      <c r="S1635" s="20"/>
      <c r="T1635" s="20" t="s">
        <v>123</v>
      </c>
      <c r="U1635" s="53" t="n">
        <v>0</v>
      </c>
      <c r="V1635" s="76" t="s">
        <v>998</v>
      </c>
      <c r="W1635" s="53" t="n">
        <v>4</v>
      </c>
    </row>
    <row r="1636" customFormat="false" ht="35.05" hidden="false" customHeight="false" outlineLevel="0" collapsed="false">
      <c r="A1636" s="76" t="n">
        <v>1603</v>
      </c>
      <c r="B1636" s="20" t="s">
        <v>1691</v>
      </c>
      <c r="C1636" s="20" t="s">
        <v>912</v>
      </c>
      <c r="D1636" s="20" t="s">
        <v>1009</v>
      </c>
      <c r="E1636" s="20" t="s">
        <v>1010</v>
      </c>
      <c r="F1636" s="76" t="s">
        <v>1010</v>
      </c>
      <c r="G1636" s="20" t="s">
        <v>1459</v>
      </c>
      <c r="H1636" s="55" t="n">
        <v>10</v>
      </c>
      <c r="I1636" s="76" t="s">
        <v>546</v>
      </c>
      <c r="J1636" s="76" t="s">
        <v>1012</v>
      </c>
      <c r="K1636" s="82" t="n">
        <v>1</v>
      </c>
      <c r="L1636" s="55" t="n">
        <v>847</v>
      </c>
      <c r="M1636" s="73" t="n">
        <v>0.42</v>
      </c>
      <c r="N1636" s="74" t="n">
        <f aca="false">K1636*L1636*M1636</f>
        <v>355.74</v>
      </c>
      <c r="O1636" s="41" t="n">
        <f aca="false">IFERROR(INDEX(Исходные!$B$21:$B$33,MATCH(H1636,Исходные!$A$21:$A$33,0)),0)</f>
        <v>0.617</v>
      </c>
      <c r="P1636" s="83" t="n">
        <f aca="false">N1636*O1636</f>
        <v>219.49158</v>
      </c>
      <c r="Q1636" s="20" t="s">
        <v>1460</v>
      </c>
      <c r="R1636" s="86" t="s">
        <v>1014</v>
      </c>
      <c r="S1636" s="20"/>
      <c r="T1636" s="20" t="s">
        <v>123</v>
      </c>
      <c r="U1636" s="53" t="n">
        <v>1</v>
      </c>
      <c r="V1636" s="76" t="s">
        <v>1015</v>
      </c>
      <c r="W1636" s="53" t="n">
        <v>4</v>
      </c>
    </row>
    <row r="1637" customFormat="false" ht="35.05" hidden="false" customHeight="false" outlineLevel="0" collapsed="false">
      <c r="A1637" s="76" t="n">
        <v>1604</v>
      </c>
      <c r="B1637" s="20" t="s">
        <v>1691</v>
      </c>
      <c r="C1637" s="20" t="s">
        <v>912</v>
      </c>
      <c r="D1637" s="20" t="s">
        <v>1009</v>
      </c>
      <c r="E1637" s="20" t="s">
        <v>1016</v>
      </c>
      <c r="F1637" s="76" t="s">
        <v>1016</v>
      </c>
      <c r="G1637" s="20" t="s">
        <v>1017</v>
      </c>
      <c r="H1637" s="55" t="n">
        <v>8</v>
      </c>
      <c r="I1637" s="76" t="s">
        <v>546</v>
      </c>
      <c r="J1637" s="76" t="s">
        <v>1018</v>
      </c>
      <c r="K1637" s="82" t="n">
        <v>1</v>
      </c>
      <c r="L1637" s="55" t="n">
        <v>847</v>
      </c>
      <c r="M1637" s="73" t="n">
        <v>0.22</v>
      </c>
      <c r="N1637" s="74" t="n">
        <f aca="false">K1637*L1637*M1637</f>
        <v>186.34</v>
      </c>
      <c r="O1637" s="41" t="n">
        <f aca="false">IFERROR(INDEX(Исходные!$B$21:$B$33,MATCH(H1637,Исходные!$A$21:$A$33,0)),0)</f>
        <v>0.395</v>
      </c>
      <c r="P1637" s="83" t="n">
        <f aca="false">N1637*O1637</f>
        <v>73.6043</v>
      </c>
      <c r="Q1637" s="20" t="s">
        <v>1461</v>
      </c>
      <c r="R1637" s="86" t="s">
        <v>1014</v>
      </c>
      <c r="S1637" s="20"/>
      <c r="T1637" s="20" t="s">
        <v>123</v>
      </c>
      <c r="U1637" s="53" t="n">
        <v>1</v>
      </c>
      <c r="V1637" s="76" t="s">
        <v>1015</v>
      </c>
      <c r="W1637" s="53" t="n">
        <v>4</v>
      </c>
    </row>
    <row r="1638" customFormat="false" ht="15" hidden="false" customHeight="true" outlineLevel="0" collapsed="false">
      <c r="A1638" s="81" t="s">
        <v>1823</v>
      </c>
      <c r="B1638" s="81"/>
      <c r="C1638" s="81"/>
      <c r="D1638" s="81"/>
      <c r="E1638" s="81"/>
      <c r="F1638" s="81"/>
      <c r="G1638" s="81"/>
      <c r="H1638" s="81"/>
      <c r="I1638" s="81"/>
      <c r="J1638" s="81"/>
      <c r="K1638" s="81"/>
      <c r="L1638" s="81"/>
      <c r="M1638" s="81"/>
      <c r="N1638" s="81"/>
      <c r="O1638" s="81"/>
      <c r="P1638" s="81"/>
      <c r="Q1638" s="81"/>
      <c r="R1638" s="81"/>
      <c r="S1638" s="81"/>
      <c r="T1638" s="81"/>
      <c r="U1638" s="81"/>
      <c r="V1638" s="81"/>
      <c r="W1638" s="81"/>
    </row>
    <row r="1639" customFormat="false" ht="35.05" hidden="false" customHeight="false" outlineLevel="0" collapsed="false">
      <c r="A1639" s="76" t="n">
        <v>1605</v>
      </c>
      <c r="B1639" s="20" t="s">
        <v>1691</v>
      </c>
      <c r="C1639" s="20" t="s">
        <v>1021</v>
      </c>
      <c r="D1639" s="20" t="s">
        <v>1022</v>
      </c>
      <c r="E1639" s="20" t="s">
        <v>1023</v>
      </c>
      <c r="F1639" s="76" t="s">
        <v>522</v>
      </c>
      <c r="G1639" s="20" t="s">
        <v>1024</v>
      </c>
      <c r="H1639" s="55" t="n">
        <v>25</v>
      </c>
      <c r="I1639" s="76" t="s">
        <v>512</v>
      </c>
      <c r="J1639" s="76" t="s">
        <v>164</v>
      </c>
      <c r="K1639" s="82" t="n">
        <v>1</v>
      </c>
      <c r="L1639" s="55" t="n">
        <v>4</v>
      </c>
      <c r="M1639" s="73" t="n">
        <v>20.4</v>
      </c>
      <c r="N1639" s="74" t="n">
        <f aca="false">K1639*L1639*M1639</f>
        <v>81.6</v>
      </c>
      <c r="O1639" s="41" t="n">
        <f aca="false">IFERROR(INDEX(Исходные!$B$21:$B$33,MATCH(H1639,Исходные!$A$21:$A$33,0)),0)</f>
        <v>3.853</v>
      </c>
      <c r="P1639" s="83" t="n">
        <f aca="false">N1639*O1639</f>
        <v>314.4048</v>
      </c>
      <c r="Q1639" s="20" t="s">
        <v>1672</v>
      </c>
      <c r="R1639" s="84" t="s">
        <v>660</v>
      </c>
      <c r="S1639" s="20" t="s">
        <v>832</v>
      </c>
      <c r="T1639" s="20" t="s">
        <v>123</v>
      </c>
      <c r="U1639" s="53" t="n">
        <v>0</v>
      </c>
      <c r="V1639" s="76" t="s">
        <v>1026</v>
      </c>
      <c r="W1639" s="53" t="n">
        <v>4</v>
      </c>
    </row>
    <row r="1640" customFormat="false" ht="35.05" hidden="false" customHeight="false" outlineLevel="0" collapsed="false">
      <c r="A1640" s="76" t="n">
        <v>1606</v>
      </c>
      <c r="B1640" s="20" t="s">
        <v>1691</v>
      </c>
      <c r="C1640" s="20" t="s">
        <v>1021</v>
      </c>
      <c r="D1640" s="20" t="s">
        <v>1027</v>
      </c>
      <c r="E1640" s="20" t="s">
        <v>1023</v>
      </c>
      <c r="F1640" s="76" t="s">
        <v>522</v>
      </c>
      <c r="G1640" s="20" t="s">
        <v>1028</v>
      </c>
      <c r="H1640" s="55" t="n">
        <v>25</v>
      </c>
      <c r="I1640" s="76" t="s">
        <v>512</v>
      </c>
      <c r="J1640" s="76" t="s">
        <v>164</v>
      </c>
      <c r="K1640" s="82" t="n">
        <v>1</v>
      </c>
      <c r="L1640" s="55" t="n">
        <v>4</v>
      </c>
      <c r="M1640" s="73" t="n">
        <v>20.4</v>
      </c>
      <c r="N1640" s="74" t="n">
        <f aca="false">K1640*L1640*M1640</f>
        <v>81.6</v>
      </c>
      <c r="O1640" s="41" t="n">
        <f aca="false">IFERROR(INDEX(Исходные!$B$21:$B$33,MATCH(H1640,Исходные!$A$21:$A$33,0)),0)</f>
        <v>3.853</v>
      </c>
      <c r="P1640" s="83" t="n">
        <f aca="false">N1640*O1640</f>
        <v>314.4048</v>
      </c>
      <c r="Q1640" s="20" t="s">
        <v>1672</v>
      </c>
      <c r="R1640" s="84" t="s">
        <v>660</v>
      </c>
      <c r="S1640" s="20" t="s">
        <v>832</v>
      </c>
      <c r="T1640" s="20" t="s">
        <v>123</v>
      </c>
      <c r="U1640" s="53" t="n">
        <v>0</v>
      </c>
      <c r="V1640" s="76" t="s">
        <v>1026</v>
      </c>
      <c r="W1640" s="53" t="n">
        <v>4</v>
      </c>
    </row>
    <row r="1641" customFormat="false" ht="35.05" hidden="false" customHeight="false" outlineLevel="0" collapsed="false">
      <c r="A1641" s="76" t="n">
        <v>1607</v>
      </c>
      <c r="B1641" s="20" t="s">
        <v>1691</v>
      </c>
      <c r="C1641" s="20" t="s">
        <v>1021</v>
      </c>
      <c r="D1641" s="20" t="s">
        <v>1029</v>
      </c>
      <c r="E1641" s="20" t="s">
        <v>1023</v>
      </c>
      <c r="F1641" s="76" t="s">
        <v>522</v>
      </c>
      <c r="G1641" s="20" t="s">
        <v>1030</v>
      </c>
      <c r="H1641" s="55" t="n">
        <v>25</v>
      </c>
      <c r="I1641" s="76" t="s">
        <v>512</v>
      </c>
      <c r="J1641" s="76" t="s">
        <v>164</v>
      </c>
      <c r="K1641" s="82" t="n">
        <v>1</v>
      </c>
      <c r="L1641" s="55" t="n">
        <v>4</v>
      </c>
      <c r="M1641" s="73" t="n">
        <v>13.9</v>
      </c>
      <c r="N1641" s="74" t="n">
        <f aca="false">K1641*L1641*M1641</f>
        <v>55.6</v>
      </c>
      <c r="O1641" s="41" t="n">
        <f aca="false">IFERROR(INDEX(Исходные!$B$21:$B$33,MATCH(H1641,Исходные!$A$21:$A$33,0)),0)</f>
        <v>3.853</v>
      </c>
      <c r="P1641" s="83" t="n">
        <f aca="false">N1641*O1641</f>
        <v>214.2268</v>
      </c>
      <c r="Q1641" s="20" t="s">
        <v>1672</v>
      </c>
      <c r="R1641" s="84" t="s">
        <v>660</v>
      </c>
      <c r="S1641" s="20" t="s">
        <v>832</v>
      </c>
      <c r="T1641" s="20" t="s">
        <v>123</v>
      </c>
      <c r="U1641" s="53" t="n">
        <v>0</v>
      </c>
      <c r="V1641" s="76" t="s">
        <v>1026</v>
      </c>
      <c r="W1641" s="53" t="n">
        <v>4</v>
      </c>
    </row>
    <row r="1642" customFormat="false" ht="35.05" hidden="false" customHeight="false" outlineLevel="0" collapsed="false">
      <c r="A1642" s="76" t="n">
        <v>1608</v>
      </c>
      <c r="B1642" s="20" t="s">
        <v>1691</v>
      </c>
      <c r="C1642" s="20" t="s">
        <v>1021</v>
      </c>
      <c r="D1642" s="20" t="s">
        <v>1031</v>
      </c>
      <c r="E1642" s="20" t="s">
        <v>1023</v>
      </c>
      <c r="F1642" s="76" t="s">
        <v>522</v>
      </c>
      <c r="G1642" s="20" t="s">
        <v>1032</v>
      </c>
      <c r="H1642" s="55" t="n">
        <v>25</v>
      </c>
      <c r="I1642" s="76" t="s">
        <v>512</v>
      </c>
      <c r="J1642" s="76" t="s">
        <v>164</v>
      </c>
      <c r="K1642" s="82" t="n">
        <v>1</v>
      </c>
      <c r="L1642" s="55" t="n">
        <v>4</v>
      </c>
      <c r="M1642" s="73" t="n">
        <v>20.4</v>
      </c>
      <c r="N1642" s="74" t="n">
        <f aca="false">K1642*L1642*M1642</f>
        <v>81.6</v>
      </c>
      <c r="O1642" s="41" t="n">
        <f aca="false">IFERROR(INDEX(Исходные!$B$21:$B$33,MATCH(H1642,Исходные!$A$21:$A$33,0)),0)</f>
        <v>3.853</v>
      </c>
      <c r="P1642" s="83" t="n">
        <f aca="false">N1642*O1642</f>
        <v>314.4048</v>
      </c>
      <c r="Q1642" s="20" t="s">
        <v>1672</v>
      </c>
      <c r="R1642" s="84" t="s">
        <v>660</v>
      </c>
      <c r="S1642" s="20" t="s">
        <v>832</v>
      </c>
      <c r="T1642" s="20" t="s">
        <v>123</v>
      </c>
      <c r="U1642" s="53" t="n">
        <v>0</v>
      </c>
      <c r="V1642" s="76" t="s">
        <v>1026</v>
      </c>
      <c r="W1642" s="53" t="n">
        <v>4</v>
      </c>
    </row>
    <row r="1643" customFormat="false" ht="35.05" hidden="false" customHeight="false" outlineLevel="0" collapsed="false">
      <c r="A1643" s="76" t="n">
        <v>1609</v>
      </c>
      <c r="B1643" s="20" t="s">
        <v>1691</v>
      </c>
      <c r="C1643" s="20" t="s">
        <v>1021</v>
      </c>
      <c r="D1643" s="20" t="s">
        <v>1033</v>
      </c>
      <c r="E1643" s="20" t="s">
        <v>1023</v>
      </c>
      <c r="F1643" s="76" t="s">
        <v>522</v>
      </c>
      <c r="G1643" s="20" t="s">
        <v>1034</v>
      </c>
      <c r="H1643" s="55" t="n">
        <v>25</v>
      </c>
      <c r="I1643" s="76" t="s">
        <v>512</v>
      </c>
      <c r="J1643" s="76" t="s">
        <v>164</v>
      </c>
      <c r="K1643" s="82" t="n">
        <v>1</v>
      </c>
      <c r="L1643" s="55" t="n">
        <v>4</v>
      </c>
      <c r="M1643" s="73" t="n">
        <v>25.4</v>
      </c>
      <c r="N1643" s="74" t="n">
        <f aca="false">K1643*L1643*M1643</f>
        <v>101.6</v>
      </c>
      <c r="O1643" s="41" t="n">
        <f aca="false">IFERROR(INDEX(Исходные!$B$21:$B$33,MATCH(H1643,Исходные!$A$21:$A$33,0)),0)</f>
        <v>3.853</v>
      </c>
      <c r="P1643" s="83" t="n">
        <f aca="false">N1643*O1643</f>
        <v>391.4648</v>
      </c>
      <c r="Q1643" s="20" t="s">
        <v>1672</v>
      </c>
      <c r="R1643" s="84" t="s">
        <v>660</v>
      </c>
      <c r="S1643" s="20" t="s">
        <v>661</v>
      </c>
      <c r="T1643" s="20" t="s">
        <v>123</v>
      </c>
      <c r="U1643" s="53" t="n">
        <v>0</v>
      </c>
      <c r="V1643" s="76" t="s">
        <v>1026</v>
      </c>
      <c r="W1643" s="53" t="n">
        <v>4</v>
      </c>
    </row>
    <row r="1644" customFormat="false" ht="35.05" hidden="false" customHeight="false" outlineLevel="0" collapsed="false">
      <c r="A1644" s="76" t="n">
        <v>1610</v>
      </c>
      <c r="B1644" s="20" t="s">
        <v>1691</v>
      </c>
      <c r="C1644" s="20" t="s">
        <v>1021</v>
      </c>
      <c r="D1644" s="20" t="s">
        <v>1035</v>
      </c>
      <c r="E1644" s="20" t="s">
        <v>1023</v>
      </c>
      <c r="F1644" s="76" t="s">
        <v>522</v>
      </c>
      <c r="G1644" s="20" t="s">
        <v>1036</v>
      </c>
      <c r="H1644" s="55" t="n">
        <v>25</v>
      </c>
      <c r="I1644" s="76" t="s">
        <v>512</v>
      </c>
      <c r="J1644" s="76" t="s">
        <v>164</v>
      </c>
      <c r="K1644" s="82" t="n">
        <v>1</v>
      </c>
      <c r="L1644" s="55" t="n">
        <v>4</v>
      </c>
      <c r="M1644" s="73" t="n">
        <v>25.4</v>
      </c>
      <c r="N1644" s="74" t="n">
        <f aca="false">K1644*L1644*M1644</f>
        <v>101.6</v>
      </c>
      <c r="O1644" s="41" t="n">
        <f aca="false">IFERROR(INDEX(Исходные!$B$21:$B$33,MATCH(H1644,Исходные!$A$21:$A$33,0)),0)</f>
        <v>3.853</v>
      </c>
      <c r="P1644" s="83" t="n">
        <f aca="false">N1644*O1644</f>
        <v>391.4648</v>
      </c>
      <c r="Q1644" s="20" t="s">
        <v>1672</v>
      </c>
      <c r="R1644" s="84" t="s">
        <v>660</v>
      </c>
      <c r="S1644" s="20" t="s">
        <v>661</v>
      </c>
      <c r="T1644" s="20" t="s">
        <v>123</v>
      </c>
      <c r="U1644" s="53" t="n">
        <v>0</v>
      </c>
      <c r="V1644" s="76" t="s">
        <v>1026</v>
      </c>
      <c r="W1644" s="53" t="n">
        <v>4</v>
      </c>
    </row>
    <row r="1645" customFormat="false" ht="35.05" hidden="false" customHeight="false" outlineLevel="0" collapsed="false">
      <c r="A1645" s="76" t="n">
        <v>1611</v>
      </c>
      <c r="B1645" s="20" t="s">
        <v>1691</v>
      </c>
      <c r="C1645" s="20" t="s">
        <v>1021</v>
      </c>
      <c r="D1645" s="20" t="s">
        <v>1037</v>
      </c>
      <c r="E1645" s="20" t="s">
        <v>1023</v>
      </c>
      <c r="F1645" s="76" t="s">
        <v>522</v>
      </c>
      <c r="G1645" s="20" t="s">
        <v>1038</v>
      </c>
      <c r="H1645" s="55" t="n">
        <v>25</v>
      </c>
      <c r="I1645" s="76" t="s">
        <v>512</v>
      </c>
      <c r="J1645" s="76" t="s">
        <v>164</v>
      </c>
      <c r="K1645" s="82" t="n">
        <v>1</v>
      </c>
      <c r="L1645" s="55" t="n">
        <v>4</v>
      </c>
      <c r="M1645" s="73" t="n">
        <v>13.9</v>
      </c>
      <c r="N1645" s="74" t="n">
        <f aca="false">K1645*L1645*M1645</f>
        <v>55.6</v>
      </c>
      <c r="O1645" s="41" t="n">
        <f aca="false">IFERROR(INDEX(Исходные!$B$21:$B$33,MATCH(H1645,Исходные!$A$21:$A$33,0)),0)</f>
        <v>3.853</v>
      </c>
      <c r="P1645" s="83" t="n">
        <f aca="false">N1645*O1645</f>
        <v>214.2268</v>
      </c>
      <c r="Q1645" s="20" t="s">
        <v>1672</v>
      </c>
      <c r="R1645" s="84" t="s">
        <v>660</v>
      </c>
      <c r="S1645" s="20" t="s">
        <v>832</v>
      </c>
      <c r="T1645" s="20" t="s">
        <v>123</v>
      </c>
      <c r="U1645" s="53" t="n">
        <v>0</v>
      </c>
      <c r="V1645" s="76" t="s">
        <v>1026</v>
      </c>
      <c r="W1645" s="53" t="n">
        <v>4</v>
      </c>
    </row>
    <row r="1646" customFormat="false" ht="35.05" hidden="false" customHeight="false" outlineLevel="0" collapsed="false">
      <c r="A1646" s="76" t="n">
        <v>1612</v>
      </c>
      <c r="B1646" s="20" t="s">
        <v>1691</v>
      </c>
      <c r="C1646" s="20" t="s">
        <v>1021</v>
      </c>
      <c r="D1646" s="20" t="s">
        <v>1039</v>
      </c>
      <c r="E1646" s="20" t="s">
        <v>1040</v>
      </c>
      <c r="F1646" s="76" t="s">
        <v>522</v>
      </c>
      <c r="G1646" s="20" t="s">
        <v>1041</v>
      </c>
      <c r="H1646" s="55" t="n">
        <v>25</v>
      </c>
      <c r="I1646" s="76" t="s">
        <v>512</v>
      </c>
      <c r="J1646" s="76" t="s">
        <v>164</v>
      </c>
      <c r="K1646" s="82" t="n">
        <v>1</v>
      </c>
      <c r="L1646" s="55" t="n">
        <v>4</v>
      </c>
      <c r="M1646" s="73" t="n">
        <v>11.9</v>
      </c>
      <c r="N1646" s="74" t="n">
        <f aca="false">K1646*L1646*M1646</f>
        <v>47.6</v>
      </c>
      <c r="O1646" s="41" t="n">
        <f aca="false">IFERROR(INDEX(Исходные!$B$21:$B$33,MATCH(H1646,Исходные!$A$21:$A$33,0)),0)</f>
        <v>3.853</v>
      </c>
      <c r="P1646" s="83" t="n">
        <f aca="false">N1646*O1646</f>
        <v>183.4028</v>
      </c>
      <c r="Q1646" s="20" t="s">
        <v>1673</v>
      </c>
      <c r="R1646" s="84" t="s">
        <v>660</v>
      </c>
      <c r="S1646" s="20" t="s">
        <v>832</v>
      </c>
      <c r="T1646" s="20" t="s">
        <v>123</v>
      </c>
      <c r="U1646" s="53" t="n">
        <v>0</v>
      </c>
      <c r="V1646" s="76" t="s">
        <v>1026</v>
      </c>
      <c r="W1646" s="53" t="n">
        <v>4</v>
      </c>
    </row>
    <row r="1647" customFormat="false" ht="35.05" hidden="false" customHeight="false" outlineLevel="0" collapsed="false">
      <c r="A1647" s="76" t="n">
        <v>1613</v>
      </c>
      <c r="B1647" s="20" t="s">
        <v>1691</v>
      </c>
      <c r="C1647" s="20" t="s">
        <v>1021</v>
      </c>
      <c r="D1647" s="20" t="s">
        <v>1043</v>
      </c>
      <c r="E1647" s="20" t="s">
        <v>1044</v>
      </c>
      <c r="F1647" s="76" t="s">
        <v>522</v>
      </c>
      <c r="G1647" s="20" t="s">
        <v>1045</v>
      </c>
      <c r="H1647" s="55" t="n">
        <v>25</v>
      </c>
      <c r="I1647" s="76" t="s">
        <v>512</v>
      </c>
      <c r="J1647" s="76" t="s">
        <v>164</v>
      </c>
      <c r="K1647" s="82" t="n">
        <v>1</v>
      </c>
      <c r="L1647" s="55" t="n">
        <v>4</v>
      </c>
      <c r="M1647" s="73" t="n">
        <v>3.785</v>
      </c>
      <c r="N1647" s="74" t="n">
        <f aca="false">K1647*L1647*M1647</f>
        <v>15.14</v>
      </c>
      <c r="O1647" s="41" t="n">
        <f aca="false">IFERROR(INDEX(Исходные!$B$21:$B$33,MATCH(H1647,Исходные!$A$21:$A$33,0)),0)</f>
        <v>3.853</v>
      </c>
      <c r="P1647" s="83" t="n">
        <f aca="false">N1647*O1647</f>
        <v>58.33442</v>
      </c>
      <c r="Q1647" s="20" t="s">
        <v>1674</v>
      </c>
      <c r="R1647" s="84" t="s">
        <v>660</v>
      </c>
      <c r="S1647" s="20"/>
      <c r="T1647" s="20" t="s">
        <v>123</v>
      </c>
      <c r="U1647" s="53" t="n">
        <v>0</v>
      </c>
      <c r="V1647" s="76" t="s">
        <v>1026</v>
      </c>
      <c r="W1647" s="53" t="n">
        <v>4</v>
      </c>
    </row>
    <row r="1648" customFormat="false" ht="35.05" hidden="false" customHeight="false" outlineLevel="0" collapsed="false">
      <c r="A1648" s="76" t="n">
        <v>1614</v>
      </c>
      <c r="B1648" s="20" t="s">
        <v>1691</v>
      </c>
      <c r="C1648" s="20" t="s">
        <v>1021</v>
      </c>
      <c r="D1648" s="20" t="s">
        <v>1047</v>
      </c>
      <c r="E1648" s="20" t="s">
        <v>1044</v>
      </c>
      <c r="F1648" s="76" t="s">
        <v>522</v>
      </c>
      <c r="G1648" s="20" t="s">
        <v>1048</v>
      </c>
      <c r="H1648" s="55" t="n">
        <v>25</v>
      </c>
      <c r="I1648" s="76" t="s">
        <v>512</v>
      </c>
      <c r="J1648" s="76" t="s">
        <v>164</v>
      </c>
      <c r="K1648" s="82" t="n">
        <v>1</v>
      </c>
      <c r="L1648" s="55" t="n">
        <v>4</v>
      </c>
      <c r="M1648" s="73" t="n">
        <v>3.365</v>
      </c>
      <c r="N1648" s="74" t="n">
        <f aca="false">K1648*L1648*M1648</f>
        <v>13.46</v>
      </c>
      <c r="O1648" s="41" t="n">
        <f aca="false">IFERROR(INDEX(Исходные!$B$21:$B$33,MATCH(H1648,Исходные!$A$21:$A$33,0)),0)</f>
        <v>3.853</v>
      </c>
      <c r="P1648" s="83" t="n">
        <f aca="false">N1648*O1648</f>
        <v>51.86138</v>
      </c>
      <c r="Q1648" s="20" t="s">
        <v>1674</v>
      </c>
      <c r="R1648" s="84" t="s">
        <v>660</v>
      </c>
      <c r="S1648" s="20"/>
      <c r="T1648" s="20" t="s">
        <v>123</v>
      </c>
      <c r="U1648" s="53" t="n">
        <v>0</v>
      </c>
      <c r="V1648" s="76" t="s">
        <v>1026</v>
      </c>
      <c r="W1648" s="53" t="n">
        <v>4</v>
      </c>
    </row>
    <row r="1649" customFormat="false" ht="35.05" hidden="false" customHeight="false" outlineLevel="0" collapsed="false">
      <c r="A1649" s="76" t="n">
        <v>1615</v>
      </c>
      <c r="B1649" s="20" t="s">
        <v>1691</v>
      </c>
      <c r="C1649" s="20" t="s">
        <v>1021</v>
      </c>
      <c r="D1649" s="20" t="s">
        <v>1049</v>
      </c>
      <c r="E1649" s="20" t="s">
        <v>1050</v>
      </c>
      <c r="F1649" s="76" t="s">
        <v>516</v>
      </c>
      <c r="G1649" s="20" t="s">
        <v>1051</v>
      </c>
      <c r="H1649" s="55" t="n">
        <v>20</v>
      </c>
      <c r="I1649" s="76" t="s">
        <v>512</v>
      </c>
      <c r="J1649" s="76" t="s">
        <v>164</v>
      </c>
      <c r="K1649" s="82" t="n">
        <v>1</v>
      </c>
      <c r="L1649" s="55" t="n">
        <v>4</v>
      </c>
      <c r="M1649" s="73" t="n">
        <v>3.05</v>
      </c>
      <c r="N1649" s="74" t="n">
        <f aca="false">K1649*L1649*M1649</f>
        <v>12.2</v>
      </c>
      <c r="O1649" s="41" t="n">
        <f aca="false">IFERROR(INDEX(Исходные!$B$21:$B$33,MATCH(H1649,Исходные!$A$21:$A$33,0)),0)</f>
        <v>2.466</v>
      </c>
      <c r="P1649" s="83" t="n">
        <f aca="false">N1649*O1649</f>
        <v>30.0852</v>
      </c>
      <c r="Q1649" s="20" t="s">
        <v>1675</v>
      </c>
      <c r="R1649" s="84" t="s">
        <v>660</v>
      </c>
      <c r="S1649" s="20"/>
      <c r="T1649" s="20" t="s">
        <v>123</v>
      </c>
      <c r="U1649" s="53" t="n">
        <v>0</v>
      </c>
      <c r="V1649" s="76" t="s">
        <v>1026</v>
      </c>
      <c r="W1649" s="53" t="n">
        <v>4</v>
      </c>
    </row>
    <row r="1650" customFormat="false" ht="35.05" hidden="false" customHeight="false" outlineLevel="0" collapsed="false">
      <c r="A1650" s="76" t="n">
        <v>1616</v>
      </c>
      <c r="B1650" s="20" t="s">
        <v>1691</v>
      </c>
      <c r="C1650" s="20" t="s">
        <v>1021</v>
      </c>
      <c r="D1650" s="20" t="s">
        <v>1053</v>
      </c>
      <c r="E1650" s="20" t="s">
        <v>1050</v>
      </c>
      <c r="F1650" s="76" t="s">
        <v>516</v>
      </c>
      <c r="G1650" s="20" t="s">
        <v>1054</v>
      </c>
      <c r="H1650" s="55" t="n">
        <v>20</v>
      </c>
      <c r="I1650" s="76" t="s">
        <v>512</v>
      </c>
      <c r="J1650" s="76" t="s">
        <v>164</v>
      </c>
      <c r="K1650" s="82" t="n">
        <v>1</v>
      </c>
      <c r="L1650" s="55" t="n">
        <v>4</v>
      </c>
      <c r="M1650" s="73" t="n">
        <v>3.785</v>
      </c>
      <c r="N1650" s="74" t="n">
        <f aca="false">K1650*L1650*M1650</f>
        <v>15.14</v>
      </c>
      <c r="O1650" s="41" t="n">
        <f aca="false">IFERROR(INDEX(Исходные!$B$21:$B$33,MATCH(H1650,Исходные!$A$21:$A$33,0)),0)</f>
        <v>2.466</v>
      </c>
      <c r="P1650" s="83" t="n">
        <f aca="false">N1650*O1650</f>
        <v>37.33524</v>
      </c>
      <c r="Q1650" s="20" t="s">
        <v>1675</v>
      </c>
      <c r="R1650" s="84" t="s">
        <v>660</v>
      </c>
      <c r="S1650" s="20"/>
      <c r="T1650" s="20" t="s">
        <v>123</v>
      </c>
      <c r="U1650" s="53" t="n">
        <v>0</v>
      </c>
      <c r="V1650" s="76" t="s">
        <v>1026</v>
      </c>
      <c r="W1650" s="53" t="n">
        <v>4</v>
      </c>
    </row>
    <row r="1651" customFormat="false" ht="35.05" hidden="false" customHeight="false" outlineLevel="0" collapsed="false">
      <c r="A1651" s="76" t="n">
        <v>1617</v>
      </c>
      <c r="B1651" s="20" t="s">
        <v>1691</v>
      </c>
      <c r="C1651" s="20" t="s">
        <v>1021</v>
      </c>
      <c r="D1651" s="20" t="s">
        <v>1055</v>
      </c>
      <c r="E1651" s="20" t="s">
        <v>1050</v>
      </c>
      <c r="F1651" s="76" t="s">
        <v>516</v>
      </c>
      <c r="G1651" s="20" t="s">
        <v>1056</v>
      </c>
      <c r="H1651" s="55" t="n">
        <v>20</v>
      </c>
      <c r="I1651" s="76" t="s">
        <v>512</v>
      </c>
      <c r="J1651" s="76" t="s">
        <v>164</v>
      </c>
      <c r="K1651" s="82" t="n">
        <v>1</v>
      </c>
      <c r="L1651" s="55" t="n">
        <v>4</v>
      </c>
      <c r="M1651" s="73" t="n">
        <v>4.1</v>
      </c>
      <c r="N1651" s="74" t="n">
        <f aca="false">K1651*L1651*M1651</f>
        <v>16.4</v>
      </c>
      <c r="O1651" s="41" t="n">
        <f aca="false">IFERROR(INDEX(Исходные!$B$21:$B$33,MATCH(H1651,Исходные!$A$21:$A$33,0)),0)</f>
        <v>2.466</v>
      </c>
      <c r="P1651" s="83" t="n">
        <f aca="false">N1651*O1651</f>
        <v>40.4424</v>
      </c>
      <c r="Q1651" s="20" t="s">
        <v>1675</v>
      </c>
      <c r="R1651" s="84" t="s">
        <v>660</v>
      </c>
      <c r="S1651" s="20"/>
      <c r="T1651" s="20" t="s">
        <v>123</v>
      </c>
      <c r="U1651" s="53" t="n">
        <v>0</v>
      </c>
      <c r="V1651" s="76" t="s">
        <v>1026</v>
      </c>
      <c r="W1651" s="53" t="n">
        <v>4</v>
      </c>
    </row>
    <row r="1652" customFormat="false" ht="35.05" hidden="false" customHeight="false" outlineLevel="0" collapsed="false">
      <c r="A1652" s="76" t="n">
        <v>1618</v>
      </c>
      <c r="B1652" s="20" t="s">
        <v>1691</v>
      </c>
      <c r="C1652" s="20" t="s">
        <v>1021</v>
      </c>
      <c r="D1652" s="20" t="s">
        <v>1057</v>
      </c>
      <c r="E1652" s="20" t="s">
        <v>1050</v>
      </c>
      <c r="F1652" s="76" t="s">
        <v>516</v>
      </c>
      <c r="G1652" s="20" t="s">
        <v>1058</v>
      </c>
      <c r="H1652" s="55" t="n">
        <v>20</v>
      </c>
      <c r="I1652" s="76" t="s">
        <v>512</v>
      </c>
      <c r="J1652" s="76" t="s">
        <v>164</v>
      </c>
      <c r="K1652" s="82" t="n">
        <v>1</v>
      </c>
      <c r="L1652" s="55" t="n">
        <v>4</v>
      </c>
      <c r="M1652" s="73" t="n">
        <v>3.325</v>
      </c>
      <c r="N1652" s="74" t="n">
        <f aca="false">K1652*L1652*M1652</f>
        <v>13.3</v>
      </c>
      <c r="O1652" s="41" t="n">
        <f aca="false">IFERROR(INDEX(Исходные!$B$21:$B$33,MATCH(H1652,Исходные!$A$21:$A$33,0)),0)</f>
        <v>2.466</v>
      </c>
      <c r="P1652" s="83" t="n">
        <f aca="false">N1652*O1652</f>
        <v>32.7978</v>
      </c>
      <c r="Q1652" s="20" t="s">
        <v>1675</v>
      </c>
      <c r="R1652" s="84" t="s">
        <v>660</v>
      </c>
      <c r="S1652" s="20"/>
      <c r="T1652" s="20" t="s">
        <v>123</v>
      </c>
      <c r="U1652" s="53" t="n">
        <v>0</v>
      </c>
      <c r="V1652" s="76" t="s">
        <v>1026</v>
      </c>
      <c r="W1652" s="53" t="n">
        <v>4</v>
      </c>
    </row>
    <row r="1653" customFormat="false" ht="46.25" hidden="false" customHeight="false" outlineLevel="0" collapsed="false">
      <c r="A1653" s="76" t="n">
        <v>1619</v>
      </c>
      <c r="B1653" s="20" t="s">
        <v>1691</v>
      </c>
      <c r="C1653" s="20" t="s">
        <v>1021</v>
      </c>
      <c r="D1653" s="20" t="s">
        <v>1676</v>
      </c>
      <c r="E1653" s="20" t="s">
        <v>1050</v>
      </c>
      <c r="F1653" s="76" t="s">
        <v>516</v>
      </c>
      <c r="G1653" s="20" t="s">
        <v>1468</v>
      </c>
      <c r="H1653" s="55" t="n">
        <v>20</v>
      </c>
      <c r="I1653" s="76" t="s">
        <v>512</v>
      </c>
      <c r="J1653" s="76" t="s">
        <v>164</v>
      </c>
      <c r="K1653" s="82" t="n">
        <v>1</v>
      </c>
      <c r="L1653" s="55" t="n">
        <v>4</v>
      </c>
      <c r="M1653" s="73" t="n">
        <v>3.78</v>
      </c>
      <c r="N1653" s="74" t="n">
        <f aca="false">K1653*L1653*M1653</f>
        <v>15.12</v>
      </c>
      <c r="O1653" s="41" t="n">
        <f aca="false">IFERROR(INDEX(Исходные!$B$21:$B$33,MATCH(H1653,Исходные!$A$21:$A$33,0)),0)</f>
        <v>2.466</v>
      </c>
      <c r="P1653" s="83" t="n">
        <f aca="false">N1653*O1653</f>
        <v>37.28592</v>
      </c>
      <c r="Q1653" s="20" t="s">
        <v>1675</v>
      </c>
      <c r="R1653" s="84" t="s">
        <v>660</v>
      </c>
      <c r="S1653" s="20"/>
      <c r="T1653" s="20" t="s">
        <v>123</v>
      </c>
      <c r="U1653" s="53" t="n">
        <v>0</v>
      </c>
      <c r="V1653" s="76" t="s">
        <v>1026</v>
      </c>
      <c r="W1653" s="53" t="n">
        <v>4</v>
      </c>
    </row>
    <row r="1654" customFormat="false" ht="46.25" hidden="false" customHeight="false" outlineLevel="0" collapsed="false">
      <c r="A1654" s="76" t="n">
        <v>1620</v>
      </c>
      <c r="B1654" s="20" t="s">
        <v>1691</v>
      </c>
      <c r="C1654" s="20" t="s">
        <v>1021</v>
      </c>
      <c r="D1654" s="20" t="s">
        <v>1469</v>
      </c>
      <c r="E1654" s="20" t="s">
        <v>1050</v>
      </c>
      <c r="F1654" s="76" t="s">
        <v>516</v>
      </c>
      <c r="G1654" s="20" t="s">
        <v>1470</v>
      </c>
      <c r="H1654" s="55" t="n">
        <v>20</v>
      </c>
      <c r="I1654" s="76" t="s">
        <v>512</v>
      </c>
      <c r="J1654" s="76" t="s">
        <v>164</v>
      </c>
      <c r="K1654" s="82" t="n">
        <v>1</v>
      </c>
      <c r="L1654" s="55" t="n">
        <v>4</v>
      </c>
      <c r="M1654" s="73" t="n">
        <v>3.59</v>
      </c>
      <c r="N1654" s="74" t="n">
        <f aca="false">K1654*L1654*M1654</f>
        <v>14.36</v>
      </c>
      <c r="O1654" s="41" t="n">
        <f aca="false">IFERROR(INDEX(Исходные!$B$21:$B$33,MATCH(H1654,Исходные!$A$21:$A$33,0)),0)</f>
        <v>2.466</v>
      </c>
      <c r="P1654" s="83" t="n">
        <f aca="false">N1654*O1654</f>
        <v>35.41176</v>
      </c>
      <c r="Q1654" s="20" t="s">
        <v>1675</v>
      </c>
      <c r="R1654" s="84" t="s">
        <v>660</v>
      </c>
      <c r="S1654" s="20"/>
      <c r="T1654" s="20" t="s">
        <v>123</v>
      </c>
      <c r="U1654" s="53" t="n">
        <v>0</v>
      </c>
      <c r="V1654" s="76" t="s">
        <v>1026</v>
      </c>
      <c r="W1654" s="53" t="n">
        <v>4</v>
      </c>
    </row>
    <row r="1655" customFormat="false" ht="35.05" hidden="false" customHeight="false" outlineLevel="0" collapsed="false">
      <c r="A1655" s="76" t="n">
        <v>1621</v>
      </c>
      <c r="B1655" s="20" t="s">
        <v>1691</v>
      </c>
      <c r="C1655" s="20" t="s">
        <v>1021</v>
      </c>
      <c r="D1655" s="20" t="s">
        <v>1059</v>
      </c>
      <c r="E1655" s="20" t="s">
        <v>1060</v>
      </c>
      <c r="F1655" s="76" t="s">
        <v>575</v>
      </c>
      <c r="G1655" s="20" t="s">
        <v>1061</v>
      </c>
      <c r="H1655" s="55" t="n">
        <v>22</v>
      </c>
      <c r="I1655" s="76" t="s">
        <v>512</v>
      </c>
      <c r="J1655" s="76" t="s">
        <v>164</v>
      </c>
      <c r="K1655" s="82" t="n">
        <v>1</v>
      </c>
      <c r="L1655" s="55" t="n">
        <v>4</v>
      </c>
      <c r="M1655" s="73" t="n">
        <v>2.175</v>
      </c>
      <c r="N1655" s="74" t="n">
        <f aca="false">K1655*L1655*M1655</f>
        <v>8.7</v>
      </c>
      <c r="O1655" s="41" t="n">
        <f aca="false">IFERROR(INDEX(Исходные!$B$21:$B$33,MATCH(H1655,Исходные!$A$21:$A$33,0)),0)</f>
        <v>2.984</v>
      </c>
      <c r="P1655" s="83" t="n">
        <f aca="false">N1655*O1655</f>
        <v>25.9608</v>
      </c>
      <c r="Q1655" s="20" t="s">
        <v>1471</v>
      </c>
      <c r="R1655" s="84" t="s">
        <v>660</v>
      </c>
      <c r="S1655" s="20"/>
      <c r="T1655" s="20" t="s">
        <v>123</v>
      </c>
      <c r="U1655" s="53" t="n">
        <v>0</v>
      </c>
      <c r="V1655" s="76" t="s">
        <v>1026</v>
      </c>
      <c r="W1655" s="53" t="n">
        <v>4</v>
      </c>
    </row>
    <row r="1656" customFormat="false" ht="35.05" hidden="false" customHeight="false" outlineLevel="0" collapsed="false">
      <c r="A1656" s="76" t="n">
        <v>1622</v>
      </c>
      <c r="B1656" s="20" t="s">
        <v>1691</v>
      </c>
      <c r="C1656" s="20" t="s">
        <v>1021</v>
      </c>
      <c r="D1656" s="20" t="s">
        <v>1059</v>
      </c>
      <c r="E1656" s="20" t="s">
        <v>1060</v>
      </c>
      <c r="F1656" s="76" t="s">
        <v>575</v>
      </c>
      <c r="G1656" s="20" t="s">
        <v>1063</v>
      </c>
      <c r="H1656" s="55" t="n">
        <v>22</v>
      </c>
      <c r="I1656" s="76" t="s">
        <v>512</v>
      </c>
      <c r="J1656" s="76" t="s">
        <v>164</v>
      </c>
      <c r="K1656" s="82" t="n">
        <v>1</v>
      </c>
      <c r="L1656" s="55" t="n">
        <v>4</v>
      </c>
      <c r="M1656" s="73" t="n">
        <v>4.15</v>
      </c>
      <c r="N1656" s="74" t="n">
        <f aca="false">K1656*L1656*M1656</f>
        <v>16.6</v>
      </c>
      <c r="O1656" s="41" t="n">
        <f aca="false">IFERROR(INDEX(Исходные!$B$21:$B$33,MATCH(H1656,Исходные!$A$21:$A$33,0)),0)</f>
        <v>2.984</v>
      </c>
      <c r="P1656" s="83" t="n">
        <f aca="false">N1656*O1656</f>
        <v>49.5344</v>
      </c>
      <c r="Q1656" s="20" t="s">
        <v>1471</v>
      </c>
      <c r="R1656" s="84" t="s">
        <v>660</v>
      </c>
      <c r="S1656" s="20"/>
      <c r="T1656" s="20" t="s">
        <v>123</v>
      </c>
      <c r="U1656" s="53" t="n">
        <v>0</v>
      </c>
      <c r="V1656" s="76" t="s">
        <v>1026</v>
      </c>
      <c r="W1656" s="53" t="n">
        <v>4</v>
      </c>
    </row>
    <row r="1657" customFormat="false" ht="35.05" hidden="false" customHeight="false" outlineLevel="0" collapsed="false">
      <c r="A1657" s="76" t="n">
        <v>1623</v>
      </c>
      <c r="B1657" s="20" t="s">
        <v>1691</v>
      </c>
      <c r="C1657" s="20" t="s">
        <v>1021</v>
      </c>
      <c r="D1657" s="20" t="s">
        <v>1059</v>
      </c>
      <c r="E1657" s="20" t="s">
        <v>1060</v>
      </c>
      <c r="F1657" s="76" t="s">
        <v>575</v>
      </c>
      <c r="G1657" s="20" t="s">
        <v>1064</v>
      </c>
      <c r="H1657" s="55" t="n">
        <v>22</v>
      </c>
      <c r="I1657" s="76" t="s">
        <v>512</v>
      </c>
      <c r="J1657" s="76" t="s">
        <v>164</v>
      </c>
      <c r="K1657" s="82" t="n">
        <v>1</v>
      </c>
      <c r="L1657" s="55" t="n">
        <v>4</v>
      </c>
      <c r="M1657" s="73" t="n">
        <v>2.175</v>
      </c>
      <c r="N1657" s="74" t="n">
        <f aca="false">K1657*L1657*M1657</f>
        <v>8.7</v>
      </c>
      <c r="O1657" s="41" t="n">
        <f aca="false">IFERROR(INDEX(Исходные!$B$21:$B$33,MATCH(H1657,Исходные!$A$21:$A$33,0)),0)</f>
        <v>2.984</v>
      </c>
      <c r="P1657" s="83" t="n">
        <f aca="false">N1657*O1657</f>
        <v>25.9608</v>
      </c>
      <c r="Q1657" s="20" t="s">
        <v>1471</v>
      </c>
      <c r="R1657" s="84" t="s">
        <v>660</v>
      </c>
      <c r="S1657" s="20"/>
      <c r="T1657" s="20" t="s">
        <v>123</v>
      </c>
      <c r="U1657" s="53" t="n">
        <v>0</v>
      </c>
      <c r="V1657" s="76" t="s">
        <v>1026</v>
      </c>
      <c r="W1657" s="53" t="n">
        <v>4</v>
      </c>
    </row>
    <row r="1658" customFormat="false" ht="35.05" hidden="false" customHeight="false" outlineLevel="0" collapsed="false">
      <c r="A1658" s="76" t="n">
        <v>1624</v>
      </c>
      <c r="B1658" s="20" t="s">
        <v>1691</v>
      </c>
      <c r="C1658" s="20" t="s">
        <v>1021</v>
      </c>
      <c r="D1658" s="20" t="s">
        <v>1065</v>
      </c>
      <c r="E1658" s="20" t="s">
        <v>1060</v>
      </c>
      <c r="F1658" s="76" t="s">
        <v>575</v>
      </c>
      <c r="G1658" s="20" t="s">
        <v>1061</v>
      </c>
      <c r="H1658" s="55" t="n">
        <v>22</v>
      </c>
      <c r="I1658" s="76" t="s">
        <v>512</v>
      </c>
      <c r="J1658" s="76" t="s">
        <v>164</v>
      </c>
      <c r="K1658" s="82" t="n">
        <v>1</v>
      </c>
      <c r="L1658" s="55" t="n">
        <v>4</v>
      </c>
      <c r="M1658" s="73" t="n">
        <v>2.175</v>
      </c>
      <c r="N1658" s="74" t="n">
        <f aca="false">K1658*L1658*M1658</f>
        <v>8.7</v>
      </c>
      <c r="O1658" s="41" t="n">
        <f aca="false">IFERROR(INDEX(Исходные!$B$21:$B$33,MATCH(H1658,Исходные!$A$21:$A$33,0)),0)</f>
        <v>2.984</v>
      </c>
      <c r="P1658" s="83" t="n">
        <f aca="false">N1658*O1658</f>
        <v>25.9608</v>
      </c>
      <c r="Q1658" s="20" t="s">
        <v>1471</v>
      </c>
      <c r="R1658" s="84" t="s">
        <v>660</v>
      </c>
      <c r="S1658" s="20"/>
      <c r="T1658" s="20" t="s">
        <v>123</v>
      </c>
      <c r="U1658" s="53" t="n">
        <v>0</v>
      </c>
      <c r="V1658" s="76" t="s">
        <v>1026</v>
      </c>
      <c r="W1658" s="53" t="n">
        <v>4</v>
      </c>
    </row>
    <row r="1659" customFormat="false" ht="35.05" hidden="false" customHeight="false" outlineLevel="0" collapsed="false">
      <c r="A1659" s="76" t="n">
        <v>1625</v>
      </c>
      <c r="B1659" s="20" t="s">
        <v>1691</v>
      </c>
      <c r="C1659" s="20" t="s">
        <v>1021</v>
      </c>
      <c r="D1659" s="20" t="s">
        <v>1065</v>
      </c>
      <c r="E1659" s="20" t="s">
        <v>1060</v>
      </c>
      <c r="F1659" s="76" t="s">
        <v>575</v>
      </c>
      <c r="G1659" s="20" t="s">
        <v>1063</v>
      </c>
      <c r="H1659" s="55" t="n">
        <v>22</v>
      </c>
      <c r="I1659" s="76" t="s">
        <v>512</v>
      </c>
      <c r="J1659" s="76" t="s">
        <v>164</v>
      </c>
      <c r="K1659" s="82" t="n">
        <v>1</v>
      </c>
      <c r="L1659" s="55" t="n">
        <v>4</v>
      </c>
      <c r="M1659" s="73" t="n">
        <v>4.15</v>
      </c>
      <c r="N1659" s="74" t="n">
        <f aca="false">K1659*L1659*M1659</f>
        <v>16.6</v>
      </c>
      <c r="O1659" s="41" t="n">
        <f aca="false">IFERROR(INDEX(Исходные!$B$21:$B$33,MATCH(H1659,Исходные!$A$21:$A$33,0)),0)</f>
        <v>2.984</v>
      </c>
      <c r="P1659" s="83" t="n">
        <f aca="false">N1659*O1659</f>
        <v>49.5344</v>
      </c>
      <c r="Q1659" s="20" t="s">
        <v>1471</v>
      </c>
      <c r="R1659" s="84" t="s">
        <v>660</v>
      </c>
      <c r="S1659" s="20"/>
      <c r="T1659" s="20" t="s">
        <v>123</v>
      </c>
      <c r="U1659" s="53" t="n">
        <v>0</v>
      </c>
      <c r="V1659" s="76" t="s">
        <v>1026</v>
      </c>
      <c r="W1659" s="53" t="n">
        <v>4</v>
      </c>
    </row>
    <row r="1660" customFormat="false" ht="35.05" hidden="false" customHeight="false" outlineLevel="0" collapsed="false">
      <c r="A1660" s="76" t="n">
        <v>1626</v>
      </c>
      <c r="B1660" s="20" t="s">
        <v>1691</v>
      </c>
      <c r="C1660" s="20" t="s">
        <v>1021</v>
      </c>
      <c r="D1660" s="20" t="s">
        <v>1065</v>
      </c>
      <c r="E1660" s="20" t="s">
        <v>1060</v>
      </c>
      <c r="F1660" s="76" t="s">
        <v>575</v>
      </c>
      <c r="G1660" s="20" t="s">
        <v>1064</v>
      </c>
      <c r="H1660" s="55" t="n">
        <v>22</v>
      </c>
      <c r="I1660" s="76" t="s">
        <v>512</v>
      </c>
      <c r="J1660" s="76" t="s">
        <v>164</v>
      </c>
      <c r="K1660" s="82" t="n">
        <v>1</v>
      </c>
      <c r="L1660" s="55" t="n">
        <v>4</v>
      </c>
      <c r="M1660" s="73" t="n">
        <v>2.175</v>
      </c>
      <c r="N1660" s="74" t="n">
        <f aca="false">K1660*L1660*M1660</f>
        <v>8.7</v>
      </c>
      <c r="O1660" s="41" t="n">
        <f aca="false">IFERROR(INDEX(Исходные!$B$21:$B$33,MATCH(H1660,Исходные!$A$21:$A$33,0)),0)</f>
        <v>2.984</v>
      </c>
      <c r="P1660" s="83" t="n">
        <f aca="false">N1660*O1660</f>
        <v>25.9608</v>
      </c>
      <c r="Q1660" s="20" t="s">
        <v>1471</v>
      </c>
      <c r="R1660" s="84" t="s">
        <v>660</v>
      </c>
      <c r="S1660" s="20"/>
      <c r="T1660" s="20" t="s">
        <v>123</v>
      </c>
      <c r="U1660" s="53" t="n">
        <v>0</v>
      </c>
      <c r="V1660" s="76" t="s">
        <v>1026</v>
      </c>
      <c r="W1660" s="53" t="n">
        <v>4</v>
      </c>
    </row>
    <row r="1661" customFormat="false" ht="35.05" hidden="false" customHeight="false" outlineLevel="0" collapsed="false">
      <c r="A1661" s="76" t="n">
        <v>1627</v>
      </c>
      <c r="B1661" s="20" t="s">
        <v>1691</v>
      </c>
      <c r="C1661" s="20" t="s">
        <v>1021</v>
      </c>
      <c r="D1661" s="20" t="s">
        <v>1066</v>
      </c>
      <c r="E1661" s="20" t="s">
        <v>1060</v>
      </c>
      <c r="F1661" s="76" t="s">
        <v>575</v>
      </c>
      <c r="G1661" s="20" t="s">
        <v>1061</v>
      </c>
      <c r="H1661" s="55" t="n">
        <v>22</v>
      </c>
      <c r="I1661" s="76" t="s">
        <v>512</v>
      </c>
      <c r="J1661" s="76" t="s">
        <v>164</v>
      </c>
      <c r="K1661" s="82" t="n">
        <v>1</v>
      </c>
      <c r="L1661" s="55" t="n">
        <v>4</v>
      </c>
      <c r="M1661" s="73" t="n">
        <v>2.15</v>
      </c>
      <c r="N1661" s="74" t="n">
        <f aca="false">K1661*L1661*M1661</f>
        <v>8.6</v>
      </c>
      <c r="O1661" s="41" t="n">
        <f aca="false">IFERROR(INDEX(Исходные!$B$21:$B$33,MATCH(H1661,Исходные!$A$21:$A$33,0)),0)</f>
        <v>2.984</v>
      </c>
      <c r="P1661" s="83" t="n">
        <f aca="false">N1661*O1661</f>
        <v>25.6624</v>
      </c>
      <c r="Q1661" s="20" t="s">
        <v>1471</v>
      </c>
      <c r="R1661" s="84" t="s">
        <v>660</v>
      </c>
      <c r="S1661" s="20"/>
      <c r="T1661" s="20" t="s">
        <v>123</v>
      </c>
      <c r="U1661" s="53" t="n">
        <v>0</v>
      </c>
      <c r="V1661" s="76" t="s">
        <v>1026</v>
      </c>
      <c r="W1661" s="53" t="n">
        <v>4</v>
      </c>
    </row>
    <row r="1662" customFormat="false" ht="35.05" hidden="false" customHeight="false" outlineLevel="0" collapsed="false">
      <c r="A1662" s="76" t="n">
        <v>1628</v>
      </c>
      <c r="B1662" s="20" t="s">
        <v>1691</v>
      </c>
      <c r="C1662" s="20" t="s">
        <v>1021</v>
      </c>
      <c r="D1662" s="20" t="s">
        <v>1066</v>
      </c>
      <c r="E1662" s="20" t="s">
        <v>1060</v>
      </c>
      <c r="F1662" s="76" t="s">
        <v>575</v>
      </c>
      <c r="G1662" s="20" t="s">
        <v>1063</v>
      </c>
      <c r="H1662" s="55" t="n">
        <v>22</v>
      </c>
      <c r="I1662" s="76" t="s">
        <v>512</v>
      </c>
      <c r="J1662" s="76" t="s">
        <v>164</v>
      </c>
      <c r="K1662" s="82" t="n">
        <v>1</v>
      </c>
      <c r="L1662" s="55" t="n">
        <v>4</v>
      </c>
      <c r="M1662" s="73" t="n">
        <v>3.775</v>
      </c>
      <c r="N1662" s="74" t="n">
        <f aca="false">K1662*L1662*M1662</f>
        <v>15.1</v>
      </c>
      <c r="O1662" s="41" t="n">
        <f aca="false">IFERROR(INDEX(Исходные!$B$21:$B$33,MATCH(H1662,Исходные!$A$21:$A$33,0)),0)</f>
        <v>2.984</v>
      </c>
      <c r="P1662" s="83" t="n">
        <f aca="false">N1662*O1662</f>
        <v>45.0584</v>
      </c>
      <c r="Q1662" s="20" t="s">
        <v>1471</v>
      </c>
      <c r="R1662" s="84" t="s">
        <v>660</v>
      </c>
      <c r="S1662" s="20"/>
      <c r="T1662" s="20" t="s">
        <v>123</v>
      </c>
      <c r="U1662" s="53" t="n">
        <v>0</v>
      </c>
      <c r="V1662" s="76" t="s">
        <v>1026</v>
      </c>
      <c r="W1662" s="53" t="n">
        <v>4</v>
      </c>
    </row>
    <row r="1663" customFormat="false" ht="35.05" hidden="false" customHeight="false" outlineLevel="0" collapsed="false">
      <c r="A1663" s="76" t="n">
        <v>1629</v>
      </c>
      <c r="B1663" s="20" t="s">
        <v>1691</v>
      </c>
      <c r="C1663" s="20" t="s">
        <v>1021</v>
      </c>
      <c r="D1663" s="20" t="s">
        <v>1066</v>
      </c>
      <c r="E1663" s="20" t="s">
        <v>1060</v>
      </c>
      <c r="F1663" s="76" t="s">
        <v>575</v>
      </c>
      <c r="G1663" s="20" t="s">
        <v>1064</v>
      </c>
      <c r="H1663" s="55" t="n">
        <v>22</v>
      </c>
      <c r="I1663" s="76" t="s">
        <v>512</v>
      </c>
      <c r="J1663" s="76" t="s">
        <v>164</v>
      </c>
      <c r="K1663" s="82" t="n">
        <v>1</v>
      </c>
      <c r="L1663" s="55" t="n">
        <v>4</v>
      </c>
      <c r="M1663" s="73" t="n">
        <v>2.15</v>
      </c>
      <c r="N1663" s="74" t="n">
        <f aca="false">K1663*L1663*M1663</f>
        <v>8.6</v>
      </c>
      <c r="O1663" s="41" t="n">
        <f aca="false">IFERROR(INDEX(Исходные!$B$21:$B$33,MATCH(H1663,Исходные!$A$21:$A$33,0)),0)</f>
        <v>2.984</v>
      </c>
      <c r="P1663" s="83" t="n">
        <f aca="false">N1663*O1663</f>
        <v>25.6624</v>
      </c>
      <c r="Q1663" s="20" t="s">
        <v>1471</v>
      </c>
      <c r="R1663" s="84" t="s">
        <v>660</v>
      </c>
      <c r="S1663" s="20"/>
      <c r="T1663" s="20" t="s">
        <v>123</v>
      </c>
      <c r="U1663" s="53" t="n">
        <v>0</v>
      </c>
      <c r="V1663" s="76" t="s">
        <v>1026</v>
      </c>
      <c r="W1663" s="53" t="n">
        <v>4</v>
      </c>
    </row>
    <row r="1664" customFormat="false" ht="35.05" hidden="false" customHeight="false" outlineLevel="0" collapsed="false">
      <c r="A1664" s="76" t="n">
        <v>1630</v>
      </c>
      <c r="B1664" s="20" t="s">
        <v>1691</v>
      </c>
      <c r="C1664" s="20" t="s">
        <v>1021</v>
      </c>
      <c r="D1664" s="20" t="s">
        <v>1067</v>
      </c>
      <c r="E1664" s="20" t="s">
        <v>1060</v>
      </c>
      <c r="F1664" s="76" t="s">
        <v>575</v>
      </c>
      <c r="G1664" s="20" t="s">
        <v>1061</v>
      </c>
      <c r="H1664" s="55" t="n">
        <v>22</v>
      </c>
      <c r="I1664" s="76" t="s">
        <v>512</v>
      </c>
      <c r="J1664" s="76" t="s">
        <v>164</v>
      </c>
      <c r="K1664" s="82" t="n">
        <v>1</v>
      </c>
      <c r="L1664" s="55" t="n">
        <v>4</v>
      </c>
      <c r="M1664" s="73" t="n">
        <v>2.15</v>
      </c>
      <c r="N1664" s="74" t="n">
        <f aca="false">K1664*L1664*M1664</f>
        <v>8.6</v>
      </c>
      <c r="O1664" s="41" t="n">
        <f aca="false">IFERROR(INDEX(Исходные!$B$21:$B$33,MATCH(H1664,Исходные!$A$21:$A$33,0)),0)</f>
        <v>2.984</v>
      </c>
      <c r="P1664" s="83" t="n">
        <f aca="false">N1664*O1664</f>
        <v>25.6624</v>
      </c>
      <c r="Q1664" s="20" t="s">
        <v>1471</v>
      </c>
      <c r="R1664" s="84" t="s">
        <v>660</v>
      </c>
      <c r="S1664" s="20"/>
      <c r="T1664" s="20" t="s">
        <v>123</v>
      </c>
      <c r="U1664" s="53" t="n">
        <v>0</v>
      </c>
      <c r="V1664" s="76" t="s">
        <v>1026</v>
      </c>
      <c r="W1664" s="53" t="n">
        <v>4</v>
      </c>
    </row>
    <row r="1665" customFormat="false" ht="35.05" hidden="false" customHeight="false" outlineLevel="0" collapsed="false">
      <c r="A1665" s="76" t="n">
        <v>1631</v>
      </c>
      <c r="B1665" s="20" t="s">
        <v>1691</v>
      </c>
      <c r="C1665" s="20" t="s">
        <v>1021</v>
      </c>
      <c r="D1665" s="20" t="s">
        <v>1067</v>
      </c>
      <c r="E1665" s="20" t="s">
        <v>1060</v>
      </c>
      <c r="F1665" s="76" t="s">
        <v>575</v>
      </c>
      <c r="G1665" s="20" t="s">
        <v>1063</v>
      </c>
      <c r="H1665" s="55" t="n">
        <v>22</v>
      </c>
      <c r="I1665" s="76" t="s">
        <v>512</v>
      </c>
      <c r="J1665" s="76" t="s">
        <v>164</v>
      </c>
      <c r="K1665" s="82" t="n">
        <v>1</v>
      </c>
      <c r="L1665" s="55" t="n">
        <v>4</v>
      </c>
      <c r="M1665" s="73" t="n">
        <v>7.95</v>
      </c>
      <c r="N1665" s="74" t="n">
        <f aca="false">K1665*L1665*M1665</f>
        <v>31.8</v>
      </c>
      <c r="O1665" s="41" t="n">
        <f aca="false">IFERROR(INDEX(Исходные!$B$21:$B$33,MATCH(H1665,Исходные!$A$21:$A$33,0)),0)</f>
        <v>2.984</v>
      </c>
      <c r="P1665" s="83" t="n">
        <f aca="false">N1665*O1665</f>
        <v>94.8912</v>
      </c>
      <c r="Q1665" s="20" t="s">
        <v>1471</v>
      </c>
      <c r="R1665" s="84" t="s">
        <v>660</v>
      </c>
      <c r="S1665" s="20"/>
      <c r="T1665" s="20" t="s">
        <v>123</v>
      </c>
      <c r="U1665" s="53" t="n">
        <v>0</v>
      </c>
      <c r="V1665" s="76" t="s">
        <v>1026</v>
      </c>
      <c r="W1665" s="53" t="n">
        <v>4</v>
      </c>
    </row>
    <row r="1666" customFormat="false" ht="35.05" hidden="false" customHeight="false" outlineLevel="0" collapsed="false">
      <c r="A1666" s="76" t="n">
        <v>1632</v>
      </c>
      <c r="B1666" s="20" t="s">
        <v>1691</v>
      </c>
      <c r="C1666" s="20" t="s">
        <v>1021</v>
      </c>
      <c r="D1666" s="20" t="s">
        <v>1067</v>
      </c>
      <c r="E1666" s="20" t="s">
        <v>1060</v>
      </c>
      <c r="F1666" s="76" t="s">
        <v>575</v>
      </c>
      <c r="G1666" s="20" t="s">
        <v>1064</v>
      </c>
      <c r="H1666" s="55" t="n">
        <v>22</v>
      </c>
      <c r="I1666" s="76" t="s">
        <v>512</v>
      </c>
      <c r="J1666" s="76" t="s">
        <v>164</v>
      </c>
      <c r="K1666" s="82" t="n">
        <v>1</v>
      </c>
      <c r="L1666" s="55" t="n">
        <v>4</v>
      </c>
      <c r="M1666" s="73" t="n">
        <v>2.15</v>
      </c>
      <c r="N1666" s="74" t="n">
        <f aca="false">K1666*L1666*M1666</f>
        <v>8.6</v>
      </c>
      <c r="O1666" s="41" t="n">
        <f aca="false">IFERROR(INDEX(Исходные!$B$21:$B$33,MATCH(H1666,Исходные!$A$21:$A$33,0)),0)</f>
        <v>2.984</v>
      </c>
      <c r="P1666" s="83" t="n">
        <f aca="false">N1666*O1666</f>
        <v>25.6624</v>
      </c>
      <c r="Q1666" s="20" t="s">
        <v>1471</v>
      </c>
      <c r="R1666" s="84" t="s">
        <v>660</v>
      </c>
      <c r="S1666" s="20"/>
      <c r="T1666" s="20" t="s">
        <v>123</v>
      </c>
      <c r="U1666" s="53" t="n">
        <v>0</v>
      </c>
      <c r="V1666" s="76" t="s">
        <v>1026</v>
      </c>
      <c r="W1666" s="53" t="n">
        <v>4</v>
      </c>
    </row>
    <row r="1667" customFormat="false" ht="35.05" hidden="false" customHeight="false" outlineLevel="0" collapsed="false">
      <c r="A1667" s="76" t="n">
        <v>1633</v>
      </c>
      <c r="B1667" s="20" t="s">
        <v>1691</v>
      </c>
      <c r="C1667" s="20" t="s">
        <v>1021</v>
      </c>
      <c r="D1667" s="20" t="s">
        <v>1067</v>
      </c>
      <c r="E1667" s="20" t="s">
        <v>1060</v>
      </c>
      <c r="F1667" s="76" t="s">
        <v>575</v>
      </c>
      <c r="G1667" s="20" t="s">
        <v>1068</v>
      </c>
      <c r="H1667" s="55" t="n">
        <v>22</v>
      </c>
      <c r="I1667" s="76" t="s">
        <v>512</v>
      </c>
      <c r="J1667" s="76" t="s">
        <v>164</v>
      </c>
      <c r="K1667" s="82" t="n">
        <v>1</v>
      </c>
      <c r="L1667" s="55" t="n">
        <v>4</v>
      </c>
      <c r="M1667" s="73" t="n">
        <v>2.375</v>
      </c>
      <c r="N1667" s="74" t="n">
        <f aca="false">K1667*L1667*M1667</f>
        <v>9.5</v>
      </c>
      <c r="O1667" s="41" t="n">
        <f aca="false">IFERROR(INDEX(Исходные!$B$21:$B$33,MATCH(H1667,Исходные!$A$21:$A$33,0)),0)</f>
        <v>2.984</v>
      </c>
      <c r="P1667" s="83" t="n">
        <f aca="false">N1667*O1667</f>
        <v>28.348</v>
      </c>
      <c r="Q1667" s="20" t="s">
        <v>1471</v>
      </c>
      <c r="R1667" s="84" t="s">
        <v>660</v>
      </c>
      <c r="S1667" s="20"/>
      <c r="T1667" s="20" t="s">
        <v>123</v>
      </c>
      <c r="U1667" s="53" t="n">
        <v>0</v>
      </c>
      <c r="V1667" s="76" t="s">
        <v>1026</v>
      </c>
      <c r="W1667" s="53" t="n">
        <v>4</v>
      </c>
    </row>
    <row r="1668" customFormat="false" ht="35.05" hidden="false" customHeight="false" outlineLevel="0" collapsed="false">
      <c r="A1668" s="76" t="n">
        <v>1634</v>
      </c>
      <c r="B1668" s="20" t="s">
        <v>1691</v>
      </c>
      <c r="C1668" s="20" t="s">
        <v>1021</v>
      </c>
      <c r="D1668" s="20" t="s">
        <v>1069</v>
      </c>
      <c r="E1668" s="20" t="s">
        <v>1070</v>
      </c>
      <c r="F1668" s="76" t="s">
        <v>164</v>
      </c>
      <c r="G1668" s="20" t="s">
        <v>1472</v>
      </c>
      <c r="H1668" s="55" t="n">
        <v>18</v>
      </c>
      <c r="I1668" s="76" t="s">
        <v>512</v>
      </c>
      <c r="J1668" s="76" t="s">
        <v>164</v>
      </c>
      <c r="K1668" s="82" t="n">
        <v>1</v>
      </c>
      <c r="L1668" s="55" t="n">
        <v>20</v>
      </c>
      <c r="M1668" s="73" t="n">
        <v>1.2</v>
      </c>
      <c r="N1668" s="74" t="n">
        <f aca="false">K1668*L1668*M1668</f>
        <v>24</v>
      </c>
      <c r="O1668" s="41" t="n">
        <f aca="false">IFERROR(INDEX(Исходные!$B$21:$B$33,MATCH(H1668,Исходные!$A$21:$A$33,0)),0)</f>
        <v>1.998</v>
      </c>
      <c r="P1668" s="83" t="n">
        <f aca="false">N1668*O1668</f>
        <v>47.952</v>
      </c>
      <c r="Q1668" s="20" t="s">
        <v>1473</v>
      </c>
      <c r="R1668" s="85" t="s">
        <v>638</v>
      </c>
      <c r="S1668" s="20"/>
      <c r="T1668" s="20" t="s">
        <v>123</v>
      </c>
      <c r="U1668" s="53" t="n">
        <v>1</v>
      </c>
      <c r="V1668" s="76" t="s">
        <v>1073</v>
      </c>
      <c r="W1668" s="53" t="n">
        <v>4</v>
      </c>
    </row>
    <row r="1669" customFormat="false" ht="35.05" hidden="false" customHeight="false" outlineLevel="0" collapsed="false">
      <c r="A1669" s="76" t="n">
        <v>1635</v>
      </c>
      <c r="B1669" s="20" t="s">
        <v>1691</v>
      </c>
      <c r="C1669" s="20" t="s">
        <v>1021</v>
      </c>
      <c r="D1669" s="20" t="s">
        <v>1074</v>
      </c>
      <c r="E1669" s="20" t="s">
        <v>1075</v>
      </c>
      <c r="F1669" s="76" t="s">
        <v>555</v>
      </c>
      <c r="G1669" s="20" t="s">
        <v>1474</v>
      </c>
      <c r="H1669" s="55" t="n">
        <v>8</v>
      </c>
      <c r="I1669" s="76" t="s">
        <v>546</v>
      </c>
      <c r="J1669" s="76" t="s">
        <v>644</v>
      </c>
      <c r="K1669" s="82" t="n">
        <v>1</v>
      </c>
      <c r="L1669" s="55" t="n">
        <v>925</v>
      </c>
      <c r="M1669" s="73" t="n">
        <v>1.24</v>
      </c>
      <c r="N1669" s="74" t="n">
        <f aca="false">K1669*L1669*M1669</f>
        <v>1147</v>
      </c>
      <c r="O1669" s="41" t="n">
        <f aca="false">IFERROR(INDEX(Исходные!$B$21:$B$33,MATCH(H1669,Исходные!$A$21:$A$33,0)),0)</f>
        <v>0.395</v>
      </c>
      <c r="P1669" s="83" t="n">
        <f aca="false">N1669*O1669</f>
        <v>453.065</v>
      </c>
      <c r="Q1669" s="20" t="s">
        <v>1475</v>
      </c>
      <c r="R1669" s="84" t="s">
        <v>514</v>
      </c>
      <c r="S1669" s="20"/>
      <c r="T1669" s="20" t="s">
        <v>123</v>
      </c>
      <c r="U1669" s="53" t="n">
        <v>0</v>
      </c>
      <c r="V1669" s="76" t="s">
        <v>1078</v>
      </c>
      <c r="W1669" s="53" t="n">
        <v>4</v>
      </c>
    </row>
    <row r="1670" customFormat="false" ht="35.05" hidden="false" customHeight="false" outlineLevel="0" collapsed="false">
      <c r="A1670" s="76" t="n">
        <v>1636</v>
      </c>
      <c r="B1670" s="20" t="s">
        <v>1691</v>
      </c>
      <c r="C1670" s="20" t="s">
        <v>1021</v>
      </c>
      <c r="D1670" s="20" t="s">
        <v>1079</v>
      </c>
      <c r="E1670" s="20" t="s">
        <v>1080</v>
      </c>
      <c r="F1670" s="76" t="s">
        <v>555</v>
      </c>
      <c r="G1670" s="20" t="s">
        <v>1476</v>
      </c>
      <c r="H1670" s="55" t="n">
        <v>8</v>
      </c>
      <c r="I1670" s="76" t="s">
        <v>546</v>
      </c>
      <c r="J1670" s="76" t="s">
        <v>644</v>
      </c>
      <c r="K1670" s="82" t="n">
        <v>1</v>
      </c>
      <c r="L1670" s="55" t="n">
        <v>44</v>
      </c>
      <c r="M1670" s="73" t="n">
        <v>1.24</v>
      </c>
      <c r="N1670" s="74" t="n">
        <f aca="false">K1670*L1670*M1670</f>
        <v>54.56</v>
      </c>
      <c r="O1670" s="41" t="n">
        <f aca="false">IFERROR(INDEX(Исходные!$B$21:$B$33,MATCH(H1670,Исходные!$A$21:$A$33,0)),0)</f>
        <v>0.395</v>
      </c>
      <c r="P1670" s="83" t="n">
        <f aca="false">N1670*O1670</f>
        <v>21.5512</v>
      </c>
      <c r="Q1670" s="20" t="s">
        <v>1477</v>
      </c>
      <c r="R1670" s="84" t="s">
        <v>514</v>
      </c>
      <c r="S1670" s="20"/>
      <c r="T1670" s="20" t="s">
        <v>123</v>
      </c>
      <c r="U1670" s="53" t="n">
        <v>0</v>
      </c>
      <c r="V1670" s="76" t="s">
        <v>1078</v>
      </c>
      <c r="W1670" s="53" t="n">
        <v>4</v>
      </c>
    </row>
    <row r="1671" customFormat="false" ht="35.05" hidden="false" customHeight="false" outlineLevel="0" collapsed="false">
      <c r="A1671" s="76" t="n">
        <v>1637</v>
      </c>
      <c r="B1671" s="20" t="s">
        <v>1691</v>
      </c>
      <c r="C1671" s="20" t="s">
        <v>1021</v>
      </c>
      <c r="D1671" s="20" t="s">
        <v>1083</v>
      </c>
      <c r="E1671" s="20" t="s">
        <v>1084</v>
      </c>
      <c r="F1671" s="76" t="s">
        <v>696</v>
      </c>
      <c r="G1671" s="20" t="s">
        <v>1478</v>
      </c>
      <c r="H1671" s="55" t="n">
        <v>8</v>
      </c>
      <c r="I1671" s="76" t="s">
        <v>546</v>
      </c>
      <c r="J1671" s="76" t="s">
        <v>644</v>
      </c>
      <c r="K1671" s="82" t="n">
        <v>1</v>
      </c>
      <c r="L1671" s="55" t="n">
        <v>44</v>
      </c>
      <c r="M1671" s="73" t="n">
        <v>1.44</v>
      </c>
      <c r="N1671" s="74" t="n">
        <f aca="false">K1671*L1671*M1671</f>
        <v>63.36</v>
      </c>
      <c r="O1671" s="41" t="n">
        <f aca="false">IFERROR(INDEX(Исходные!$B$21:$B$33,MATCH(H1671,Исходные!$A$21:$A$33,0)),0)</f>
        <v>0.395</v>
      </c>
      <c r="P1671" s="83" t="n">
        <f aca="false">N1671*O1671</f>
        <v>25.0272</v>
      </c>
      <c r="Q1671" s="20" t="s">
        <v>1479</v>
      </c>
      <c r="R1671" s="84" t="s">
        <v>514</v>
      </c>
      <c r="S1671" s="20"/>
      <c r="T1671" s="20" t="s">
        <v>123</v>
      </c>
      <c r="U1671" s="53" t="n">
        <v>0</v>
      </c>
      <c r="V1671" s="76" t="s">
        <v>1078</v>
      </c>
      <c r="W1671" s="53" t="n">
        <v>4</v>
      </c>
    </row>
    <row r="1672" customFormat="false" ht="35.05" hidden="false" customHeight="false" outlineLevel="0" collapsed="false">
      <c r="A1672" s="76" t="n">
        <v>1638</v>
      </c>
      <c r="B1672" s="20" t="s">
        <v>1691</v>
      </c>
      <c r="C1672" s="20" t="s">
        <v>1021</v>
      </c>
      <c r="D1672" s="20" t="s">
        <v>1087</v>
      </c>
      <c r="E1672" s="20" t="s">
        <v>1088</v>
      </c>
      <c r="F1672" s="76" t="s">
        <v>561</v>
      </c>
      <c r="G1672" s="20" t="s">
        <v>1480</v>
      </c>
      <c r="H1672" s="55" t="n">
        <v>8</v>
      </c>
      <c r="I1672" s="76" t="s">
        <v>546</v>
      </c>
      <c r="J1672" s="76" t="s">
        <v>644</v>
      </c>
      <c r="K1672" s="82" t="n">
        <v>1</v>
      </c>
      <c r="L1672" s="55" t="n">
        <v>133</v>
      </c>
      <c r="M1672" s="73" t="n">
        <v>1.04</v>
      </c>
      <c r="N1672" s="74" t="n">
        <f aca="false">K1672*L1672*M1672</f>
        <v>138.32</v>
      </c>
      <c r="O1672" s="41" t="n">
        <f aca="false">IFERROR(INDEX(Исходные!$B$21:$B$33,MATCH(H1672,Исходные!$A$21:$A$33,0)),0)</f>
        <v>0.395</v>
      </c>
      <c r="P1672" s="83" t="n">
        <f aca="false">N1672*O1672</f>
        <v>54.6364</v>
      </c>
      <c r="Q1672" s="20" t="s">
        <v>1481</v>
      </c>
      <c r="R1672" s="84" t="s">
        <v>514</v>
      </c>
      <c r="S1672" s="20"/>
      <c r="T1672" s="20" t="s">
        <v>123</v>
      </c>
      <c r="U1672" s="53" t="n">
        <v>0</v>
      </c>
      <c r="V1672" s="76" t="s">
        <v>1078</v>
      </c>
      <c r="W1672" s="53" t="n">
        <v>4</v>
      </c>
    </row>
    <row r="1673" customFormat="false" ht="35.05" hidden="false" customHeight="false" outlineLevel="0" collapsed="false">
      <c r="A1673" s="76" t="n">
        <v>1639</v>
      </c>
      <c r="B1673" s="20" t="s">
        <v>1691</v>
      </c>
      <c r="C1673" s="20" t="s">
        <v>1021</v>
      </c>
      <c r="D1673" s="20" t="s">
        <v>1091</v>
      </c>
      <c r="E1673" s="20" t="s">
        <v>1092</v>
      </c>
      <c r="F1673" s="76" t="s">
        <v>558</v>
      </c>
      <c r="G1673" s="20" t="s">
        <v>1482</v>
      </c>
      <c r="H1673" s="55" t="n">
        <v>8</v>
      </c>
      <c r="I1673" s="76" t="s">
        <v>546</v>
      </c>
      <c r="J1673" s="76" t="s">
        <v>644</v>
      </c>
      <c r="K1673" s="82" t="n">
        <v>1</v>
      </c>
      <c r="L1673" s="55" t="n">
        <v>272</v>
      </c>
      <c r="M1673" s="73" t="n">
        <v>1.14</v>
      </c>
      <c r="N1673" s="74" t="n">
        <f aca="false">K1673*L1673*M1673</f>
        <v>310.08</v>
      </c>
      <c r="O1673" s="41" t="n">
        <f aca="false">IFERROR(INDEX(Исходные!$B$21:$B$33,MATCH(H1673,Исходные!$A$21:$A$33,0)),0)</f>
        <v>0.395</v>
      </c>
      <c r="P1673" s="83" t="n">
        <f aca="false">N1673*O1673</f>
        <v>122.4816</v>
      </c>
      <c r="Q1673" s="20" t="s">
        <v>1483</v>
      </c>
      <c r="R1673" s="84" t="s">
        <v>514</v>
      </c>
      <c r="S1673" s="20"/>
      <c r="T1673" s="20" t="s">
        <v>123</v>
      </c>
      <c r="U1673" s="53" t="n">
        <v>0</v>
      </c>
      <c r="V1673" s="76" t="s">
        <v>1078</v>
      </c>
      <c r="W1673" s="53" t="n">
        <v>4</v>
      </c>
    </row>
    <row r="1674" customFormat="false" ht="15" hidden="false" customHeight="true" outlineLevel="0" collapsed="false">
      <c r="A1674" s="81" t="s">
        <v>1824</v>
      </c>
      <c r="B1674" s="81"/>
      <c r="C1674" s="81"/>
      <c r="D1674" s="81"/>
      <c r="E1674" s="81"/>
      <c r="F1674" s="81"/>
      <c r="G1674" s="81"/>
      <c r="H1674" s="81"/>
      <c r="I1674" s="81"/>
      <c r="J1674" s="81"/>
      <c r="K1674" s="81"/>
      <c r="L1674" s="81"/>
      <c r="M1674" s="81"/>
      <c r="N1674" s="81"/>
      <c r="O1674" s="81"/>
      <c r="P1674" s="81"/>
      <c r="Q1674" s="81"/>
      <c r="R1674" s="81"/>
      <c r="S1674" s="81"/>
      <c r="T1674" s="81"/>
      <c r="U1674" s="81"/>
      <c r="V1674" s="81"/>
      <c r="W1674" s="81"/>
    </row>
    <row r="1675" customFormat="false" ht="35.05" hidden="false" customHeight="false" outlineLevel="0" collapsed="false">
      <c r="A1675" s="76" t="n">
        <v>1640</v>
      </c>
      <c r="B1675" s="20" t="s">
        <v>1691</v>
      </c>
      <c r="C1675" s="20" t="s">
        <v>1096</v>
      </c>
      <c r="D1675" s="20" t="s">
        <v>1825</v>
      </c>
      <c r="E1675" s="20" t="s">
        <v>140</v>
      </c>
      <c r="F1675" s="76" t="s">
        <v>510</v>
      </c>
      <c r="G1675" s="20" t="s">
        <v>1098</v>
      </c>
      <c r="H1675" s="55" t="n">
        <v>10</v>
      </c>
      <c r="I1675" s="76" t="s">
        <v>512</v>
      </c>
      <c r="J1675" s="76" t="n">
        <v>90</v>
      </c>
      <c r="K1675" s="82" t="n">
        <v>200</v>
      </c>
      <c r="L1675" s="55" t="n">
        <v>7</v>
      </c>
      <c r="M1675" s="73" t="n">
        <v>0.57</v>
      </c>
      <c r="N1675" s="74" t="n">
        <f aca="false">K1675*L1675*M1675</f>
        <v>798</v>
      </c>
      <c r="O1675" s="41" t="n">
        <f aca="false">IFERROR(INDEX(Исходные!$B$21:$B$33,MATCH(H1675,Исходные!$A$21:$A$33,0)),0)</f>
        <v>0.617</v>
      </c>
      <c r="P1675" s="83" t="n">
        <f aca="false">N1675*O1675</f>
        <v>492.366</v>
      </c>
      <c r="Q1675" s="20" t="s">
        <v>1486</v>
      </c>
      <c r="R1675" s="85" t="s">
        <v>638</v>
      </c>
      <c r="S1675" s="20"/>
      <c r="T1675" s="20" t="s">
        <v>123</v>
      </c>
      <c r="U1675" s="53" t="n">
        <v>1</v>
      </c>
      <c r="V1675" s="76" t="s">
        <v>140</v>
      </c>
      <c r="W1675" s="53" t="n">
        <v>4</v>
      </c>
    </row>
    <row r="1676" customFormat="false" ht="15" hidden="false" customHeight="true" outlineLevel="0" collapsed="false">
      <c r="A1676" s="81" t="s">
        <v>1826</v>
      </c>
      <c r="B1676" s="81"/>
      <c r="C1676" s="81"/>
      <c r="D1676" s="81"/>
      <c r="E1676" s="81"/>
      <c r="F1676" s="81"/>
      <c r="G1676" s="81"/>
      <c r="H1676" s="81"/>
      <c r="I1676" s="81"/>
      <c r="J1676" s="81"/>
      <c r="K1676" s="81"/>
      <c r="L1676" s="81"/>
      <c r="M1676" s="81"/>
      <c r="N1676" s="81"/>
      <c r="O1676" s="81"/>
      <c r="P1676" s="81"/>
      <c r="Q1676" s="81"/>
      <c r="R1676" s="81"/>
      <c r="S1676" s="81"/>
      <c r="T1676" s="81"/>
      <c r="U1676" s="81"/>
      <c r="V1676" s="81"/>
      <c r="W1676" s="81"/>
    </row>
    <row r="1677" customFormat="false" ht="35.05" hidden="false" customHeight="false" outlineLevel="0" collapsed="false">
      <c r="A1677" s="76" t="n">
        <v>1641</v>
      </c>
      <c r="B1677" s="20" t="s">
        <v>1691</v>
      </c>
      <c r="C1677" s="20" t="s">
        <v>1101</v>
      </c>
      <c r="D1677" s="20" t="s">
        <v>1102</v>
      </c>
      <c r="E1677" s="20" t="s">
        <v>1827</v>
      </c>
      <c r="F1677" s="76" t="s">
        <v>510</v>
      </c>
      <c r="G1677" s="20" t="s">
        <v>1828</v>
      </c>
      <c r="H1677" s="55" t="n">
        <v>18</v>
      </c>
      <c r="I1677" s="76" t="s">
        <v>512</v>
      </c>
      <c r="J1677" s="76" t="n">
        <v>150</v>
      </c>
      <c r="K1677" s="82" t="n">
        <v>1</v>
      </c>
      <c r="L1677" s="55" t="n">
        <v>18</v>
      </c>
      <c r="M1677" s="73" t="n">
        <v>6.109</v>
      </c>
      <c r="N1677" s="74" t="n">
        <f aca="false">K1677*L1677*M1677</f>
        <v>109.962</v>
      </c>
      <c r="O1677" s="41" t="n">
        <f aca="false">IFERROR(INDEX(Исходные!$B$21:$B$33,MATCH(H1677,Исходные!$A$21:$A$33,0)),0)</f>
        <v>1.998</v>
      </c>
      <c r="P1677" s="83" t="n">
        <f aca="false">N1677*O1677</f>
        <v>219.704076</v>
      </c>
      <c r="Q1677" s="20" t="s">
        <v>1829</v>
      </c>
      <c r="R1677" s="85" t="s">
        <v>535</v>
      </c>
      <c r="S1677" s="20" t="s">
        <v>1491</v>
      </c>
      <c r="T1677" s="20" t="s">
        <v>124</v>
      </c>
      <c r="U1677" s="53" t="n">
        <v>1</v>
      </c>
      <c r="V1677" s="76" t="s">
        <v>141</v>
      </c>
      <c r="W1677" s="53" t="n">
        <v>4</v>
      </c>
    </row>
    <row r="1678" customFormat="false" ht="35.05" hidden="false" customHeight="false" outlineLevel="0" collapsed="false">
      <c r="A1678" s="76" t="n">
        <v>1642</v>
      </c>
      <c r="B1678" s="20" t="s">
        <v>1691</v>
      </c>
      <c r="C1678" s="20" t="s">
        <v>1101</v>
      </c>
      <c r="D1678" s="20" t="s">
        <v>1107</v>
      </c>
      <c r="E1678" s="20" t="s">
        <v>1827</v>
      </c>
      <c r="F1678" s="76" t="s">
        <v>519</v>
      </c>
      <c r="G1678" s="20" t="s">
        <v>1492</v>
      </c>
      <c r="H1678" s="55" t="n">
        <v>10</v>
      </c>
      <c r="I1678" s="76" t="s">
        <v>512</v>
      </c>
      <c r="J1678" s="76" t="s">
        <v>1109</v>
      </c>
      <c r="K1678" s="82" t="n">
        <v>1</v>
      </c>
      <c r="L1678" s="55" t="n">
        <v>60</v>
      </c>
      <c r="M1678" s="73" t="n">
        <v>1.19</v>
      </c>
      <c r="N1678" s="74" t="n">
        <f aca="false">K1678*L1678*M1678</f>
        <v>71.4</v>
      </c>
      <c r="O1678" s="41" t="n">
        <f aca="false">IFERROR(INDEX(Исходные!$B$21:$B$33,MATCH(H1678,Исходные!$A$21:$A$33,0)),0)</f>
        <v>0.617</v>
      </c>
      <c r="P1678" s="83" t="n">
        <f aca="false">N1678*O1678</f>
        <v>44.0538</v>
      </c>
      <c r="Q1678" s="20" t="s">
        <v>1493</v>
      </c>
      <c r="R1678" s="84" t="s">
        <v>514</v>
      </c>
      <c r="S1678" s="20" t="s">
        <v>1494</v>
      </c>
      <c r="T1678" s="20" t="s">
        <v>124</v>
      </c>
      <c r="U1678" s="53" t="n">
        <v>0</v>
      </c>
      <c r="V1678" s="76" t="s">
        <v>141</v>
      </c>
      <c r="W1678" s="53" t="n">
        <v>4</v>
      </c>
    </row>
    <row r="1679" customFormat="false" ht="35.05" hidden="false" customHeight="false" outlineLevel="0" collapsed="false">
      <c r="A1679" s="76" t="n">
        <v>1643</v>
      </c>
      <c r="B1679" s="20" t="s">
        <v>1691</v>
      </c>
      <c r="C1679" s="20" t="s">
        <v>1101</v>
      </c>
      <c r="D1679" s="20" t="s">
        <v>1107</v>
      </c>
      <c r="E1679" s="20" t="s">
        <v>1827</v>
      </c>
      <c r="F1679" s="76" t="s">
        <v>575</v>
      </c>
      <c r="G1679" s="20" t="s">
        <v>1495</v>
      </c>
      <c r="H1679" s="55" t="n">
        <v>10</v>
      </c>
      <c r="I1679" s="76" t="s">
        <v>546</v>
      </c>
      <c r="J1679" s="76" t="s">
        <v>1109</v>
      </c>
      <c r="K1679" s="82" t="n">
        <v>1</v>
      </c>
      <c r="L1679" s="55" t="n">
        <v>60</v>
      </c>
      <c r="M1679" s="73" t="n">
        <v>0.52</v>
      </c>
      <c r="N1679" s="74" t="n">
        <f aca="false">K1679*L1679*M1679</f>
        <v>31.2</v>
      </c>
      <c r="O1679" s="41" t="n">
        <f aca="false">IFERROR(INDEX(Исходные!$B$21:$B$33,MATCH(H1679,Исходные!$A$21:$A$33,0)),0)</f>
        <v>0.617</v>
      </c>
      <c r="P1679" s="83" t="n">
        <f aca="false">N1679*O1679</f>
        <v>19.2504</v>
      </c>
      <c r="Q1679" s="20" t="s">
        <v>1496</v>
      </c>
      <c r="R1679" s="84" t="s">
        <v>514</v>
      </c>
      <c r="S1679" s="20"/>
      <c r="T1679" s="20" t="s">
        <v>124</v>
      </c>
      <c r="U1679" s="53" t="n">
        <v>0</v>
      </c>
      <c r="V1679" s="76" t="s">
        <v>141</v>
      </c>
      <c r="W1679" s="53" t="n">
        <v>4</v>
      </c>
    </row>
    <row r="1680" customFormat="false" ht="35.05" hidden="false" customHeight="false" outlineLevel="0" collapsed="false">
      <c r="A1680" s="76" t="n">
        <v>1644</v>
      </c>
      <c r="B1680" s="20" t="s">
        <v>1691</v>
      </c>
      <c r="C1680" s="20" t="s">
        <v>1101</v>
      </c>
      <c r="D1680" s="20" t="s">
        <v>1107</v>
      </c>
      <c r="E1680" s="20" t="s">
        <v>1827</v>
      </c>
      <c r="F1680" s="76" t="s">
        <v>522</v>
      </c>
      <c r="G1680" s="20" t="s">
        <v>1139</v>
      </c>
      <c r="H1680" s="55" t="n">
        <v>6</v>
      </c>
      <c r="I1680" s="76" t="s">
        <v>546</v>
      </c>
      <c r="J1680" s="76" t="s">
        <v>1115</v>
      </c>
      <c r="K1680" s="82" t="n">
        <v>1</v>
      </c>
      <c r="L1680" s="55" t="n">
        <v>38</v>
      </c>
      <c r="M1680" s="73" t="n">
        <v>0.28</v>
      </c>
      <c r="N1680" s="74" t="n">
        <f aca="false">K1680*L1680*M1680</f>
        <v>10.64</v>
      </c>
      <c r="O1680" s="41" t="n">
        <f aca="false">IFERROR(INDEX(Исходные!$B$21:$B$33,MATCH(H1680,Исходные!$A$21:$A$33,0)),0)</f>
        <v>0.222</v>
      </c>
      <c r="P1680" s="83" t="n">
        <f aca="false">N1680*O1680</f>
        <v>2.36208</v>
      </c>
      <c r="Q1680" s="20" t="s">
        <v>1497</v>
      </c>
      <c r="R1680" s="85" t="s">
        <v>638</v>
      </c>
      <c r="S1680" s="20" t="s">
        <v>1498</v>
      </c>
      <c r="T1680" s="20" t="s">
        <v>124</v>
      </c>
      <c r="U1680" s="53" t="n">
        <v>1</v>
      </c>
      <c r="V1680" s="76" t="s">
        <v>141</v>
      </c>
      <c r="W1680" s="53" t="n">
        <v>4</v>
      </c>
    </row>
    <row r="1681" customFormat="false" ht="35.05" hidden="false" customHeight="false" outlineLevel="0" collapsed="false">
      <c r="A1681" s="76" t="n">
        <v>1645</v>
      </c>
      <c r="B1681" s="20" t="s">
        <v>1691</v>
      </c>
      <c r="C1681" s="20" t="s">
        <v>1101</v>
      </c>
      <c r="D1681" s="20" t="s">
        <v>1107</v>
      </c>
      <c r="E1681" s="20" t="s">
        <v>1827</v>
      </c>
      <c r="F1681" s="76" t="s">
        <v>140</v>
      </c>
      <c r="G1681" s="20" t="s">
        <v>1499</v>
      </c>
      <c r="H1681" s="55" t="n">
        <v>5</v>
      </c>
      <c r="I1681" s="76" t="s">
        <v>1119</v>
      </c>
      <c r="J1681" s="76" t="s">
        <v>1120</v>
      </c>
      <c r="K1681" s="82" t="n">
        <v>6.38</v>
      </c>
      <c r="L1681" s="55" t="n">
        <v>20</v>
      </c>
      <c r="M1681" s="73" t="n">
        <v>1</v>
      </c>
      <c r="N1681" s="74" t="n">
        <f aca="false">K1681*L1681*M1681</f>
        <v>127.6</v>
      </c>
      <c r="O1681" s="41" t="n">
        <f aca="false">IFERROR(INDEX(Исходные!$B$21:$B$33,MATCH(H1681,Исходные!$A$21:$A$33,0)),0)</f>
        <v>0.154</v>
      </c>
      <c r="P1681" s="83" t="n">
        <f aca="false">N1681*O1681</f>
        <v>19.6504</v>
      </c>
      <c r="Q1681" s="20" t="s">
        <v>1500</v>
      </c>
      <c r="R1681" s="85" t="s">
        <v>535</v>
      </c>
      <c r="S1681" s="20" t="s">
        <v>1501</v>
      </c>
      <c r="T1681" s="20" t="s">
        <v>124</v>
      </c>
      <c r="U1681" s="53" t="n">
        <v>1</v>
      </c>
      <c r="V1681" s="76" t="s">
        <v>141</v>
      </c>
      <c r="W1681" s="53" t="n">
        <v>4</v>
      </c>
    </row>
    <row r="1682" customFormat="false" ht="35.05" hidden="false" customHeight="false" outlineLevel="0" collapsed="false">
      <c r="A1682" s="76" t="n">
        <v>1646</v>
      </c>
      <c r="B1682" s="20" t="s">
        <v>1691</v>
      </c>
      <c r="C1682" s="20" t="s">
        <v>1101</v>
      </c>
      <c r="D1682" s="20" t="s">
        <v>1102</v>
      </c>
      <c r="E1682" s="20" t="s">
        <v>1830</v>
      </c>
      <c r="F1682" s="76" t="s">
        <v>510</v>
      </c>
      <c r="G1682" s="20" t="s">
        <v>1831</v>
      </c>
      <c r="H1682" s="55" t="n">
        <v>18</v>
      </c>
      <c r="I1682" s="76" t="s">
        <v>512</v>
      </c>
      <c r="J1682" s="76" t="n">
        <v>150</v>
      </c>
      <c r="K1682" s="82" t="n">
        <v>1</v>
      </c>
      <c r="L1682" s="55" t="n">
        <v>18</v>
      </c>
      <c r="M1682" s="73" t="n">
        <v>6.109</v>
      </c>
      <c r="N1682" s="74" t="n">
        <f aca="false">K1682*L1682*M1682</f>
        <v>109.962</v>
      </c>
      <c r="O1682" s="41" t="n">
        <f aca="false">IFERROR(INDEX(Исходные!$B$21:$B$33,MATCH(H1682,Исходные!$A$21:$A$33,0)),0)</f>
        <v>1.998</v>
      </c>
      <c r="P1682" s="83" t="n">
        <f aca="false">N1682*O1682</f>
        <v>219.704076</v>
      </c>
      <c r="Q1682" s="20" t="s">
        <v>1829</v>
      </c>
      <c r="R1682" s="85" t="s">
        <v>535</v>
      </c>
      <c r="S1682" s="20" t="s">
        <v>1491</v>
      </c>
      <c r="T1682" s="20" t="s">
        <v>124</v>
      </c>
      <c r="U1682" s="53" t="n">
        <v>1</v>
      </c>
      <c r="V1682" s="76" t="s">
        <v>142</v>
      </c>
      <c r="W1682" s="53" t="n">
        <v>4</v>
      </c>
    </row>
    <row r="1683" customFormat="false" ht="35.05" hidden="false" customHeight="false" outlineLevel="0" collapsed="false">
      <c r="A1683" s="76" t="n">
        <v>1647</v>
      </c>
      <c r="B1683" s="20" t="s">
        <v>1691</v>
      </c>
      <c r="C1683" s="20" t="s">
        <v>1101</v>
      </c>
      <c r="D1683" s="20" t="s">
        <v>1107</v>
      </c>
      <c r="E1683" s="20" t="s">
        <v>1830</v>
      </c>
      <c r="F1683" s="76" t="s">
        <v>519</v>
      </c>
      <c r="G1683" s="20" t="s">
        <v>1492</v>
      </c>
      <c r="H1683" s="55" t="n">
        <v>10</v>
      </c>
      <c r="I1683" s="76" t="s">
        <v>512</v>
      </c>
      <c r="J1683" s="76" t="s">
        <v>1109</v>
      </c>
      <c r="K1683" s="82" t="n">
        <v>1</v>
      </c>
      <c r="L1683" s="55" t="n">
        <v>60</v>
      </c>
      <c r="M1683" s="73" t="n">
        <v>1.19</v>
      </c>
      <c r="N1683" s="74" t="n">
        <f aca="false">K1683*L1683*M1683</f>
        <v>71.4</v>
      </c>
      <c r="O1683" s="41" t="n">
        <f aca="false">IFERROR(INDEX(Исходные!$B$21:$B$33,MATCH(H1683,Исходные!$A$21:$A$33,0)),0)</f>
        <v>0.617</v>
      </c>
      <c r="P1683" s="83" t="n">
        <f aca="false">N1683*O1683</f>
        <v>44.0538</v>
      </c>
      <c r="Q1683" s="20" t="s">
        <v>1493</v>
      </c>
      <c r="R1683" s="84" t="s">
        <v>514</v>
      </c>
      <c r="S1683" s="20" t="s">
        <v>1494</v>
      </c>
      <c r="T1683" s="20" t="s">
        <v>124</v>
      </c>
      <c r="U1683" s="53" t="n">
        <v>0</v>
      </c>
      <c r="V1683" s="76" t="s">
        <v>142</v>
      </c>
      <c r="W1683" s="53" t="n">
        <v>4</v>
      </c>
    </row>
    <row r="1684" customFormat="false" ht="35.05" hidden="false" customHeight="false" outlineLevel="0" collapsed="false">
      <c r="A1684" s="76" t="n">
        <v>1648</v>
      </c>
      <c r="B1684" s="20" t="s">
        <v>1691</v>
      </c>
      <c r="C1684" s="20" t="s">
        <v>1101</v>
      </c>
      <c r="D1684" s="20" t="s">
        <v>1107</v>
      </c>
      <c r="E1684" s="20" t="s">
        <v>1830</v>
      </c>
      <c r="F1684" s="76" t="s">
        <v>575</v>
      </c>
      <c r="G1684" s="20" t="s">
        <v>1495</v>
      </c>
      <c r="H1684" s="55" t="n">
        <v>10</v>
      </c>
      <c r="I1684" s="76" t="s">
        <v>546</v>
      </c>
      <c r="J1684" s="76" t="s">
        <v>1109</v>
      </c>
      <c r="K1684" s="82" t="n">
        <v>1</v>
      </c>
      <c r="L1684" s="55" t="n">
        <v>60</v>
      </c>
      <c r="M1684" s="73" t="n">
        <v>0.52</v>
      </c>
      <c r="N1684" s="74" t="n">
        <f aca="false">K1684*L1684*M1684</f>
        <v>31.2</v>
      </c>
      <c r="O1684" s="41" t="n">
        <f aca="false">IFERROR(INDEX(Исходные!$B$21:$B$33,MATCH(H1684,Исходные!$A$21:$A$33,0)),0)</f>
        <v>0.617</v>
      </c>
      <c r="P1684" s="83" t="n">
        <f aca="false">N1684*O1684</f>
        <v>19.2504</v>
      </c>
      <c r="Q1684" s="20" t="s">
        <v>1496</v>
      </c>
      <c r="R1684" s="84" t="s">
        <v>514</v>
      </c>
      <c r="S1684" s="20"/>
      <c r="T1684" s="20" t="s">
        <v>124</v>
      </c>
      <c r="U1684" s="53" t="n">
        <v>0</v>
      </c>
      <c r="V1684" s="76" t="s">
        <v>142</v>
      </c>
      <c r="W1684" s="53" t="n">
        <v>4</v>
      </c>
    </row>
    <row r="1685" customFormat="false" ht="35.05" hidden="false" customHeight="false" outlineLevel="0" collapsed="false">
      <c r="A1685" s="76" t="n">
        <v>1649</v>
      </c>
      <c r="B1685" s="20" t="s">
        <v>1691</v>
      </c>
      <c r="C1685" s="20" t="s">
        <v>1101</v>
      </c>
      <c r="D1685" s="20" t="s">
        <v>1107</v>
      </c>
      <c r="E1685" s="20" t="s">
        <v>1830</v>
      </c>
      <c r="F1685" s="76" t="s">
        <v>522</v>
      </c>
      <c r="G1685" s="20" t="s">
        <v>1139</v>
      </c>
      <c r="H1685" s="55" t="n">
        <v>6</v>
      </c>
      <c r="I1685" s="76" t="s">
        <v>546</v>
      </c>
      <c r="J1685" s="76" t="s">
        <v>1115</v>
      </c>
      <c r="K1685" s="82" t="n">
        <v>1</v>
      </c>
      <c r="L1685" s="55" t="n">
        <v>38</v>
      </c>
      <c r="M1685" s="73" t="n">
        <v>0.28</v>
      </c>
      <c r="N1685" s="74" t="n">
        <f aca="false">K1685*L1685*M1685</f>
        <v>10.64</v>
      </c>
      <c r="O1685" s="41" t="n">
        <f aca="false">IFERROR(INDEX(Исходные!$B$21:$B$33,MATCH(H1685,Исходные!$A$21:$A$33,0)),0)</f>
        <v>0.222</v>
      </c>
      <c r="P1685" s="83" t="n">
        <f aca="false">N1685*O1685</f>
        <v>2.36208</v>
      </c>
      <c r="Q1685" s="20" t="s">
        <v>1497</v>
      </c>
      <c r="R1685" s="85" t="s">
        <v>638</v>
      </c>
      <c r="S1685" s="20" t="s">
        <v>1498</v>
      </c>
      <c r="T1685" s="20" t="s">
        <v>124</v>
      </c>
      <c r="U1685" s="53" t="n">
        <v>1</v>
      </c>
      <c r="V1685" s="76" t="s">
        <v>142</v>
      </c>
      <c r="W1685" s="53" t="n">
        <v>4</v>
      </c>
    </row>
    <row r="1686" customFormat="false" ht="35.05" hidden="false" customHeight="false" outlineLevel="0" collapsed="false">
      <c r="A1686" s="76" t="n">
        <v>1650</v>
      </c>
      <c r="B1686" s="20" t="s">
        <v>1691</v>
      </c>
      <c r="C1686" s="20" t="s">
        <v>1101</v>
      </c>
      <c r="D1686" s="20" t="s">
        <v>1107</v>
      </c>
      <c r="E1686" s="20" t="s">
        <v>1830</v>
      </c>
      <c r="F1686" s="76" t="s">
        <v>140</v>
      </c>
      <c r="G1686" s="20" t="s">
        <v>1499</v>
      </c>
      <c r="H1686" s="55" t="n">
        <v>5</v>
      </c>
      <c r="I1686" s="76" t="s">
        <v>1119</v>
      </c>
      <c r="J1686" s="76" t="s">
        <v>1120</v>
      </c>
      <c r="K1686" s="82" t="n">
        <v>6.38</v>
      </c>
      <c r="L1686" s="55" t="n">
        <v>20</v>
      </c>
      <c r="M1686" s="73" t="n">
        <v>1</v>
      </c>
      <c r="N1686" s="74" t="n">
        <f aca="false">K1686*L1686*M1686</f>
        <v>127.6</v>
      </c>
      <c r="O1686" s="41" t="n">
        <f aca="false">IFERROR(INDEX(Исходные!$B$21:$B$33,MATCH(H1686,Исходные!$A$21:$A$33,0)),0)</f>
        <v>0.154</v>
      </c>
      <c r="P1686" s="83" t="n">
        <f aca="false">N1686*O1686</f>
        <v>19.6504</v>
      </c>
      <c r="Q1686" s="20" t="s">
        <v>1500</v>
      </c>
      <c r="R1686" s="85" t="s">
        <v>535</v>
      </c>
      <c r="S1686" s="20" t="s">
        <v>1501</v>
      </c>
      <c r="T1686" s="20" t="s">
        <v>124</v>
      </c>
      <c r="U1686" s="53" t="n">
        <v>1</v>
      </c>
      <c r="V1686" s="76" t="s">
        <v>142</v>
      </c>
      <c r="W1686" s="53" t="n">
        <v>4</v>
      </c>
    </row>
    <row r="1687" customFormat="false" ht="35.05" hidden="false" customHeight="false" outlineLevel="0" collapsed="false">
      <c r="A1687" s="76" t="n">
        <v>1651</v>
      </c>
      <c r="B1687" s="20" t="s">
        <v>1691</v>
      </c>
      <c r="C1687" s="20" t="s">
        <v>1101</v>
      </c>
      <c r="D1687" s="20" t="s">
        <v>1832</v>
      </c>
      <c r="E1687" s="20" t="s">
        <v>1833</v>
      </c>
      <c r="F1687" s="76" t="s">
        <v>519</v>
      </c>
      <c r="G1687" s="20" t="s">
        <v>1506</v>
      </c>
      <c r="H1687" s="55" t="n">
        <v>10</v>
      </c>
      <c r="I1687" s="76" t="s">
        <v>512</v>
      </c>
      <c r="J1687" s="76" t="n">
        <v>100</v>
      </c>
      <c r="K1687" s="82" t="n">
        <v>2</v>
      </c>
      <c r="L1687" s="55" t="n">
        <v>28</v>
      </c>
      <c r="M1687" s="73" t="n">
        <v>1.19</v>
      </c>
      <c r="N1687" s="74" t="n">
        <f aca="false">K1687*L1687*M1687</f>
        <v>66.64</v>
      </c>
      <c r="O1687" s="41" t="n">
        <f aca="false">IFERROR(INDEX(Исходные!$B$21:$B$33,MATCH(H1687,Исходные!$A$21:$A$33,0)),0)</f>
        <v>0.617</v>
      </c>
      <c r="P1687" s="83" t="n">
        <f aca="false">N1687*O1687</f>
        <v>41.11688</v>
      </c>
      <c r="Q1687" s="20" t="s">
        <v>1507</v>
      </c>
      <c r="R1687" s="84" t="s">
        <v>514</v>
      </c>
      <c r="S1687" s="20"/>
      <c r="T1687" s="20" t="s">
        <v>124</v>
      </c>
      <c r="U1687" s="53" t="n">
        <v>0</v>
      </c>
      <c r="V1687" s="76" t="s">
        <v>1134</v>
      </c>
      <c r="W1687" s="53" t="n">
        <v>4</v>
      </c>
    </row>
    <row r="1688" customFormat="false" ht="35.05" hidden="false" customHeight="false" outlineLevel="0" collapsed="false">
      <c r="A1688" s="76" t="n">
        <v>1652</v>
      </c>
      <c r="B1688" s="20" t="s">
        <v>1691</v>
      </c>
      <c r="C1688" s="20" t="s">
        <v>1101</v>
      </c>
      <c r="D1688" s="20" t="s">
        <v>1832</v>
      </c>
      <c r="E1688" s="20" t="s">
        <v>1833</v>
      </c>
      <c r="F1688" s="76" t="s">
        <v>575</v>
      </c>
      <c r="G1688" s="20" t="s">
        <v>1508</v>
      </c>
      <c r="H1688" s="55" t="n">
        <v>10</v>
      </c>
      <c r="I1688" s="76" t="s">
        <v>546</v>
      </c>
      <c r="J1688" s="76" t="n">
        <v>100</v>
      </c>
      <c r="K1688" s="82" t="n">
        <v>2</v>
      </c>
      <c r="L1688" s="55" t="n">
        <v>28</v>
      </c>
      <c r="M1688" s="73" t="n">
        <v>0.52</v>
      </c>
      <c r="N1688" s="74" t="n">
        <f aca="false">K1688*L1688*M1688</f>
        <v>29.12</v>
      </c>
      <c r="O1688" s="41" t="n">
        <f aca="false">IFERROR(INDEX(Исходные!$B$21:$B$33,MATCH(H1688,Исходные!$A$21:$A$33,0)),0)</f>
        <v>0.617</v>
      </c>
      <c r="P1688" s="83" t="n">
        <f aca="false">N1688*O1688</f>
        <v>17.96704</v>
      </c>
      <c r="Q1688" s="20" t="s">
        <v>1136</v>
      </c>
      <c r="R1688" s="84" t="s">
        <v>514</v>
      </c>
      <c r="S1688" s="20"/>
      <c r="T1688" s="20" t="s">
        <v>124</v>
      </c>
      <c r="U1688" s="53" t="n">
        <v>0</v>
      </c>
      <c r="V1688" s="76" t="s">
        <v>1134</v>
      </c>
      <c r="W1688" s="53" t="n">
        <v>4</v>
      </c>
    </row>
    <row r="1689" customFormat="false" ht="35.05" hidden="false" customHeight="false" outlineLevel="0" collapsed="false">
      <c r="A1689" s="76" t="n">
        <v>1653</v>
      </c>
      <c r="B1689" s="20" t="s">
        <v>1691</v>
      </c>
      <c r="C1689" s="20" t="s">
        <v>1101</v>
      </c>
      <c r="D1689" s="20" t="s">
        <v>1832</v>
      </c>
      <c r="E1689" s="20" t="s">
        <v>1833</v>
      </c>
      <c r="F1689" s="76" t="s">
        <v>516</v>
      </c>
      <c r="G1689" s="20" t="s">
        <v>1509</v>
      </c>
      <c r="H1689" s="55" t="n">
        <v>10</v>
      </c>
      <c r="I1689" s="76" t="s">
        <v>512</v>
      </c>
      <c r="J1689" s="76" t="n">
        <v>100</v>
      </c>
      <c r="K1689" s="82" t="n">
        <v>1</v>
      </c>
      <c r="L1689" s="55" t="n">
        <v>28</v>
      </c>
      <c r="M1689" s="73" t="n">
        <v>0.6</v>
      </c>
      <c r="N1689" s="74" t="n">
        <f aca="false">K1689*L1689*M1689</f>
        <v>16.8</v>
      </c>
      <c r="O1689" s="41" t="n">
        <f aca="false">IFERROR(INDEX(Исходные!$B$21:$B$33,MATCH(H1689,Исходные!$A$21:$A$33,0)),0)</f>
        <v>0.617</v>
      </c>
      <c r="P1689" s="83" t="n">
        <f aca="false">N1689*O1689</f>
        <v>10.3656</v>
      </c>
      <c r="Q1689" s="20" t="s">
        <v>1510</v>
      </c>
      <c r="R1689" s="84" t="s">
        <v>514</v>
      </c>
      <c r="S1689" s="20"/>
      <c r="T1689" s="20" t="s">
        <v>124</v>
      </c>
      <c r="U1689" s="53" t="n">
        <v>0</v>
      </c>
      <c r="V1689" s="76" t="s">
        <v>1134</v>
      </c>
      <c r="W1689" s="53" t="n">
        <v>4</v>
      </c>
    </row>
    <row r="1690" customFormat="false" ht="35.05" hidden="false" customHeight="false" outlineLevel="0" collapsed="false">
      <c r="A1690" s="76" t="n">
        <v>1654</v>
      </c>
      <c r="B1690" s="20" t="s">
        <v>1691</v>
      </c>
      <c r="C1690" s="20" t="s">
        <v>1101</v>
      </c>
      <c r="D1690" s="20" t="s">
        <v>1832</v>
      </c>
      <c r="E1690" s="20" t="s">
        <v>1833</v>
      </c>
      <c r="F1690" s="76" t="s">
        <v>522</v>
      </c>
      <c r="G1690" s="20" t="s">
        <v>1511</v>
      </c>
      <c r="H1690" s="55" t="n">
        <v>6</v>
      </c>
      <c r="I1690" s="76" t="s">
        <v>546</v>
      </c>
      <c r="J1690" s="76" t="s">
        <v>1115</v>
      </c>
      <c r="K1690" s="82" t="n">
        <v>1</v>
      </c>
      <c r="L1690" s="55" t="n">
        <v>28</v>
      </c>
      <c r="M1690" s="73" t="n">
        <v>0.28</v>
      </c>
      <c r="N1690" s="74" t="n">
        <f aca="false">K1690*L1690*M1690</f>
        <v>7.84</v>
      </c>
      <c r="O1690" s="41" t="n">
        <f aca="false">IFERROR(INDEX(Исходные!$B$21:$B$33,MATCH(H1690,Исходные!$A$21:$A$33,0)),0)</f>
        <v>0.222</v>
      </c>
      <c r="P1690" s="83" t="n">
        <f aca="false">N1690*O1690</f>
        <v>1.74048</v>
      </c>
      <c r="Q1690" s="20" t="s">
        <v>1140</v>
      </c>
      <c r="R1690" s="85" t="s">
        <v>638</v>
      </c>
      <c r="S1690" s="20"/>
      <c r="T1690" s="20" t="s">
        <v>124</v>
      </c>
      <c r="U1690" s="53" t="n">
        <v>1</v>
      </c>
      <c r="V1690" s="76" t="s">
        <v>1134</v>
      </c>
      <c r="W1690" s="53" t="n">
        <v>4</v>
      </c>
    </row>
    <row r="1691" customFormat="false" ht="35.05" hidden="false" customHeight="false" outlineLevel="0" collapsed="false">
      <c r="A1691" s="76" t="n">
        <v>1655</v>
      </c>
      <c r="B1691" s="20" t="s">
        <v>1691</v>
      </c>
      <c r="C1691" s="20" t="s">
        <v>1101</v>
      </c>
      <c r="D1691" s="20" t="s">
        <v>1832</v>
      </c>
      <c r="E1691" s="20" t="s">
        <v>1833</v>
      </c>
      <c r="F1691" s="76" t="s">
        <v>1142</v>
      </c>
      <c r="G1691" s="20" t="s">
        <v>1512</v>
      </c>
      <c r="H1691" s="55" t="n">
        <v>10</v>
      </c>
      <c r="I1691" s="76" t="s">
        <v>512</v>
      </c>
      <c r="J1691" s="76" t="s">
        <v>164</v>
      </c>
      <c r="K1691" s="82" t="n">
        <v>2</v>
      </c>
      <c r="L1691" s="55" t="n">
        <v>4</v>
      </c>
      <c r="M1691" s="73" t="n">
        <v>0.48</v>
      </c>
      <c r="N1691" s="74" t="n">
        <f aca="false">K1691*L1691*M1691</f>
        <v>3.84</v>
      </c>
      <c r="O1691" s="41" t="n">
        <f aca="false">IFERROR(INDEX(Исходные!$B$21:$B$33,MATCH(H1691,Исходные!$A$21:$A$33,0)),0)</f>
        <v>0.617</v>
      </c>
      <c r="P1691" s="83" t="n">
        <f aca="false">N1691*O1691</f>
        <v>2.36928</v>
      </c>
      <c r="Q1691" s="20" t="s">
        <v>1513</v>
      </c>
      <c r="R1691" s="85" t="s">
        <v>638</v>
      </c>
      <c r="S1691" s="20"/>
      <c r="T1691" s="20" t="s">
        <v>124</v>
      </c>
      <c r="U1691" s="53" t="n">
        <v>1</v>
      </c>
      <c r="V1691" s="76" t="s">
        <v>1134</v>
      </c>
      <c r="W1691" s="53" t="n">
        <v>4</v>
      </c>
    </row>
    <row r="1692" customFormat="false" ht="35.05" hidden="false" customHeight="false" outlineLevel="0" collapsed="false">
      <c r="A1692" s="76" t="n">
        <v>1656</v>
      </c>
      <c r="B1692" s="20" t="s">
        <v>1691</v>
      </c>
      <c r="C1692" s="20" t="s">
        <v>1101</v>
      </c>
      <c r="D1692" s="20" t="s">
        <v>1146</v>
      </c>
      <c r="E1692" s="20" t="s">
        <v>220</v>
      </c>
      <c r="F1692" s="76" t="s">
        <v>510</v>
      </c>
      <c r="G1692" s="20" t="s">
        <v>1147</v>
      </c>
      <c r="H1692" s="55" t="n">
        <v>25</v>
      </c>
      <c r="I1692" s="76" t="s">
        <v>512</v>
      </c>
      <c r="J1692" s="76" t="s">
        <v>164</v>
      </c>
      <c r="K1692" s="82" t="n">
        <v>1</v>
      </c>
      <c r="L1692" s="55" t="n">
        <v>4</v>
      </c>
      <c r="M1692" s="73" t="n">
        <v>3.065</v>
      </c>
      <c r="N1692" s="74" t="n">
        <f aca="false">K1692*L1692*M1692</f>
        <v>12.26</v>
      </c>
      <c r="O1692" s="41" t="n">
        <f aca="false">IFERROR(INDEX(Исходные!$B$21:$B$33,MATCH(H1692,Исходные!$A$21:$A$33,0)),0)</f>
        <v>3.853</v>
      </c>
      <c r="P1692" s="83" t="n">
        <f aca="false">N1692*O1692</f>
        <v>47.23778</v>
      </c>
      <c r="Q1692" s="20" t="s">
        <v>1514</v>
      </c>
      <c r="R1692" s="85" t="s">
        <v>535</v>
      </c>
      <c r="S1692" s="20"/>
      <c r="T1692" s="20" t="s">
        <v>124</v>
      </c>
      <c r="U1692" s="53" t="n">
        <v>1</v>
      </c>
      <c r="V1692" s="76" t="s">
        <v>1150</v>
      </c>
      <c r="W1692" s="53" t="n">
        <v>4</v>
      </c>
    </row>
    <row r="1693" customFormat="false" ht="35.05" hidden="false" customHeight="false" outlineLevel="0" collapsed="false">
      <c r="A1693" s="76" t="n">
        <v>1657</v>
      </c>
      <c r="B1693" s="20" t="s">
        <v>1691</v>
      </c>
      <c r="C1693" s="20" t="s">
        <v>1101</v>
      </c>
      <c r="D1693" s="20" t="s">
        <v>1146</v>
      </c>
      <c r="E1693" s="20" t="s">
        <v>220</v>
      </c>
      <c r="F1693" s="76" t="s">
        <v>510</v>
      </c>
      <c r="G1693" s="20" t="s">
        <v>1834</v>
      </c>
      <c r="H1693" s="55" t="n">
        <v>25</v>
      </c>
      <c r="I1693" s="76" t="s">
        <v>512</v>
      </c>
      <c r="J1693" s="76" t="s">
        <v>164</v>
      </c>
      <c r="K1693" s="82" t="n">
        <v>1</v>
      </c>
      <c r="L1693" s="55" t="n">
        <v>4</v>
      </c>
      <c r="M1693" s="73" t="n">
        <v>2.21</v>
      </c>
      <c r="N1693" s="74" t="n">
        <f aca="false">K1693*L1693*M1693</f>
        <v>8.84</v>
      </c>
      <c r="O1693" s="41" t="n">
        <f aca="false">IFERROR(INDEX(Исходные!$B$21:$B$33,MATCH(H1693,Исходные!$A$21:$A$33,0)),0)</f>
        <v>3.853</v>
      </c>
      <c r="P1693" s="83" t="n">
        <f aca="false">N1693*O1693</f>
        <v>34.06052</v>
      </c>
      <c r="Q1693" s="20" t="s">
        <v>1835</v>
      </c>
      <c r="R1693" s="85" t="s">
        <v>535</v>
      </c>
      <c r="S1693" s="20" t="s">
        <v>1517</v>
      </c>
      <c r="T1693" s="20" t="s">
        <v>124</v>
      </c>
      <c r="U1693" s="53" t="n">
        <v>1</v>
      </c>
      <c r="V1693" s="76" t="s">
        <v>1150</v>
      </c>
      <c r="W1693" s="53" t="n">
        <v>4</v>
      </c>
    </row>
    <row r="1694" customFormat="false" ht="35.05" hidden="false" customHeight="false" outlineLevel="0" collapsed="false">
      <c r="A1694" s="76" t="n">
        <v>1658</v>
      </c>
      <c r="B1694" s="20" t="s">
        <v>1691</v>
      </c>
      <c r="C1694" s="20" t="s">
        <v>1101</v>
      </c>
      <c r="D1694" s="20" t="s">
        <v>1154</v>
      </c>
      <c r="E1694" s="20" t="s">
        <v>220</v>
      </c>
      <c r="F1694" s="76" t="s">
        <v>1155</v>
      </c>
      <c r="G1694" s="20" t="s">
        <v>1518</v>
      </c>
      <c r="H1694" s="55" t="n">
        <v>8</v>
      </c>
      <c r="I1694" s="76" t="s">
        <v>546</v>
      </c>
      <c r="J1694" s="76" t="n">
        <v>100</v>
      </c>
      <c r="K1694" s="82" t="n">
        <v>1</v>
      </c>
      <c r="L1694" s="55" t="n">
        <v>14</v>
      </c>
      <c r="M1694" s="73" t="n">
        <v>1.28</v>
      </c>
      <c r="N1694" s="74" t="n">
        <f aca="false">K1694*L1694*M1694</f>
        <v>17.92</v>
      </c>
      <c r="O1694" s="41" t="n">
        <f aca="false">IFERROR(INDEX(Исходные!$B$21:$B$33,MATCH(H1694,Исходные!$A$21:$A$33,0)),0)</f>
        <v>0.395</v>
      </c>
      <c r="P1694" s="83" t="n">
        <f aca="false">N1694*O1694</f>
        <v>7.0784</v>
      </c>
      <c r="Q1694" s="20" t="s">
        <v>1519</v>
      </c>
      <c r="R1694" s="84" t="s">
        <v>514</v>
      </c>
      <c r="S1694" s="20"/>
      <c r="T1694" s="20" t="s">
        <v>124</v>
      </c>
      <c r="U1694" s="53" t="n">
        <v>0</v>
      </c>
      <c r="V1694" s="76" t="s">
        <v>1150</v>
      </c>
      <c r="W1694" s="53" t="n">
        <v>4</v>
      </c>
    </row>
    <row r="1695" customFormat="false" ht="35.05" hidden="false" customHeight="false" outlineLevel="0" collapsed="false">
      <c r="A1695" s="76" t="n">
        <v>1659</v>
      </c>
      <c r="B1695" s="20" t="s">
        <v>1691</v>
      </c>
      <c r="C1695" s="20" t="s">
        <v>1101</v>
      </c>
      <c r="D1695" s="20" t="s">
        <v>1154</v>
      </c>
      <c r="E1695" s="20" t="s">
        <v>220</v>
      </c>
      <c r="F1695" s="76" t="s">
        <v>1158</v>
      </c>
      <c r="G1695" s="20" t="s">
        <v>1520</v>
      </c>
      <c r="H1695" s="55" t="n">
        <v>8</v>
      </c>
      <c r="I1695" s="76" t="s">
        <v>546</v>
      </c>
      <c r="J1695" s="76" t="n">
        <v>100</v>
      </c>
      <c r="K1695" s="82" t="n">
        <v>1</v>
      </c>
      <c r="L1695" s="55" t="n">
        <v>22</v>
      </c>
      <c r="M1695" s="73" t="n">
        <v>1.16</v>
      </c>
      <c r="N1695" s="74" t="n">
        <f aca="false">K1695*L1695*M1695</f>
        <v>25.52</v>
      </c>
      <c r="O1695" s="41" t="n">
        <f aca="false">IFERROR(INDEX(Исходные!$B$21:$B$33,MATCH(H1695,Исходные!$A$21:$A$33,0)),0)</f>
        <v>0.395</v>
      </c>
      <c r="P1695" s="83" t="n">
        <f aca="false">N1695*O1695</f>
        <v>10.0804</v>
      </c>
      <c r="Q1695" s="20" t="s">
        <v>1521</v>
      </c>
      <c r="R1695" s="84" t="s">
        <v>514</v>
      </c>
      <c r="S1695" s="20"/>
      <c r="T1695" s="20" t="s">
        <v>124</v>
      </c>
      <c r="U1695" s="53" t="n">
        <v>0</v>
      </c>
      <c r="V1695" s="76" t="s">
        <v>1150</v>
      </c>
      <c r="W1695" s="53" t="n">
        <v>4</v>
      </c>
    </row>
    <row r="1696" customFormat="false" ht="35.05" hidden="false" customHeight="false" outlineLevel="0" collapsed="false">
      <c r="A1696" s="76" t="n">
        <v>1660</v>
      </c>
      <c r="B1696" s="20" t="s">
        <v>1691</v>
      </c>
      <c r="C1696" s="20" t="s">
        <v>1101</v>
      </c>
      <c r="D1696" s="20" t="s">
        <v>1154</v>
      </c>
      <c r="E1696" s="20" t="s">
        <v>220</v>
      </c>
      <c r="F1696" s="76" t="s">
        <v>1161</v>
      </c>
      <c r="G1696" s="20" t="s">
        <v>1522</v>
      </c>
      <c r="H1696" s="55" t="n">
        <v>16</v>
      </c>
      <c r="I1696" s="76" t="s">
        <v>546</v>
      </c>
      <c r="J1696" s="76" t="s">
        <v>164</v>
      </c>
      <c r="K1696" s="82" t="n">
        <v>1</v>
      </c>
      <c r="L1696" s="55" t="n">
        <v>2</v>
      </c>
      <c r="M1696" s="73" t="n">
        <v>0.42</v>
      </c>
      <c r="N1696" s="74" t="n">
        <f aca="false">K1696*L1696*M1696</f>
        <v>0.84</v>
      </c>
      <c r="O1696" s="41" t="n">
        <f aca="false">IFERROR(INDEX(Исходные!$B$21:$B$33,MATCH(H1696,Исходные!$A$21:$A$33,0)),0)</f>
        <v>1.578</v>
      </c>
      <c r="P1696" s="83" t="n">
        <f aca="false">N1696*O1696</f>
        <v>1.32552</v>
      </c>
      <c r="Q1696" s="20" t="s">
        <v>1523</v>
      </c>
      <c r="R1696" s="85" t="s">
        <v>638</v>
      </c>
      <c r="S1696" s="20"/>
      <c r="T1696" s="20" t="s">
        <v>124</v>
      </c>
      <c r="U1696" s="53" t="n">
        <v>1</v>
      </c>
      <c r="V1696" s="76" t="s">
        <v>1150</v>
      </c>
      <c r="W1696" s="53" t="n">
        <v>4</v>
      </c>
    </row>
    <row r="1697" customFormat="false" ht="15" hidden="false" customHeight="true" outlineLevel="0" collapsed="false">
      <c r="A1697" s="80" t="s">
        <v>1836</v>
      </c>
      <c r="B1697" s="80"/>
      <c r="C1697" s="80"/>
      <c r="D1697" s="80"/>
      <c r="E1697" s="80"/>
      <c r="F1697" s="80"/>
      <c r="G1697" s="80"/>
      <c r="H1697" s="80"/>
      <c r="I1697" s="80"/>
      <c r="J1697" s="80"/>
      <c r="K1697" s="80"/>
      <c r="L1697" s="80"/>
      <c r="M1697" s="80"/>
      <c r="N1697" s="80"/>
      <c r="O1697" s="80"/>
      <c r="P1697" s="80"/>
      <c r="Q1697" s="80"/>
      <c r="R1697" s="80"/>
      <c r="S1697" s="80"/>
      <c r="T1697" s="80"/>
      <c r="U1697" s="80"/>
      <c r="V1697" s="80"/>
      <c r="W1697" s="80"/>
    </row>
    <row r="1698" customFormat="false" ht="15" hidden="false" customHeight="true" outlineLevel="0" collapsed="false">
      <c r="A1698" s="81" t="s">
        <v>1837</v>
      </c>
      <c r="B1698" s="81"/>
      <c r="C1698" s="81"/>
      <c r="D1698" s="81"/>
      <c r="E1698" s="81"/>
      <c r="F1698" s="81"/>
      <c r="G1698" s="81"/>
      <c r="H1698" s="81"/>
      <c r="I1698" s="81"/>
      <c r="J1698" s="81"/>
      <c r="K1698" s="81"/>
      <c r="L1698" s="81"/>
      <c r="M1698" s="81"/>
      <c r="N1698" s="81"/>
      <c r="O1698" s="81"/>
      <c r="P1698" s="81"/>
      <c r="Q1698" s="81"/>
      <c r="R1698" s="81"/>
      <c r="S1698" s="81"/>
      <c r="T1698" s="81"/>
      <c r="U1698" s="81"/>
      <c r="V1698" s="81"/>
      <c r="W1698" s="81"/>
    </row>
    <row r="1699" customFormat="false" ht="46.25" hidden="false" customHeight="false" outlineLevel="0" collapsed="false">
      <c r="A1699" s="76" t="n">
        <v>1661</v>
      </c>
      <c r="B1699" s="20" t="s">
        <v>1838</v>
      </c>
      <c r="C1699" s="20" t="s">
        <v>508</v>
      </c>
      <c r="D1699" s="20" t="s">
        <v>509</v>
      </c>
      <c r="E1699" s="20" t="s">
        <v>148</v>
      </c>
      <c r="F1699" s="76" t="s">
        <v>519</v>
      </c>
      <c r="G1699" s="20" t="s">
        <v>1839</v>
      </c>
      <c r="H1699" s="55" t="n">
        <v>28</v>
      </c>
      <c r="I1699" s="76" t="s">
        <v>512</v>
      </c>
      <c r="J1699" s="76" t="s">
        <v>164</v>
      </c>
      <c r="K1699" s="82" t="n">
        <v>1</v>
      </c>
      <c r="L1699" s="55" t="n">
        <v>2</v>
      </c>
      <c r="M1699" s="73" t="n">
        <v>2.75</v>
      </c>
      <c r="N1699" s="74" t="n">
        <f aca="false">K1699*L1699*M1699</f>
        <v>5.5</v>
      </c>
      <c r="O1699" s="41" t="n">
        <f aca="false">IFERROR(INDEX(Исходные!$B$21:$B$33,MATCH(H1699,Исходные!$A$21:$A$33,0)),0)</f>
        <v>4.834</v>
      </c>
      <c r="P1699" s="83" t="n">
        <f aca="false">N1699*O1699</f>
        <v>26.587</v>
      </c>
      <c r="Q1699" s="20" t="s">
        <v>1527</v>
      </c>
      <c r="R1699" s="84" t="s">
        <v>514</v>
      </c>
      <c r="S1699" s="20" t="s">
        <v>1840</v>
      </c>
      <c r="T1699" s="20" t="s">
        <v>12</v>
      </c>
      <c r="U1699" s="53" t="n">
        <v>0</v>
      </c>
      <c r="V1699" s="76" t="s">
        <v>148</v>
      </c>
      <c r="W1699" s="53" t="n">
        <v>5</v>
      </c>
    </row>
    <row r="1700" customFormat="false" ht="46.25" hidden="false" customHeight="false" outlineLevel="0" collapsed="false">
      <c r="A1700" s="76" t="n">
        <v>1662</v>
      </c>
      <c r="B1700" s="20" t="s">
        <v>1838</v>
      </c>
      <c r="C1700" s="20" t="s">
        <v>508</v>
      </c>
      <c r="D1700" s="20" t="s">
        <v>509</v>
      </c>
      <c r="E1700" s="20" t="s">
        <v>148</v>
      </c>
      <c r="F1700" s="76" t="s">
        <v>519</v>
      </c>
      <c r="G1700" s="20" t="s">
        <v>1841</v>
      </c>
      <c r="H1700" s="55" t="n">
        <v>28</v>
      </c>
      <c r="I1700" s="76" t="s">
        <v>512</v>
      </c>
      <c r="J1700" s="76" t="s">
        <v>164</v>
      </c>
      <c r="K1700" s="82" t="n">
        <v>1</v>
      </c>
      <c r="L1700" s="55" t="n">
        <v>2</v>
      </c>
      <c r="M1700" s="73" t="n">
        <v>2.25</v>
      </c>
      <c r="N1700" s="74" t="n">
        <f aca="false">K1700*L1700*M1700</f>
        <v>4.5</v>
      </c>
      <c r="O1700" s="41" t="n">
        <f aca="false">IFERROR(INDEX(Исходные!$B$21:$B$33,MATCH(H1700,Исходные!$A$21:$A$33,0)),0)</f>
        <v>4.834</v>
      </c>
      <c r="P1700" s="83" t="n">
        <f aca="false">N1700*O1700</f>
        <v>21.753</v>
      </c>
      <c r="Q1700" s="20" t="s">
        <v>1527</v>
      </c>
      <c r="R1700" s="84" t="s">
        <v>514</v>
      </c>
      <c r="S1700" s="20" t="s">
        <v>1842</v>
      </c>
      <c r="T1700" s="20" t="s">
        <v>12</v>
      </c>
      <c r="U1700" s="53" t="n">
        <v>0</v>
      </c>
      <c r="V1700" s="76" t="s">
        <v>148</v>
      </c>
      <c r="W1700" s="53" t="n">
        <v>5</v>
      </c>
    </row>
    <row r="1701" customFormat="false" ht="46.25" hidden="false" customHeight="false" outlineLevel="0" collapsed="false">
      <c r="A1701" s="76" t="n">
        <v>1663</v>
      </c>
      <c r="B1701" s="20" t="s">
        <v>1838</v>
      </c>
      <c r="C1701" s="20" t="s">
        <v>508</v>
      </c>
      <c r="D1701" s="20" t="s">
        <v>509</v>
      </c>
      <c r="E1701" s="20" t="s">
        <v>148</v>
      </c>
      <c r="F1701" s="76" t="s">
        <v>516</v>
      </c>
      <c r="G1701" s="20" t="s">
        <v>1843</v>
      </c>
      <c r="H1701" s="55" t="n">
        <v>20</v>
      </c>
      <c r="I1701" s="76" t="s">
        <v>512</v>
      </c>
      <c r="J1701" s="76" t="s">
        <v>164</v>
      </c>
      <c r="K1701" s="82" t="n">
        <v>1</v>
      </c>
      <c r="L1701" s="55" t="n">
        <v>4</v>
      </c>
      <c r="M1701" s="73" t="n">
        <v>2.75</v>
      </c>
      <c r="N1701" s="74" t="n">
        <f aca="false">K1701*L1701*M1701</f>
        <v>11</v>
      </c>
      <c r="O1701" s="41" t="n">
        <f aca="false">IFERROR(INDEX(Исходные!$B$21:$B$33,MATCH(H1701,Исходные!$A$21:$A$33,0)),0)</f>
        <v>2.466</v>
      </c>
      <c r="P1701" s="83" t="n">
        <f aca="false">N1701*O1701</f>
        <v>27.126</v>
      </c>
      <c r="Q1701" s="20" t="s">
        <v>1527</v>
      </c>
      <c r="R1701" s="84" t="s">
        <v>514</v>
      </c>
      <c r="S1701" s="20" t="s">
        <v>1844</v>
      </c>
      <c r="T1701" s="20" t="s">
        <v>12</v>
      </c>
      <c r="U1701" s="53" t="n">
        <v>0</v>
      </c>
      <c r="V1701" s="76" t="s">
        <v>148</v>
      </c>
      <c r="W1701" s="53" t="n">
        <v>5</v>
      </c>
    </row>
    <row r="1702" customFormat="false" ht="46.25" hidden="false" customHeight="false" outlineLevel="0" collapsed="false">
      <c r="A1702" s="76" t="n">
        <v>1664</v>
      </c>
      <c r="B1702" s="20" t="s">
        <v>1838</v>
      </c>
      <c r="C1702" s="20" t="s">
        <v>508</v>
      </c>
      <c r="D1702" s="20" t="s">
        <v>509</v>
      </c>
      <c r="E1702" s="20" t="s">
        <v>148</v>
      </c>
      <c r="F1702" s="76" t="s">
        <v>516</v>
      </c>
      <c r="G1702" s="20" t="s">
        <v>1845</v>
      </c>
      <c r="H1702" s="55" t="n">
        <v>20</v>
      </c>
      <c r="I1702" s="76" t="s">
        <v>512</v>
      </c>
      <c r="J1702" s="76" t="s">
        <v>164</v>
      </c>
      <c r="K1702" s="82" t="n">
        <v>1</v>
      </c>
      <c r="L1702" s="55" t="n">
        <v>4</v>
      </c>
      <c r="M1702" s="73" t="n">
        <v>2.25</v>
      </c>
      <c r="N1702" s="74" t="n">
        <f aca="false">K1702*L1702*M1702</f>
        <v>9</v>
      </c>
      <c r="O1702" s="41" t="n">
        <f aca="false">IFERROR(INDEX(Исходные!$B$21:$B$33,MATCH(H1702,Исходные!$A$21:$A$33,0)),0)</f>
        <v>2.466</v>
      </c>
      <c r="P1702" s="83" t="n">
        <f aca="false">N1702*O1702</f>
        <v>22.194</v>
      </c>
      <c r="Q1702" s="20" t="s">
        <v>1527</v>
      </c>
      <c r="R1702" s="84" t="s">
        <v>514</v>
      </c>
      <c r="S1702" s="20" t="s">
        <v>1846</v>
      </c>
      <c r="T1702" s="20" t="s">
        <v>12</v>
      </c>
      <c r="U1702" s="53" t="n">
        <v>0</v>
      </c>
      <c r="V1702" s="76" t="s">
        <v>148</v>
      </c>
      <c r="W1702" s="53" t="n">
        <v>5</v>
      </c>
    </row>
    <row r="1703" customFormat="false" ht="46.25" hidden="false" customHeight="false" outlineLevel="0" collapsed="false">
      <c r="A1703" s="76" t="n">
        <v>1665</v>
      </c>
      <c r="B1703" s="20" t="s">
        <v>1838</v>
      </c>
      <c r="C1703" s="20" t="s">
        <v>508</v>
      </c>
      <c r="D1703" s="20" t="s">
        <v>509</v>
      </c>
      <c r="E1703" s="20" t="s">
        <v>148</v>
      </c>
      <c r="F1703" s="76" t="s">
        <v>575</v>
      </c>
      <c r="G1703" s="20" t="s">
        <v>1847</v>
      </c>
      <c r="H1703" s="55" t="n">
        <v>22</v>
      </c>
      <c r="I1703" s="76" t="s">
        <v>512</v>
      </c>
      <c r="J1703" s="76" t="s">
        <v>164</v>
      </c>
      <c r="K1703" s="82" t="n">
        <v>1</v>
      </c>
      <c r="L1703" s="55" t="n">
        <v>6</v>
      </c>
      <c r="M1703" s="73" t="n">
        <v>2.75</v>
      </c>
      <c r="N1703" s="74" t="n">
        <f aca="false">K1703*L1703*M1703</f>
        <v>16.5</v>
      </c>
      <c r="O1703" s="41" t="n">
        <f aca="false">IFERROR(INDEX(Исходные!$B$21:$B$33,MATCH(H1703,Исходные!$A$21:$A$33,0)),0)</f>
        <v>2.984</v>
      </c>
      <c r="P1703" s="83" t="n">
        <f aca="false">N1703*O1703</f>
        <v>49.236</v>
      </c>
      <c r="Q1703" s="20" t="s">
        <v>1527</v>
      </c>
      <c r="R1703" s="84" t="s">
        <v>514</v>
      </c>
      <c r="S1703" s="20" t="s">
        <v>1848</v>
      </c>
      <c r="T1703" s="20" t="s">
        <v>12</v>
      </c>
      <c r="U1703" s="53" t="n">
        <v>0</v>
      </c>
      <c r="V1703" s="76" t="s">
        <v>148</v>
      </c>
      <c r="W1703" s="53" t="n">
        <v>5</v>
      </c>
    </row>
    <row r="1704" customFormat="false" ht="46.25" hidden="false" customHeight="false" outlineLevel="0" collapsed="false">
      <c r="A1704" s="76" t="n">
        <v>1666</v>
      </c>
      <c r="B1704" s="20" t="s">
        <v>1838</v>
      </c>
      <c r="C1704" s="20" t="s">
        <v>508</v>
      </c>
      <c r="D1704" s="20" t="s">
        <v>509</v>
      </c>
      <c r="E1704" s="20" t="s">
        <v>148</v>
      </c>
      <c r="F1704" s="76" t="s">
        <v>575</v>
      </c>
      <c r="G1704" s="20" t="s">
        <v>1849</v>
      </c>
      <c r="H1704" s="55" t="n">
        <v>22</v>
      </c>
      <c r="I1704" s="76" t="s">
        <v>512</v>
      </c>
      <c r="J1704" s="76" t="s">
        <v>164</v>
      </c>
      <c r="K1704" s="82" t="n">
        <v>1</v>
      </c>
      <c r="L1704" s="55" t="n">
        <v>6</v>
      </c>
      <c r="M1704" s="73" t="n">
        <v>2.25</v>
      </c>
      <c r="N1704" s="74" t="n">
        <f aca="false">K1704*L1704*M1704</f>
        <v>13.5</v>
      </c>
      <c r="O1704" s="41" t="n">
        <f aca="false">IFERROR(INDEX(Исходные!$B$21:$B$33,MATCH(H1704,Исходные!$A$21:$A$33,0)),0)</f>
        <v>2.984</v>
      </c>
      <c r="P1704" s="83" t="n">
        <f aca="false">N1704*O1704</f>
        <v>40.284</v>
      </c>
      <c r="Q1704" s="20" t="s">
        <v>1527</v>
      </c>
      <c r="R1704" s="84" t="s">
        <v>514</v>
      </c>
      <c r="S1704" s="20" t="s">
        <v>1850</v>
      </c>
      <c r="T1704" s="20" t="s">
        <v>12</v>
      </c>
      <c r="U1704" s="53" t="n">
        <v>0</v>
      </c>
      <c r="V1704" s="76" t="s">
        <v>148</v>
      </c>
      <c r="W1704" s="53" t="n">
        <v>5</v>
      </c>
    </row>
    <row r="1705" customFormat="false" ht="46.25" hidden="false" customHeight="false" outlineLevel="0" collapsed="false">
      <c r="A1705" s="76" t="n">
        <v>1667</v>
      </c>
      <c r="B1705" s="20" t="s">
        <v>1838</v>
      </c>
      <c r="C1705" s="20" t="s">
        <v>508</v>
      </c>
      <c r="D1705" s="20" t="s">
        <v>509</v>
      </c>
      <c r="E1705" s="20" t="s">
        <v>148</v>
      </c>
      <c r="F1705" s="76" t="s">
        <v>669</v>
      </c>
      <c r="G1705" s="20" t="s">
        <v>1851</v>
      </c>
      <c r="H1705" s="55" t="n">
        <v>14</v>
      </c>
      <c r="I1705" s="76" t="s">
        <v>512</v>
      </c>
      <c r="J1705" s="76" t="s">
        <v>164</v>
      </c>
      <c r="K1705" s="82" t="n">
        <v>1</v>
      </c>
      <c r="L1705" s="55" t="n">
        <v>4</v>
      </c>
      <c r="M1705" s="73" t="n">
        <v>2.862</v>
      </c>
      <c r="N1705" s="74" t="n">
        <f aca="false">K1705*L1705*M1705</f>
        <v>11.448</v>
      </c>
      <c r="O1705" s="41" t="n">
        <f aca="false">IFERROR(INDEX(Исходные!$B$21:$B$33,MATCH(H1705,Исходные!$A$21:$A$33,0)),0)</f>
        <v>1.208</v>
      </c>
      <c r="P1705" s="83" t="n">
        <f aca="false">N1705*O1705</f>
        <v>13.829184</v>
      </c>
      <c r="Q1705" s="20" t="s">
        <v>1527</v>
      </c>
      <c r="R1705" s="84" t="s">
        <v>514</v>
      </c>
      <c r="S1705" s="20" t="s">
        <v>1852</v>
      </c>
      <c r="T1705" s="20" t="s">
        <v>12</v>
      </c>
      <c r="U1705" s="53" t="n">
        <v>0</v>
      </c>
      <c r="V1705" s="76" t="s">
        <v>148</v>
      </c>
      <c r="W1705" s="53" t="n">
        <v>5</v>
      </c>
    </row>
    <row r="1706" customFormat="false" ht="46.25" hidden="false" customHeight="false" outlineLevel="0" collapsed="false">
      <c r="A1706" s="76" t="n">
        <v>1668</v>
      </c>
      <c r="B1706" s="20" t="s">
        <v>1838</v>
      </c>
      <c r="C1706" s="20" t="s">
        <v>508</v>
      </c>
      <c r="D1706" s="20" t="s">
        <v>509</v>
      </c>
      <c r="E1706" s="20" t="s">
        <v>148</v>
      </c>
      <c r="F1706" s="76" t="s">
        <v>669</v>
      </c>
      <c r="G1706" s="20" t="s">
        <v>1853</v>
      </c>
      <c r="H1706" s="55" t="n">
        <v>14</v>
      </c>
      <c r="I1706" s="76" t="s">
        <v>512</v>
      </c>
      <c r="J1706" s="76" t="s">
        <v>164</v>
      </c>
      <c r="K1706" s="82" t="n">
        <v>1</v>
      </c>
      <c r="L1706" s="55" t="n">
        <v>4</v>
      </c>
      <c r="M1706" s="73" t="n">
        <v>2.362</v>
      </c>
      <c r="N1706" s="74" t="n">
        <f aca="false">K1706*L1706*M1706</f>
        <v>9.448</v>
      </c>
      <c r="O1706" s="41" t="n">
        <f aca="false">IFERROR(INDEX(Исходные!$B$21:$B$33,MATCH(H1706,Исходные!$A$21:$A$33,0)),0)</f>
        <v>1.208</v>
      </c>
      <c r="P1706" s="83" t="n">
        <f aca="false">N1706*O1706</f>
        <v>11.413184</v>
      </c>
      <c r="Q1706" s="20" t="s">
        <v>1527</v>
      </c>
      <c r="R1706" s="84" t="s">
        <v>514</v>
      </c>
      <c r="S1706" s="20" t="s">
        <v>1854</v>
      </c>
      <c r="T1706" s="20" t="s">
        <v>12</v>
      </c>
      <c r="U1706" s="53" t="n">
        <v>0</v>
      </c>
      <c r="V1706" s="76" t="s">
        <v>148</v>
      </c>
      <c r="W1706" s="53" t="n">
        <v>5</v>
      </c>
    </row>
    <row r="1707" customFormat="false" ht="46.25" hidden="false" customHeight="false" outlineLevel="0" collapsed="false">
      <c r="A1707" s="76" t="n">
        <v>1669</v>
      </c>
      <c r="B1707" s="20" t="s">
        <v>1838</v>
      </c>
      <c r="C1707" s="20" t="s">
        <v>508</v>
      </c>
      <c r="D1707" s="20" t="s">
        <v>509</v>
      </c>
      <c r="E1707" s="20" t="s">
        <v>148</v>
      </c>
      <c r="F1707" s="76" t="s">
        <v>522</v>
      </c>
      <c r="G1707" s="20" t="s">
        <v>1855</v>
      </c>
      <c r="H1707" s="55" t="n">
        <v>25</v>
      </c>
      <c r="I1707" s="76" t="s">
        <v>512</v>
      </c>
      <c r="J1707" s="76" t="s">
        <v>164</v>
      </c>
      <c r="K1707" s="82" t="n">
        <v>1</v>
      </c>
      <c r="L1707" s="55" t="n">
        <v>3</v>
      </c>
      <c r="M1707" s="73" t="n">
        <v>2.75</v>
      </c>
      <c r="N1707" s="74" t="n">
        <f aca="false">K1707*L1707*M1707</f>
        <v>8.25</v>
      </c>
      <c r="O1707" s="41" t="n">
        <f aca="false">IFERROR(INDEX(Исходные!$B$21:$B$33,MATCH(H1707,Исходные!$A$21:$A$33,0)),0)</f>
        <v>3.853</v>
      </c>
      <c r="P1707" s="83" t="n">
        <f aca="false">N1707*O1707</f>
        <v>31.78725</v>
      </c>
      <c r="Q1707" s="20" t="s">
        <v>1527</v>
      </c>
      <c r="R1707" s="84" t="s">
        <v>514</v>
      </c>
      <c r="S1707" s="20" t="s">
        <v>1856</v>
      </c>
      <c r="T1707" s="20" t="s">
        <v>12</v>
      </c>
      <c r="U1707" s="53" t="n">
        <v>0</v>
      </c>
      <c r="V1707" s="76" t="s">
        <v>148</v>
      </c>
      <c r="W1707" s="53" t="n">
        <v>5</v>
      </c>
    </row>
    <row r="1708" customFormat="false" ht="46.25" hidden="false" customHeight="false" outlineLevel="0" collapsed="false">
      <c r="A1708" s="76" t="n">
        <v>1670</v>
      </c>
      <c r="B1708" s="20" t="s">
        <v>1838</v>
      </c>
      <c r="C1708" s="20" t="s">
        <v>508</v>
      </c>
      <c r="D1708" s="20" t="s">
        <v>509</v>
      </c>
      <c r="E1708" s="20" t="s">
        <v>148</v>
      </c>
      <c r="F1708" s="76" t="s">
        <v>522</v>
      </c>
      <c r="G1708" s="20" t="s">
        <v>1857</v>
      </c>
      <c r="H1708" s="55" t="n">
        <v>25</v>
      </c>
      <c r="I1708" s="76" t="s">
        <v>512</v>
      </c>
      <c r="J1708" s="76" t="s">
        <v>164</v>
      </c>
      <c r="K1708" s="82" t="n">
        <v>1</v>
      </c>
      <c r="L1708" s="55" t="n">
        <v>3</v>
      </c>
      <c r="M1708" s="73" t="n">
        <v>2.25</v>
      </c>
      <c r="N1708" s="74" t="n">
        <f aca="false">K1708*L1708*M1708</f>
        <v>6.75</v>
      </c>
      <c r="O1708" s="41" t="n">
        <f aca="false">IFERROR(INDEX(Исходные!$B$21:$B$33,MATCH(H1708,Исходные!$A$21:$A$33,0)),0)</f>
        <v>3.853</v>
      </c>
      <c r="P1708" s="83" t="n">
        <f aca="false">N1708*O1708</f>
        <v>26.00775</v>
      </c>
      <c r="Q1708" s="20" t="s">
        <v>1527</v>
      </c>
      <c r="R1708" s="84" t="s">
        <v>514</v>
      </c>
      <c r="S1708" s="20" t="s">
        <v>1858</v>
      </c>
      <c r="T1708" s="20" t="s">
        <v>12</v>
      </c>
      <c r="U1708" s="53" t="n">
        <v>0</v>
      </c>
      <c r="V1708" s="76" t="s">
        <v>148</v>
      </c>
      <c r="W1708" s="53" t="n">
        <v>5</v>
      </c>
    </row>
    <row r="1709" customFormat="false" ht="46.25" hidden="false" customHeight="false" outlineLevel="0" collapsed="false">
      <c r="A1709" s="76" t="n">
        <v>1671</v>
      </c>
      <c r="B1709" s="20" t="s">
        <v>1838</v>
      </c>
      <c r="C1709" s="20" t="s">
        <v>508</v>
      </c>
      <c r="D1709" s="20" t="s">
        <v>509</v>
      </c>
      <c r="E1709" s="20" t="s">
        <v>148</v>
      </c>
      <c r="F1709" s="76" t="s">
        <v>669</v>
      </c>
      <c r="G1709" s="20" t="s">
        <v>1859</v>
      </c>
      <c r="H1709" s="55" t="n">
        <v>18</v>
      </c>
      <c r="I1709" s="76" t="s">
        <v>512</v>
      </c>
      <c r="J1709" s="76" t="s">
        <v>164</v>
      </c>
      <c r="K1709" s="82" t="n">
        <v>1</v>
      </c>
      <c r="L1709" s="55" t="n">
        <v>2</v>
      </c>
      <c r="M1709" s="73" t="n">
        <v>2.894</v>
      </c>
      <c r="N1709" s="74" t="n">
        <f aca="false">K1709*L1709*M1709</f>
        <v>5.788</v>
      </c>
      <c r="O1709" s="41" t="n">
        <f aca="false">IFERROR(INDEX(Исходные!$B$21:$B$33,MATCH(H1709,Исходные!$A$21:$A$33,0)),0)</f>
        <v>1.998</v>
      </c>
      <c r="P1709" s="83" t="n">
        <f aca="false">N1709*O1709</f>
        <v>11.564424</v>
      </c>
      <c r="Q1709" s="20" t="s">
        <v>1527</v>
      </c>
      <c r="R1709" s="84" t="s">
        <v>514</v>
      </c>
      <c r="S1709" s="20" t="s">
        <v>1860</v>
      </c>
      <c r="T1709" s="20" t="s">
        <v>12</v>
      </c>
      <c r="U1709" s="53" t="n">
        <v>0</v>
      </c>
      <c r="V1709" s="76" t="s">
        <v>148</v>
      </c>
      <c r="W1709" s="53" t="n">
        <v>5</v>
      </c>
    </row>
    <row r="1710" customFormat="false" ht="46.25" hidden="false" customHeight="false" outlineLevel="0" collapsed="false">
      <c r="A1710" s="76" t="n">
        <v>1672</v>
      </c>
      <c r="B1710" s="20" t="s">
        <v>1838</v>
      </c>
      <c r="C1710" s="20" t="s">
        <v>508</v>
      </c>
      <c r="D1710" s="20" t="s">
        <v>509</v>
      </c>
      <c r="E1710" s="20" t="s">
        <v>148</v>
      </c>
      <c r="F1710" s="76" t="s">
        <v>669</v>
      </c>
      <c r="G1710" s="20" t="s">
        <v>1861</v>
      </c>
      <c r="H1710" s="55" t="n">
        <v>18</v>
      </c>
      <c r="I1710" s="76" t="s">
        <v>512</v>
      </c>
      <c r="J1710" s="76" t="s">
        <v>164</v>
      </c>
      <c r="K1710" s="82" t="n">
        <v>1</v>
      </c>
      <c r="L1710" s="55" t="n">
        <v>2</v>
      </c>
      <c r="M1710" s="73" t="n">
        <v>2.394</v>
      </c>
      <c r="N1710" s="74" t="n">
        <f aca="false">K1710*L1710*M1710</f>
        <v>4.788</v>
      </c>
      <c r="O1710" s="41" t="n">
        <f aca="false">IFERROR(INDEX(Исходные!$B$21:$B$33,MATCH(H1710,Исходные!$A$21:$A$33,0)),0)</f>
        <v>1.998</v>
      </c>
      <c r="P1710" s="83" t="n">
        <f aca="false">N1710*O1710</f>
        <v>9.566424</v>
      </c>
      <c r="Q1710" s="20" t="s">
        <v>1527</v>
      </c>
      <c r="R1710" s="84" t="s">
        <v>514</v>
      </c>
      <c r="S1710" s="20" t="s">
        <v>1862</v>
      </c>
      <c r="T1710" s="20" t="s">
        <v>12</v>
      </c>
      <c r="U1710" s="53" t="n">
        <v>0</v>
      </c>
      <c r="V1710" s="76" t="s">
        <v>148</v>
      </c>
      <c r="W1710" s="53" t="n">
        <v>5</v>
      </c>
    </row>
    <row r="1711" customFormat="false" ht="46.25" hidden="false" customHeight="false" outlineLevel="0" collapsed="false">
      <c r="A1711" s="76" t="n">
        <v>1673</v>
      </c>
      <c r="B1711" s="20" t="s">
        <v>1838</v>
      </c>
      <c r="C1711" s="20" t="s">
        <v>508</v>
      </c>
      <c r="D1711" s="20" t="s">
        <v>509</v>
      </c>
      <c r="E1711" s="20" t="s">
        <v>148</v>
      </c>
      <c r="F1711" s="76" t="s">
        <v>669</v>
      </c>
      <c r="G1711" s="20" t="s">
        <v>1863</v>
      </c>
      <c r="H1711" s="55" t="n">
        <v>14</v>
      </c>
      <c r="I1711" s="76" t="s">
        <v>512</v>
      </c>
      <c r="J1711" s="76" t="s">
        <v>164</v>
      </c>
      <c r="K1711" s="82" t="n">
        <v>1</v>
      </c>
      <c r="L1711" s="55" t="n">
        <v>4</v>
      </c>
      <c r="M1711" s="73" t="n">
        <v>2.862</v>
      </c>
      <c r="N1711" s="74" t="n">
        <f aca="false">K1711*L1711*M1711</f>
        <v>11.448</v>
      </c>
      <c r="O1711" s="41" t="n">
        <f aca="false">IFERROR(INDEX(Исходные!$B$21:$B$33,MATCH(H1711,Исходные!$A$21:$A$33,0)),0)</f>
        <v>1.208</v>
      </c>
      <c r="P1711" s="83" t="n">
        <f aca="false">N1711*O1711</f>
        <v>13.829184</v>
      </c>
      <c r="Q1711" s="20" t="s">
        <v>1527</v>
      </c>
      <c r="R1711" s="84" t="s">
        <v>514</v>
      </c>
      <c r="S1711" s="20" t="s">
        <v>1864</v>
      </c>
      <c r="T1711" s="20" t="s">
        <v>12</v>
      </c>
      <c r="U1711" s="53" t="n">
        <v>0</v>
      </c>
      <c r="V1711" s="76" t="s">
        <v>148</v>
      </c>
      <c r="W1711" s="53" t="n">
        <v>5</v>
      </c>
    </row>
    <row r="1712" customFormat="false" ht="46.25" hidden="false" customHeight="false" outlineLevel="0" collapsed="false">
      <c r="A1712" s="76" t="n">
        <v>1674</v>
      </c>
      <c r="B1712" s="20" t="s">
        <v>1838</v>
      </c>
      <c r="C1712" s="20" t="s">
        <v>508</v>
      </c>
      <c r="D1712" s="20" t="s">
        <v>509</v>
      </c>
      <c r="E1712" s="20" t="s">
        <v>148</v>
      </c>
      <c r="F1712" s="76" t="s">
        <v>669</v>
      </c>
      <c r="G1712" s="20" t="s">
        <v>1865</v>
      </c>
      <c r="H1712" s="55" t="n">
        <v>14</v>
      </c>
      <c r="I1712" s="76" t="s">
        <v>512</v>
      </c>
      <c r="J1712" s="76" t="s">
        <v>164</v>
      </c>
      <c r="K1712" s="82" t="n">
        <v>1</v>
      </c>
      <c r="L1712" s="55" t="n">
        <v>4</v>
      </c>
      <c r="M1712" s="73" t="n">
        <v>2.362</v>
      </c>
      <c r="N1712" s="74" t="n">
        <f aca="false">K1712*L1712*M1712</f>
        <v>9.448</v>
      </c>
      <c r="O1712" s="41" t="n">
        <f aca="false">IFERROR(INDEX(Исходные!$B$21:$B$33,MATCH(H1712,Исходные!$A$21:$A$33,0)),0)</f>
        <v>1.208</v>
      </c>
      <c r="P1712" s="83" t="n">
        <f aca="false">N1712*O1712</f>
        <v>11.413184</v>
      </c>
      <c r="Q1712" s="20" t="s">
        <v>1527</v>
      </c>
      <c r="R1712" s="84" t="s">
        <v>514</v>
      </c>
      <c r="S1712" s="20" t="s">
        <v>1866</v>
      </c>
      <c r="T1712" s="20" t="s">
        <v>12</v>
      </c>
      <c r="U1712" s="53" t="n">
        <v>0</v>
      </c>
      <c r="V1712" s="76" t="s">
        <v>148</v>
      </c>
      <c r="W1712" s="53" t="n">
        <v>5</v>
      </c>
    </row>
    <row r="1713" customFormat="false" ht="35.05" hidden="false" customHeight="false" outlineLevel="0" collapsed="false">
      <c r="A1713" s="76" t="n">
        <v>1675</v>
      </c>
      <c r="B1713" s="20" t="s">
        <v>1838</v>
      </c>
      <c r="C1713" s="20" t="s">
        <v>508</v>
      </c>
      <c r="D1713" s="20" t="s">
        <v>509</v>
      </c>
      <c r="E1713" s="20" t="s">
        <v>148</v>
      </c>
      <c r="F1713" s="76" t="s">
        <v>532</v>
      </c>
      <c r="G1713" s="20" t="s">
        <v>533</v>
      </c>
      <c r="H1713" s="55" t="n">
        <v>10</v>
      </c>
      <c r="I1713" s="76" t="s">
        <v>512</v>
      </c>
      <c r="J1713" s="76" t="n">
        <v>200</v>
      </c>
      <c r="K1713" s="82" t="n">
        <v>1</v>
      </c>
      <c r="L1713" s="55" t="n">
        <v>32</v>
      </c>
      <c r="M1713" s="73" t="n">
        <v>1.95</v>
      </c>
      <c r="N1713" s="74" t="n">
        <f aca="false">K1713*L1713*M1713</f>
        <v>62.4</v>
      </c>
      <c r="O1713" s="41" t="n">
        <f aca="false">IFERROR(INDEX(Исходные!$B$21:$B$33,MATCH(H1713,Исходные!$A$21:$A$33,0)),0)</f>
        <v>0.617</v>
      </c>
      <c r="P1713" s="83" t="n">
        <f aca="false">N1713*O1713</f>
        <v>38.5008</v>
      </c>
      <c r="Q1713" s="20" t="s">
        <v>1867</v>
      </c>
      <c r="R1713" s="85" t="s">
        <v>535</v>
      </c>
      <c r="S1713" s="20" t="s">
        <v>1868</v>
      </c>
      <c r="T1713" s="20" t="s">
        <v>12</v>
      </c>
      <c r="U1713" s="53" t="n">
        <v>1</v>
      </c>
      <c r="V1713" s="76" t="s">
        <v>148</v>
      </c>
      <c r="W1713" s="53" t="n">
        <v>5</v>
      </c>
    </row>
    <row r="1714" customFormat="false" ht="35.05" hidden="false" customHeight="false" outlineLevel="0" collapsed="false">
      <c r="A1714" s="76" t="n">
        <v>1676</v>
      </c>
      <c r="B1714" s="20" t="s">
        <v>1838</v>
      </c>
      <c r="C1714" s="20" t="s">
        <v>508</v>
      </c>
      <c r="D1714" s="20" t="s">
        <v>509</v>
      </c>
      <c r="E1714" s="20" t="s">
        <v>148</v>
      </c>
      <c r="F1714" s="76" t="s">
        <v>532</v>
      </c>
      <c r="G1714" s="20" t="s">
        <v>537</v>
      </c>
      <c r="H1714" s="55" t="n">
        <v>12</v>
      </c>
      <c r="I1714" s="76" t="s">
        <v>512</v>
      </c>
      <c r="J1714" s="76" t="n">
        <v>200</v>
      </c>
      <c r="K1714" s="82" t="n">
        <v>1</v>
      </c>
      <c r="L1714" s="55" t="n">
        <v>32</v>
      </c>
      <c r="M1714" s="73" t="n">
        <v>2.25</v>
      </c>
      <c r="N1714" s="74" t="n">
        <f aca="false">K1714*L1714*M1714</f>
        <v>72</v>
      </c>
      <c r="O1714" s="41" t="n">
        <f aca="false">IFERROR(INDEX(Исходные!$B$21:$B$33,MATCH(H1714,Исходные!$A$21:$A$33,0)),0)</f>
        <v>0.888</v>
      </c>
      <c r="P1714" s="83" t="n">
        <f aca="false">N1714*O1714</f>
        <v>63.936</v>
      </c>
      <c r="Q1714" s="20" t="s">
        <v>1867</v>
      </c>
      <c r="R1714" s="85" t="s">
        <v>535</v>
      </c>
      <c r="S1714" s="20" t="s">
        <v>1869</v>
      </c>
      <c r="T1714" s="20" t="s">
        <v>12</v>
      </c>
      <c r="U1714" s="53" t="n">
        <v>1</v>
      </c>
      <c r="V1714" s="76" t="s">
        <v>148</v>
      </c>
      <c r="W1714" s="53" t="n">
        <v>5</v>
      </c>
    </row>
    <row r="1715" customFormat="false" ht="35.05" hidden="false" customHeight="false" outlineLevel="0" collapsed="false">
      <c r="A1715" s="76" t="n">
        <v>1677</v>
      </c>
      <c r="B1715" s="20" t="s">
        <v>1838</v>
      </c>
      <c r="C1715" s="20" t="s">
        <v>508</v>
      </c>
      <c r="D1715" s="20" t="s">
        <v>509</v>
      </c>
      <c r="E1715" s="20" t="s">
        <v>148</v>
      </c>
      <c r="F1715" s="76" t="s">
        <v>544</v>
      </c>
      <c r="G1715" s="20" t="s">
        <v>1191</v>
      </c>
      <c r="H1715" s="55" t="n">
        <v>10</v>
      </c>
      <c r="I1715" s="76" t="s">
        <v>546</v>
      </c>
      <c r="J1715" s="76" t="s">
        <v>547</v>
      </c>
      <c r="K1715" s="82" t="n">
        <v>1</v>
      </c>
      <c r="L1715" s="55" t="n">
        <v>48</v>
      </c>
      <c r="M1715" s="73" t="n">
        <v>1.33</v>
      </c>
      <c r="N1715" s="74" t="n">
        <f aca="false">K1715*L1715*M1715</f>
        <v>63.84</v>
      </c>
      <c r="O1715" s="41" t="n">
        <f aca="false">IFERROR(INDEX(Исходные!$B$21:$B$33,MATCH(H1715,Исходные!$A$21:$A$33,0)),0)</f>
        <v>0.617</v>
      </c>
      <c r="P1715" s="83" t="n">
        <f aca="false">N1715*O1715</f>
        <v>39.38928</v>
      </c>
      <c r="Q1715" s="20" t="s">
        <v>1218</v>
      </c>
      <c r="R1715" s="84" t="s">
        <v>514</v>
      </c>
      <c r="S1715" s="20"/>
      <c r="T1715" s="20" t="s">
        <v>12</v>
      </c>
      <c r="U1715" s="53" t="n">
        <v>0</v>
      </c>
      <c r="V1715" s="76" t="s">
        <v>148</v>
      </c>
      <c r="W1715" s="53" t="n">
        <v>5</v>
      </c>
    </row>
    <row r="1716" customFormat="false" ht="35.05" hidden="false" customHeight="false" outlineLevel="0" collapsed="false">
      <c r="A1716" s="76" t="n">
        <v>1678</v>
      </c>
      <c r="B1716" s="20" t="s">
        <v>1838</v>
      </c>
      <c r="C1716" s="20" t="s">
        <v>508</v>
      </c>
      <c r="D1716" s="20" t="s">
        <v>509</v>
      </c>
      <c r="E1716" s="20" t="s">
        <v>148</v>
      </c>
      <c r="F1716" s="76" t="s">
        <v>696</v>
      </c>
      <c r="G1716" s="20" t="s">
        <v>1193</v>
      </c>
      <c r="H1716" s="55" t="n">
        <v>8</v>
      </c>
      <c r="I1716" s="76" t="s">
        <v>546</v>
      </c>
      <c r="J1716" s="76" t="s">
        <v>547</v>
      </c>
      <c r="K1716" s="82" t="n">
        <v>1</v>
      </c>
      <c r="L1716" s="55" t="n">
        <v>32</v>
      </c>
      <c r="M1716" s="73" t="n">
        <v>1.56</v>
      </c>
      <c r="N1716" s="74" t="n">
        <f aca="false">K1716*L1716*M1716</f>
        <v>49.92</v>
      </c>
      <c r="O1716" s="41" t="n">
        <f aca="false">IFERROR(INDEX(Исходные!$B$21:$B$33,MATCH(H1716,Исходные!$A$21:$A$33,0)),0)</f>
        <v>0.395</v>
      </c>
      <c r="P1716" s="83" t="n">
        <f aca="false">N1716*O1716</f>
        <v>19.7184</v>
      </c>
      <c r="Q1716" s="20" t="s">
        <v>1220</v>
      </c>
      <c r="R1716" s="84" t="s">
        <v>514</v>
      </c>
      <c r="S1716" s="20"/>
      <c r="T1716" s="20" t="s">
        <v>12</v>
      </c>
      <c r="U1716" s="53" t="n">
        <v>0</v>
      </c>
      <c r="V1716" s="76" t="s">
        <v>148</v>
      </c>
      <c r="W1716" s="53" t="n">
        <v>5</v>
      </c>
    </row>
    <row r="1717" customFormat="false" ht="35.05" hidden="false" customHeight="false" outlineLevel="0" collapsed="false">
      <c r="A1717" s="76" t="n">
        <v>1679</v>
      </c>
      <c r="B1717" s="20" t="s">
        <v>1838</v>
      </c>
      <c r="C1717" s="20" t="s">
        <v>508</v>
      </c>
      <c r="D1717" s="20" t="s">
        <v>509</v>
      </c>
      <c r="E1717" s="20" t="s">
        <v>148</v>
      </c>
      <c r="F1717" s="76" t="s">
        <v>603</v>
      </c>
      <c r="G1717" s="20" t="s">
        <v>1195</v>
      </c>
      <c r="H1717" s="55" t="n">
        <v>8</v>
      </c>
      <c r="I1717" s="76" t="s">
        <v>546</v>
      </c>
      <c r="J1717" s="76" t="s">
        <v>547</v>
      </c>
      <c r="K1717" s="82" t="n">
        <v>1</v>
      </c>
      <c r="L1717" s="55" t="n">
        <v>16</v>
      </c>
      <c r="M1717" s="73" t="n">
        <v>1.76</v>
      </c>
      <c r="N1717" s="74" t="n">
        <f aca="false">K1717*L1717*M1717</f>
        <v>28.16</v>
      </c>
      <c r="O1717" s="41" t="n">
        <f aca="false">IFERROR(INDEX(Исходные!$B$21:$B$33,MATCH(H1717,Исходные!$A$21:$A$33,0)),0)</f>
        <v>0.395</v>
      </c>
      <c r="P1717" s="83" t="n">
        <f aca="false">N1717*O1717</f>
        <v>11.1232</v>
      </c>
      <c r="Q1717" s="20" t="s">
        <v>1221</v>
      </c>
      <c r="R1717" s="84" t="s">
        <v>514</v>
      </c>
      <c r="S1717" s="20"/>
      <c r="T1717" s="20" t="s">
        <v>12</v>
      </c>
      <c r="U1717" s="53" t="n">
        <v>0</v>
      </c>
      <c r="V1717" s="76" t="s">
        <v>148</v>
      </c>
      <c r="W1717" s="53" t="n">
        <v>5</v>
      </c>
    </row>
    <row r="1718" customFormat="false" ht="35.05" hidden="false" customHeight="false" outlineLevel="0" collapsed="false">
      <c r="A1718" s="76" t="n">
        <v>1680</v>
      </c>
      <c r="B1718" s="20" t="s">
        <v>1838</v>
      </c>
      <c r="C1718" s="20" t="s">
        <v>508</v>
      </c>
      <c r="D1718" s="20" t="s">
        <v>509</v>
      </c>
      <c r="E1718" s="20" t="s">
        <v>148</v>
      </c>
      <c r="F1718" s="76" t="s">
        <v>555</v>
      </c>
      <c r="G1718" s="20" t="s">
        <v>1197</v>
      </c>
      <c r="H1718" s="55" t="n">
        <v>8</v>
      </c>
      <c r="I1718" s="76" t="s">
        <v>546</v>
      </c>
      <c r="J1718" s="76" t="s">
        <v>547</v>
      </c>
      <c r="K1718" s="82" t="n">
        <v>1</v>
      </c>
      <c r="L1718" s="55" t="n">
        <v>28</v>
      </c>
      <c r="M1718" s="73" t="n">
        <v>2.44</v>
      </c>
      <c r="N1718" s="74" t="n">
        <f aca="false">K1718*L1718*M1718</f>
        <v>68.32</v>
      </c>
      <c r="O1718" s="41" t="n">
        <f aca="false">IFERROR(INDEX(Исходные!$B$21:$B$33,MATCH(H1718,Исходные!$A$21:$A$33,0)),0)</f>
        <v>0.395</v>
      </c>
      <c r="P1718" s="83" t="n">
        <f aca="false">N1718*O1718</f>
        <v>26.9864</v>
      </c>
      <c r="Q1718" s="20" t="s">
        <v>1198</v>
      </c>
      <c r="R1718" s="84" t="s">
        <v>514</v>
      </c>
      <c r="S1718" s="20"/>
      <c r="T1718" s="20" t="s">
        <v>12</v>
      </c>
      <c r="U1718" s="53" t="n">
        <v>0</v>
      </c>
      <c r="V1718" s="76" t="s">
        <v>148</v>
      </c>
      <c r="W1718" s="53" t="n">
        <v>5</v>
      </c>
    </row>
    <row r="1719" customFormat="false" ht="35.05" hidden="false" customHeight="false" outlineLevel="0" collapsed="false">
      <c r="A1719" s="76" t="n">
        <v>1681</v>
      </c>
      <c r="B1719" s="20" t="s">
        <v>1838</v>
      </c>
      <c r="C1719" s="20" t="s">
        <v>508</v>
      </c>
      <c r="D1719" s="20" t="s">
        <v>509</v>
      </c>
      <c r="E1719" s="20" t="s">
        <v>148</v>
      </c>
      <c r="F1719" s="76" t="s">
        <v>558</v>
      </c>
      <c r="G1719" s="20" t="s">
        <v>1199</v>
      </c>
      <c r="H1719" s="55" t="n">
        <v>8</v>
      </c>
      <c r="I1719" s="76" t="s">
        <v>546</v>
      </c>
      <c r="J1719" s="76" t="s">
        <v>547</v>
      </c>
      <c r="K1719" s="82" t="n">
        <v>1</v>
      </c>
      <c r="L1719" s="55" t="n">
        <v>32</v>
      </c>
      <c r="M1719" s="73" t="n">
        <v>1.96</v>
      </c>
      <c r="N1719" s="74" t="n">
        <f aca="false">K1719*L1719*M1719</f>
        <v>62.72</v>
      </c>
      <c r="O1719" s="41" t="n">
        <f aca="false">IFERROR(INDEX(Исходные!$B$21:$B$33,MATCH(H1719,Исходные!$A$21:$A$33,0)),0)</f>
        <v>0.395</v>
      </c>
      <c r="P1719" s="83" t="n">
        <f aca="false">N1719*O1719</f>
        <v>24.7744</v>
      </c>
      <c r="Q1719" s="20" t="s">
        <v>1222</v>
      </c>
      <c r="R1719" s="84" t="s">
        <v>514</v>
      </c>
      <c r="S1719" s="20"/>
      <c r="T1719" s="20" t="s">
        <v>12</v>
      </c>
      <c r="U1719" s="53" t="n">
        <v>0</v>
      </c>
      <c r="V1719" s="76" t="s">
        <v>148</v>
      </c>
      <c r="W1719" s="53" t="n">
        <v>5</v>
      </c>
    </row>
    <row r="1720" customFormat="false" ht="35.05" hidden="false" customHeight="false" outlineLevel="0" collapsed="false">
      <c r="A1720" s="76" t="n">
        <v>1682</v>
      </c>
      <c r="B1720" s="20" t="s">
        <v>1838</v>
      </c>
      <c r="C1720" s="20" t="s">
        <v>508</v>
      </c>
      <c r="D1720" s="20" t="s">
        <v>509</v>
      </c>
      <c r="E1720" s="20" t="s">
        <v>148</v>
      </c>
      <c r="F1720" s="76" t="s">
        <v>561</v>
      </c>
      <c r="G1720" s="20" t="s">
        <v>1201</v>
      </c>
      <c r="H1720" s="55" t="n">
        <v>8</v>
      </c>
      <c r="I1720" s="76" t="s">
        <v>546</v>
      </c>
      <c r="J1720" s="76" t="s">
        <v>547</v>
      </c>
      <c r="K1720" s="82" t="n">
        <v>1</v>
      </c>
      <c r="L1720" s="55" t="n">
        <v>80</v>
      </c>
      <c r="M1720" s="73" t="n">
        <v>0.53</v>
      </c>
      <c r="N1720" s="74" t="n">
        <f aca="false">K1720*L1720*M1720</f>
        <v>42.4</v>
      </c>
      <c r="O1720" s="41" t="n">
        <f aca="false">IFERROR(INDEX(Исходные!$B$21:$B$33,MATCH(H1720,Исходные!$A$21:$A$33,0)),0)</f>
        <v>0.395</v>
      </c>
      <c r="P1720" s="83" t="n">
        <f aca="false">N1720*O1720</f>
        <v>16.748</v>
      </c>
      <c r="Q1720" s="20" t="s">
        <v>1224</v>
      </c>
      <c r="R1720" s="84" t="s">
        <v>514</v>
      </c>
      <c r="S1720" s="20"/>
      <c r="T1720" s="20" t="s">
        <v>12</v>
      </c>
      <c r="U1720" s="53" t="n">
        <v>0</v>
      </c>
      <c r="V1720" s="76" t="s">
        <v>148</v>
      </c>
      <c r="W1720" s="53" t="n">
        <v>5</v>
      </c>
    </row>
    <row r="1721" customFormat="false" ht="46.25" hidden="false" customHeight="false" outlineLevel="0" collapsed="false">
      <c r="A1721" s="76" t="n">
        <v>1683</v>
      </c>
      <c r="B1721" s="20" t="s">
        <v>1838</v>
      </c>
      <c r="C1721" s="20" t="s">
        <v>508</v>
      </c>
      <c r="D1721" s="20" t="s">
        <v>564</v>
      </c>
      <c r="E1721" s="20" t="s">
        <v>149</v>
      </c>
      <c r="F1721" s="76" t="s">
        <v>519</v>
      </c>
      <c r="G1721" s="20" t="s">
        <v>1839</v>
      </c>
      <c r="H1721" s="55" t="n">
        <v>28</v>
      </c>
      <c r="I1721" s="76" t="s">
        <v>512</v>
      </c>
      <c r="J1721" s="76" t="s">
        <v>164</v>
      </c>
      <c r="K1721" s="82" t="n">
        <v>1</v>
      </c>
      <c r="L1721" s="55" t="n">
        <v>2</v>
      </c>
      <c r="M1721" s="73" t="n">
        <v>2.75</v>
      </c>
      <c r="N1721" s="74" t="n">
        <f aca="false">K1721*L1721*M1721</f>
        <v>5.5</v>
      </c>
      <c r="O1721" s="41" t="n">
        <f aca="false">IFERROR(INDEX(Исходные!$B$21:$B$33,MATCH(H1721,Исходные!$A$21:$A$33,0)),0)</f>
        <v>4.834</v>
      </c>
      <c r="P1721" s="83" t="n">
        <f aca="false">N1721*O1721</f>
        <v>26.587</v>
      </c>
      <c r="Q1721" s="20" t="s">
        <v>1542</v>
      </c>
      <c r="R1721" s="84" t="s">
        <v>514</v>
      </c>
      <c r="S1721" s="20" t="s">
        <v>1870</v>
      </c>
      <c r="T1721" s="20" t="s">
        <v>12</v>
      </c>
      <c r="U1721" s="53" t="n">
        <v>0</v>
      </c>
      <c r="V1721" s="76" t="s">
        <v>149</v>
      </c>
      <c r="W1721" s="53" t="n">
        <v>5</v>
      </c>
    </row>
    <row r="1722" customFormat="false" ht="46.25" hidden="false" customHeight="false" outlineLevel="0" collapsed="false">
      <c r="A1722" s="76" t="n">
        <v>1684</v>
      </c>
      <c r="B1722" s="20" t="s">
        <v>1838</v>
      </c>
      <c r="C1722" s="20" t="s">
        <v>508</v>
      </c>
      <c r="D1722" s="20" t="s">
        <v>564</v>
      </c>
      <c r="E1722" s="20" t="s">
        <v>149</v>
      </c>
      <c r="F1722" s="76" t="s">
        <v>519</v>
      </c>
      <c r="G1722" s="20" t="s">
        <v>1841</v>
      </c>
      <c r="H1722" s="55" t="n">
        <v>28</v>
      </c>
      <c r="I1722" s="76" t="s">
        <v>512</v>
      </c>
      <c r="J1722" s="76" t="s">
        <v>164</v>
      </c>
      <c r="K1722" s="82" t="n">
        <v>1</v>
      </c>
      <c r="L1722" s="55" t="n">
        <v>2</v>
      </c>
      <c r="M1722" s="73" t="n">
        <v>2.25</v>
      </c>
      <c r="N1722" s="74" t="n">
        <f aca="false">K1722*L1722*M1722</f>
        <v>4.5</v>
      </c>
      <c r="O1722" s="41" t="n">
        <f aca="false">IFERROR(INDEX(Исходные!$B$21:$B$33,MATCH(H1722,Исходные!$A$21:$A$33,0)),0)</f>
        <v>4.834</v>
      </c>
      <c r="P1722" s="83" t="n">
        <f aca="false">N1722*O1722</f>
        <v>21.753</v>
      </c>
      <c r="Q1722" s="20" t="s">
        <v>1542</v>
      </c>
      <c r="R1722" s="84" t="s">
        <v>514</v>
      </c>
      <c r="S1722" s="20" t="s">
        <v>1871</v>
      </c>
      <c r="T1722" s="20" t="s">
        <v>12</v>
      </c>
      <c r="U1722" s="53" t="n">
        <v>0</v>
      </c>
      <c r="V1722" s="76" t="s">
        <v>149</v>
      </c>
      <c r="W1722" s="53" t="n">
        <v>5</v>
      </c>
    </row>
    <row r="1723" customFormat="false" ht="46.25" hidden="false" customHeight="false" outlineLevel="0" collapsed="false">
      <c r="A1723" s="76" t="n">
        <v>1685</v>
      </c>
      <c r="B1723" s="20" t="s">
        <v>1838</v>
      </c>
      <c r="C1723" s="20" t="s">
        <v>508</v>
      </c>
      <c r="D1723" s="20" t="s">
        <v>564</v>
      </c>
      <c r="E1723" s="20" t="s">
        <v>149</v>
      </c>
      <c r="F1723" s="76" t="s">
        <v>516</v>
      </c>
      <c r="G1723" s="20" t="s">
        <v>1872</v>
      </c>
      <c r="H1723" s="55" t="n">
        <v>20</v>
      </c>
      <c r="I1723" s="76" t="s">
        <v>512</v>
      </c>
      <c r="J1723" s="76" t="s">
        <v>164</v>
      </c>
      <c r="K1723" s="82" t="n">
        <v>1</v>
      </c>
      <c r="L1723" s="55" t="n">
        <v>4</v>
      </c>
      <c r="M1723" s="73" t="n">
        <v>2.75</v>
      </c>
      <c r="N1723" s="74" t="n">
        <f aca="false">K1723*L1723*M1723</f>
        <v>11</v>
      </c>
      <c r="O1723" s="41" t="n">
        <f aca="false">IFERROR(INDEX(Исходные!$B$21:$B$33,MATCH(H1723,Исходные!$A$21:$A$33,0)),0)</f>
        <v>2.466</v>
      </c>
      <c r="P1723" s="83" t="n">
        <f aca="false">N1723*O1723</f>
        <v>27.126</v>
      </c>
      <c r="Q1723" s="20" t="s">
        <v>1542</v>
      </c>
      <c r="R1723" s="84" t="s">
        <v>514</v>
      </c>
      <c r="S1723" s="20" t="s">
        <v>1873</v>
      </c>
      <c r="T1723" s="20" t="s">
        <v>12</v>
      </c>
      <c r="U1723" s="53" t="n">
        <v>0</v>
      </c>
      <c r="V1723" s="76" t="s">
        <v>149</v>
      </c>
      <c r="W1723" s="53" t="n">
        <v>5</v>
      </c>
    </row>
    <row r="1724" customFormat="false" ht="46.25" hidden="false" customHeight="false" outlineLevel="0" collapsed="false">
      <c r="A1724" s="76" t="n">
        <v>1686</v>
      </c>
      <c r="B1724" s="20" t="s">
        <v>1838</v>
      </c>
      <c r="C1724" s="20" t="s">
        <v>508</v>
      </c>
      <c r="D1724" s="20" t="s">
        <v>564</v>
      </c>
      <c r="E1724" s="20" t="s">
        <v>149</v>
      </c>
      <c r="F1724" s="76" t="s">
        <v>516</v>
      </c>
      <c r="G1724" s="20" t="s">
        <v>1874</v>
      </c>
      <c r="H1724" s="55" t="n">
        <v>20</v>
      </c>
      <c r="I1724" s="76" t="s">
        <v>512</v>
      </c>
      <c r="J1724" s="76" t="s">
        <v>164</v>
      </c>
      <c r="K1724" s="82" t="n">
        <v>1</v>
      </c>
      <c r="L1724" s="55" t="n">
        <v>4</v>
      </c>
      <c r="M1724" s="73" t="n">
        <v>2.25</v>
      </c>
      <c r="N1724" s="74" t="n">
        <f aca="false">K1724*L1724*M1724</f>
        <v>9</v>
      </c>
      <c r="O1724" s="41" t="n">
        <f aca="false">IFERROR(INDEX(Исходные!$B$21:$B$33,MATCH(H1724,Исходные!$A$21:$A$33,0)),0)</f>
        <v>2.466</v>
      </c>
      <c r="P1724" s="83" t="n">
        <f aca="false">N1724*O1724</f>
        <v>22.194</v>
      </c>
      <c r="Q1724" s="20" t="s">
        <v>1542</v>
      </c>
      <c r="R1724" s="84" t="s">
        <v>514</v>
      </c>
      <c r="S1724" s="20" t="s">
        <v>1875</v>
      </c>
      <c r="T1724" s="20" t="s">
        <v>12</v>
      </c>
      <c r="U1724" s="53" t="n">
        <v>0</v>
      </c>
      <c r="V1724" s="76" t="s">
        <v>149</v>
      </c>
      <c r="W1724" s="53" t="n">
        <v>5</v>
      </c>
    </row>
    <row r="1725" customFormat="false" ht="46.25" hidden="false" customHeight="false" outlineLevel="0" collapsed="false">
      <c r="A1725" s="76" t="n">
        <v>1687</v>
      </c>
      <c r="B1725" s="20" t="s">
        <v>1838</v>
      </c>
      <c r="C1725" s="20" t="s">
        <v>508</v>
      </c>
      <c r="D1725" s="20" t="s">
        <v>564</v>
      </c>
      <c r="E1725" s="20" t="s">
        <v>149</v>
      </c>
      <c r="F1725" s="76" t="s">
        <v>575</v>
      </c>
      <c r="G1725" s="20" t="s">
        <v>1876</v>
      </c>
      <c r="H1725" s="55" t="n">
        <v>22</v>
      </c>
      <c r="I1725" s="76" t="s">
        <v>512</v>
      </c>
      <c r="J1725" s="76" t="s">
        <v>164</v>
      </c>
      <c r="K1725" s="82" t="n">
        <v>1</v>
      </c>
      <c r="L1725" s="55" t="n">
        <v>3</v>
      </c>
      <c r="M1725" s="73" t="n">
        <v>2.75</v>
      </c>
      <c r="N1725" s="74" t="n">
        <f aca="false">K1725*L1725*M1725</f>
        <v>8.25</v>
      </c>
      <c r="O1725" s="41" t="n">
        <f aca="false">IFERROR(INDEX(Исходные!$B$21:$B$33,MATCH(H1725,Исходные!$A$21:$A$33,0)),0)</f>
        <v>2.984</v>
      </c>
      <c r="P1725" s="83" t="n">
        <f aca="false">N1725*O1725</f>
        <v>24.618</v>
      </c>
      <c r="Q1725" s="20" t="s">
        <v>1542</v>
      </c>
      <c r="R1725" s="84" t="s">
        <v>514</v>
      </c>
      <c r="S1725" s="20" t="s">
        <v>1877</v>
      </c>
      <c r="T1725" s="20" t="s">
        <v>12</v>
      </c>
      <c r="U1725" s="53" t="n">
        <v>0</v>
      </c>
      <c r="V1725" s="76" t="s">
        <v>149</v>
      </c>
      <c r="W1725" s="53" t="n">
        <v>5</v>
      </c>
    </row>
    <row r="1726" customFormat="false" ht="46.25" hidden="false" customHeight="false" outlineLevel="0" collapsed="false">
      <c r="A1726" s="76" t="n">
        <v>1688</v>
      </c>
      <c r="B1726" s="20" t="s">
        <v>1838</v>
      </c>
      <c r="C1726" s="20" t="s">
        <v>508</v>
      </c>
      <c r="D1726" s="20" t="s">
        <v>564</v>
      </c>
      <c r="E1726" s="20" t="s">
        <v>149</v>
      </c>
      <c r="F1726" s="76" t="s">
        <v>575</v>
      </c>
      <c r="G1726" s="20" t="s">
        <v>1878</v>
      </c>
      <c r="H1726" s="55" t="n">
        <v>22</v>
      </c>
      <c r="I1726" s="76" t="s">
        <v>512</v>
      </c>
      <c r="J1726" s="76" t="s">
        <v>164</v>
      </c>
      <c r="K1726" s="82" t="n">
        <v>1</v>
      </c>
      <c r="L1726" s="55" t="n">
        <v>3</v>
      </c>
      <c r="M1726" s="73" t="n">
        <v>2.25</v>
      </c>
      <c r="N1726" s="74" t="n">
        <f aca="false">K1726*L1726*M1726</f>
        <v>6.75</v>
      </c>
      <c r="O1726" s="41" t="n">
        <f aca="false">IFERROR(INDEX(Исходные!$B$21:$B$33,MATCH(H1726,Исходные!$A$21:$A$33,0)),0)</f>
        <v>2.984</v>
      </c>
      <c r="P1726" s="83" t="n">
        <f aca="false">N1726*O1726</f>
        <v>20.142</v>
      </c>
      <c r="Q1726" s="20" t="s">
        <v>1542</v>
      </c>
      <c r="R1726" s="84" t="s">
        <v>514</v>
      </c>
      <c r="S1726" s="20" t="s">
        <v>1879</v>
      </c>
      <c r="T1726" s="20" t="s">
        <v>12</v>
      </c>
      <c r="U1726" s="53" t="n">
        <v>0</v>
      </c>
      <c r="V1726" s="76" t="s">
        <v>149</v>
      </c>
      <c r="W1726" s="53" t="n">
        <v>5</v>
      </c>
    </row>
    <row r="1727" customFormat="false" ht="46.25" hidden="false" customHeight="false" outlineLevel="0" collapsed="false">
      <c r="A1727" s="76" t="n">
        <v>1689</v>
      </c>
      <c r="B1727" s="20" t="s">
        <v>1838</v>
      </c>
      <c r="C1727" s="20" t="s">
        <v>508</v>
      </c>
      <c r="D1727" s="20" t="s">
        <v>564</v>
      </c>
      <c r="E1727" s="20" t="s">
        <v>149</v>
      </c>
      <c r="F1727" s="76" t="s">
        <v>575</v>
      </c>
      <c r="G1727" s="20" t="s">
        <v>1880</v>
      </c>
      <c r="H1727" s="55" t="n">
        <v>22</v>
      </c>
      <c r="I1727" s="76" t="s">
        <v>512</v>
      </c>
      <c r="J1727" s="76" t="s">
        <v>164</v>
      </c>
      <c r="K1727" s="82" t="n">
        <v>1</v>
      </c>
      <c r="L1727" s="55" t="n">
        <v>3</v>
      </c>
      <c r="M1727" s="73" t="n">
        <v>2.75</v>
      </c>
      <c r="N1727" s="74" t="n">
        <f aca="false">K1727*L1727*M1727</f>
        <v>8.25</v>
      </c>
      <c r="O1727" s="41" t="n">
        <f aca="false">IFERROR(INDEX(Исходные!$B$21:$B$33,MATCH(H1727,Исходные!$A$21:$A$33,0)),0)</f>
        <v>2.984</v>
      </c>
      <c r="P1727" s="83" t="n">
        <f aca="false">N1727*O1727</f>
        <v>24.618</v>
      </c>
      <c r="Q1727" s="20" t="s">
        <v>1542</v>
      </c>
      <c r="R1727" s="84" t="s">
        <v>514</v>
      </c>
      <c r="S1727" s="20" t="s">
        <v>1877</v>
      </c>
      <c r="T1727" s="20" t="s">
        <v>12</v>
      </c>
      <c r="U1727" s="53" t="n">
        <v>0</v>
      </c>
      <c r="V1727" s="76" t="s">
        <v>149</v>
      </c>
      <c r="W1727" s="53" t="n">
        <v>5</v>
      </c>
    </row>
    <row r="1728" customFormat="false" ht="46.25" hidden="false" customHeight="false" outlineLevel="0" collapsed="false">
      <c r="A1728" s="76" t="n">
        <v>1690</v>
      </c>
      <c r="B1728" s="20" t="s">
        <v>1838</v>
      </c>
      <c r="C1728" s="20" t="s">
        <v>508</v>
      </c>
      <c r="D1728" s="20" t="s">
        <v>564</v>
      </c>
      <c r="E1728" s="20" t="s">
        <v>149</v>
      </c>
      <c r="F1728" s="76" t="s">
        <v>575</v>
      </c>
      <c r="G1728" s="20" t="s">
        <v>1881</v>
      </c>
      <c r="H1728" s="55" t="n">
        <v>22</v>
      </c>
      <c r="I1728" s="76" t="s">
        <v>512</v>
      </c>
      <c r="J1728" s="76" t="s">
        <v>164</v>
      </c>
      <c r="K1728" s="82" t="n">
        <v>1</v>
      </c>
      <c r="L1728" s="55" t="n">
        <v>3</v>
      </c>
      <c r="M1728" s="73" t="n">
        <v>2.25</v>
      </c>
      <c r="N1728" s="74" t="n">
        <f aca="false">K1728*L1728*M1728</f>
        <v>6.75</v>
      </c>
      <c r="O1728" s="41" t="n">
        <f aca="false">IFERROR(INDEX(Исходные!$B$21:$B$33,MATCH(H1728,Исходные!$A$21:$A$33,0)),0)</f>
        <v>2.984</v>
      </c>
      <c r="P1728" s="83" t="n">
        <f aca="false">N1728*O1728</f>
        <v>20.142</v>
      </c>
      <c r="Q1728" s="20" t="s">
        <v>1542</v>
      </c>
      <c r="R1728" s="84" t="s">
        <v>514</v>
      </c>
      <c r="S1728" s="20" t="s">
        <v>1879</v>
      </c>
      <c r="T1728" s="20" t="s">
        <v>12</v>
      </c>
      <c r="U1728" s="53" t="n">
        <v>0</v>
      </c>
      <c r="V1728" s="76" t="s">
        <v>149</v>
      </c>
      <c r="W1728" s="53" t="n">
        <v>5</v>
      </c>
    </row>
    <row r="1729" customFormat="false" ht="46.25" hidden="false" customHeight="false" outlineLevel="0" collapsed="false">
      <c r="A1729" s="76" t="n">
        <v>1691</v>
      </c>
      <c r="B1729" s="20" t="s">
        <v>1838</v>
      </c>
      <c r="C1729" s="20" t="s">
        <v>508</v>
      </c>
      <c r="D1729" s="20" t="s">
        <v>564</v>
      </c>
      <c r="E1729" s="20" t="s">
        <v>149</v>
      </c>
      <c r="F1729" s="76" t="s">
        <v>529</v>
      </c>
      <c r="G1729" s="20" t="s">
        <v>1859</v>
      </c>
      <c r="H1729" s="55" t="n">
        <v>18</v>
      </c>
      <c r="I1729" s="76" t="s">
        <v>512</v>
      </c>
      <c r="J1729" s="76" t="s">
        <v>164</v>
      </c>
      <c r="K1729" s="82" t="n">
        <v>1</v>
      </c>
      <c r="L1729" s="55" t="n">
        <v>2</v>
      </c>
      <c r="M1729" s="73" t="n">
        <v>2.894</v>
      </c>
      <c r="N1729" s="74" t="n">
        <f aca="false">K1729*L1729*M1729</f>
        <v>5.788</v>
      </c>
      <c r="O1729" s="41" t="n">
        <f aca="false">IFERROR(INDEX(Исходные!$B$21:$B$33,MATCH(H1729,Исходные!$A$21:$A$33,0)),0)</f>
        <v>1.998</v>
      </c>
      <c r="P1729" s="83" t="n">
        <f aca="false">N1729*O1729</f>
        <v>11.564424</v>
      </c>
      <c r="Q1729" s="20" t="s">
        <v>1542</v>
      </c>
      <c r="R1729" s="84" t="s">
        <v>514</v>
      </c>
      <c r="S1729" s="20" t="s">
        <v>1882</v>
      </c>
      <c r="T1729" s="20" t="s">
        <v>12</v>
      </c>
      <c r="U1729" s="53" t="n">
        <v>0</v>
      </c>
      <c r="V1729" s="76" t="s">
        <v>149</v>
      </c>
      <c r="W1729" s="53" t="n">
        <v>5</v>
      </c>
    </row>
    <row r="1730" customFormat="false" ht="46.25" hidden="false" customHeight="false" outlineLevel="0" collapsed="false">
      <c r="A1730" s="76" t="n">
        <v>1692</v>
      </c>
      <c r="B1730" s="20" t="s">
        <v>1838</v>
      </c>
      <c r="C1730" s="20" t="s">
        <v>508</v>
      </c>
      <c r="D1730" s="20" t="s">
        <v>564</v>
      </c>
      <c r="E1730" s="20" t="s">
        <v>149</v>
      </c>
      <c r="F1730" s="76" t="s">
        <v>529</v>
      </c>
      <c r="G1730" s="20" t="s">
        <v>1861</v>
      </c>
      <c r="H1730" s="55" t="n">
        <v>18</v>
      </c>
      <c r="I1730" s="76" t="s">
        <v>512</v>
      </c>
      <c r="J1730" s="76" t="s">
        <v>164</v>
      </c>
      <c r="K1730" s="82" t="n">
        <v>1</v>
      </c>
      <c r="L1730" s="55" t="n">
        <v>2</v>
      </c>
      <c r="M1730" s="73" t="n">
        <v>2.394</v>
      </c>
      <c r="N1730" s="74" t="n">
        <f aca="false">K1730*L1730*M1730</f>
        <v>4.788</v>
      </c>
      <c r="O1730" s="41" t="n">
        <f aca="false">IFERROR(INDEX(Исходные!$B$21:$B$33,MATCH(H1730,Исходные!$A$21:$A$33,0)),0)</f>
        <v>1.998</v>
      </c>
      <c r="P1730" s="83" t="n">
        <f aca="false">N1730*O1730</f>
        <v>9.566424</v>
      </c>
      <c r="Q1730" s="20" t="s">
        <v>1542</v>
      </c>
      <c r="R1730" s="84" t="s">
        <v>514</v>
      </c>
      <c r="S1730" s="20" t="s">
        <v>1883</v>
      </c>
      <c r="T1730" s="20" t="s">
        <v>12</v>
      </c>
      <c r="U1730" s="53" t="n">
        <v>0</v>
      </c>
      <c r="V1730" s="76" t="s">
        <v>149</v>
      </c>
      <c r="W1730" s="53" t="n">
        <v>5</v>
      </c>
    </row>
    <row r="1731" customFormat="false" ht="46.25" hidden="false" customHeight="false" outlineLevel="0" collapsed="false">
      <c r="A1731" s="76" t="n">
        <v>1693</v>
      </c>
      <c r="B1731" s="20" t="s">
        <v>1838</v>
      </c>
      <c r="C1731" s="20" t="s">
        <v>508</v>
      </c>
      <c r="D1731" s="20" t="s">
        <v>564</v>
      </c>
      <c r="E1731" s="20" t="s">
        <v>149</v>
      </c>
      <c r="F1731" s="76" t="s">
        <v>669</v>
      </c>
      <c r="G1731" s="20" t="s">
        <v>1863</v>
      </c>
      <c r="H1731" s="55" t="n">
        <v>14</v>
      </c>
      <c r="I1731" s="76" t="s">
        <v>512</v>
      </c>
      <c r="J1731" s="76" t="s">
        <v>164</v>
      </c>
      <c r="K1731" s="82" t="n">
        <v>1</v>
      </c>
      <c r="L1731" s="55" t="n">
        <v>4</v>
      </c>
      <c r="M1731" s="73" t="n">
        <v>2.862</v>
      </c>
      <c r="N1731" s="74" t="n">
        <f aca="false">K1731*L1731*M1731</f>
        <v>11.448</v>
      </c>
      <c r="O1731" s="41" t="n">
        <f aca="false">IFERROR(INDEX(Исходные!$B$21:$B$33,MATCH(H1731,Исходные!$A$21:$A$33,0)),0)</f>
        <v>1.208</v>
      </c>
      <c r="P1731" s="83" t="n">
        <f aca="false">N1731*O1731</f>
        <v>13.829184</v>
      </c>
      <c r="Q1731" s="20" t="s">
        <v>1542</v>
      </c>
      <c r="R1731" s="84" t="s">
        <v>514</v>
      </c>
      <c r="S1731" s="20" t="s">
        <v>1864</v>
      </c>
      <c r="T1731" s="20" t="s">
        <v>12</v>
      </c>
      <c r="U1731" s="53" t="n">
        <v>0</v>
      </c>
      <c r="V1731" s="76" t="s">
        <v>149</v>
      </c>
      <c r="W1731" s="53" t="n">
        <v>5</v>
      </c>
    </row>
    <row r="1732" customFormat="false" ht="46.25" hidden="false" customHeight="false" outlineLevel="0" collapsed="false">
      <c r="A1732" s="76" t="n">
        <v>1694</v>
      </c>
      <c r="B1732" s="20" t="s">
        <v>1838</v>
      </c>
      <c r="C1732" s="20" t="s">
        <v>508</v>
      </c>
      <c r="D1732" s="20" t="s">
        <v>564</v>
      </c>
      <c r="E1732" s="20" t="s">
        <v>149</v>
      </c>
      <c r="F1732" s="76" t="s">
        <v>669</v>
      </c>
      <c r="G1732" s="20" t="s">
        <v>1865</v>
      </c>
      <c r="H1732" s="55" t="n">
        <v>14</v>
      </c>
      <c r="I1732" s="76" t="s">
        <v>512</v>
      </c>
      <c r="J1732" s="76" t="s">
        <v>164</v>
      </c>
      <c r="K1732" s="82" t="n">
        <v>1</v>
      </c>
      <c r="L1732" s="55" t="n">
        <v>4</v>
      </c>
      <c r="M1732" s="73" t="n">
        <v>2.362</v>
      </c>
      <c r="N1732" s="74" t="n">
        <f aca="false">K1732*L1732*M1732</f>
        <v>9.448</v>
      </c>
      <c r="O1732" s="41" t="n">
        <f aca="false">IFERROR(INDEX(Исходные!$B$21:$B$33,MATCH(H1732,Исходные!$A$21:$A$33,0)),0)</f>
        <v>1.208</v>
      </c>
      <c r="P1732" s="83" t="n">
        <f aca="false">N1732*O1732</f>
        <v>11.413184</v>
      </c>
      <c r="Q1732" s="20" t="s">
        <v>1542</v>
      </c>
      <c r="R1732" s="84" t="s">
        <v>514</v>
      </c>
      <c r="S1732" s="20" t="s">
        <v>1866</v>
      </c>
      <c r="T1732" s="20" t="s">
        <v>12</v>
      </c>
      <c r="U1732" s="53" t="n">
        <v>0</v>
      </c>
      <c r="V1732" s="76" t="s">
        <v>149</v>
      </c>
      <c r="W1732" s="53" t="n">
        <v>5</v>
      </c>
    </row>
    <row r="1733" customFormat="false" ht="46.25" hidden="false" customHeight="false" outlineLevel="0" collapsed="false">
      <c r="A1733" s="76" t="n">
        <v>1695</v>
      </c>
      <c r="B1733" s="20" t="s">
        <v>1838</v>
      </c>
      <c r="C1733" s="20" t="s">
        <v>508</v>
      </c>
      <c r="D1733" s="20" t="s">
        <v>564</v>
      </c>
      <c r="E1733" s="20" t="s">
        <v>149</v>
      </c>
      <c r="F1733" s="76" t="s">
        <v>529</v>
      </c>
      <c r="G1733" s="20" t="s">
        <v>1884</v>
      </c>
      <c r="H1733" s="55" t="n">
        <v>16</v>
      </c>
      <c r="I1733" s="76" t="s">
        <v>512</v>
      </c>
      <c r="J1733" s="76" t="s">
        <v>164</v>
      </c>
      <c r="K1733" s="82" t="n">
        <v>1</v>
      </c>
      <c r="L1733" s="55" t="n">
        <v>2</v>
      </c>
      <c r="M1733" s="73" t="n">
        <v>2.878</v>
      </c>
      <c r="N1733" s="74" t="n">
        <f aca="false">K1733*L1733*M1733</f>
        <v>5.756</v>
      </c>
      <c r="O1733" s="41" t="n">
        <f aca="false">IFERROR(INDEX(Исходные!$B$21:$B$33,MATCH(H1733,Исходные!$A$21:$A$33,0)),0)</f>
        <v>1.578</v>
      </c>
      <c r="P1733" s="83" t="n">
        <f aca="false">N1733*O1733</f>
        <v>9.082968</v>
      </c>
      <c r="Q1733" s="20" t="s">
        <v>1542</v>
      </c>
      <c r="R1733" s="84" t="s">
        <v>514</v>
      </c>
      <c r="S1733" s="20" t="s">
        <v>1885</v>
      </c>
      <c r="T1733" s="20" t="s">
        <v>12</v>
      </c>
      <c r="U1733" s="53" t="n">
        <v>0</v>
      </c>
      <c r="V1733" s="76" t="s">
        <v>149</v>
      </c>
      <c r="W1733" s="53" t="n">
        <v>5</v>
      </c>
    </row>
    <row r="1734" customFormat="false" ht="46.25" hidden="false" customHeight="false" outlineLevel="0" collapsed="false">
      <c r="A1734" s="76" t="n">
        <v>1696</v>
      </c>
      <c r="B1734" s="20" t="s">
        <v>1838</v>
      </c>
      <c r="C1734" s="20" t="s">
        <v>508</v>
      </c>
      <c r="D1734" s="20" t="s">
        <v>564</v>
      </c>
      <c r="E1734" s="20" t="s">
        <v>149</v>
      </c>
      <c r="F1734" s="76" t="s">
        <v>529</v>
      </c>
      <c r="G1734" s="20" t="s">
        <v>1886</v>
      </c>
      <c r="H1734" s="55" t="n">
        <v>16</v>
      </c>
      <c r="I1734" s="76" t="s">
        <v>512</v>
      </c>
      <c r="J1734" s="76" t="s">
        <v>164</v>
      </c>
      <c r="K1734" s="82" t="n">
        <v>1</v>
      </c>
      <c r="L1734" s="55" t="n">
        <v>2</v>
      </c>
      <c r="M1734" s="73" t="n">
        <v>2.378</v>
      </c>
      <c r="N1734" s="74" t="n">
        <f aca="false">K1734*L1734*M1734</f>
        <v>4.756</v>
      </c>
      <c r="O1734" s="41" t="n">
        <f aca="false">IFERROR(INDEX(Исходные!$B$21:$B$33,MATCH(H1734,Исходные!$A$21:$A$33,0)),0)</f>
        <v>1.578</v>
      </c>
      <c r="P1734" s="83" t="n">
        <f aca="false">N1734*O1734</f>
        <v>7.504968</v>
      </c>
      <c r="Q1734" s="20" t="s">
        <v>1542</v>
      </c>
      <c r="R1734" s="84" t="s">
        <v>514</v>
      </c>
      <c r="S1734" s="20" t="s">
        <v>1887</v>
      </c>
      <c r="T1734" s="20" t="s">
        <v>12</v>
      </c>
      <c r="U1734" s="53" t="n">
        <v>0</v>
      </c>
      <c r="V1734" s="76" t="s">
        <v>149</v>
      </c>
      <c r="W1734" s="53" t="n">
        <v>5</v>
      </c>
    </row>
    <row r="1735" customFormat="false" ht="35.05" hidden="false" customHeight="false" outlineLevel="0" collapsed="false">
      <c r="A1735" s="76" t="n">
        <v>1697</v>
      </c>
      <c r="B1735" s="20" t="s">
        <v>1838</v>
      </c>
      <c r="C1735" s="20" t="s">
        <v>508</v>
      </c>
      <c r="D1735" s="20" t="s">
        <v>564</v>
      </c>
      <c r="E1735" s="20" t="s">
        <v>149</v>
      </c>
      <c r="F1735" s="76" t="s">
        <v>532</v>
      </c>
      <c r="G1735" s="20" t="s">
        <v>577</v>
      </c>
      <c r="H1735" s="55" t="n">
        <v>10</v>
      </c>
      <c r="I1735" s="76" t="s">
        <v>512</v>
      </c>
      <c r="J1735" s="76" t="n">
        <v>200</v>
      </c>
      <c r="K1735" s="82" t="n">
        <v>1</v>
      </c>
      <c r="L1735" s="55" t="n">
        <v>32</v>
      </c>
      <c r="M1735" s="73" t="n">
        <v>1.25</v>
      </c>
      <c r="N1735" s="74" t="n">
        <f aca="false">K1735*L1735*M1735</f>
        <v>40</v>
      </c>
      <c r="O1735" s="41" t="n">
        <f aca="false">IFERROR(INDEX(Исходные!$B$21:$B$33,MATCH(H1735,Исходные!$A$21:$A$33,0)),0)</f>
        <v>0.617</v>
      </c>
      <c r="P1735" s="83" t="n">
        <f aca="false">N1735*O1735</f>
        <v>24.68</v>
      </c>
      <c r="Q1735" s="20" t="s">
        <v>1888</v>
      </c>
      <c r="R1735" s="85" t="s">
        <v>535</v>
      </c>
      <c r="S1735" s="20" t="s">
        <v>1868</v>
      </c>
      <c r="T1735" s="20" t="s">
        <v>12</v>
      </c>
      <c r="U1735" s="53" t="n">
        <v>1</v>
      </c>
      <c r="V1735" s="76" t="s">
        <v>149</v>
      </c>
      <c r="W1735" s="53" t="n">
        <v>5</v>
      </c>
    </row>
    <row r="1736" customFormat="false" ht="35.05" hidden="false" customHeight="false" outlineLevel="0" collapsed="false">
      <c r="A1736" s="76" t="n">
        <v>1698</v>
      </c>
      <c r="B1736" s="20" t="s">
        <v>1838</v>
      </c>
      <c r="C1736" s="20" t="s">
        <v>508</v>
      </c>
      <c r="D1736" s="20" t="s">
        <v>564</v>
      </c>
      <c r="E1736" s="20" t="s">
        <v>149</v>
      </c>
      <c r="F1736" s="76" t="s">
        <v>532</v>
      </c>
      <c r="G1736" s="20" t="s">
        <v>580</v>
      </c>
      <c r="H1736" s="55" t="n">
        <v>12</v>
      </c>
      <c r="I1736" s="76" t="s">
        <v>512</v>
      </c>
      <c r="J1736" s="76" t="n">
        <v>200</v>
      </c>
      <c r="K1736" s="82" t="n">
        <v>1</v>
      </c>
      <c r="L1736" s="55" t="n">
        <v>32</v>
      </c>
      <c r="M1736" s="73" t="n">
        <v>2.25</v>
      </c>
      <c r="N1736" s="74" t="n">
        <f aca="false">K1736*L1736*M1736</f>
        <v>72</v>
      </c>
      <c r="O1736" s="41" t="n">
        <f aca="false">IFERROR(INDEX(Исходные!$B$21:$B$33,MATCH(H1736,Исходные!$A$21:$A$33,0)),0)</f>
        <v>0.888</v>
      </c>
      <c r="P1736" s="83" t="n">
        <f aca="false">N1736*O1736</f>
        <v>63.936</v>
      </c>
      <c r="Q1736" s="20" t="s">
        <v>1888</v>
      </c>
      <c r="R1736" s="85" t="s">
        <v>535</v>
      </c>
      <c r="S1736" s="20" t="s">
        <v>1869</v>
      </c>
      <c r="T1736" s="20" t="s">
        <v>12</v>
      </c>
      <c r="U1736" s="53" t="n">
        <v>1</v>
      </c>
      <c r="V1736" s="76" t="s">
        <v>149</v>
      </c>
      <c r="W1736" s="53" t="n">
        <v>5</v>
      </c>
    </row>
    <row r="1737" customFormat="false" ht="35.05" hidden="false" customHeight="false" outlineLevel="0" collapsed="false">
      <c r="A1737" s="76" t="n">
        <v>1699</v>
      </c>
      <c r="B1737" s="20" t="s">
        <v>1838</v>
      </c>
      <c r="C1737" s="20" t="s">
        <v>508</v>
      </c>
      <c r="D1737" s="20" t="s">
        <v>564</v>
      </c>
      <c r="E1737" s="20" t="s">
        <v>149</v>
      </c>
      <c r="F1737" s="76" t="s">
        <v>539</v>
      </c>
      <c r="G1737" s="20" t="s">
        <v>1889</v>
      </c>
      <c r="H1737" s="55" t="n">
        <v>10</v>
      </c>
      <c r="I1737" s="76" t="s">
        <v>512</v>
      </c>
      <c r="J1737" s="76" t="n">
        <v>200</v>
      </c>
      <c r="K1737" s="82" t="n">
        <v>1</v>
      </c>
      <c r="L1737" s="55" t="n">
        <v>6</v>
      </c>
      <c r="M1737" s="73" t="n">
        <v>1.25</v>
      </c>
      <c r="N1737" s="74" t="n">
        <f aca="false">K1737*L1737*M1737</f>
        <v>7.5</v>
      </c>
      <c r="O1737" s="41" t="n">
        <f aca="false">IFERROR(INDEX(Исходные!$B$21:$B$33,MATCH(H1737,Исходные!$A$21:$A$33,0)),0)</f>
        <v>0.617</v>
      </c>
      <c r="P1737" s="83" t="n">
        <f aca="false">N1737*O1737</f>
        <v>4.6275</v>
      </c>
      <c r="Q1737" s="20" t="s">
        <v>1214</v>
      </c>
      <c r="R1737" s="84" t="s">
        <v>514</v>
      </c>
      <c r="S1737" s="20"/>
      <c r="T1737" s="20" t="s">
        <v>12</v>
      </c>
      <c r="U1737" s="53" t="n">
        <v>0</v>
      </c>
      <c r="V1737" s="76" t="s">
        <v>149</v>
      </c>
      <c r="W1737" s="53" t="n">
        <v>5</v>
      </c>
    </row>
    <row r="1738" customFormat="false" ht="35.05" hidden="false" customHeight="false" outlineLevel="0" collapsed="false">
      <c r="A1738" s="76" t="n">
        <v>1700</v>
      </c>
      <c r="B1738" s="20" t="s">
        <v>1838</v>
      </c>
      <c r="C1738" s="20" t="s">
        <v>508</v>
      </c>
      <c r="D1738" s="20" t="s">
        <v>564</v>
      </c>
      <c r="E1738" s="20" t="s">
        <v>149</v>
      </c>
      <c r="F1738" s="76" t="s">
        <v>539</v>
      </c>
      <c r="G1738" s="20" t="s">
        <v>1890</v>
      </c>
      <c r="H1738" s="55" t="n">
        <v>14</v>
      </c>
      <c r="I1738" s="76" t="s">
        <v>512</v>
      </c>
      <c r="J1738" s="76" t="n">
        <v>200</v>
      </c>
      <c r="K1738" s="82" t="n">
        <v>1</v>
      </c>
      <c r="L1738" s="55" t="n">
        <v>6</v>
      </c>
      <c r="M1738" s="73" t="n">
        <v>1.2</v>
      </c>
      <c r="N1738" s="74" t="n">
        <f aca="false">K1738*L1738*M1738</f>
        <v>7.2</v>
      </c>
      <c r="O1738" s="41" t="n">
        <f aca="false">IFERROR(INDEX(Исходные!$B$21:$B$33,MATCH(H1738,Исходные!$A$21:$A$33,0)),0)</f>
        <v>1.208</v>
      </c>
      <c r="P1738" s="83" t="n">
        <f aca="false">N1738*O1738</f>
        <v>8.6976</v>
      </c>
      <c r="Q1738" s="20" t="s">
        <v>1214</v>
      </c>
      <c r="R1738" s="84" t="s">
        <v>514</v>
      </c>
      <c r="S1738" s="20"/>
      <c r="T1738" s="20" t="s">
        <v>12</v>
      </c>
      <c r="U1738" s="53" t="n">
        <v>0</v>
      </c>
      <c r="V1738" s="76" t="s">
        <v>149</v>
      </c>
      <c r="W1738" s="53" t="n">
        <v>5</v>
      </c>
    </row>
    <row r="1739" customFormat="false" ht="35.05" hidden="false" customHeight="false" outlineLevel="0" collapsed="false">
      <c r="A1739" s="76" t="n">
        <v>1701</v>
      </c>
      <c r="B1739" s="20" t="s">
        <v>1838</v>
      </c>
      <c r="C1739" s="20" t="s">
        <v>508</v>
      </c>
      <c r="D1739" s="20" t="s">
        <v>564</v>
      </c>
      <c r="E1739" s="20" t="s">
        <v>149</v>
      </c>
      <c r="F1739" s="76" t="s">
        <v>544</v>
      </c>
      <c r="G1739" s="20" t="s">
        <v>1217</v>
      </c>
      <c r="H1739" s="55" t="n">
        <v>10</v>
      </c>
      <c r="I1739" s="76" t="s">
        <v>546</v>
      </c>
      <c r="J1739" s="76" t="s">
        <v>547</v>
      </c>
      <c r="K1739" s="82" t="n">
        <v>1</v>
      </c>
      <c r="L1739" s="55" t="n">
        <v>32</v>
      </c>
      <c r="M1739" s="73" t="n">
        <v>1.33</v>
      </c>
      <c r="N1739" s="74" t="n">
        <f aca="false">K1739*L1739*M1739</f>
        <v>42.56</v>
      </c>
      <c r="O1739" s="41" t="n">
        <f aca="false">IFERROR(INDEX(Исходные!$B$21:$B$33,MATCH(H1739,Исходные!$A$21:$A$33,0)),0)</f>
        <v>0.617</v>
      </c>
      <c r="P1739" s="83" t="n">
        <f aca="false">N1739*O1739</f>
        <v>26.25952</v>
      </c>
      <c r="Q1739" s="20" t="s">
        <v>1552</v>
      </c>
      <c r="R1739" s="84" t="s">
        <v>514</v>
      </c>
      <c r="S1739" s="20"/>
      <c r="T1739" s="20" t="s">
        <v>12</v>
      </c>
      <c r="U1739" s="53" t="n">
        <v>0</v>
      </c>
      <c r="V1739" s="76" t="s">
        <v>149</v>
      </c>
      <c r="W1739" s="53" t="n">
        <v>5</v>
      </c>
    </row>
    <row r="1740" customFormat="false" ht="35.05" hidden="false" customHeight="false" outlineLevel="0" collapsed="false">
      <c r="A1740" s="76" t="n">
        <v>1702</v>
      </c>
      <c r="B1740" s="20" t="s">
        <v>1838</v>
      </c>
      <c r="C1740" s="20" t="s">
        <v>508</v>
      </c>
      <c r="D1740" s="20" t="s">
        <v>564</v>
      </c>
      <c r="E1740" s="20" t="s">
        <v>149</v>
      </c>
      <c r="F1740" s="76" t="s">
        <v>696</v>
      </c>
      <c r="G1740" s="20" t="s">
        <v>1219</v>
      </c>
      <c r="H1740" s="55" t="n">
        <v>8</v>
      </c>
      <c r="I1740" s="76" t="s">
        <v>546</v>
      </c>
      <c r="J1740" s="76" t="s">
        <v>547</v>
      </c>
      <c r="K1740" s="82" t="n">
        <v>1</v>
      </c>
      <c r="L1740" s="55" t="n">
        <v>16</v>
      </c>
      <c r="M1740" s="73" t="n">
        <v>1.56</v>
      </c>
      <c r="N1740" s="74" t="n">
        <f aca="false">K1740*L1740*M1740</f>
        <v>24.96</v>
      </c>
      <c r="O1740" s="41" t="n">
        <f aca="false">IFERROR(INDEX(Исходные!$B$21:$B$33,MATCH(H1740,Исходные!$A$21:$A$33,0)),0)</f>
        <v>0.395</v>
      </c>
      <c r="P1740" s="83" t="n">
        <f aca="false">N1740*O1740</f>
        <v>9.8592</v>
      </c>
      <c r="Q1740" s="20" t="s">
        <v>1553</v>
      </c>
      <c r="R1740" s="84" t="s">
        <v>514</v>
      </c>
      <c r="S1740" s="20"/>
      <c r="T1740" s="20" t="s">
        <v>12</v>
      </c>
      <c r="U1740" s="53" t="n">
        <v>0</v>
      </c>
      <c r="V1740" s="76" t="s">
        <v>149</v>
      </c>
      <c r="W1740" s="53" t="n">
        <v>5</v>
      </c>
    </row>
    <row r="1741" customFormat="false" ht="35.05" hidden="false" customHeight="false" outlineLevel="0" collapsed="false">
      <c r="A1741" s="76" t="n">
        <v>1703</v>
      </c>
      <c r="B1741" s="20" t="s">
        <v>1838</v>
      </c>
      <c r="C1741" s="20" t="s">
        <v>508</v>
      </c>
      <c r="D1741" s="20" t="s">
        <v>564</v>
      </c>
      <c r="E1741" s="20" t="s">
        <v>149</v>
      </c>
      <c r="F1741" s="76" t="s">
        <v>603</v>
      </c>
      <c r="G1741" s="20" t="s">
        <v>1195</v>
      </c>
      <c r="H1741" s="55" t="n">
        <v>8</v>
      </c>
      <c r="I1741" s="76" t="s">
        <v>546</v>
      </c>
      <c r="J1741" s="76" t="s">
        <v>547</v>
      </c>
      <c r="K1741" s="82" t="n">
        <v>1</v>
      </c>
      <c r="L1741" s="55" t="n">
        <v>16</v>
      </c>
      <c r="M1741" s="73" t="n">
        <v>1.76</v>
      </c>
      <c r="N1741" s="74" t="n">
        <f aca="false">K1741*L1741*M1741</f>
        <v>28.16</v>
      </c>
      <c r="O1741" s="41" t="n">
        <f aca="false">IFERROR(INDEX(Исходные!$B$21:$B$33,MATCH(H1741,Исходные!$A$21:$A$33,0)),0)</f>
        <v>0.395</v>
      </c>
      <c r="P1741" s="83" t="n">
        <f aca="false">N1741*O1741</f>
        <v>11.1232</v>
      </c>
      <c r="Q1741" s="20" t="s">
        <v>1554</v>
      </c>
      <c r="R1741" s="84" t="s">
        <v>514</v>
      </c>
      <c r="S1741" s="20"/>
      <c r="T1741" s="20" t="s">
        <v>12</v>
      </c>
      <c r="U1741" s="53" t="n">
        <v>0</v>
      </c>
      <c r="V1741" s="76" t="s">
        <v>149</v>
      </c>
      <c r="W1741" s="53" t="n">
        <v>5</v>
      </c>
    </row>
    <row r="1742" customFormat="false" ht="35.05" hidden="false" customHeight="false" outlineLevel="0" collapsed="false">
      <c r="A1742" s="76" t="n">
        <v>1704</v>
      </c>
      <c r="B1742" s="20" t="s">
        <v>1838</v>
      </c>
      <c r="C1742" s="20" t="s">
        <v>508</v>
      </c>
      <c r="D1742" s="20" t="s">
        <v>564</v>
      </c>
      <c r="E1742" s="20" t="s">
        <v>149</v>
      </c>
      <c r="F1742" s="76" t="s">
        <v>555</v>
      </c>
      <c r="G1742" s="20" t="s">
        <v>1197</v>
      </c>
      <c r="H1742" s="55" t="n">
        <v>8</v>
      </c>
      <c r="I1742" s="76" t="s">
        <v>546</v>
      </c>
      <c r="J1742" s="76" t="s">
        <v>547</v>
      </c>
      <c r="K1742" s="82" t="n">
        <v>1</v>
      </c>
      <c r="L1742" s="55" t="n">
        <v>28</v>
      </c>
      <c r="M1742" s="73" t="n">
        <v>2.44</v>
      </c>
      <c r="N1742" s="74" t="n">
        <f aca="false">K1742*L1742*M1742</f>
        <v>68.32</v>
      </c>
      <c r="O1742" s="41" t="n">
        <f aca="false">IFERROR(INDEX(Исходные!$B$21:$B$33,MATCH(H1742,Исходные!$A$21:$A$33,0)),0)</f>
        <v>0.395</v>
      </c>
      <c r="P1742" s="83" t="n">
        <f aca="false">N1742*O1742</f>
        <v>26.9864</v>
      </c>
      <c r="Q1742" s="20" t="s">
        <v>1198</v>
      </c>
      <c r="R1742" s="84" t="s">
        <v>514</v>
      </c>
      <c r="S1742" s="20"/>
      <c r="T1742" s="20" t="s">
        <v>12</v>
      </c>
      <c r="U1742" s="53" t="n">
        <v>0</v>
      </c>
      <c r="V1742" s="76" t="s">
        <v>149</v>
      </c>
      <c r="W1742" s="53" t="n">
        <v>5</v>
      </c>
    </row>
    <row r="1743" customFormat="false" ht="35.05" hidden="false" customHeight="false" outlineLevel="0" collapsed="false">
      <c r="A1743" s="76" t="n">
        <v>1705</v>
      </c>
      <c r="B1743" s="20" t="s">
        <v>1838</v>
      </c>
      <c r="C1743" s="20" t="s">
        <v>508</v>
      </c>
      <c r="D1743" s="20" t="s">
        <v>564</v>
      </c>
      <c r="E1743" s="20" t="s">
        <v>149</v>
      </c>
      <c r="F1743" s="76" t="s">
        <v>558</v>
      </c>
      <c r="G1743" s="20" t="s">
        <v>1199</v>
      </c>
      <c r="H1743" s="55" t="n">
        <v>8</v>
      </c>
      <c r="I1743" s="76" t="s">
        <v>546</v>
      </c>
      <c r="J1743" s="76" t="s">
        <v>547</v>
      </c>
      <c r="K1743" s="82" t="n">
        <v>1</v>
      </c>
      <c r="L1743" s="55" t="n">
        <v>32</v>
      </c>
      <c r="M1743" s="73" t="n">
        <v>1.96</v>
      </c>
      <c r="N1743" s="74" t="n">
        <f aca="false">K1743*L1743*M1743</f>
        <v>62.72</v>
      </c>
      <c r="O1743" s="41" t="n">
        <f aca="false">IFERROR(INDEX(Исходные!$B$21:$B$33,MATCH(H1743,Исходные!$A$21:$A$33,0)),0)</f>
        <v>0.395</v>
      </c>
      <c r="P1743" s="83" t="n">
        <f aca="false">N1743*O1743</f>
        <v>24.7744</v>
      </c>
      <c r="Q1743" s="20" t="s">
        <v>1555</v>
      </c>
      <c r="R1743" s="84" t="s">
        <v>514</v>
      </c>
      <c r="S1743" s="20"/>
      <c r="T1743" s="20" t="s">
        <v>12</v>
      </c>
      <c r="U1743" s="53" t="n">
        <v>0</v>
      </c>
      <c r="V1743" s="76" t="s">
        <v>149</v>
      </c>
      <c r="W1743" s="53" t="n">
        <v>5</v>
      </c>
    </row>
    <row r="1744" customFormat="false" ht="35.05" hidden="false" customHeight="false" outlineLevel="0" collapsed="false">
      <c r="A1744" s="76" t="n">
        <v>1706</v>
      </c>
      <c r="B1744" s="20" t="s">
        <v>1838</v>
      </c>
      <c r="C1744" s="20" t="s">
        <v>508</v>
      </c>
      <c r="D1744" s="20" t="s">
        <v>564</v>
      </c>
      <c r="E1744" s="20" t="s">
        <v>149</v>
      </c>
      <c r="F1744" s="76" t="s">
        <v>561</v>
      </c>
      <c r="G1744" s="20" t="s">
        <v>1223</v>
      </c>
      <c r="H1744" s="55" t="n">
        <v>8</v>
      </c>
      <c r="I1744" s="76" t="s">
        <v>546</v>
      </c>
      <c r="J1744" s="76" t="s">
        <v>547</v>
      </c>
      <c r="K1744" s="82" t="n">
        <v>1</v>
      </c>
      <c r="L1744" s="55" t="n">
        <v>56</v>
      </c>
      <c r="M1744" s="73" t="n">
        <v>0.53</v>
      </c>
      <c r="N1744" s="74" t="n">
        <f aca="false">K1744*L1744*M1744</f>
        <v>29.68</v>
      </c>
      <c r="O1744" s="41" t="n">
        <f aca="false">IFERROR(INDEX(Исходные!$B$21:$B$33,MATCH(H1744,Исходные!$A$21:$A$33,0)),0)</f>
        <v>0.395</v>
      </c>
      <c r="P1744" s="83" t="n">
        <f aca="false">N1744*O1744</f>
        <v>11.7236</v>
      </c>
      <c r="Q1744" s="20" t="s">
        <v>1556</v>
      </c>
      <c r="R1744" s="84" t="s">
        <v>514</v>
      </c>
      <c r="S1744" s="20"/>
      <c r="T1744" s="20" t="s">
        <v>12</v>
      </c>
      <c r="U1744" s="53" t="n">
        <v>0</v>
      </c>
      <c r="V1744" s="76" t="s">
        <v>149</v>
      </c>
      <c r="W1744" s="53" t="n">
        <v>5</v>
      </c>
    </row>
    <row r="1745" customFormat="false" ht="46.25" hidden="false" customHeight="false" outlineLevel="0" collapsed="false">
      <c r="A1745" s="76" t="n">
        <v>1707</v>
      </c>
      <c r="B1745" s="20" t="s">
        <v>1838</v>
      </c>
      <c r="C1745" s="20" t="s">
        <v>508</v>
      </c>
      <c r="D1745" s="20" t="s">
        <v>586</v>
      </c>
      <c r="E1745" s="20" t="s">
        <v>154</v>
      </c>
      <c r="F1745" s="76" t="s">
        <v>519</v>
      </c>
      <c r="G1745" s="20" t="s">
        <v>1839</v>
      </c>
      <c r="H1745" s="55" t="n">
        <v>28</v>
      </c>
      <c r="I1745" s="76" t="s">
        <v>512</v>
      </c>
      <c r="J1745" s="76" t="s">
        <v>164</v>
      </c>
      <c r="K1745" s="82" t="n">
        <v>1</v>
      </c>
      <c r="L1745" s="55" t="n">
        <v>2</v>
      </c>
      <c r="M1745" s="73" t="n">
        <v>2.75</v>
      </c>
      <c r="N1745" s="74" t="n">
        <f aca="false">K1745*L1745*M1745</f>
        <v>5.5</v>
      </c>
      <c r="O1745" s="41" t="n">
        <f aca="false">IFERROR(INDEX(Исходные!$B$21:$B$33,MATCH(H1745,Исходные!$A$21:$A$33,0)),0)</f>
        <v>4.834</v>
      </c>
      <c r="P1745" s="83" t="n">
        <f aca="false">N1745*O1745</f>
        <v>26.587</v>
      </c>
      <c r="Q1745" s="20" t="s">
        <v>1706</v>
      </c>
      <c r="R1745" s="84" t="s">
        <v>514</v>
      </c>
      <c r="S1745" s="20" t="s">
        <v>1870</v>
      </c>
      <c r="T1745" s="20" t="s">
        <v>12</v>
      </c>
      <c r="U1745" s="53" t="n">
        <v>0</v>
      </c>
      <c r="V1745" s="76" t="s">
        <v>154</v>
      </c>
      <c r="W1745" s="53" t="n">
        <v>5</v>
      </c>
    </row>
    <row r="1746" customFormat="false" ht="46.25" hidden="false" customHeight="false" outlineLevel="0" collapsed="false">
      <c r="A1746" s="76" t="n">
        <v>1708</v>
      </c>
      <c r="B1746" s="20" t="s">
        <v>1838</v>
      </c>
      <c r="C1746" s="20" t="s">
        <v>508</v>
      </c>
      <c r="D1746" s="20" t="s">
        <v>586</v>
      </c>
      <c r="E1746" s="20" t="s">
        <v>154</v>
      </c>
      <c r="F1746" s="76" t="s">
        <v>519</v>
      </c>
      <c r="G1746" s="20" t="s">
        <v>1841</v>
      </c>
      <c r="H1746" s="55" t="n">
        <v>28</v>
      </c>
      <c r="I1746" s="76" t="s">
        <v>512</v>
      </c>
      <c r="J1746" s="76" t="s">
        <v>164</v>
      </c>
      <c r="K1746" s="82" t="n">
        <v>1</v>
      </c>
      <c r="L1746" s="55" t="n">
        <v>2</v>
      </c>
      <c r="M1746" s="73" t="n">
        <v>2.25</v>
      </c>
      <c r="N1746" s="74" t="n">
        <f aca="false">K1746*L1746*M1746</f>
        <v>4.5</v>
      </c>
      <c r="O1746" s="41" t="n">
        <f aca="false">IFERROR(INDEX(Исходные!$B$21:$B$33,MATCH(H1746,Исходные!$A$21:$A$33,0)),0)</f>
        <v>4.834</v>
      </c>
      <c r="P1746" s="83" t="n">
        <f aca="false">N1746*O1746</f>
        <v>21.753</v>
      </c>
      <c r="Q1746" s="20" t="s">
        <v>1706</v>
      </c>
      <c r="R1746" s="84" t="s">
        <v>514</v>
      </c>
      <c r="S1746" s="20" t="s">
        <v>1871</v>
      </c>
      <c r="T1746" s="20" t="s">
        <v>12</v>
      </c>
      <c r="U1746" s="53" t="n">
        <v>0</v>
      </c>
      <c r="V1746" s="76" t="s">
        <v>154</v>
      </c>
      <c r="W1746" s="53" t="n">
        <v>5</v>
      </c>
    </row>
    <row r="1747" customFormat="false" ht="46.25" hidden="false" customHeight="false" outlineLevel="0" collapsed="false">
      <c r="A1747" s="76" t="n">
        <v>1709</v>
      </c>
      <c r="B1747" s="20" t="s">
        <v>1838</v>
      </c>
      <c r="C1747" s="20" t="s">
        <v>508</v>
      </c>
      <c r="D1747" s="20" t="s">
        <v>586</v>
      </c>
      <c r="E1747" s="20" t="s">
        <v>154</v>
      </c>
      <c r="F1747" s="76" t="s">
        <v>516</v>
      </c>
      <c r="G1747" s="20" t="s">
        <v>1843</v>
      </c>
      <c r="H1747" s="55" t="n">
        <v>20</v>
      </c>
      <c r="I1747" s="76" t="s">
        <v>512</v>
      </c>
      <c r="J1747" s="76" t="s">
        <v>164</v>
      </c>
      <c r="K1747" s="82" t="n">
        <v>1</v>
      </c>
      <c r="L1747" s="55" t="n">
        <v>4</v>
      </c>
      <c r="M1747" s="73" t="n">
        <v>2.75</v>
      </c>
      <c r="N1747" s="74" t="n">
        <f aca="false">K1747*L1747*M1747</f>
        <v>11</v>
      </c>
      <c r="O1747" s="41" t="n">
        <f aca="false">IFERROR(INDEX(Исходные!$B$21:$B$33,MATCH(H1747,Исходные!$A$21:$A$33,0)),0)</f>
        <v>2.466</v>
      </c>
      <c r="P1747" s="83" t="n">
        <f aca="false">N1747*O1747</f>
        <v>27.126</v>
      </c>
      <c r="Q1747" s="20" t="s">
        <v>1706</v>
      </c>
      <c r="R1747" s="84" t="s">
        <v>514</v>
      </c>
      <c r="S1747" s="20" t="s">
        <v>1873</v>
      </c>
      <c r="T1747" s="20" t="s">
        <v>12</v>
      </c>
      <c r="U1747" s="53" t="n">
        <v>0</v>
      </c>
      <c r="V1747" s="76" t="s">
        <v>154</v>
      </c>
      <c r="W1747" s="53" t="n">
        <v>5</v>
      </c>
    </row>
    <row r="1748" customFormat="false" ht="46.25" hidden="false" customHeight="false" outlineLevel="0" collapsed="false">
      <c r="A1748" s="76" t="n">
        <v>1710</v>
      </c>
      <c r="B1748" s="20" t="s">
        <v>1838</v>
      </c>
      <c r="C1748" s="20" t="s">
        <v>508</v>
      </c>
      <c r="D1748" s="20" t="s">
        <v>586</v>
      </c>
      <c r="E1748" s="20" t="s">
        <v>154</v>
      </c>
      <c r="F1748" s="76" t="s">
        <v>516</v>
      </c>
      <c r="G1748" s="20" t="s">
        <v>1845</v>
      </c>
      <c r="H1748" s="55" t="n">
        <v>20</v>
      </c>
      <c r="I1748" s="76" t="s">
        <v>512</v>
      </c>
      <c r="J1748" s="76" t="s">
        <v>164</v>
      </c>
      <c r="K1748" s="82" t="n">
        <v>1</v>
      </c>
      <c r="L1748" s="55" t="n">
        <v>4</v>
      </c>
      <c r="M1748" s="73" t="n">
        <v>2.25</v>
      </c>
      <c r="N1748" s="74" t="n">
        <f aca="false">K1748*L1748*M1748</f>
        <v>9</v>
      </c>
      <c r="O1748" s="41" t="n">
        <f aca="false">IFERROR(INDEX(Исходные!$B$21:$B$33,MATCH(H1748,Исходные!$A$21:$A$33,0)),0)</f>
        <v>2.466</v>
      </c>
      <c r="P1748" s="83" t="n">
        <f aca="false">N1748*O1748</f>
        <v>22.194</v>
      </c>
      <c r="Q1748" s="20" t="s">
        <v>1706</v>
      </c>
      <c r="R1748" s="84" t="s">
        <v>514</v>
      </c>
      <c r="S1748" s="20" t="s">
        <v>1875</v>
      </c>
      <c r="T1748" s="20" t="s">
        <v>12</v>
      </c>
      <c r="U1748" s="53" t="n">
        <v>0</v>
      </c>
      <c r="V1748" s="76" t="s">
        <v>154</v>
      </c>
      <c r="W1748" s="53" t="n">
        <v>5</v>
      </c>
    </row>
    <row r="1749" customFormat="false" ht="46.25" hidden="false" customHeight="false" outlineLevel="0" collapsed="false">
      <c r="A1749" s="76" t="n">
        <v>1711</v>
      </c>
      <c r="B1749" s="20" t="s">
        <v>1838</v>
      </c>
      <c r="C1749" s="20" t="s">
        <v>508</v>
      </c>
      <c r="D1749" s="20" t="s">
        <v>586</v>
      </c>
      <c r="E1749" s="20" t="s">
        <v>154</v>
      </c>
      <c r="F1749" s="76" t="s">
        <v>1707</v>
      </c>
      <c r="G1749" s="20" t="s">
        <v>1891</v>
      </c>
      <c r="H1749" s="55" t="n">
        <v>22</v>
      </c>
      <c r="I1749" s="76" t="s">
        <v>512</v>
      </c>
      <c r="J1749" s="76" t="s">
        <v>164</v>
      </c>
      <c r="K1749" s="82" t="n">
        <v>1</v>
      </c>
      <c r="L1749" s="55" t="n">
        <v>6</v>
      </c>
      <c r="M1749" s="73" t="n">
        <v>2.75</v>
      </c>
      <c r="N1749" s="74" t="n">
        <f aca="false">K1749*L1749*M1749</f>
        <v>16.5</v>
      </c>
      <c r="O1749" s="41" t="n">
        <f aca="false">IFERROR(INDEX(Исходные!$B$21:$B$33,MATCH(H1749,Исходные!$A$21:$A$33,0)),0)</f>
        <v>2.984</v>
      </c>
      <c r="P1749" s="83" t="n">
        <f aca="false">N1749*O1749</f>
        <v>49.236</v>
      </c>
      <c r="Q1749" s="20" t="s">
        <v>1706</v>
      </c>
      <c r="R1749" s="84" t="s">
        <v>514</v>
      </c>
      <c r="S1749" s="20" t="s">
        <v>1892</v>
      </c>
      <c r="T1749" s="20" t="s">
        <v>12</v>
      </c>
      <c r="U1749" s="53" t="n">
        <v>0</v>
      </c>
      <c r="V1749" s="76" t="s">
        <v>154</v>
      </c>
      <c r="W1749" s="53" t="n">
        <v>5</v>
      </c>
    </row>
    <row r="1750" customFormat="false" ht="46.25" hidden="false" customHeight="false" outlineLevel="0" collapsed="false">
      <c r="A1750" s="76" t="n">
        <v>1712</v>
      </c>
      <c r="B1750" s="20" t="s">
        <v>1838</v>
      </c>
      <c r="C1750" s="20" t="s">
        <v>508</v>
      </c>
      <c r="D1750" s="20" t="s">
        <v>586</v>
      </c>
      <c r="E1750" s="20" t="s">
        <v>154</v>
      </c>
      <c r="F1750" s="76" t="s">
        <v>1707</v>
      </c>
      <c r="G1750" s="20" t="s">
        <v>1893</v>
      </c>
      <c r="H1750" s="55" t="n">
        <v>22</v>
      </c>
      <c r="I1750" s="76" t="s">
        <v>512</v>
      </c>
      <c r="J1750" s="76" t="s">
        <v>164</v>
      </c>
      <c r="K1750" s="82" t="n">
        <v>1</v>
      </c>
      <c r="L1750" s="55" t="n">
        <v>6</v>
      </c>
      <c r="M1750" s="73" t="n">
        <v>2.25</v>
      </c>
      <c r="N1750" s="74" t="n">
        <f aca="false">K1750*L1750*M1750</f>
        <v>13.5</v>
      </c>
      <c r="O1750" s="41" t="n">
        <f aca="false">IFERROR(INDEX(Исходные!$B$21:$B$33,MATCH(H1750,Исходные!$A$21:$A$33,0)),0)</f>
        <v>2.984</v>
      </c>
      <c r="P1750" s="83" t="n">
        <f aca="false">N1750*O1750</f>
        <v>40.284</v>
      </c>
      <c r="Q1750" s="20" t="s">
        <v>1706</v>
      </c>
      <c r="R1750" s="84" t="s">
        <v>514</v>
      </c>
      <c r="S1750" s="20" t="s">
        <v>1894</v>
      </c>
      <c r="T1750" s="20" t="s">
        <v>12</v>
      </c>
      <c r="U1750" s="53" t="n">
        <v>0</v>
      </c>
      <c r="V1750" s="76" t="s">
        <v>154</v>
      </c>
      <c r="W1750" s="53" t="n">
        <v>5</v>
      </c>
    </row>
    <row r="1751" customFormat="false" ht="46.25" hidden="false" customHeight="false" outlineLevel="0" collapsed="false">
      <c r="A1751" s="76" t="n">
        <v>1713</v>
      </c>
      <c r="B1751" s="20" t="s">
        <v>1838</v>
      </c>
      <c r="C1751" s="20" t="s">
        <v>508</v>
      </c>
      <c r="D1751" s="20" t="s">
        <v>586</v>
      </c>
      <c r="E1751" s="20" t="s">
        <v>154</v>
      </c>
      <c r="F1751" s="76" t="s">
        <v>995</v>
      </c>
      <c r="G1751" s="20" t="s">
        <v>1895</v>
      </c>
      <c r="H1751" s="55" t="n">
        <v>14</v>
      </c>
      <c r="I1751" s="76" t="s">
        <v>512</v>
      </c>
      <c r="J1751" s="76" t="s">
        <v>164</v>
      </c>
      <c r="K1751" s="82" t="n">
        <v>1</v>
      </c>
      <c r="L1751" s="55" t="n">
        <v>4</v>
      </c>
      <c r="M1751" s="73" t="n">
        <v>2.862</v>
      </c>
      <c r="N1751" s="74" t="n">
        <f aca="false">K1751*L1751*M1751</f>
        <v>11.448</v>
      </c>
      <c r="O1751" s="41" t="n">
        <f aca="false">IFERROR(INDEX(Исходные!$B$21:$B$33,MATCH(H1751,Исходные!$A$21:$A$33,0)),0)</f>
        <v>1.208</v>
      </c>
      <c r="P1751" s="83" t="n">
        <f aca="false">N1751*O1751</f>
        <v>13.829184</v>
      </c>
      <c r="Q1751" s="20" t="s">
        <v>1706</v>
      </c>
      <c r="R1751" s="84" t="s">
        <v>514</v>
      </c>
      <c r="S1751" s="20" t="s">
        <v>1896</v>
      </c>
      <c r="T1751" s="20" t="s">
        <v>12</v>
      </c>
      <c r="U1751" s="53" t="n">
        <v>0</v>
      </c>
      <c r="V1751" s="76" t="s">
        <v>154</v>
      </c>
      <c r="W1751" s="53" t="n">
        <v>5</v>
      </c>
    </row>
    <row r="1752" customFormat="false" ht="46.25" hidden="false" customHeight="false" outlineLevel="0" collapsed="false">
      <c r="A1752" s="76" t="n">
        <v>1714</v>
      </c>
      <c r="B1752" s="20" t="s">
        <v>1838</v>
      </c>
      <c r="C1752" s="20" t="s">
        <v>508</v>
      </c>
      <c r="D1752" s="20" t="s">
        <v>586</v>
      </c>
      <c r="E1752" s="20" t="s">
        <v>154</v>
      </c>
      <c r="F1752" s="76" t="s">
        <v>995</v>
      </c>
      <c r="G1752" s="20" t="s">
        <v>1897</v>
      </c>
      <c r="H1752" s="55" t="n">
        <v>14</v>
      </c>
      <c r="I1752" s="76" t="s">
        <v>512</v>
      </c>
      <c r="J1752" s="76" t="s">
        <v>164</v>
      </c>
      <c r="K1752" s="82" t="n">
        <v>1</v>
      </c>
      <c r="L1752" s="55" t="n">
        <v>4</v>
      </c>
      <c r="M1752" s="73" t="n">
        <v>2.362</v>
      </c>
      <c r="N1752" s="74" t="n">
        <f aca="false">K1752*L1752*M1752</f>
        <v>9.448</v>
      </c>
      <c r="O1752" s="41" t="n">
        <f aca="false">IFERROR(INDEX(Исходные!$B$21:$B$33,MATCH(H1752,Исходные!$A$21:$A$33,0)),0)</f>
        <v>1.208</v>
      </c>
      <c r="P1752" s="83" t="n">
        <f aca="false">N1752*O1752</f>
        <v>11.413184</v>
      </c>
      <c r="Q1752" s="20" t="s">
        <v>1706</v>
      </c>
      <c r="R1752" s="84" t="s">
        <v>514</v>
      </c>
      <c r="S1752" s="20" t="s">
        <v>1898</v>
      </c>
      <c r="T1752" s="20" t="s">
        <v>12</v>
      </c>
      <c r="U1752" s="53" t="n">
        <v>0</v>
      </c>
      <c r="V1752" s="76" t="s">
        <v>154</v>
      </c>
      <c r="W1752" s="53" t="n">
        <v>5</v>
      </c>
    </row>
    <row r="1753" customFormat="false" ht="46.25" hidden="false" customHeight="false" outlineLevel="0" collapsed="false">
      <c r="A1753" s="76" t="n">
        <v>1715</v>
      </c>
      <c r="B1753" s="20" t="s">
        <v>1838</v>
      </c>
      <c r="C1753" s="20" t="s">
        <v>508</v>
      </c>
      <c r="D1753" s="20" t="s">
        <v>586</v>
      </c>
      <c r="E1753" s="20" t="s">
        <v>154</v>
      </c>
      <c r="F1753" s="76" t="s">
        <v>669</v>
      </c>
      <c r="G1753" s="20" t="s">
        <v>1899</v>
      </c>
      <c r="H1753" s="55" t="n">
        <v>16</v>
      </c>
      <c r="I1753" s="76" t="s">
        <v>512</v>
      </c>
      <c r="J1753" s="76" t="s">
        <v>164</v>
      </c>
      <c r="K1753" s="82" t="n">
        <v>1</v>
      </c>
      <c r="L1753" s="55" t="n">
        <v>3</v>
      </c>
      <c r="M1753" s="73" t="n">
        <v>2.878</v>
      </c>
      <c r="N1753" s="74" t="n">
        <f aca="false">K1753*L1753*M1753</f>
        <v>8.634</v>
      </c>
      <c r="O1753" s="41" t="n">
        <f aca="false">IFERROR(INDEX(Исходные!$B$21:$B$33,MATCH(H1753,Исходные!$A$21:$A$33,0)),0)</f>
        <v>1.578</v>
      </c>
      <c r="P1753" s="83" t="n">
        <f aca="false">N1753*O1753</f>
        <v>13.624452</v>
      </c>
      <c r="Q1753" s="20" t="s">
        <v>1706</v>
      </c>
      <c r="R1753" s="84" t="s">
        <v>514</v>
      </c>
      <c r="S1753" s="20" t="s">
        <v>1900</v>
      </c>
      <c r="T1753" s="20" t="s">
        <v>12</v>
      </c>
      <c r="U1753" s="53" t="n">
        <v>0</v>
      </c>
      <c r="V1753" s="76" t="s">
        <v>154</v>
      </c>
      <c r="W1753" s="53" t="n">
        <v>5</v>
      </c>
    </row>
    <row r="1754" customFormat="false" ht="46.25" hidden="false" customHeight="false" outlineLevel="0" collapsed="false">
      <c r="A1754" s="76" t="n">
        <v>1716</v>
      </c>
      <c r="B1754" s="20" t="s">
        <v>1838</v>
      </c>
      <c r="C1754" s="20" t="s">
        <v>508</v>
      </c>
      <c r="D1754" s="20" t="s">
        <v>586</v>
      </c>
      <c r="E1754" s="20" t="s">
        <v>154</v>
      </c>
      <c r="F1754" s="76" t="s">
        <v>669</v>
      </c>
      <c r="G1754" s="20" t="s">
        <v>1901</v>
      </c>
      <c r="H1754" s="55" t="n">
        <v>16</v>
      </c>
      <c r="I1754" s="76" t="s">
        <v>512</v>
      </c>
      <c r="J1754" s="76" t="s">
        <v>164</v>
      </c>
      <c r="K1754" s="82" t="n">
        <v>1</v>
      </c>
      <c r="L1754" s="55" t="n">
        <v>3</v>
      </c>
      <c r="M1754" s="73" t="n">
        <v>2.378</v>
      </c>
      <c r="N1754" s="74" t="n">
        <f aca="false">K1754*L1754*M1754</f>
        <v>7.134</v>
      </c>
      <c r="O1754" s="41" t="n">
        <f aca="false">IFERROR(INDEX(Исходные!$B$21:$B$33,MATCH(H1754,Исходные!$A$21:$A$33,0)),0)</f>
        <v>1.578</v>
      </c>
      <c r="P1754" s="83" t="n">
        <f aca="false">N1754*O1754</f>
        <v>11.257452</v>
      </c>
      <c r="Q1754" s="20" t="s">
        <v>1706</v>
      </c>
      <c r="R1754" s="84" t="s">
        <v>514</v>
      </c>
      <c r="S1754" s="20" t="s">
        <v>1902</v>
      </c>
      <c r="T1754" s="20" t="s">
        <v>12</v>
      </c>
      <c r="U1754" s="53" t="n">
        <v>0</v>
      </c>
      <c r="V1754" s="76" t="s">
        <v>154</v>
      </c>
      <c r="W1754" s="53" t="n">
        <v>5</v>
      </c>
    </row>
    <row r="1755" customFormat="false" ht="46.25" hidden="false" customHeight="false" outlineLevel="0" collapsed="false">
      <c r="A1755" s="76" t="n">
        <v>1717</v>
      </c>
      <c r="B1755" s="20" t="s">
        <v>1838</v>
      </c>
      <c r="C1755" s="20" t="s">
        <v>508</v>
      </c>
      <c r="D1755" s="20" t="s">
        <v>586</v>
      </c>
      <c r="E1755" s="20" t="s">
        <v>154</v>
      </c>
      <c r="F1755" s="76" t="s">
        <v>575</v>
      </c>
      <c r="G1755" s="20" t="s">
        <v>1903</v>
      </c>
      <c r="H1755" s="55" t="n">
        <v>22</v>
      </c>
      <c r="I1755" s="76" t="s">
        <v>512</v>
      </c>
      <c r="J1755" s="76" t="s">
        <v>164</v>
      </c>
      <c r="K1755" s="82" t="n">
        <v>1</v>
      </c>
      <c r="L1755" s="55" t="n">
        <v>3</v>
      </c>
      <c r="M1755" s="73" t="n">
        <v>2.75</v>
      </c>
      <c r="N1755" s="74" t="n">
        <f aca="false">K1755*L1755*M1755</f>
        <v>8.25</v>
      </c>
      <c r="O1755" s="41" t="n">
        <f aca="false">IFERROR(INDEX(Исходные!$B$21:$B$33,MATCH(H1755,Исходные!$A$21:$A$33,0)),0)</f>
        <v>2.984</v>
      </c>
      <c r="P1755" s="83" t="n">
        <f aca="false">N1755*O1755</f>
        <v>24.618</v>
      </c>
      <c r="Q1755" s="20" t="s">
        <v>1706</v>
      </c>
      <c r="R1755" s="84" t="s">
        <v>514</v>
      </c>
      <c r="S1755" s="20" t="s">
        <v>1877</v>
      </c>
      <c r="T1755" s="20" t="s">
        <v>12</v>
      </c>
      <c r="U1755" s="53" t="n">
        <v>0</v>
      </c>
      <c r="V1755" s="76" t="s">
        <v>154</v>
      </c>
      <c r="W1755" s="53" t="n">
        <v>5</v>
      </c>
    </row>
    <row r="1756" customFormat="false" ht="46.25" hidden="false" customHeight="false" outlineLevel="0" collapsed="false">
      <c r="A1756" s="76" t="n">
        <v>1718</v>
      </c>
      <c r="B1756" s="20" t="s">
        <v>1838</v>
      </c>
      <c r="C1756" s="20" t="s">
        <v>508</v>
      </c>
      <c r="D1756" s="20" t="s">
        <v>586</v>
      </c>
      <c r="E1756" s="20" t="s">
        <v>154</v>
      </c>
      <c r="F1756" s="76" t="s">
        <v>575</v>
      </c>
      <c r="G1756" s="20" t="s">
        <v>1904</v>
      </c>
      <c r="H1756" s="55" t="n">
        <v>22</v>
      </c>
      <c r="I1756" s="76" t="s">
        <v>512</v>
      </c>
      <c r="J1756" s="76" t="s">
        <v>164</v>
      </c>
      <c r="K1756" s="82" t="n">
        <v>1</v>
      </c>
      <c r="L1756" s="55" t="n">
        <v>3</v>
      </c>
      <c r="M1756" s="73" t="n">
        <v>2.25</v>
      </c>
      <c r="N1756" s="74" t="n">
        <f aca="false">K1756*L1756*M1756</f>
        <v>6.75</v>
      </c>
      <c r="O1756" s="41" t="n">
        <f aca="false">IFERROR(INDEX(Исходные!$B$21:$B$33,MATCH(H1756,Исходные!$A$21:$A$33,0)),0)</f>
        <v>2.984</v>
      </c>
      <c r="P1756" s="83" t="n">
        <f aca="false">N1756*O1756</f>
        <v>20.142</v>
      </c>
      <c r="Q1756" s="20" t="s">
        <v>1706</v>
      </c>
      <c r="R1756" s="84" t="s">
        <v>514</v>
      </c>
      <c r="S1756" s="20" t="s">
        <v>1879</v>
      </c>
      <c r="T1756" s="20" t="s">
        <v>12</v>
      </c>
      <c r="U1756" s="53" t="n">
        <v>0</v>
      </c>
      <c r="V1756" s="76" t="s">
        <v>154</v>
      </c>
      <c r="W1756" s="53" t="n">
        <v>5</v>
      </c>
    </row>
    <row r="1757" customFormat="false" ht="35.05" hidden="false" customHeight="false" outlineLevel="0" collapsed="false">
      <c r="A1757" s="76" t="n">
        <v>1719</v>
      </c>
      <c r="B1757" s="20" t="s">
        <v>1838</v>
      </c>
      <c r="C1757" s="20" t="s">
        <v>508</v>
      </c>
      <c r="D1757" s="20" t="s">
        <v>586</v>
      </c>
      <c r="E1757" s="20" t="s">
        <v>154</v>
      </c>
      <c r="F1757" s="76" t="s">
        <v>532</v>
      </c>
      <c r="G1757" s="20" t="s">
        <v>595</v>
      </c>
      <c r="H1757" s="55" t="n">
        <v>12</v>
      </c>
      <c r="I1757" s="76" t="s">
        <v>512</v>
      </c>
      <c r="J1757" s="76" t="n">
        <v>200</v>
      </c>
      <c r="K1757" s="82" t="n">
        <v>1</v>
      </c>
      <c r="L1757" s="55" t="n">
        <v>32</v>
      </c>
      <c r="M1757" s="73" t="n">
        <v>1.95</v>
      </c>
      <c r="N1757" s="74" t="n">
        <f aca="false">K1757*L1757*M1757</f>
        <v>62.4</v>
      </c>
      <c r="O1757" s="41" t="n">
        <f aca="false">IFERROR(INDEX(Исходные!$B$21:$B$33,MATCH(H1757,Исходные!$A$21:$A$33,0)),0)</f>
        <v>0.888</v>
      </c>
      <c r="P1757" s="83" t="n">
        <f aca="false">N1757*O1757</f>
        <v>55.4112</v>
      </c>
      <c r="Q1757" s="20" t="s">
        <v>1905</v>
      </c>
      <c r="R1757" s="85" t="s">
        <v>535</v>
      </c>
      <c r="S1757" s="20" t="s">
        <v>1869</v>
      </c>
      <c r="T1757" s="20" t="s">
        <v>12</v>
      </c>
      <c r="U1757" s="53" t="n">
        <v>1</v>
      </c>
      <c r="V1757" s="76" t="s">
        <v>154</v>
      </c>
      <c r="W1757" s="53" t="n">
        <v>5</v>
      </c>
    </row>
    <row r="1758" customFormat="false" ht="35.05" hidden="false" customHeight="false" outlineLevel="0" collapsed="false">
      <c r="A1758" s="76" t="n">
        <v>1720</v>
      </c>
      <c r="B1758" s="20" t="s">
        <v>1838</v>
      </c>
      <c r="C1758" s="20" t="s">
        <v>508</v>
      </c>
      <c r="D1758" s="20" t="s">
        <v>586</v>
      </c>
      <c r="E1758" s="20" t="s">
        <v>154</v>
      </c>
      <c r="F1758" s="76" t="s">
        <v>532</v>
      </c>
      <c r="G1758" s="20" t="s">
        <v>597</v>
      </c>
      <c r="H1758" s="55" t="n">
        <v>12</v>
      </c>
      <c r="I1758" s="76" t="s">
        <v>512</v>
      </c>
      <c r="J1758" s="76" t="n">
        <v>200</v>
      </c>
      <c r="K1758" s="82" t="n">
        <v>1</v>
      </c>
      <c r="L1758" s="55" t="n">
        <v>32</v>
      </c>
      <c r="M1758" s="73" t="n">
        <v>1.45</v>
      </c>
      <c r="N1758" s="74" t="n">
        <f aca="false">K1758*L1758*M1758</f>
        <v>46.4</v>
      </c>
      <c r="O1758" s="41" t="n">
        <f aca="false">IFERROR(INDEX(Исходные!$B$21:$B$33,MATCH(H1758,Исходные!$A$21:$A$33,0)),0)</f>
        <v>0.888</v>
      </c>
      <c r="P1758" s="83" t="n">
        <f aca="false">N1758*O1758</f>
        <v>41.2032</v>
      </c>
      <c r="Q1758" s="20" t="s">
        <v>1905</v>
      </c>
      <c r="R1758" s="85" t="s">
        <v>535</v>
      </c>
      <c r="S1758" s="20" t="s">
        <v>1869</v>
      </c>
      <c r="T1758" s="20" t="s">
        <v>12</v>
      </c>
      <c r="U1758" s="53" t="n">
        <v>1</v>
      </c>
      <c r="V1758" s="76" t="s">
        <v>154</v>
      </c>
      <c r="W1758" s="53" t="n">
        <v>5</v>
      </c>
    </row>
    <row r="1759" customFormat="false" ht="35.05" hidden="false" customHeight="false" outlineLevel="0" collapsed="false">
      <c r="A1759" s="76" t="n">
        <v>1721</v>
      </c>
      <c r="B1759" s="20" t="s">
        <v>1838</v>
      </c>
      <c r="C1759" s="20" t="s">
        <v>508</v>
      </c>
      <c r="D1759" s="20" t="s">
        <v>586</v>
      </c>
      <c r="E1759" s="20" t="s">
        <v>154</v>
      </c>
      <c r="F1759" s="76" t="s">
        <v>539</v>
      </c>
      <c r="G1759" s="20" t="s">
        <v>1906</v>
      </c>
      <c r="H1759" s="55" t="n">
        <v>10</v>
      </c>
      <c r="I1759" s="76" t="s">
        <v>512</v>
      </c>
      <c r="J1759" s="76" t="n">
        <v>200</v>
      </c>
      <c r="K1759" s="82" t="n">
        <v>1</v>
      </c>
      <c r="L1759" s="55" t="n">
        <v>6</v>
      </c>
      <c r="M1759" s="73" t="n">
        <v>1.95</v>
      </c>
      <c r="N1759" s="74" t="n">
        <f aca="false">K1759*L1759*M1759</f>
        <v>11.7</v>
      </c>
      <c r="O1759" s="41" t="n">
        <f aca="false">IFERROR(INDEX(Исходные!$B$21:$B$33,MATCH(H1759,Исходные!$A$21:$A$33,0)),0)</f>
        <v>0.617</v>
      </c>
      <c r="P1759" s="83" t="n">
        <f aca="false">N1759*O1759</f>
        <v>7.2189</v>
      </c>
      <c r="Q1759" s="20" t="s">
        <v>1235</v>
      </c>
      <c r="R1759" s="84" t="s">
        <v>514</v>
      </c>
      <c r="S1759" s="20"/>
      <c r="T1759" s="20" t="s">
        <v>12</v>
      </c>
      <c r="U1759" s="53" t="n">
        <v>0</v>
      </c>
      <c r="V1759" s="76" t="s">
        <v>154</v>
      </c>
      <c r="W1759" s="53" t="n">
        <v>5</v>
      </c>
    </row>
    <row r="1760" customFormat="false" ht="35.05" hidden="false" customHeight="false" outlineLevel="0" collapsed="false">
      <c r="A1760" s="76" t="n">
        <v>1722</v>
      </c>
      <c r="B1760" s="20" t="s">
        <v>1838</v>
      </c>
      <c r="C1760" s="20" t="s">
        <v>508</v>
      </c>
      <c r="D1760" s="20" t="s">
        <v>586</v>
      </c>
      <c r="E1760" s="20" t="s">
        <v>154</v>
      </c>
      <c r="F1760" s="76" t="s">
        <v>539</v>
      </c>
      <c r="G1760" s="20" t="s">
        <v>1907</v>
      </c>
      <c r="H1760" s="55" t="n">
        <v>10</v>
      </c>
      <c r="I1760" s="76" t="s">
        <v>512</v>
      </c>
      <c r="J1760" s="76" t="n">
        <v>200</v>
      </c>
      <c r="K1760" s="82" t="n">
        <v>1</v>
      </c>
      <c r="L1760" s="55" t="n">
        <v>6</v>
      </c>
      <c r="M1760" s="73" t="n">
        <v>1.95</v>
      </c>
      <c r="N1760" s="74" t="n">
        <f aca="false">K1760*L1760*M1760</f>
        <v>11.7</v>
      </c>
      <c r="O1760" s="41" t="n">
        <f aca="false">IFERROR(INDEX(Исходные!$B$21:$B$33,MATCH(H1760,Исходные!$A$21:$A$33,0)),0)</f>
        <v>0.617</v>
      </c>
      <c r="P1760" s="83" t="n">
        <f aca="false">N1760*O1760</f>
        <v>7.2189</v>
      </c>
      <c r="Q1760" s="20" t="s">
        <v>1235</v>
      </c>
      <c r="R1760" s="84" t="s">
        <v>514</v>
      </c>
      <c r="S1760" s="20"/>
      <c r="T1760" s="20" t="s">
        <v>12</v>
      </c>
      <c r="U1760" s="53" t="n">
        <v>0</v>
      </c>
      <c r="V1760" s="76" t="s">
        <v>154</v>
      </c>
      <c r="W1760" s="53" t="n">
        <v>5</v>
      </c>
    </row>
    <row r="1761" customFormat="false" ht="35.05" hidden="false" customHeight="false" outlineLevel="0" collapsed="false">
      <c r="A1761" s="76" t="n">
        <v>1723</v>
      </c>
      <c r="B1761" s="20" t="s">
        <v>1838</v>
      </c>
      <c r="C1761" s="20" t="s">
        <v>508</v>
      </c>
      <c r="D1761" s="20" t="s">
        <v>586</v>
      </c>
      <c r="E1761" s="20" t="s">
        <v>154</v>
      </c>
      <c r="F1761" s="76" t="s">
        <v>539</v>
      </c>
      <c r="G1761" s="20" t="s">
        <v>1908</v>
      </c>
      <c r="H1761" s="55" t="n">
        <v>10</v>
      </c>
      <c r="I1761" s="76" t="s">
        <v>512</v>
      </c>
      <c r="J1761" s="76" t="n">
        <v>200</v>
      </c>
      <c r="K1761" s="82" t="n">
        <v>1</v>
      </c>
      <c r="L1761" s="55" t="n">
        <v>6</v>
      </c>
      <c r="M1761" s="73" t="n">
        <v>1.45</v>
      </c>
      <c r="N1761" s="74" t="n">
        <f aca="false">K1761*L1761*M1761</f>
        <v>8.7</v>
      </c>
      <c r="O1761" s="41" t="n">
        <f aca="false">IFERROR(INDEX(Исходные!$B$21:$B$33,MATCH(H1761,Исходные!$A$21:$A$33,0)),0)</f>
        <v>0.617</v>
      </c>
      <c r="P1761" s="83" t="n">
        <f aca="false">N1761*O1761</f>
        <v>5.3679</v>
      </c>
      <c r="Q1761" s="20" t="s">
        <v>1235</v>
      </c>
      <c r="R1761" s="84" t="s">
        <v>514</v>
      </c>
      <c r="S1761" s="20"/>
      <c r="T1761" s="20" t="s">
        <v>12</v>
      </c>
      <c r="U1761" s="53" t="n">
        <v>0</v>
      </c>
      <c r="V1761" s="76" t="s">
        <v>154</v>
      </c>
      <c r="W1761" s="53" t="n">
        <v>5</v>
      </c>
    </row>
    <row r="1762" customFormat="false" ht="35.05" hidden="false" customHeight="false" outlineLevel="0" collapsed="false">
      <c r="A1762" s="76" t="n">
        <v>1724</v>
      </c>
      <c r="B1762" s="20" t="s">
        <v>1838</v>
      </c>
      <c r="C1762" s="20" t="s">
        <v>508</v>
      </c>
      <c r="D1762" s="20" t="s">
        <v>586</v>
      </c>
      <c r="E1762" s="20" t="s">
        <v>154</v>
      </c>
      <c r="F1762" s="76" t="s">
        <v>544</v>
      </c>
      <c r="G1762" s="20" t="s">
        <v>1191</v>
      </c>
      <c r="H1762" s="55" t="n">
        <v>10</v>
      </c>
      <c r="I1762" s="76" t="s">
        <v>546</v>
      </c>
      <c r="J1762" s="76" t="s">
        <v>547</v>
      </c>
      <c r="K1762" s="82" t="n">
        <v>1</v>
      </c>
      <c r="L1762" s="55" t="n">
        <v>48</v>
      </c>
      <c r="M1762" s="73" t="n">
        <v>1.33</v>
      </c>
      <c r="N1762" s="74" t="n">
        <f aca="false">K1762*L1762*M1762</f>
        <v>63.84</v>
      </c>
      <c r="O1762" s="41" t="n">
        <f aca="false">IFERROR(INDEX(Исходные!$B$21:$B$33,MATCH(H1762,Исходные!$A$21:$A$33,0)),0)</f>
        <v>0.617</v>
      </c>
      <c r="P1762" s="83" t="n">
        <f aca="false">N1762*O1762</f>
        <v>39.38928</v>
      </c>
      <c r="Q1762" s="20" t="s">
        <v>1218</v>
      </c>
      <c r="R1762" s="84" t="s">
        <v>514</v>
      </c>
      <c r="S1762" s="20"/>
      <c r="T1762" s="20" t="s">
        <v>12</v>
      </c>
      <c r="U1762" s="53" t="n">
        <v>0</v>
      </c>
      <c r="V1762" s="76" t="s">
        <v>154</v>
      </c>
      <c r="W1762" s="53" t="n">
        <v>5</v>
      </c>
    </row>
    <row r="1763" customFormat="false" ht="35.05" hidden="false" customHeight="false" outlineLevel="0" collapsed="false">
      <c r="A1763" s="76" t="n">
        <v>1725</v>
      </c>
      <c r="B1763" s="20" t="s">
        <v>1838</v>
      </c>
      <c r="C1763" s="20" t="s">
        <v>508</v>
      </c>
      <c r="D1763" s="20" t="s">
        <v>586</v>
      </c>
      <c r="E1763" s="20" t="s">
        <v>154</v>
      </c>
      <c r="F1763" s="76" t="s">
        <v>696</v>
      </c>
      <c r="G1763" s="20" t="s">
        <v>1193</v>
      </c>
      <c r="H1763" s="55" t="n">
        <v>8</v>
      </c>
      <c r="I1763" s="76" t="s">
        <v>546</v>
      </c>
      <c r="J1763" s="76" t="s">
        <v>547</v>
      </c>
      <c r="K1763" s="82" t="n">
        <v>1</v>
      </c>
      <c r="L1763" s="55" t="n">
        <v>32</v>
      </c>
      <c r="M1763" s="73" t="n">
        <v>1.56</v>
      </c>
      <c r="N1763" s="74" t="n">
        <f aca="false">K1763*L1763*M1763</f>
        <v>49.92</v>
      </c>
      <c r="O1763" s="41" t="n">
        <f aca="false">IFERROR(INDEX(Исходные!$B$21:$B$33,MATCH(H1763,Исходные!$A$21:$A$33,0)),0)</f>
        <v>0.395</v>
      </c>
      <c r="P1763" s="83" t="n">
        <f aca="false">N1763*O1763</f>
        <v>19.7184</v>
      </c>
      <c r="Q1763" s="20" t="s">
        <v>1220</v>
      </c>
      <c r="R1763" s="84" t="s">
        <v>514</v>
      </c>
      <c r="S1763" s="20"/>
      <c r="T1763" s="20" t="s">
        <v>12</v>
      </c>
      <c r="U1763" s="53" t="n">
        <v>0</v>
      </c>
      <c r="V1763" s="76" t="s">
        <v>154</v>
      </c>
      <c r="W1763" s="53" t="n">
        <v>5</v>
      </c>
    </row>
    <row r="1764" customFormat="false" ht="35.05" hidden="false" customHeight="false" outlineLevel="0" collapsed="false">
      <c r="A1764" s="76" t="n">
        <v>1726</v>
      </c>
      <c r="B1764" s="20" t="s">
        <v>1838</v>
      </c>
      <c r="C1764" s="20" t="s">
        <v>508</v>
      </c>
      <c r="D1764" s="20" t="s">
        <v>586</v>
      </c>
      <c r="E1764" s="20" t="s">
        <v>154</v>
      </c>
      <c r="F1764" s="76" t="s">
        <v>603</v>
      </c>
      <c r="G1764" s="20" t="s">
        <v>1195</v>
      </c>
      <c r="H1764" s="55" t="n">
        <v>8</v>
      </c>
      <c r="I1764" s="76" t="s">
        <v>546</v>
      </c>
      <c r="J1764" s="76" t="s">
        <v>547</v>
      </c>
      <c r="K1764" s="82" t="n">
        <v>1</v>
      </c>
      <c r="L1764" s="55" t="n">
        <v>16</v>
      </c>
      <c r="M1764" s="73" t="n">
        <v>1.76</v>
      </c>
      <c r="N1764" s="74" t="n">
        <f aca="false">K1764*L1764*M1764</f>
        <v>28.16</v>
      </c>
      <c r="O1764" s="41" t="n">
        <f aca="false">IFERROR(INDEX(Исходные!$B$21:$B$33,MATCH(H1764,Исходные!$A$21:$A$33,0)),0)</f>
        <v>0.395</v>
      </c>
      <c r="P1764" s="83" t="n">
        <f aca="false">N1764*O1764</f>
        <v>11.1232</v>
      </c>
      <c r="Q1764" s="20" t="s">
        <v>1221</v>
      </c>
      <c r="R1764" s="84" t="s">
        <v>514</v>
      </c>
      <c r="S1764" s="20"/>
      <c r="T1764" s="20" t="s">
        <v>12</v>
      </c>
      <c r="U1764" s="53" t="n">
        <v>0</v>
      </c>
      <c r="V1764" s="76" t="s">
        <v>154</v>
      </c>
      <c r="W1764" s="53" t="n">
        <v>5</v>
      </c>
    </row>
    <row r="1765" customFormat="false" ht="35.05" hidden="false" customHeight="false" outlineLevel="0" collapsed="false">
      <c r="A1765" s="76" t="n">
        <v>1727</v>
      </c>
      <c r="B1765" s="20" t="s">
        <v>1838</v>
      </c>
      <c r="C1765" s="20" t="s">
        <v>508</v>
      </c>
      <c r="D1765" s="20" t="s">
        <v>586</v>
      </c>
      <c r="E1765" s="20" t="s">
        <v>154</v>
      </c>
      <c r="F1765" s="76" t="s">
        <v>555</v>
      </c>
      <c r="G1765" s="20" t="s">
        <v>1197</v>
      </c>
      <c r="H1765" s="55" t="n">
        <v>8</v>
      </c>
      <c r="I1765" s="76" t="s">
        <v>546</v>
      </c>
      <c r="J1765" s="76" t="s">
        <v>547</v>
      </c>
      <c r="K1765" s="82" t="n">
        <v>1</v>
      </c>
      <c r="L1765" s="55" t="n">
        <v>28</v>
      </c>
      <c r="M1765" s="73" t="n">
        <v>2.44</v>
      </c>
      <c r="N1765" s="74" t="n">
        <f aca="false">K1765*L1765*M1765</f>
        <v>68.32</v>
      </c>
      <c r="O1765" s="41" t="n">
        <f aca="false">IFERROR(INDEX(Исходные!$B$21:$B$33,MATCH(H1765,Исходные!$A$21:$A$33,0)),0)</f>
        <v>0.395</v>
      </c>
      <c r="P1765" s="83" t="n">
        <f aca="false">N1765*O1765</f>
        <v>26.9864</v>
      </c>
      <c r="Q1765" s="20" t="s">
        <v>1198</v>
      </c>
      <c r="R1765" s="84" t="s">
        <v>514</v>
      </c>
      <c r="S1765" s="20"/>
      <c r="T1765" s="20" t="s">
        <v>12</v>
      </c>
      <c r="U1765" s="53" t="n">
        <v>0</v>
      </c>
      <c r="V1765" s="76" t="s">
        <v>154</v>
      </c>
      <c r="W1765" s="53" t="n">
        <v>5</v>
      </c>
    </row>
    <row r="1766" customFormat="false" ht="35.05" hidden="false" customHeight="false" outlineLevel="0" collapsed="false">
      <c r="A1766" s="76" t="n">
        <v>1728</v>
      </c>
      <c r="B1766" s="20" t="s">
        <v>1838</v>
      </c>
      <c r="C1766" s="20" t="s">
        <v>508</v>
      </c>
      <c r="D1766" s="20" t="s">
        <v>586</v>
      </c>
      <c r="E1766" s="20" t="s">
        <v>154</v>
      </c>
      <c r="F1766" s="76" t="s">
        <v>558</v>
      </c>
      <c r="G1766" s="20" t="s">
        <v>1199</v>
      </c>
      <c r="H1766" s="55" t="n">
        <v>8</v>
      </c>
      <c r="I1766" s="76" t="s">
        <v>546</v>
      </c>
      <c r="J1766" s="76" t="s">
        <v>547</v>
      </c>
      <c r="K1766" s="82" t="n">
        <v>1</v>
      </c>
      <c r="L1766" s="55" t="n">
        <v>32</v>
      </c>
      <c r="M1766" s="73" t="n">
        <v>1.96</v>
      </c>
      <c r="N1766" s="74" t="n">
        <f aca="false">K1766*L1766*M1766</f>
        <v>62.72</v>
      </c>
      <c r="O1766" s="41" t="n">
        <f aca="false">IFERROR(INDEX(Исходные!$B$21:$B$33,MATCH(H1766,Исходные!$A$21:$A$33,0)),0)</f>
        <v>0.395</v>
      </c>
      <c r="P1766" s="83" t="n">
        <f aca="false">N1766*O1766</f>
        <v>24.7744</v>
      </c>
      <c r="Q1766" s="20" t="s">
        <v>1222</v>
      </c>
      <c r="R1766" s="84" t="s">
        <v>514</v>
      </c>
      <c r="S1766" s="20"/>
      <c r="T1766" s="20" t="s">
        <v>12</v>
      </c>
      <c r="U1766" s="53" t="n">
        <v>0</v>
      </c>
      <c r="V1766" s="76" t="s">
        <v>154</v>
      </c>
      <c r="W1766" s="53" t="n">
        <v>5</v>
      </c>
    </row>
    <row r="1767" customFormat="false" ht="35.05" hidden="false" customHeight="false" outlineLevel="0" collapsed="false">
      <c r="A1767" s="76" t="n">
        <v>1729</v>
      </c>
      <c r="B1767" s="20" t="s">
        <v>1838</v>
      </c>
      <c r="C1767" s="20" t="s">
        <v>508</v>
      </c>
      <c r="D1767" s="20" t="s">
        <v>586</v>
      </c>
      <c r="E1767" s="20" t="s">
        <v>154</v>
      </c>
      <c r="F1767" s="76" t="s">
        <v>561</v>
      </c>
      <c r="G1767" s="20" t="s">
        <v>1239</v>
      </c>
      <c r="H1767" s="55" t="n">
        <v>8</v>
      </c>
      <c r="I1767" s="76" t="s">
        <v>546</v>
      </c>
      <c r="J1767" s="76" t="s">
        <v>547</v>
      </c>
      <c r="K1767" s="82" t="n">
        <v>1</v>
      </c>
      <c r="L1767" s="55" t="n">
        <v>72</v>
      </c>
      <c r="M1767" s="73" t="n">
        <v>0.53</v>
      </c>
      <c r="N1767" s="74" t="n">
        <f aca="false">K1767*L1767*M1767</f>
        <v>38.16</v>
      </c>
      <c r="O1767" s="41" t="n">
        <f aca="false">IFERROR(INDEX(Исходные!$B$21:$B$33,MATCH(H1767,Исходные!$A$21:$A$33,0)),0)</f>
        <v>0.395</v>
      </c>
      <c r="P1767" s="83" t="n">
        <f aca="false">N1767*O1767</f>
        <v>15.0732</v>
      </c>
      <c r="Q1767" s="20" t="s">
        <v>1224</v>
      </c>
      <c r="R1767" s="84" t="s">
        <v>514</v>
      </c>
      <c r="S1767" s="20"/>
      <c r="T1767" s="20" t="s">
        <v>12</v>
      </c>
      <c r="U1767" s="53" t="n">
        <v>0</v>
      </c>
      <c r="V1767" s="76" t="s">
        <v>154</v>
      </c>
      <c r="W1767" s="53" t="n">
        <v>5</v>
      </c>
    </row>
    <row r="1768" customFormat="false" ht="46.25" hidden="false" customHeight="false" outlineLevel="0" collapsed="false">
      <c r="A1768" s="76" t="n">
        <v>1730</v>
      </c>
      <c r="B1768" s="20" t="s">
        <v>1838</v>
      </c>
      <c r="C1768" s="20" t="s">
        <v>508</v>
      </c>
      <c r="D1768" s="20" t="s">
        <v>605</v>
      </c>
      <c r="E1768" s="20" t="s">
        <v>155</v>
      </c>
      <c r="F1768" s="76" t="s">
        <v>519</v>
      </c>
      <c r="G1768" s="20" t="s">
        <v>1839</v>
      </c>
      <c r="H1768" s="55" t="n">
        <v>28</v>
      </c>
      <c r="I1768" s="76" t="s">
        <v>512</v>
      </c>
      <c r="J1768" s="76" t="s">
        <v>164</v>
      </c>
      <c r="K1768" s="82" t="n">
        <v>1</v>
      </c>
      <c r="L1768" s="55" t="n">
        <v>2</v>
      </c>
      <c r="M1768" s="73" t="n">
        <v>2.75</v>
      </c>
      <c r="N1768" s="74" t="n">
        <f aca="false">K1768*L1768*M1768</f>
        <v>5.5</v>
      </c>
      <c r="O1768" s="41" t="n">
        <f aca="false">IFERROR(INDEX(Исходные!$B$21:$B$33,MATCH(H1768,Исходные!$A$21:$A$33,0)),0)</f>
        <v>4.834</v>
      </c>
      <c r="P1768" s="83" t="n">
        <f aca="false">N1768*O1768</f>
        <v>26.587</v>
      </c>
      <c r="Q1768" s="20" t="s">
        <v>1565</v>
      </c>
      <c r="R1768" s="84" t="s">
        <v>514</v>
      </c>
      <c r="S1768" s="20" t="s">
        <v>1870</v>
      </c>
      <c r="T1768" s="20" t="s">
        <v>12</v>
      </c>
      <c r="U1768" s="53" t="n">
        <v>0</v>
      </c>
      <c r="V1768" s="76" t="s">
        <v>155</v>
      </c>
      <c r="W1768" s="53" t="n">
        <v>5</v>
      </c>
    </row>
    <row r="1769" customFormat="false" ht="46.25" hidden="false" customHeight="false" outlineLevel="0" collapsed="false">
      <c r="A1769" s="76" t="n">
        <v>1731</v>
      </c>
      <c r="B1769" s="20" t="s">
        <v>1838</v>
      </c>
      <c r="C1769" s="20" t="s">
        <v>508</v>
      </c>
      <c r="D1769" s="20" t="s">
        <v>605</v>
      </c>
      <c r="E1769" s="20" t="s">
        <v>155</v>
      </c>
      <c r="F1769" s="76" t="s">
        <v>519</v>
      </c>
      <c r="G1769" s="20" t="s">
        <v>1841</v>
      </c>
      <c r="H1769" s="55" t="n">
        <v>28</v>
      </c>
      <c r="I1769" s="76" t="s">
        <v>512</v>
      </c>
      <c r="J1769" s="76" t="s">
        <v>164</v>
      </c>
      <c r="K1769" s="82" t="n">
        <v>1</v>
      </c>
      <c r="L1769" s="55" t="n">
        <v>2</v>
      </c>
      <c r="M1769" s="73" t="n">
        <v>2.25</v>
      </c>
      <c r="N1769" s="74" t="n">
        <f aca="false">K1769*L1769*M1769</f>
        <v>4.5</v>
      </c>
      <c r="O1769" s="41" t="n">
        <f aca="false">IFERROR(INDEX(Исходные!$B$21:$B$33,MATCH(H1769,Исходные!$A$21:$A$33,0)),0)</f>
        <v>4.834</v>
      </c>
      <c r="P1769" s="83" t="n">
        <f aca="false">N1769*O1769</f>
        <v>21.753</v>
      </c>
      <c r="Q1769" s="20" t="s">
        <v>1565</v>
      </c>
      <c r="R1769" s="84" t="s">
        <v>514</v>
      </c>
      <c r="S1769" s="20" t="s">
        <v>1871</v>
      </c>
      <c r="T1769" s="20" t="s">
        <v>12</v>
      </c>
      <c r="U1769" s="53" t="n">
        <v>0</v>
      </c>
      <c r="V1769" s="76" t="s">
        <v>155</v>
      </c>
      <c r="W1769" s="53" t="n">
        <v>5</v>
      </c>
    </row>
    <row r="1770" customFormat="false" ht="46.25" hidden="false" customHeight="false" outlineLevel="0" collapsed="false">
      <c r="A1770" s="76" t="n">
        <v>1732</v>
      </c>
      <c r="B1770" s="20" t="s">
        <v>1838</v>
      </c>
      <c r="C1770" s="20" t="s">
        <v>508</v>
      </c>
      <c r="D1770" s="20" t="s">
        <v>605</v>
      </c>
      <c r="E1770" s="20" t="s">
        <v>155</v>
      </c>
      <c r="F1770" s="76" t="s">
        <v>516</v>
      </c>
      <c r="G1770" s="20" t="s">
        <v>1909</v>
      </c>
      <c r="H1770" s="55" t="n">
        <v>20</v>
      </c>
      <c r="I1770" s="76" t="s">
        <v>512</v>
      </c>
      <c r="J1770" s="76" t="s">
        <v>164</v>
      </c>
      <c r="K1770" s="82" t="n">
        <v>1</v>
      </c>
      <c r="L1770" s="55" t="n">
        <v>4</v>
      </c>
      <c r="M1770" s="73" t="n">
        <v>2.75</v>
      </c>
      <c r="N1770" s="74" t="n">
        <f aca="false">K1770*L1770*M1770</f>
        <v>11</v>
      </c>
      <c r="O1770" s="41" t="n">
        <f aca="false">IFERROR(INDEX(Исходные!$B$21:$B$33,MATCH(H1770,Исходные!$A$21:$A$33,0)),0)</f>
        <v>2.466</v>
      </c>
      <c r="P1770" s="83" t="n">
        <f aca="false">N1770*O1770</f>
        <v>27.126</v>
      </c>
      <c r="Q1770" s="20" t="s">
        <v>1565</v>
      </c>
      <c r="R1770" s="84" t="s">
        <v>514</v>
      </c>
      <c r="S1770" s="20" t="s">
        <v>1873</v>
      </c>
      <c r="T1770" s="20" t="s">
        <v>12</v>
      </c>
      <c r="U1770" s="53" t="n">
        <v>0</v>
      </c>
      <c r="V1770" s="76" t="s">
        <v>155</v>
      </c>
      <c r="W1770" s="53" t="n">
        <v>5</v>
      </c>
    </row>
    <row r="1771" customFormat="false" ht="46.25" hidden="false" customHeight="false" outlineLevel="0" collapsed="false">
      <c r="A1771" s="76" t="n">
        <v>1733</v>
      </c>
      <c r="B1771" s="20" t="s">
        <v>1838</v>
      </c>
      <c r="C1771" s="20" t="s">
        <v>508</v>
      </c>
      <c r="D1771" s="20" t="s">
        <v>605</v>
      </c>
      <c r="E1771" s="20" t="s">
        <v>155</v>
      </c>
      <c r="F1771" s="76" t="s">
        <v>516</v>
      </c>
      <c r="G1771" s="20" t="s">
        <v>1910</v>
      </c>
      <c r="H1771" s="55" t="n">
        <v>20</v>
      </c>
      <c r="I1771" s="76" t="s">
        <v>512</v>
      </c>
      <c r="J1771" s="76" t="s">
        <v>164</v>
      </c>
      <c r="K1771" s="82" t="n">
        <v>1</v>
      </c>
      <c r="L1771" s="55" t="n">
        <v>4</v>
      </c>
      <c r="M1771" s="73" t="n">
        <v>2.25</v>
      </c>
      <c r="N1771" s="74" t="n">
        <f aca="false">K1771*L1771*M1771</f>
        <v>9</v>
      </c>
      <c r="O1771" s="41" t="n">
        <f aca="false">IFERROR(INDEX(Исходные!$B$21:$B$33,MATCH(H1771,Исходные!$A$21:$A$33,0)),0)</f>
        <v>2.466</v>
      </c>
      <c r="P1771" s="83" t="n">
        <f aca="false">N1771*O1771</f>
        <v>22.194</v>
      </c>
      <c r="Q1771" s="20" t="s">
        <v>1565</v>
      </c>
      <c r="R1771" s="84" t="s">
        <v>514</v>
      </c>
      <c r="S1771" s="20" t="s">
        <v>1875</v>
      </c>
      <c r="T1771" s="20" t="s">
        <v>12</v>
      </c>
      <c r="U1771" s="53" t="n">
        <v>0</v>
      </c>
      <c r="V1771" s="76" t="s">
        <v>155</v>
      </c>
      <c r="W1771" s="53" t="n">
        <v>5</v>
      </c>
    </row>
    <row r="1772" customFormat="false" ht="46.25" hidden="false" customHeight="false" outlineLevel="0" collapsed="false">
      <c r="A1772" s="76" t="n">
        <v>1734</v>
      </c>
      <c r="B1772" s="20" t="s">
        <v>1838</v>
      </c>
      <c r="C1772" s="20" t="s">
        <v>508</v>
      </c>
      <c r="D1772" s="20" t="s">
        <v>605</v>
      </c>
      <c r="E1772" s="20" t="s">
        <v>155</v>
      </c>
      <c r="F1772" s="76" t="s">
        <v>669</v>
      </c>
      <c r="G1772" s="20" t="s">
        <v>1911</v>
      </c>
      <c r="H1772" s="55" t="n">
        <v>16</v>
      </c>
      <c r="I1772" s="76" t="s">
        <v>512</v>
      </c>
      <c r="J1772" s="76" t="s">
        <v>164</v>
      </c>
      <c r="K1772" s="82" t="n">
        <v>1</v>
      </c>
      <c r="L1772" s="55" t="n">
        <v>3</v>
      </c>
      <c r="M1772" s="73" t="n">
        <v>2.878</v>
      </c>
      <c r="N1772" s="74" t="n">
        <f aca="false">K1772*L1772*M1772</f>
        <v>8.634</v>
      </c>
      <c r="O1772" s="41" t="n">
        <f aca="false">IFERROR(INDEX(Исходные!$B$21:$B$33,MATCH(H1772,Исходные!$A$21:$A$33,0)),0)</f>
        <v>1.578</v>
      </c>
      <c r="P1772" s="83" t="n">
        <f aca="false">N1772*O1772</f>
        <v>13.624452</v>
      </c>
      <c r="Q1772" s="20" t="s">
        <v>1565</v>
      </c>
      <c r="R1772" s="84" t="s">
        <v>514</v>
      </c>
      <c r="S1772" s="20" t="s">
        <v>1900</v>
      </c>
      <c r="T1772" s="20" t="s">
        <v>12</v>
      </c>
      <c r="U1772" s="53" t="n">
        <v>0</v>
      </c>
      <c r="V1772" s="76" t="s">
        <v>155</v>
      </c>
      <c r="W1772" s="53" t="n">
        <v>5</v>
      </c>
    </row>
    <row r="1773" customFormat="false" ht="46.25" hidden="false" customHeight="false" outlineLevel="0" collapsed="false">
      <c r="A1773" s="76" t="n">
        <v>1735</v>
      </c>
      <c r="B1773" s="20" t="s">
        <v>1838</v>
      </c>
      <c r="C1773" s="20" t="s">
        <v>508</v>
      </c>
      <c r="D1773" s="20" t="s">
        <v>605</v>
      </c>
      <c r="E1773" s="20" t="s">
        <v>155</v>
      </c>
      <c r="F1773" s="76" t="s">
        <v>669</v>
      </c>
      <c r="G1773" s="20" t="s">
        <v>1912</v>
      </c>
      <c r="H1773" s="55" t="n">
        <v>16</v>
      </c>
      <c r="I1773" s="76" t="s">
        <v>512</v>
      </c>
      <c r="J1773" s="76" t="s">
        <v>164</v>
      </c>
      <c r="K1773" s="82" t="n">
        <v>1</v>
      </c>
      <c r="L1773" s="55" t="n">
        <v>3</v>
      </c>
      <c r="M1773" s="73" t="n">
        <v>2.378</v>
      </c>
      <c r="N1773" s="74" t="n">
        <f aca="false">K1773*L1773*M1773</f>
        <v>7.134</v>
      </c>
      <c r="O1773" s="41" t="n">
        <f aca="false">IFERROR(INDEX(Исходные!$B$21:$B$33,MATCH(H1773,Исходные!$A$21:$A$33,0)),0)</f>
        <v>1.578</v>
      </c>
      <c r="P1773" s="83" t="n">
        <f aca="false">N1773*O1773</f>
        <v>11.257452</v>
      </c>
      <c r="Q1773" s="20" t="s">
        <v>1565</v>
      </c>
      <c r="R1773" s="84" t="s">
        <v>514</v>
      </c>
      <c r="S1773" s="20" t="s">
        <v>1902</v>
      </c>
      <c r="T1773" s="20" t="s">
        <v>12</v>
      </c>
      <c r="U1773" s="53" t="n">
        <v>0</v>
      </c>
      <c r="V1773" s="76" t="s">
        <v>155</v>
      </c>
      <c r="W1773" s="53" t="n">
        <v>5</v>
      </c>
    </row>
    <row r="1774" customFormat="false" ht="46.25" hidden="false" customHeight="false" outlineLevel="0" collapsed="false">
      <c r="A1774" s="76" t="n">
        <v>1736</v>
      </c>
      <c r="B1774" s="20" t="s">
        <v>1838</v>
      </c>
      <c r="C1774" s="20" t="s">
        <v>508</v>
      </c>
      <c r="D1774" s="20" t="s">
        <v>605</v>
      </c>
      <c r="E1774" s="20" t="s">
        <v>155</v>
      </c>
      <c r="F1774" s="76" t="s">
        <v>522</v>
      </c>
      <c r="G1774" s="20" t="s">
        <v>1913</v>
      </c>
      <c r="H1774" s="55" t="n">
        <v>25</v>
      </c>
      <c r="I1774" s="76" t="s">
        <v>512</v>
      </c>
      <c r="J1774" s="76" t="s">
        <v>164</v>
      </c>
      <c r="K1774" s="82" t="n">
        <v>1</v>
      </c>
      <c r="L1774" s="55" t="n">
        <v>3</v>
      </c>
      <c r="M1774" s="73" t="n">
        <v>2.75</v>
      </c>
      <c r="N1774" s="74" t="n">
        <f aca="false">K1774*L1774*M1774</f>
        <v>8.25</v>
      </c>
      <c r="O1774" s="41" t="n">
        <f aca="false">IFERROR(INDEX(Исходные!$B$21:$B$33,MATCH(H1774,Исходные!$A$21:$A$33,0)),0)</f>
        <v>3.853</v>
      </c>
      <c r="P1774" s="83" t="n">
        <f aca="false">N1774*O1774</f>
        <v>31.78725</v>
      </c>
      <c r="Q1774" s="20" t="s">
        <v>1565</v>
      </c>
      <c r="R1774" s="84" t="s">
        <v>514</v>
      </c>
      <c r="S1774" s="20" t="s">
        <v>1856</v>
      </c>
      <c r="T1774" s="20" t="s">
        <v>12</v>
      </c>
      <c r="U1774" s="53" t="n">
        <v>0</v>
      </c>
      <c r="V1774" s="76" t="s">
        <v>155</v>
      </c>
      <c r="W1774" s="53" t="n">
        <v>5</v>
      </c>
    </row>
    <row r="1775" customFormat="false" ht="46.25" hidden="false" customHeight="false" outlineLevel="0" collapsed="false">
      <c r="A1775" s="76" t="n">
        <v>1737</v>
      </c>
      <c r="B1775" s="20" t="s">
        <v>1838</v>
      </c>
      <c r="C1775" s="20" t="s">
        <v>508</v>
      </c>
      <c r="D1775" s="20" t="s">
        <v>605</v>
      </c>
      <c r="E1775" s="20" t="s">
        <v>155</v>
      </c>
      <c r="F1775" s="76" t="s">
        <v>522</v>
      </c>
      <c r="G1775" s="20" t="s">
        <v>1914</v>
      </c>
      <c r="H1775" s="55" t="n">
        <v>25</v>
      </c>
      <c r="I1775" s="76" t="s">
        <v>512</v>
      </c>
      <c r="J1775" s="76" t="s">
        <v>164</v>
      </c>
      <c r="K1775" s="82" t="n">
        <v>1</v>
      </c>
      <c r="L1775" s="55" t="n">
        <v>3</v>
      </c>
      <c r="M1775" s="73" t="n">
        <v>2.25</v>
      </c>
      <c r="N1775" s="74" t="n">
        <f aca="false">K1775*L1775*M1775</f>
        <v>6.75</v>
      </c>
      <c r="O1775" s="41" t="n">
        <f aca="false">IFERROR(INDEX(Исходные!$B$21:$B$33,MATCH(H1775,Исходные!$A$21:$A$33,0)),0)</f>
        <v>3.853</v>
      </c>
      <c r="P1775" s="83" t="n">
        <f aca="false">N1775*O1775</f>
        <v>26.00775</v>
      </c>
      <c r="Q1775" s="20" t="s">
        <v>1565</v>
      </c>
      <c r="R1775" s="84" t="s">
        <v>514</v>
      </c>
      <c r="S1775" s="20" t="s">
        <v>1858</v>
      </c>
      <c r="T1775" s="20" t="s">
        <v>12</v>
      </c>
      <c r="U1775" s="53" t="n">
        <v>0</v>
      </c>
      <c r="V1775" s="76" t="s">
        <v>155</v>
      </c>
      <c r="W1775" s="53" t="n">
        <v>5</v>
      </c>
    </row>
    <row r="1776" customFormat="false" ht="35.05" hidden="false" customHeight="false" outlineLevel="0" collapsed="false">
      <c r="A1776" s="76" t="n">
        <v>1738</v>
      </c>
      <c r="B1776" s="20" t="s">
        <v>1838</v>
      </c>
      <c r="C1776" s="20" t="s">
        <v>508</v>
      </c>
      <c r="D1776" s="20" t="s">
        <v>605</v>
      </c>
      <c r="E1776" s="20" t="s">
        <v>155</v>
      </c>
      <c r="F1776" s="76" t="s">
        <v>532</v>
      </c>
      <c r="G1776" s="20" t="s">
        <v>613</v>
      </c>
      <c r="H1776" s="55" t="n">
        <v>10</v>
      </c>
      <c r="I1776" s="76" t="s">
        <v>512</v>
      </c>
      <c r="J1776" s="76" t="n">
        <v>200</v>
      </c>
      <c r="K1776" s="82" t="n">
        <v>1</v>
      </c>
      <c r="L1776" s="55" t="n">
        <v>32</v>
      </c>
      <c r="M1776" s="73" t="n">
        <v>1.45</v>
      </c>
      <c r="N1776" s="74" t="n">
        <f aca="false">K1776*L1776*M1776</f>
        <v>46.4</v>
      </c>
      <c r="O1776" s="41" t="n">
        <f aca="false">IFERROR(INDEX(Исходные!$B$21:$B$33,MATCH(H1776,Исходные!$A$21:$A$33,0)),0)</f>
        <v>0.617</v>
      </c>
      <c r="P1776" s="83" t="n">
        <f aca="false">N1776*O1776</f>
        <v>28.6288</v>
      </c>
      <c r="Q1776" s="20" t="s">
        <v>1915</v>
      </c>
      <c r="R1776" s="85" t="s">
        <v>535</v>
      </c>
      <c r="S1776" s="20" t="s">
        <v>1868</v>
      </c>
      <c r="T1776" s="20" t="s">
        <v>12</v>
      </c>
      <c r="U1776" s="53" t="n">
        <v>1</v>
      </c>
      <c r="V1776" s="76" t="s">
        <v>155</v>
      </c>
      <c r="W1776" s="53" t="n">
        <v>5</v>
      </c>
    </row>
    <row r="1777" customFormat="false" ht="35.05" hidden="false" customHeight="false" outlineLevel="0" collapsed="false">
      <c r="A1777" s="76" t="n">
        <v>1739</v>
      </c>
      <c r="B1777" s="20" t="s">
        <v>1838</v>
      </c>
      <c r="C1777" s="20" t="s">
        <v>508</v>
      </c>
      <c r="D1777" s="20" t="s">
        <v>605</v>
      </c>
      <c r="E1777" s="20" t="s">
        <v>155</v>
      </c>
      <c r="F1777" s="76" t="s">
        <v>539</v>
      </c>
      <c r="G1777" s="20" t="s">
        <v>1916</v>
      </c>
      <c r="H1777" s="55" t="n">
        <v>10</v>
      </c>
      <c r="I1777" s="76" t="s">
        <v>512</v>
      </c>
      <c r="J1777" s="76" t="n">
        <v>200</v>
      </c>
      <c r="K1777" s="82" t="n">
        <v>1</v>
      </c>
      <c r="L1777" s="55" t="n">
        <v>6</v>
      </c>
      <c r="M1777" s="73" t="n">
        <v>1.45</v>
      </c>
      <c r="N1777" s="74" t="n">
        <f aca="false">K1777*L1777*M1777</f>
        <v>8.7</v>
      </c>
      <c r="O1777" s="41" t="n">
        <f aca="false">IFERROR(INDEX(Исходные!$B$21:$B$33,MATCH(H1777,Исходные!$A$21:$A$33,0)),0)</f>
        <v>0.617</v>
      </c>
      <c r="P1777" s="83" t="n">
        <f aca="false">N1777*O1777</f>
        <v>5.3679</v>
      </c>
      <c r="Q1777" s="20" t="s">
        <v>616</v>
      </c>
      <c r="R1777" s="84" t="s">
        <v>514</v>
      </c>
      <c r="S1777" s="20"/>
      <c r="T1777" s="20" t="s">
        <v>12</v>
      </c>
      <c r="U1777" s="53" t="n">
        <v>0</v>
      </c>
      <c r="V1777" s="76" t="s">
        <v>155</v>
      </c>
      <c r="W1777" s="53" t="n">
        <v>5</v>
      </c>
    </row>
    <row r="1778" customFormat="false" ht="35.05" hidden="false" customHeight="false" outlineLevel="0" collapsed="false">
      <c r="A1778" s="76" t="n">
        <v>1740</v>
      </c>
      <c r="B1778" s="20" t="s">
        <v>1838</v>
      </c>
      <c r="C1778" s="20" t="s">
        <v>508</v>
      </c>
      <c r="D1778" s="20" t="s">
        <v>605</v>
      </c>
      <c r="E1778" s="20" t="s">
        <v>155</v>
      </c>
      <c r="F1778" s="76" t="s">
        <v>544</v>
      </c>
      <c r="G1778" s="20" t="s">
        <v>1248</v>
      </c>
      <c r="H1778" s="55" t="n">
        <v>10</v>
      </c>
      <c r="I1778" s="76" t="s">
        <v>546</v>
      </c>
      <c r="J1778" s="76" t="s">
        <v>547</v>
      </c>
      <c r="K1778" s="82" t="n">
        <v>1</v>
      </c>
      <c r="L1778" s="55" t="n">
        <v>16</v>
      </c>
      <c r="M1778" s="73" t="n">
        <v>1.33</v>
      </c>
      <c r="N1778" s="74" t="n">
        <f aca="false">K1778*L1778*M1778</f>
        <v>21.28</v>
      </c>
      <c r="O1778" s="41" t="n">
        <f aca="false">IFERROR(INDEX(Исходные!$B$21:$B$33,MATCH(H1778,Исходные!$A$21:$A$33,0)),0)</f>
        <v>0.617</v>
      </c>
      <c r="P1778" s="83" t="n">
        <f aca="false">N1778*O1778</f>
        <v>13.12976</v>
      </c>
      <c r="Q1778" s="20" t="s">
        <v>1192</v>
      </c>
      <c r="R1778" s="84" t="s">
        <v>514</v>
      </c>
      <c r="S1778" s="20"/>
      <c r="T1778" s="20" t="s">
        <v>12</v>
      </c>
      <c r="U1778" s="53" t="n">
        <v>0</v>
      </c>
      <c r="V1778" s="76" t="s">
        <v>155</v>
      </c>
      <c r="W1778" s="53" t="n">
        <v>5</v>
      </c>
    </row>
    <row r="1779" customFormat="false" ht="35.05" hidden="false" customHeight="false" outlineLevel="0" collapsed="false">
      <c r="A1779" s="76" t="n">
        <v>1741</v>
      </c>
      <c r="B1779" s="20" t="s">
        <v>1838</v>
      </c>
      <c r="C1779" s="20" t="s">
        <v>508</v>
      </c>
      <c r="D1779" s="20" t="s">
        <v>605</v>
      </c>
      <c r="E1779" s="20" t="s">
        <v>155</v>
      </c>
      <c r="F1779" s="76" t="s">
        <v>603</v>
      </c>
      <c r="G1779" s="20" t="s">
        <v>1195</v>
      </c>
      <c r="H1779" s="55" t="n">
        <v>8</v>
      </c>
      <c r="I1779" s="76" t="s">
        <v>546</v>
      </c>
      <c r="J1779" s="76" t="s">
        <v>547</v>
      </c>
      <c r="K1779" s="82" t="n">
        <v>1</v>
      </c>
      <c r="L1779" s="55" t="n">
        <v>16</v>
      </c>
      <c r="M1779" s="73" t="n">
        <v>1.76</v>
      </c>
      <c r="N1779" s="74" t="n">
        <f aca="false">K1779*L1779*M1779</f>
        <v>28.16</v>
      </c>
      <c r="O1779" s="41" t="n">
        <f aca="false">IFERROR(INDEX(Исходные!$B$21:$B$33,MATCH(H1779,Исходные!$A$21:$A$33,0)),0)</f>
        <v>0.395</v>
      </c>
      <c r="P1779" s="83" t="n">
        <f aca="false">N1779*O1779</f>
        <v>11.1232</v>
      </c>
      <c r="Q1779" s="20" t="s">
        <v>1196</v>
      </c>
      <c r="R1779" s="84" t="s">
        <v>514</v>
      </c>
      <c r="S1779" s="20"/>
      <c r="T1779" s="20" t="s">
        <v>12</v>
      </c>
      <c r="U1779" s="53" t="n">
        <v>0</v>
      </c>
      <c r="V1779" s="76" t="s">
        <v>155</v>
      </c>
      <c r="W1779" s="53" t="n">
        <v>5</v>
      </c>
    </row>
    <row r="1780" customFormat="false" ht="35.05" hidden="false" customHeight="false" outlineLevel="0" collapsed="false">
      <c r="A1780" s="76" t="n">
        <v>1742</v>
      </c>
      <c r="B1780" s="20" t="s">
        <v>1838</v>
      </c>
      <c r="C1780" s="20" t="s">
        <v>508</v>
      </c>
      <c r="D1780" s="20" t="s">
        <v>605</v>
      </c>
      <c r="E1780" s="20" t="s">
        <v>155</v>
      </c>
      <c r="F1780" s="76" t="s">
        <v>555</v>
      </c>
      <c r="G1780" s="20" t="s">
        <v>1197</v>
      </c>
      <c r="H1780" s="55" t="n">
        <v>8</v>
      </c>
      <c r="I1780" s="76" t="s">
        <v>546</v>
      </c>
      <c r="J1780" s="76" t="s">
        <v>547</v>
      </c>
      <c r="K1780" s="82" t="n">
        <v>1</v>
      </c>
      <c r="L1780" s="55" t="n">
        <v>28</v>
      </c>
      <c r="M1780" s="73" t="n">
        <v>2.44</v>
      </c>
      <c r="N1780" s="74" t="n">
        <f aca="false">K1780*L1780*M1780</f>
        <v>68.32</v>
      </c>
      <c r="O1780" s="41" t="n">
        <f aca="false">IFERROR(INDEX(Исходные!$B$21:$B$33,MATCH(H1780,Исходные!$A$21:$A$33,0)),0)</f>
        <v>0.395</v>
      </c>
      <c r="P1780" s="83" t="n">
        <f aca="false">N1780*O1780</f>
        <v>26.9864</v>
      </c>
      <c r="Q1780" s="20" t="s">
        <v>1198</v>
      </c>
      <c r="R1780" s="84" t="s">
        <v>514</v>
      </c>
      <c r="S1780" s="20"/>
      <c r="T1780" s="20" t="s">
        <v>12</v>
      </c>
      <c r="U1780" s="53" t="n">
        <v>0</v>
      </c>
      <c r="V1780" s="76" t="s">
        <v>155</v>
      </c>
      <c r="W1780" s="53" t="n">
        <v>5</v>
      </c>
    </row>
    <row r="1781" customFormat="false" ht="35.05" hidden="false" customHeight="false" outlineLevel="0" collapsed="false">
      <c r="A1781" s="76" t="n">
        <v>1743</v>
      </c>
      <c r="B1781" s="20" t="s">
        <v>1838</v>
      </c>
      <c r="C1781" s="20" t="s">
        <v>508</v>
      </c>
      <c r="D1781" s="20" t="s">
        <v>605</v>
      </c>
      <c r="E1781" s="20" t="s">
        <v>155</v>
      </c>
      <c r="F1781" s="76" t="s">
        <v>558</v>
      </c>
      <c r="G1781" s="20" t="s">
        <v>1199</v>
      </c>
      <c r="H1781" s="55" t="n">
        <v>8</v>
      </c>
      <c r="I1781" s="76" t="s">
        <v>546</v>
      </c>
      <c r="J1781" s="76" t="s">
        <v>547</v>
      </c>
      <c r="K1781" s="82" t="n">
        <v>1</v>
      </c>
      <c r="L1781" s="55" t="n">
        <v>32</v>
      </c>
      <c r="M1781" s="73" t="n">
        <v>1.96</v>
      </c>
      <c r="N1781" s="74" t="n">
        <f aca="false">K1781*L1781*M1781</f>
        <v>62.72</v>
      </c>
      <c r="O1781" s="41" t="n">
        <f aca="false">IFERROR(INDEX(Исходные!$B$21:$B$33,MATCH(H1781,Исходные!$A$21:$A$33,0)),0)</f>
        <v>0.395</v>
      </c>
      <c r="P1781" s="83" t="n">
        <f aca="false">N1781*O1781</f>
        <v>24.7744</v>
      </c>
      <c r="Q1781" s="20" t="s">
        <v>1200</v>
      </c>
      <c r="R1781" s="84" t="s">
        <v>514</v>
      </c>
      <c r="S1781" s="20"/>
      <c r="T1781" s="20" t="s">
        <v>12</v>
      </c>
      <c r="U1781" s="53" t="n">
        <v>0</v>
      </c>
      <c r="V1781" s="76" t="s">
        <v>155</v>
      </c>
      <c r="W1781" s="53" t="n">
        <v>5</v>
      </c>
    </row>
    <row r="1782" customFormat="false" ht="35.05" hidden="false" customHeight="false" outlineLevel="0" collapsed="false">
      <c r="A1782" s="76" t="n">
        <v>1744</v>
      </c>
      <c r="B1782" s="20" t="s">
        <v>1838</v>
      </c>
      <c r="C1782" s="20" t="s">
        <v>508</v>
      </c>
      <c r="D1782" s="20" t="s">
        <v>605</v>
      </c>
      <c r="E1782" s="20" t="s">
        <v>155</v>
      </c>
      <c r="F1782" s="76" t="s">
        <v>561</v>
      </c>
      <c r="G1782" s="20" t="s">
        <v>1249</v>
      </c>
      <c r="H1782" s="55" t="n">
        <v>8</v>
      </c>
      <c r="I1782" s="76" t="s">
        <v>546</v>
      </c>
      <c r="J1782" s="76" t="s">
        <v>547</v>
      </c>
      <c r="K1782" s="82" t="n">
        <v>1</v>
      </c>
      <c r="L1782" s="55" t="n">
        <v>24</v>
      </c>
      <c r="M1782" s="73" t="n">
        <v>0.53</v>
      </c>
      <c r="N1782" s="74" t="n">
        <f aca="false">K1782*L1782*M1782</f>
        <v>12.72</v>
      </c>
      <c r="O1782" s="41" t="n">
        <f aca="false">IFERROR(INDEX(Исходные!$B$21:$B$33,MATCH(H1782,Исходные!$A$21:$A$33,0)),0)</f>
        <v>0.395</v>
      </c>
      <c r="P1782" s="83" t="n">
        <f aca="false">N1782*O1782</f>
        <v>5.0244</v>
      </c>
      <c r="Q1782" s="20" t="s">
        <v>1202</v>
      </c>
      <c r="R1782" s="84" t="s">
        <v>514</v>
      </c>
      <c r="S1782" s="20"/>
      <c r="T1782" s="20" t="s">
        <v>12</v>
      </c>
      <c r="U1782" s="53" t="n">
        <v>0</v>
      </c>
      <c r="V1782" s="76" t="s">
        <v>155</v>
      </c>
      <c r="W1782" s="53" t="n">
        <v>5</v>
      </c>
    </row>
    <row r="1783" customFormat="false" ht="46.25" hidden="false" customHeight="false" outlineLevel="0" collapsed="false">
      <c r="A1783" s="76" t="n">
        <v>1745</v>
      </c>
      <c r="B1783" s="20" t="s">
        <v>1838</v>
      </c>
      <c r="C1783" s="20" t="s">
        <v>508</v>
      </c>
      <c r="D1783" s="20" t="s">
        <v>619</v>
      </c>
      <c r="E1783" s="20" t="s">
        <v>156</v>
      </c>
      <c r="F1783" s="76" t="s">
        <v>519</v>
      </c>
      <c r="G1783" s="20" t="s">
        <v>1839</v>
      </c>
      <c r="H1783" s="55" t="n">
        <v>28</v>
      </c>
      <c r="I1783" s="76" t="s">
        <v>512</v>
      </c>
      <c r="J1783" s="76" t="s">
        <v>164</v>
      </c>
      <c r="K1783" s="82" t="n">
        <v>1</v>
      </c>
      <c r="L1783" s="55" t="n">
        <v>2</v>
      </c>
      <c r="M1783" s="73" t="n">
        <v>2.75</v>
      </c>
      <c r="N1783" s="74" t="n">
        <f aca="false">K1783*L1783*M1783</f>
        <v>5.5</v>
      </c>
      <c r="O1783" s="41" t="n">
        <f aca="false">IFERROR(INDEX(Исходные!$B$21:$B$33,MATCH(H1783,Исходные!$A$21:$A$33,0)),0)</f>
        <v>4.834</v>
      </c>
      <c r="P1783" s="83" t="n">
        <f aca="false">N1783*O1783</f>
        <v>26.587</v>
      </c>
      <c r="Q1783" s="20" t="s">
        <v>1569</v>
      </c>
      <c r="R1783" s="84" t="s">
        <v>514</v>
      </c>
      <c r="S1783" s="20" t="s">
        <v>1870</v>
      </c>
      <c r="T1783" s="20" t="s">
        <v>12</v>
      </c>
      <c r="U1783" s="53" t="n">
        <v>0</v>
      </c>
      <c r="V1783" s="76" t="s">
        <v>156</v>
      </c>
      <c r="W1783" s="53" t="n">
        <v>5</v>
      </c>
    </row>
    <row r="1784" customFormat="false" ht="46.25" hidden="false" customHeight="false" outlineLevel="0" collapsed="false">
      <c r="A1784" s="76" t="n">
        <v>1746</v>
      </c>
      <c r="B1784" s="20" t="s">
        <v>1838</v>
      </c>
      <c r="C1784" s="20" t="s">
        <v>508</v>
      </c>
      <c r="D1784" s="20" t="s">
        <v>619</v>
      </c>
      <c r="E1784" s="20" t="s">
        <v>156</v>
      </c>
      <c r="F1784" s="76" t="s">
        <v>519</v>
      </c>
      <c r="G1784" s="20" t="s">
        <v>1841</v>
      </c>
      <c r="H1784" s="55" t="n">
        <v>28</v>
      </c>
      <c r="I1784" s="76" t="s">
        <v>512</v>
      </c>
      <c r="J1784" s="76" t="s">
        <v>164</v>
      </c>
      <c r="K1784" s="82" t="n">
        <v>1</v>
      </c>
      <c r="L1784" s="55" t="n">
        <v>2</v>
      </c>
      <c r="M1784" s="73" t="n">
        <v>2.25</v>
      </c>
      <c r="N1784" s="74" t="n">
        <f aca="false">K1784*L1784*M1784</f>
        <v>4.5</v>
      </c>
      <c r="O1784" s="41" t="n">
        <f aca="false">IFERROR(INDEX(Исходные!$B$21:$B$33,MATCH(H1784,Исходные!$A$21:$A$33,0)),0)</f>
        <v>4.834</v>
      </c>
      <c r="P1784" s="83" t="n">
        <f aca="false">N1784*O1784</f>
        <v>21.753</v>
      </c>
      <c r="Q1784" s="20" t="s">
        <v>1569</v>
      </c>
      <c r="R1784" s="84" t="s">
        <v>514</v>
      </c>
      <c r="S1784" s="20" t="s">
        <v>1871</v>
      </c>
      <c r="T1784" s="20" t="s">
        <v>12</v>
      </c>
      <c r="U1784" s="53" t="n">
        <v>0</v>
      </c>
      <c r="V1784" s="76" t="s">
        <v>156</v>
      </c>
      <c r="W1784" s="53" t="n">
        <v>5</v>
      </c>
    </row>
    <row r="1785" customFormat="false" ht="46.25" hidden="false" customHeight="false" outlineLevel="0" collapsed="false">
      <c r="A1785" s="76" t="n">
        <v>1747</v>
      </c>
      <c r="B1785" s="20" t="s">
        <v>1838</v>
      </c>
      <c r="C1785" s="20" t="s">
        <v>508</v>
      </c>
      <c r="D1785" s="20" t="s">
        <v>619</v>
      </c>
      <c r="E1785" s="20" t="s">
        <v>156</v>
      </c>
      <c r="F1785" s="76" t="s">
        <v>516</v>
      </c>
      <c r="G1785" s="20" t="s">
        <v>1909</v>
      </c>
      <c r="H1785" s="55" t="n">
        <v>20</v>
      </c>
      <c r="I1785" s="76" t="s">
        <v>512</v>
      </c>
      <c r="J1785" s="76" t="s">
        <v>164</v>
      </c>
      <c r="K1785" s="82" t="n">
        <v>1</v>
      </c>
      <c r="L1785" s="55" t="n">
        <v>4</v>
      </c>
      <c r="M1785" s="73" t="n">
        <v>2.75</v>
      </c>
      <c r="N1785" s="74" t="n">
        <f aca="false">K1785*L1785*M1785</f>
        <v>11</v>
      </c>
      <c r="O1785" s="41" t="n">
        <f aca="false">IFERROR(INDEX(Исходные!$B$21:$B$33,MATCH(H1785,Исходные!$A$21:$A$33,0)),0)</f>
        <v>2.466</v>
      </c>
      <c r="P1785" s="83" t="n">
        <f aca="false">N1785*O1785</f>
        <v>27.126</v>
      </c>
      <c r="Q1785" s="20" t="s">
        <v>1569</v>
      </c>
      <c r="R1785" s="84" t="s">
        <v>514</v>
      </c>
      <c r="S1785" s="20" t="s">
        <v>1873</v>
      </c>
      <c r="T1785" s="20" t="s">
        <v>12</v>
      </c>
      <c r="U1785" s="53" t="n">
        <v>0</v>
      </c>
      <c r="V1785" s="76" t="s">
        <v>156</v>
      </c>
      <c r="W1785" s="53" t="n">
        <v>5</v>
      </c>
    </row>
    <row r="1786" customFormat="false" ht="46.25" hidden="false" customHeight="false" outlineLevel="0" collapsed="false">
      <c r="A1786" s="76" t="n">
        <v>1748</v>
      </c>
      <c r="B1786" s="20" t="s">
        <v>1838</v>
      </c>
      <c r="C1786" s="20" t="s">
        <v>508</v>
      </c>
      <c r="D1786" s="20" t="s">
        <v>619</v>
      </c>
      <c r="E1786" s="20" t="s">
        <v>156</v>
      </c>
      <c r="F1786" s="76" t="s">
        <v>516</v>
      </c>
      <c r="G1786" s="20" t="s">
        <v>1910</v>
      </c>
      <c r="H1786" s="55" t="n">
        <v>20</v>
      </c>
      <c r="I1786" s="76" t="s">
        <v>512</v>
      </c>
      <c r="J1786" s="76" t="s">
        <v>164</v>
      </c>
      <c r="K1786" s="82" t="n">
        <v>1</v>
      </c>
      <c r="L1786" s="55" t="n">
        <v>4</v>
      </c>
      <c r="M1786" s="73" t="n">
        <v>2.25</v>
      </c>
      <c r="N1786" s="74" t="n">
        <f aca="false">K1786*L1786*M1786</f>
        <v>9</v>
      </c>
      <c r="O1786" s="41" t="n">
        <f aca="false">IFERROR(INDEX(Исходные!$B$21:$B$33,MATCH(H1786,Исходные!$A$21:$A$33,0)),0)</f>
        <v>2.466</v>
      </c>
      <c r="P1786" s="83" t="n">
        <f aca="false">N1786*O1786</f>
        <v>22.194</v>
      </c>
      <c r="Q1786" s="20" t="s">
        <v>1569</v>
      </c>
      <c r="R1786" s="84" t="s">
        <v>514</v>
      </c>
      <c r="S1786" s="20" t="s">
        <v>1875</v>
      </c>
      <c r="T1786" s="20" t="s">
        <v>12</v>
      </c>
      <c r="U1786" s="53" t="n">
        <v>0</v>
      </c>
      <c r="V1786" s="76" t="s">
        <v>156</v>
      </c>
      <c r="W1786" s="53" t="n">
        <v>5</v>
      </c>
    </row>
    <row r="1787" customFormat="false" ht="46.25" hidden="false" customHeight="false" outlineLevel="0" collapsed="false">
      <c r="A1787" s="76" t="n">
        <v>1749</v>
      </c>
      <c r="B1787" s="20" t="s">
        <v>1838</v>
      </c>
      <c r="C1787" s="20" t="s">
        <v>508</v>
      </c>
      <c r="D1787" s="20" t="s">
        <v>619</v>
      </c>
      <c r="E1787" s="20" t="s">
        <v>156</v>
      </c>
      <c r="F1787" s="76" t="s">
        <v>575</v>
      </c>
      <c r="G1787" s="20" t="s">
        <v>1917</v>
      </c>
      <c r="H1787" s="55" t="n">
        <v>22</v>
      </c>
      <c r="I1787" s="76" t="s">
        <v>512</v>
      </c>
      <c r="J1787" s="76" t="s">
        <v>164</v>
      </c>
      <c r="K1787" s="82" t="n">
        <v>1</v>
      </c>
      <c r="L1787" s="55" t="n">
        <v>3</v>
      </c>
      <c r="M1787" s="73" t="n">
        <v>2.75</v>
      </c>
      <c r="N1787" s="74" t="n">
        <f aca="false">K1787*L1787*M1787</f>
        <v>8.25</v>
      </c>
      <c r="O1787" s="41" t="n">
        <f aca="false">IFERROR(INDEX(Исходные!$B$21:$B$33,MATCH(H1787,Исходные!$A$21:$A$33,0)),0)</f>
        <v>2.984</v>
      </c>
      <c r="P1787" s="83" t="n">
        <f aca="false">N1787*O1787</f>
        <v>24.618</v>
      </c>
      <c r="Q1787" s="20" t="s">
        <v>1569</v>
      </c>
      <c r="R1787" s="84" t="s">
        <v>514</v>
      </c>
      <c r="S1787" s="20" t="s">
        <v>1877</v>
      </c>
      <c r="T1787" s="20" t="s">
        <v>12</v>
      </c>
      <c r="U1787" s="53" t="n">
        <v>0</v>
      </c>
      <c r="V1787" s="76" t="s">
        <v>156</v>
      </c>
      <c r="W1787" s="53" t="n">
        <v>5</v>
      </c>
    </row>
    <row r="1788" customFormat="false" ht="46.25" hidden="false" customHeight="false" outlineLevel="0" collapsed="false">
      <c r="A1788" s="76" t="n">
        <v>1750</v>
      </c>
      <c r="B1788" s="20" t="s">
        <v>1838</v>
      </c>
      <c r="C1788" s="20" t="s">
        <v>508</v>
      </c>
      <c r="D1788" s="20" t="s">
        <v>619</v>
      </c>
      <c r="E1788" s="20" t="s">
        <v>156</v>
      </c>
      <c r="F1788" s="76" t="s">
        <v>575</v>
      </c>
      <c r="G1788" s="20" t="s">
        <v>1918</v>
      </c>
      <c r="H1788" s="55" t="n">
        <v>22</v>
      </c>
      <c r="I1788" s="76" t="s">
        <v>512</v>
      </c>
      <c r="J1788" s="76" t="s">
        <v>164</v>
      </c>
      <c r="K1788" s="82" t="n">
        <v>1</v>
      </c>
      <c r="L1788" s="55" t="n">
        <v>3</v>
      </c>
      <c r="M1788" s="73" t="n">
        <v>2.25</v>
      </c>
      <c r="N1788" s="74" t="n">
        <f aca="false">K1788*L1788*M1788</f>
        <v>6.75</v>
      </c>
      <c r="O1788" s="41" t="n">
        <f aca="false">IFERROR(INDEX(Исходные!$B$21:$B$33,MATCH(H1788,Исходные!$A$21:$A$33,0)),0)</f>
        <v>2.984</v>
      </c>
      <c r="P1788" s="83" t="n">
        <f aca="false">N1788*O1788</f>
        <v>20.142</v>
      </c>
      <c r="Q1788" s="20" t="s">
        <v>1569</v>
      </c>
      <c r="R1788" s="84" t="s">
        <v>514</v>
      </c>
      <c r="S1788" s="20" t="s">
        <v>1879</v>
      </c>
      <c r="T1788" s="20" t="s">
        <v>12</v>
      </c>
      <c r="U1788" s="53" t="n">
        <v>0</v>
      </c>
      <c r="V1788" s="76" t="s">
        <v>156</v>
      </c>
      <c r="W1788" s="53" t="n">
        <v>5</v>
      </c>
    </row>
    <row r="1789" customFormat="false" ht="46.25" hidden="false" customHeight="false" outlineLevel="0" collapsed="false">
      <c r="A1789" s="76" t="n">
        <v>1751</v>
      </c>
      <c r="B1789" s="20" t="s">
        <v>1838</v>
      </c>
      <c r="C1789" s="20" t="s">
        <v>508</v>
      </c>
      <c r="D1789" s="20" t="s">
        <v>619</v>
      </c>
      <c r="E1789" s="20" t="s">
        <v>156</v>
      </c>
      <c r="F1789" s="76" t="s">
        <v>995</v>
      </c>
      <c r="G1789" s="20" t="s">
        <v>1919</v>
      </c>
      <c r="H1789" s="55" t="n">
        <v>14</v>
      </c>
      <c r="I1789" s="76" t="s">
        <v>512</v>
      </c>
      <c r="J1789" s="76" t="s">
        <v>164</v>
      </c>
      <c r="K1789" s="82" t="n">
        <v>1</v>
      </c>
      <c r="L1789" s="55" t="n">
        <v>2</v>
      </c>
      <c r="M1789" s="73" t="n">
        <v>2.862</v>
      </c>
      <c r="N1789" s="74" t="n">
        <f aca="false">K1789*L1789*M1789</f>
        <v>5.724</v>
      </c>
      <c r="O1789" s="41" t="n">
        <f aca="false">IFERROR(INDEX(Исходные!$B$21:$B$33,MATCH(H1789,Исходные!$A$21:$A$33,0)),0)</f>
        <v>1.208</v>
      </c>
      <c r="P1789" s="83" t="n">
        <f aca="false">N1789*O1789</f>
        <v>6.914592</v>
      </c>
      <c r="Q1789" s="20" t="s">
        <v>1569</v>
      </c>
      <c r="R1789" s="84" t="s">
        <v>514</v>
      </c>
      <c r="S1789" s="20" t="s">
        <v>1920</v>
      </c>
      <c r="T1789" s="20" t="s">
        <v>12</v>
      </c>
      <c r="U1789" s="53" t="n">
        <v>0</v>
      </c>
      <c r="V1789" s="76" t="s">
        <v>156</v>
      </c>
      <c r="W1789" s="53" t="n">
        <v>5</v>
      </c>
    </row>
    <row r="1790" customFormat="false" ht="46.25" hidden="false" customHeight="false" outlineLevel="0" collapsed="false">
      <c r="A1790" s="76" t="n">
        <v>1752</v>
      </c>
      <c r="B1790" s="20" t="s">
        <v>1838</v>
      </c>
      <c r="C1790" s="20" t="s">
        <v>508</v>
      </c>
      <c r="D1790" s="20" t="s">
        <v>619</v>
      </c>
      <c r="E1790" s="20" t="s">
        <v>156</v>
      </c>
      <c r="F1790" s="76" t="s">
        <v>995</v>
      </c>
      <c r="G1790" s="20" t="s">
        <v>1921</v>
      </c>
      <c r="H1790" s="55" t="n">
        <v>14</v>
      </c>
      <c r="I1790" s="76" t="s">
        <v>512</v>
      </c>
      <c r="J1790" s="76" t="s">
        <v>164</v>
      </c>
      <c r="K1790" s="82" t="n">
        <v>1</v>
      </c>
      <c r="L1790" s="55" t="n">
        <v>2</v>
      </c>
      <c r="M1790" s="73" t="n">
        <v>2.362</v>
      </c>
      <c r="N1790" s="74" t="n">
        <f aca="false">K1790*L1790*M1790</f>
        <v>4.724</v>
      </c>
      <c r="O1790" s="41" t="n">
        <f aca="false">IFERROR(INDEX(Исходные!$B$21:$B$33,MATCH(H1790,Исходные!$A$21:$A$33,0)),0)</f>
        <v>1.208</v>
      </c>
      <c r="P1790" s="83" t="n">
        <f aca="false">N1790*O1790</f>
        <v>5.706592</v>
      </c>
      <c r="Q1790" s="20" t="s">
        <v>1569</v>
      </c>
      <c r="R1790" s="84" t="s">
        <v>514</v>
      </c>
      <c r="S1790" s="20" t="s">
        <v>1922</v>
      </c>
      <c r="T1790" s="20" t="s">
        <v>12</v>
      </c>
      <c r="U1790" s="53" t="n">
        <v>0</v>
      </c>
      <c r="V1790" s="76" t="s">
        <v>156</v>
      </c>
      <c r="W1790" s="53" t="n">
        <v>5</v>
      </c>
    </row>
    <row r="1791" customFormat="false" ht="46.25" hidden="false" customHeight="false" outlineLevel="0" collapsed="false">
      <c r="A1791" s="76" t="n">
        <v>1753</v>
      </c>
      <c r="B1791" s="20" t="s">
        <v>1838</v>
      </c>
      <c r="C1791" s="20" t="s">
        <v>508</v>
      </c>
      <c r="D1791" s="20" t="s">
        <v>619</v>
      </c>
      <c r="E1791" s="20" t="s">
        <v>156</v>
      </c>
      <c r="F1791" s="76" t="s">
        <v>995</v>
      </c>
      <c r="G1791" s="20" t="s">
        <v>1923</v>
      </c>
      <c r="H1791" s="55" t="n">
        <v>14</v>
      </c>
      <c r="I1791" s="76" t="s">
        <v>512</v>
      </c>
      <c r="J1791" s="76" t="s">
        <v>164</v>
      </c>
      <c r="K1791" s="82" t="n">
        <v>1</v>
      </c>
      <c r="L1791" s="55" t="n">
        <v>3</v>
      </c>
      <c r="M1791" s="73" t="n">
        <v>2.862</v>
      </c>
      <c r="N1791" s="74" t="n">
        <f aca="false">K1791*L1791*M1791</f>
        <v>8.586</v>
      </c>
      <c r="O1791" s="41" t="n">
        <f aca="false">IFERROR(INDEX(Исходные!$B$21:$B$33,MATCH(H1791,Исходные!$A$21:$A$33,0)),0)</f>
        <v>1.208</v>
      </c>
      <c r="P1791" s="83" t="n">
        <f aca="false">N1791*O1791</f>
        <v>10.371888</v>
      </c>
      <c r="Q1791" s="20" t="s">
        <v>1569</v>
      </c>
      <c r="R1791" s="84" t="s">
        <v>514</v>
      </c>
      <c r="S1791" s="20" t="s">
        <v>1924</v>
      </c>
      <c r="T1791" s="20" t="s">
        <v>12</v>
      </c>
      <c r="U1791" s="53" t="n">
        <v>0</v>
      </c>
      <c r="V1791" s="76" t="s">
        <v>156</v>
      </c>
      <c r="W1791" s="53" t="n">
        <v>5</v>
      </c>
    </row>
    <row r="1792" customFormat="false" ht="46.25" hidden="false" customHeight="false" outlineLevel="0" collapsed="false">
      <c r="A1792" s="76" t="n">
        <v>1754</v>
      </c>
      <c r="B1792" s="20" t="s">
        <v>1838</v>
      </c>
      <c r="C1792" s="20" t="s">
        <v>508</v>
      </c>
      <c r="D1792" s="20" t="s">
        <v>619</v>
      </c>
      <c r="E1792" s="20" t="s">
        <v>156</v>
      </c>
      <c r="F1792" s="76" t="s">
        <v>995</v>
      </c>
      <c r="G1792" s="20" t="s">
        <v>1925</v>
      </c>
      <c r="H1792" s="55" t="n">
        <v>14</v>
      </c>
      <c r="I1792" s="76" t="s">
        <v>512</v>
      </c>
      <c r="J1792" s="76" t="s">
        <v>164</v>
      </c>
      <c r="K1792" s="82" t="n">
        <v>1</v>
      </c>
      <c r="L1792" s="55" t="n">
        <v>3</v>
      </c>
      <c r="M1792" s="73" t="n">
        <v>2.362</v>
      </c>
      <c r="N1792" s="74" t="n">
        <f aca="false">K1792*L1792*M1792</f>
        <v>7.086</v>
      </c>
      <c r="O1792" s="41" t="n">
        <f aca="false">IFERROR(INDEX(Исходные!$B$21:$B$33,MATCH(H1792,Исходные!$A$21:$A$33,0)),0)</f>
        <v>1.208</v>
      </c>
      <c r="P1792" s="83" t="n">
        <f aca="false">N1792*O1792</f>
        <v>8.559888</v>
      </c>
      <c r="Q1792" s="20" t="s">
        <v>1569</v>
      </c>
      <c r="R1792" s="84" t="s">
        <v>514</v>
      </c>
      <c r="S1792" s="20" t="s">
        <v>1926</v>
      </c>
      <c r="T1792" s="20" t="s">
        <v>12</v>
      </c>
      <c r="U1792" s="53" t="n">
        <v>0</v>
      </c>
      <c r="V1792" s="76" t="s">
        <v>156</v>
      </c>
      <c r="W1792" s="53" t="n">
        <v>5</v>
      </c>
    </row>
    <row r="1793" customFormat="false" ht="46.25" hidden="false" customHeight="false" outlineLevel="0" collapsed="false">
      <c r="A1793" s="76" t="n">
        <v>1755</v>
      </c>
      <c r="B1793" s="20" t="s">
        <v>1838</v>
      </c>
      <c r="C1793" s="20" t="s">
        <v>508</v>
      </c>
      <c r="D1793" s="20" t="s">
        <v>619</v>
      </c>
      <c r="E1793" s="20" t="s">
        <v>156</v>
      </c>
      <c r="F1793" s="76" t="s">
        <v>575</v>
      </c>
      <c r="G1793" s="20" t="s">
        <v>1903</v>
      </c>
      <c r="H1793" s="55" t="n">
        <v>22</v>
      </c>
      <c r="I1793" s="76" t="s">
        <v>512</v>
      </c>
      <c r="J1793" s="76" t="s">
        <v>164</v>
      </c>
      <c r="K1793" s="82" t="n">
        <v>1</v>
      </c>
      <c r="L1793" s="55" t="n">
        <v>3</v>
      </c>
      <c r="M1793" s="73" t="n">
        <v>2.75</v>
      </c>
      <c r="N1793" s="74" t="n">
        <f aca="false">K1793*L1793*M1793</f>
        <v>8.25</v>
      </c>
      <c r="O1793" s="41" t="n">
        <f aca="false">IFERROR(INDEX(Исходные!$B$21:$B$33,MATCH(H1793,Исходные!$A$21:$A$33,0)),0)</f>
        <v>2.984</v>
      </c>
      <c r="P1793" s="83" t="n">
        <f aca="false">N1793*O1793</f>
        <v>24.618</v>
      </c>
      <c r="Q1793" s="20" t="s">
        <v>1569</v>
      </c>
      <c r="R1793" s="84" t="s">
        <v>514</v>
      </c>
      <c r="S1793" s="20" t="s">
        <v>1877</v>
      </c>
      <c r="T1793" s="20" t="s">
        <v>12</v>
      </c>
      <c r="U1793" s="53" t="n">
        <v>0</v>
      </c>
      <c r="V1793" s="76" t="s">
        <v>156</v>
      </c>
      <c r="W1793" s="53" t="n">
        <v>5</v>
      </c>
    </row>
    <row r="1794" customFormat="false" ht="46.25" hidden="false" customHeight="false" outlineLevel="0" collapsed="false">
      <c r="A1794" s="76" t="n">
        <v>1756</v>
      </c>
      <c r="B1794" s="20" t="s">
        <v>1838</v>
      </c>
      <c r="C1794" s="20" t="s">
        <v>508</v>
      </c>
      <c r="D1794" s="20" t="s">
        <v>619</v>
      </c>
      <c r="E1794" s="20" t="s">
        <v>156</v>
      </c>
      <c r="F1794" s="76" t="s">
        <v>575</v>
      </c>
      <c r="G1794" s="20" t="s">
        <v>1904</v>
      </c>
      <c r="H1794" s="55" t="n">
        <v>22</v>
      </c>
      <c r="I1794" s="76" t="s">
        <v>512</v>
      </c>
      <c r="J1794" s="76" t="s">
        <v>164</v>
      </c>
      <c r="K1794" s="82" t="n">
        <v>1</v>
      </c>
      <c r="L1794" s="55" t="n">
        <v>3</v>
      </c>
      <c r="M1794" s="73" t="n">
        <v>2.25</v>
      </c>
      <c r="N1794" s="74" t="n">
        <f aca="false">K1794*L1794*M1794</f>
        <v>6.75</v>
      </c>
      <c r="O1794" s="41" t="n">
        <f aca="false">IFERROR(INDEX(Исходные!$B$21:$B$33,MATCH(H1794,Исходные!$A$21:$A$33,0)),0)</f>
        <v>2.984</v>
      </c>
      <c r="P1794" s="83" t="n">
        <f aca="false">N1794*O1794</f>
        <v>20.142</v>
      </c>
      <c r="Q1794" s="20" t="s">
        <v>1569</v>
      </c>
      <c r="R1794" s="84" t="s">
        <v>514</v>
      </c>
      <c r="S1794" s="20" t="s">
        <v>1879</v>
      </c>
      <c r="T1794" s="20" t="s">
        <v>12</v>
      </c>
      <c r="U1794" s="53" t="n">
        <v>0</v>
      </c>
      <c r="V1794" s="76" t="s">
        <v>156</v>
      </c>
      <c r="W1794" s="53" t="n">
        <v>5</v>
      </c>
    </row>
    <row r="1795" customFormat="false" ht="35.05" hidden="false" customHeight="false" outlineLevel="0" collapsed="false">
      <c r="A1795" s="76" t="n">
        <v>1757</v>
      </c>
      <c r="B1795" s="20" t="s">
        <v>1838</v>
      </c>
      <c r="C1795" s="20" t="s">
        <v>508</v>
      </c>
      <c r="D1795" s="20" t="s">
        <v>619</v>
      </c>
      <c r="E1795" s="20" t="s">
        <v>156</v>
      </c>
      <c r="F1795" s="76" t="s">
        <v>532</v>
      </c>
      <c r="G1795" s="20" t="s">
        <v>624</v>
      </c>
      <c r="H1795" s="55" t="n">
        <v>10</v>
      </c>
      <c r="I1795" s="76" t="s">
        <v>512</v>
      </c>
      <c r="J1795" s="76" t="n">
        <v>200</v>
      </c>
      <c r="K1795" s="82" t="n">
        <v>1</v>
      </c>
      <c r="L1795" s="55" t="n">
        <v>32</v>
      </c>
      <c r="M1795" s="73" t="n">
        <v>1.25</v>
      </c>
      <c r="N1795" s="74" t="n">
        <f aca="false">K1795*L1795*M1795</f>
        <v>40</v>
      </c>
      <c r="O1795" s="41" t="n">
        <f aca="false">IFERROR(INDEX(Исходные!$B$21:$B$33,MATCH(H1795,Исходные!$A$21:$A$33,0)),0)</f>
        <v>0.617</v>
      </c>
      <c r="P1795" s="83" t="n">
        <f aca="false">N1795*O1795</f>
        <v>24.68</v>
      </c>
      <c r="Q1795" s="20" t="s">
        <v>1927</v>
      </c>
      <c r="R1795" s="85" t="s">
        <v>535</v>
      </c>
      <c r="S1795" s="20" t="s">
        <v>1868</v>
      </c>
      <c r="T1795" s="20" t="s">
        <v>12</v>
      </c>
      <c r="U1795" s="53" t="n">
        <v>1</v>
      </c>
      <c r="V1795" s="76" t="s">
        <v>156</v>
      </c>
      <c r="W1795" s="53" t="n">
        <v>5</v>
      </c>
    </row>
    <row r="1796" customFormat="false" ht="35.05" hidden="false" customHeight="false" outlineLevel="0" collapsed="false">
      <c r="A1796" s="76" t="n">
        <v>1758</v>
      </c>
      <c r="B1796" s="20" t="s">
        <v>1838</v>
      </c>
      <c r="C1796" s="20" t="s">
        <v>508</v>
      </c>
      <c r="D1796" s="20" t="s">
        <v>619</v>
      </c>
      <c r="E1796" s="20" t="s">
        <v>156</v>
      </c>
      <c r="F1796" s="76" t="s">
        <v>532</v>
      </c>
      <c r="G1796" s="20" t="s">
        <v>627</v>
      </c>
      <c r="H1796" s="55" t="n">
        <v>10</v>
      </c>
      <c r="I1796" s="76" t="s">
        <v>512</v>
      </c>
      <c r="J1796" s="76" t="n">
        <v>200</v>
      </c>
      <c r="K1796" s="82" t="n">
        <v>1</v>
      </c>
      <c r="L1796" s="55" t="n">
        <v>32</v>
      </c>
      <c r="M1796" s="73" t="n">
        <v>1.45</v>
      </c>
      <c r="N1796" s="74" t="n">
        <f aca="false">K1796*L1796*M1796</f>
        <v>46.4</v>
      </c>
      <c r="O1796" s="41" t="n">
        <f aca="false">IFERROR(INDEX(Исходные!$B$21:$B$33,MATCH(H1796,Исходные!$A$21:$A$33,0)),0)</f>
        <v>0.617</v>
      </c>
      <c r="P1796" s="83" t="n">
        <f aca="false">N1796*O1796</f>
        <v>28.6288</v>
      </c>
      <c r="Q1796" s="20" t="s">
        <v>1927</v>
      </c>
      <c r="R1796" s="85" t="s">
        <v>535</v>
      </c>
      <c r="S1796" s="20" t="s">
        <v>1868</v>
      </c>
      <c r="T1796" s="20" t="s">
        <v>12</v>
      </c>
      <c r="U1796" s="53" t="n">
        <v>1</v>
      </c>
      <c r="V1796" s="76" t="s">
        <v>156</v>
      </c>
      <c r="W1796" s="53" t="n">
        <v>5</v>
      </c>
    </row>
    <row r="1797" customFormat="false" ht="35.05" hidden="false" customHeight="false" outlineLevel="0" collapsed="false">
      <c r="A1797" s="76" t="n">
        <v>1759</v>
      </c>
      <c r="B1797" s="20" t="s">
        <v>1838</v>
      </c>
      <c r="C1797" s="20" t="s">
        <v>508</v>
      </c>
      <c r="D1797" s="20" t="s">
        <v>619</v>
      </c>
      <c r="E1797" s="20" t="s">
        <v>156</v>
      </c>
      <c r="F1797" s="76" t="s">
        <v>539</v>
      </c>
      <c r="G1797" s="20" t="s">
        <v>1928</v>
      </c>
      <c r="H1797" s="55" t="n">
        <v>10</v>
      </c>
      <c r="I1797" s="76" t="s">
        <v>512</v>
      </c>
      <c r="J1797" s="76" t="n">
        <v>200</v>
      </c>
      <c r="K1797" s="82" t="n">
        <v>1</v>
      </c>
      <c r="L1797" s="55" t="n">
        <v>6</v>
      </c>
      <c r="M1797" s="73" t="n">
        <v>1.25</v>
      </c>
      <c r="N1797" s="74" t="n">
        <f aca="false">K1797*L1797*M1797</f>
        <v>7.5</v>
      </c>
      <c r="O1797" s="41" t="n">
        <f aca="false">IFERROR(INDEX(Исходные!$B$21:$B$33,MATCH(H1797,Исходные!$A$21:$A$33,0)),0)</f>
        <v>0.617</v>
      </c>
      <c r="P1797" s="83" t="n">
        <f aca="false">N1797*O1797</f>
        <v>4.6275</v>
      </c>
      <c r="Q1797" s="20" t="s">
        <v>1259</v>
      </c>
      <c r="R1797" s="84" t="s">
        <v>514</v>
      </c>
      <c r="S1797" s="20"/>
      <c r="T1797" s="20" t="s">
        <v>12</v>
      </c>
      <c r="U1797" s="53" t="n">
        <v>0</v>
      </c>
      <c r="V1797" s="76" t="s">
        <v>156</v>
      </c>
      <c r="W1797" s="53" t="n">
        <v>5</v>
      </c>
    </row>
    <row r="1798" customFormat="false" ht="35.05" hidden="false" customHeight="false" outlineLevel="0" collapsed="false">
      <c r="A1798" s="76" t="n">
        <v>1760</v>
      </c>
      <c r="B1798" s="20" t="s">
        <v>1838</v>
      </c>
      <c r="C1798" s="20" t="s">
        <v>508</v>
      </c>
      <c r="D1798" s="20" t="s">
        <v>619</v>
      </c>
      <c r="E1798" s="20" t="s">
        <v>156</v>
      </c>
      <c r="F1798" s="76" t="s">
        <v>539</v>
      </c>
      <c r="G1798" s="20" t="s">
        <v>1929</v>
      </c>
      <c r="H1798" s="55" t="n">
        <v>18</v>
      </c>
      <c r="I1798" s="76" t="s">
        <v>512</v>
      </c>
      <c r="J1798" s="76" t="n">
        <v>200</v>
      </c>
      <c r="K1798" s="82" t="n">
        <v>1</v>
      </c>
      <c r="L1798" s="55" t="n">
        <v>6</v>
      </c>
      <c r="M1798" s="73" t="n">
        <v>1.45</v>
      </c>
      <c r="N1798" s="74" t="n">
        <f aca="false">K1798*L1798*M1798</f>
        <v>8.7</v>
      </c>
      <c r="O1798" s="41" t="n">
        <f aca="false">IFERROR(INDEX(Исходные!$B$21:$B$33,MATCH(H1798,Исходные!$A$21:$A$33,0)),0)</f>
        <v>1.998</v>
      </c>
      <c r="P1798" s="83" t="n">
        <f aca="false">N1798*O1798</f>
        <v>17.3826</v>
      </c>
      <c r="Q1798" s="20" t="s">
        <v>1259</v>
      </c>
      <c r="R1798" s="84" t="s">
        <v>514</v>
      </c>
      <c r="S1798" s="20"/>
      <c r="T1798" s="20" t="s">
        <v>12</v>
      </c>
      <c r="U1798" s="53" t="n">
        <v>0</v>
      </c>
      <c r="V1798" s="76" t="s">
        <v>156</v>
      </c>
      <c r="W1798" s="53" t="n">
        <v>5</v>
      </c>
    </row>
    <row r="1799" customFormat="false" ht="35.05" hidden="false" customHeight="false" outlineLevel="0" collapsed="false">
      <c r="A1799" s="76" t="n">
        <v>1761</v>
      </c>
      <c r="B1799" s="20" t="s">
        <v>1838</v>
      </c>
      <c r="C1799" s="20" t="s">
        <v>508</v>
      </c>
      <c r="D1799" s="20" t="s">
        <v>619</v>
      </c>
      <c r="E1799" s="20" t="s">
        <v>156</v>
      </c>
      <c r="F1799" s="76" t="s">
        <v>544</v>
      </c>
      <c r="G1799" s="20" t="s">
        <v>1217</v>
      </c>
      <c r="H1799" s="55" t="n">
        <v>10</v>
      </c>
      <c r="I1799" s="76" t="s">
        <v>546</v>
      </c>
      <c r="J1799" s="76" t="s">
        <v>547</v>
      </c>
      <c r="K1799" s="82" t="n">
        <v>1</v>
      </c>
      <c r="L1799" s="55" t="n">
        <v>32</v>
      </c>
      <c r="M1799" s="73" t="n">
        <v>1.33</v>
      </c>
      <c r="N1799" s="74" t="n">
        <f aca="false">K1799*L1799*M1799</f>
        <v>42.56</v>
      </c>
      <c r="O1799" s="41" t="n">
        <f aca="false">IFERROR(INDEX(Исходные!$B$21:$B$33,MATCH(H1799,Исходные!$A$21:$A$33,0)),0)</f>
        <v>0.617</v>
      </c>
      <c r="P1799" s="83" t="n">
        <f aca="false">N1799*O1799</f>
        <v>26.25952</v>
      </c>
      <c r="Q1799" s="20" t="s">
        <v>1218</v>
      </c>
      <c r="R1799" s="84" t="s">
        <v>514</v>
      </c>
      <c r="S1799" s="20"/>
      <c r="T1799" s="20" t="s">
        <v>12</v>
      </c>
      <c r="U1799" s="53" t="n">
        <v>0</v>
      </c>
      <c r="V1799" s="76" t="s">
        <v>156</v>
      </c>
      <c r="W1799" s="53" t="n">
        <v>5</v>
      </c>
    </row>
    <row r="1800" customFormat="false" ht="35.05" hidden="false" customHeight="false" outlineLevel="0" collapsed="false">
      <c r="A1800" s="76" t="n">
        <v>1762</v>
      </c>
      <c r="B1800" s="20" t="s">
        <v>1838</v>
      </c>
      <c r="C1800" s="20" t="s">
        <v>508</v>
      </c>
      <c r="D1800" s="20" t="s">
        <v>619</v>
      </c>
      <c r="E1800" s="20" t="s">
        <v>156</v>
      </c>
      <c r="F1800" s="76" t="s">
        <v>696</v>
      </c>
      <c r="G1800" s="20" t="s">
        <v>1219</v>
      </c>
      <c r="H1800" s="55" t="n">
        <v>8</v>
      </c>
      <c r="I1800" s="76" t="s">
        <v>546</v>
      </c>
      <c r="J1800" s="76" t="s">
        <v>547</v>
      </c>
      <c r="K1800" s="82" t="n">
        <v>1</v>
      </c>
      <c r="L1800" s="55" t="n">
        <v>16</v>
      </c>
      <c r="M1800" s="73" t="n">
        <v>1.56</v>
      </c>
      <c r="N1800" s="74" t="n">
        <f aca="false">K1800*L1800*M1800</f>
        <v>24.96</v>
      </c>
      <c r="O1800" s="41" t="n">
        <f aca="false">IFERROR(INDEX(Исходные!$B$21:$B$33,MATCH(H1800,Исходные!$A$21:$A$33,0)),0)</f>
        <v>0.395</v>
      </c>
      <c r="P1800" s="83" t="n">
        <f aca="false">N1800*O1800</f>
        <v>9.8592</v>
      </c>
      <c r="Q1800" s="20" t="s">
        <v>1220</v>
      </c>
      <c r="R1800" s="84" t="s">
        <v>514</v>
      </c>
      <c r="S1800" s="20"/>
      <c r="T1800" s="20" t="s">
        <v>12</v>
      </c>
      <c r="U1800" s="53" t="n">
        <v>0</v>
      </c>
      <c r="V1800" s="76" t="s">
        <v>156</v>
      </c>
      <c r="W1800" s="53" t="n">
        <v>5</v>
      </c>
    </row>
    <row r="1801" customFormat="false" ht="35.05" hidden="false" customHeight="false" outlineLevel="0" collapsed="false">
      <c r="A1801" s="76" t="n">
        <v>1763</v>
      </c>
      <c r="B1801" s="20" t="s">
        <v>1838</v>
      </c>
      <c r="C1801" s="20" t="s">
        <v>508</v>
      </c>
      <c r="D1801" s="20" t="s">
        <v>619</v>
      </c>
      <c r="E1801" s="20" t="s">
        <v>156</v>
      </c>
      <c r="F1801" s="76" t="s">
        <v>603</v>
      </c>
      <c r="G1801" s="20" t="s">
        <v>1195</v>
      </c>
      <c r="H1801" s="55" t="n">
        <v>8</v>
      </c>
      <c r="I1801" s="76" t="s">
        <v>546</v>
      </c>
      <c r="J1801" s="76" t="s">
        <v>547</v>
      </c>
      <c r="K1801" s="82" t="n">
        <v>1</v>
      </c>
      <c r="L1801" s="55" t="n">
        <v>16</v>
      </c>
      <c r="M1801" s="73" t="n">
        <v>1.76</v>
      </c>
      <c r="N1801" s="74" t="n">
        <f aca="false">K1801*L1801*M1801</f>
        <v>28.16</v>
      </c>
      <c r="O1801" s="41" t="n">
        <f aca="false">IFERROR(INDEX(Исходные!$B$21:$B$33,MATCH(H1801,Исходные!$A$21:$A$33,0)),0)</f>
        <v>0.395</v>
      </c>
      <c r="P1801" s="83" t="n">
        <f aca="false">N1801*O1801</f>
        <v>11.1232</v>
      </c>
      <c r="Q1801" s="20" t="s">
        <v>1221</v>
      </c>
      <c r="R1801" s="84" t="s">
        <v>514</v>
      </c>
      <c r="S1801" s="20"/>
      <c r="T1801" s="20" t="s">
        <v>12</v>
      </c>
      <c r="U1801" s="53" t="n">
        <v>0</v>
      </c>
      <c r="V1801" s="76" t="s">
        <v>156</v>
      </c>
      <c r="W1801" s="53" t="n">
        <v>5</v>
      </c>
    </row>
    <row r="1802" customFormat="false" ht="35.05" hidden="false" customHeight="false" outlineLevel="0" collapsed="false">
      <c r="A1802" s="76" t="n">
        <v>1764</v>
      </c>
      <c r="B1802" s="20" t="s">
        <v>1838</v>
      </c>
      <c r="C1802" s="20" t="s">
        <v>508</v>
      </c>
      <c r="D1802" s="20" t="s">
        <v>619</v>
      </c>
      <c r="E1802" s="20" t="s">
        <v>156</v>
      </c>
      <c r="F1802" s="76" t="s">
        <v>555</v>
      </c>
      <c r="G1802" s="20" t="s">
        <v>1197</v>
      </c>
      <c r="H1802" s="55" t="n">
        <v>8</v>
      </c>
      <c r="I1802" s="76" t="s">
        <v>546</v>
      </c>
      <c r="J1802" s="76" t="s">
        <v>547</v>
      </c>
      <c r="K1802" s="82" t="n">
        <v>1</v>
      </c>
      <c r="L1802" s="55" t="n">
        <v>28</v>
      </c>
      <c r="M1802" s="73" t="n">
        <v>2.44</v>
      </c>
      <c r="N1802" s="74" t="n">
        <f aca="false">K1802*L1802*M1802</f>
        <v>68.32</v>
      </c>
      <c r="O1802" s="41" t="n">
        <f aca="false">IFERROR(INDEX(Исходные!$B$21:$B$33,MATCH(H1802,Исходные!$A$21:$A$33,0)),0)</f>
        <v>0.395</v>
      </c>
      <c r="P1802" s="83" t="n">
        <f aca="false">N1802*O1802</f>
        <v>26.9864</v>
      </c>
      <c r="Q1802" s="20" t="s">
        <v>1198</v>
      </c>
      <c r="R1802" s="84" t="s">
        <v>514</v>
      </c>
      <c r="S1802" s="20"/>
      <c r="T1802" s="20" t="s">
        <v>12</v>
      </c>
      <c r="U1802" s="53" t="n">
        <v>0</v>
      </c>
      <c r="V1802" s="76" t="s">
        <v>156</v>
      </c>
      <c r="W1802" s="53" t="n">
        <v>5</v>
      </c>
    </row>
    <row r="1803" customFormat="false" ht="35.05" hidden="false" customHeight="false" outlineLevel="0" collapsed="false">
      <c r="A1803" s="76" t="n">
        <v>1765</v>
      </c>
      <c r="B1803" s="20" t="s">
        <v>1838</v>
      </c>
      <c r="C1803" s="20" t="s">
        <v>508</v>
      </c>
      <c r="D1803" s="20" t="s">
        <v>619</v>
      </c>
      <c r="E1803" s="20" t="s">
        <v>156</v>
      </c>
      <c r="F1803" s="76" t="s">
        <v>558</v>
      </c>
      <c r="G1803" s="20" t="s">
        <v>1199</v>
      </c>
      <c r="H1803" s="55" t="n">
        <v>8</v>
      </c>
      <c r="I1803" s="76" t="s">
        <v>546</v>
      </c>
      <c r="J1803" s="76" t="s">
        <v>547</v>
      </c>
      <c r="K1803" s="82" t="n">
        <v>1</v>
      </c>
      <c r="L1803" s="55" t="n">
        <v>32</v>
      </c>
      <c r="M1803" s="73" t="n">
        <v>1.96</v>
      </c>
      <c r="N1803" s="74" t="n">
        <f aca="false">K1803*L1803*M1803</f>
        <v>62.72</v>
      </c>
      <c r="O1803" s="41" t="n">
        <f aca="false">IFERROR(INDEX(Исходные!$B$21:$B$33,MATCH(H1803,Исходные!$A$21:$A$33,0)),0)</f>
        <v>0.395</v>
      </c>
      <c r="P1803" s="83" t="n">
        <f aca="false">N1803*O1803</f>
        <v>24.7744</v>
      </c>
      <c r="Q1803" s="20" t="s">
        <v>1222</v>
      </c>
      <c r="R1803" s="84" t="s">
        <v>514</v>
      </c>
      <c r="S1803" s="20"/>
      <c r="T1803" s="20" t="s">
        <v>12</v>
      </c>
      <c r="U1803" s="53" t="n">
        <v>0</v>
      </c>
      <c r="V1803" s="76" t="s">
        <v>156</v>
      </c>
      <c r="W1803" s="53" t="n">
        <v>5</v>
      </c>
    </row>
    <row r="1804" customFormat="false" ht="35.05" hidden="false" customHeight="false" outlineLevel="0" collapsed="false">
      <c r="A1804" s="76" t="n">
        <v>1766</v>
      </c>
      <c r="B1804" s="20" t="s">
        <v>1838</v>
      </c>
      <c r="C1804" s="20" t="s">
        <v>508</v>
      </c>
      <c r="D1804" s="20" t="s">
        <v>619</v>
      </c>
      <c r="E1804" s="20" t="s">
        <v>156</v>
      </c>
      <c r="F1804" s="76" t="s">
        <v>561</v>
      </c>
      <c r="G1804" s="20" t="s">
        <v>1263</v>
      </c>
      <c r="H1804" s="55" t="n">
        <v>8</v>
      </c>
      <c r="I1804" s="76" t="s">
        <v>546</v>
      </c>
      <c r="J1804" s="76" t="s">
        <v>547</v>
      </c>
      <c r="K1804" s="82" t="n">
        <v>1</v>
      </c>
      <c r="L1804" s="55" t="n">
        <v>48</v>
      </c>
      <c r="M1804" s="73" t="n">
        <v>0.53</v>
      </c>
      <c r="N1804" s="74" t="n">
        <f aca="false">K1804*L1804*M1804</f>
        <v>25.44</v>
      </c>
      <c r="O1804" s="41" t="n">
        <f aca="false">IFERROR(INDEX(Исходные!$B$21:$B$33,MATCH(H1804,Исходные!$A$21:$A$33,0)),0)</f>
        <v>0.395</v>
      </c>
      <c r="P1804" s="83" t="n">
        <f aca="false">N1804*O1804</f>
        <v>10.0488</v>
      </c>
      <c r="Q1804" s="20" t="s">
        <v>1224</v>
      </c>
      <c r="R1804" s="84" t="s">
        <v>514</v>
      </c>
      <c r="S1804" s="20"/>
      <c r="T1804" s="20" t="s">
        <v>12</v>
      </c>
      <c r="U1804" s="53" t="n">
        <v>0</v>
      </c>
      <c r="V1804" s="76" t="s">
        <v>156</v>
      </c>
      <c r="W1804" s="53" t="n">
        <v>5</v>
      </c>
    </row>
    <row r="1805" customFormat="false" ht="15" hidden="false" customHeight="true" outlineLevel="0" collapsed="false">
      <c r="A1805" s="81" t="s">
        <v>1930</v>
      </c>
      <c r="B1805" s="81"/>
      <c r="C1805" s="81"/>
      <c r="D1805" s="81"/>
      <c r="E1805" s="81"/>
      <c r="F1805" s="81"/>
      <c r="G1805" s="81"/>
      <c r="H1805" s="81"/>
      <c r="I1805" s="81"/>
      <c r="J1805" s="81"/>
      <c r="K1805" s="81"/>
      <c r="L1805" s="81"/>
      <c r="M1805" s="81"/>
      <c r="N1805" s="81"/>
      <c r="O1805" s="81"/>
      <c r="P1805" s="81"/>
      <c r="Q1805" s="81"/>
      <c r="R1805" s="81"/>
      <c r="S1805" s="81"/>
      <c r="T1805" s="81"/>
      <c r="U1805" s="81"/>
      <c r="V1805" s="81"/>
      <c r="W1805" s="81"/>
    </row>
    <row r="1806" customFormat="false" ht="46.25" hidden="false" customHeight="false" outlineLevel="0" collapsed="false">
      <c r="A1806" s="76" t="n">
        <v>1767</v>
      </c>
      <c r="B1806" s="20" t="s">
        <v>1838</v>
      </c>
      <c r="C1806" s="20" t="s">
        <v>633</v>
      </c>
      <c r="D1806" s="20" t="s">
        <v>1265</v>
      </c>
      <c r="E1806" s="20" t="s">
        <v>635</v>
      </c>
      <c r="F1806" s="76" t="s">
        <v>519</v>
      </c>
      <c r="G1806" s="20" t="s">
        <v>1931</v>
      </c>
      <c r="H1806" s="55" t="n">
        <v>28</v>
      </c>
      <c r="I1806" s="76" t="s">
        <v>512</v>
      </c>
      <c r="J1806" s="76" t="s">
        <v>164</v>
      </c>
      <c r="K1806" s="82" t="n">
        <v>1</v>
      </c>
      <c r="L1806" s="55" t="n">
        <v>2</v>
      </c>
      <c r="M1806" s="73" t="n">
        <v>2.75</v>
      </c>
      <c r="N1806" s="74" t="n">
        <f aca="false">K1806*L1806*M1806</f>
        <v>5.5</v>
      </c>
      <c r="O1806" s="41" t="n">
        <f aca="false">IFERROR(INDEX(Исходные!$B$21:$B$33,MATCH(H1806,Исходные!$A$21:$A$33,0)),0)</f>
        <v>4.834</v>
      </c>
      <c r="P1806" s="83" t="n">
        <f aca="false">N1806*O1806</f>
        <v>26.587</v>
      </c>
      <c r="Q1806" s="20" t="s">
        <v>1932</v>
      </c>
      <c r="R1806" s="84" t="s">
        <v>514</v>
      </c>
      <c r="S1806" s="20" t="s">
        <v>1933</v>
      </c>
      <c r="T1806" s="20" t="s">
        <v>12</v>
      </c>
      <c r="U1806" s="53" t="n">
        <v>0</v>
      </c>
      <c r="V1806" s="76" t="s">
        <v>635</v>
      </c>
      <c r="W1806" s="53" t="n">
        <v>5</v>
      </c>
    </row>
    <row r="1807" customFormat="false" ht="46.25" hidden="false" customHeight="false" outlineLevel="0" collapsed="false">
      <c r="A1807" s="76" t="n">
        <v>1768</v>
      </c>
      <c r="B1807" s="20" t="s">
        <v>1838</v>
      </c>
      <c r="C1807" s="20" t="s">
        <v>633</v>
      </c>
      <c r="D1807" s="20" t="s">
        <v>1265</v>
      </c>
      <c r="E1807" s="20" t="s">
        <v>635</v>
      </c>
      <c r="F1807" s="76" t="s">
        <v>519</v>
      </c>
      <c r="G1807" s="20" t="s">
        <v>1934</v>
      </c>
      <c r="H1807" s="55" t="n">
        <v>28</v>
      </c>
      <c r="I1807" s="76" t="s">
        <v>512</v>
      </c>
      <c r="J1807" s="76" t="s">
        <v>164</v>
      </c>
      <c r="K1807" s="82" t="n">
        <v>1</v>
      </c>
      <c r="L1807" s="55" t="n">
        <v>2</v>
      </c>
      <c r="M1807" s="73" t="n">
        <v>2.25</v>
      </c>
      <c r="N1807" s="74" t="n">
        <f aca="false">K1807*L1807*M1807</f>
        <v>4.5</v>
      </c>
      <c r="O1807" s="41" t="n">
        <f aca="false">IFERROR(INDEX(Исходные!$B$21:$B$33,MATCH(H1807,Исходные!$A$21:$A$33,0)),0)</f>
        <v>4.834</v>
      </c>
      <c r="P1807" s="83" t="n">
        <f aca="false">N1807*O1807</f>
        <v>21.753</v>
      </c>
      <c r="Q1807" s="20" t="s">
        <v>1932</v>
      </c>
      <c r="R1807" s="84" t="s">
        <v>514</v>
      </c>
      <c r="S1807" s="20" t="s">
        <v>1935</v>
      </c>
      <c r="T1807" s="20" t="s">
        <v>12</v>
      </c>
      <c r="U1807" s="53" t="n">
        <v>0</v>
      </c>
      <c r="V1807" s="76" t="s">
        <v>635</v>
      </c>
      <c r="W1807" s="53" t="n">
        <v>5</v>
      </c>
    </row>
    <row r="1808" customFormat="false" ht="46.25" hidden="false" customHeight="false" outlineLevel="0" collapsed="false">
      <c r="A1808" s="76" t="n">
        <v>1769</v>
      </c>
      <c r="B1808" s="20" t="s">
        <v>1838</v>
      </c>
      <c r="C1808" s="20" t="s">
        <v>633</v>
      </c>
      <c r="D1808" s="20" t="s">
        <v>1269</v>
      </c>
      <c r="E1808" s="20" t="s">
        <v>635</v>
      </c>
      <c r="F1808" s="76" t="s">
        <v>510</v>
      </c>
      <c r="G1808" s="20" t="s">
        <v>1936</v>
      </c>
      <c r="H1808" s="55" t="n">
        <v>32</v>
      </c>
      <c r="I1808" s="76" t="s">
        <v>512</v>
      </c>
      <c r="J1808" s="76" t="s">
        <v>164</v>
      </c>
      <c r="K1808" s="82" t="n">
        <v>2</v>
      </c>
      <c r="L1808" s="55" t="n">
        <v>2</v>
      </c>
      <c r="M1808" s="73" t="n">
        <v>2.75</v>
      </c>
      <c r="N1808" s="74" t="n">
        <f aca="false">K1808*L1808*M1808</f>
        <v>11</v>
      </c>
      <c r="O1808" s="41" t="n">
        <f aca="false">IFERROR(INDEX(Исходные!$B$21:$B$33,MATCH(H1808,Исходные!$A$21:$A$33,0)),0)</f>
        <v>6.313</v>
      </c>
      <c r="P1808" s="83" t="n">
        <f aca="false">N1808*O1808</f>
        <v>69.443</v>
      </c>
      <c r="Q1808" s="20" t="s">
        <v>1937</v>
      </c>
      <c r="R1808" s="84" t="s">
        <v>514</v>
      </c>
      <c r="S1808" s="20" t="s">
        <v>1933</v>
      </c>
      <c r="T1808" s="20" t="s">
        <v>12</v>
      </c>
      <c r="U1808" s="53" t="n">
        <v>0</v>
      </c>
      <c r="V1808" s="76" t="s">
        <v>635</v>
      </c>
      <c r="W1808" s="53" t="n">
        <v>5</v>
      </c>
    </row>
    <row r="1809" customFormat="false" ht="46.25" hidden="false" customHeight="false" outlineLevel="0" collapsed="false">
      <c r="A1809" s="76" t="n">
        <v>1770</v>
      </c>
      <c r="B1809" s="20" t="s">
        <v>1838</v>
      </c>
      <c r="C1809" s="20" t="s">
        <v>633</v>
      </c>
      <c r="D1809" s="20" t="s">
        <v>1269</v>
      </c>
      <c r="E1809" s="20" t="s">
        <v>635</v>
      </c>
      <c r="F1809" s="76" t="s">
        <v>510</v>
      </c>
      <c r="G1809" s="20" t="s">
        <v>1938</v>
      </c>
      <c r="H1809" s="55" t="n">
        <v>32</v>
      </c>
      <c r="I1809" s="76" t="s">
        <v>512</v>
      </c>
      <c r="J1809" s="76" t="s">
        <v>164</v>
      </c>
      <c r="K1809" s="82" t="n">
        <v>2</v>
      </c>
      <c r="L1809" s="55" t="n">
        <v>2</v>
      </c>
      <c r="M1809" s="73" t="n">
        <v>2.25</v>
      </c>
      <c r="N1809" s="74" t="n">
        <f aca="false">K1809*L1809*M1809</f>
        <v>9</v>
      </c>
      <c r="O1809" s="41" t="n">
        <f aca="false">IFERROR(INDEX(Исходные!$B$21:$B$33,MATCH(H1809,Исходные!$A$21:$A$33,0)),0)</f>
        <v>6.313</v>
      </c>
      <c r="P1809" s="83" t="n">
        <f aca="false">N1809*O1809</f>
        <v>56.817</v>
      </c>
      <c r="Q1809" s="20" t="s">
        <v>1937</v>
      </c>
      <c r="R1809" s="84" t="s">
        <v>514</v>
      </c>
      <c r="S1809" s="20" t="s">
        <v>1935</v>
      </c>
      <c r="T1809" s="20" t="s">
        <v>12</v>
      </c>
      <c r="U1809" s="53" t="n">
        <v>0</v>
      </c>
      <c r="V1809" s="76" t="s">
        <v>635</v>
      </c>
      <c r="W1809" s="53" t="n">
        <v>5</v>
      </c>
    </row>
    <row r="1810" customFormat="false" ht="46.25" hidden="false" customHeight="false" outlineLevel="0" collapsed="false">
      <c r="A1810" s="76" t="n">
        <v>1771</v>
      </c>
      <c r="B1810" s="20" t="s">
        <v>1838</v>
      </c>
      <c r="C1810" s="20" t="s">
        <v>633</v>
      </c>
      <c r="D1810" s="20" t="s">
        <v>634</v>
      </c>
      <c r="E1810" s="20" t="s">
        <v>635</v>
      </c>
      <c r="F1810" s="76" t="s">
        <v>516</v>
      </c>
      <c r="G1810" s="20" t="s">
        <v>1939</v>
      </c>
      <c r="H1810" s="55" t="n">
        <v>20</v>
      </c>
      <c r="I1810" s="76" t="s">
        <v>512</v>
      </c>
      <c r="J1810" s="76" t="s">
        <v>164</v>
      </c>
      <c r="K1810" s="82" t="n">
        <v>3</v>
      </c>
      <c r="L1810" s="55" t="n">
        <v>4</v>
      </c>
      <c r="M1810" s="73" t="n">
        <v>2.75</v>
      </c>
      <c r="N1810" s="74" t="n">
        <f aca="false">K1810*L1810*M1810</f>
        <v>33</v>
      </c>
      <c r="O1810" s="41" t="n">
        <f aca="false">IFERROR(INDEX(Исходные!$B$21:$B$33,MATCH(H1810,Исходные!$A$21:$A$33,0)),0)</f>
        <v>2.466</v>
      </c>
      <c r="P1810" s="83" t="n">
        <f aca="false">N1810*O1810</f>
        <v>81.378</v>
      </c>
      <c r="Q1810" s="20" t="s">
        <v>1275</v>
      </c>
      <c r="R1810" s="84" t="s">
        <v>514</v>
      </c>
      <c r="S1810" s="20" t="s">
        <v>1933</v>
      </c>
      <c r="T1810" s="20" t="s">
        <v>12</v>
      </c>
      <c r="U1810" s="53" t="n">
        <v>0</v>
      </c>
      <c r="V1810" s="76" t="s">
        <v>635</v>
      </c>
      <c r="W1810" s="53" t="n">
        <v>5</v>
      </c>
    </row>
    <row r="1811" customFormat="false" ht="46.25" hidden="false" customHeight="false" outlineLevel="0" collapsed="false">
      <c r="A1811" s="76" t="n">
        <v>1772</v>
      </c>
      <c r="B1811" s="20" t="s">
        <v>1838</v>
      </c>
      <c r="C1811" s="20" t="s">
        <v>633</v>
      </c>
      <c r="D1811" s="20" t="s">
        <v>634</v>
      </c>
      <c r="E1811" s="20" t="s">
        <v>635</v>
      </c>
      <c r="F1811" s="76" t="s">
        <v>516</v>
      </c>
      <c r="G1811" s="20" t="s">
        <v>1940</v>
      </c>
      <c r="H1811" s="55" t="n">
        <v>20</v>
      </c>
      <c r="I1811" s="76" t="s">
        <v>512</v>
      </c>
      <c r="J1811" s="76" t="s">
        <v>164</v>
      </c>
      <c r="K1811" s="82" t="n">
        <v>3</v>
      </c>
      <c r="L1811" s="55" t="n">
        <v>4</v>
      </c>
      <c r="M1811" s="73" t="n">
        <v>2.25</v>
      </c>
      <c r="N1811" s="74" t="n">
        <f aca="false">K1811*L1811*M1811</f>
        <v>27</v>
      </c>
      <c r="O1811" s="41" t="n">
        <f aca="false">IFERROR(INDEX(Исходные!$B$21:$B$33,MATCH(H1811,Исходные!$A$21:$A$33,0)),0)</f>
        <v>2.466</v>
      </c>
      <c r="P1811" s="83" t="n">
        <f aca="false">N1811*O1811</f>
        <v>66.582</v>
      </c>
      <c r="Q1811" s="20" t="s">
        <v>1275</v>
      </c>
      <c r="R1811" s="84" t="s">
        <v>514</v>
      </c>
      <c r="S1811" s="20" t="s">
        <v>1935</v>
      </c>
      <c r="T1811" s="20" t="s">
        <v>12</v>
      </c>
      <c r="U1811" s="53" t="n">
        <v>0</v>
      </c>
      <c r="V1811" s="76" t="s">
        <v>635</v>
      </c>
      <c r="W1811" s="53" t="n">
        <v>5</v>
      </c>
    </row>
    <row r="1812" customFormat="false" ht="35.05" hidden="false" customHeight="false" outlineLevel="0" collapsed="false">
      <c r="A1812" s="76" t="n">
        <v>1773</v>
      </c>
      <c r="B1812" s="20" t="s">
        <v>1838</v>
      </c>
      <c r="C1812" s="20" t="s">
        <v>633</v>
      </c>
      <c r="D1812" s="20" t="s">
        <v>634</v>
      </c>
      <c r="E1812" s="20" t="s">
        <v>635</v>
      </c>
      <c r="F1812" s="76" t="s">
        <v>555</v>
      </c>
      <c r="G1812" s="20" t="s">
        <v>1277</v>
      </c>
      <c r="H1812" s="55" t="n">
        <v>8</v>
      </c>
      <c r="I1812" s="76" t="s">
        <v>546</v>
      </c>
      <c r="J1812" s="76" t="s">
        <v>644</v>
      </c>
      <c r="K1812" s="82" t="n">
        <v>3</v>
      </c>
      <c r="L1812" s="55" t="n">
        <v>28</v>
      </c>
      <c r="M1812" s="73" t="n">
        <v>2.44</v>
      </c>
      <c r="N1812" s="74" t="n">
        <f aca="false">K1812*L1812*M1812</f>
        <v>204.96</v>
      </c>
      <c r="O1812" s="41" t="n">
        <f aca="false">IFERROR(INDEX(Исходные!$B$21:$B$33,MATCH(H1812,Исходные!$A$21:$A$33,0)),0)</f>
        <v>0.395</v>
      </c>
      <c r="P1812" s="83" t="n">
        <f aca="false">N1812*O1812</f>
        <v>80.9592</v>
      </c>
      <c r="Q1812" s="20" t="s">
        <v>1941</v>
      </c>
      <c r="R1812" s="84" t="s">
        <v>514</v>
      </c>
      <c r="S1812" s="20"/>
      <c r="T1812" s="20" t="s">
        <v>12</v>
      </c>
      <c r="U1812" s="53" t="n">
        <v>0</v>
      </c>
      <c r="V1812" s="76" t="s">
        <v>635</v>
      </c>
      <c r="W1812" s="53" t="n">
        <v>5</v>
      </c>
    </row>
    <row r="1813" customFormat="false" ht="35.05" hidden="false" customHeight="false" outlineLevel="0" collapsed="false">
      <c r="A1813" s="76" t="n">
        <v>1774</v>
      </c>
      <c r="B1813" s="20" t="s">
        <v>1838</v>
      </c>
      <c r="C1813" s="20" t="s">
        <v>633</v>
      </c>
      <c r="D1813" s="20" t="s">
        <v>634</v>
      </c>
      <c r="E1813" s="20" t="s">
        <v>635</v>
      </c>
      <c r="F1813" s="76" t="s">
        <v>558</v>
      </c>
      <c r="G1813" s="20" t="s">
        <v>1279</v>
      </c>
      <c r="H1813" s="55" t="n">
        <v>8</v>
      </c>
      <c r="I1813" s="76" t="s">
        <v>546</v>
      </c>
      <c r="J1813" s="76" t="n">
        <v>200</v>
      </c>
      <c r="K1813" s="82" t="n">
        <v>3</v>
      </c>
      <c r="L1813" s="55" t="n">
        <v>32</v>
      </c>
      <c r="M1813" s="73" t="n">
        <v>1.96</v>
      </c>
      <c r="N1813" s="74" t="n">
        <f aca="false">K1813*L1813*M1813</f>
        <v>188.16</v>
      </c>
      <c r="O1813" s="41" t="n">
        <f aca="false">IFERROR(INDEX(Исходные!$B$21:$B$33,MATCH(H1813,Исходные!$A$21:$A$33,0)),0)</f>
        <v>0.395</v>
      </c>
      <c r="P1813" s="83" t="n">
        <f aca="false">N1813*O1813</f>
        <v>74.3232</v>
      </c>
      <c r="Q1813" s="20" t="s">
        <v>1280</v>
      </c>
      <c r="R1813" s="84" t="s">
        <v>514</v>
      </c>
      <c r="S1813" s="20"/>
      <c r="T1813" s="20" t="s">
        <v>12</v>
      </c>
      <c r="U1813" s="53" t="n">
        <v>0</v>
      </c>
      <c r="V1813" s="76" t="s">
        <v>635</v>
      </c>
      <c r="W1813" s="53" t="n">
        <v>5</v>
      </c>
    </row>
    <row r="1814" customFormat="false" ht="46.25" hidden="false" customHeight="false" outlineLevel="0" collapsed="false">
      <c r="A1814" s="76" t="n">
        <v>1775</v>
      </c>
      <c r="B1814" s="20" t="s">
        <v>1838</v>
      </c>
      <c r="C1814" s="20" t="s">
        <v>633</v>
      </c>
      <c r="D1814" s="20" t="s">
        <v>1942</v>
      </c>
      <c r="E1814" s="20" t="s">
        <v>649</v>
      </c>
      <c r="F1814" s="76" t="s">
        <v>510</v>
      </c>
      <c r="G1814" s="20" t="s">
        <v>1943</v>
      </c>
      <c r="H1814" s="55" t="n">
        <v>32</v>
      </c>
      <c r="I1814" s="76" t="s">
        <v>512</v>
      </c>
      <c r="J1814" s="76" t="s">
        <v>164</v>
      </c>
      <c r="K1814" s="82" t="n">
        <v>4</v>
      </c>
      <c r="L1814" s="55" t="n">
        <v>2</v>
      </c>
      <c r="M1814" s="73" t="n">
        <v>2.75</v>
      </c>
      <c r="N1814" s="74" t="n">
        <f aca="false">K1814*L1814*M1814</f>
        <v>22</v>
      </c>
      <c r="O1814" s="41" t="n">
        <f aca="false">IFERROR(INDEX(Исходные!$B$21:$B$33,MATCH(H1814,Исходные!$A$21:$A$33,0)),0)</f>
        <v>6.313</v>
      </c>
      <c r="P1814" s="83" t="n">
        <f aca="false">N1814*O1814</f>
        <v>138.886</v>
      </c>
      <c r="Q1814" s="20" t="s">
        <v>1937</v>
      </c>
      <c r="R1814" s="84" t="s">
        <v>514</v>
      </c>
      <c r="S1814" s="20" t="s">
        <v>1933</v>
      </c>
      <c r="T1814" s="20" t="s">
        <v>12</v>
      </c>
      <c r="U1814" s="53" t="n">
        <v>0</v>
      </c>
      <c r="V1814" s="76" t="s">
        <v>649</v>
      </c>
      <c r="W1814" s="53" t="n">
        <v>5</v>
      </c>
    </row>
    <row r="1815" customFormat="false" ht="46.25" hidden="false" customHeight="false" outlineLevel="0" collapsed="false">
      <c r="A1815" s="76" t="n">
        <v>1776</v>
      </c>
      <c r="B1815" s="20" t="s">
        <v>1838</v>
      </c>
      <c r="C1815" s="20" t="s">
        <v>633</v>
      </c>
      <c r="D1815" s="20" t="s">
        <v>1942</v>
      </c>
      <c r="E1815" s="20" t="s">
        <v>649</v>
      </c>
      <c r="F1815" s="76" t="s">
        <v>510</v>
      </c>
      <c r="G1815" s="20" t="s">
        <v>1944</v>
      </c>
      <c r="H1815" s="55" t="n">
        <v>32</v>
      </c>
      <c r="I1815" s="76" t="s">
        <v>512</v>
      </c>
      <c r="J1815" s="76" t="s">
        <v>164</v>
      </c>
      <c r="K1815" s="82" t="n">
        <v>4</v>
      </c>
      <c r="L1815" s="55" t="n">
        <v>2</v>
      </c>
      <c r="M1815" s="73" t="n">
        <v>2.25</v>
      </c>
      <c r="N1815" s="74" t="n">
        <f aca="false">K1815*L1815*M1815</f>
        <v>18</v>
      </c>
      <c r="O1815" s="41" t="n">
        <f aca="false">IFERROR(INDEX(Исходные!$B$21:$B$33,MATCH(H1815,Исходные!$A$21:$A$33,0)),0)</f>
        <v>6.313</v>
      </c>
      <c r="P1815" s="83" t="n">
        <f aca="false">N1815*O1815</f>
        <v>113.634</v>
      </c>
      <c r="Q1815" s="20" t="s">
        <v>1937</v>
      </c>
      <c r="R1815" s="84" t="s">
        <v>514</v>
      </c>
      <c r="S1815" s="20" t="s">
        <v>1935</v>
      </c>
      <c r="T1815" s="20" t="s">
        <v>12</v>
      </c>
      <c r="U1815" s="53" t="n">
        <v>0</v>
      </c>
      <c r="V1815" s="76" t="s">
        <v>649</v>
      </c>
      <c r="W1815" s="53" t="n">
        <v>5</v>
      </c>
    </row>
    <row r="1816" customFormat="false" ht="46.25" hidden="false" customHeight="false" outlineLevel="0" collapsed="false">
      <c r="A1816" s="76" t="n">
        <v>1777</v>
      </c>
      <c r="B1816" s="20" t="s">
        <v>1838</v>
      </c>
      <c r="C1816" s="20" t="s">
        <v>633</v>
      </c>
      <c r="D1816" s="20" t="s">
        <v>1945</v>
      </c>
      <c r="E1816" s="20" t="s">
        <v>649</v>
      </c>
      <c r="F1816" s="76" t="s">
        <v>510</v>
      </c>
      <c r="G1816" s="20" t="s">
        <v>1946</v>
      </c>
      <c r="H1816" s="55" t="n">
        <v>32</v>
      </c>
      <c r="I1816" s="76" t="s">
        <v>512</v>
      </c>
      <c r="J1816" s="76" t="s">
        <v>164</v>
      </c>
      <c r="K1816" s="82" t="n">
        <v>1</v>
      </c>
      <c r="L1816" s="55" t="n">
        <v>2</v>
      </c>
      <c r="M1816" s="73" t="n">
        <v>2.75</v>
      </c>
      <c r="N1816" s="74" t="n">
        <f aca="false">K1816*L1816*M1816</f>
        <v>5.5</v>
      </c>
      <c r="O1816" s="41" t="n">
        <f aca="false">IFERROR(INDEX(Исходные!$B$21:$B$33,MATCH(H1816,Исходные!$A$21:$A$33,0)),0)</f>
        <v>6.313</v>
      </c>
      <c r="P1816" s="83" t="n">
        <f aca="false">N1816*O1816</f>
        <v>34.7215</v>
      </c>
      <c r="Q1816" s="20" t="s">
        <v>1947</v>
      </c>
      <c r="R1816" s="84" t="s">
        <v>514</v>
      </c>
      <c r="S1816" s="20" t="s">
        <v>1933</v>
      </c>
      <c r="T1816" s="20" t="s">
        <v>12</v>
      </c>
      <c r="U1816" s="53" t="n">
        <v>0</v>
      </c>
      <c r="V1816" s="76" t="s">
        <v>649</v>
      </c>
      <c r="W1816" s="53" t="n">
        <v>5</v>
      </c>
    </row>
    <row r="1817" customFormat="false" ht="46.25" hidden="false" customHeight="false" outlineLevel="0" collapsed="false">
      <c r="A1817" s="76" t="n">
        <v>1778</v>
      </c>
      <c r="B1817" s="20" t="s">
        <v>1838</v>
      </c>
      <c r="C1817" s="20" t="s">
        <v>633</v>
      </c>
      <c r="D1817" s="20" t="s">
        <v>1945</v>
      </c>
      <c r="E1817" s="20" t="s">
        <v>649</v>
      </c>
      <c r="F1817" s="76" t="s">
        <v>510</v>
      </c>
      <c r="G1817" s="20" t="s">
        <v>1948</v>
      </c>
      <c r="H1817" s="55" t="n">
        <v>32</v>
      </c>
      <c r="I1817" s="76" t="s">
        <v>512</v>
      </c>
      <c r="J1817" s="76" t="s">
        <v>164</v>
      </c>
      <c r="K1817" s="82" t="n">
        <v>1</v>
      </c>
      <c r="L1817" s="55" t="n">
        <v>2</v>
      </c>
      <c r="M1817" s="73" t="n">
        <v>2.25</v>
      </c>
      <c r="N1817" s="74" t="n">
        <f aca="false">K1817*L1817*M1817</f>
        <v>4.5</v>
      </c>
      <c r="O1817" s="41" t="n">
        <f aca="false">IFERROR(INDEX(Исходные!$B$21:$B$33,MATCH(H1817,Исходные!$A$21:$A$33,0)),0)</f>
        <v>6.313</v>
      </c>
      <c r="P1817" s="83" t="n">
        <f aca="false">N1817*O1817</f>
        <v>28.4085</v>
      </c>
      <c r="Q1817" s="20" t="s">
        <v>1947</v>
      </c>
      <c r="R1817" s="84" t="s">
        <v>514</v>
      </c>
      <c r="S1817" s="20" t="s">
        <v>1935</v>
      </c>
      <c r="T1817" s="20" t="s">
        <v>12</v>
      </c>
      <c r="U1817" s="53" t="n">
        <v>0</v>
      </c>
      <c r="V1817" s="76" t="s">
        <v>649</v>
      </c>
      <c r="W1817" s="53" t="n">
        <v>5</v>
      </c>
    </row>
    <row r="1818" customFormat="false" ht="46.25" hidden="false" customHeight="false" outlineLevel="0" collapsed="false">
      <c r="A1818" s="76" t="n">
        <v>1779</v>
      </c>
      <c r="B1818" s="20" t="s">
        <v>1838</v>
      </c>
      <c r="C1818" s="20" t="s">
        <v>633</v>
      </c>
      <c r="D1818" s="20" t="s">
        <v>1942</v>
      </c>
      <c r="E1818" s="20" t="s">
        <v>649</v>
      </c>
      <c r="F1818" s="76" t="s">
        <v>516</v>
      </c>
      <c r="G1818" s="20" t="s">
        <v>1939</v>
      </c>
      <c r="H1818" s="55" t="n">
        <v>20</v>
      </c>
      <c r="I1818" s="76" t="s">
        <v>512</v>
      </c>
      <c r="J1818" s="76" t="s">
        <v>164</v>
      </c>
      <c r="K1818" s="82" t="n">
        <v>4</v>
      </c>
      <c r="L1818" s="55" t="n">
        <v>4</v>
      </c>
      <c r="M1818" s="73" t="n">
        <v>2.75</v>
      </c>
      <c r="N1818" s="74" t="n">
        <f aca="false">K1818*L1818*M1818</f>
        <v>44</v>
      </c>
      <c r="O1818" s="41" t="n">
        <f aca="false">IFERROR(INDEX(Исходные!$B$21:$B$33,MATCH(H1818,Исходные!$A$21:$A$33,0)),0)</f>
        <v>2.466</v>
      </c>
      <c r="P1818" s="83" t="n">
        <f aca="false">N1818*O1818</f>
        <v>108.504</v>
      </c>
      <c r="Q1818" s="20" t="s">
        <v>1275</v>
      </c>
      <c r="R1818" s="84" t="s">
        <v>514</v>
      </c>
      <c r="S1818" s="20" t="s">
        <v>1933</v>
      </c>
      <c r="T1818" s="20" t="s">
        <v>12</v>
      </c>
      <c r="U1818" s="53" t="n">
        <v>0</v>
      </c>
      <c r="V1818" s="76" t="s">
        <v>649</v>
      </c>
      <c r="W1818" s="53" t="n">
        <v>5</v>
      </c>
    </row>
    <row r="1819" customFormat="false" ht="46.25" hidden="false" customHeight="false" outlineLevel="0" collapsed="false">
      <c r="A1819" s="76" t="n">
        <v>1780</v>
      </c>
      <c r="B1819" s="20" t="s">
        <v>1838</v>
      </c>
      <c r="C1819" s="20" t="s">
        <v>633</v>
      </c>
      <c r="D1819" s="20" t="s">
        <v>1942</v>
      </c>
      <c r="E1819" s="20" t="s">
        <v>649</v>
      </c>
      <c r="F1819" s="76" t="s">
        <v>516</v>
      </c>
      <c r="G1819" s="20" t="s">
        <v>1940</v>
      </c>
      <c r="H1819" s="55" t="n">
        <v>20</v>
      </c>
      <c r="I1819" s="76" t="s">
        <v>512</v>
      </c>
      <c r="J1819" s="76" t="s">
        <v>164</v>
      </c>
      <c r="K1819" s="82" t="n">
        <v>4</v>
      </c>
      <c r="L1819" s="55" t="n">
        <v>4</v>
      </c>
      <c r="M1819" s="73" t="n">
        <v>2.25</v>
      </c>
      <c r="N1819" s="74" t="n">
        <f aca="false">K1819*L1819*M1819</f>
        <v>36</v>
      </c>
      <c r="O1819" s="41" t="n">
        <f aca="false">IFERROR(INDEX(Исходные!$B$21:$B$33,MATCH(H1819,Исходные!$A$21:$A$33,0)),0)</f>
        <v>2.466</v>
      </c>
      <c r="P1819" s="83" t="n">
        <f aca="false">N1819*O1819</f>
        <v>88.776</v>
      </c>
      <c r="Q1819" s="20" t="s">
        <v>1275</v>
      </c>
      <c r="R1819" s="84" t="s">
        <v>514</v>
      </c>
      <c r="S1819" s="20" t="s">
        <v>1935</v>
      </c>
      <c r="T1819" s="20" t="s">
        <v>12</v>
      </c>
      <c r="U1819" s="53" t="n">
        <v>0</v>
      </c>
      <c r="V1819" s="76" t="s">
        <v>649</v>
      </c>
      <c r="W1819" s="53" t="n">
        <v>5</v>
      </c>
    </row>
    <row r="1820" customFormat="false" ht="46.25" hidden="false" customHeight="false" outlineLevel="0" collapsed="false">
      <c r="A1820" s="76" t="n">
        <v>1781</v>
      </c>
      <c r="B1820" s="20" t="s">
        <v>1838</v>
      </c>
      <c r="C1820" s="20" t="s">
        <v>633</v>
      </c>
      <c r="D1820" s="20" t="s">
        <v>1945</v>
      </c>
      <c r="E1820" s="20" t="s">
        <v>649</v>
      </c>
      <c r="F1820" s="76" t="s">
        <v>516</v>
      </c>
      <c r="G1820" s="20" t="s">
        <v>1949</v>
      </c>
      <c r="H1820" s="55" t="n">
        <v>20</v>
      </c>
      <c r="I1820" s="76" t="s">
        <v>512</v>
      </c>
      <c r="J1820" s="76" t="s">
        <v>164</v>
      </c>
      <c r="K1820" s="82" t="n">
        <v>1</v>
      </c>
      <c r="L1820" s="55" t="n">
        <v>5</v>
      </c>
      <c r="M1820" s="73" t="n">
        <v>2.75</v>
      </c>
      <c r="N1820" s="74" t="n">
        <f aca="false">K1820*L1820*M1820</f>
        <v>13.75</v>
      </c>
      <c r="O1820" s="41" t="n">
        <f aca="false">IFERROR(INDEX(Исходные!$B$21:$B$33,MATCH(H1820,Исходные!$A$21:$A$33,0)),0)</f>
        <v>2.466</v>
      </c>
      <c r="P1820" s="83" t="n">
        <f aca="false">N1820*O1820</f>
        <v>33.9075</v>
      </c>
      <c r="Q1820" s="20" t="s">
        <v>1950</v>
      </c>
      <c r="R1820" s="84" t="s">
        <v>514</v>
      </c>
      <c r="S1820" s="20" t="s">
        <v>1933</v>
      </c>
      <c r="T1820" s="20" t="s">
        <v>12</v>
      </c>
      <c r="U1820" s="53" t="n">
        <v>0</v>
      </c>
      <c r="V1820" s="76" t="s">
        <v>649</v>
      </c>
      <c r="W1820" s="53" t="n">
        <v>5</v>
      </c>
    </row>
    <row r="1821" customFormat="false" ht="46.25" hidden="false" customHeight="false" outlineLevel="0" collapsed="false">
      <c r="A1821" s="76" t="n">
        <v>1782</v>
      </c>
      <c r="B1821" s="20" t="s">
        <v>1838</v>
      </c>
      <c r="C1821" s="20" t="s">
        <v>633</v>
      </c>
      <c r="D1821" s="20" t="s">
        <v>1945</v>
      </c>
      <c r="E1821" s="20" t="s">
        <v>649</v>
      </c>
      <c r="F1821" s="76" t="s">
        <v>516</v>
      </c>
      <c r="G1821" s="20" t="s">
        <v>1951</v>
      </c>
      <c r="H1821" s="55" t="n">
        <v>20</v>
      </c>
      <c r="I1821" s="76" t="s">
        <v>512</v>
      </c>
      <c r="J1821" s="76" t="s">
        <v>164</v>
      </c>
      <c r="K1821" s="82" t="n">
        <v>1</v>
      </c>
      <c r="L1821" s="55" t="n">
        <v>5</v>
      </c>
      <c r="M1821" s="73" t="n">
        <v>2.25</v>
      </c>
      <c r="N1821" s="74" t="n">
        <f aca="false">K1821*L1821*M1821</f>
        <v>11.25</v>
      </c>
      <c r="O1821" s="41" t="n">
        <f aca="false">IFERROR(INDEX(Исходные!$B$21:$B$33,MATCH(H1821,Исходные!$A$21:$A$33,0)),0)</f>
        <v>2.466</v>
      </c>
      <c r="P1821" s="83" t="n">
        <f aca="false">N1821*O1821</f>
        <v>27.7425</v>
      </c>
      <c r="Q1821" s="20" t="s">
        <v>1950</v>
      </c>
      <c r="R1821" s="84" t="s">
        <v>514</v>
      </c>
      <c r="S1821" s="20" t="s">
        <v>1935</v>
      </c>
      <c r="T1821" s="20" t="s">
        <v>12</v>
      </c>
      <c r="U1821" s="53" t="n">
        <v>0</v>
      </c>
      <c r="V1821" s="76" t="s">
        <v>649</v>
      </c>
      <c r="W1821" s="53" t="n">
        <v>5</v>
      </c>
    </row>
    <row r="1822" customFormat="false" ht="35.05" hidden="false" customHeight="false" outlineLevel="0" collapsed="false">
      <c r="A1822" s="76" t="n">
        <v>1783</v>
      </c>
      <c r="B1822" s="20" t="s">
        <v>1838</v>
      </c>
      <c r="C1822" s="20" t="s">
        <v>633</v>
      </c>
      <c r="D1822" s="20" t="s">
        <v>648</v>
      </c>
      <c r="E1822" s="20" t="s">
        <v>649</v>
      </c>
      <c r="F1822" s="76" t="s">
        <v>555</v>
      </c>
      <c r="G1822" s="20" t="s">
        <v>1277</v>
      </c>
      <c r="H1822" s="55" t="n">
        <v>8</v>
      </c>
      <c r="I1822" s="76" t="s">
        <v>546</v>
      </c>
      <c r="J1822" s="76" t="s">
        <v>644</v>
      </c>
      <c r="K1822" s="82" t="n">
        <v>5</v>
      </c>
      <c r="L1822" s="55" t="n">
        <v>28</v>
      </c>
      <c r="M1822" s="73" t="n">
        <v>2.44</v>
      </c>
      <c r="N1822" s="74" t="n">
        <f aca="false">K1822*L1822*M1822</f>
        <v>341.6</v>
      </c>
      <c r="O1822" s="41" t="n">
        <f aca="false">IFERROR(INDEX(Исходные!$B$21:$B$33,MATCH(H1822,Исходные!$A$21:$A$33,0)),0)</f>
        <v>0.395</v>
      </c>
      <c r="P1822" s="83" t="n">
        <f aca="false">N1822*O1822</f>
        <v>134.932</v>
      </c>
      <c r="Q1822" s="20" t="s">
        <v>1941</v>
      </c>
      <c r="R1822" s="84" t="s">
        <v>514</v>
      </c>
      <c r="S1822" s="20"/>
      <c r="T1822" s="20" t="s">
        <v>12</v>
      </c>
      <c r="U1822" s="53" t="n">
        <v>0</v>
      </c>
      <c r="V1822" s="76" t="s">
        <v>649</v>
      </c>
      <c r="W1822" s="53" t="n">
        <v>5</v>
      </c>
    </row>
    <row r="1823" customFormat="false" ht="35.05" hidden="false" customHeight="false" outlineLevel="0" collapsed="false">
      <c r="A1823" s="76" t="n">
        <v>1784</v>
      </c>
      <c r="B1823" s="20" t="s">
        <v>1838</v>
      </c>
      <c r="C1823" s="20" t="s">
        <v>633</v>
      </c>
      <c r="D1823" s="20" t="s">
        <v>648</v>
      </c>
      <c r="E1823" s="20" t="s">
        <v>649</v>
      </c>
      <c r="F1823" s="76" t="s">
        <v>558</v>
      </c>
      <c r="G1823" s="20" t="s">
        <v>1279</v>
      </c>
      <c r="H1823" s="55" t="n">
        <v>8</v>
      </c>
      <c r="I1823" s="76" t="s">
        <v>546</v>
      </c>
      <c r="J1823" s="76" t="n">
        <v>200</v>
      </c>
      <c r="K1823" s="82" t="n">
        <v>5</v>
      </c>
      <c r="L1823" s="55" t="n">
        <v>32</v>
      </c>
      <c r="M1823" s="73" t="n">
        <v>1.96</v>
      </c>
      <c r="N1823" s="74" t="n">
        <f aca="false">K1823*L1823*M1823</f>
        <v>313.6</v>
      </c>
      <c r="O1823" s="41" t="n">
        <f aca="false">IFERROR(INDEX(Исходные!$B$21:$B$33,MATCH(H1823,Исходные!$A$21:$A$33,0)),0)</f>
        <v>0.395</v>
      </c>
      <c r="P1823" s="83" t="n">
        <f aca="false">N1823*O1823</f>
        <v>123.872</v>
      </c>
      <c r="Q1823" s="20" t="s">
        <v>1280</v>
      </c>
      <c r="R1823" s="84" t="s">
        <v>514</v>
      </c>
      <c r="S1823" s="20"/>
      <c r="T1823" s="20" t="s">
        <v>12</v>
      </c>
      <c r="U1823" s="53" t="n">
        <v>0</v>
      </c>
      <c r="V1823" s="76" t="s">
        <v>649</v>
      </c>
      <c r="W1823" s="53" t="n">
        <v>5</v>
      </c>
    </row>
    <row r="1824" customFormat="false" ht="46.25" hidden="false" customHeight="false" outlineLevel="0" collapsed="false">
      <c r="A1824" s="76" t="n">
        <v>1785</v>
      </c>
      <c r="B1824" s="20" t="s">
        <v>1838</v>
      </c>
      <c r="C1824" s="20" t="s">
        <v>633</v>
      </c>
      <c r="D1824" s="20" t="s">
        <v>1283</v>
      </c>
      <c r="E1824" s="20" t="s">
        <v>651</v>
      </c>
      <c r="F1824" s="76" t="s">
        <v>519</v>
      </c>
      <c r="G1824" s="20" t="s">
        <v>1952</v>
      </c>
      <c r="H1824" s="55" t="n">
        <v>28</v>
      </c>
      <c r="I1824" s="76" t="s">
        <v>512</v>
      </c>
      <c r="J1824" s="76" t="s">
        <v>164</v>
      </c>
      <c r="K1824" s="82" t="n">
        <v>1</v>
      </c>
      <c r="L1824" s="55" t="n">
        <v>2</v>
      </c>
      <c r="M1824" s="73" t="n">
        <v>2.75</v>
      </c>
      <c r="N1824" s="74" t="n">
        <f aca="false">K1824*L1824*M1824</f>
        <v>5.5</v>
      </c>
      <c r="O1824" s="41" t="n">
        <f aca="false">IFERROR(INDEX(Исходные!$B$21:$B$33,MATCH(H1824,Исходные!$A$21:$A$33,0)),0)</f>
        <v>4.834</v>
      </c>
      <c r="P1824" s="83" t="n">
        <f aca="false">N1824*O1824</f>
        <v>26.587</v>
      </c>
      <c r="Q1824" s="20" t="s">
        <v>1953</v>
      </c>
      <c r="R1824" s="84" t="s">
        <v>514</v>
      </c>
      <c r="S1824" s="20" t="s">
        <v>1933</v>
      </c>
      <c r="T1824" s="20" t="s">
        <v>12</v>
      </c>
      <c r="U1824" s="53" t="n">
        <v>0</v>
      </c>
      <c r="V1824" s="76" t="s">
        <v>651</v>
      </c>
      <c r="W1824" s="53" t="n">
        <v>5</v>
      </c>
    </row>
    <row r="1825" customFormat="false" ht="46.25" hidden="false" customHeight="false" outlineLevel="0" collapsed="false">
      <c r="A1825" s="76" t="n">
        <v>1786</v>
      </c>
      <c r="B1825" s="20" t="s">
        <v>1838</v>
      </c>
      <c r="C1825" s="20" t="s">
        <v>633</v>
      </c>
      <c r="D1825" s="20" t="s">
        <v>1283</v>
      </c>
      <c r="E1825" s="20" t="s">
        <v>651</v>
      </c>
      <c r="F1825" s="76" t="s">
        <v>519</v>
      </c>
      <c r="G1825" s="20" t="s">
        <v>1954</v>
      </c>
      <c r="H1825" s="55" t="n">
        <v>28</v>
      </c>
      <c r="I1825" s="76" t="s">
        <v>512</v>
      </c>
      <c r="J1825" s="76" t="s">
        <v>164</v>
      </c>
      <c r="K1825" s="82" t="n">
        <v>1</v>
      </c>
      <c r="L1825" s="55" t="n">
        <v>2</v>
      </c>
      <c r="M1825" s="73" t="n">
        <v>2.25</v>
      </c>
      <c r="N1825" s="74" t="n">
        <f aca="false">K1825*L1825*M1825</f>
        <v>4.5</v>
      </c>
      <c r="O1825" s="41" t="n">
        <f aca="false">IFERROR(INDEX(Исходные!$B$21:$B$33,MATCH(H1825,Исходные!$A$21:$A$33,0)),0)</f>
        <v>4.834</v>
      </c>
      <c r="P1825" s="83" t="n">
        <f aca="false">N1825*O1825</f>
        <v>21.753</v>
      </c>
      <c r="Q1825" s="20" t="s">
        <v>1953</v>
      </c>
      <c r="R1825" s="84" t="s">
        <v>514</v>
      </c>
      <c r="S1825" s="20" t="s">
        <v>1935</v>
      </c>
      <c r="T1825" s="20" t="s">
        <v>12</v>
      </c>
      <c r="U1825" s="53" t="n">
        <v>0</v>
      </c>
      <c r="V1825" s="76" t="s">
        <v>651</v>
      </c>
      <c r="W1825" s="53" t="n">
        <v>5</v>
      </c>
    </row>
    <row r="1826" customFormat="false" ht="46.25" hidden="false" customHeight="false" outlineLevel="0" collapsed="false">
      <c r="A1826" s="76" t="n">
        <v>1787</v>
      </c>
      <c r="B1826" s="20" t="s">
        <v>1838</v>
      </c>
      <c r="C1826" s="20" t="s">
        <v>633</v>
      </c>
      <c r="D1826" s="20" t="s">
        <v>1955</v>
      </c>
      <c r="E1826" s="20" t="s">
        <v>651</v>
      </c>
      <c r="F1826" s="76" t="s">
        <v>510</v>
      </c>
      <c r="G1826" s="20" t="s">
        <v>1956</v>
      </c>
      <c r="H1826" s="55" t="n">
        <v>32</v>
      </c>
      <c r="I1826" s="76" t="s">
        <v>512</v>
      </c>
      <c r="J1826" s="76" t="s">
        <v>164</v>
      </c>
      <c r="K1826" s="82" t="n">
        <v>2</v>
      </c>
      <c r="L1826" s="55" t="n">
        <v>2</v>
      </c>
      <c r="M1826" s="73" t="n">
        <v>2.75</v>
      </c>
      <c r="N1826" s="74" t="n">
        <f aca="false">K1826*L1826*M1826</f>
        <v>11</v>
      </c>
      <c r="O1826" s="41" t="n">
        <f aca="false">IFERROR(INDEX(Исходные!$B$21:$B$33,MATCH(H1826,Исходные!$A$21:$A$33,0)),0)</f>
        <v>6.313</v>
      </c>
      <c r="P1826" s="83" t="n">
        <f aca="false">N1826*O1826</f>
        <v>69.443</v>
      </c>
      <c r="Q1826" s="20" t="s">
        <v>1937</v>
      </c>
      <c r="R1826" s="84" t="s">
        <v>514</v>
      </c>
      <c r="S1826" s="20" t="s">
        <v>1933</v>
      </c>
      <c r="T1826" s="20" t="s">
        <v>12</v>
      </c>
      <c r="U1826" s="53" t="n">
        <v>0</v>
      </c>
      <c r="V1826" s="76" t="s">
        <v>651</v>
      </c>
      <c r="W1826" s="53" t="n">
        <v>5</v>
      </c>
    </row>
    <row r="1827" customFormat="false" ht="46.25" hidden="false" customHeight="false" outlineLevel="0" collapsed="false">
      <c r="A1827" s="76" t="n">
        <v>1788</v>
      </c>
      <c r="B1827" s="20" t="s">
        <v>1838</v>
      </c>
      <c r="C1827" s="20" t="s">
        <v>633</v>
      </c>
      <c r="D1827" s="20" t="s">
        <v>1955</v>
      </c>
      <c r="E1827" s="20" t="s">
        <v>651</v>
      </c>
      <c r="F1827" s="76" t="s">
        <v>510</v>
      </c>
      <c r="G1827" s="20" t="s">
        <v>1957</v>
      </c>
      <c r="H1827" s="55" t="n">
        <v>32</v>
      </c>
      <c r="I1827" s="76" t="s">
        <v>512</v>
      </c>
      <c r="J1827" s="76" t="s">
        <v>164</v>
      </c>
      <c r="K1827" s="82" t="n">
        <v>2</v>
      </c>
      <c r="L1827" s="55" t="n">
        <v>2</v>
      </c>
      <c r="M1827" s="73" t="n">
        <v>2.25</v>
      </c>
      <c r="N1827" s="74" t="n">
        <f aca="false">K1827*L1827*M1827</f>
        <v>9</v>
      </c>
      <c r="O1827" s="41" t="n">
        <f aca="false">IFERROR(INDEX(Исходные!$B$21:$B$33,MATCH(H1827,Исходные!$A$21:$A$33,0)),0)</f>
        <v>6.313</v>
      </c>
      <c r="P1827" s="83" t="n">
        <f aca="false">N1827*O1827</f>
        <v>56.817</v>
      </c>
      <c r="Q1827" s="20" t="s">
        <v>1937</v>
      </c>
      <c r="R1827" s="84" t="s">
        <v>514</v>
      </c>
      <c r="S1827" s="20" t="s">
        <v>1935</v>
      </c>
      <c r="T1827" s="20" t="s">
        <v>12</v>
      </c>
      <c r="U1827" s="53" t="n">
        <v>0</v>
      </c>
      <c r="V1827" s="76" t="s">
        <v>651</v>
      </c>
      <c r="W1827" s="53" t="n">
        <v>5</v>
      </c>
    </row>
    <row r="1828" customFormat="false" ht="46.25" hidden="false" customHeight="false" outlineLevel="0" collapsed="false">
      <c r="A1828" s="76" t="n">
        <v>1789</v>
      </c>
      <c r="B1828" s="20" t="s">
        <v>1838</v>
      </c>
      <c r="C1828" s="20" t="s">
        <v>633</v>
      </c>
      <c r="D1828" s="20" t="s">
        <v>1958</v>
      </c>
      <c r="E1828" s="20" t="s">
        <v>651</v>
      </c>
      <c r="F1828" s="76" t="s">
        <v>516</v>
      </c>
      <c r="G1828" s="20" t="s">
        <v>1939</v>
      </c>
      <c r="H1828" s="55" t="n">
        <v>20</v>
      </c>
      <c r="I1828" s="76" t="s">
        <v>512</v>
      </c>
      <c r="J1828" s="76" t="s">
        <v>164</v>
      </c>
      <c r="K1828" s="82" t="n">
        <v>3</v>
      </c>
      <c r="L1828" s="55" t="n">
        <v>4</v>
      </c>
      <c r="M1828" s="73" t="n">
        <v>2.75</v>
      </c>
      <c r="N1828" s="74" t="n">
        <f aca="false">K1828*L1828*M1828</f>
        <v>33</v>
      </c>
      <c r="O1828" s="41" t="n">
        <f aca="false">IFERROR(INDEX(Исходные!$B$21:$B$33,MATCH(H1828,Исходные!$A$21:$A$33,0)),0)</f>
        <v>2.466</v>
      </c>
      <c r="P1828" s="83" t="n">
        <f aca="false">N1828*O1828</f>
        <v>81.378</v>
      </c>
      <c r="Q1828" s="20" t="s">
        <v>1275</v>
      </c>
      <c r="R1828" s="84" t="s">
        <v>514</v>
      </c>
      <c r="S1828" s="20" t="s">
        <v>1933</v>
      </c>
      <c r="T1828" s="20" t="s">
        <v>12</v>
      </c>
      <c r="U1828" s="53" t="n">
        <v>0</v>
      </c>
      <c r="V1828" s="76" t="s">
        <v>651</v>
      </c>
      <c r="W1828" s="53" t="n">
        <v>5</v>
      </c>
    </row>
    <row r="1829" customFormat="false" ht="46.25" hidden="false" customHeight="false" outlineLevel="0" collapsed="false">
      <c r="A1829" s="76" t="n">
        <v>1790</v>
      </c>
      <c r="B1829" s="20" t="s">
        <v>1838</v>
      </c>
      <c r="C1829" s="20" t="s">
        <v>633</v>
      </c>
      <c r="D1829" s="20" t="s">
        <v>1958</v>
      </c>
      <c r="E1829" s="20" t="s">
        <v>651</v>
      </c>
      <c r="F1829" s="76" t="s">
        <v>516</v>
      </c>
      <c r="G1829" s="20" t="s">
        <v>1940</v>
      </c>
      <c r="H1829" s="55" t="n">
        <v>20</v>
      </c>
      <c r="I1829" s="76" t="s">
        <v>512</v>
      </c>
      <c r="J1829" s="76" t="s">
        <v>164</v>
      </c>
      <c r="K1829" s="82" t="n">
        <v>3</v>
      </c>
      <c r="L1829" s="55" t="n">
        <v>4</v>
      </c>
      <c r="M1829" s="73" t="n">
        <v>2.25</v>
      </c>
      <c r="N1829" s="74" t="n">
        <f aca="false">K1829*L1829*M1829</f>
        <v>27</v>
      </c>
      <c r="O1829" s="41" t="n">
        <f aca="false">IFERROR(INDEX(Исходные!$B$21:$B$33,MATCH(H1829,Исходные!$A$21:$A$33,0)),0)</f>
        <v>2.466</v>
      </c>
      <c r="P1829" s="83" t="n">
        <f aca="false">N1829*O1829</f>
        <v>66.582</v>
      </c>
      <c r="Q1829" s="20" t="s">
        <v>1275</v>
      </c>
      <c r="R1829" s="84" t="s">
        <v>514</v>
      </c>
      <c r="S1829" s="20" t="s">
        <v>1935</v>
      </c>
      <c r="T1829" s="20" t="s">
        <v>12</v>
      </c>
      <c r="U1829" s="53" t="n">
        <v>0</v>
      </c>
      <c r="V1829" s="76" t="s">
        <v>651</v>
      </c>
      <c r="W1829" s="53" t="n">
        <v>5</v>
      </c>
    </row>
    <row r="1830" customFormat="false" ht="46.25" hidden="false" customHeight="false" outlineLevel="0" collapsed="false">
      <c r="A1830" s="76" t="n">
        <v>1791</v>
      </c>
      <c r="B1830" s="20" t="s">
        <v>1838</v>
      </c>
      <c r="C1830" s="20" t="s">
        <v>633</v>
      </c>
      <c r="D1830" s="20" t="s">
        <v>1959</v>
      </c>
      <c r="E1830" s="20" t="s">
        <v>651</v>
      </c>
      <c r="F1830" s="76" t="s">
        <v>510</v>
      </c>
      <c r="G1830" s="20" t="s">
        <v>1960</v>
      </c>
      <c r="H1830" s="55" t="n">
        <v>32</v>
      </c>
      <c r="I1830" s="76" t="s">
        <v>512</v>
      </c>
      <c r="J1830" s="76" t="s">
        <v>164</v>
      </c>
      <c r="K1830" s="82" t="n">
        <v>2</v>
      </c>
      <c r="L1830" s="55" t="n">
        <v>4</v>
      </c>
      <c r="M1830" s="73" t="n">
        <v>3.6</v>
      </c>
      <c r="N1830" s="74" t="n">
        <f aca="false">K1830*L1830*M1830</f>
        <v>28.8</v>
      </c>
      <c r="O1830" s="41" t="n">
        <f aca="false">IFERROR(INDEX(Исходные!$B$21:$B$33,MATCH(H1830,Исходные!$A$21:$A$33,0)),0)</f>
        <v>6.313</v>
      </c>
      <c r="P1830" s="83" t="n">
        <f aca="false">N1830*O1830</f>
        <v>181.8144</v>
      </c>
      <c r="Q1830" s="20" t="s">
        <v>1961</v>
      </c>
      <c r="R1830" s="84" t="s">
        <v>1272</v>
      </c>
      <c r="S1830" s="20" t="s">
        <v>1962</v>
      </c>
      <c r="T1830" s="20" t="s">
        <v>12</v>
      </c>
      <c r="U1830" s="53" t="n">
        <v>1</v>
      </c>
      <c r="V1830" s="76" t="s">
        <v>651</v>
      </c>
      <c r="W1830" s="53" t="n">
        <v>5</v>
      </c>
    </row>
    <row r="1831" customFormat="false" ht="46.25" hidden="false" customHeight="false" outlineLevel="0" collapsed="false">
      <c r="A1831" s="76" t="n">
        <v>1792</v>
      </c>
      <c r="B1831" s="20" t="s">
        <v>1838</v>
      </c>
      <c r="C1831" s="20" t="s">
        <v>633</v>
      </c>
      <c r="D1831" s="20" t="s">
        <v>1959</v>
      </c>
      <c r="E1831" s="20" t="s">
        <v>651</v>
      </c>
      <c r="F1831" s="76" t="s">
        <v>516</v>
      </c>
      <c r="G1831" s="20" t="s">
        <v>1963</v>
      </c>
      <c r="H1831" s="55" t="n">
        <v>20</v>
      </c>
      <c r="I1831" s="76" t="s">
        <v>512</v>
      </c>
      <c r="J1831" s="76" t="s">
        <v>164</v>
      </c>
      <c r="K1831" s="82" t="n">
        <v>2</v>
      </c>
      <c r="L1831" s="55" t="n">
        <v>8</v>
      </c>
      <c r="M1831" s="73" t="n">
        <v>3.6</v>
      </c>
      <c r="N1831" s="74" t="n">
        <f aca="false">K1831*L1831*M1831</f>
        <v>57.6</v>
      </c>
      <c r="O1831" s="41" t="n">
        <f aca="false">IFERROR(INDEX(Исходные!$B$21:$B$33,MATCH(H1831,Исходные!$A$21:$A$33,0)),0)</f>
        <v>2.466</v>
      </c>
      <c r="P1831" s="83" t="n">
        <f aca="false">N1831*O1831</f>
        <v>142.0416</v>
      </c>
      <c r="Q1831" s="20" t="s">
        <v>1964</v>
      </c>
      <c r="R1831" s="84" t="s">
        <v>514</v>
      </c>
      <c r="S1831" s="20" t="s">
        <v>1962</v>
      </c>
      <c r="T1831" s="20" t="s">
        <v>12</v>
      </c>
      <c r="U1831" s="53" t="n">
        <v>0</v>
      </c>
      <c r="V1831" s="76" t="s">
        <v>651</v>
      </c>
      <c r="W1831" s="53" t="n">
        <v>5</v>
      </c>
    </row>
    <row r="1832" customFormat="false" ht="35.05" hidden="false" customHeight="false" outlineLevel="0" collapsed="false">
      <c r="A1832" s="76" t="n">
        <v>1793</v>
      </c>
      <c r="B1832" s="20" t="s">
        <v>1838</v>
      </c>
      <c r="C1832" s="20" t="s">
        <v>633</v>
      </c>
      <c r="D1832" s="20" t="s">
        <v>650</v>
      </c>
      <c r="E1832" s="20" t="s">
        <v>651</v>
      </c>
      <c r="F1832" s="76" t="s">
        <v>555</v>
      </c>
      <c r="G1832" s="20" t="s">
        <v>1277</v>
      </c>
      <c r="H1832" s="55" t="n">
        <v>8</v>
      </c>
      <c r="I1832" s="76" t="s">
        <v>546</v>
      </c>
      <c r="J1832" s="76" t="s">
        <v>644</v>
      </c>
      <c r="K1832" s="82" t="n">
        <v>5</v>
      </c>
      <c r="L1832" s="55" t="n">
        <v>28</v>
      </c>
      <c r="M1832" s="73" t="n">
        <v>2.44</v>
      </c>
      <c r="N1832" s="74" t="n">
        <f aca="false">K1832*L1832*M1832</f>
        <v>341.6</v>
      </c>
      <c r="O1832" s="41" t="n">
        <f aca="false">IFERROR(INDEX(Исходные!$B$21:$B$33,MATCH(H1832,Исходные!$A$21:$A$33,0)),0)</f>
        <v>0.395</v>
      </c>
      <c r="P1832" s="83" t="n">
        <f aca="false">N1832*O1832</f>
        <v>134.932</v>
      </c>
      <c r="Q1832" s="20" t="s">
        <v>1941</v>
      </c>
      <c r="R1832" s="84" t="s">
        <v>514</v>
      </c>
      <c r="S1832" s="20"/>
      <c r="T1832" s="20" t="s">
        <v>12</v>
      </c>
      <c r="U1832" s="53" t="n">
        <v>0</v>
      </c>
      <c r="V1832" s="76" t="s">
        <v>651</v>
      </c>
      <c r="W1832" s="53" t="n">
        <v>5</v>
      </c>
    </row>
    <row r="1833" customFormat="false" ht="35.05" hidden="false" customHeight="false" outlineLevel="0" collapsed="false">
      <c r="A1833" s="76" t="n">
        <v>1794</v>
      </c>
      <c r="B1833" s="20" t="s">
        <v>1838</v>
      </c>
      <c r="C1833" s="20" t="s">
        <v>633</v>
      </c>
      <c r="D1833" s="20" t="s">
        <v>650</v>
      </c>
      <c r="E1833" s="20" t="s">
        <v>651</v>
      </c>
      <c r="F1833" s="76" t="s">
        <v>558</v>
      </c>
      <c r="G1833" s="20" t="s">
        <v>1279</v>
      </c>
      <c r="H1833" s="55" t="n">
        <v>8</v>
      </c>
      <c r="I1833" s="76" t="s">
        <v>546</v>
      </c>
      <c r="J1833" s="76" t="n">
        <v>200</v>
      </c>
      <c r="K1833" s="82" t="n">
        <v>5</v>
      </c>
      <c r="L1833" s="55" t="n">
        <v>32</v>
      </c>
      <c r="M1833" s="73" t="n">
        <v>1.96</v>
      </c>
      <c r="N1833" s="74" t="n">
        <f aca="false">K1833*L1833*M1833</f>
        <v>313.6</v>
      </c>
      <c r="O1833" s="41" t="n">
        <f aca="false">IFERROR(INDEX(Исходные!$B$21:$B$33,MATCH(H1833,Исходные!$A$21:$A$33,0)),0)</f>
        <v>0.395</v>
      </c>
      <c r="P1833" s="83" t="n">
        <f aca="false">N1833*O1833</f>
        <v>123.872</v>
      </c>
      <c r="Q1833" s="20" t="s">
        <v>1280</v>
      </c>
      <c r="R1833" s="84" t="s">
        <v>514</v>
      </c>
      <c r="S1833" s="20"/>
      <c r="T1833" s="20" t="s">
        <v>12</v>
      </c>
      <c r="U1833" s="53" t="n">
        <v>0</v>
      </c>
      <c r="V1833" s="76" t="s">
        <v>651</v>
      </c>
      <c r="W1833" s="53" t="n">
        <v>5</v>
      </c>
    </row>
    <row r="1834" customFormat="false" ht="46.25" hidden="false" customHeight="false" outlineLevel="0" collapsed="false">
      <c r="A1834" s="76" t="n">
        <v>1795</v>
      </c>
      <c r="B1834" s="20" t="s">
        <v>1838</v>
      </c>
      <c r="C1834" s="20" t="s">
        <v>633</v>
      </c>
      <c r="D1834" s="20" t="s">
        <v>652</v>
      </c>
      <c r="E1834" s="20" t="s">
        <v>653</v>
      </c>
      <c r="F1834" s="76" t="s">
        <v>519</v>
      </c>
      <c r="G1834" s="20" t="s">
        <v>1965</v>
      </c>
      <c r="H1834" s="55" t="n">
        <v>28</v>
      </c>
      <c r="I1834" s="76" t="s">
        <v>512</v>
      </c>
      <c r="J1834" s="76" t="s">
        <v>164</v>
      </c>
      <c r="K1834" s="82" t="n">
        <v>2</v>
      </c>
      <c r="L1834" s="55" t="n">
        <v>2</v>
      </c>
      <c r="M1834" s="73" t="n">
        <v>2.75</v>
      </c>
      <c r="N1834" s="74" t="n">
        <f aca="false">K1834*L1834*M1834</f>
        <v>11</v>
      </c>
      <c r="O1834" s="41" t="n">
        <f aca="false">IFERROR(INDEX(Исходные!$B$21:$B$33,MATCH(H1834,Исходные!$A$21:$A$33,0)),0)</f>
        <v>4.834</v>
      </c>
      <c r="P1834" s="83" t="n">
        <f aca="false">N1834*O1834</f>
        <v>53.174</v>
      </c>
      <c r="Q1834" s="20" t="s">
        <v>1966</v>
      </c>
      <c r="R1834" s="84" t="s">
        <v>514</v>
      </c>
      <c r="S1834" s="20" t="s">
        <v>1933</v>
      </c>
      <c r="T1834" s="20" t="s">
        <v>12</v>
      </c>
      <c r="U1834" s="53" t="n">
        <v>0</v>
      </c>
      <c r="V1834" s="76" t="s">
        <v>653</v>
      </c>
      <c r="W1834" s="53" t="n">
        <v>5</v>
      </c>
    </row>
    <row r="1835" customFormat="false" ht="46.25" hidden="false" customHeight="false" outlineLevel="0" collapsed="false">
      <c r="A1835" s="76" t="n">
        <v>1796</v>
      </c>
      <c r="B1835" s="20" t="s">
        <v>1838</v>
      </c>
      <c r="C1835" s="20" t="s">
        <v>633</v>
      </c>
      <c r="D1835" s="20" t="s">
        <v>652</v>
      </c>
      <c r="E1835" s="20" t="s">
        <v>653</v>
      </c>
      <c r="F1835" s="76" t="s">
        <v>519</v>
      </c>
      <c r="G1835" s="20" t="s">
        <v>1967</v>
      </c>
      <c r="H1835" s="55" t="n">
        <v>28</v>
      </c>
      <c r="I1835" s="76" t="s">
        <v>512</v>
      </c>
      <c r="J1835" s="76" t="s">
        <v>164</v>
      </c>
      <c r="K1835" s="82" t="n">
        <v>2</v>
      </c>
      <c r="L1835" s="55" t="n">
        <v>2</v>
      </c>
      <c r="M1835" s="73" t="n">
        <v>2.25</v>
      </c>
      <c r="N1835" s="74" t="n">
        <f aca="false">K1835*L1835*M1835</f>
        <v>9</v>
      </c>
      <c r="O1835" s="41" t="n">
        <f aca="false">IFERROR(INDEX(Исходные!$B$21:$B$33,MATCH(H1835,Исходные!$A$21:$A$33,0)),0)</f>
        <v>4.834</v>
      </c>
      <c r="P1835" s="83" t="n">
        <f aca="false">N1835*O1835</f>
        <v>43.506</v>
      </c>
      <c r="Q1835" s="20" t="s">
        <v>1966</v>
      </c>
      <c r="R1835" s="84" t="s">
        <v>514</v>
      </c>
      <c r="S1835" s="20" t="s">
        <v>1935</v>
      </c>
      <c r="T1835" s="20" t="s">
        <v>12</v>
      </c>
      <c r="U1835" s="53" t="n">
        <v>0</v>
      </c>
      <c r="V1835" s="76" t="s">
        <v>653</v>
      </c>
      <c r="W1835" s="53" t="n">
        <v>5</v>
      </c>
    </row>
    <row r="1836" customFormat="false" ht="46.25" hidden="false" customHeight="false" outlineLevel="0" collapsed="false">
      <c r="A1836" s="76" t="n">
        <v>1797</v>
      </c>
      <c r="B1836" s="20" t="s">
        <v>1838</v>
      </c>
      <c r="C1836" s="20" t="s">
        <v>633</v>
      </c>
      <c r="D1836" s="20" t="s">
        <v>652</v>
      </c>
      <c r="E1836" s="20" t="s">
        <v>653</v>
      </c>
      <c r="F1836" s="76" t="s">
        <v>516</v>
      </c>
      <c r="G1836" s="20" t="s">
        <v>1939</v>
      </c>
      <c r="H1836" s="55" t="n">
        <v>20</v>
      </c>
      <c r="I1836" s="76" t="s">
        <v>512</v>
      </c>
      <c r="J1836" s="76" t="s">
        <v>164</v>
      </c>
      <c r="K1836" s="82" t="n">
        <v>2</v>
      </c>
      <c r="L1836" s="55" t="n">
        <v>4</v>
      </c>
      <c r="M1836" s="73" t="n">
        <v>2.75</v>
      </c>
      <c r="N1836" s="74" t="n">
        <f aca="false">K1836*L1836*M1836</f>
        <v>22</v>
      </c>
      <c r="O1836" s="41" t="n">
        <f aca="false">IFERROR(INDEX(Исходные!$B$21:$B$33,MATCH(H1836,Исходные!$A$21:$A$33,0)),0)</f>
        <v>2.466</v>
      </c>
      <c r="P1836" s="83" t="n">
        <f aca="false">N1836*O1836</f>
        <v>54.252</v>
      </c>
      <c r="Q1836" s="20" t="s">
        <v>1275</v>
      </c>
      <c r="R1836" s="84" t="s">
        <v>514</v>
      </c>
      <c r="S1836" s="20" t="s">
        <v>1933</v>
      </c>
      <c r="T1836" s="20" t="s">
        <v>12</v>
      </c>
      <c r="U1836" s="53" t="n">
        <v>0</v>
      </c>
      <c r="V1836" s="76" t="s">
        <v>653</v>
      </c>
      <c r="W1836" s="53" t="n">
        <v>5</v>
      </c>
    </row>
    <row r="1837" customFormat="false" ht="46.25" hidden="false" customHeight="false" outlineLevel="0" collapsed="false">
      <c r="A1837" s="76" t="n">
        <v>1798</v>
      </c>
      <c r="B1837" s="20" t="s">
        <v>1838</v>
      </c>
      <c r="C1837" s="20" t="s">
        <v>633</v>
      </c>
      <c r="D1837" s="20" t="s">
        <v>652</v>
      </c>
      <c r="E1837" s="20" t="s">
        <v>653</v>
      </c>
      <c r="F1837" s="76" t="s">
        <v>516</v>
      </c>
      <c r="G1837" s="20" t="s">
        <v>1940</v>
      </c>
      <c r="H1837" s="55" t="n">
        <v>20</v>
      </c>
      <c r="I1837" s="76" t="s">
        <v>512</v>
      </c>
      <c r="J1837" s="76" t="s">
        <v>164</v>
      </c>
      <c r="K1837" s="82" t="n">
        <v>2</v>
      </c>
      <c r="L1837" s="55" t="n">
        <v>4</v>
      </c>
      <c r="M1837" s="73" t="n">
        <v>2.25</v>
      </c>
      <c r="N1837" s="74" t="n">
        <f aca="false">K1837*L1837*M1837</f>
        <v>18</v>
      </c>
      <c r="O1837" s="41" t="n">
        <f aca="false">IFERROR(INDEX(Исходные!$B$21:$B$33,MATCH(H1837,Исходные!$A$21:$A$33,0)),0)</f>
        <v>2.466</v>
      </c>
      <c r="P1837" s="83" t="n">
        <f aca="false">N1837*O1837</f>
        <v>44.388</v>
      </c>
      <c r="Q1837" s="20" t="s">
        <v>1275</v>
      </c>
      <c r="R1837" s="84" t="s">
        <v>514</v>
      </c>
      <c r="S1837" s="20" t="s">
        <v>1935</v>
      </c>
      <c r="T1837" s="20" t="s">
        <v>12</v>
      </c>
      <c r="U1837" s="53" t="n">
        <v>0</v>
      </c>
      <c r="V1837" s="76" t="s">
        <v>653</v>
      </c>
      <c r="W1837" s="53" t="n">
        <v>5</v>
      </c>
    </row>
    <row r="1838" customFormat="false" ht="35.05" hidden="false" customHeight="false" outlineLevel="0" collapsed="false">
      <c r="A1838" s="76" t="n">
        <v>1799</v>
      </c>
      <c r="B1838" s="20" t="s">
        <v>1838</v>
      </c>
      <c r="C1838" s="20" t="s">
        <v>633</v>
      </c>
      <c r="D1838" s="20" t="s">
        <v>652</v>
      </c>
      <c r="E1838" s="20" t="s">
        <v>653</v>
      </c>
      <c r="F1838" s="76" t="s">
        <v>555</v>
      </c>
      <c r="G1838" s="20" t="s">
        <v>1277</v>
      </c>
      <c r="H1838" s="55" t="n">
        <v>8</v>
      </c>
      <c r="I1838" s="76" t="s">
        <v>546</v>
      </c>
      <c r="J1838" s="76" t="s">
        <v>644</v>
      </c>
      <c r="K1838" s="82" t="n">
        <v>2</v>
      </c>
      <c r="L1838" s="55" t="n">
        <v>28</v>
      </c>
      <c r="M1838" s="73" t="n">
        <v>2.44</v>
      </c>
      <c r="N1838" s="74" t="n">
        <f aca="false">K1838*L1838*M1838</f>
        <v>136.64</v>
      </c>
      <c r="O1838" s="41" t="n">
        <f aca="false">IFERROR(INDEX(Исходные!$B$21:$B$33,MATCH(H1838,Исходные!$A$21:$A$33,0)),0)</f>
        <v>0.395</v>
      </c>
      <c r="P1838" s="83" t="n">
        <f aca="false">N1838*O1838</f>
        <v>53.9728</v>
      </c>
      <c r="Q1838" s="20" t="s">
        <v>1941</v>
      </c>
      <c r="R1838" s="84" t="s">
        <v>514</v>
      </c>
      <c r="S1838" s="20"/>
      <c r="T1838" s="20" t="s">
        <v>12</v>
      </c>
      <c r="U1838" s="53" t="n">
        <v>0</v>
      </c>
      <c r="V1838" s="76" t="s">
        <v>653</v>
      </c>
      <c r="W1838" s="53" t="n">
        <v>5</v>
      </c>
    </row>
    <row r="1839" customFormat="false" ht="35.05" hidden="false" customHeight="false" outlineLevel="0" collapsed="false">
      <c r="A1839" s="76" t="n">
        <v>1800</v>
      </c>
      <c r="B1839" s="20" t="s">
        <v>1838</v>
      </c>
      <c r="C1839" s="20" t="s">
        <v>633</v>
      </c>
      <c r="D1839" s="20" t="s">
        <v>652</v>
      </c>
      <c r="E1839" s="20" t="s">
        <v>653</v>
      </c>
      <c r="F1839" s="76" t="s">
        <v>558</v>
      </c>
      <c r="G1839" s="20" t="s">
        <v>1279</v>
      </c>
      <c r="H1839" s="55" t="n">
        <v>8</v>
      </c>
      <c r="I1839" s="76" t="s">
        <v>546</v>
      </c>
      <c r="J1839" s="76" t="n">
        <v>200</v>
      </c>
      <c r="K1839" s="82" t="n">
        <v>2</v>
      </c>
      <c r="L1839" s="55" t="n">
        <v>32</v>
      </c>
      <c r="M1839" s="73" t="n">
        <v>1.96</v>
      </c>
      <c r="N1839" s="74" t="n">
        <f aca="false">K1839*L1839*M1839</f>
        <v>125.44</v>
      </c>
      <c r="O1839" s="41" t="n">
        <f aca="false">IFERROR(INDEX(Исходные!$B$21:$B$33,MATCH(H1839,Исходные!$A$21:$A$33,0)),0)</f>
        <v>0.395</v>
      </c>
      <c r="P1839" s="83" t="n">
        <f aca="false">N1839*O1839</f>
        <v>49.5488</v>
      </c>
      <c r="Q1839" s="20" t="s">
        <v>1280</v>
      </c>
      <c r="R1839" s="84" t="s">
        <v>514</v>
      </c>
      <c r="S1839" s="20"/>
      <c r="T1839" s="20" t="s">
        <v>12</v>
      </c>
      <c r="U1839" s="53" t="n">
        <v>0</v>
      </c>
      <c r="V1839" s="76" t="s">
        <v>653</v>
      </c>
      <c r="W1839" s="53" t="n">
        <v>5</v>
      </c>
    </row>
    <row r="1840" customFormat="false" ht="15" hidden="false" customHeight="true" outlineLevel="0" collapsed="false">
      <c r="A1840" s="81" t="s">
        <v>1968</v>
      </c>
      <c r="B1840" s="81"/>
      <c r="C1840" s="81"/>
      <c r="D1840" s="81"/>
      <c r="E1840" s="81"/>
      <c r="F1840" s="81"/>
      <c r="G1840" s="81"/>
      <c r="H1840" s="81"/>
      <c r="I1840" s="81"/>
      <c r="J1840" s="81"/>
      <c r="K1840" s="81"/>
      <c r="L1840" s="81"/>
      <c r="M1840" s="81"/>
      <c r="N1840" s="81"/>
      <c r="O1840" s="81"/>
      <c r="P1840" s="81"/>
      <c r="Q1840" s="81"/>
      <c r="R1840" s="81"/>
      <c r="S1840" s="81"/>
      <c r="T1840" s="81"/>
      <c r="U1840" s="81"/>
      <c r="V1840" s="81"/>
      <c r="W1840" s="81"/>
    </row>
    <row r="1841" customFormat="false" ht="35.05" hidden="false" customHeight="false" outlineLevel="0" collapsed="false">
      <c r="A1841" s="76" t="n">
        <v>1801</v>
      </c>
      <c r="B1841" s="20" t="s">
        <v>1838</v>
      </c>
      <c r="C1841" s="20" t="s">
        <v>655</v>
      </c>
      <c r="D1841" s="20" t="s">
        <v>1969</v>
      </c>
      <c r="E1841" s="20" t="s">
        <v>657</v>
      </c>
      <c r="F1841" s="76" t="s">
        <v>519</v>
      </c>
      <c r="G1841" s="20" t="s">
        <v>658</v>
      </c>
      <c r="H1841" s="55" t="n">
        <v>28</v>
      </c>
      <c r="I1841" s="76" t="s">
        <v>512</v>
      </c>
      <c r="J1841" s="76" t="s">
        <v>164</v>
      </c>
      <c r="K1841" s="82" t="n">
        <v>1</v>
      </c>
      <c r="L1841" s="55" t="n">
        <v>4</v>
      </c>
      <c r="M1841" s="73" t="n">
        <v>25.5</v>
      </c>
      <c r="N1841" s="74" t="n">
        <f aca="false">K1841*L1841*M1841</f>
        <v>102</v>
      </c>
      <c r="O1841" s="41" t="n">
        <f aca="false">IFERROR(INDEX(Исходные!$B$21:$B$33,MATCH(H1841,Исходные!$A$21:$A$33,0)),0)</f>
        <v>4.834</v>
      </c>
      <c r="P1841" s="83" t="n">
        <f aca="false">N1841*O1841</f>
        <v>493.068</v>
      </c>
      <c r="Q1841" s="20" t="s">
        <v>1293</v>
      </c>
      <c r="R1841" s="84" t="s">
        <v>660</v>
      </c>
      <c r="S1841" s="20" t="s">
        <v>661</v>
      </c>
      <c r="T1841" s="20" t="s">
        <v>123</v>
      </c>
      <c r="U1841" s="53" t="n">
        <v>0</v>
      </c>
      <c r="V1841" s="76" t="s">
        <v>657</v>
      </c>
      <c r="W1841" s="53" t="n">
        <v>5</v>
      </c>
    </row>
    <row r="1842" customFormat="false" ht="35.05" hidden="false" customHeight="false" outlineLevel="0" collapsed="false">
      <c r="A1842" s="76" t="n">
        <v>1802</v>
      </c>
      <c r="B1842" s="20" t="s">
        <v>1838</v>
      </c>
      <c r="C1842" s="20" t="s">
        <v>655</v>
      </c>
      <c r="D1842" s="20" t="s">
        <v>1969</v>
      </c>
      <c r="E1842" s="20" t="s">
        <v>657</v>
      </c>
      <c r="F1842" s="76" t="s">
        <v>529</v>
      </c>
      <c r="G1842" s="20" t="s">
        <v>662</v>
      </c>
      <c r="H1842" s="55" t="n">
        <v>18</v>
      </c>
      <c r="I1842" s="76" t="s">
        <v>512</v>
      </c>
      <c r="J1842" s="76" t="s">
        <v>164</v>
      </c>
      <c r="K1842" s="82" t="n">
        <v>1</v>
      </c>
      <c r="L1842" s="55" t="n">
        <v>2</v>
      </c>
      <c r="M1842" s="73" t="n">
        <v>25.5</v>
      </c>
      <c r="N1842" s="74" t="n">
        <f aca="false">K1842*L1842*M1842</f>
        <v>51</v>
      </c>
      <c r="O1842" s="41" t="n">
        <f aca="false">IFERROR(INDEX(Исходные!$B$21:$B$33,MATCH(H1842,Исходные!$A$21:$A$33,0)),0)</f>
        <v>1.998</v>
      </c>
      <c r="P1842" s="83" t="n">
        <f aca="false">N1842*O1842</f>
        <v>101.898</v>
      </c>
      <c r="Q1842" s="20" t="s">
        <v>663</v>
      </c>
      <c r="R1842" s="84" t="s">
        <v>660</v>
      </c>
      <c r="S1842" s="20"/>
      <c r="T1842" s="20" t="s">
        <v>123</v>
      </c>
      <c r="U1842" s="53" t="n">
        <v>0</v>
      </c>
      <c r="V1842" s="76" t="s">
        <v>657</v>
      </c>
      <c r="W1842" s="53" t="n">
        <v>5</v>
      </c>
    </row>
    <row r="1843" customFormat="false" ht="35.05" hidden="false" customHeight="false" outlineLevel="0" collapsed="false">
      <c r="A1843" s="76" t="n">
        <v>1803</v>
      </c>
      <c r="B1843" s="20" t="s">
        <v>1838</v>
      </c>
      <c r="C1843" s="20" t="s">
        <v>655</v>
      </c>
      <c r="D1843" s="20" t="s">
        <v>1969</v>
      </c>
      <c r="E1843" s="20" t="s">
        <v>657</v>
      </c>
      <c r="F1843" s="76" t="s">
        <v>664</v>
      </c>
      <c r="G1843" s="20" t="s">
        <v>665</v>
      </c>
      <c r="H1843" s="55" t="n">
        <v>18</v>
      </c>
      <c r="I1843" s="76" t="s">
        <v>512</v>
      </c>
      <c r="J1843" s="76" t="s">
        <v>164</v>
      </c>
      <c r="K1843" s="82" t="n">
        <v>2</v>
      </c>
      <c r="L1843" s="55" t="n">
        <v>2</v>
      </c>
      <c r="M1843" s="73" t="n">
        <v>0.144</v>
      </c>
      <c r="N1843" s="74" t="n">
        <f aca="false">K1843*L1843*M1843</f>
        <v>0.576</v>
      </c>
      <c r="O1843" s="41" t="n">
        <f aca="false">IFERROR(INDEX(Исходные!$B$21:$B$33,MATCH(H1843,Исходные!$A$21:$A$33,0)),0)</f>
        <v>1.998</v>
      </c>
      <c r="P1843" s="83" t="n">
        <f aca="false">N1843*O1843</f>
        <v>1.150848</v>
      </c>
      <c r="Q1843" s="20" t="s">
        <v>666</v>
      </c>
      <c r="R1843" s="84" t="s">
        <v>667</v>
      </c>
      <c r="S1843" s="20" t="s">
        <v>668</v>
      </c>
      <c r="T1843" s="20" t="s">
        <v>123</v>
      </c>
      <c r="U1843" s="53" t="n">
        <v>0</v>
      </c>
      <c r="V1843" s="76" t="s">
        <v>657</v>
      </c>
      <c r="W1843" s="53" t="n">
        <v>5</v>
      </c>
    </row>
    <row r="1844" customFormat="false" ht="35.05" hidden="false" customHeight="false" outlineLevel="0" collapsed="false">
      <c r="A1844" s="76" t="n">
        <v>1804</v>
      </c>
      <c r="B1844" s="20" t="s">
        <v>1838</v>
      </c>
      <c r="C1844" s="20" t="s">
        <v>655</v>
      </c>
      <c r="D1844" s="20" t="s">
        <v>1969</v>
      </c>
      <c r="E1844" s="20" t="s">
        <v>657</v>
      </c>
      <c r="F1844" s="76" t="s">
        <v>669</v>
      </c>
      <c r="G1844" s="20" t="s">
        <v>670</v>
      </c>
      <c r="H1844" s="55" t="n">
        <v>16</v>
      </c>
      <c r="I1844" s="76" t="s">
        <v>512</v>
      </c>
      <c r="J1844" s="76" t="s">
        <v>164</v>
      </c>
      <c r="K1844" s="82" t="n">
        <v>1</v>
      </c>
      <c r="L1844" s="55" t="n">
        <v>2</v>
      </c>
      <c r="M1844" s="73" t="n">
        <v>25.5</v>
      </c>
      <c r="N1844" s="74" t="n">
        <f aca="false">K1844*L1844*M1844</f>
        <v>51</v>
      </c>
      <c r="O1844" s="41" t="n">
        <f aca="false">IFERROR(INDEX(Исходные!$B$21:$B$33,MATCH(H1844,Исходные!$A$21:$A$33,0)),0)</f>
        <v>1.578</v>
      </c>
      <c r="P1844" s="83" t="n">
        <f aca="false">N1844*O1844</f>
        <v>80.478</v>
      </c>
      <c r="Q1844" s="20" t="s">
        <v>671</v>
      </c>
      <c r="R1844" s="84" t="s">
        <v>660</v>
      </c>
      <c r="S1844" s="20"/>
      <c r="T1844" s="20" t="s">
        <v>123</v>
      </c>
      <c r="U1844" s="53" t="n">
        <v>0</v>
      </c>
      <c r="V1844" s="76" t="s">
        <v>657</v>
      </c>
      <c r="W1844" s="53" t="n">
        <v>5</v>
      </c>
    </row>
    <row r="1845" customFormat="false" ht="35.05" hidden="false" customHeight="false" outlineLevel="0" collapsed="false">
      <c r="A1845" s="76" t="n">
        <v>1805</v>
      </c>
      <c r="B1845" s="20" t="s">
        <v>1838</v>
      </c>
      <c r="C1845" s="20" t="s">
        <v>655</v>
      </c>
      <c r="D1845" s="20" t="s">
        <v>1969</v>
      </c>
      <c r="E1845" s="20" t="s">
        <v>657</v>
      </c>
      <c r="F1845" s="76" t="s">
        <v>672</v>
      </c>
      <c r="G1845" s="20" t="s">
        <v>673</v>
      </c>
      <c r="H1845" s="55" t="n">
        <v>16</v>
      </c>
      <c r="I1845" s="76" t="s">
        <v>512</v>
      </c>
      <c r="J1845" s="76" t="s">
        <v>164</v>
      </c>
      <c r="K1845" s="82" t="n">
        <v>2</v>
      </c>
      <c r="L1845" s="55" t="n">
        <v>2</v>
      </c>
      <c r="M1845" s="73" t="n">
        <v>0.128</v>
      </c>
      <c r="N1845" s="74" t="n">
        <f aca="false">K1845*L1845*M1845</f>
        <v>0.512</v>
      </c>
      <c r="O1845" s="41" t="n">
        <f aca="false">IFERROR(INDEX(Исходные!$B$21:$B$33,MATCH(H1845,Исходные!$A$21:$A$33,0)),0)</f>
        <v>1.578</v>
      </c>
      <c r="P1845" s="83" t="n">
        <f aca="false">N1845*O1845</f>
        <v>0.807936</v>
      </c>
      <c r="Q1845" s="20" t="s">
        <v>674</v>
      </c>
      <c r="R1845" s="84" t="s">
        <v>667</v>
      </c>
      <c r="S1845" s="20" t="s">
        <v>675</v>
      </c>
      <c r="T1845" s="20" t="s">
        <v>123</v>
      </c>
      <c r="U1845" s="53" t="n">
        <v>0</v>
      </c>
      <c r="V1845" s="76" t="s">
        <v>657</v>
      </c>
      <c r="W1845" s="53" t="n">
        <v>5</v>
      </c>
    </row>
    <row r="1846" customFormat="false" ht="35.05" hidden="false" customHeight="false" outlineLevel="0" collapsed="false">
      <c r="A1846" s="76" t="n">
        <v>1806</v>
      </c>
      <c r="B1846" s="20" t="s">
        <v>1838</v>
      </c>
      <c r="C1846" s="20" t="s">
        <v>655</v>
      </c>
      <c r="D1846" s="20" t="s">
        <v>1969</v>
      </c>
      <c r="E1846" s="20" t="s">
        <v>657</v>
      </c>
      <c r="F1846" s="76" t="s">
        <v>676</v>
      </c>
      <c r="G1846" s="20" t="s">
        <v>1970</v>
      </c>
      <c r="H1846" s="55" t="n">
        <v>20</v>
      </c>
      <c r="I1846" s="76" t="s">
        <v>512</v>
      </c>
      <c r="J1846" s="76" t="s">
        <v>164</v>
      </c>
      <c r="K1846" s="82" t="n">
        <v>1</v>
      </c>
      <c r="L1846" s="55" t="n">
        <v>2</v>
      </c>
      <c r="M1846" s="73" t="n">
        <v>4.5</v>
      </c>
      <c r="N1846" s="74" t="n">
        <f aca="false">K1846*L1846*M1846</f>
        <v>9</v>
      </c>
      <c r="O1846" s="41" t="n">
        <f aca="false">IFERROR(INDEX(Исходные!$B$21:$B$33,MATCH(H1846,Исходные!$A$21:$A$33,0)),0)</f>
        <v>2.466</v>
      </c>
      <c r="P1846" s="83" t="n">
        <f aca="false">N1846*O1846</f>
        <v>22.194</v>
      </c>
      <c r="Q1846" s="20" t="s">
        <v>1971</v>
      </c>
      <c r="R1846" s="84" t="s">
        <v>660</v>
      </c>
      <c r="S1846" s="20" t="s">
        <v>682</v>
      </c>
      <c r="T1846" s="20" t="s">
        <v>123</v>
      </c>
      <c r="U1846" s="53" t="n">
        <v>0</v>
      </c>
      <c r="V1846" s="76" t="s">
        <v>657</v>
      </c>
      <c r="W1846" s="53" t="n">
        <v>5</v>
      </c>
    </row>
    <row r="1847" customFormat="false" ht="35.05" hidden="false" customHeight="false" outlineLevel="0" collapsed="false">
      <c r="A1847" s="76" t="n">
        <v>1807</v>
      </c>
      <c r="B1847" s="20" t="s">
        <v>1838</v>
      </c>
      <c r="C1847" s="20" t="s">
        <v>655</v>
      </c>
      <c r="D1847" s="20" t="s">
        <v>1969</v>
      </c>
      <c r="E1847" s="20" t="s">
        <v>657</v>
      </c>
      <c r="F1847" s="76" t="s">
        <v>676</v>
      </c>
      <c r="G1847" s="20" t="s">
        <v>1972</v>
      </c>
      <c r="H1847" s="55" t="n">
        <v>20</v>
      </c>
      <c r="I1847" s="76" t="s">
        <v>512</v>
      </c>
      <c r="J1847" s="76" t="s">
        <v>164</v>
      </c>
      <c r="K1847" s="82" t="n">
        <v>1</v>
      </c>
      <c r="L1847" s="55" t="n">
        <v>2</v>
      </c>
      <c r="M1847" s="73" t="n">
        <v>4.8</v>
      </c>
      <c r="N1847" s="74" t="n">
        <f aca="false">K1847*L1847*M1847</f>
        <v>9.6</v>
      </c>
      <c r="O1847" s="41" t="n">
        <f aca="false">IFERROR(INDEX(Исходные!$B$21:$B$33,MATCH(H1847,Исходные!$A$21:$A$33,0)),0)</f>
        <v>2.466</v>
      </c>
      <c r="P1847" s="83" t="n">
        <f aca="false">N1847*O1847</f>
        <v>23.6736</v>
      </c>
      <c r="Q1847" s="20" t="s">
        <v>1971</v>
      </c>
      <c r="R1847" s="84" t="s">
        <v>660</v>
      </c>
      <c r="S1847" s="20" t="s">
        <v>1307</v>
      </c>
      <c r="T1847" s="20" t="s">
        <v>123</v>
      </c>
      <c r="U1847" s="53" t="n">
        <v>0</v>
      </c>
      <c r="V1847" s="76" t="s">
        <v>657</v>
      </c>
      <c r="W1847" s="53" t="n">
        <v>5</v>
      </c>
    </row>
    <row r="1848" customFormat="false" ht="35.05" hidden="false" customHeight="false" outlineLevel="0" collapsed="false">
      <c r="A1848" s="76" t="n">
        <v>1808</v>
      </c>
      <c r="B1848" s="20" t="s">
        <v>1838</v>
      </c>
      <c r="C1848" s="20" t="s">
        <v>655</v>
      </c>
      <c r="D1848" s="20" t="s">
        <v>1969</v>
      </c>
      <c r="E1848" s="20" t="s">
        <v>657</v>
      </c>
      <c r="F1848" s="76" t="s">
        <v>676</v>
      </c>
      <c r="G1848" s="20" t="s">
        <v>1590</v>
      </c>
      <c r="H1848" s="55" t="n">
        <v>14</v>
      </c>
      <c r="I1848" s="76" t="s">
        <v>512</v>
      </c>
      <c r="J1848" s="76" t="s">
        <v>164</v>
      </c>
      <c r="K1848" s="82" t="n">
        <v>1</v>
      </c>
      <c r="L1848" s="55" t="n">
        <v>2</v>
      </c>
      <c r="M1848" s="73" t="n">
        <v>2.7</v>
      </c>
      <c r="N1848" s="74" t="n">
        <f aca="false">K1848*L1848*M1848</f>
        <v>5.4</v>
      </c>
      <c r="O1848" s="41" t="n">
        <f aca="false">IFERROR(INDEX(Исходные!$B$21:$B$33,MATCH(H1848,Исходные!$A$21:$A$33,0)),0)</f>
        <v>1.208</v>
      </c>
      <c r="P1848" s="83" t="n">
        <f aca="false">N1848*O1848</f>
        <v>6.5232</v>
      </c>
      <c r="Q1848" s="20" t="s">
        <v>1973</v>
      </c>
      <c r="R1848" s="84" t="s">
        <v>660</v>
      </c>
      <c r="S1848" s="20" t="s">
        <v>1592</v>
      </c>
      <c r="T1848" s="20" t="s">
        <v>123</v>
      </c>
      <c r="U1848" s="53" t="n">
        <v>0</v>
      </c>
      <c r="V1848" s="76" t="s">
        <v>657</v>
      </c>
      <c r="W1848" s="53" t="n">
        <v>5</v>
      </c>
    </row>
    <row r="1849" customFormat="false" ht="35.05" hidden="false" customHeight="false" outlineLevel="0" collapsed="false">
      <c r="A1849" s="76" t="n">
        <v>1809</v>
      </c>
      <c r="B1849" s="20" t="s">
        <v>1838</v>
      </c>
      <c r="C1849" s="20" t="s">
        <v>655</v>
      </c>
      <c r="D1849" s="20" t="s">
        <v>1969</v>
      </c>
      <c r="E1849" s="20" t="s">
        <v>657</v>
      </c>
      <c r="F1849" s="76" t="s">
        <v>696</v>
      </c>
      <c r="G1849" s="20" t="s">
        <v>1308</v>
      </c>
      <c r="H1849" s="55" t="n">
        <v>8</v>
      </c>
      <c r="I1849" s="76" t="s">
        <v>546</v>
      </c>
      <c r="J1849" s="76" t="s">
        <v>698</v>
      </c>
      <c r="K1849" s="82" t="n">
        <v>1</v>
      </c>
      <c r="L1849" s="55" t="n">
        <v>134</v>
      </c>
      <c r="M1849" s="73" t="n">
        <v>2.06</v>
      </c>
      <c r="N1849" s="74" t="n">
        <f aca="false">K1849*L1849*M1849</f>
        <v>276.04</v>
      </c>
      <c r="O1849" s="41" t="n">
        <f aca="false">IFERROR(INDEX(Исходные!$B$21:$B$33,MATCH(H1849,Исходные!$A$21:$A$33,0)),0)</f>
        <v>0.395</v>
      </c>
      <c r="P1849" s="83" t="n">
        <f aca="false">N1849*O1849</f>
        <v>109.0358</v>
      </c>
      <c r="Q1849" s="20" t="s">
        <v>1309</v>
      </c>
      <c r="R1849" s="84" t="s">
        <v>514</v>
      </c>
      <c r="S1849" s="20" t="s">
        <v>1310</v>
      </c>
      <c r="T1849" s="20" t="s">
        <v>123</v>
      </c>
      <c r="U1849" s="53" t="n">
        <v>0</v>
      </c>
      <c r="V1849" s="76" t="s">
        <v>657</v>
      </c>
      <c r="W1849" s="53" t="n">
        <v>5</v>
      </c>
    </row>
    <row r="1850" customFormat="false" ht="35.05" hidden="false" customHeight="false" outlineLevel="0" collapsed="false">
      <c r="A1850" s="76" t="n">
        <v>1810</v>
      </c>
      <c r="B1850" s="20" t="s">
        <v>1838</v>
      </c>
      <c r="C1850" s="20" t="s">
        <v>655</v>
      </c>
      <c r="D1850" s="20" t="s">
        <v>1969</v>
      </c>
      <c r="E1850" s="20" t="s">
        <v>657</v>
      </c>
      <c r="F1850" s="76" t="s">
        <v>561</v>
      </c>
      <c r="G1850" s="20" t="s">
        <v>1311</v>
      </c>
      <c r="H1850" s="55" t="n">
        <v>10</v>
      </c>
      <c r="I1850" s="76" t="s">
        <v>546</v>
      </c>
      <c r="J1850" s="76" t="n">
        <v>100</v>
      </c>
      <c r="K1850" s="82" t="n">
        <v>1</v>
      </c>
      <c r="L1850" s="55" t="n">
        <v>34</v>
      </c>
      <c r="M1850" s="73" t="n">
        <v>2.06</v>
      </c>
      <c r="N1850" s="74" t="n">
        <f aca="false">K1850*L1850*M1850</f>
        <v>70.04</v>
      </c>
      <c r="O1850" s="41" t="n">
        <f aca="false">IFERROR(INDEX(Исходные!$B$21:$B$33,MATCH(H1850,Исходные!$A$21:$A$33,0)),0)</f>
        <v>0.617</v>
      </c>
      <c r="P1850" s="83" t="n">
        <f aca="false">N1850*O1850</f>
        <v>43.21468</v>
      </c>
      <c r="Q1850" s="20" t="s">
        <v>1974</v>
      </c>
      <c r="R1850" s="84" t="s">
        <v>514</v>
      </c>
      <c r="S1850" s="20" t="s">
        <v>1975</v>
      </c>
      <c r="T1850" s="20" t="s">
        <v>123</v>
      </c>
      <c r="U1850" s="53" t="n">
        <v>0</v>
      </c>
      <c r="V1850" s="76" t="s">
        <v>657</v>
      </c>
      <c r="W1850" s="53" t="n">
        <v>5</v>
      </c>
    </row>
    <row r="1851" customFormat="false" ht="35.05" hidden="false" customHeight="false" outlineLevel="0" collapsed="false">
      <c r="A1851" s="76" t="n">
        <v>1811</v>
      </c>
      <c r="B1851" s="20" t="s">
        <v>1838</v>
      </c>
      <c r="C1851" s="20" t="s">
        <v>655</v>
      </c>
      <c r="D1851" s="20" t="s">
        <v>1969</v>
      </c>
      <c r="E1851" s="20" t="s">
        <v>657</v>
      </c>
      <c r="F1851" s="76" t="s">
        <v>706</v>
      </c>
      <c r="G1851" s="20" t="s">
        <v>1314</v>
      </c>
      <c r="H1851" s="55" t="n">
        <v>8</v>
      </c>
      <c r="I1851" s="76" t="s">
        <v>546</v>
      </c>
      <c r="J1851" s="76" t="s">
        <v>708</v>
      </c>
      <c r="K1851" s="82" t="n">
        <v>1</v>
      </c>
      <c r="L1851" s="55" t="n">
        <v>109</v>
      </c>
      <c r="M1851" s="73" t="n">
        <v>0.75</v>
      </c>
      <c r="N1851" s="74" t="n">
        <f aca="false">K1851*L1851*M1851</f>
        <v>81.75</v>
      </c>
      <c r="O1851" s="41" t="n">
        <f aca="false">IFERROR(INDEX(Исходные!$B$21:$B$33,MATCH(H1851,Исходные!$A$21:$A$33,0)),0)</f>
        <v>0.395</v>
      </c>
      <c r="P1851" s="83" t="n">
        <f aca="false">N1851*O1851</f>
        <v>32.29125</v>
      </c>
      <c r="Q1851" s="20" t="s">
        <v>709</v>
      </c>
      <c r="R1851" s="84" t="s">
        <v>514</v>
      </c>
      <c r="S1851" s="20"/>
      <c r="T1851" s="20" t="s">
        <v>123</v>
      </c>
      <c r="U1851" s="53" t="n">
        <v>0</v>
      </c>
      <c r="V1851" s="76" t="s">
        <v>657</v>
      </c>
      <c r="W1851" s="53" t="n">
        <v>5</v>
      </c>
    </row>
    <row r="1852" customFormat="false" ht="35.05" hidden="false" customHeight="false" outlineLevel="0" collapsed="false">
      <c r="A1852" s="76" t="n">
        <v>1812</v>
      </c>
      <c r="B1852" s="20" t="s">
        <v>1838</v>
      </c>
      <c r="C1852" s="20" t="s">
        <v>655</v>
      </c>
      <c r="D1852" s="20" t="s">
        <v>1969</v>
      </c>
      <c r="E1852" s="20" t="s">
        <v>657</v>
      </c>
      <c r="F1852" s="76" t="s">
        <v>710</v>
      </c>
      <c r="G1852" s="20" t="s">
        <v>1315</v>
      </c>
      <c r="H1852" s="55" t="n">
        <v>8</v>
      </c>
      <c r="I1852" s="76" t="s">
        <v>546</v>
      </c>
      <c r="J1852" s="76" t="n">
        <v>300</v>
      </c>
      <c r="K1852" s="82" t="n">
        <v>1</v>
      </c>
      <c r="L1852" s="55" t="n">
        <v>70</v>
      </c>
      <c r="M1852" s="73" t="n">
        <v>0.58</v>
      </c>
      <c r="N1852" s="74" t="n">
        <f aca="false">K1852*L1852*M1852</f>
        <v>40.6</v>
      </c>
      <c r="O1852" s="41" t="n">
        <f aca="false">IFERROR(INDEX(Исходные!$B$21:$B$33,MATCH(H1852,Исходные!$A$21:$A$33,0)),0)</f>
        <v>0.395</v>
      </c>
      <c r="P1852" s="83" t="n">
        <f aca="false">N1852*O1852</f>
        <v>16.037</v>
      </c>
      <c r="Q1852" s="20" t="s">
        <v>1316</v>
      </c>
      <c r="R1852" s="85" t="s">
        <v>638</v>
      </c>
      <c r="S1852" s="20"/>
      <c r="T1852" s="20" t="s">
        <v>123</v>
      </c>
      <c r="U1852" s="53" t="n">
        <v>1</v>
      </c>
      <c r="V1852" s="76" t="s">
        <v>657</v>
      </c>
      <c r="W1852" s="53" t="n">
        <v>5</v>
      </c>
    </row>
    <row r="1853" customFormat="false" ht="35.05" hidden="false" customHeight="false" outlineLevel="0" collapsed="false">
      <c r="A1853" s="76" t="n">
        <v>1813</v>
      </c>
      <c r="B1853" s="20" t="s">
        <v>1838</v>
      </c>
      <c r="C1853" s="20" t="s">
        <v>655</v>
      </c>
      <c r="D1853" s="20" t="s">
        <v>1976</v>
      </c>
      <c r="E1853" s="20" t="s">
        <v>715</v>
      </c>
      <c r="F1853" s="76" t="s">
        <v>519</v>
      </c>
      <c r="G1853" s="20" t="s">
        <v>658</v>
      </c>
      <c r="H1853" s="55" t="n">
        <v>28</v>
      </c>
      <c r="I1853" s="76" t="s">
        <v>512</v>
      </c>
      <c r="J1853" s="76" t="s">
        <v>164</v>
      </c>
      <c r="K1853" s="82" t="n">
        <v>1</v>
      </c>
      <c r="L1853" s="55" t="n">
        <v>4</v>
      </c>
      <c r="M1853" s="73" t="n">
        <v>25.5</v>
      </c>
      <c r="N1853" s="74" t="n">
        <f aca="false">K1853*L1853*M1853</f>
        <v>102</v>
      </c>
      <c r="O1853" s="41" t="n">
        <f aca="false">IFERROR(INDEX(Исходные!$B$21:$B$33,MATCH(H1853,Исходные!$A$21:$A$33,0)),0)</f>
        <v>4.834</v>
      </c>
      <c r="P1853" s="83" t="n">
        <f aca="false">N1853*O1853</f>
        <v>493.068</v>
      </c>
      <c r="Q1853" s="20" t="s">
        <v>1318</v>
      </c>
      <c r="R1853" s="84" t="s">
        <v>660</v>
      </c>
      <c r="S1853" s="20" t="s">
        <v>661</v>
      </c>
      <c r="T1853" s="20" t="s">
        <v>123</v>
      </c>
      <c r="U1853" s="53" t="n">
        <v>0</v>
      </c>
      <c r="V1853" s="76" t="s">
        <v>715</v>
      </c>
      <c r="W1853" s="53" t="n">
        <v>5</v>
      </c>
    </row>
    <row r="1854" customFormat="false" ht="35.05" hidden="false" customHeight="false" outlineLevel="0" collapsed="false">
      <c r="A1854" s="76" t="n">
        <v>1814</v>
      </c>
      <c r="B1854" s="20" t="s">
        <v>1838</v>
      </c>
      <c r="C1854" s="20" t="s">
        <v>655</v>
      </c>
      <c r="D1854" s="20" t="s">
        <v>1976</v>
      </c>
      <c r="E1854" s="20" t="s">
        <v>715</v>
      </c>
      <c r="F1854" s="76" t="s">
        <v>529</v>
      </c>
      <c r="G1854" s="20" t="s">
        <v>662</v>
      </c>
      <c r="H1854" s="55" t="n">
        <v>18</v>
      </c>
      <c r="I1854" s="76" t="s">
        <v>512</v>
      </c>
      <c r="J1854" s="76" t="s">
        <v>164</v>
      </c>
      <c r="K1854" s="82" t="n">
        <v>1</v>
      </c>
      <c r="L1854" s="55" t="n">
        <v>2</v>
      </c>
      <c r="M1854" s="73" t="n">
        <v>25.5</v>
      </c>
      <c r="N1854" s="74" t="n">
        <f aca="false">K1854*L1854*M1854</f>
        <v>51</v>
      </c>
      <c r="O1854" s="41" t="n">
        <f aca="false">IFERROR(INDEX(Исходные!$B$21:$B$33,MATCH(H1854,Исходные!$A$21:$A$33,0)),0)</f>
        <v>1.998</v>
      </c>
      <c r="P1854" s="83" t="n">
        <f aca="false">N1854*O1854</f>
        <v>101.898</v>
      </c>
      <c r="Q1854" s="20" t="s">
        <v>663</v>
      </c>
      <c r="R1854" s="84" t="s">
        <v>660</v>
      </c>
      <c r="S1854" s="20"/>
      <c r="T1854" s="20" t="s">
        <v>123</v>
      </c>
      <c r="U1854" s="53" t="n">
        <v>0</v>
      </c>
      <c r="V1854" s="76" t="s">
        <v>715</v>
      </c>
      <c r="W1854" s="53" t="n">
        <v>5</v>
      </c>
    </row>
    <row r="1855" customFormat="false" ht="35.05" hidden="false" customHeight="false" outlineLevel="0" collapsed="false">
      <c r="A1855" s="76" t="n">
        <v>1815</v>
      </c>
      <c r="B1855" s="20" t="s">
        <v>1838</v>
      </c>
      <c r="C1855" s="20" t="s">
        <v>655</v>
      </c>
      <c r="D1855" s="20" t="s">
        <v>1976</v>
      </c>
      <c r="E1855" s="20" t="s">
        <v>715</v>
      </c>
      <c r="F1855" s="76" t="s">
        <v>664</v>
      </c>
      <c r="G1855" s="20" t="s">
        <v>665</v>
      </c>
      <c r="H1855" s="55" t="n">
        <v>18</v>
      </c>
      <c r="I1855" s="76" t="s">
        <v>512</v>
      </c>
      <c r="J1855" s="76" t="s">
        <v>164</v>
      </c>
      <c r="K1855" s="82" t="n">
        <v>2</v>
      </c>
      <c r="L1855" s="55" t="n">
        <v>2</v>
      </c>
      <c r="M1855" s="73" t="n">
        <v>0.144</v>
      </c>
      <c r="N1855" s="74" t="n">
        <f aca="false">K1855*L1855*M1855</f>
        <v>0.576</v>
      </c>
      <c r="O1855" s="41" t="n">
        <f aca="false">IFERROR(INDEX(Исходные!$B$21:$B$33,MATCH(H1855,Исходные!$A$21:$A$33,0)),0)</f>
        <v>1.998</v>
      </c>
      <c r="P1855" s="83" t="n">
        <f aca="false">N1855*O1855</f>
        <v>1.150848</v>
      </c>
      <c r="Q1855" s="20" t="s">
        <v>666</v>
      </c>
      <c r="R1855" s="84" t="s">
        <v>667</v>
      </c>
      <c r="S1855" s="20" t="s">
        <v>668</v>
      </c>
      <c r="T1855" s="20" t="s">
        <v>123</v>
      </c>
      <c r="U1855" s="53" t="n">
        <v>0</v>
      </c>
      <c r="V1855" s="76" t="s">
        <v>715</v>
      </c>
      <c r="W1855" s="53" t="n">
        <v>5</v>
      </c>
    </row>
    <row r="1856" customFormat="false" ht="35.05" hidden="false" customHeight="false" outlineLevel="0" collapsed="false">
      <c r="A1856" s="76" t="n">
        <v>1816</v>
      </c>
      <c r="B1856" s="20" t="s">
        <v>1838</v>
      </c>
      <c r="C1856" s="20" t="s">
        <v>655</v>
      </c>
      <c r="D1856" s="20" t="s">
        <v>1976</v>
      </c>
      <c r="E1856" s="20" t="s">
        <v>715</v>
      </c>
      <c r="F1856" s="76" t="s">
        <v>669</v>
      </c>
      <c r="G1856" s="20" t="s">
        <v>670</v>
      </c>
      <c r="H1856" s="55" t="n">
        <v>16</v>
      </c>
      <c r="I1856" s="76" t="s">
        <v>512</v>
      </c>
      <c r="J1856" s="76" t="s">
        <v>164</v>
      </c>
      <c r="K1856" s="82" t="n">
        <v>1</v>
      </c>
      <c r="L1856" s="55" t="n">
        <v>2</v>
      </c>
      <c r="M1856" s="73" t="n">
        <v>25.5</v>
      </c>
      <c r="N1856" s="74" t="n">
        <f aca="false">K1856*L1856*M1856</f>
        <v>51</v>
      </c>
      <c r="O1856" s="41" t="n">
        <f aca="false">IFERROR(INDEX(Исходные!$B$21:$B$33,MATCH(H1856,Исходные!$A$21:$A$33,0)),0)</f>
        <v>1.578</v>
      </c>
      <c r="P1856" s="83" t="n">
        <f aca="false">N1856*O1856</f>
        <v>80.478</v>
      </c>
      <c r="Q1856" s="20" t="s">
        <v>671</v>
      </c>
      <c r="R1856" s="84" t="s">
        <v>660</v>
      </c>
      <c r="S1856" s="20"/>
      <c r="T1856" s="20" t="s">
        <v>123</v>
      </c>
      <c r="U1856" s="53" t="n">
        <v>0</v>
      </c>
      <c r="V1856" s="76" t="s">
        <v>715</v>
      </c>
      <c r="W1856" s="53" t="n">
        <v>5</v>
      </c>
    </row>
    <row r="1857" customFormat="false" ht="35.05" hidden="false" customHeight="false" outlineLevel="0" collapsed="false">
      <c r="A1857" s="76" t="n">
        <v>1817</v>
      </c>
      <c r="B1857" s="20" t="s">
        <v>1838</v>
      </c>
      <c r="C1857" s="20" t="s">
        <v>655</v>
      </c>
      <c r="D1857" s="20" t="s">
        <v>1976</v>
      </c>
      <c r="E1857" s="20" t="s">
        <v>715</v>
      </c>
      <c r="F1857" s="76" t="s">
        <v>672</v>
      </c>
      <c r="G1857" s="20" t="s">
        <v>673</v>
      </c>
      <c r="H1857" s="55" t="n">
        <v>16</v>
      </c>
      <c r="I1857" s="76" t="s">
        <v>512</v>
      </c>
      <c r="J1857" s="76" t="s">
        <v>164</v>
      </c>
      <c r="K1857" s="82" t="n">
        <v>2</v>
      </c>
      <c r="L1857" s="55" t="n">
        <v>2</v>
      </c>
      <c r="M1857" s="73" t="n">
        <v>0.128</v>
      </c>
      <c r="N1857" s="74" t="n">
        <f aca="false">K1857*L1857*M1857</f>
        <v>0.512</v>
      </c>
      <c r="O1857" s="41" t="n">
        <f aca="false">IFERROR(INDEX(Исходные!$B$21:$B$33,MATCH(H1857,Исходные!$A$21:$A$33,0)),0)</f>
        <v>1.578</v>
      </c>
      <c r="P1857" s="83" t="n">
        <f aca="false">N1857*O1857</f>
        <v>0.807936</v>
      </c>
      <c r="Q1857" s="20" t="s">
        <v>674</v>
      </c>
      <c r="R1857" s="84" t="s">
        <v>667</v>
      </c>
      <c r="S1857" s="20" t="s">
        <v>675</v>
      </c>
      <c r="T1857" s="20" t="s">
        <v>123</v>
      </c>
      <c r="U1857" s="53" t="n">
        <v>0</v>
      </c>
      <c r="V1857" s="76" t="s">
        <v>715</v>
      </c>
      <c r="W1857" s="53" t="n">
        <v>5</v>
      </c>
    </row>
    <row r="1858" customFormat="false" ht="35.05" hidden="false" customHeight="false" outlineLevel="0" collapsed="false">
      <c r="A1858" s="76" t="n">
        <v>1818</v>
      </c>
      <c r="B1858" s="20" t="s">
        <v>1838</v>
      </c>
      <c r="C1858" s="20" t="s">
        <v>655</v>
      </c>
      <c r="D1858" s="20" t="s">
        <v>1976</v>
      </c>
      <c r="E1858" s="20" t="s">
        <v>715</v>
      </c>
      <c r="F1858" s="76" t="s">
        <v>676</v>
      </c>
      <c r="G1858" s="20" t="s">
        <v>1977</v>
      </c>
      <c r="H1858" s="55" t="n">
        <v>20</v>
      </c>
      <c r="I1858" s="76" t="s">
        <v>512</v>
      </c>
      <c r="J1858" s="76" t="s">
        <v>164</v>
      </c>
      <c r="K1858" s="82" t="n">
        <v>1</v>
      </c>
      <c r="L1858" s="55" t="n">
        <v>2</v>
      </c>
      <c r="M1858" s="73" t="n">
        <v>3.7</v>
      </c>
      <c r="N1858" s="74" t="n">
        <f aca="false">K1858*L1858*M1858</f>
        <v>7.4</v>
      </c>
      <c r="O1858" s="41" t="n">
        <f aca="false">IFERROR(INDEX(Исходные!$B$21:$B$33,MATCH(H1858,Исходные!$A$21:$A$33,0)),0)</f>
        <v>2.466</v>
      </c>
      <c r="P1858" s="83" t="n">
        <f aca="false">N1858*O1858</f>
        <v>18.2484</v>
      </c>
      <c r="Q1858" s="20" t="s">
        <v>1978</v>
      </c>
      <c r="R1858" s="84" t="s">
        <v>660</v>
      </c>
      <c r="S1858" s="20" t="s">
        <v>721</v>
      </c>
      <c r="T1858" s="20" t="s">
        <v>123</v>
      </c>
      <c r="U1858" s="53" t="n">
        <v>0</v>
      </c>
      <c r="V1858" s="76" t="s">
        <v>715</v>
      </c>
      <c r="W1858" s="53" t="n">
        <v>5</v>
      </c>
    </row>
    <row r="1859" customFormat="false" ht="35.05" hidden="false" customHeight="false" outlineLevel="0" collapsed="false">
      <c r="A1859" s="76" t="n">
        <v>1819</v>
      </c>
      <c r="B1859" s="20" t="s">
        <v>1838</v>
      </c>
      <c r="C1859" s="20" t="s">
        <v>655</v>
      </c>
      <c r="D1859" s="20" t="s">
        <v>1976</v>
      </c>
      <c r="E1859" s="20" t="s">
        <v>715</v>
      </c>
      <c r="F1859" s="76" t="s">
        <v>676</v>
      </c>
      <c r="G1859" s="20" t="s">
        <v>1979</v>
      </c>
      <c r="H1859" s="55" t="n">
        <v>16</v>
      </c>
      <c r="I1859" s="76" t="s">
        <v>512</v>
      </c>
      <c r="J1859" s="76" t="s">
        <v>164</v>
      </c>
      <c r="K1859" s="82" t="n">
        <v>1</v>
      </c>
      <c r="L1859" s="55" t="n">
        <v>2</v>
      </c>
      <c r="M1859" s="73" t="n">
        <v>3.7</v>
      </c>
      <c r="N1859" s="74" t="n">
        <f aca="false">K1859*L1859*M1859</f>
        <v>7.4</v>
      </c>
      <c r="O1859" s="41" t="n">
        <f aca="false">IFERROR(INDEX(Исходные!$B$21:$B$33,MATCH(H1859,Исходные!$A$21:$A$33,0)),0)</f>
        <v>1.578</v>
      </c>
      <c r="P1859" s="83" t="n">
        <f aca="false">N1859*O1859</f>
        <v>11.6772</v>
      </c>
      <c r="Q1859" s="20" t="s">
        <v>1980</v>
      </c>
      <c r="R1859" s="84" t="s">
        <v>660</v>
      </c>
      <c r="S1859" s="20" t="s">
        <v>724</v>
      </c>
      <c r="T1859" s="20" t="s">
        <v>123</v>
      </c>
      <c r="U1859" s="53" t="n">
        <v>0</v>
      </c>
      <c r="V1859" s="76" t="s">
        <v>715</v>
      </c>
      <c r="W1859" s="53" t="n">
        <v>5</v>
      </c>
    </row>
    <row r="1860" customFormat="false" ht="35.05" hidden="false" customHeight="false" outlineLevel="0" collapsed="false">
      <c r="A1860" s="76" t="n">
        <v>1820</v>
      </c>
      <c r="B1860" s="20" t="s">
        <v>1838</v>
      </c>
      <c r="C1860" s="20" t="s">
        <v>655</v>
      </c>
      <c r="D1860" s="20" t="s">
        <v>1976</v>
      </c>
      <c r="E1860" s="20" t="s">
        <v>715</v>
      </c>
      <c r="F1860" s="76" t="s">
        <v>676</v>
      </c>
      <c r="G1860" s="20" t="s">
        <v>1981</v>
      </c>
      <c r="H1860" s="55" t="n">
        <v>16</v>
      </c>
      <c r="I1860" s="76" t="s">
        <v>512</v>
      </c>
      <c r="J1860" s="76" t="s">
        <v>164</v>
      </c>
      <c r="K1860" s="82" t="n">
        <v>1</v>
      </c>
      <c r="L1860" s="55" t="n">
        <v>2</v>
      </c>
      <c r="M1860" s="73" t="n">
        <v>3.6</v>
      </c>
      <c r="N1860" s="74" t="n">
        <f aca="false">K1860*L1860*M1860</f>
        <v>7.2</v>
      </c>
      <c r="O1860" s="41" t="n">
        <f aca="false">IFERROR(INDEX(Исходные!$B$21:$B$33,MATCH(H1860,Исходные!$A$21:$A$33,0)),0)</f>
        <v>1.578</v>
      </c>
      <c r="P1860" s="83" t="n">
        <f aca="false">N1860*O1860</f>
        <v>11.3616</v>
      </c>
      <c r="Q1860" s="20" t="s">
        <v>1980</v>
      </c>
      <c r="R1860" s="84" t="s">
        <v>660</v>
      </c>
      <c r="S1860" s="20" t="s">
        <v>726</v>
      </c>
      <c r="T1860" s="20" t="s">
        <v>123</v>
      </c>
      <c r="U1860" s="53" t="n">
        <v>0</v>
      </c>
      <c r="V1860" s="76" t="s">
        <v>715</v>
      </c>
      <c r="W1860" s="53" t="n">
        <v>5</v>
      </c>
    </row>
    <row r="1861" customFormat="false" ht="35.05" hidden="false" customHeight="false" outlineLevel="0" collapsed="false">
      <c r="A1861" s="76" t="n">
        <v>1821</v>
      </c>
      <c r="B1861" s="20" t="s">
        <v>1838</v>
      </c>
      <c r="C1861" s="20" t="s">
        <v>655</v>
      </c>
      <c r="D1861" s="20" t="s">
        <v>1976</v>
      </c>
      <c r="E1861" s="20" t="s">
        <v>715</v>
      </c>
      <c r="F1861" s="76" t="s">
        <v>696</v>
      </c>
      <c r="G1861" s="20" t="s">
        <v>1308</v>
      </c>
      <c r="H1861" s="55" t="n">
        <v>8</v>
      </c>
      <c r="I1861" s="76" t="s">
        <v>546</v>
      </c>
      <c r="J1861" s="76" t="s">
        <v>698</v>
      </c>
      <c r="K1861" s="82" t="n">
        <v>1</v>
      </c>
      <c r="L1861" s="55" t="n">
        <v>176</v>
      </c>
      <c r="M1861" s="73" t="n">
        <v>2.06</v>
      </c>
      <c r="N1861" s="74" t="n">
        <f aca="false">K1861*L1861*M1861</f>
        <v>362.56</v>
      </c>
      <c r="O1861" s="41" t="n">
        <f aca="false">IFERROR(INDEX(Исходные!$B$21:$B$33,MATCH(H1861,Исходные!$A$21:$A$33,0)),0)</f>
        <v>0.395</v>
      </c>
      <c r="P1861" s="83" t="n">
        <f aca="false">N1861*O1861</f>
        <v>143.2112</v>
      </c>
      <c r="Q1861" s="20" t="s">
        <v>1309</v>
      </c>
      <c r="R1861" s="84" t="s">
        <v>514</v>
      </c>
      <c r="S1861" s="20" t="s">
        <v>1331</v>
      </c>
      <c r="T1861" s="20" t="s">
        <v>123</v>
      </c>
      <c r="U1861" s="53" t="n">
        <v>0</v>
      </c>
      <c r="V1861" s="76" t="s">
        <v>715</v>
      </c>
      <c r="W1861" s="53" t="n">
        <v>5</v>
      </c>
    </row>
    <row r="1862" customFormat="false" ht="35.05" hidden="false" customHeight="false" outlineLevel="0" collapsed="false">
      <c r="A1862" s="76" t="n">
        <v>1822</v>
      </c>
      <c r="B1862" s="20" t="s">
        <v>1838</v>
      </c>
      <c r="C1862" s="20" t="s">
        <v>655</v>
      </c>
      <c r="D1862" s="20" t="s">
        <v>1976</v>
      </c>
      <c r="E1862" s="20" t="s">
        <v>715</v>
      </c>
      <c r="F1862" s="76" t="s">
        <v>561</v>
      </c>
      <c r="G1862" s="20" t="s">
        <v>1311</v>
      </c>
      <c r="H1862" s="55" t="n">
        <v>10</v>
      </c>
      <c r="I1862" s="76" t="s">
        <v>546</v>
      </c>
      <c r="J1862" s="76" t="n">
        <v>100</v>
      </c>
      <c r="K1862" s="82" t="n">
        <v>1</v>
      </c>
      <c r="L1862" s="55" t="n">
        <v>9</v>
      </c>
      <c r="M1862" s="73" t="n">
        <v>2.06</v>
      </c>
      <c r="N1862" s="74" t="n">
        <f aca="false">K1862*L1862*M1862</f>
        <v>18.54</v>
      </c>
      <c r="O1862" s="41" t="n">
        <f aca="false">IFERROR(INDEX(Исходные!$B$21:$B$33,MATCH(H1862,Исходные!$A$21:$A$33,0)),0)</f>
        <v>0.617</v>
      </c>
      <c r="P1862" s="83" t="n">
        <f aca="false">N1862*O1862</f>
        <v>11.43918</v>
      </c>
      <c r="Q1862" s="20" t="s">
        <v>1982</v>
      </c>
      <c r="R1862" s="84" t="s">
        <v>514</v>
      </c>
      <c r="S1862" s="20" t="s">
        <v>1983</v>
      </c>
      <c r="T1862" s="20" t="s">
        <v>123</v>
      </c>
      <c r="U1862" s="53" t="n">
        <v>0</v>
      </c>
      <c r="V1862" s="76" t="s">
        <v>715</v>
      </c>
      <c r="W1862" s="53" t="n">
        <v>5</v>
      </c>
    </row>
    <row r="1863" customFormat="false" ht="35.05" hidden="false" customHeight="false" outlineLevel="0" collapsed="false">
      <c r="A1863" s="76" t="n">
        <v>1823</v>
      </c>
      <c r="B1863" s="20" t="s">
        <v>1838</v>
      </c>
      <c r="C1863" s="20" t="s">
        <v>655</v>
      </c>
      <c r="D1863" s="20" t="s">
        <v>1976</v>
      </c>
      <c r="E1863" s="20" t="s">
        <v>715</v>
      </c>
      <c r="F1863" s="76" t="s">
        <v>706</v>
      </c>
      <c r="G1863" s="20" t="s">
        <v>1314</v>
      </c>
      <c r="H1863" s="55" t="n">
        <v>8</v>
      </c>
      <c r="I1863" s="76" t="s">
        <v>546</v>
      </c>
      <c r="J1863" s="76" t="s">
        <v>708</v>
      </c>
      <c r="K1863" s="82" t="n">
        <v>1</v>
      </c>
      <c r="L1863" s="55" t="n">
        <v>122</v>
      </c>
      <c r="M1863" s="73" t="n">
        <v>0.75</v>
      </c>
      <c r="N1863" s="74" t="n">
        <f aca="false">K1863*L1863*M1863</f>
        <v>91.5</v>
      </c>
      <c r="O1863" s="41" t="n">
        <f aca="false">IFERROR(INDEX(Исходные!$B$21:$B$33,MATCH(H1863,Исходные!$A$21:$A$33,0)),0)</f>
        <v>0.395</v>
      </c>
      <c r="P1863" s="83" t="n">
        <f aca="false">N1863*O1863</f>
        <v>36.1425</v>
      </c>
      <c r="Q1863" s="20" t="s">
        <v>709</v>
      </c>
      <c r="R1863" s="84" t="s">
        <v>514</v>
      </c>
      <c r="S1863" s="20"/>
      <c r="T1863" s="20" t="s">
        <v>123</v>
      </c>
      <c r="U1863" s="53" t="n">
        <v>0</v>
      </c>
      <c r="V1863" s="76" t="s">
        <v>715</v>
      </c>
      <c r="W1863" s="53" t="n">
        <v>5</v>
      </c>
    </row>
    <row r="1864" customFormat="false" ht="35.05" hidden="false" customHeight="false" outlineLevel="0" collapsed="false">
      <c r="A1864" s="76" t="n">
        <v>1824</v>
      </c>
      <c r="B1864" s="20" t="s">
        <v>1838</v>
      </c>
      <c r="C1864" s="20" t="s">
        <v>655</v>
      </c>
      <c r="D1864" s="20" t="s">
        <v>1976</v>
      </c>
      <c r="E1864" s="20" t="s">
        <v>715</v>
      </c>
      <c r="F1864" s="76" t="s">
        <v>710</v>
      </c>
      <c r="G1864" s="20" t="s">
        <v>1315</v>
      </c>
      <c r="H1864" s="55" t="n">
        <v>8</v>
      </c>
      <c r="I1864" s="76" t="s">
        <v>546</v>
      </c>
      <c r="J1864" s="76" t="n">
        <v>300</v>
      </c>
      <c r="K1864" s="82" t="n">
        <v>1</v>
      </c>
      <c r="L1864" s="55" t="n">
        <v>77</v>
      </c>
      <c r="M1864" s="73" t="n">
        <v>0.58</v>
      </c>
      <c r="N1864" s="74" t="n">
        <f aca="false">K1864*L1864*M1864</f>
        <v>44.66</v>
      </c>
      <c r="O1864" s="41" t="n">
        <f aca="false">IFERROR(INDEX(Исходные!$B$21:$B$33,MATCH(H1864,Исходные!$A$21:$A$33,0)),0)</f>
        <v>0.395</v>
      </c>
      <c r="P1864" s="83" t="n">
        <f aca="false">N1864*O1864</f>
        <v>17.6407</v>
      </c>
      <c r="Q1864" s="20" t="s">
        <v>1316</v>
      </c>
      <c r="R1864" s="85" t="s">
        <v>638</v>
      </c>
      <c r="S1864" s="20"/>
      <c r="T1864" s="20" t="s">
        <v>123</v>
      </c>
      <c r="U1864" s="53" t="n">
        <v>1</v>
      </c>
      <c r="V1864" s="76" t="s">
        <v>715</v>
      </c>
      <c r="W1864" s="53" t="n">
        <v>5</v>
      </c>
    </row>
    <row r="1865" customFormat="false" ht="35.05" hidden="false" customHeight="false" outlineLevel="0" collapsed="false">
      <c r="A1865" s="76" t="n">
        <v>1825</v>
      </c>
      <c r="B1865" s="20" t="s">
        <v>1838</v>
      </c>
      <c r="C1865" s="20" t="s">
        <v>655</v>
      </c>
      <c r="D1865" s="20" t="s">
        <v>1984</v>
      </c>
      <c r="E1865" s="20" t="s">
        <v>749</v>
      </c>
      <c r="F1865" s="76" t="s">
        <v>519</v>
      </c>
      <c r="G1865" s="20" t="s">
        <v>658</v>
      </c>
      <c r="H1865" s="55" t="n">
        <v>28</v>
      </c>
      <c r="I1865" s="76" t="s">
        <v>512</v>
      </c>
      <c r="J1865" s="76" t="s">
        <v>164</v>
      </c>
      <c r="K1865" s="82" t="n">
        <v>1</v>
      </c>
      <c r="L1865" s="55" t="n">
        <v>4</v>
      </c>
      <c r="M1865" s="73" t="n">
        <v>25.5</v>
      </c>
      <c r="N1865" s="74" t="n">
        <f aca="false">K1865*L1865*M1865</f>
        <v>102</v>
      </c>
      <c r="O1865" s="41" t="n">
        <f aca="false">IFERROR(INDEX(Исходные!$B$21:$B$33,MATCH(H1865,Исходные!$A$21:$A$33,0)),0)</f>
        <v>4.834</v>
      </c>
      <c r="P1865" s="83" t="n">
        <f aca="false">N1865*O1865</f>
        <v>493.068</v>
      </c>
      <c r="Q1865" s="20" t="s">
        <v>1335</v>
      </c>
      <c r="R1865" s="84" t="s">
        <v>660</v>
      </c>
      <c r="S1865" s="20" t="s">
        <v>661</v>
      </c>
      <c r="T1865" s="20" t="s">
        <v>123</v>
      </c>
      <c r="U1865" s="53" t="n">
        <v>0</v>
      </c>
      <c r="V1865" s="76" t="s">
        <v>749</v>
      </c>
      <c r="W1865" s="53" t="n">
        <v>5</v>
      </c>
    </row>
    <row r="1866" customFormat="false" ht="35.05" hidden="false" customHeight="false" outlineLevel="0" collapsed="false">
      <c r="A1866" s="76" t="n">
        <v>1826</v>
      </c>
      <c r="B1866" s="20" t="s">
        <v>1838</v>
      </c>
      <c r="C1866" s="20" t="s">
        <v>655</v>
      </c>
      <c r="D1866" s="20" t="s">
        <v>1984</v>
      </c>
      <c r="E1866" s="20" t="s">
        <v>749</v>
      </c>
      <c r="F1866" s="76" t="s">
        <v>529</v>
      </c>
      <c r="G1866" s="20" t="s">
        <v>662</v>
      </c>
      <c r="H1866" s="55" t="n">
        <v>18</v>
      </c>
      <c r="I1866" s="76" t="s">
        <v>512</v>
      </c>
      <c r="J1866" s="76" t="s">
        <v>164</v>
      </c>
      <c r="K1866" s="82" t="n">
        <v>1</v>
      </c>
      <c r="L1866" s="55" t="n">
        <v>2</v>
      </c>
      <c r="M1866" s="73" t="n">
        <v>25.5</v>
      </c>
      <c r="N1866" s="74" t="n">
        <f aca="false">K1866*L1866*M1866</f>
        <v>51</v>
      </c>
      <c r="O1866" s="41" t="n">
        <f aca="false">IFERROR(INDEX(Исходные!$B$21:$B$33,MATCH(H1866,Исходные!$A$21:$A$33,0)),0)</f>
        <v>1.998</v>
      </c>
      <c r="P1866" s="83" t="n">
        <f aca="false">N1866*O1866</f>
        <v>101.898</v>
      </c>
      <c r="Q1866" s="20" t="s">
        <v>663</v>
      </c>
      <c r="R1866" s="84" t="s">
        <v>660</v>
      </c>
      <c r="S1866" s="20"/>
      <c r="T1866" s="20" t="s">
        <v>123</v>
      </c>
      <c r="U1866" s="53" t="n">
        <v>0</v>
      </c>
      <c r="V1866" s="76" t="s">
        <v>749</v>
      </c>
      <c r="W1866" s="53" t="n">
        <v>5</v>
      </c>
    </row>
    <row r="1867" customFormat="false" ht="35.05" hidden="false" customHeight="false" outlineLevel="0" collapsed="false">
      <c r="A1867" s="76" t="n">
        <v>1827</v>
      </c>
      <c r="B1867" s="20" t="s">
        <v>1838</v>
      </c>
      <c r="C1867" s="20" t="s">
        <v>655</v>
      </c>
      <c r="D1867" s="20" t="s">
        <v>1984</v>
      </c>
      <c r="E1867" s="20" t="s">
        <v>749</v>
      </c>
      <c r="F1867" s="76" t="s">
        <v>664</v>
      </c>
      <c r="G1867" s="20" t="s">
        <v>665</v>
      </c>
      <c r="H1867" s="55" t="n">
        <v>18</v>
      </c>
      <c r="I1867" s="76" t="s">
        <v>512</v>
      </c>
      <c r="J1867" s="76" t="s">
        <v>164</v>
      </c>
      <c r="K1867" s="82" t="n">
        <v>2</v>
      </c>
      <c r="L1867" s="55" t="n">
        <v>2</v>
      </c>
      <c r="M1867" s="73" t="n">
        <v>0.144</v>
      </c>
      <c r="N1867" s="74" t="n">
        <f aca="false">K1867*L1867*M1867</f>
        <v>0.576</v>
      </c>
      <c r="O1867" s="41" t="n">
        <f aca="false">IFERROR(INDEX(Исходные!$B$21:$B$33,MATCH(H1867,Исходные!$A$21:$A$33,0)),0)</f>
        <v>1.998</v>
      </c>
      <c r="P1867" s="83" t="n">
        <f aca="false">N1867*O1867</f>
        <v>1.150848</v>
      </c>
      <c r="Q1867" s="20" t="s">
        <v>666</v>
      </c>
      <c r="R1867" s="84" t="s">
        <v>667</v>
      </c>
      <c r="S1867" s="20" t="s">
        <v>668</v>
      </c>
      <c r="T1867" s="20" t="s">
        <v>123</v>
      </c>
      <c r="U1867" s="53" t="n">
        <v>0</v>
      </c>
      <c r="V1867" s="76" t="s">
        <v>749</v>
      </c>
      <c r="W1867" s="53" t="n">
        <v>5</v>
      </c>
    </row>
    <row r="1868" customFormat="false" ht="35.05" hidden="false" customHeight="false" outlineLevel="0" collapsed="false">
      <c r="A1868" s="76" t="n">
        <v>1828</v>
      </c>
      <c r="B1868" s="20" t="s">
        <v>1838</v>
      </c>
      <c r="C1868" s="20" t="s">
        <v>655</v>
      </c>
      <c r="D1868" s="20" t="s">
        <v>1984</v>
      </c>
      <c r="E1868" s="20" t="s">
        <v>749</v>
      </c>
      <c r="F1868" s="76" t="s">
        <v>669</v>
      </c>
      <c r="G1868" s="20" t="s">
        <v>670</v>
      </c>
      <c r="H1868" s="55" t="n">
        <v>16</v>
      </c>
      <c r="I1868" s="76" t="s">
        <v>512</v>
      </c>
      <c r="J1868" s="76" t="s">
        <v>164</v>
      </c>
      <c r="K1868" s="82" t="n">
        <v>1</v>
      </c>
      <c r="L1868" s="55" t="n">
        <v>2</v>
      </c>
      <c r="M1868" s="73" t="n">
        <v>25.5</v>
      </c>
      <c r="N1868" s="74" t="n">
        <f aca="false">K1868*L1868*M1868</f>
        <v>51</v>
      </c>
      <c r="O1868" s="41" t="n">
        <f aca="false">IFERROR(INDEX(Исходные!$B$21:$B$33,MATCH(H1868,Исходные!$A$21:$A$33,0)),0)</f>
        <v>1.578</v>
      </c>
      <c r="P1868" s="83" t="n">
        <f aca="false">N1868*O1868</f>
        <v>80.478</v>
      </c>
      <c r="Q1868" s="20" t="s">
        <v>671</v>
      </c>
      <c r="R1868" s="84" t="s">
        <v>660</v>
      </c>
      <c r="S1868" s="20"/>
      <c r="T1868" s="20" t="s">
        <v>123</v>
      </c>
      <c r="U1868" s="53" t="n">
        <v>0</v>
      </c>
      <c r="V1868" s="76" t="s">
        <v>749</v>
      </c>
      <c r="W1868" s="53" t="n">
        <v>5</v>
      </c>
    </row>
    <row r="1869" customFormat="false" ht="35.05" hidden="false" customHeight="false" outlineLevel="0" collapsed="false">
      <c r="A1869" s="76" t="n">
        <v>1829</v>
      </c>
      <c r="B1869" s="20" t="s">
        <v>1838</v>
      </c>
      <c r="C1869" s="20" t="s">
        <v>655</v>
      </c>
      <c r="D1869" s="20" t="s">
        <v>1984</v>
      </c>
      <c r="E1869" s="20" t="s">
        <v>749</v>
      </c>
      <c r="F1869" s="76" t="s">
        <v>672</v>
      </c>
      <c r="G1869" s="20" t="s">
        <v>673</v>
      </c>
      <c r="H1869" s="55" t="n">
        <v>16</v>
      </c>
      <c r="I1869" s="76" t="s">
        <v>512</v>
      </c>
      <c r="J1869" s="76" t="s">
        <v>164</v>
      </c>
      <c r="K1869" s="82" t="n">
        <v>2</v>
      </c>
      <c r="L1869" s="55" t="n">
        <v>2</v>
      </c>
      <c r="M1869" s="73" t="n">
        <v>0.128</v>
      </c>
      <c r="N1869" s="74" t="n">
        <f aca="false">K1869*L1869*M1869</f>
        <v>0.512</v>
      </c>
      <c r="O1869" s="41" t="n">
        <f aca="false">IFERROR(INDEX(Исходные!$B$21:$B$33,MATCH(H1869,Исходные!$A$21:$A$33,0)),0)</f>
        <v>1.578</v>
      </c>
      <c r="P1869" s="83" t="n">
        <f aca="false">N1869*O1869</f>
        <v>0.807936</v>
      </c>
      <c r="Q1869" s="20" t="s">
        <v>674</v>
      </c>
      <c r="R1869" s="84" t="s">
        <v>667</v>
      </c>
      <c r="S1869" s="20" t="s">
        <v>675</v>
      </c>
      <c r="T1869" s="20" t="s">
        <v>123</v>
      </c>
      <c r="U1869" s="53" t="n">
        <v>0</v>
      </c>
      <c r="V1869" s="76" t="s">
        <v>749</v>
      </c>
      <c r="W1869" s="53" t="n">
        <v>5</v>
      </c>
    </row>
    <row r="1870" customFormat="false" ht="35.05" hidden="false" customHeight="false" outlineLevel="0" collapsed="false">
      <c r="A1870" s="76" t="n">
        <v>1830</v>
      </c>
      <c r="B1870" s="20" t="s">
        <v>1838</v>
      </c>
      <c r="C1870" s="20" t="s">
        <v>655</v>
      </c>
      <c r="D1870" s="20" t="s">
        <v>1984</v>
      </c>
      <c r="E1870" s="20" t="s">
        <v>749</v>
      </c>
      <c r="F1870" s="76" t="s">
        <v>676</v>
      </c>
      <c r="G1870" s="20" t="s">
        <v>1977</v>
      </c>
      <c r="H1870" s="55" t="n">
        <v>20</v>
      </c>
      <c r="I1870" s="76" t="s">
        <v>512</v>
      </c>
      <c r="J1870" s="76" t="s">
        <v>164</v>
      </c>
      <c r="K1870" s="82" t="n">
        <v>1</v>
      </c>
      <c r="L1870" s="55" t="n">
        <v>2</v>
      </c>
      <c r="M1870" s="73" t="n">
        <v>3.7</v>
      </c>
      <c r="N1870" s="74" t="n">
        <f aca="false">K1870*L1870*M1870</f>
        <v>7.4</v>
      </c>
      <c r="O1870" s="41" t="n">
        <f aca="false">IFERROR(INDEX(Исходные!$B$21:$B$33,MATCH(H1870,Исходные!$A$21:$A$33,0)),0)</f>
        <v>2.466</v>
      </c>
      <c r="P1870" s="83" t="n">
        <f aca="false">N1870*O1870</f>
        <v>18.2484</v>
      </c>
      <c r="Q1870" s="20" t="s">
        <v>1985</v>
      </c>
      <c r="R1870" s="84" t="s">
        <v>660</v>
      </c>
      <c r="S1870" s="20" t="s">
        <v>721</v>
      </c>
      <c r="T1870" s="20" t="s">
        <v>123</v>
      </c>
      <c r="U1870" s="53" t="n">
        <v>0</v>
      </c>
      <c r="V1870" s="76" t="s">
        <v>749</v>
      </c>
      <c r="W1870" s="53" t="n">
        <v>5</v>
      </c>
    </row>
    <row r="1871" customFormat="false" ht="35.05" hidden="false" customHeight="false" outlineLevel="0" collapsed="false">
      <c r="A1871" s="76" t="n">
        <v>1831</v>
      </c>
      <c r="B1871" s="20" t="s">
        <v>1838</v>
      </c>
      <c r="C1871" s="20" t="s">
        <v>655</v>
      </c>
      <c r="D1871" s="20" t="s">
        <v>1984</v>
      </c>
      <c r="E1871" s="20" t="s">
        <v>749</v>
      </c>
      <c r="F1871" s="76" t="s">
        <v>676</v>
      </c>
      <c r="G1871" s="20" t="s">
        <v>1986</v>
      </c>
      <c r="H1871" s="55" t="n">
        <v>25</v>
      </c>
      <c r="I1871" s="76" t="s">
        <v>512</v>
      </c>
      <c r="J1871" s="76" t="s">
        <v>164</v>
      </c>
      <c r="K1871" s="82" t="n">
        <v>1</v>
      </c>
      <c r="L1871" s="55" t="n">
        <v>2</v>
      </c>
      <c r="M1871" s="73" t="n">
        <v>3.7</v>
      </c>
      <c r="N1871" s="74" t="n">
        <f aca="false">K1871*L1871*M1871</f>
        <v>7.4</v>
      </c>
      <c r="O1871" s="41" t="n">
        <f aca="false">IFERROR(INDEX(Исходные!$B$21:$B$33,MATCH(H1871,Исходные!$A$21:$A$33,0)),0)</f>
        <v>3.853</v>
      </c>
      <c r="P1871" s="83" t="n">
        <f aca="false">N1871*O1871</f>
        <v>28.5122</v>
      </c>
      <c r="Q1871" s="20" t="s">
        <v>1987</v>
      </c>
      <c r="R1871" s="84" t="s">
        <v>660</v>
      </c>
      <c r="S1871" s="20" t="s">
        <v>724</v>
      </c>
      <c r="T1871" s="20" t="s">
        <v>123</v>
      </c>
      <c r="U1871" s="53" t="n">
        <v>0</v>
      </c>
      <c r="V1871" s="76" t="s">
        <v>749</v>
      </c>
      <c r="W1871" s="53" t="n">
        <v>5</v>
      </c>
    </row>
    <row r="1872" customFormat="false" ht="35.05" hidden="false" customHeight="false" outlineLevel="0" collapsed="false">
      <c r="A1872" s="76" t="n">
        <v>1832</v>
      </c>
      <c r="B1872" s="20" t="s">
        <v>1838</v>
      </c>
      <c r="C1872" s="20" t="s">
        <v>655</v>
      </c>
      <c r="D1872" s="20" t="s">
        <v>1984</v>
      </c>
      <c r="E1872" s="20" t="s">
        <v>749</v>
      </c>
      <c r="F1872" s="76" t="s">
        <v>676</v>
      </c>
      <c r="G1872" s="20" t="s">
        <v>1758</v>
      </c>
      <c r="H1872" s="55" t="n">
        <v>25</v>
      </c>
      <c r="I1872" s="76" t="s">
        <v>512</v>
      </c>
      <c r="J1872" s="76" t="s">
        <v>164</v>
      </c>
      <c r="K1872" s="82" t="n">
        <v>1</v>
      </c>
      <c r="L1872" s="55" t="n">
        <v>2</v>
      </c>
      <c r="M1872" s="73" t="n">
        <v>3.6</v>
      </c>
      <c r="N1872" s="74" t="n">
        <f aca="false">K1872*L1872*M1872</f>
        <v>7.2</v>
      </c>
      <c r="O1872" s="41" t="n">
        <f aca="false">IFERROR(INDEX(Исходные!$B$21:$B$33,MATCH(H1872,Исходные!$A$21:$A$33,0)),0)</f>
        <v>3.853</v>
      </c>
      <c r="P1872" s="83" t="n">
        <f aca="false">N1872*O1872</f>
        <v>27.7416</v>
      </c>
      <c r="Q1872" s="20" t="s">
        <v>1987</v>
      </c>
      <c r="R1872" s="84" t="s">
        <v>660</v>
      </c>
      <c r="S1872" s="20" t="s">
        <v>726</v>
      </c>
      <c r="T1872" s="20" t="s">
        <v>123</v>
      </c>
      <c r="U1872" s="53" t="n">
        <v>0</v>
      </c>
      <c r="V1872" s="76" t="s">
        <v>749</v>
      </c>
      <c r="W1872" s="53" t="n">
        <v>5</v>
      </c>
    </row>
    <row r="1873" customFormat="false" ht="35.05" hidden="false" customHeight="false" outlineLevel="0" collapsed="false">
      <c r="A1873" s="76" t="n">
        <v>1833</v>
      </c>
      <c r="B1873" s="20" t="s">
        <v>1838</v>
      </c>
      <c r="C1873" s="20" t="s">
        <v>655</v>
      </c>
      <c r="D1873" s="20" t="s">
        <v>1984</v>
      </c>
      <c r="E1873" s="20" t="s">
        <v>749</v>
      </c>
      <c r="F1873" s="76" t="s">
        <v>676</v>
      </c>
      <c r="G1873" s="20" t="s">
        <v>1988</v>
      </c>
      <c r="H1873" s="55" t="n">
        <v>16</v>
      </c>
      <c r="I1873" s="76" t="s">
        <v>512</v>
      </c>
      <c r="J1873" s="76" t="s">
        <v>164</v>
      </c>
      <c r="K1873" s="82" t="n">
        <v>1</v>
      </c>
      <c r="L1873" s="55" t="n">
        <v>2</v>
      </c>
      <c r="M1873" s="73" t="n">
        <v>10.2</v>
      </c>
      <c r="N1873" s="74" t="n">
        <f aca="false">K1873*L1873*M1873</f>
        <v>20.4</v>
      </c>
      <c r="O1873" s="41" t="n">
        <f aca="false">IFERROR(INDEX(Исходные!$B$21:$B$33,MATCH(H1873,Исходные!$A$21:$A$33,0)),0)</f>
        <v>1.578</v>
      </c>
      <c r="P1873" s="83" t="n">
        <f aca="false">N1873*O1873</f>
        <v>32.1912</v>
      </c>
      <c r="Q1873" s="20" t="s">
        <v>1989</v>
      </c>
      <c r="R1873" s="84" t="s">
        <v>660</v>
      </c>
      <c r="S1873" s="20" t="s">
        <v>1990</v>
      </c>
      <c r="T1873" s="20" t="s">
        <v>123</v>
      </c>
      <c r="U1873" s="53" t="n">
        <v>0</v>
      </c>
      <c r="V1873" s="76" t="s">
        <v>749</v>
      </c>
      <c r="W1873" s="53" t="n">
        <v>5</v>
      </c>
    </row>
    <row r="1874" customFormat="false" ht="35.05" hidden="false" customHeight="false" outlineLevel="0" collapsed="false">
      <c r="A1874" s="76" t="n">
        <v>1834</v>
      </c>
      <c r="B1874" s="20" t="s">
        <v>1838</v>
      </c>
      <c r="C1874" s="20" t="s">
        <v>655</v>
      </c>
      <c r="D1874" s="20" t="s">
        <v>1984</v>
      </c>
      <c r="E1874" s="20" t="s">
        <v>749</v>
      </c>
      <c r="F1874" s="76" t="s">
        <v>676</v>
      </c>
      <c r="G1874" s="20" t="s">
        <v>1991</v>
      </c>
      <c r="H1874" s="55" t="n">
        <v>12</v>
      </c>
      <c r="I1874" s="76" t="s">
        <v>512</v>
      </c>
      <c r="J1874" s="76" t="s">
        <v>164</v>
      </c>
      <c r="K1874" s="82" t="n">
        <v>1</v>
      </c>
      <c r="L1874" s="55" t="n">
        <v>4</v>
      </c>
      <c r="M1874" s="73" t="n">
        <v>10.2</v>
      </c>
      <c r="N1874" s="74" t="n">
        <f aca="false">K1874*L1874*M1874</f>
        <v>40.8</v>
      </c>
      <c r="O1874" s="41" t="n">
        <f aca="false">IFERROR(INDEX(Исходные!$B$21:$B$33,MATCH(H1874,Исходные!$A$21:$A$33,0)),0)</f>
        <v>0.888</v>
      </c>
      <c r="P1874" s="83" t="n">
        <f aca="false">N1874*O1874</f>
        <v>36.2304</v>
      </c>
      <c r="Q1874" s="20" t="s">
        <v>1992</v>
      </c>
      <c r="R1874" s="84" t="s">
        <v>660</v>
      </c>
      <c r="S1874" s="20" t="s">
        <v>1990</v>
      </c>
      <c r="T1874" s="20" t="s">
        <v>123</v>
      </c>
      <c r="U1874" s="53" t="n">
        <v>0</v>
      </c>
      <c r="V1874" s="76" t="s">
        <v>749</v>
      </c>
      <c r="W1874" s="53" t="n">
        <v>5</v>
      </c>
    </row>
    <row r="1875" customFormat="false" ht="35.05" hidden="false" customHeight="false" outlineLevel="0" collapsed="false">
      <c r="A1875" s="76" t="n">
        <v>1835</v>
      </c>
      <c r="B1875" s="20" t="s">
        <v>1838</v>
      </c>
      <c r="C1875" s="20" t="s">
        <v>655</v>
      </c>
      <c r="D1875" s="20" t="s">
        <v>1984</v>
      </c>
      <c r="E1875" s="20" t="s">
        <v>749</v>
      </c>
      <c r="F1875" s="76" t="s">
        <v>696</v>
      </c>
      <c r="G1875" s="20" t="s">
        <v>1308</v>
      </c>
      <c r="H1875" s="55" t="n">
        <v>8</v>
      </c>
      <c r="I1875" s="76" t="s">
        <v>546</v>
      </c>
      <c r="J1875" s="76" t="s">
        <v>698</v>
      </c>
      <c r="K1875" s="82" t="n">
        <v>1</v>
      </c>
      <c r="L1875" s="55" t="n">
        <v>138</v>
      </c>
      <c r="M1875" s="73" t="n">
        <v>2.06</v>
      </c>
      <c r="N1875" s="74" t="n">
        <f aca="false">K1875*L1875*M1875</f>
        <v>284.28</v>
      </c>
      <c r="O1875" s="41" t="n">
        <f aca="false">IFERROR(INDEX(Исходные!$B$21:$B$33,MATCH(H1875,Исходные!$A$21:$A$33,0)),0)</f>
        <v>0.395</v>
      </c>
      <c r="P1875" s="83" t="n">
        <f aca="false">N1875*O1875</f>
        <v>112.2906</v>
      </c>
      <c r="Q1875" s="20" t="s">
        <v>1309</v>
      </c>
      <c r="R1875" s="84" t="s">
        <v>514</v>
      </c>
      <c r="S1875" s="20" t="s">
        <v>1331</v>
      </c>
      <c r="T1875" s="20" t="s">
        <v>123</v>
      </c>
      <c r="U1875" s="53" t="n">
        <v>0</v>
      </c>
      <c r="V1875" s="76" t="s">
        <v>749</v>
      </c>
      <c r="W1875" s="53" t="n">
        <v>5</v>
      </c>
    </row>
    <row r="1876" customFormat="false" ht="35.05" hidden="false" customHeight="false" outlineLevel="0" collapsed="false">
      <c r="A1876" s="76" t="n">
        <v>1836</v>
      </c>
      <c r="B1876" s="20" t="s">
        <v>1838</v>
      </c>
      <c r="C1876" s="20" t="s">
        <v>655</v>
      </c>
      <c r="D1876" s="20" t="s">
        <v>1984</v>
      </c>
      <c r="E1876" s="20" t="s">
        <v>749</v>
      </c>
      <c r="F1876" s="76" t="s">
        <v>561</v>
      </c>
      <c r="G1876" s="20" t="s">
        <v>1311</v>
      </c>
      <c r="H1876" s="55" t="n">
        <v>10</v>
      </c>
      <c r="I1876" s="76" t="s">
        <v>546</v>
      </c>
      <c r="J1876" s="76" t="n">
        <v>100</v>
      </c>
      <c r="K1876" s="82" t="n">
        <v>1</v>
      </c>
      <c r="L1876" s="55" t="n">
        <v>55</v>
      </c>
      <c r="M1876" s="73" t="n">
        <v>2.06</v>
      </c>
      <c r="N1876" s="74" t="n">
        <f aca="false">K1876*L1876*M1876</f>
        <v>113.3</v>
      </c>
      <c r="O1876" s="41" t="n">
        <f aca="false">IFERROR(INDEX(Исходные!$B$21:$B$33,MATCH(H1876,Исходные!$A$21:$A$33,0)),0)</f>
        <v>0.617</v>
      </c>
      <c r="P1876" s="83" t="n">
        <f aca="false">N1876*O1876</f>
        <v>69.9061</v>
      </c>
      <c r="Q1876" s="20" t="s">
        <v>1993</v>
      </c>
      <c r="R1876" s="84" t="s">
        <v>514</v>
      </c>
      <c r="S1876" s="20" t="s">
        <v>1994</v>
      </c>
      <c r="T1876" s="20" t="s">
        <v>123</v>
      </c>
      <c r="U1876" s="53" t="n">
        <v>0</v>
      </c>
      <c r="V1876" s="76" t="s">
        <v>749</v>
      </c>
      <c r="W1876" s="53" t="n">
        <v>5</v>
      </c>
    </row>
    <row r="1877" customFormat="false" ht="35.05" hidden="false" customHeight="false" outlineLevel="0" collapsed="false">
      <c r="A1877" s="76" t="n">
        <v>1837</v>
      </c>
      <c r="B1877" s="20" t="s">
        <v>1838</v>
      </c>
      <c r="C1877" s="20" t="s">
        <v>655</v>
      </c>
      <c r="D1877" s="20" t="s">
        <v>1984</v>
      </c>
      <c r="E1877" s="20" t="s">
        <v>749</v>
      </c>
      <c r="F1877" s="76" t="s">
        <v>603</v>
      </c>
      <c r="G1877" s="20" t="s">
        <v>704</v>
      </c>
      <c r="H1877" s="55" t="n">
        <v>10</v>
      </c>
      <c r="I1877" s="76" t="s">
        <v>546</v>
      </c>
      <c r="J1877" s="76" t="n">
        <v>100</v>
      </c>
      <c r="K1877" s="82" t="n">
        <v>1</v>
      </c>
      <c r="L1877" s="55" t="n">
        <v>29</v>
      </c>
      <c r="M1877" s="73" t="n">
        <v>1.6</v>
      </c>
      <c r="N1877" s="74" t="n">
        <f aca="false">K1877*L1877*M1877</f>
        <v>46.4</v>
      </c>
      <c r="O1877" s="41" t="n">
        <f aca="false">IFERROR(INDEX(Исходные!$B$21:$B$33,MATCH(H1877,Исходные!$A$21:$A$33,0)),0)</f>
        <v>0.617</v>
      </c>
      <c r="P1877" s="83" t="n">
        <f aca="false">N1877*O1877</f>
        <v>28.6288</v>
      </c>
      <c r="Q1877" s="20" t="s">
        <v>773</v>
      </c>
      <c r="R1877" s="84" t="s">
        <v>514</v>
      </c>
      <c r="S1877" s="20"/>
      <c r="T1877" s="20" t="s">
        <v>123</v>
      </c>
      <c r="U1877" s="53" t="n">
        <v>0</v>
      </c>
      <c r="V1877" s="76" t="s">
        <v>749</v>
      </c>
      <c r="W1877" s="53" t="n">
        <v>5</v>
      </c>
    </row>
    <row r="1878" customFormat="false" ht="35.05" hidden="false" customHeight="false" outlineLevel="0" collapsed="false">
      <c r="A1878" s="76" t="n">
        <v>1838</v>
      </c>
      <c r="B1878" s="20" t="s">
        <v>1838</v>
      </c>
      <c r="C1878" s="20" t="s">
        <v>655</v>
      </c>
      <c r="D1878" s="20" t="s">
        <v>1984</v>
      </c>
      <c r="E1878" s="20" t="s">
        <v>749</v>
      </c>
      <c r="F1878" s="76" t="s">
        <v>706</v>
      </c>
      <c r="G1878" s="20" t="s">
        <v>1314</v>
      </c>
      <c r="H1878" s="55" t="n">
        <v>8</v>
      </c>
      <c r="I1878" s="76" t="s">
        <v>546</v>
      </c>
      <c r="J1878" s="76" t="s">
        <v>708</v>
      </c>
      <c r="K1878" s="82" t="n">
        <v>1</v>
      </c>
      <c r="L1878" s="55" t="n">
        <v>106</v>
      </c>
      <c r="M1878" s="73" t="n">
        <v>0.75</v>
      </c>
      <c r="N1878" s="74" t="n">
        <f aca="false">K1878*L1878*M1878</f>
        <v>79.5</v>
      </c>
      <c r="O1878" s="41" t="n">
        <f aca="false">IFERROR(INDEX(Исходные!$B$21:$B$33,MATCH(H1878,Исходные!$A$21:$A$33,0)),0)</f>
        <v>0.395</v>
      </c>
      <c r="P1878" s="83" t="n">
        <f aca="false">N1878*O1878</f>
        <v>31.4025</v>
      </c>
      <c r="Q1878" s="20" t="s">
        <v>709</v>
      </c>
      <c r="R1878" s="84" t="s">
        <v>514</v>
      </c>
      <c r="S1878" s="20"/>
      <c r="T1878" s="20" t="s">
        <v>123</v>
      </c>
      <c r="U1878" s="53" t="n">
        <v>0</v>
      </c>
      <c r="V1878" s="76" t="s">
        <v>749</v>
      </c>
      <c r="W1878" s="53" t="n">
        <v>5</v>
      </c>
    </row>
    <row r="1879" customFormat="false" ht="35.05" hidden="false" customHeight="false" outlineLevel="0" collapsed="false">
      <c r="A1879" s="76" t="n">
        <v>1839</v>
      </c>
      <c r="B1879" s="20" t="s">
        <v>1838</v>
      </c>
      <c r="C1879" s="20" t="s">
        <v>655</v>
      </c>
      <c r="D1879" s="20" t="s">
        <v>1984</v>
      </c>
      <c r="E1879" s="20" t="s">
        <v>749</v>
      </c>
      <c r="F1879" s="76" t="s">
        <v>710</v>
      </c>
      <c r="G1879" s="20" t="s">
        <v>1315</v>
      </c>
      <c r="H1879" s="55" t="n">
        <v>8</v>
      </c>
      <c r="I1879" s="76" t="s">
        <v>546</v>
      </c>
      <c r="J1879" s="76" t="n">
        <v>300</v>
      </c>
      <c r="K1879" s="82" t="n">
        <v>1</v>
      </c>
      <c r="L1879" s="55" t="n">
        <v>77</v>
      </c>
      <c r="M1879" s="73" t="n">
        <v>0.58</v>
      </c>
      <c r="N1879" s="74" t="n">
        <f aca="false">K1879*L1879*M1879</f>
        <v>44.66</v>
      </c>
      <c r="O1879" s="41" t="n">
        <f aca="false">IFERROR(INDEX(Исходные!$B$21:$B$33,MATCH(H1879,Исходные!$A$21:$A$33,0)),0)</f>
        <v>0.395</v>
      </c>
      <c r="P1879" s="83" t="n">
        <f aca="false">N1879*O1879</f>
        <v>17.6407</v>
      </c>
      <c r="Q1879" s="20" t="s">
        <v>1316</v>
      </c>
      <c r="R1879" s="85" t="s">
        <v>638</v>
      </c>
      <c r="S1879" s="20"/>
      <c r="T1879" s="20" t="s">
        <v>123</v>
      </c>
      <c r="U1879" s="53" t="n">
        <v>1</v>
      </c>
      <c r="V1879" s="76" t="s">
        <v>749</v>
      </c>
      <c r="W1879" s="53" t="n">
        <v>5</v>
      </c>
    </row>
    <row r="1880" customFormat="false" ht="35.05" hidden="false" customHeight="false" outlineLevel="0" collapsed="false">
      <c r="A1880" s="76" t="n">
        <v>1840</v>
      </c>
      <c r="B1880" s="20" t="s">
        <v>1838</v>
      </c>
      <c r="C1880" s="20" t="s">
        <v>655</v>
      </c>
      <c r="D1880" s="20" t="s">
        <v>1995</v>
      </c>
      <c r="E1880" s="20" t="s">
        <v>775</v>
      </c>
      <c r="F1880" s="76" t="s">
        <v>519</v>
      </c>
      <c r="G1880" s="20" t="s">
        <v>658</v>
      </c>
      <c r="H1880" s="55" t="n">
        <v>28</v>
      </c>
      <c r="I1880" s="76" t="s">
        <v>512</v>
      </c>
      <c r="J1880" s="76" t="s">
        <v>164</v>
      </c>
      <c r="K1880" s="82" t="n">
        <v>1</v>
      </c>
      <c r="L1880" s="55" t="n">
        <v>4</v>
      </c>
      <c r="M1880" s="73" t="n">
        <v>25.5</v>
      </c>
      <c r="N1880" s="74" t="n">
        <f aca="false">K1880*L1880*M1880</f>
        <v>102</v>
      </c>
      <c r="O1880" s="41" t="n">
        <f aca="false">IFERROR(INDEX(Исходные!$B$21:$B$33,MATCH(H1880,Исходные!$A$21:$A$33,0)),0)</f>
        <v>4.834</v>
      </c>
      <c r="P1880" s="83" t="n">
        <f aca="false">N1880*O1880</f>
        <v>493.068</v>
      </c>
      <c r="Q1880" s="20" t="s">
        <v>1347</v>
      </c>
      <c r="R1880" s="84" t="s">
        <v>660</v>
      </c>
      <c r="S1880" s="20" t="s">
        <v>661</v>
      </c>
      <c r="T1880" s="20" t="s">
        <v>123</v>
      </c>
      <c r="U1880" s="53" t="n">
        <v>0</v>
      </c>
      <c r="V1880" s="76" t="s">
        <v>775</v>
      </c>
      <c r="W1880" s="53" t="n">
        <v>5</v>
      </c>
    </row>
    <row r="1881" customFormat="false" ht="35.05" hidden="false" customHeight="false" outlineLevel="0" collapsed="false">
      <c r="A1881" s="76" t="n">
        <v>1841</v>
      </c>
      <c r="B1881" s="20" t="s">
        <v>1838</v>
      </c>
      <c r="C1881" s="20" t="s">
        <v>655</v>
      </c>
      <c r="D1881" s="20" t="s">
        <v>1995</v>
      </c>
      <c r="E1881" s="20" t="s">
        <v>775</v>
      </c>
      <c r="F1881" s="76" t="s">
        <v>529</v>
      </c>
      <c r="G1881" s="20" t="s">
        <v>662</v>
      </c>
      <c r="H1881" s="55" t="n">
        <v>18</v>
      </c>
      <c r="I1881" s="76" t="s">
        <v>512</v>
      </c>
      <c r="J1881" s="76" t="s">
        <v>164</v>
      </c>
      <c r="K1881" s="82" t="n">
        <v>1</v>
      </c>
      <c r="L1881" s="55" t="n">
        <v>2</v>
      </c>
      <c r="M1881" s="73" t="n">
        <v>25.5</v>
      </c>
      <c r="N1881" s="74" t="n">
        <f aca="false">K1881*L1881*M1881</f>
        <v>51</v>
      </c>
      <c r="O1881" s="41" t="n">
        <f aca="false">IFERROR(INDEX(Исходные!$B$21:$B$33,MATCH(H1881,Исходные!$A$21:$A$33,0)),0)</f>
        <v>1.998</v>
      </c>
      <c r="P1881" s="83" t="n">
        <f aca="false">N1881*O1881</f>
        <v>101.898</v>
      </c>
      <c r="Q1881" s="20" t="s">
        <v>663</v>
      </c>
      <c r="R1881" s="84" t="s">
        <v>660</v>
      </c>
      <c r="S1881" s="20"/>
      <c r="T1881" s="20" t="s">
        <v>123</v>
      </c>
      <c r="U1881" s="53" t="n">
        <v>0</v>
      </c>
      <c r="V1881" s="76" t="s">
        <v>775</v>
      </c>
      <c r="W1881" s="53" t="n">
        <v>5</v>
      </c>
    </row>
    <row r="1882" customFormat="false" ht="35.05" hidden="false" customHeight="false" outlineLevel="0" collapsed="false">
      <c r="A1882" s="76" t="n">
        <v>1842</v>
      </c>
      <c r="B1882" s="20" t="s">
        <v>1838</v>
      </c>
      <c r="C1882" s="20" t="s">
        <v>655</v>
      </c>
      <c r="D1882" s="20" t="s">
        <v>1995</v>
      </c>
      <c r="E1882" s="20" t="s">
        <v>775</v>
      </c>
      <c r="F1882" s="76" t="s">
        <v>664</v>
      </c>
      <c r="G1882" s="20" t="s">
        <v>665</v>
      </c>
      <c r="H1882" s="55" t="n">
        <v>18</v>
      </c>
      <c r="I1882" s="76" t="s">
        <v>512</v>
      </c>
      <c r="J1882" s="76" t="s">
        <v>164</v>
      </c>
      <c r="K1882" s="82" t="n">
        <v>2</v>
      </c>
      <c r="L1882" s="55" t="n">
        <v>2</v>
      </c>
      <c r="M1882" s="73" t="n">
        <v>0.144</v>
      </c>
      <c r="N1882" s="74" t="n">
        <f aca="false">K1882*L1882*M1882</f>
        <v>0.576</v>
      </c>
      <c r="O1882" s="41" t="n">
        <f aca="false">IFERROR(INDEX(Исходные!$B$21:$B$33,MATCH(H1882,Исходные!$A$21:$A$33,0)),0)</f>
        <v>1.998</v>
      </c>
      <c r="P1882" s="83" t="n">
        <f aca="false">N1882*O1882</f>
        <v>1.150848</v>
      </c>
      <c r="Q1882" s="20" t="s">
        <v>666</v>
      </c>
      <c r="R1882" s="84" t="s">
        <v>667</v>
      </c>
      <c r="S1882" s="20" t="s">
        <v>668</v>
      </c>
      <c r="T1882" s="20" t="s">
        <v>123</v>
      </c>
      <c r="U1882" s="53" t="n">
        <v>0</v>
      </c>
      <c r="V1882" s="76" t="s">
        <v>775</v>
      </c>
      <c r="W1882" s="53" t="n">
        <v>5</v>
      </c>
    </row>
    <row r="1883" customFormat="false" ht="35.05" hidden="false" customHeight="false" outlineLevel="0" collapsed="false">
      <c r="A1883" s="76" t="n">
        <v>1843</v>
      </c>
      <c r="B1883" s="20" t="s">
        <v>1838</v>
      </c>
      <c r="C1883" s="20" t="s">
        <v>655</v>
      </c>
      <c r="D1883" s="20" t="s">
        <v>1995</v>
      </c>
      <c r="E1883" s="20" t="s">
        <v>775</v>
      </c>
      <c r="F1883" s="76" t="s">
        <v>669</v>
      </c>
      <c r="G1883" s="20" t="s">
        <v>670</v>
      </c>
      <c r="H1883" s="55" t="n">
        <v>16</v>
      </c>
      <c r="I1883" s="76" t="s">
        <v>512</v>
      </c>
      <c r="J1883" s="76" t="s">
        <v>164</v>
      </c>
      <c r="K1883" s="82" t="n">
        <v>1</v>
      </c>
      <c r="L1883" s="55" t="n">
        <v>2</v>
      </c>
      <c r="M1883" s="73" t="n">
        <v>25.5</v>
      </c>
      <c r="N1883" s="74" t="n">
        <f aca="false">K1883*L1883*M1883</f>
        <v>51</v>
      </c>
      <c r="O1883" s="41" t="n">
        <f aca="false">IFERROR(INDEX(Исходные!$B$21:$B$33,MATCH(H1883,Исходные!$A$21:$A$33,0)),0)</f>
        <v>1.578</v>
      </c>
      <c r="P1883" s="83" t="n">
        <f aca="false">N1883*O1883</f>
        <v>80.478</v>
      </c>
      <c r="Q1883" s="20" t="s">
        <v>671</v>
      </c>
      <c r="R1883" s="84" t="s">
        <v>660</v>
      </c>
      <c r="S1883" s="20"/>
      <c r="T1883" s="20" t="s">
        <v>123</v>
      </c>
      <c r="U1883" s="53" t="n">
        <v>0</v>
      </c>
      <c r="V1883" s="76" t="s">
        <v>775</v>
      </c>
      <c r="W1883" s="53" t="n">
        <v>5</v>
      </c>
    </row>
    <row r="1884" customFormat="false" ht="35.05" hidden="false" customHeight="false" outlineLevel="0" collapsed="false">
      <c r="A1884" s="76" t="n">
        <v>1844</v>
      </c>
      <c r="B1884" s="20" t="s">
        <v>1838</v>
      </c>
      <c r="C1884" s="20" t="s">
        <v>655</v>
      </c>
      <c r="D1884" s="20" t="s">
        <v>1995</v>
      </c>
      <c r="E1884" s="20" t="s">
        <v>775</v>
      </c>
      <c r="F1884" s="76" t="s">
        <v>672</v>
      </c>
      <c r="G1884" s="20" t="s">
        <v>673</v>
      </c>
      <c r="H1884" s="55" t="n">
        <v>16</v>
      </c>
      <c r="I1884" s="76" t="s">
        <v>512</v>
      </c>
      <c r="J1884" s="76" t="s">
        <v>164</v>
      </c>
      <c r="K1884" s="82" t="n">
        <v>2</v>
      </c>
      <c r="L1884" s="55" t="n">
        <v>2</v>
      </c>
      <c r="M1884" s="73" t="n">
        <v>0.128</v>
      </c>
      <c r="N1884" s="74" t="n">
        <f aca="false">K1884*L1884*M1884</f>
        <v>0.512</v>
      </c>
      <c r="O1884" s="41" t="n">
        <f aca="false">IFERROR(INDEX(Исходные!$B$21:$B$33,MATCH(H1884,Исходные!$A$21:$A$33,0)),0)</f>
        <v>1.578</v>
      </c>
      <c r="P1884" s="83" t="n">
        <f aca="false">N1884*O1884</f>
        <v>0.807936</v>
      </c>
      <c r="Q1884" s="20" t="s">
        <v>674</v>
      </c>
      <c r="R1884" s="84" t="s">
        <v>667</v>
      </c>
      <c r="S1884" s="20" t="s">
        <v>675</v>
      </c>
      <c r="T1884" s="20" t="s">
        <v>123</v>
      </c>
      <c r="U1884" s="53" t="n">
        <v>0</v>
      </c>
      <c r="V1884" s="76" t="s">
        <v>775</v>
      </c>
      <c r="W1884" s="53" t="n">
        <v>5</v>
      </c>
    </row>
    <row r="1885" customFormat="false" ht="35.05" hidden="false" customHeight="false" outlineLevel="0" collapsed="false">
      <c r="A1885" s="76" t="n">
        <v>1845</v>
      </c>
      <c r="B1885" s="20" t="s">
        <v>1838</v>
      </c>
      <c r="C1885" s="20" t="s">
        <v>655</v>
      </c>
      <c r="D1885" s="20" t="s">
        <v>1995</v>
      </c>
      <c r="E1885" s="20" t="s">
        <v>775</v>
      </c>
      <c r="F1885" s="76" t="s">
        <v>676</v>
      </c>
      <c r="G1885" s="20" t="s">
        <v>780</v>
      </c>
      <c r="H1885" s="55" t="n">
        <v>28</v>
      </c>
      <c r="I1885" s="76" t="s">
        <v>512</v>
      </c>
      <c r="J1885" s="76" t="s">
        <v>164</v>
      </c>
      <c r="K1885" s="82" t="n">
        <v>1</v>
      </c>
      <c r="L1885" s="55" t="n">
        <v>2</v>
      </c>
      <c r="M1885" s="73" t="n">
        <v>5.5</v>
      </c>
      <c r="N1885" s="74" t="n">
        <f aca="false">K1885*L1885*M1885</f>
        <v>11</v>
      </c>
      <c r="O1885" s="41" t="n">
        <f aca="false">IFERROR(INDEX(Исходные!$B$21:$B$33,MATCH(H1885,Исходные!$A$21:$A$33,0)),0)</f>
        <v>4.834</v>
      </c>
      <c r="P1885" s="83" t="n">
        <f aca="false">N1885*O1885</f>
        <v>53.174</v>
      </c>
      <c r="Q1885" s="20" t="s">
        <v>1996</v>
      </c>
      <c r="R1885" s="84" t="s">
        <v>660</v>
      </c>
      <c r="S1885" s="20" t="s">
        <v>781</v>
      </c>
      <c r="T1885" s="20" t="s">
        <v>123</v>
      </c>
      <c r="U1885" s="53" t="n">
        <v>0</v>
      </c>
      <c r="V1885" s="76" t="s">
        <v>775</v>
      </c>
      <c r="W1885" s="53" t="n">
        <v>5</v>
      </c>
    </row>
    <row r="1886" customFormat="false" ht="35.05" hidden="false" customHeight="false" outlineLevel="0" collapsed="false">
      <c r="A1886" s="76" t="n">
        <v>1846</v>
      </c>
      <c r="B1886" s="20" t="s">
        <v>1838</v>
      </c>
      <c r="C1886" s="20" t="s">
        <v>655</v>
      </c>
      <c r="D1886" s="20" t="s">
        <v>1995</v>
      </c>
      <c r="E1886" s="20" t="s">
        <v>775</v>
      </c>
      <c r="F1886" s="76" t="s">
        <v>676</v>
      </c>
      <c r="G1886" s="20" t="s">
        <v>1997</v>
      </c>
      <c r="H1886" s="55" t="n">
        <v>14</v>
      </c>
      <c r="I1886" s="76" t="s">
        <v>512</v>
      </c>
      <c r="J1886" s="76" t="s">
        <v>164</v>
      </c>
      <c r="K1886" s="82" t="n">
        <v>1</v>
      </c>
      <c r="L1886" s="55" t="n">
        <v>2</v>
      </c>
      <c r="M1886" s="73" t="n">
        <v>2.9</v>
      </c>
      <c r="N1886" s="74" t="n">
        <f aca="false">K1886*L1886*M1886</f>
        <v>5.8</v>
      </c>
      <c r="O1886" s="41" t="n">
        <f aca="false">IFERROR(INDEX(Исходные!$B$21:$B$33,MATCH(H1886,Исходные!$A$21:$A$33,0)),0)</f>
        <v>1.208</v>
      </c>
      <c r="P1886" s="83" t="n">
        <f aca="false">N1886*O1886</f>
        <v>7.0064</v>
      </c>
      <c r="Q1886" s="20" t="s">
        <v>1998</v>
      </c>
      <c r="R1886" s="84" t="s">
        <v>660</v>
      </c>
      <c r="S1886" s="20" t="s">
        <v>1999</v>
      </c>
      <c r="T1886" s="20" t="s">
        <v>123</v>
      </c>
      <c r="U1886" s="53" t="n">
        <v>0</v>
      </c>
      <c r="V1886" s="76" t="s">
        <v>775</v>
      </c>
      <c r="W1886" s="53" t="n">
        <v>5</v>
      </c>
    </row>
    <row r="1887" customFormat="false" ht="35.05" hidden="false" customHeight="false" outlineLevel="0" collapsed="false">
      <c r="A1887" s="76" t="n">
        <v>1847</v>
      </c>
      <c r="B1887" s="20" t="s">
        <v>1838</v>
      </c>
      <c r="C1887" s="20" t="s">
        <v>655</v>
      </c>
      <c r="D1887" s="20" t="s">
        <v>1995</v>
      </c>
      <c r="E1887" s="20" t="s">
        <v>775</v>
      </c>
      <c r="F1887" s="76" t="s">
        <v>676</v>
      </c>
      <c r="G1887" s="20" t="s">
        <v>2000</v>
      </c>
      <c r="H1887" s="55" t="n">
        <v>22</v>
      </c>
      <c r="I1887" s="76" t="s">
        <v>512</v>
      </c>
      <c r="J1887" s="76" t="s">
        <v>164</v>
      </c>
      <c r="K1887" s="82" t="n">
        <v>1</v>
      </c>
      <c r="L1887" s="55" t="n">
        <v>2</v>
      </c>
      <c r="M1887" s="73" t="n">
        <v>4.7</v>
      </c>
      <c r="N1887" s="74" t="n">
        <f aca="false">K1887*L1887*M1887</f>
        <v>9.4</v>
      </c>
      <c r="O1887" s="41" t="n">
        <f aca="false">IFERROR(INDEX(Исходные!$B$21:$B$33,MATCH(H1887,Исходные!$A$21:$A$33,0)),0)</f>
        <v>2.984</v>
      </c>
      <c r="P1887" s="83" t="n">
        <f aca="false">N1887*O1887</f>
        <v>28.0496</v>
      </c>
      <c r="Q1887" s="20" t="s">
        <v>2001</v>
      </c>
      <c r="R1887" s="84" t="s">
        <v>660</v>
      </c>
      <c r="S1887" s="20" t="s">
        <v>785</v>
      </c>
      <c r="T1887" s="20" t="s">
        <v>123</v>
      </c>
      <c r="U1887" s="53" t="n">
        <v>0</v>
      </c>
      <c r="V1887" s="76" t="s">
        <v>775</v>
      </c>
      <c r="W1887" s="53" t="n">
        <v>5</v>
      </c>
    </row>
    <row r="1888" customFormat="false" ht="35.05" hidden="false" customHeight="false" outlineLevel="0" collapsed="false">
      <c r="A1888" s="76" t="n">
        <v>1848</v>
      </c>
      <c r="B1888" s="20" t="s">
        <v>1838</v>
      </c>
      <c r="C1888" s="20" t="s">
        <v>655</v>
      </c>
      <c r="D1888" s="20" t="s">
        <v>1995</v>
      </c>
      <c r="E1888" s="20" t="s">
        <v>775</v>
      </c>
      <c r="F1888" s="76" t="s">
        <v>676</v>
      </c>
      <c r="G1888" s="20" t="s">
        <v>2002</v>
      </c>
      <c r="H1888" s="55" t="n">
        <v>16</v>
      </c>
      <c r="I1888" s="76" t="s">
        <v>512</v>
      </c>
      <c r="J1888" s="76" t="s">
        <v>164</v>
      </c>
      <c r="K1888" s="82" t="n">
        <v>1</v>
      </c>
      <c r="L1888" s="55" t="n">
        <v>2</v>
      </c>
      <c r="M1888" s="73" t="n">
        <v>4.7</v>
      </c>
      <c r="N1888" s="74" t="n">
        <f aca="false">K1888*L1888*M1888</f>
        <v>9.4</v>
      </c>
      <c r="O1888" s="41" t="n">
        <f aca="false">IFERROR(INDEX(Исходные!$B$21:$B$33,MATCH(H1888,Исходные!$A$21:$A$33,0)),0)</f>
        <v>1.578</v>
      </c>
      <c r="P1888" s="83" t="n">
        <f aca="false">N1888*O1888</f>
        <v>14.8332</v>
      </c>
      <c r="Q1888" s="20" t="s">
        <v>2003</v>
      </c>
      <c r="R1888" s="84" t="s">
        <v>660</v>
      </c>
      <c r="S1888" s="20" t="s">
        <v>785</v>
      </c>
      <c r="T1888" s="20" t="s">
        <v>123</v>
      </c>
      <c r="U1888" s="53" t="n">
        <v>0</v>
      </c>
      <c r="V1888" s="76" t="s">
        <v>775</v>
      </c>
      <c r="W1888" s="53" t="n">
        <v>5</v>
      </c>
    </row>
    <row r="1889" customFormat="false" ht="35.05" hidden="false" customHeight="false" outlineLevel="0" collapsed="false">
      <c r="A1889" s="76" t="n">
        <v>1849</v>
      </c>
      <c r="B1889" s="20" t="s">
        <v>1838</v>
      </c>
      <c r="C1889" s="20" t="s">
        <v>655</v>
      </c>
      <c r="D1889" s="20" t="s">
        <v>1995</v>
      </c>
      <c r="E1889" s="20" t="s">
        <v>775</v>
      </c>
      <c r="F1889" s="76" t="s">
        <v>676</v>
      </c>
      <c r="G1889" s="20" t="s">
        <v>2004</v>
      </c>
      <c r="H1889" s="55" t="n">
        <v>12</v>
      </c>
      <c r="I1889" s="76" t="s">
        <v>512</v>
      </c>
      <c r="J1889" s="76" t="s">
        <v>164</v>
      </c>
      <c r="K1889" s="82" t="n">
        <v>1</v>
      </c>
      <c r="L1889" s="55" t="n">
        <v>2</v>
      </c>
      <c r="M1889" s="73" t="n">
        <v>2.5</v>
      </c>
      <c r="N1889" s="74" t="n">
        <f aca="false">K1889*L1889*M1889</f>
        <v>5</v>
      </c>
      <c r="O1889" s="41" t="n">
        <f aca="false">IFERROR(INDEX(Исходные!$B$21:$B$33,MATCH(H1889,Исходные!$A$21:$A$33,0)),0)</f>
        <v>0.888</v>
      </c>
      <c r="P1889" s="83" t="n">
        <f aca="false">N1889*O1889</f>
        <v>4.44</v>
      </c>
      <c r="Q1889" s="20" t="s">
        <v>2005</v>
      </c>
      <c r="R1889" s="84" t="s">
        <v>660</v>
      </c>
      <c r="S1889" s="20" t="s">
        <v>2006</v>
      </c>
      <c r="T1889" s="20" t="s">
        <v>123</v>
      </c>
      <c r="U1889" s="53" t="n">
        <v>0</v>
      </c>
      <c r="V1889" s="76" t="s">
        <v>775</v>
      </c>
      <c r="W1889" s="53" t="n">
        <v>5</v>
      </c>
    </row>
    <row r="1890" customFormat="false" ht="35.05" hidden="false" customHeight="false" outlineLevel="0" collapsed="false">
      <c r="A1890" s="76" t="n">
        <v>1850</v>
      </c>
      <c r="B1890" s="20" t="s">
        <v>1838</v>
      </c>
      <c r="C1890" s="20" t="s">
        <v>655</v>
      </c>
      <c r="D1890" s="20" t="s">
        <v>1995</v>
      </c>
      <c r="E1890" s="20" t="s">
        <v>775</v>
      </c>
      <c r="F1890" s="76" t="s">
        <v>676</v>
      </c>
      <c r="G1890" s="20" t="s">
        <v>2007</v>
      </c>
      <c r="H1890" s="55" t="n">
        <v>18</v>
      </c>
      <c r="I1890" s="76" t="s">
        <v>512</v>
      </c>
      <c r="J1890" s="76" t="s">
        <v>164</v>
      </c>
      <c r="K1890" s="82" t="n">
        <v>1</v>
      </c>
      <c r="L1890" s="55" t="n">
        <v>2</v>
      </c>
      <c r="M1890" s="73" t="n">
        <v>4.3</v>
      </c>
      <c r="N1890" s="74" t="n">
        <f aca="false">K1890*L1890*M1890</f>
        <v>8.6</v>
      </c>
      <c r="O1890" s="41" t="n">
        <f aca="false">IFERROR(INDEX(Исходные!$B$21:$B$33,MATCH(H1890,Исходные!$A$21:$A$33,0)),0)</f>
        <v>1.998</v>
      </c>
      <c r="P1890" s="83" t="n">
        <f aca="false">N1890*O1890</f>
        <v>17.1828</v>
      </c>
      <c r="Q1890" s="20" t="s">
        <v>2008</v>
      </c>
      <c r="R1890" s="84" t="s">
        <v>660</v>
      </c>
      <c r="S1890" s="20" t="s">
        <v>789</v>
      </c>
      <c r="T1890" s="20" t="s">
        <v>123</v>
      </c>
      <c r="U1890" s="53" t="n">
        <v>0</v>
      </c>
      <c r="V1890" s="76" t="s">
        <v>775</v>
      </c>
      <c r="W1890" s="53" t="n">
        <v>5</v>
      </c>
    </row>
    <row r="1891" customFormat="false" ht="35.05" hidden="false" customHeight="false" outlineLevel="0" collapsed="false">
      <c r="A1891" s="76" t="n">
        <v>1851</v>
      </c>
      <c r="B1891" s="20" t="s">
        <v>1838</v>
      </c>
      <c r="C1891" s="20" t="s">
        <v>655</v>
      </c>
      <c r="D1891" s="20" t="s">
        <v>1995</v>
      </c>
      <c r="E1891" s="20" t="s">
        <v>775</v>
      </c>
      <c r="F1891" s="76" t="s">
        <v>676</v>
      </c>
      <c r="G1891" s="20" t="s">
        <v>2009</v>
      </c>
      <c r="H1891" s="55" t="n">
        <v>12</v>
      </c>
      <c r="I1891" s="76" t="s">
        <v>512</v>
      </c>
      <c r="J1891" s="76" t="s">
        <v>164</v>
      </c>
      <c r="K1891" s="82" t="n">
        <v>1</v>
      </c>
      <c r="L1891" s="55" t="n">
        <v>2</v>
      </c>
      <c r="M1891" s="73" t="n">
        <v>2.5</v>
      </c>
      <c r="N1891" s="74" t="n">
        <f aca="false">K1891*L1891*M1891</f>
        <v>5</v>
      </c>
      <c r="O1891" s="41" t="n">
        <f aca="false">IFERROR(INDEX(Исходные!$B$21:$B$33,MATCH(H1891,Исходные!$A$21:$A$33,0)),0)</f>
        <v>0.888</v>
      </c>
      <c r="P1891" s="83" t="n">
        <f aca="false">N1891*O1891</f>
        <v>4.44</v>
      </c>
      <c r="Q1891" s="20" t="s">
        <v>2005</v>
      </c>
      <c r="R1891" s="84" t="s">
        <v>660</v>
      </c>
      <c r="S1891" s="20" t="s">
        <v>1777</v>
      </c>
      <c r="T1891" s="20" t="s">
        <v>123</v>
      </c>
      <c r="U1891" s="53" t="n">
        <v>0</v>
      </c>
      <c r="V1891" s="76" t="s">
        <v>775</v>
      </c>
      <c r="W1891" s="53" t="n">
        <v>5</v>
      </c>
    </row>
    <row r="1892" customFormat="false" ht="35.05" hidden="false" customHeight="false" outlineLevel="0" collapsed="false">
      <c r="A1892" s="76" t="n">
        <v>1852</v>
      </c>
      <c r="B1892" s="20" t="s">
        <v>1838</v>
      </c>
      <c r="C1892" s="20" t="s">
        <v>655</v>
      </c>
      <c r="D1892" s="20" t="s">
        <v>1995</v>
      </c>
      <c r="E1892" s="20" t="s">
        <v>775</v>
      </c>
      <c r="F1892" s="76" t="s">
        <v>696</v>
      </c>
      <c r="G1892" s="20" t="s">
        <v>1308</v>
      </c>
      <c r="H1892" s="55" t="n">
        <v>8</v>
      </c>
      <c r="I1892" s="76" t="s">
        <v>546</v>
      </c>
      <c r="J1892" s="76" t="s">
        <v>698</v>
      </c>
      <c r="K1892" s="82" t="n">
        <v>1</v>
      </c>
      <c r="L1892" s="55" t="n">
        <v>125</v>
      </c>
      <c r="M1892" s="73" t="n">
        <v>2.06</v>
      </c>
      <c r="N1892" s="74" t="n">
        <f aca="false">K1892*L1892*M1892</f>
        <v>257.5</v>
      </c>
      <c r="O1892" s="41" t="n">
        <f aca="false">IFERROR(INDEX(Исходные!$B$21:$B$33,MATCH(H1892,Исходные!$A$21:$A$33,0)),0)</f>
        <v>0.395</v>
      </c>
      <c r="P1892" s="83" t="n">
        <f aca="false">N1892*O1892</f>
        <v>101.7125</v>
      </c>
      <c r="Q1892" s="20" t="s">
        <v>1309</v>
      </c>
      <c r="R1892" s="84" t="s">
        <v>514</v>
      </c>
      <c r="S1892" s="20" t="s">
        <v>1363</v>
      </c>
      <c r="T1892" s="20" t="s">
        <v>123</v>
      </c>
      <c r="U1892" s="53" t="n">
        <v>0</v>
      </c>
      <c r="V1892" s="76" t="s">
        <v>775</v>
      </c>
      <c r="W1892" s="53" t="n">
        <v>5</v>
      </c>
    </row>
    <row r="1893" customFormat="false" ht="35.05" hidden="false" customHeight="false" outlineLevel="0" collapsed="false">
      <c r="A1893" s="76" t="n">
        <v>1853</v>
      </c>
      <c r="B1893" s="20" t="s">
        <v>1838</v>
      </c>
      <c r="C1893" s="20" t="s">
        <v>655</v>
      </c>
      <c r="D1893" s="20" t="s">
        <v>1995</v>
      </c>
      <c r="E1893" s="20" t="s">
        <v>775</v>
      </c>
      <c r="F1893" s="76" t="s">
        <v>561</v>
      </c>
      <c r="G1893" s="20" t="s">
        <v>1311</v>
      </c>
      <c r="H1893" s="55" t="n">
        <v>10</v>
      </c>
      <c r="I1893" s="76" t="s">
        <v>546</v>
      </c>
      <c r="J1893" s="76" t="n">
        <v>100</v>
      </c>
      <c r="K1893" s="82" t="n">
        <v>1</v>
      </c>
      <c r="L1893" s="55" t="n">
        <v>45</v>
      </c>
      <c r="M1893" s="73" t="n">
        <v>2.06</v>
      </c>
      <c r="N1893" s="74" t="n">
        <f aca="false">K1893*L1893*M1893</f>
        <v>92.7</v>
      </c>
      <c r="O1893" s="41" t="n">
        <f aca="false">IFERROR(INDEX(Исходные!$B$21:$B$33,MATCH(H1893,Исходные!$A$21:$A$33,0)),0)</f>
        <v>0.617</v>
      </c>
      <c r="P1893" s="83" t="n">
        <f aca="false">N1893*O1893</f>
        <v>57.1959</v>
      </c>
      <c r="Q1893" s="20" t="s">
        <v>2010</v>
      </c>
      <c r="R1893" s="84" t="s">
        <v>514</v>
      </c>
      <c r="S1893" s="20" t="s">
        <v>799</v>
      </c>
      <c r="T1893" s="20" t="s">
        <v>123</v>
      </c>
      <c r="U1893" s="53" t="n">
        <v>0</v>
      </c>
      <c r="V1893" s="76" t="s">
        <v>775</v>
      </c>
      <c r="W1893" s="53" t="n">
        <v>5</v>
      </c>
    </row>
    <row r="1894" customFormat="false" ht="35.05" hidden="false" customHeight="false" outlineLevel="0" collapsed="false">
      <c r="A1894" s="76" t="n">
        <v>1854</v>
      </c>
      <c r="B1894" s="20" t="s">
        <v>1838</v>
      </c>
      <c r="C1894" s="20" t="s">
        <v>655</v>
      </c>
      <c r="D1894" s="20" t="s">
        <v>1995</v>
      </c>
      <c r="E1894" s="20" t="s">
        <v>775</v>
      </c>
      <c r="F1894" s="76" t="s">
        <v>706</v>
      </c>
      <c r="G1894" s="20" t="s">
        <v>1314</v>
      </c>
      <c r="H1894" s="55" t="n">
        <v>8</v>
      </c>
      <c r="I1894" s="76" t="s">
        <v>546</v>
      </c>
      <c r="J1894" s="76" t="s">
        <v>708</v>
      </c>
      <c r="K1894" s="82" t="n">
        <v>1</v>
      </c>
      <c r="L1894" s="55" t="n">
        <v>106</v>
      </c>
      <c r="M1894" s="73" t="n">
        <v>0.75</v>
      </c>
      <c r="N1894" s="74" t="n">
        <f aca="false">K1894*L1894*M1894</f>
        <v>79.5</v>
      </c>
      <c r="O1894" s="41" t="n">
        <f aca="false">IFERROR(INDEX(Исходные!$B$21:$B$33,MATCH(H1894,Исходные!$A$21:$A$33,0)),0)</f>
        <v>0.395</v>
      </c>
      <c r="P1894" s="83" t="n">
        <f aca="false">N1894*O1894</f>
        <v>31.4025</v>
      </c>
      <c r="Q1894" s="20" t="s">
        <v>709</v>
      </c>
      <c r="R1894" s="84" t="s">
        <v>514</v>
      </c>
      <c r="S1894" s="20"/>
      <c r="T1894" s="20" t="s">
        <v>123</v>
      </c>
      <c r="U1894" s="53" t="n">
        <v>0</v>
      </c>
      <c r="V1894" s="76" t="s">
        <v>775</v>
      </c>
      <c r="W1894" s="53" t="n">
        <v>5</v>
      </c>
    </row>
    <row r="1895" customFormat="false" ht="35.05" hidden="false" customHeight="false" outlineLevel="0" collapsed="false">
      <c r="A1895" s="76" t="n">
        <v>1855</v>
      </c>
      <c r="B1895" s="20" t="s">
        <v>1838</v>
      </c>
      <c r="C1895" s="20" t="s">
        <v>655</v>
      </c>
      <c r="D1895" s="20" t="s">
        <v>1995</v>
      </c>
      <c r="E1895" s="20" t="s">
        <v>775</v>
      </c>
      <c r="F1895" s="76" t="s">
        <v>710</v>
      </c>
      <c r="G1895" s="20" t="s">
        <v>1315</v>
      </c>
      <c r="H1895" s="55" t="n">
        <v>8</v>
      </c>
      <c r="I1895" s="76" t="s">
        <v>546</v>
      </c>
      <c r="J1895" s="76" t="n">
        <v>300</v>
      </c>
      <c r="K1895" s="82" t="n">
        <v>1</v>
      </c>
      <c r="L1895" s="55" t="n">
        <v>67</v>
      </c>
      <c r="M1895" s="73" t="n">
        <v>0.58</v>
      </c>
      <c r="N1895" s="74" t="n">
        <f aca="false">K1895*L1895*M1895</f>
        <v>38.86</v>
      </c>
      <c r="O1895" s="41" t="n">
        <f aca="false">IFERROR(INDEX(Исходные!$B$21:$B$33,MATCH(H1895,Исходные!$A$21:$A$33,0)),0)</f>
        <v>0.395</v>
      </c>
      <c r="P1895" s="83" t="n">
        <f aca="false">N1895*O1895</f>
        <v>15.3497</v>
      </c>
      <c r="Q1895" s="20" t="s">
        <v>1316</v>
      </c>
      <c r="R1895" s="85" t="s">
        <v>638</v>
      </c>
      <c r="S1895" s="20"/>
      <c r="T1895" s="20" t="s">
        <v>123</v>
      </c>
      <c r="U1895" s="53" t="n">
        <v>1</v>
      </c>
      <c r="V1895" s="76" t="s">
        <v>775</v>
      </c>
      <c r="W1895" s="53" t="n">
        <v>5</v>
      </c>
    </row>
    <row r="1896" customFormat="false" ht="35.05" hidden="false" customHeight="false" outlineLevel="0" collapsed="false">
      <c r="A1896" s="76" t="n">
        <v>1856</v>
      </c>
      <c r="B1896" s="20" t="s">
        <v>1838</v>
      </c>
      <c r="C1896" s="20" t="s">
        <v>655</v>
      </c>
      <c r="D1896" s="20" t="s">
        <v>2011</v>
      </c>
      <c r="E1896" s="20" t="s">
        <v>801</v>
      </c>
      <c r="F1896" s="76" t="s">
        <v>519</v>
      </c>
      <c r="G1896" s="20" t="s">
        <v>658</v>
      </c>
      <c r="H1896" s="55" t="n">
        <v>28</v>
      </c>
      <c r="I1896" s="76" t="s">
        <v>512</v>
      </c>
      <c r="J1896" s="76" t="s">
        <v>164</v>
      </c>
      <c r="K1896" s="82" t="n">
        <v>2</v>
      </c>
      <c r="L1896" s="55" t="n">
        <v>4</v>
      </c>
      <c r="M1896" s="73" t="n">
        <v>20.5</v>
      </c>
      <c r="N1896" s="74" t="n">
        <f aca="false">K1896*L1896*M1896</f>
        <v>164</v>
      </c>
      <c r="O1896" s="41" t="n">
        <f aca="false">IFERROR(INDEX(Исходные!$B$21:$B$33,MATCH(H1896,Исходные!$A$21:$A$33,0)),0)</f>
        <v>4.834</v>
      </c>
      <c r="P1896" s="83" t="n">
        <f aca="false">N1896*O1896</f>
        <v>792.776</v>
      </c>
      <c r="Q1896" s="20" t="s">
        <v>1367</v>
      </c>
      <c r="R1896" s="84" t="s">
        <v>660</v>
      </c>
      <c r="S1896" s="20" t="s">
        <v>803</v>
      </c>
      <c r="T1896" s="20" t="s">
        <v>123</v>
      </c>
      <c r="U1896" s="53" t="n">
        <v>0</v>
      </c>
      <c r="V1896" s="76" t="s">
        <v>801</v>
      </c>
      <c r="W1896" s="53" t="n">
        <v>5</v>
      </c>
    </row>
    <row r="1897" customFormat="false" ht="35.05" hidden="false" customHeight="false" outlineLevel="0" collapsed="false">
      <c r="A1897" s="76" t="n">
        <v>1857</v>
      </c>
      <c r="B1897" s="20" t="s">
        <v>1838</v>
      </c>
      <c r="C1897" s="20" t="s">
        <v>655</v>
      </c>
      <c r="D1897" s="20" t="s">
        <v>2011</v>
      </c>
      <c r="E1897" s="20" t="s">
        <v>801</v>
      </c>
      <c r="F1897" s="76" t="s">
        <v>529</v>
      </c>
      <c r="G1897" s="20" t="s">
        <v>662</v>
      </c>
      <c r="H1897" s="55" t="n">
        <v>18</v>
      </c>
      <c r="I1897" s="76" t="s">
        <v>512</v>
      </c>
      <c r="J1897" s="76" t="s">
        <v>164</v>
      </c>
      <c r="K1897" s="82" t="n">
        <v>2</v>
      </c>
      <c r="L1897" s="55" t="n">
        <v>2</v>
      </c>
      <c r="M1897" s="73" t="n">
        <v>20.5</v>
      </c>
      <c r="N1897" s="74" t="n">
        <f aca="false">K1897*L1897*M1897</f>
        <v>82</v>
      </c>
      <c r="O1897" s="41" t="n">
        <f aca="false">IFERROR(INDEX(Исходные!$B$21:$B$33,MATCH(H1897,Исходные!$A$21:$A$33,0)),0)</f>
        <v>1.998</v>
      </c>
      <c r="P1897" s="83" t="n">
        <f aca="false">N1897*O1897</f>
        <v>163.836</v>
      </c>
      <c r="Q1897" s="20" t="s">
        <v>663</v>
      </c>
      <c r="R1897" s="84" t="s">
        <v>660</v>
      </c>
      <c r="S1897" s="20"/>
      <c r="T1897" s="20" t="s">
        <v>123</v>
      </c>
      <c r="U1897" s="53" t="n">
        <v>0</v>
      </c>
      <c r="V1897" s="76" t="s">
        <v>801</v>
      </c>
      <c r="W1897" s="53" t="n">
        <v>5</v>
      </c>
    </row>
    <row r="1898" customFormat="false" ht="35.05" hidden="false" customHeight="false" outlineLevel="0" collapsed="false">
      <c r="A1898" s="76" t="n">
        <v>1858</v>
      </c>
      <c r="B1898" s="20" t="s">
        <v>1838</v>
      </c>
      <c r="C1898" s="20" t="s">
        <v>655</v>
      </c>
      <c r="D1898" s="20" t="s">
        <v>2011</v>
      </c>
      <c r="E1898" s="20" t="s">
        <v>801</v>
      </c>
      <c r="F1898" s="76" t="s">
        <v>664</v>
      </c>
      <c r="G1898" s="20" t="s">
        <v>804</v>
      </c>
      <c r="H1898" s="55" t="n">
        <v>18</v>
      </c>
      <c r="I1898" s="76" t="s">
        <v>512</v>
      </c>
      <c r="J1898" s="76" t="s">
        <v>164</v>
      </c>
      <c r="K1898" s="82" t="n">
        <v>4</v>
      </c>
      <c r="L1898" s="55" t="n">
        <v>1</v>
      </c>
      <c r="M1898" s="73" t="n">
        <v>0.144</v>
      </c>
      <c r="N1898" s="74" t="n">
        <f aca="false">K1898*L1898*M1898</f>
        <v>0.576</v>
      </c>
      <c r="O1898" s="41" t="n">
        <f aca="false">IFERROR(INDEX(Исходные!$B$21:$B$33,MATCH(H1898,Исходные!$A$21:$A$33,0)),0)</f>
        <v>1.998</v>
      </c>
      <c r="P1898" s="83" t="n">
        <f aca="false">N1898*O1898</f>
        <v>1.150848</v>
      </c>
      <c r="Q1898" s="20" t="s">
        <v>666</v>
      </c>
      <c r="R1898" s="84" t="s">
        <v>667</v>
      </c>
      <c r="S1898" s="20" t="s">
        <v>805</v>
      </c>
      <c r="T1898" s="20" t="s">
        <v>123</v>
      </c>
      <c r="U1898" s="53" t="n">
        <v>0</v>
      </c>
      <c r="V1898" s="76" t="s">
        <v>801</v>
      </c>
      <c r="W1898" s="53" t="n">
        <v>5</v>
      </c>
    </row>
    <row r="1899" customFormat="false" ht="35.05" hidden="false" customHeight="false" outlineLevel="0" collapsed="false">
      <c r="A1899" s="76" t="n">
        <v>1859</v>
      </c>
      <c r="B1899" s="20" t="s">
        <v>1838</v>
      </c>
      <c r="C1899" s="20" t="s">
        <v>655</v>
      </c>
      <c r="D1899" s="20" t="s">
        <v>2011</v>
      </c>
      <c r="E1899" s="20" t="s">
        <v>801</v>
      </c>
      <c r="F1899" s="76" t="s">
        <v>669</v>
      </c>
      <c r="G1899" s="20" t="s">
        <v>670</v>
      </c>
      <c r="H1899" s="55" t="n">
        <v>16</v>
      </c>
      <c r="I1899" s="76" t="s">
        <v>512</v>
      </c>
      <c r="J1899" s="76" t="s">
        <v>164</v>
      </c>
      <c r="K1899" s="82" t="n">
        <v>2</v>
      </c>
      <c r="L1899" s="55" t="n">
        <v>2</v>
      </c>
      <c r="M1899" s="73" t="n">
        <v>20.5</v>
      </c>
      <c r="N1899" s="74" t="n">
        <f aca="false">K1899*L1899*M1899</f>
        <v>82</v>
      </c>
      <c r="O1899" s="41" t="n">
        <f aca="false">IFERROR(INDEX(Исходные!$B$21:$B$33,MATCH(H1899,Исходные!$A$21:$A$33,0)),0)</f>
        <v>1.578</v>
      </c>
      <c r="P1899" s="83" t="n">
        <f aca="false">N1899*O1899</f>
        <v>129.396</v>
      </c>
      <c r="Q1899" s="20" t="s">
        <v>671</v>
      </c>
      <c r="R1899" s="84" t="s">
        <v>660</v>
      </c>
      <c r="S1899" s="20"/>
      <c r="T1899" s="20" t="s">
        <v>123</v>
      </c>
      <c r="U1899" s="53" t="n">
        <v>0</v>
      </c>
      <c r="V1899" s="76" t="s">
        <v>801</v>
      </c>
      <c r="W1899" s="53" t="n">
        <v>5</v>
      </c>
    </row>
    <row r="1900" customFormat="false" ht="35.05" hidden="false" customHeight="false" outlineLevel="0" collapsed="false">
      <c r="A1900" s="76" t="n">
        <v>1860</v>
      </c>
      <c r="B1900" s="20" t="s">
        <v>1838</v>
      </c>
      <c r="C1900" s="20" t="s">
        <v>655</v>
      </c>
      <c r="D1900" s="20" t="s">
        <v>2011</v>
      </c>
      <c r="E1900" s="20" t="s">
        <v>801</v>
      </c>
      <c r="F1900" s="76" t="s">
        <v>672</v>
      </c>
      <c r="G1900" s="20" t="s">
        <v>806</v>
      </c>
      <c r="H1900" s="55" t="n">
        <v>16</v>
      </c>
      <c r="I1900" s="76" t="s">
        <v>512</v>
      </c>
      <c r="J1900" s="76" t="s">
        <v>164</v>
      </c>
      <c r="K1900" s="82" t="n">
        <v>4</v>
      </c>
      <c r="L1900" s="55" t="n">
        <v>1</v>
      </c>
      <c r="M1900" s="73" t="n">
        <v>0.128</v>
      </c>
      <c r="N1900" s="74" t="n">
        <f aca="false">K1900*L1900*M1900</f>
        <v>0.512</v>
      </c>
      <c r="O1900" s="41" t="n">
        <f aca="false">IFERROR(INDEX(Исходные!$B$21:$B$33,MATCH(H1900,Исходные!$A$21:$A$33,0)),0)</f>
        <v>1.578</v>
      </c>
      <c r="P1900" s="83" t="n">
        <f aca="false">N1900*O1900</f>
        <v>0.807936</v>
      </c>
      <c r="Q1900" s="20" t="s">
        <v>674</v>
      </c>
      <c r="R1900" s="84" t="s">
        <v>667</v>
      </c>
      <c r="S1900" s="20" t="s">
        <v>807</v>
      </c>
      <c r="T1900" s="20" t="s">
        <v>123</v>
      </c>
      <c r="U1900" s="53" t="n">
        <v>0</v>
      </c>
      <c r="V1900" s="76" t="s">
        <v>801</v>
      </c>
      <c r="W1900" s="53" t="n">
        <v>5</v>
      </c>
    </row>
    <row r="1901" customFormat="false" ht="35.05" hidden="false" customHeight="false" outlineLevel="0" collapsed="false">
      <c r="A1901" s="76" t="n">
        <v>1861</v>
      </c>
      <c r="B1901" s="20" t="s">
        <v>1838</v>
      </c>
      <c r="C1901" s="20" t="s">
        <v>655</v>
      </c>
      <c r="D1901" s="20" t="s">
        <v>2011</v>
      </c>
      <c r="E1901" s="20" t="s">
        <v>801</v>
      </c>
      <c r="F1901" s="76" t="s">
        <v>676</v>
      </c>
      <c r="G1901" s="20" t="s">
        <v>2012</v>
      </c>
      <c r="H1901" s="55" t="n">
        <v>20</v>
      </c>
      <c r="I1901" s="76" t="s">
        <v>512</v>
      </c>
      <c r="J1901" s="76" t="s">
        <v>164</v>
      </c>
      <c r="K1901" s="82" t="n">
        <v>2</v>
      </c>
      <c r="L1901" s="55" t="n">
        <v>2</v>
      </c>
      <c r="M1901" s="73" t="n">
        <v>3.8</v>
      </c>
      <c r="N1901" s="74" t="n">
        <f aca="false">K1901*L1901*M1901</f>
        <v>15.2</v>
      </c>
      <c r="O1901" s="41" t="n">
        <f aca="false">IFERROR(INDEX(Исходные!$B$21:$B$33,MATCH(H1901,Исходные!$A$21:$A$33,0)),0)</f>
        <v>2.466</v>
      </c>
      <c r="P1901" s="83" t="n">
        <f aca="false">N1901*O1901</f>
        <v>37.4832</v>
      </c>
      <c r="Q1901" s="20" t="s">
        <v>2013</v>
      </c>
      <c r="R1901" s="84" t="s">
        <v>660</v>
      </c>
      <c r="S1901" s="20" t="s">
        <v>812</v>
      </c>
      <c r="T1901" s="20" t="s">
        <v>123</v>
      </c>
      <c r="U1901" s="53" t="n">
        <v>0</v>
      </c>
      <c r="V1901" s="76" t="s">
        <v>801</v>
      </c>
      <c r="W1901" s="53" t="n">
        <v>5</v>
      </c>
    </row>
    <row r="1902" customFormat="false" ht="35.05" hidden="false" customHeight="false" outlineLevel="0" collapsed="false">
      <c r="A1902" s="76" t="n">
        <v>1862</v>
      </c>
      <c r="B1902" s="20" t="s">
        <v>1838</v>
      </c>
      <c r="C1902" s="20" t="s">
        <v>655</v>
      </c>
      <c r="D1902" s="20" t="s">
        <v>2011</v>
      </c>
      <c r="E1902" s="20" t="s">
        <v>801</v>
      </c>
      <c r="F1902" s="76" t="s">
        <v>676</v>
      </c>
      <c r="G1902" s="20" t="s">
        <v>2014</v>
      </c>
      <c r="H1902" s="55" t="n">
        <v>20</v>
      </c>
      <c r="I1902" s="76" t="s">
        <v>512</v>
      </c>
      <c r="J1902" s="76" t="s">
        <v>164</v>
      </c>
      <c r="K1902" s="82" t="n">
        <v>2</v>
      </c>
      <c r="L1902" s="55" t="n">
        <v>2</v>
      </c>
      <c r="M1902" s="73" t="n">
        <v>3.8</v>
      </c>
      <c r="N1902" s="74" t="n">
        <f aca="false">K1902*L1902*M1902</f>
        <v>15.2</v>
      </c>
      <c r="O1902" s="41" t="n">
        <f aca="false">IFERROR(INDEX(Исходные!$B$21:$B$33,MATCH(H1902,Исходные!$A$21:$A$33,0)),0)</f>
        <v>2.466</v>
      </c>
      <c r="P1902" s="83" t="n">
        <f aca="false">N1902*O1902</f>
        <v>37.4832</v>
      </c>
      <c r="Q1902" s="20" t="s">
        <v>2013</v>
      </c>
      <c r="R1902" s="84" t="s">
        <v>660</v>
      </c>
      <c r="S1902" s="20" t="s">
        <v>815</v>
      </c>
      <c r="T1902" s="20" t="s">
        <v>123</v>
      </c>
      <c r="U1902" s="53" t="n">
        <v>0</v>
      </c>
      <c r="V1902" s="76" t="s">
        <v>801</v>
      </c>
      <c r="W1902" s="53" t="n">
        <v>5</v>
      </c>
    </row>
    <row r="1903" customFormat="false" ht="35.05" hidden="false" customHeight="false" outlineLevel="0" collapsed="false">
      <c r="A1903" s="76" t="n">
        <v>1863</v>
      </c>
      <c r="B1903" s="20" t="s">
        <v>1838</v>
      </c>
      <c r="C1903" s="20" t="s">
        <v>655</v>
      </c>
      <c r="D1903" s="20" t="s">
        <v>2011</v>
      </c>
      <c r="E1903" s="20" t="s">
        <v>801</v>
      </c>
      <c r="F1903" s="76" t="s">
        <v>696</v>
      </c>
      <c r="G1903" s="20" t="s">
        <v>1308</v>
      </c>
      <c r="H1903" s="55" t="n">
        <v>8</v>
      </c>
      <c r="I1903" s="76" t="s">
        <v>546</v>
      </c>
      <c r="J1903" s="76" t="s">
        <v>698</v>
      </c>
      <c r="K1903" s="82" t="n">
        <v>2</v>
      </c>
      <c r="L1903" s="55" t="n">
        <v>126</v>
      </c>
      <c r="M1903" s="73" t="n">
        <v>2.06</v>
      </c>
      <c r="N1903" s="74" t="n">
        <f aca="false">K1903*L1903*M1903</f>
        <v>519.12</v>
      </c>
      <c r="O1903" s="41" t="n">
        <f aca="false">IFERROR(INDEX(Исходные!$B$21:$B$33,MATCH(H1903,Исходные!$A$21:$A$33,0)),0)</f>
        <v>0.395</v>
      </c>
      <c r="P1903" s="83" t="n">
        <f aca="false">N1903*O1903</f>
        <v>205.0524</v>
      </c>
      <c r="Q1903" s="20" t="s">
        <v>1309</v>
      </c>
      <c r="R1903" s="84" t="s">
        <v>514</v>
      </c>
      <c r="S1903" s="20" t="s">
        <v>1375</v>
      </c>
      <c r="T1903" s="20" t="s">
        <v>123</v>
      </c>
      <c r="U1903" s="53" t="n">
        <v>0</v>
      </c>
      <c r="V1903" s="76" t="s">
        <v>801</v>
      </c>
      <c r="W1903" s="53" t="n">
        <v>5</v>
      </c>
    </row>
    <row r="1904" customFormat="false" ht="35.05" hidden="false" customHeight="false" outlineLevel="0" collapsed="false">
      <c r="A1904" s="76" t="n">
        <v>1864</v>
      </c>
      <c r="B1904" s="20" t="s">
        <v>1838</v>
      </c>
      <c r="C1904" s="20" t="s">
        <v>655</v>
      </c>
      <c r="D1904" s="20" t="s">
        <v>2011</v>
      </c>
      <c r="E1904" s="20" t="s">
        <v>801</v>
      </c>
      <c r="F1904" s="76" t="s">
        <v>561</v>
      </c>
      <c r="G1904" s="20" t="s">
        <v>1311</v>
      </c>
      <c r="H1904" s="55" t="n">
        <v>10</v>
      </c>
      <c r="I1904" s="76" t="s">
        <v>546</v>
      </c>
      <c r="J1904" s="76" t="n">
        <v>100</v>
      </c>
      <c r="K1904" s="82" t="n">
        <v>2</v>
      </c>
      <c r="L1904" s="55" t="n">
        <v>22</v>
      </c>
      <c r="M1904" s="73" t="n">
        <v>2.06</v>
      </c>
      <c r="N1904" s="74" t="n">
        <f aca="false">K1904*L1904*M1904</f>
        <v>90.64</v>
      </c>
      <c r="O1904" s="41" t="n">
        <f aca="false">IFERROR(INDEX(Исходные!$B$21:$B$33,MATCH(H1904,Исходные!$A$21:$A$33,0)),0)</f>
        <v>0.617</v>
      </c>
      <c r="P1904" s="83" t="n">
        <f aca="false">N1904*O1904</f>
        <v>55.92488</v>
      </c>
      <c r="Q1904" s="20" t="s">
        <v>2015</v>
      </c>
      <c r="R1904" s="84" t="s">
        <v>514</v>
      </c>
      <c r="S1904" s="20" t="s">
        <v>2016</v>
      </c>
      <c r="T1904" s="20" t="s">
        <v>123</v>
      </c>
      <c r="U1904" s="53" t="n">
        <v>0</v>
      </c>
      <c r="V1904" s="76" t="s">
        <v>801</v>
      </c>
      <c r="W1904" s="53" t="n">
        <v>5</v>
      </c>
    </row>
    <row r="1905" customFormat="false" ht="35.05" hidden="false" customHeight="false" outlineLevel="0" collapsed="false">
      <c r="A1905" s="76" t="n">
        <v>1865</v>
      </c>
      <c r="B1905" s="20" t="s">
        <v>1838</v>
      </c>
      <c r="C1905" s="20" t="s">
        <v>655</v>
      </c>
      <c r="D1905" s="20" t="s">
        <v>2011</v>
      </c>
      <c r="E1905" s="20" t="s">
        <v>801</v>
      </c>
      <c r="F1905" s="76" t="s">
        <v>706</v>
      </c>
      <c r="G1905" s="20" t="s">
        <v>1314</v>
      </c>
      <c r="H1905" s="55" t="n">
        <v>8</v>
      </c>
      <c r="I1905" s="76" t="s">
        <v>546</v>
      </c>
      <c r="J1905" s="76" t="s">
        <v>708</v>
      </c>
      <c r="K1905" s="82" t="n">
        <v>2</v>
      </c>
      <c r="L1905" s="55" t="n">
        <v>99</v>
      </c>
      <c r="M1905" s="73" t="n">
        <v>0.75</v>
      </c>
      <c r="N1905" s="74" t="n">
        <f aca="false">K1905*L1905*M1905</f>
        <v>148.5</v>
      </c>
      <c r="O1905" s="41" t="n">
        <f aca="false">IFERROR(INDEX(Исходные!$B$21:$B$33,MATCH(H1905,Исходные!$A$21:$A$33,0)),0)</f>
        <v>0.395</v>
      </c>
      <c r="P1905" s="83" t="n">
        <f aca="false">N1905*O1905</f>
        <v>58.6575</v>
      </c>
      <c r="Q1905" s="20" t="s">
        <v>709</v>
      </c>
      <c r="R1905" s="84" t="s">
        <v>514</v>
      </c>
      <c r="S1905" s="20"/>
      <c r="T1905" s="20" t="s">
        <v>123</v>
      </c>
      <c r="U1905" s="53" t="n">
        <v>0</v>
      </c>
      <c r="V1905" s="76" t="s">
        <v>801</v>
      </c>
      <c r="W1905" s="53" t="n">
        <v>5</v>
      </c>
    </row>
    <row r="1906" customFormat="false" ht="35.05" hidden="false" customHeight="false" outlineLevel="0" collapsed="false">
      <c r="A1906" s="76" t="n">
        <v>1866</v>
      </c>
      <c r="B1906" s="20" t="s">
        <v>1838</v>
      </c>
      <c r="C1906" s="20" t="s">
        <v>655</v>
      </c>
      <c r="D1906" s="20" t="s">
        <v>2011</v>
      </c>
      <c r="E1906" s="20" t="s">
        <v>801</v>
      </c>
      <c r="F1906" s="76" t="s">
        <v>710</v>
      </c>
      <c r="G1906" s="20" t="s">
        <v>1315</v>
      </c>
      <c r="H1906" s="55" t="n">
        <v>8</v>
      </c>
      <c r="I1906" s="76" t="s">
        <v>546</v>
      </c>
      <c r="J1906" s="76" t="n">
        <v>300</v>
      </c>
      <c r="K1906" s="82" t="n">
        <v>2</v>
      </c>
      <c r="L1906" s="55" t="n">
        <v>62</v>
      </c>
      <c r="M1906" s="73" t="n">
        <v>0.58</v>
      </c>
      <c r="N1906" s="74" t="n">
        <f aca="false">K1906*L1906*M1906</f>
        <v>71.92</v>
      </c>
      <c r="O1906" s="41" t="n">
        <f aca="false">IFERROR(INDEX(Исходные!$B$21:$B$33,MATCH(H1906,Исходные!$A$21:$A$33,0)),0)</f>
        <v>0.395</v>
      </c>
      <c r="P1906" s="83" t="n">
        <f aca="false">N1906*O1906</f>
        <v>28.4084</v>
      </c>
      <c r="Q1906" s="20" t="s">
        <v>1316</v>
      </c>
      <c r="R1906" s="85" t="s">
        <v>638</v>
      </c>
      <c r="S1906" s="20"/>
      <c r="T1906" s="20" t="s">
        <v>123</v>
      </c>
      <c r="U1906" s="53" t="n">
        <v>1</v>
      </c>
      <c r="V1906" s="76" t="s">
        <v>801</v>
      </c>
      <c r="W1906" s="53" t="n">
        <v>5</v>
      </c>
    </row>
    <row r="1907" customFormat="false" ht="35.05" hidden="false" customHeight="false" outlineLevel="0" collapsed="false">
      <c r="A1907" s="76" t="n">
        <v>1867</v>
      </c>
      <c r="B1907" s="20" t="s">
        <v>1838</v>
      </c>
      <c r="C1907" s="20" t="s">
        <v>655</v>
      </c>
      <c r="D1907" s="20" t="s">
        <v>2017</v>
      </c>
      <c r="E1907" s="20" t="s">
        <v>830</v>
      </c>
      <c r="F1907" s="76" t="s">
        <v>519</v>
      </c>
      <c r="G1907" s="20" t="s">
        <v>658</v>
      </c>
      <c r="H1907" s="55" t="n">
        <v>28</v>
      </c>
      <c r="I1907" s="76" t="s">
        <v>512</v>
      </c>
      <c r="J1907" s="76" t="s">
        <v>164</v>
      </c>
      <c r="K1907" s="82" t="n">
        <v>1</v>
      </c>
      <c r="L1907" s="55" t="n">
        <v>4</v>
      </c>
      <c r="M1907" s="73" t="n">
        <v>20.5</v>
      </c>
      <c r="N1907" s="74" t="n">
        <f aca="false">K1907*L1907*M1907</f>
        <v>82</v>
      </c>
      <c r="O1907" s="41" t="n">
        <f aca="false">IFERROR(INDEX(Исходные!$B$21:$B$33,MATCH(H1907,Исходные!$A$21:$A$33,0)),0)</f>
        <v>4.834</v>
      </c>
      <c r="P1907" s="83" t="n">
        <f aca="false">N1907*O1907</f>
        <v>396.388</v>
      </c>
      <c r="Q1907" s="20" t="s">
        <v>1379</v>
      </c>
      <c r="R1907" s="84" t="s">
        <v>660</v>
      </c>
      <c r="S1907" s="20" t="s">
        <v>832</v>
      </c>
      <c r="T1907" s="20" t="s">
        <v>123</v>
      </c>
      <c r="U1907" s="53" t="n">
        <v>0</v>
      </c>
      <c r="V1907" s="76" t="s">
        <v>830</v>
      </c>
      <c r="W1907" s="53" t="n">
        <v>5</v>
      </c>
    </row>
    <row r="1908" customFormat="false" ht="35.05" hidden="false" customHeight="false" outlineLevel="0" collapsed="false">
      <c r="A1908" s="76" t="n">
        <v>1868</v>
      </c>
      <c r="B1908" s="20" t="s">
        <v>1838</v>
      </c>
      <c r="C1908" s="20" t="s">
        <v>655</v>
      </c>
      <c r="D1908" s="20" t="s">
        <v>2017</v>
      </c>
      <c r="E1908" s="20" t="s">
        <v>830</v>
      </c>
      <c r="F1908" s="76" t="s">
        <v>529</v>
      </c>
      <c r="G1908" s="20" t="s">
        <v>662</v>
      </c>
      <c r="H1908" s="55" t="n">
        <v>18</v>
      </c>
      <c r="I1908" s="76" t="s">
        <v>512</v>
      </c>
      <c r="J1908" s="76" t="s">
        <v>164</v>
      </c>
      <c r="K1908" s="82" t="n">
        <v>1</v>
      </c>
      <c r="L1908" s="55" t="n">
        <v>2</v>
      </c>
      <c r="M1908" s="73" t="n">
        <v>20.5</v>
      </c>
      <c r="N1908" s="74" t="n">
        <f aca="false">K1908*L1908*M1908</f>
        <v>41</v>
      </c>
      <c r="O1908" s="41" t="n">
        <f aca="false">IFERROR(INDEX(Исходные!$B$21:$B$33,MATCH(H1908,Исходные!$A$21:$A$33,0)),0)</f>
        <v>1.998</v>
      </c>
      <c r="P1908" s="83" t="n">
        <f aca="false">N1908*O1908</f>
        <v>81.918</v>
      </c>
      <c r="Q1908" s="20" t="s">
        <v>663</v>
      </c>
      <c r="R1908" s="84" t="s">
        <v>660</v>
      </c>
      <c r="S1908" s="20"/>
      <c r="T1908" s="20" t="s">
        <v>123</v>
      </c>
      <c r="U1908" s="53" t="n">
        <v>0</v>
      </c>
      <c r="V1908" s="76" t="s">
        <v>830</v>
      </c>
      <c r="W1908" s="53" t="n">
        <v>5</v>
      </c>
    </row>
    <row r="1909" customFormat="false" ht="35.05" hidden="false" customHeight="false" outlineLevel="0" collapsed="false">
      <c r="A1909" s="76" t="n">
        <v>1869</v>
      </c>
      <c r="B1909" s="20" t="s">
        <v>1838</v>
      </c>
      <c r="C1909" s="20" t="s">
        <v>655</v>
      </c>
      <c r="D1909" s="20" t="s">
        <v>2017</v>
      </c>
      <c r="E1909" s="20" t="s">
        <v>830</v>
      </c>
      <c r="F1909" s="76" t="s">
        <v>664</v>
      </c>
      <c r="G1909" s="20" t="s">
        <v>833</v>
      </c>
      <c r="H1909" s="55" t="n">
        <v>18</v>
      </c>
      <c r="I1909" s="76" t="s">
        <v>512</v>
      </c>
      <c r="J1909" s="76" t="s">
        <v>164</v>
      </c>
      <c r="K1909" s="82" t="n">
        <v>2</v>
      </c>
      <c r="L1909" s="55" t="n">
        <v>1</v>
      </c>
      <c r="M1909" s="73" t="n">
        <v>0.144</v>
      </c>
      <c r="N1909" s="74" t="n">
        <f aca="false">K1909*L1909*M1909</f>
        <v>0.288</v>
      </c>
      <c r="O1909" s="41" t="n">
        <f aca="false">IFERROR(INDEX(Исходные!$B$21:$B$33,MATCH(H1909,Исходные!$A$21:$A$33,0)),0)</f>
        <v>1.998</v>
      </c>
      <c r="P1909" s="83" t="n">
        <f aca="false">N1909*O1909</f>
        <v>0.575424</v>
      </c>
      <c r="Q1909" s="20" t="s">
        <v>666</v>
      </c>
      <c r="R1909" s="84" t="s">
        <v>667</v>
      </c>
      <c r="S1909" s="20" t="s">
        <v>805</v>
      </c>
      <c r="T1909" s="20" t="s">
        <v>123</v>
      </c>
      <c r="U1909" s="53" t="n">
        <v>0</v>
      </c>
      <c r="V1909" s="76" t="s">
        <v>830</v>
      </c>
      <c r="W1909" s="53" t="n">
        <v>5</v>
      </c>
    </row>
    <row r="1910" customFormat="false" ht="35.05" hidden="false" customHeight="false" outlineLevel="0" collapsed="false">
      <c r="A1910" s="76" t="n">
        <v>1870</v>
      </c>
      <c r="B1910" s="20" t="s">
        <v>1838</v>
      </c>
      <c r="C1910" s="20" t="s">
        <v>655</v>
      </c>
      <c r="D1910" s="20" t="s">
        <v>2017</v>
      </c>
      <c r="E1910" s="20" t="s">
        <v>830</v>
      </c>
      <c r="F1910" s="76" t="s">
        <v>669</v>
      </c>
      <c r="G1910" s="20" t="s">
        <v>670</v>
      </c>
      <c r="H1910" s="55" t="n">
        <v>16</v>
      </c>
      <c r="I1910" s="76" t="s">
        <v>512</v>
      </c>
      <c r="J1910" s="76" t="s">
        <v>164</v>
      </c>
      <c r="K1910" s="82" t="n">
        <v>1</v>
      </c>
      <c r="L1910" s="55" t="n">
        <v>2</v>
      </c>
      <c r="M1910" s="73" t="n">
        <v>20.5</v>
      </c>
      <c r="N1910" s="74" t="n">
        <f aca="false">K1910*L1910*M1910</f>
        <v>41</v>
      </c>
      <c r="O1910" s="41" t="n">
        <f aca="false">IFERROR(INDEX(Исходные!$B$21:$B$33,MATCH(H1910,Исходные!$A$21:$A$33,0)),0)</f>
        <v>1.578</v>
      </c>
      <c r="P1910" s="83" t="n">
        <f aca="false">N1910*O1910</f>
        <v>64.698</v>
      </c>
      <c r="Q1910" s="20" t="s">
        <v>671</v>
      </c>
      <c r="R1910" s="84" t="s">
        <v>660</v>
      </c>
      <c r="S1910" s="20"/>
      <c r="T1910" s="20" t="s">
        <v>123</v>
      </c>
      <c r="U1910" s="53" t="n">
        <v>0</v>
      </c>
      <c r="V1910" s="76" t="s">
        <v>830</v>
      </c>
      <c r="W1910" s="53" t="n">
        <v>5</v>
      </c>
    </row>
    <row r="1911" customFormat="false" ht="35.05" hidden="false" customHeight="false" outlineLevel="0" collapsed="false">
      <c r="A1911" s="76" t="n">
        <v>1871</v>
      </c>
      <c r="B1911" s="20" t="s">
        <v>1838</v>
      </c>
      <c r="C1911" s="20" t="s">
        <v>655</v>
      </c>
      <c r="D1911" s="20" t="s">
        <v>2017</v>
      </c>
      <c r="E1911" s="20" t="s">
        <v>830</v>
      </c>
      <c r="F1911" s="76" t="s">
        <v>672</v>
      </c>
      <c r="G1911" s="20" t="s">
        <v>834</v>
      </c>
      <c r="H1911" s="55" t="n">
        <v>16</v>
      </c>
      <c r="I1911" s="76" t="s">
        <v>512</v>
      </c>
      <c r="J1911" s="76" t="s">
        <v>164</v>
      </c>
      <c r="K1911" s="82" t="n">
        <v>2</v>
      </c>
      <c r="L1911" s="55" t="n">
        <v>1</v>
      </c>
      <c r="M1911" s="73" t="n">
        <v>0.128</v>
      </c>
      <c r="N1911" s="74" t="n">
        <f aca="false">K1911*L1911*M1911</f>
        <v>0.256</v>
      </c>
      <c r="O1911" s="41" t="n">
        <f aca="false">IFERROR(INDEX(Исходные!$B$21:$B$33,MATCH(H1911,Исходные!$A$21:$A$33,0)),0)</f>
        <v>1.578</v>
      </c>
      <c r="P1911" s="83" t="n">
        <f aca="false">N1911*O1911</f>
        <v>0.403968</v>
      </c>
      <c r="Q1911" s="20" t="s">
        <v>674</v>
      </c>
      <c r="R1911" s="84" t="s">
        <v>667</v>
      </c>
      <c r="S1911" s="20" t="s">
        <v>807</v>
      </c>
      <c r="T1911" s="20" t="s">
        <v>123</v>
      </c>
      <c r="U1911" s="53" t="n">
        <v>0</v>
      </c>
      <c r="V1911" s="76" t="s">
        <v>830</v>
      </c>
      <c r="W1911" s="53" t="n">
        <v>5</v>
      </c>
    </row>
    <row r="1912" customFormat="false" ht="35.05" hidden="false" customHeight="false" outlineLevel="0" collapsed="false">
      <c r="A1912" s="76" t="n">
        <v>1872</v>
      </c>
      <c r="B1912" s="20" t="s">
        <v>1838</v>
      </c>
      <c r="C1912" s="20" t="s">
        <v>655</v>
      </c>
      <c r="D1912" s="20" t="s">
        <v>2017</v>
      </c>
      <c r="E1912" s="20" t="s">
        <v>830</v>
      </c>
      <c r="F1912" s="76" t="s">
        <v>676</v>
      </c>
      <c r="G1912" s="20" t="s">
        <v>2018</v>
      </c>
      <c r="H1912" s="55" t="n">
        <v>28</v>
      </c>
      <c r="I1912" s="76" t="s">
        <v>512</v>
      </c>
      <c r="J1912" s="76" t="s">
        <v>164</v>
      </c>
      <c r="K1912" s="82" t="n">
        <v>1</v>
      </c>
      <c r="L1912" s="55" t="n">
        <v>1</v>
      </c>
      <c r="M1912" s="73" t="n">
        <v>2.4</v>
      </c>
      <c r="N1912" s="74" t="n">
        <f aca="false">K1912*L1912*M1912</f>
        <v>2.4</v>
      </c>
      <c r="O1912" s="41" t="n">
        <f aca="false">IFERROR(INDEX(Исходные!$B$21:$B$33,MATCH(H1912,Исходные!$A$21:$A$33,0)),0)</f>
        <v>4.834</v>
      </c>
      <c r="P1912" s="83" t="n">
        <f aca="false">N1912*O1912</f>
        <v>11.6016</v>
      </c>
      <c r="Q1912" s="20" t="s">
        <v>2019</v>
      </c>
      <c r="R1912" s="84" t="s">
        <v>660</v>
      </c>
      <c r="S1912" s="20" t="s">
        <v>837</v>
      </c>
      <c r="T1912" s="20" t="s">
        <v>123</v>
      </c>
      <c r="U1912" s="53" t="n">
        <v>0</v>
      </c>
      <c r="V1912" s="76" t="s">
        <v>830</v>
      </c>
      <c r="W1912" s="53" t="n">
        <v>5</v>
      </c>
    </row>
    <row r="1913" customFormat="false" ht="35.05" hidden="false" customHeight="false" outlineLevel="0" collapsed="false">
      <c r="A1913" s="76" t="n">
        <v>1873</v>
      </c>
      <c r="B1913" s="20" t="s">
        <v>1838</v>
      </c>
      <c r="C1913" s="20" t="s">
        <v>655</v>
      </c>
      <c r="D1913" s="20" t="s">
        <v>2017</v>
      </c>
      <c r="E1913" s="20" t="s">
        <v>830</v>
      </c>
      <c r="F1913" s="76" t="s">
        <v>676</v>
      </c>
      <c r="G1913" s="20" t="s">
        <v>2020</v>
      </c>
      <c r="H1913" s="55" t="n">
        <v>16</v>
      </c>
      <c r="I1913" s="76" t="s">
        <v>512</v>
      </c>
      <c r="J1913" s="76" t="s">
        <v>164</v>
      </c>
      <c r="K1913" s="82" t="n">
        <v>1</v>
      </c>
      <c r="L1913" s="55" t="n">
        <v>2</v>
      </c>
      <c r="M1913" s="73" t="n">
        <v>7.5</v>
      </c>
      <c r="N1913" s="74" t="n">
        <f aca="false">K1913*L1913*M1913</f>
        <v>15</v>
      </c>
      <c r="O1913" s="41" t="n">
        <f aca="false">IFERROR(INDEX(Исходные!$B$21:$B$33,MATCH(H1913,Исходные!$A$21:$A$33,0)),0)</f>
        <v>1.578</v>
      </c>
      <c r="P1913" s="83" t="n">
        <f aca="false">N1913*O1913</f>
        <v>23.67</v>
      </c>
      <c r="Q1913" s="20" t="s">
        <v>2021</v>
      </c>
      <c r="R1913" s="84" t="s">
        <v>660</v>
      </c>
      <c r="S1913" s="20" t="s">
        <v>843</v>
      </c>
      <c r="T1913" s="20" t="s">
        <v>123</v>
      </c>
      <c r="U1913" s="53" t="n">
        <v>0</v>
      </c>
      <c r="V1913" s="76" t="s">
        <v>830</v>
      </c>
      <c r="W1913" s="53" t="n">
        <v>5</v>
      </c>
    </row>
    <row r="1914" customFormat="false" ht="35.05" hidden="false" customHeight="false" outlineLevel="0" collapsed="false">
      <c r="A1914" s="76" t="n">
        <v>1874</v>
      </c>
      <c r="B1914" s="20" t="s">
        <v>1838</v>
      </c>
      <c r="C1914" s="20" t="s">
        <v>655</v>
      </c>
      <c r="D1914" s="20" t="s">
        <v>2017</v>
      </c>
      <c r="E1914" s="20" t="s">
        <v>830</v>
      </c>
      <c r="F1914" s="76" t="s">
        <v>676</v>
      </c>
      <c r="G1914" s="20" t="s">
        <v>2022</v>
      </c>
      <c r="H1914" s="55" t="n">
        <v>16</v>
      </c>
      <c r="I1914" s="76" t="s">
        <v>512</v>
      </c>
      <c r="J1914" s="76" t="s">
        <v>164</v>
      </c>
      <c r="K1914" s="82" t="n">
        <v>1</v>
      </c>
      <c r="L1914" s="55" t="n">
        <v>2</v>
      </c>
      <c r="M1914" s="73" t="n">
        <v>3.6</v>
      </c>
      <c r="N1914" s="74" t="n">
        <f aca="false">K1914*L1914*M1914</f>
        <v>7.2</v>
      </c>
      <c r="O1914" s="41" t="n">
        <f aca="false">IFERROR(INDEX(Исходные!$B$21:$B$33,MATCH(H1914,Исходные!$A$21:$A$33,0)),0)</f>
        <v>1.578</v>
      </c>
      <c r="P1914" s="83" t="n">
        <f aca="false">N1914*O1914</f>
        <v>11.3616</v>
      </c>
      <c r="Q1914" s="20" t="s">
        <v>2021</v>
      </c>
      <c r="R1914" s="84" t="s">
        <v>660</v>
      </c>
      <c r="S1914" s="20" t="s">
        <v>845</v>
      </c>
      <c r="T1914" s="20" t="s">
        <v>123</v>
      </c>
      <c r="U1914" s="53" t="n">
        <v>0</v>
      </c>
      <c r="V1914" s="76" t="s">
        <v>830</v>
      </c>
      <c r="W1914" s="53" t="n">
        <v>5</v>
      </c>
    </row>
    <row r="1915" customFormat="false" ht="35.05" hidden="false" customHeight="false" outlineLevel="0" collapsed="false">
      <c r="A1915" s="76" t="n">
        <v>1875</v>
      </c>
      <c r="B1915" s="20" t="s">
        <v>1838</v>
      </c>
      <c r="C1915" s="20" t="s">
        <v>655</v>
      </c>
      <c r="D1915" s="20" t="s">
        <v>2017</v>
      </c>
      <c r="E1915" s="20" t="s">
        <v>830</v>
      </c>
      <c r="F1915" s="76" t="s">
        <v>676</v>
      </c>
      <c r="G1915" s="20" t="s">
        <v>2023</v>
      </c>
      <c r="H1915" s="55" t="n">
        <v>22</v>
      </c>
      <c r="I1915" s="76" t="s">
        <v>512</v>
      </c>
      <c r="J1915" s="76" t="s">
        <v>164</v>
      </c>
      <c r="K1915" s="82" t="n">
        <v>1</v>
      </c>
      <c r="L1915" s="55" t="n">
        <v>2</v>
      </c>
      <c r="M1915" s="73" t="n">
        <v>2.85</v>
      </c>
      <c r="N1915" s="74" t="n">
        <f aca="false">K1915*L1915*M1915</f>
        <v>5.7</v>
      </c>
      <c r="O1915" s="41" t="n">
        <f aca="false">IFERROR(INDEX(Исходные!$B$21:$B$33,MATCH(H1915,Исходные!$A$21:$A$33,0)),0)</f>
        <v>2.984</v>
      </c>
      <c r="P1915" s="83" t="n">
        <f aca="false">N1915*O1915</f>
        <v>17.0088</v>
      </c>
      <c r="Q1915" s="20" t="s">
        <v>2024</v>
      </c>
      <c r="R1915" s="84" t="s">
        <v>660</v>
      </c>
      <c r="S1915" s="20" t="s">
        <v>1381</v>
      </c>
      <c r="T1915" s="20" t="s">
        <v>123</v>
      </c>
      <c r="U1915" s="53" t="n">
        <v>0</v>
      </c>
      <c r="V1915" s="76" t="s">
        <v>830</v>
      </c>
      <c r="W1915" s="53" t="n">
        <v>5</v>
      </c>
    </row>
    <row r="1916" customFormat="false" ht="35.05" hidden="false" customHeight="false" outlineLevel="0" collapsed="false">
      <c r="A1916" s="76" t="n">
        <v>1876</v>
      </c>
      <c r="B1916" s="20" t="s">
        <v>1838</v>
      </c>
      <c r="C1916" s="20" t="s">
        <v>655</v>
      </c>
      <c r="D1916" s="20" t="s">
        <v>2017</v>
      </c>
      <c r="E1916" s="20" t="s">
        <v>830</v>
      </c>
      <c r="F1916" s="76" t="s">
        <v>696</v>
      </c>
      <c r="G1916" s="20" t="s">
        <v>1308</v>
      </c>
      <c r="H1916" s="55" t="n">
        <v>8</v>
      </c>
      <c r="I1916" s="76" t="s">
        <v>546</v>
      </c>
      <c r="J1916" s="76" t="s">
        <v>698</v>
      </c>
      <c r="K1916" s="82" t="n">
        <v>1</v>
      </c>
      <c r="L1916" s="55" t="n">
        <v>133</v>
      </c>
      <c r="M1916" s="73" t="n">
        <v>2.06</v>
      </c>
      <c r="N1916" s="74" t="n">
        <f aca="false">K1916*L1916*M1916</f>
        <v>273.98</v>
      </c>
      <c r="O1916" s="41" t="n">
        <f aca="false">IFERROR(INDEX(Исходные!$B$21:$B$33,MATCH(H1916,Исходные!$A$21:$A$33,0)),0)</f>
        <v>0.395</v>
      </c>
      <c r="P1916" s="83" t="n">
        <f aca="false">N1916*O1916</f>
        <v>108.2221</v>
      </c>
      <c r="Q1916" s="20" t="s">
        <v>1309</v>
      </c>
      <c r="R1916" s="84" t="s">
        <v>514</v>
      </c>
      <c r="S1916" s="20" t="s">
        <v>1395</v>
      </c>
      <c r="T1916" s="20" t="s">
        <v>123</v>
      </c>
      <c r="U1916" s="53" t="n">
        <v>0</v>
      </c>
      <c r="V1916" s="76" t="s">
        <v>830</v>
      </c>
      <c r="W1916" s="53" t="n">
        <v>5</v>
      </c>
    </row>
    <row r="1917" customFormat="false" ht="35.05" hidden="false" customHeight="false" outlineLevel="0" collapsed="false">
      <c r="A1917" s="76" t="n">
        <v>1877</v>
      </c>
      <c r="B1917" s="20" t="s">
        <v>1838</v>
      </c>
      <c r="C1917" s="20" t="s">
        <v>655</v>
      </c>
      <c r="D1917" s="20" t="s">
        <v>2017</v>
      </c>
      <c r="E1917" s="20" t="s">
        <v>830</v>
      </c>
      <c r="F1917" s="76" t="s">
        <v>706</v>
      </c>
      <c r="G1917" s="20" t="s">
        <v>1314</v>
      </c>
      <c r="H1917" s="55" t="n">
        <v>8</v>
      </c>
      <c r="I1917" s="76" t="s">
        <v>546</v>
      </c>
      <c r="J1917" s="76" t="s">
        <v>708</v>
      </c>
      <c r="K1917" s="82" t="n">
        <v>1</v>
      </c>
      <c r="L1917" s="55" t="n">
        <v>83</v>
      </c>
      <c r="M1917" s="73" t="n">
        <v>0.75</v>
      </c>
      <c r="N1917" s="74" t="n">
        <f aca="false">K1917*L1917*M1917</f>
        <v>62.25</v>
      </c>
      <c r="O1917" s="41" t="n">
        <f aca="false">IFERROR(INDEX(Исходные!$B$21:$B$33,MATCH(H1917,Исходные!$A$21:$A$33,0)),0)</f>
        <v>0.395</v>
      </c>
      <c r="P1917" s="83" t="n">
        <f aca="false">N1917*O1917</f>
        <v>24.58875</v>
      </c>
      <c r="Q1917" s="20" t="s">
        <v>709</v>
      </c>
      <c r="R1917" s="84" t="s">
        <v>514</v>
      </c>
      <c r="S1917" s="20"/>
      <c r="T1917" s="20" t="s">
        <v>123</v>
      </c>
      <c r="U1917" s="53" t="n">
        <v>0</v>
      </c>
      <c r="V1917" s="76" t="s">
        <v>830</v>
      </c>
      <c r="W1917" s="53" t="n">
        <v>5</v>
      </c>
    </row>
    <row r="1918" customFormat="false" ht="35.05" hidden="false" customHeight="false" outlineLevel="0" collapsed="false">
      <c r="A1918" s="76" t="n">
        <v>1878</v>
      </c>
      <c r="B1918" s="20" t="s">
        <v>1838</v>
      </c>
      <c r="C1918" s="20" t="s">
        <v>655</v>
      </c>
      <c r="D1918" s="20" t="s">
        <v>2017</v>
      </c>
      <c r="E1918" s="20" t="s">
        <v>830</v>
      </c>
      <c r="F1918" s="76" t="s">
        <v>710</v>
      </c>
      <c r="G1918" s="20" t="s">
        <v>1315</v>
      </c>
      <c r="H1918" s="55" t="n">
        <v>8</v>
      </c>
      <c r="I1918" s="76" t="s">
        <v>546</v>
      </c>
      <c r="J1918" s="76" t="n">
        <v>300</v>
      </c>
      <c r="K1918" s="82" t="n">
        <v>1</v>
      </c>
      <c r="L1918" s="55" t="n">
        <v>54</v>
      </c>
      <c r="M1918" s="73" t="n">
        <v>0.58</v>
      </c>
      <c r="N1918" s="74" t="n">
        <f aca="false">K1918*L1918*M1918</f>
        <v>31.32</v>
      </c>
      <c r="O1918" s="41" t="n">
        <f aca="false">IFERROR(INDEX(Исходные!$B$21:$B$33,MATCH(H1918,Исходные!$A$21:$A$33,0)),0)</f>
        <v>0.395</v>
      </c>
      <c r="P1918" s="83" t="n">
        <f aca="false">N1918*O1918</f>
        <v>12.3714</v>
      </c>
      <c r="Q1918" s="20" t="s">
        <v>1316</v>
      </c>
      <c r="R1918" s="85" t="s">
        <v>638</v>
      </c>
      <c r="S1918" s="20"/>
      <c r="T1918" s="20" t="s">
        <v>123</v>
      </c>
      <c r="U1918" s="53" t="n">
        <v>1</v>
      </c>
      <c r="V1918" s="76" t="s">
        <v>830</v>
      </c>
      <c r="W1918" s="53" t="n">
        <v>5</v>
      </c>
    </row>
    <row r="1919" customFormat="false" ht="35.05" hidden="false" customHeight="false" outlineLevel="0" collapsed="false">
      <c r="A1919" s="76" t="n">
        <v>1879</v>
      </c>
      <c r="B1919" s="20" t="s">
        <v>1838</v>
      </c>
      <c r="C1919" s="20" t="s">
        <v>655</v>
      </c>
      <c r="D1919" s="20" t="s">
        <v>2025</v>
      </c>
      <c r="E1919" s="20" t="s">
        <v>865</v>
      </c>
      <c r="F1919" s="76" t="s">
        <v>519</v>
      </c>
      <c r="G1919" s="20" t="s">
        <v>658</v>
      </c>
      <c r="H1919" s="55" t="n">
        <v>28</v>
      </c>
      <c r="I1919" s="76" t="s">
        <v>512</v>
      </c>
      <c r="J1919" s="76" t="s">
        <v>164</v>
      </c>
      <c r="K1919" s="82" t="n">
        <v>1</v>
      </c>
      <c r="L1919" s="55" t="n">
        <v>4</v>
      </c>
      <c r="M1919" s="73" t="n">
        <v>20.5</v>
      </c>
      <c r="N1919" s="74" t="n">
        <f aca="false">K1919*L1919*M1919</f>
        <v>82</v>
      </c>
      <c r="O1919" s="41" t="n">
        <f aca="false">IFERROR(INDEX(Исходные!$B$21:$B$33,MATCH(H1919,Исходные!$A$21:$A$33,0)),0)</f>
        <v>4.834</v>
      </c>
      <c r="P1919" s="83" t="n">
        <f aca="false">N1919*O1919</f>
        <v>396.388</v>
      </c>
      <c r="Q1919" s="20" t="s">
        <v>1398</v>
      </c>
      <c r="R1919" s="84" t="s">
        <v>660</v>
      </c>
      <c r="S1919" s="20" t="s">
        <v>832</v>
      </c>
      <c r="T1919" s="20" t="s">
        <v>123</v>
      </c>
      <c r="U1919" s="53" t="n">
        <v>0</v>
      </c>
      <c r="V1919" s="76" t="s">
        <v>865</v>
      </c>
      <c r="W1919" s="53" t="n">
        <v>5</v>
      </c>
    </row>
    <row r="1920" customFormat="false" ht="35.05" hidden="false" customHeight="false" outlineLevel="0" collapsed="false">
      <c r="A1920" s="76" t="n">
        <v>1880</v>
      </c>
      <c r="B1920" s="20" t="s">
        <v>1838</v>
      </c>
      <c r="C1920" s="20" t="s">
        <v>655</v>
      </c>
      <c r="D1920" s="20" t="s">
        <v>2025</v>
      </c>
      <c r="E1920" s="20" t="s">
        <v>865</v>
      </c>
      <c r="F1920" s="76" t="s">
        <v>529</v>
      </c>
      <c r="G1920" s="20" t="s">
        <v>662</v>
      </c>
      <c r="H1920" s="55" t="n">
        <v>18</v>
      </c>
      <c r="I1920" s="76" t="s">
        <v>512</v>
      </c>
      <c r="J1920" s="76" t="s">
        <v>164</v>
      </c>
      <c r="K1920" s="82" t="n">
        <v>1</v>
      </c>
      <c r="L1920" s="55" t="n">
        <v>2</v>
      </c>
      <c r="M1920" s="73" t="n">
        <v>20.5</v>
      </c>
      <c r="N1920" s="74" t="n">
        <f aca="false">K1920*L1920*M1920</f>
        <v>41</v>
      </c>
      <c r="O1920" s="41" t="n">
        <f aca="false">IFERROR(INDEX(Исходные!$B$21:$B$33,MATCH(H1920,Исходные!$A$21:$A$33,0)),0)</f>
        <v>1.998</v>
      </c>
      <c r="P1920" s="83" t="n">
        <f aca="false">N1920*O1920</f>
        <v>81.918</v>
      </c>
      <c r="Q1920" s="20" t="s">
        <v>663</v>
      </c>
      <c r="R1920" s="84" t="s">
        <v>660</v>
      </c>
      <c r="S1920" s="20"/>
      <c r="T1920" s="20" t="s">
        <v>123</v>
      </c>
      <c r="U1920" s="53" t="n">
        <v>0</v>
      </c>
      <c r="V1920" s="76" t="s">
        <v>865</v>
      </c>
      <c r="W1920" s="53" t="n">
        <v>5</v>
      </c>
    </row>
    <row r="1921" customFormat="false" ht="35.05" hidden="false" customHeight="false" outlineLevel="0" collapsed="false">
      <c r="A1921" s="76" t="n">
        <v>1881</v>
      </c>
      <c r="B1921" s="20" t="s">
        <v>1838</v>
      </c>
      <c r="C1921" s="20" t="s">
        <v>655</v>
      </c>
      <c r="D1921" s="20" t="s">
        <v>2025</v>
      </c>
      <c r="E1921" s="20" t="s">
        <v>865</v>
      </c>
      <c r="F1921" s="76" t="s">
        <v>664</v>
      </c>
      <c r="G1921" s="20" t="s">
        <v>833</v>
      </c>
      <c r="H1921" s="55" t="n">
        <v>18</v>
      </c>
      <c r="I1921" s="76" t="s">
        <v>512</v>
      </c>
      <c r="J1921" s="76" t="s">
        <v>164</v>
      </c>
      <c r="K1921" s="82" t="n">
        <v>2</v>
      </c>
      <c r="L1921" s="55" t="n">
        <v>1</v>
      </c>
      <c r="M1921" s="73" t="n">
        <v>0.144</v>
      </c>
      <c r="N1921" s="74" t="n">
        <f aca="false">K1921*L1921*M1921</f>
        <v>0.288</v>
      </c>
      <c r="O1921" s="41" t="n">
        <f aca="false">IFERROR(INDEX(Исходные!$B$21:$B$33,MATCH(H1921,Исходные!$A$21:$A$33,0)),0)</f>
        <v>1.998</v>
      </c>
      <c r="P1921" s="83" t="n">
        <f aca="false">N1921*O1921</f>
        <v>0.575424</v>
      </c>
      <c r="Q1921" s="20" t="s">
        <v>666</v>
      </c>
      <c r="R1921" s="84" t="s">
        <v>667</v>
      </c>
      <c r="S1921" s="20" t="s">
        <v>805</v>
      </c>
      <c r="T1921" s="20" t="s">
        <v>123</v>
      </c>
      <c r="U1921" s="53" t="n">
        <v>0</v>
      </c>
      <c r="V1921" s="76" t="s">
        <v>865</v>
      </c>
      <c r="W1921" s="53" t="n">
        <v>5</v>
      </c>
    </row>
    <row r="1922" customFormat="false" ht="35.05" hidden="false" customHeight="false" outlineLevel="0" collapsed="false">
      <c r="A1922" s="76" t="n">
        <v>1882</v>
      </c>
      <c r="B1922" s="20" t="s">
        <v>1838</v>
      </c>
      <c r="C1922" s="20" t="s">
        <v>655</v>
      </c>
      <c r="D1922" s="20" t="s">
        <v>2025</v>
      </c>
      <c r="E1922" s="20" t="s">
        <v>865</v>
      </c>
      <c r="F1922" s="76" t="s">
        <v>669</v>
      </c>
      <c r="G1922" s="20" t="s">
        <v>670</v>
      </c>
      <c r="H1922" s="55" t="n">
        <v>16</v>
      </c>
      <c r="I1922" s="76" t="s">
        <v>512</v>
      </c>
      <c r="J1922" s="76" t="s">
        <v>164</v>
      </c>
      <c r="K1922" s="82" t="n">
        <v>1</v>
      </c>
      <c r="L1922" s="55" t="n">
        <v>2</v>
      </c>
      <c r="M1922" s="73" t="n">
        <v>20.5</v>
      </c>
      <c r="N1922" s="74" t="n">
        <f aca="false">K1922*L1922*M1922</f>
        <v>41</v>
      </c>
      <c r="O1922" s="41" t="n">
        <f aca="false">IFERROR(INDEX(Исходные!$B$21:$B$33,MATCH(H1922,Исходные!$A$21:$A$33,0)),0)</f>
        <v>1.578</v>
      </c>
      <c r="P1922" s="83" t="n">
        <f aca="false">N1922*O1922</f>
        <v>64.698</v>
      </c>
      <c r="Q1922" s="20" t="s">
        <v>671</v>
      </c>
      <c r="R1922" s="84" t="s">
        <v>660</v>
      </c>
      <c r="S1922" s="20"/>
      <c r="T1922" s="20" t="s">
        <v>123</v>
      </c>
      <c r="U1922" s="53" t="n">
        <v>0</v>
      </c>
      <c r="V1922" s="76" t="s">
        <v>865</v>
      </c>
      <c r="W1922" s="53" t="n">
        <v>5</v>
      </c>
    </row>
    <row r="1923" customFormat="false" ht="35.05" hidden="false" customHeight="false" outlineLevel="0" collapsed="false">
      <c r="A1923" s="76" t="n">
        <v>1883</v>
      </c>
      <c r="B1923" s="20" t="s">
        <v>1838</v>
      </c>
      <c r="C1923" s="20" t="s">
        <v>655</v>
      </c>
      <c r="D1923" s="20" t="s">
        <v>2025</v>
      </c>
      <c r="E1923" s="20" t="s">
        <v>865</v>
      </c>
      <c r="F1923" s="76" t="s">
        <v>672</v>
      </c>
      <c r="G1923" s="20" t="s">
        <v>834</v>
      </c>
      <c r="H1923" s="55" t="n">
        <v>16</v>
      </c>
      <c r="I1923" s="76" t="s">
        <v>512</v>
      </c>
      <c r="J1923" s="76" t="s">
        <v>164</v>
      </c>
      <c r="K1923" s="82" t="n">
        <v>2</v>
      </c>
      <c r="L1923" s="55" t="n">
        <v>1</v>
      </c>
      <c r="M1923" s="73" t="n">
        <v>0.128</v>
      </c>
      <c r="N1923" s="74" t="n">
        <f aca="false">K1923*L1923*M1923</f>
        <v>0.256</v>
      </c>
      <c r="O1923" s="41" t="n">
        <f aca="false">IFERROR(INDEX(Исходные!$B$21:$B$33,MATCH(H1923,Исходные!$A$21:$A$33,0)),0)</f>
        <v>1.578</v>
      </c>
      <c r="P1923" s="83" t="n">
        <f aca="false">N1923*O1923</f>
        <v>0.403968</v>
      </c>
      <c r="Q1923" s="20" t="s">
        <v>674</v>
      </c>
      <c r="R1923" s="84" t="s">
        <v>667</v>
      </c>
      <c r="S1923" s="20" t="s">
        <v>807</v>
      </c>
      <c r="T1923" s="20" t="s">
        <v>123</v>
      </c>
      <c r="U1923" s="53" t="n">
        <v>0</v>
      </c>
      <c r="V1923" s="76" t="s">
        <v>865</v>
      </c>
      <c r="W1923" s="53" t="n">
        <v>5</v>
      </c>
    </row>
    <row r="1924" customFormat="false" ht="35.05" hidden="false" customHeight="false" outlineLevel="0" collapsed="false">
      <c r="A1924" s="76" t="n">
        <v>1884</v>
      </c>
      <c r="B1924" s="20" t="s">
        <v>1838</v>
      </c>
      <c r="C1924" s="20" t="s">
        <v>655</v>
      </c>
      <c r="D1924" s="20" t="s">
        <v>2025</v>
      </c>
      <c r="E1924" s="20" t="s">
        <v>865</v>
      </c>
      <c r="F1924" s="76" t="s">
        <v>676</v>
      </c>
      <c r="G1924" s="20" t="s">
        <v>1628</v>
      </c>
      <c r="H1924" s="55" t="n">
        <v>25</v>
      </c>
      <c r="I1924" s="76" t="s">
        <v>512</v>
      </c>
      <c r="J1924" s="76" t="s">
        <v>164</v>
      </c>
      <c r="K1924" s="82" t="n">
        <v>1</v>
      </c>
      <c r="L1924" s="55" t="n">
        <v>2</v>
      </c>
      <c r="M1924" s="73" t="n">
        <v>3.8</v>
      </c>
      <c r="N1924" s="74" t="n">
        <f aca="false">K1924*L1924*M1924</f>
        <v>7.6</v>
      </c>
      <c r="O1924" s="41" t="n">
        <f aca="false">IFERROR(INDEX(Исходные!$B$21:$B$33,MATCH(H1924,Исходные!$A$21:$A$33,0)),0)</f>
        <v>3.853</v>
      </c>
      <c r="P1924" s="83" t="n">
        <f aca="false">N1924*O1924</f>
        <v>29.2828</v>
      </c>
      <c r="Q1924" s="20" t="s">
        <v>2026</v>
      </c>
      <c r="R1924" s="84" t="s">
        <v>660</v>
      </c>
      <c r="S1924" s="20" t="s">
        <v>812</v>
      </c>
      <c r="T1924" s="20" t="s">
        <v>123</v>
      </c>
      <c r="U1924" s="53" t="n">
        <v>0</v>
      </c>
      <c r="V1924" s="76" t="s">
        <v>865</v>
      </c>
      <c r="W1924" s="53" t="n">
        <v>5</v>
      </c>
    </row>
    <row r="1925" customFormat="false" ht="35.05" hidden="false" customHeight="false" outlineLevel="0" collapsed="false">
      <c r="A1925" s="76" t="n">
        <v>1885</v>
      </c>
      <c r="B1925" s="20" t="s">
        <v>1838</v>
      </c>
      <c r="C1925" s="20" t="s">
        <v>655</v>
      </c>
      <c r="D1925" s="20" t="s">
        <v>2025</v>
      </c>
      <c r="E1925" s="20" t="s">
        <v>865</v>
      </c>
      <c r="F1925" s="76" t="s">
        <v>676</v>
      </c>
      <c r="G1925" s="20" t="s">
        <v>821</v>
      </c>
      <c r="H1925" s="55" t="n">
        <v>16</v>
      </c>
      <c r="I1925" s="76" t="s">
        <v>512</v>
      </c>
      <c r="J1925" s="76" t="s">
        <v>164</v>
      </c>
      <c r="K1925" s="82" t="n">
        <v>1</v>
      </c>
      <c r="L1925" s="55" t="n">
        <v>2</v>
      </c>
      <c r="M1925" s="73" t="n">
        <v>3</v>
      </c>
      <c r="N1925" s="74" t="n">
        <f aca="false">K1925*L1925*M1925</f>
        <v>6</v>
      </c>
      <c r="O1925" s="41" t="n">
        <f aca="false">IFERROR(INDEX(Исходные!$B$21:$B$33,MATCH(H1925,Исходные!$A$21:$A$33,0)),0)</f>
        <v>1.578</v>
      </c>
      <c r="P1925" s="83" t="n">
        <f aca="false">N1925*O1925</f>
        <v>9.468</v>
      </c>
      <c r="Q1925" s="20" t="s">
        <v>2027</v>
      </c>
      <c r="R1925" s="84" t="s">
        <v>660</v>
      </c>
      <c r="S1925" s="20" t="s">
        <v>822</v>
      </c>
      <c r="T1925" s="20" t="s">
        <v>123</v>
      </c>
      <c r="U1925" s="53" t="n">
        <v>0</v>
      </c>
      <c r="V1925" s="76" t="s">
        <v>865</v>
      </c>
      <c r="W1925" s="53" t="n">
        <v>5</v>
      </c>
    </row>
    <row r="1926" customFormat="false" ht="35.05" hidden="false" customHeight="false" outlineLevel="0" collapsed="false">
      <c r="A1926" s="76" t="n">
        <v>1886</v>
      </c>
      <c r="B1926" s="20" t="s">
        <v>1838</v>
      </c>
      <c r="C1926" s="20" t="s">
        <v>655</v>
      </c>
      <c r="D1926" s="20" t="s">
        <v>2025</v>
      </c>
      <c r="E1926" s="20" t="s">
        <v>865</v>
      </c>
      <c r="F1926" s="76" t="s">
        <v>676</v>
      </c>
      <c r="G1926" s="20" t="s">
        <v>2014</v>
      </c>
      <c r="H1926" s="55" t="n">
        <v>20</v>
      </c>
      <c r="I1926" s="76" t="s">
        <v>512</v>
      </c>
      <c r="J1926" s="76" t="s">
        <v>164</v>
      </c>
      <c r="K1926" s="82" t="n">
        <v>1</v>
      </c>
      <c r="L1926" s="55" t="n">
        <v>2</v>
      </c>
      <c r="M1926" s="73" t="n">
        <v>3.8</v>
      </c>
      <c r="N1926" s="74" t="n">
        <f aca="false">K1926*L1926*M1926</f>
        <v>7.6</v>
      </c>
      <c r="O1926" s="41" t="n">
        <f aca="false">IFERROR(INDEX(Исходные!$B$21:$B$33,MATCH(H1926,Исходные!$A$21:$A$33,0)),0)</f>
        <v>2.466</v>
      </c>
      <c r="P1926" s="83" t="n">
        <f aca="false">N1926*O1926</f>
        <v>18.7416</v>
      </c>
      <c r="Q1926" s="20" t="s">
        <v>2028</v>
      </c>
      <c r="R1926" s="84" t="s">
        <v>660</v>
      </c>
      <c r="S1926" s="20" t="s">
        <v>815</v>
      </c>
      <c r="T1926" s="20" t="s">
        <v>123</v>
      </c>
      <c r="U1926" s="53" t="n">
        <v>0</v>
      </c>
      <c r="V1926" s="76" t="s">
        <v>865</v>
      </c>
      <c r="W1926" s="53" t="n">
        <v>5</v>
      </c>
    </row>
    <row r="1927" customFormat="false" ht="35.05" hidden="false" customHeight="false" outlineLevel="0" collapsed="false">
      <c r="A1927" s="76" t="n">
        <v>1887</v>
      </c>
      <c r="B1927" s="20" t="s">
        <v>1838</v>
      </c>
      <c r="C1927" s="20" t="s">
        <v>655</v>
      </c>
      <c r="D1927" s="20" t="s">
        <v>2025</v>
      </c>
      <c r="E1927" s="20" t="s">
        <v>865</v>
      </c>
      <c r="F1927" s="76" t="s">
        <v>676</v>
      </c>
      <c r="G1927" s="20" t="s">
        <v>816</v>
      </c>
      <c r="H1927" s="55" t="n">
        <v>28</v>
      </c>
      <c r="I1927" s="76" t="s">
        <v>512</v>
      </c>
      <c r="J1927" s="76" t="s">
        <v>164</v>
      </c>
      <c r="K1927" s="82" t="n">
        <v>1</v>
      </c>
      <c r="L1927" s="55" t="n">
        <v>2</v>
      </c>
      <c r="M1927" s="73" t="n">
        <v>2.05</v>
      </c>
      <c r="N1927" s="74" t="n">
        <f aca="false">K1927*L1927*M1927</f>
        <v>4.1</v>
      </c>
      <c r="O1927" s="41" t="n">
        <f aca="false">IFERROR(INDEX(Исходные!$B$21:$B$33,MATCH(H1927,Исходные!$A$21:$A$33,0)),0)</f>
        <v>4.834</v>
      </c>
      <c r="P1927" s="83" t="n">
        <f aca="false">N1927*O1927</f>
        <v>19.8194</v>
      </c>
      <c r="Q1927" s="20" t="s">
        <v>2029</v>
      </c>
      <c r="R1927" s="84" t="s">
        <v>660</v>
      </c>
      <c r="S1927" s="20" t="s">
        <v>1372</v>
      </c>
      <c r="T1927" s="20" t="s">
        <v>123</v>
      </c>
      <c r="U1927" s="53" t="n">
        <v>0</v>
      </c>
      <c r="V1927" s="76" t="s">
        <v>865</v>
      </c>
      <c r="W1927" s="53" t="n">
        <v>5</v>
      </c>
    </row>
    <row r="1928" customFormat="false" ht="35.05" hidden="false" customHeight="false" outlineLevel="0" collapsed="false">
      <c r="A1928" s="76" t="n">
        <v>1888</v>
      </c>
      <c r="B1928" s="20" t="s">
        <v>1838</v>
      </c>
      <c r="C1928" s="20" t="s">
        <v>655</v>
      </c>
      <c r="D1928" s="20" t="s">
        <v>2025</v>
      </c>
      <c r="E1928" s="20" t="s">
        <v>865</v>
      </c>
      <c r="F1928" s="76" t="s">
        <v>676</v>
      </c>
      <c r="G1928" s="20" t="s">
        <v>877</v>
      </c>
      <c r="H1928" s="55" t="n">
        <v>16</v>
      </c>
      <c r="I1928" s="76" t="s">
        <v>512</v>
      </c>
      <c r="J1928" s="76" t="s">
        <v>164</v>
      </c>
      <c r="K1928" s="82" t="n">
        <v>1</v>
      </c>
      <c r="L1928" s="55" t="n">
        <v>2</v>
      </c>
      <c r="M1928" s="73" t="n">
        <v>4.95</v>
      </c>
      <c r="N1928" s="74" t="n">
        <f aca="false">K1928*L1928*M1928</f>
        <v>9.9</v>
      </c>
      <c r="O1928" s="41" t="n">
        <f aca="false">IFERROR(INDEX(Исходные!$B$21:$B$33,MATCH(H1928,Исходные!$A$21:$A$33,0)),0)</f>
        <v>1.578</v>
      </c>
      <c r="P1928" s="83" t="n">
        <f aca="false">N1928*O1928</f>
        <v>15.6222</v>
      </c>
      <c r="Q1928" s="20" t="s">
        <v>2027</v>
      </c>
      <c r="R1928" s="84" t="s">
        <v>660</v>
      </c>
      <c r="S1928" s="20" t="s">
        <v>1406</v>
      </c>
      <c r="T1928" s="20" t="s">
        <v>123</v>
      </c>
      <c r="U1928" s="53" t="n">
        <v>0</v>
      </c>
      <c r="V1928" s="76" t="s">
        <v>865</v>
      </c>
      <c r="W1928" s="53" t="n">
        <v>5</v>
      </c>
    </row>
    <row r="1929" customFormat="false" ht="35.05" hidden="false" customHeight="false" outlineLevel="0" collapsed="false">
      <c r="A1929" s="76" t="n">
        <v>1889</v>
      </c>
      <c r="B1929" s="20" t="s">
        <v>1838</v>
      </c>
      <c r="C1929" s="20" t="s">
        <v>655</v>
      </c>
      <c r="D1929" s="20" t="s">
        <v>2025</v>
      </c>
      <c r="E1929" s="20" t="s">
        <v>865</v>
      </c>
      <c r="F1929" s="76" t="s">
        <v>676</v>
      </c>
      <c r="G1929" s="20" t="s">
        <v>2030</v>
      </c>
      <c r="H1929" s="55" t="n">
        <v>12</v>
      </c>
      <c r="I1929" s="76" t="s">
        <v>512</v>
      </c>
      <c r="J1929" s="76" t="s">
        <v>164</v>
      </c>
      <c r="K1929" s="82" t="n">
        <v>1</v>
      </c>
      <c r="L1929" s="55" t="n">
        <v>4</v>
      </c>
      <c r="M1929" s="73" t="n">
        <v>8.75</v>
      </c>
      <c r="N1929" s="74" t="n">
        <f aca="false">K1929*L1929*M1929</f>
        <v>35</v>
      </c>
      <c r="O1929" s="41" t="n">
        <f aca="false">IFERROR(INDEX(Исходные!$B$21:$B$33,MATCH(H1929,Исходные!$A$21:$A$33,0)),0)</f>
        <v>0.888</v>
      </c>
      <c r="P1929" s="83" t="n">
        <f aca="false">N1929*O1929</f>
        <v>31.08</v>
      </c>
      <c r="Q1929" s="20" t="s">
        <v>2031</v>
      </c>
      <c r="R1929" s="84" t="s">
        <v>660</v>
      </c>
      <c r="S1929" s="20" t="s">
        <v>2032</v>
      </c>
      <c r="T1929" s="20" t="s">
        <v>123</v>
      </c>
      <c r="U1929" s="53" t="n">
        <v>0</v>
      </c>
      <c r="V1929" s="76" t="s">
        <v>865</v>
      </c>
      <c r="W1929" s="53" t="n">
        <v>5</v>
      </c>
    </row>
    <row r="1930" customFormat="false" ht="35.05" hidden="false" customHeight="false" outlineLevel="0" collapsed="false">
      <c r="A1930" s="76" t="n">
        <v>1890</v>
      </c>
      <c r="B1930" s="20" t="s">
        <v>1838</v>
      </c>
      <c r="C1930" s="20" t="s">
        <v>655</v>
      </c>
      <c r="D1930" s="20" t="s">
        <v>2025</v>
      </c>
      <c r="E1930" s="20" t="s">
        <v>865</v>
      </c>
      <c r="F1930" s="76" t="s">
        <v>696</v>
      </c>
      <c r="G1930" s="20" t="s">
        <v>1308</v>
      </c>
      <c r="H1930" s="55" t="n">
        <v>8</v>
      </c>
      <c r="I1930" s="76" t="s">
        <v>546</v>
      </c>
      <c r="J1930" s="76" t="s">
        <v>698</v>
      </c>
      <c r="K1930" s="82" t="n">
        <v>1</v>
      </c>
      <c r="L1930" s="55" t="n">
        <v>100</v>
      </c>
      <c r="M1930" s="73" t="n">
        <v>2.06</v>
      </c>
      <c r="N1930" s="74" t="n">
        <f aca="false">K1930*L1930*M1930</f>
        <v>206</v>
      </c>
      <c r="O1930" s="41" t="n">
        <f aca="false">IFERROR(INDEX(Исходные!$B$21:$B$33,MATCH(H1930,Исходные!$A$21:$A$33,0)),0)</f>
        <v>0.395</v>
      </c>
      <c r="P1930" s="83" t="n">
        <f aca="false">N1930*O1930</f>
        <v>81.37</v>
      </c>
      <c r="Q1930" s="20" t="s">
        <v>1309</v>
      </c>
      <c r="R1930" s="84" t="s">
        <v>514</v>
      </c>
      <c r="S1930" s="20" t="s">
        <v>1375</v>
      </c>
      <c r="T1930" s="20" t="s">
        <v>123</v>
      </c>
      <c r="U1930" s="53" t="n">
        <v>0</v>
      </c>
      <c r="V1930" s="76" t="s">
        <v>865</v>
      </c>
      <c r="W1930" s="53" t="n">
        <v>5</v>
      </c>
    </row>
    <row r="1931" customFormat="false" ht="35.05" hidden="false" customHeight="false" outlineLevel="0" collapsed="false">
      <c r="A1931" s="76" t="n">
        <v>1891</v>
      </c>
      <c r="B1931" s="20" t="s">
        <v>1838</v>
      </c>
      <c r="C1931" s="20" t="s">
        <v>655</v>
      </c>
      <c r="D1931" s="20" t="s">
        <v>2025</v>
      </c>
      <c r="E1931" s="20" t="s">
        <v>865</v>
      </c>
      <c r="F1931" s="76" t="s">
        <v>561</v>
      </c>
      <c r="G1931" s="20" t="s">
        <v>1311</v>
      </c>
      <c r="H1931" s="55" t="n">
        <v>10</v>
      </c>
      <c r="I1931" s="76" t="s">
        <v>546</v>
      </c>
      <c r="J1931" s="76" t="n">
        <v>100</v>
      </c>
      <c r="K1931" s="82" t="n">
        <v>1</v>
      </c>
      <c r="L1931" s="55" t="n">
        <v>54</v>
      </c>
      <c r="M1931" s="73" t="n">
        <v>2.06</v>
      </c>
      <c r="N1931" s="74" t="n">
        <f aca="false">K1931*L1931*M1931</f>
        <v>111.24</v>
      </c>
      <c r="O1931" s="41" t="n">
        <f aca="false">IFERROR(INDEX(Исходные!$B$21:$B$33,MATCH(H1931,Исходные!$A$21:$A$33,0)),0)</f>
        <v>0.617</v>
      </c>
      <c r="P1931" s="83" t="n">
        <f aca="false">N1931*O1931</f>
        <v>68.63508</v>
      </c>
      <c r="Q1931" s="20" t="s">
        <v>2033</v>
      </c>
      <c r="R1931" s="84" t="s">
        <v>514</v>
      </c>
      <c r="S1931" s="20" t="s">
        <v>2034</v>
      </c>
      <c r="T1931" s="20" t="s">
        <v>123</v>
      </c>
      <c r="U1931" s="53" t="n">
        <v>0</v>
      </c>
      <c r="V1931" s="76" t="s">
        <v>865</v>
      </c>
      <c r="W1931" s="53" t="n">
        <v>5</v>
      </c>
    </row>
    <row r="1932" customFormat="false" ht="35.05" hidden="false" customHeight="false" outlineLevel="0" collapsed="false">
      <c r="A1932" s="76" t="n">
        <v>1892</v>
      </c>
      <c r="B1932" s="20" t="s">
        <v>1838</v>
      </c>
      <c r="C1932" s="20" t="s">
        <v>655</v>
      </c>
      <c r="D1932" s="20" t="s">
        <v>2025</v>
      </c>
      <c r="E1932" s="20" t="s">
        <v>865</v>
      </c>
      <c r="F1932" s="76" t="s">
        <v>603</v>
      </c>
      <c r="G1932" s="20" t="s">
        <v>704</v>
      </c>
      <c r="H1932" s="55" t="n">
        <v>10</v>
      </c>
      <c r="I1932" s="76" t="s">
        <v>546</v>
      </c>
      <c r="J1932" s="76" t="n">
        <v>100</v>
      </c>
      <c r="K1932" s="82" t="n">
        <v>1</v>
      </c>
      <c r="L1932" s="55" t="n">
        <v>26</v>
      </c>
      <c r="M1932" s="73" t="n">
        <v>1.6</v>
      </c>
      <c r="N1932" s="74" t="n">
        <f aca="false">K1932*L1932*M1932</f>
        <v>41.6</v>
      </c>
      <c r="O1932" s="41" t="n">
        <f aca="false">IFERROR(INDEX(Исходные!$B$21:$B$33,MATCH(H1932,Исходные!$A$21:$A$33,0)),0)</f>
        <v>0.617</v>
      </c>
      <c r="P1932" s="83" t="n">
        <f aca="false">N1932*O1932</f>
        <v>25.6672</v>
      </c>
      <c r="Q1932" s="20" t="s">
        <v>885</v>
      </c>
      <c r="R1932" s="84" t="s">
        <v>514</v>
      </c>
      <c r="S1932" s="20"/>
      <c r="T1932" s="20" t="s">
        <v>123</v>
      </c>
      <c r="U1932" s="53" t="n">
        <v>0</v>
      </c>
      <c r="V1932" s="76" t="s">
        <v>865</v>
      </c>
      <c r="W1932" s="53" t="n">
        <v>5</v>
      </c>
    </row>
    <row r="1933" customFormat="false" ht="35.05" hidden="false" customHeight="false" outlineLevel="0" collapsed="false">
      <c r="A1933" s="76" t="n">
        <v>1893</v>
      </c>
      <c r="B1933" s="20" t="s">
        <v>1838</v>
      </c>
      <c r="C1933" s="20" t="s">
        <v>655</v>
      </c>
      <c r="D1933" s="20" t="s">
        <v>2025</v>
      </c>
      <c r="E1933" s="20" t="s">
        <v>865</v>
      </c>
      <c r="F1933" s="76" t="s">
        <v>706</v>
      </c>
      <c r="G1933" s="20" t="s">
        <v>1314</v>
      </c>
      <c r="H1933" s="55" t="n">
        <v>8</v>
      </c>
      <c r="I1933" s="76" t="s">
        <v>546</v>
      </c>
      <c r="J1933" s="76" t="s">
        <v>708</v>
      </c>
      <c r="K1933" s="82" t="n">
        <v>1</v>
      </c>
      <c r="L1933" s="55" t="n">
        <v>84</v>
      </c>
      <c r="M1933" s="73" t="n">
        <v>0.75</v>
      </c>
      <c r="N1933" s="74" t="n">
        <f aca="false">K1933*L1933*M1933</f>
        <v>63</v>
      </c>
      <c r="O1933" s="41" t="n">
        <f aca="false">IFERROR(INDEX(Исходные!$B$21:$B$33,MATCH(H1933,Исходные!$A$21:$A$33,0)),0)</f>
        <v>0.395</v>
      </c>
      <c r="P1933" s="83" t="n">
        <f aca="false">N1933*O1933</f>
        <v>24.885</v>
      </c>
      <c r="Q1933" s="20" t="s">
        <v>709</v>
      </c>
      <c r="R1933" s="84" t="s">
        <v>514</v>
      </c>
      <c r="S1933" s="20"/>
      <c r="T1933" s="20" t="s">
        <v>123</v>
      </c>
      <c r="U1933" s="53" t="n">
        <v>0</v>
      </c>
      <c r="V1933" s="76" t="s">
        <v>865</v>
      </c>
      <c r="W1933" s="53" t="n">
        <v>5</v>
      </c>
    </row>
    <row r="1934" customFormat="false" ht="35.05" hidden="false" customHeight="false" outlineLevel="0" collapsed="false">
      <c r="A1934" s="76" t="n">
        <v>1894</v>
      </c>
      <c r="B1934" s="20" t="s">
        <v>1838</v>
      </c>
      <c r="C1934" s="20" t="s">
        <v>655</v>
      </c>
      <c r="D1934" s="20" t="s">
        <v>2025</v>
      </c>
      <c r="E1934" s="20" t="s">
        <v>865</v>
      </c>
      <c r="F1934" s="76" t="s">
        <v>710</v>
      </c>
      <c r="G1934" s="20" t="s">
        <v>1315</v>
      </c>
      <c r="H1934" s="55" t="n">
        <v>8</v>
      </c>
      <c r="I1934" s="76" t="s">
        <v>546</v>
      </c>
      <c r="J1934" s="76" t="n">
        <v>300</v>
      </c>
      <c r="K1934" s="82" t="n">
        <v>1</v>
      </c>
      <c r="L1934" s="55" t="n">
        <v>62</v>
      </c>
      <c r="M1934" s="73" t="n">
        <v>0.58</v>
      </c>
      <c r="N1934" s="74" t="n">
        <f aca="false">K1934*L1934*M1934</f>
        <v>35.96</v>
      </c>
      <c r="O1934" s="41" t="n">
        <f aca="false">IFERROR(INDEX(Исходные!$B$21:$B$33,MATCH(H1934,Исходные!$A$21:$A$33,0)),0)</f>
        <v>0.395</v>
      </c>
      <c r="P1934" s="83" t="n">
        <f aca="false">N1934*O1934</f>
        <v>14.2042</v>
      </c>
      <c r="Q1934" s="20" t="s">
        <v>1316</v>
      </c>
      <c r="R1934" s="85" t="s">
        <v>638</v>
      </c>
      <c r="S1934" s="20"/>
      <c r="T1934" s="20" t="s">
        <v>123</v>
      </c>
      <c r="U1934" s="53" t="n">
        <v>1</v>
      </c>
      <c r="V1934" s="76" t="s">
        <v>865</v>
      </c>
      <c r="W1934" s="53" t="n">
        <v>5</v>
      </c>
    </row>
    <row r="1935" customFormat="false" ht="35.05" hidden="false" customHeight="false" outlineLevel="0" collapsed="false">
      <c r="A1935" s="76" t="n">
        <v>1895</v>
      </c>
      <c r="B1935" s="20" t="s">
        <v>1838</v>
      </c>
      <c r="C1935" s="20" t="s">
        <v>655</v>
      </c>
      <c r="D1935" s="20" t="s">
        <v>2035</v>
      </c>
      <c r="E1935" s="20" t="s">
        <v>887</v>
      </c>
      <c r="F1935" s="76" t="s">
        <v>519</v>
      </c>
      <c r="G1935" s="20" t="s">
        <v>658</v>
      </c>
      <c r="H1935" s="55" t="n">
        <v>28</v>
      </c>
      <c r="I1935" s="76" t="s">
        <v>512</v>
      </c>
      <c r="J1935" s="76" t="s">
        <v>164</v>
      </c>
      <c r="K1935" s="82" t="n">
        <v>1</v>
      </c>
      <c r="L1935" s="55" t="n">
        <v>4</v>
      </c>
      <c r="M1935" s="73" t="n">
        <v>20.5</v>
      </c>
      <c r="N1935" s="74" t="n">
        <f aca="false">K1935*L1935*M1935</f>
        <v>82</v>
      </c>
      <c r="O1935" s="41" t="n">
        <f aca="false">IFERROR(INDEX(Исходные!$B$21:$B$33,MATCH(H1935,Исходные!$A$21:$A$33,0)),0)</f>
        <v>4.834</v>
      </c>
      <c r="P1935" s="83" t="n">
        <f aca="false">N1935*O1935</f>
        <v>396.388</v>
      </c>
      <c r="Q1935" s="20" t="s">
        <v>1411</v>
      </c>
      <c r="R1935" s="84" t="s">
        <v>660</v>
      </c>
      <c r="S1935" s="20" t="s">
        <v>832</v>
      </c>
      <c r="T1935" s="20" t="s">
        <v>123</v>
      </c>
      <c r="U1935" s="53" t="n">
        <v>0</v>
      </c>
      <c r="V1935" s="76" t="s">
        <v>887</v>
      </c>
      <c r="W1935" s="53" t="n">
        <v>5</v>
      </c>
    </row>
    <row r="1936" customFormat="false" ht="35.05" hidden="false" customHeight="false" outlineLevel="0" collapsed="false">
      <c r="A1936" s="76" t="n">
        <v>1896</v>
      </c>
      <c r="B1936" s="20" t="s">
        <v>1838</v>
      </c>
      <c r="C1936" s="20" t="s">
        <v>655</v>
      </c>
      <c r="D1936" s="20" t="s">
        <v>2035</v>
      </c>
      <c r="E1936" s="20" t="s">
        <v>887</v>
      </c>
      <c r="F1936" s="76" t="s">
        <v>529</v>
      </c>
      <c r="G1936" s="20" t="s">
        <v>662</v>
      </c>
      <c r="H1936" s="55" t="n">
        <v>18</v>
      </c>
      <c r="I1936" s="76" t="s">
        <v>512</v>
      </c>
      <c r="J1936" s="76" t="s">
        <v>164</v>
      </c>
      <c r="K1936" s="82" t="n">
        <v>1</v>
      </c>
      <c r="L1936" s="55" t="n">
        <v>2</v>
      </c>
      <c r="M1936" s="73" t="n">
        <v>20.5</v>
      </c>
      <c r="N1936" s="74" t="n">
        <f aca="false">K1936*L1936*M1936</f>
        <v>41</v>
      </c>
      <c r="O1936" s="41" t="n">
        <f aca="false">IFERROR(INDEX(Исходные!$B$21:$B$33,MATCH(H1936,Исходные!$A$21:$A$33,0)),0)</f>
        <v>1.998</v>
      </c>
      <c r="P1936" s="83" t="n">
        <f aca="false">N1936*O1936</f>
        <v>81.918</v>
      </c>
      <c r="Q1936" s="20" t="s">
        <v>663</v>
      </c>
      <c r="R1936" s="84" t="s">
        <v>660</v>
      </c>
      <c r="S1936" s="20"/>
      <c r="T1936" s="20" t="s">
        <v>123</v>
      </c>
      <c r="U1936" s="53" t="n">
        <v>0</v>
      </c>
      <c r="V1936" s="76" t="s">
        <v>887</v>
      </c>
      <c r="W1936" s="53" t="n">
        <v>5</v>
      </c>
    </row>
    <row r="1937" customFormat="false" ht="35.05" hidden="false" customHeight="false" outlineLevel="0" collapsed="false">
      <c r="A1937" s="76" t="n">
        <v>1897</v>
      </c>
      <c r="B1937" s="20" t="s">
        <v>1838</v>
      </c>
      <c r="C1937" s="20" t="s">
        <v>655</v>
      </c>
      <c r="D1937" s="20" t="s">
        <v>2035</v>
      </c>
      <c r="E1937" s="20" t="s">
        <v>887</v>
      </c>
      <c r="F1937" s="76" t="s">
        <v>664</v>
      </c>
      <c r="G1937" s="20" t="s">
        <v>833</v>
      </c>
      <c r="H1937" s="55" t="n">
        <v>18</v>
      </c>
      <c r="I1937" s="76" t="s">
        <v>512</v>
      </c>
      <c r="J1937" s="76" t="s">
        <v>164</v>
      </c>
      <c r="K1937" s="82" t="n">
        <v>2</v>
      </c>
      <c r="L1937" s="55" t="n">
        <v>1</v>
      </c>
      <c r="M1937" s="73" t="n">
        <v>0.144</v>
      </c>
      <c r="N1937" s="74" t="n">
        <f aca="false">K1937*L1937*M1937</f>
        <v>0.288</v>
      </c>
      <c r="O1937" s="41" t="n">
        <f aca="false">IFERROR(INDEX(Исходные!$B$21:$B$33,MATCH(H1937,Исходные!$A$21:$A$33,0)),0)</f>
        <v>1.998</v>
      </c>
      <c r="P1937" s="83" t="n">
        <f aca="false">N1937*O1937</f>
        <v>0.575424</v>
      </c>
      <c r="Q1937" s="20" t="s">
        <v>666</v>
      </c>
      <c r="R1937" s="84" t="s">
        <v>667</v>
      </c>
      <c r="S1937" s="20" t="s">
        <v>805</v>
      </c>
      <c r="T1937" s="20" t="s">
        <v>123</v>
      </c>
      <c r="U1937" s="53" t="n">
        <v>0</v>
      </c>
      <c r="V1937" s="76" t="s">
        <v>887</v>
      </c>
      <c r="W1937" s="53" t="n">
        <v>5</v>
      </c>
    </row>
    <row r="1938" customFormat="false" ht="35.05" hidden="false" customHeight="false" outlineLevel="0" collapsed="false">
      <c r="A1938" s="76" t="n">
        <v>1898</v>
      </c>
      <c r="B1938" s="20" t="s">
        <v>1838</v>
      </c>
      <c r="C1938" s="20" t="s">
        <v>655</v>
      </c>
      <c r="D1938" s="20" t="s">
        <v>2035</v>
      </c>
      <c r="E1938" s="20" t="s">
        <v>887</v>
      </c>
      <c r="F1938" s="76" t="s">
        <v>669</v>
      </c>
      <c r="G1938" s="20" t="s">
        <v>670</v>
      </c>
      <c r="H1938" s="55" t="n">
        <v>16</v>
      </c>
      <c r="I1938" s="76" t="s">
        <v>512</v>
      </c>
      <c r="J1938" s="76" t="s">
        <v>164</v>
      </c>
      <c r="K1938" s="82" t="n">
        <v>1</v>
      </c>
      <c r="L1938" s="55" t="n">
        <v>2</v>
      </c>
      <c r="M1938" s="73" t="n">
        <v>20.5</v>
      </c>
      <c r="N1938" s="74" t="n">
        <f aca="false">K1938*L1938*M1938</f>
        <v>41</v>
      </c>
      <c r="O1938" s="41" t="n">
        <f aca="false">IFERROR(INDEX(Исходные!$B$21:$B$33,MATCH(H1938,Исходные!$A$21:$A$33,0)),0)</f>
        <v>1.578</v>
      </c>
      <c r="P1938" s="83" t="n">
        <f aca="false">N1938*O1938</f>
        <v>64.698</v>
      </c>
      <c r="Q1938" s="20" t="s">
        <v>671</v>
      </c>
      <c r="R1938" s="84" t="s">
        <v>660</v>
      </c>
      <c r="S1938" s="20"/>
      <c r="T1938" s="20" t="s">
        <v>123</v>
      </c>
      <c r="U1938" s="53" t="n">
        <v>0</v>
      </c>
      <c r="V1938" s="76" t="s">
        <v>887</v>
      </c>
      <c r="W1938" s="53" t="n">
        <v>5</v>
      </c>
    </row>
    <row r="1939" customFormat="false" ht="35.05" hidden="false" customHeight="false" outlineLevel="0" collapsed="false">
      <c r="A1939" s="76" t="n">
        <v>1899</v>
      </c>
      <c r="B1939" s="20" t="s">
        <v>1838</v>
      </c>
      <c r="C1939" s="20" t="s">
        <v>655</v>
      </c>
      <c r="D1939" s="20" t="s">
        <v>2035</v>
      </c>
      <c r="E1939" s="20" t="s">
        <v>887</v>
      </c>
      <c r="F1939" s="76" t="s">
        <v>672</v>
      </c>
      <c r="G1939" s="20" t="s">
        <v>834</v>
      </c>
      <c r="H1939" s="55" t="n">
        <v>16</v>
      </c>
      <c r="I1939" s="76" t="s">
        <v>512</v>
      </c>
      <c r="J1939" s="76" t="s">
        <v>164</v>
      </c>
      <c r="K1939" s="82" t="n">
        <v>2</v>
      </c>
      <c r="L1939" s="55" t="n">
        <v>1</v>
      </c>
      <c r="M1939" s="73" t="n">
        <v>0.128</v>
      </c>
      <c r="N1939" s="74" t="n">
        <f aca="false">K1939*L1939*M1939</f>
        <v>0.256</v>
      </c>
      <c r="O1939" s="41" t="n">
        <f aca="false">IFERROR(INDEX(Исходные!$B$21:$B$33,MATCH(H1939,Исходные!$A$21:$A$33,0)),0)</f>
        <v>1.578</v>
      </c>
      <c r="P1939" s="83" t="n">
        <f aca="false">N1939*O1939</f>
        <v>0.403968</v>
      </c>
      <c r="Q1939" s="20" t="s">
        <v>674</v>
      </c>
      <c r="R1939" s="84" t="s">
        <v>667</v>
      </c>
      <c r="S1939" s="20" t="s">
        <v>807</v>
      </c>
      <c r="T1939" s="20" t="s">
        <v>123</v>
      </c>
      <c r="U1939" s="53" t="n">
        <v>0</v>
      </c>
      <c r="V1939" s="76" t="s">
        <v>887</v>
      </c>
      <c r="W1939" s="53" t="n">
        <v>5</v>
      </c>
    </row>
    <row r="1940" customFormat="false" ht="35.05" hidden="false" customHeight="false" outlineLevel="0" collapsed="false">
      <c r="A1940" s="76" t="n">
        <v>1900</v>
      </c>
      <c r="B1940" s="20" t="s">
        <v>1838</v>
      </c>
      <c r="C1940" s="20" t="s">
        <v>655</v>
      </c>
      <c r="D1940" s="20" t="s">
        <v>2035</v>
      </c>
      <c r="E1940" s="20" t="s">
        <v>887</v>
      </c>
      <c r="F1940" s="76" t="s">
        <v>676</v>
      </c>
      <c r="G1940" s="20" t="s">
        <v>2036</v>
      </c>
      <c r="H1940" s="55" t="n">
        <v>28</v>
      </c>
      <c r="I1940" s="76" t="s">
        <v>512</v>
      </c>
      <c r="J1940" s="76" t="s">
        <v>164</v>
      </c>
      <c r="K1940" s="82" t="n">
        <v>1</v>
      </c>
      <c r="L1940" s="55" t="n">
        <v>2</v>
      </c>
      <c r="M1940" s="73" t="n">
        <v>2.4</v>
      </c>
      <c r="N1940" s="74" t="n">
        <f aca="false">K1940*L1940*M1940</f>
        <v>4.8</v>
      </c>
      <c r="O1940" s="41" t="n">
        <f aca="false">IFERROR(INDEX(Исходные!$B$21:$B$33,MATCH(H1940,Исходные!$A$21:$A$33,0)),0)</f>
        <v>4.834</v>
      </c>
      <c r="P1940" s="83" t="n">
        <f aca="false">N1940*O1940</f>
        <v>23.2032</v>
      </c>
      <c r="Q1940" s="20" t="s">
        <v>2037</v>
      </c>
      <c r="R1940" s="84" t="s">
        <v>660</v>
      </c>
      <c r="S1940" s="20" t="s">
        <v>837</v>
      </c>
      <c r="T1940" s="20" t="s">
        <v>123</v>
      </c>
      <c r="U1940" s="53" t="n">
        <v>0</v>
      </c>
      <c r="V1940" s="76" t="s">
        <v>887</v>
      </c>
      <c r="W1940" s="53" t="n">
        <v>5</v>
      </c>
    </row>
    <row r="1941" customFormat="false" ht="35.05" hidden="false" customHeight="false" outlineLevel="0" collapsed="false">
      <c r="A1941" s="76" t="n">
        <v>1901</v>
      </c>
      <c r="B1941" s="20" t="s">
        <v>1838</v>
      </c>
      <c r="C1941" s="20" t="s">
        <v>655</v>
      </c>
      <c r="D1941" s="20" t="s">
        <v>2035</v>
      </c>
      <c r="E1941" s="20" t="s">
        <v>887</v>
      </c>
      <c r="F1941" s="76" t="s">
        <v>676</v>
      </c>
      <c r="G1941" s="20" t="s">
        <v>2038</v>
      </c>
      <c r="H1941" s="55" t="n">
        <v>16</v>
      </c>
      <c r="I1941" s="76" t="s">
        <v>512</v>
      </c>
      <c r="J1941" s="76" t="s">
        <v>164</v>
      </c>
      <c r="K1941" s="82" t="n">
        <v>1</v>
      </c>
      <c r="L1941" s="55" t="n">
        <v>2</v>
      </c>
      <c r="M1941" s="73" t="n">
        <v>3.4</v>
      </c>
      <c r="N1941" s="74" t="n">
        <f aca="false">K1941*L1941*M1941</f>
        <v>6.8</v>
      </c>
      <c r="O1941" s="41" t="n">
        <f aca="false">IFERROR(INDEX(Исходные!$B$21:$B$33,MATCH(H1941,Исходные!$A$21:$A$33,0)),0)</f>
        <v>1.578</v>
      </c>
      <c r="P1941" s="83" t="n">
        <f aca="false">N1941*O1941</f>
        <v>10.7304</v>
      </c>
      <c r="Q1941" s="20" t="s">
        <v>2039</v>
      </c>
      <c r="R1941" s="84" t="s">
        <v>660</v>
      </c>
      <c r="S1941" s="20" t="s">
        <v>892</v>
      </c>
      <c r="T1941" s="20" t="s">
        <v>123</v>
      </c>
      <c r="U1941" s="53" t="n">
        <v>0</v>
      </c>
      <c r="V1941" s="76" t="s">
        <v>887</v>
      </c>
      <c r="W1941" s="53" t="n">
        <v>5</v>
      </c>
    </row>
    <row r="1942" customFormat="false" ht="35.05" hidden="false" customHeight="false" outlineLevel="0" collapsed="false">
      <c r="A1942" s="76" t="n">
        <v>1902</v>
      </c>
      <c r="B1942" s="20" t="s">
        <v>1838</v>
      </c>
      <c r="C1942" s="20" t="s">
        <v>655</v>
      </c>
      <c r="D1942" s="20" t="s">
        <v>2035</v>
      </c>
      <c r="E1942" s="20" t="s">
        <v>887</v>
      </c>
      <c r="F1942" s="76" t="s">
        <v>676</v>
      </c>
      <c r="G1942" s="20" t="s">
        <v>2022</v>
      </c>
      <c r="H1942" s="55" t="n">
        <v>16</v>
      </c>
      <c r="I1942" s="76" t="s">
        <v>512</v>
      </c>
      <c r="J1942" s="76" t="s">
        <v>164</v>
      </c>
      <c r="K1942" s="82" t="n">
        <v>1</v>
      </c>
      <c r="L1942" s="55" t="n">
        <v>2</v>
      </c>
      <c r="M1942" s="73" t="n">
        <v>3.6</v>
      </c>
      <c r="N1942" s="74" t="n">
        <f aca="false">K1942*L1942*M1942</f>
        <v>7.2</v>
      </c>
      <c r="O1942" s="41" t="n">
        <f aca="false">IFERROR(INDEX(Исходные!$B$21:$B$33,MATCH(H1942,Исходные!$A$21:$A$33,0)),0)</f>
        <v>1.578</v>
      </c>
      <c r="P1942" s="83" t="n">
        <f aca="false">N1942*O1942</f>
        <v>11.3616</v>
      </c>
      <c r="Q1942" s="20" t="s">
        <v>2039</v>
      </c>
      <c r="R1942" s="84" t="s">
        <v>660</v>
      </c>
      <c r="S1942" s="20" t="s">
        <v>845</v>
      </c>
      <c r="T1942" s="20" t="s">
        <v>123</v>
      </c>
      <c r="U1942" s="53" t="n">
        <v>0</v>
      </c>
      <c r="V1942" s="76" t="s">
        <v>887</v>
      </c>
      <c r="W1942" s="53" t="n">
        <v>5</v>
      </c>
    </row>
    <row r="1943" customFormat="false" ht="35.05" hidden="false" customHeight="false" outlineLevel="0" collapsed="false">
      <c r="A1943" s="76" t="n">
        <v>1903</v>
      </c>
      <c r="B1943" s="20" t="s">
        <v>1838</v>
      </c>
      <c r="C1943" s="20" t="s">
        <v>655</v>
      </c>
      <c r="D1943" s="20" t="s">
        <v>2035</v>
      </c>
      <c r="E1943" s="20" t="s">
        <v>887</v>
      </c>
      <c r="F1943" s="76" t="s">
        <v>676</v>
      </c>
      <c r="G1943" s="20" t="s">
        <v>2040</v>
      </c>
      <c r="H1943" s="55" t="n">
        <v>25</v>
      </c>
      <c r="I1943" s="76" t="s">
        <v>512</v>
      </c>
      <c r="J1943" s="76" t="s">
        <v>164</v>
      </c>
      <c r="K1943" s="82" t="n">
        <v>1</v>
      </c>
      <c r="L1943" s="55" t="n">
        <v>2</v>
      </c>
      <c r="M1943" s="73" t="n">
        <v>2.85</v>
      </c>
      <c r="N1943" s="74" t="n">
        <f aca="false">K1943*L1943*M1943</f>
        <v>5.7</v>
      </c>
      <c r="O1943" s="41" t="n">
        <f aca="false">IFERROR(INDEX(Исходные!$B$21:$B$33,MATCH(H1943,Исходные!$A$21:$A$33,0)),0)</f>
        <v>3.853</v>
      </c>
      <c r="P1943" s="83" t="n">
        <f aca="false">N1943*O1943</f>
        <v>21.9621</v>
      </c>
      <c r="Q1943" s="20" t="s">
        <v>2041</v>
      </c>
      <c r="R1943" s="84" t="s">
        <v>660</v>
      </c>
      <c r="S1943" s="20" t="s">
        <v>1381</v>
      </c>
      <c r="T1943" s="20" t="s">
        <v>123</v>
      </c>
      <c r="U1943" s="53" t="n">
        <v>0</v>
      </c>
      <c r="V1943" s="76" t="s">
        <v>887</v>
      </c>
      <c r="W1943" s="53" t="n">
        <v>5</v>
      </c>
    </row>
    <row r="1944" customFormat="false" ht="35.05" hidden="false" customHeight="false" outlineLevel="0" collapsed="false">
      <c r="A1944" s="76" t="n">
        <v>1904</v>
      </c>
      <c r="B1944" s="20" t="s">
        <v>1838</v>
      </c>
      <c r="C1944" s="20" t="s">
        <v>655</v>
      </c>
      <c r="D1944" s="20" t="s">
        <v>2035</v>
      </c>
      <c r="E1944" s="20" t="s">
        <v>887</v>
      </c>
      <c r="F1944" s="76" t="s">
        <v>676</v>
      </c>
      <c r="G1944" s="20" t="s">
        <v>2042</v>
      </c>
      <c r="H1944" s="55" t="n">
        <v>14</v>
      </c>
      <c r="I1944" s="76" t="s">
        <v>512</v>
      </c>
      <c r="J1944" s="76" t="s">
        <v>164</v>
      </c>
      <c r="K1944" s="82" t="n">
        <v>1</v>
      </c>
      <c r="L1944" s="55" t="n">
        <v>4</v>
      </c>
      <c r="M1944" s="73" t="n">
        <v>6.9</v>
      </c>
      <c r="N1944" s="74" t="n">
        <f aca="false">K1944*L1944*M1944</f>
        <v>27.6</v>
      </c>
      <c r="O1944" s="41" t="n">
        <f aca="false">IFERROR(INDEX(Исходные!$B$21:$B$33,MATCH(H1944,Исходные!$A$21:$A$33,0)),0)</f>
        <v>1.208</v>
      </c>
      <c r="P1944" s="83" t="n">
        <f aca="false">N1944*O1944</f>
        <v>33.3408</v>
      </c>
      <c r="Q1944" s="20" t="s">
        <v>2043</v>
      </c>
      <c r="R1944" s="84" t="s">
        <v>660</v>
      </c>
      <c r="S1944" s="20" t="s">
        <v>2044</v>
      </c>
      <c r="T1944" s="20" t="s">
        <v>123</v>
      </c>
      <c r="U1944" s="53" t="n">
        <v>0</v>
      </c>
      <c r="V1944" s="76" t="s">
        <v>887</v>
      </c>
      <c r="W1944" s="53" t="n">
        <v>5</v>
      </c>
    </row>
    <row r="1945" customFormat="false" ht="35.05" hidden="false" customHeight="false" outlineLevel="0" collapsed="false">
      <c r="A1945" s="76" t="n">
        <v>1905</v>
      </c>
      <c r="B1945" s="20" t="s">
        <v>1838</v>
      </c>
      <c r="C1945" s="20" t="s">
        <v>655</v>
      </c>
      <c r="D1945" s="20" t="s">
        <v>2035</v>
      </c>
      <c r="E1945" s="20" t="s">
        <v>887</v>
      </c>
      <c r="F1945" s="76" t="s">
        <v>676</v>
      </c>
      <c r="G1945" s="20" t="s">
        <v>2045</v>
      </c>
      <c r="H1945" s="55" t="n">
        <v>16</v>
      </c>
      <c r="I1945" s="76" t="s">
        <v>512</v>
      </c>
      <c r="J1945" s="76" t="s">
        <v>164</v>
      </c>
      <c r="K1945" s="82" t="n">
        <v>1</v>
      </c>
      <c r="L1945" s="55" t="n">
        <v>2</v>
      </c>
      <c r="M1945" s="73" t="n">
        <v>2.3</v>
      </c>
      <c r="N1945" s="74" t="n">
        <f aca="false">K1945*L1945*M1945</f>
        <v>4.6</v>
      </c>
      <c r="O1945" s="41" t="n">
        <f aca="false">IFERROR(INDEX(Исходные!$B$21:$B$33,MATCH(H1945,Исходные!$A$21:$A$33,0)),0)</f>
        <v>1.578</v>
      </c>
      <c r="P1945" s="83" t="n">
        <f aca="false">N1945*O1945</f>
        <v>7.2588</v>
      </c>
      <c r="Q1945" s="20" t="s">
        <v>2039</v>
      </c>
      <c r="R1945" s="84" t="s">
        <v>660</v>
      </c>
      <c r="S1945" s="20" t="s">
        <v>1389</v>
      </c>
      <c r="T1945" s="20" t="s">
        <v>123</v>
      </c>
      <c r="U1945" s="53" t="n">
        <v>0</v>
      </c>
      <c r="V1945" s="76" t="s">
        <v>887</v>
      </c>
      <c r="W1945" s="53" t="n">
        <v>5</v>
      </c>
    </row>
    <row r="1946" customFormat="false" ht="35.05" hidden="false" customHeight="false" outlineLevel="0" collapsed="false">
      <c r="A1946" s="76" t="n">
        <v>1906</v>
      </c>
      <c r="B1946" s="20" t="s">
        <v>1838</v>
      </c>
      <c r="C1946" s="20" t="s">
        <v>655</v>
      </c>
      <c r="D1946" s="20" t="s">
        <v>2035</v>
      </c>
      <c r="E1946" s="20" t="s">
        <v>887</v>
      </c>
      <c r="F1946" s="76" t="s">
        <v>676</v>
      </c>
      <c r="G1946" s="20" t="s">
        <v>900</v>
      </c>
      <c r="H1946" s="55" t="n">
        <v>16</v>
      </c>
      <c r="I1946" s="76" t="s">
        <v>512</v>
      </c>
      <c r="J1946" s="76" t="s">
        <v>164</v>
      </c>
      <c r="K1946" s="82" t="n">
        <v>1</v>
      </c>
      <c r="L1946" s="55" t="n">
        <v>2</v>
      </c>
      <c r="M1946" s="73" t="n">
        <v>2.3</v>
      </c>
      <c r="N1946" s="74" t="n">
        <f aca="false">K1946*L1946*M1946</f>
        <v>4.6</v>
      </c>
      <c r="O1946" s="41" t="n">
        <f aca="false">IFERROR(INDEX(Исходные!$B$21:$B$33,MATCH(H1946,Исходные!$A$21:$A$33,0)),0)</f>
        <v>1.578</v>
      </c>
      <c r="P1946" s="83" t="n">
        <f aca="false">N1946*O1946</f>
        <v>7.2588</v>
      </c>
      <c r="Q1946" s="20" t="s">
        <v>2039</v>
      </c>
      <c r="R1946" s="84" t="s">
        <v>660</v>
      </c>
      <c r="S1946" s="20" t="s">
        <v>902</v>
      </c>
      <c r="T1946" s="20" t="s">
        <v>123</v>
      </c>
      <c r="U1946" s="53" t="n">
        <v>0</v>
      </c>
      <c r="V1946" s="76" t="s">
        <v>887</v>
      </c>
      <c r="W1946" s="53" t="n">
        <v>5</v>
      </c>
    </row>
    <row r="1947" customFormat="false" ht="35.05" hidden="false" customHeight="false" outlineLevel="0" collapsed="false">
      <c r="A1947" s="76" t="n">
        <v>1907</v>
      </c>
      <c r="B1947" s="20" t="s">
        <v>1838</v>
      </c>
      <c r="C1947" s="20" t="s">
        <v>655</v>
      </c>
      <c r="D1947" s="20" t="s">
        <v>2035</v>
      </c>
      <c r="E1947" s="20" t="s">
        <v>887</v>
      </c>
      <c r="F1947" s="76" t="s">
        <v>696</v>
      </c>
      <c r="G1947" s="20" t="s">
        <v>1308</v>
      </c>
      <c r="H1947" s="55" t="n">
        <v>8</v>
      </c>
      <c r="I1947" s="76" t="s">
        <v>546</v>
      </c>
      <c r="J1947" s="76" t="s">
        <v>698</v>
      </c>
      <c r="K1947" s="82" t="n">
        <v>1</v>
      </c>
      <c r="L1947" s="55" t="n">
        <v>76</v>
      </c>
      <c r="M1947" s="73" t="n">
        <v>2.06</v>
      </c>
      <c r="N1947" s="74" t="n">
        <f aca="false">K1947*L1947*M1947</f>
        <v>156.56</v>
      </c>
      <c r="O1947" s="41" t="n">
        <f aca="false">IFERROR(INDEX(Исходные!$B$21:$B$33,MATCH(H1947,Исходные!$A$21:$A$33,0)),0)</f>
        <v>0.395</v>
      </c>
      <c r="P1947" s="83" t="n">
        <f aca="false">N1947*O1947</f>
        <v>61.8412</v>
      </c>
      <c r="Q1947" s="20" t="s">
        <v>1309</v>
      </c>
      <c r="R1947" s="84" t="s">
        <v>514</v>
      </c>
      <c r="S1947" s="20" t="s">
        <v>1395</v>
      </c>
      <c r="T1947" s="20" t="s">
        <v>123</v>
      </c>
      <c r="U1947" s="53" t="n">
        <v>0</v>
      </c>
      <c r="V1947" s="76" t="s">
        <v>887</v>
      </c>
      <c r="W1947" s="53" t="n">
        <v>5</v>
      </c>
    </row>
    <row r="1948" customFormat="false" ht="35.05" hidden="false" customHeight="false" outlineLevel="0" collapsed="false">
      <c r="A1948" s="76" t="n">
        <v>1908</v>
      </c>
      <c r="B1948" s="20" t="s">
        <v>1838</v>
      </c>
      <c r="C1948" s="20" t="s">
        <v>655</v>
      </c>
      <c r="D1948" s="20" t="s">
        <v>2035</v>
      </c>
      <c r="E1948" s="20" t="s">
        <v>887</v>
      </c>
      <c r="F1948" s="76" t="s">
        <v>561</v>
      </c>
      <c r="G1948" s="20" t="s">
        <v>1311</v>
      </c>
      <c r="H1948" s="55" t="n">
        <v>10</v>
      </c>
      <c r="I1948" s="76" t="s">
        <v>546</v>
      </c>
      <c r="J1948" s="76" t="n">
        <v>100</v>
      </c>
      <c r="K1948" s="82" t="n">
        <v>1</v>
      </c>
      <c r="L1948" s="55" t="n">
        <v>58</v>
      </c>
      <c r="M1948" s="73" t="n">
        <v>2.06</v>
      </c>
      <c r="N1948" s="74" t="n">
        <f aca="false">K1948*L1948*M1948</f>
        <v>119.48</v>
      </c>
      <c r="O1948" s="41" t="n">
        <f aca="false">IFERROR(INDEX(Исходные!$B$21:$B$33,MATCH(H1948,Исходные!$A$21:$A$33,0)),0)</f>
        <v>0.617</v>
      </c>
      <c r="P1948" s="83" t="n">
        <f aca="false">N1948*O1948</f>
        <v>73.71916</v>
      </c>
      <c r="Q1948" s="20" t="s">
        <v>2046</v>
      </c>
      <c r="R1948" s="84" t="s">
        <v>514</v>
      </c>
      <c r="S1948" s="20" t="s">
        <v>2047</v>
      </c>
      <c r="T1948" s="20" t="s">
        <v>123</v>
      </c>
      <c r="U1948" s="53" t="n">
        <v>0</v>
      </c>
      <c r="V1948" s="76" t="s">
        <v>887</v>
      </c>
      <c r="W1948" s="53" t="n">
        <v>5</v>
      </c>
    </row>
    <row r="1949" customFormat="false" ht="35.05" hidden="false" customHeight="false" outlineLevel="0" collapsed="false">
      <c r="A1949" s="76" t="n">
        <v>1909</v>
      </c>
      <c r="B1949" s="20" t="s">
        <v>1838</v>
      </c>
      <c r="C1949" s="20" t="s">
        <v>655</v>
      </c>
      <c r="D1949" s="20" t="s">
        <v>2035</v>
      </c>
      <c r="E1949" s="20" t="s">
        <v>887</v>
      </c>
      <c r="F1949" s="76" t="s">
        <v>603</v>
      </c>
      <c r="G1949" s="20" t="s">
        <v>704</v>
      </c>
      <c r="H1949" s="55" t="n">
        <v>10</v>
      </c>
      <c r="I1949" s="76" t="s">
        <v>546</v>
      </c>
      <c r="J1949" s="76" t="n">
        <v>100</v>
      </c>
      <c r="K1949" s="82" t="n">
        <v>1</v>
      </c>
      <c r="L1949" s="55" t="n">
        <v>30</v>
      </c>
      <c r="M1949" s="73" t="n">
        <v>1.6</v>
      </c>
      <c r="N1949" s="74" t="n">
        <f aca="false">K1949*L1949*M1949</f>
        <v>48</v>
      </c>
      <c r="O1949" s="41" t="n">
        <f aca="false">IFERROR(INDEX(Исходные!$B$21:$B$33,MATCH(H1949,Исходные!$A$21:$A$33,0)),0)</f>
        <v>0.617</v>
      </c>
      <c r="P1949" s="83" t="n">
        <f aca="false">N1949*O1949</f>
        <v>29.616</v>
      </c>
      <c r="Q1949" s="20" t="s">
        <v>910</v>
      </c>
      <c r="R1949" s="84" t="s">
        <v>514</v>
      </c>
      <c r="S1949" s="20"/>
      <c r="T1949" s="20" t="s">
        <v>123</v>
      </c>
      <c r="U1949" s="53" t="n">
        <v>0</v>
      </c>
      <c r="V1949" s="76" t="s">
        <v>887</v>
      </c>
      <c r="W1949" s="53" t="n">
        <v>5</v>
      </c>
    </row>
    <row r="1950" customFormat="false" ht="35.05" hidden="false" customHeight="false" outlineLevel="0" collapsed="false">
      <c r="A1950" s="76" t="n">
        <v>1910</v>
      </c>
      <c r="B1950" s="20" t="s">
        <v>1838</v>
      </c>
      <c r="C1950" s="20" t="s">
        <v>655</v>
      </c>
      <c r="D1950" s="20" t="s">
        <v>2035</v>
      </c>
      <c r="E1950" s="20" t="s">
        <v>887</v>
      </c>
      <c r="F1950" s="76" t="s">
        <v>706</v>
      </c>
      <c r="G1950" s="20" t="s">
        <v>1314</v>
      </c>
      <c r="H1950" s="55" t="n">
        <v>8</v>
      </c>
      <c r="I1950" s="76" t="s">
        <v>546</v>
      </c>
      <c r="J1950" s="76" t="s">
        <v>708</v>
      </c>
      <c r="K1950" s="82" t="n">
        <v>1</v>
      </c>
      <c r="L1950" s="55" t="n">
        <v>69</v>
      </c>
      <c r="M1950" s="73" t="n">
        <v>0.75</v>
      </c>
      <c r="N1950" s="74" t="n">
        <f aca="false">K1950*L1950*M1950</f>
        <v>51.75</v>
      </c>
      <c r="O1950" s="41" t="n">
        <f aca="false">IFERROR(INDEX(Исходные!$B$21:$B$33,MATCH(H1950,Исходные!$A$21:$A$33,0)),0)</f>
        <v>0.395</v>
      </c>
      <c r="P1950" s="83" t="n">
        <f aca="false">N1950*O1950</f>
        <v>20.44125</v>
      </c>
      <c r="Q1950" s="20" t="s">
        <v>709</v>
      </c>
      <c r="R1950" s="84" t="s">
        <v>514</v>
      </c>
      <c r="S1950" s="20"/>
      <c r="T1950" s="20" t="s">
        <v>123</v>
      </c>
      <c r="U1950" s="53" t="n">
        <v>0</v>
      </c>
      <c r="V1950" s="76" t="s">
        <v>887</v>
      </c>
      <c r="W1950" s="53" t="n">
        <v>5</v>
      </c>
    </row>
    <row r="1951" customFormat="false" ht="35.05" hidden="false" customHeight="false" outlineLevel="0" collapsed="false">
      <c r="A1951" s="76" t="n">
        <v>1911</v>
      </c>
      <c r="B1951" s="20" t="s">
        <v>1838</v>
      </c>
      <c r="C1951" s="20" t="s">
        <v>655</v>
      </c>
      <c r="D1951" s="20" t="s">
        <v>2035</v>
      </c>
      <c r="E1951" s="20" t="s">
        <v>887</v>
      </c>
      <c r="F1951" s="76" t="s">
        <v>710</v>
      </c>
      <c r="G1951" s="20" t="s">
        <v>1315</v>
      </c>
      <c r="H1951" s="55" t="n">
        <v>8</v>
      </c>
      <c r="I1951" s="76" t="s">
        <v>546</v>
      </c>
      <c r="J1951" s="76" t="n">
        <v>300</v>
      </c>
      <c r="K1951" s="82" t="n">
        <v>1</v>
      </c>
      <c r="L1951" s="55" t="n">
        <v>54</v>
      </c>
      <c r="M1951" s="73" t="n">
        <v>0.58</v>
      </c>
      <c r="N1951" s="74" t="n">
        <f aca="false">K1951*L1951*M1951</f>
        <v>31.32</v>
      </c>
      <c r="O1951" s="41" t="n">
        <f aca="false">IFERROR(INDEX(Исходные!$B$21:$B$33,MATCH(H1951,Исходные!$A$21:$A$33,0)),0)</f>
        <v>0.395</v>
      </c>
      <c r="P1951" s="83" t="n">
        <f aca="false">N1951*O1951</f>
        <v>12.3714</v>
      </c>
      <c r="Q1951" s="20" t="s">
        <v>1316</v>
      </c>
      <c r="R1951" s="85" t="s">
        <v>638</v>
      </c>
      <c r="S1951" s="20"/>
      <c r="T1951" s="20" t="s">
        <v>123</v>
      </c>
      <c r="U1951" s="53" t="n">
        <v>1</v>
      </c>
      <c r="V1951" s="76" t="s">
        <v>887</v>
      </c>
      <c r="W1951" s="53" t="n">
        <v>5</v>
      </c>
    </row>
    <row r="1952" customFormat="false" ht="15" hidden="false" customHeight="true" outlineLevel="0" collapsed="false">
      <c r="A1952" s="81" t="s">
        <v>2048</v>
      </c>
      <c r="B1952" s="81"/>
      <c r="C1952" s="81"/>
      <c r="D1952" s="81"/>
      <c r="E1952" s="81"/>
      <c r="F1952" s="81"/>
      <c r="G1952" s="81"/>
      <c r="H1952" s="81"/>
      <c r="I1952" s="81"/>
      <c r="J1952" s="81"/>
      <c r="K1952" s="81"/>
      <c r="L1952" s="81"/>
      <c r="M1952" s="81"/>
      <c r="N1952" s="81"/>
      <c r="O1952" s="81"/>
      <c r="P1952" s="81"/>
      <c r="Q1952" s="81"/>
      <c r="R1952" s="81"/>
      <c r="S1952" s="81"/>
      <c r="T1952" s="81"/>
      <c r="U1952" s="81"/>
      <c r="V1952" s="81"/>
      <c r="W1952" s="81"/>
    </row>
    <row r="1953" customFormat="false" ht="35.05" hidden="false" customHeight="false" outlineLevel="0" collapsed="false">
      <c r="A1953" s="76" t="n">
        <v>1912</v>
      </c>
      <c r="B1953" s="20" t="s">
        <v>1838</v>
      </c>
      <c r="C1953" s="20" t="s">
        <v>912</v>
      </c>
      <c r="D1953" s="20" t="s">
        <v>913</v>
      </c>
      <c r="E1953" s="20" t="s">
        <v>2049</v>
      </c>
      <c r="F1953" s="76" t="s">
        <v>915</v>
      </c>
      <c r="G1953" s="20" t="s">
        <v>916</v>
      </c>
      <c r="H1953" s="55" t="n">
        <v>10</v>
      </c>
      <c r="I1953" s="76" t="s">
        <v>512</v>
      </c>
      <c r="J1953" s="76" t="n">
        <v>200</v>
      </c>
      <c r="K1953" s="82" t="n">
        <v>1</v>
      </c>
      <c r="L1953" s="55" t="n">
        <v>75</v>
      </c>
      <c r="M1953" s="73" t="n">
        <v>25.6</v>
      </c>
      <c r="N1953" s="74" t="n">
        <f aca="false">K1953*L1953*M1953</f>
        <v>1920</v>
      </c>
      <c r="O1953" s="41" t="n">
        <f aca="false">IFERROR(INDEX(Исходные!$B$21:$B$33,MATCH(H1953,Исходные!$A$21:$A$33,0)),0)</f>
        <v>0.617</v>
      </c>
      <c r="P1953" s="83" t="n">
        <f aca="false">N1953*O1953</f>
        <v>1184.64</v>
      </c>
      <c r="Q1953" s="20" t="s">
        <v>2050</v>
      </c>
      <c r="R1953" s="84" t="s">
        <v>660</v>
      </c>
      <c r="S1953" s="20"/>
      <c r="T1953" s="20" t="s">
        <v>123</v>
      </c>
      <c r="U1953" s="53" t="n">
        <v>0</v>
      </c>
      <c r="V1953" s="76" t="s">
        <v>918</v>
      </c>
      <c r="W1953" s="53" t="n">
        <v>5</v>
      </c>
    </row>
    <row r="1954" customFormat="false" ht="35.05" hidden="false" customHeight="false" outlineLevel="0" collapsed="false">
      <c r="A1954" s="76" t="n">
        <v>1913</v>
      </c>
      <c r="B1954" s="20" t="s">
        <v>1838</v>
      </c>
      <c r="C1954" s="20" t="s">
        <v>912</v>
      </c>
      <c r="D1954" s="20" t="s">
        <v>913</v>
      </c>
      <c r="E1954" s="20" t="s">
        <v>2049</v>
      </c>
      <c r="F1954" s="76" t="s">
        <v>919</v>
      </c>
      <c r="G1954" s="20" t="s">
        <v>2051</v>
      </c>
      <c r="H1954" s="55" t="n">
        <v>10</v>
      </c>
      <c r="I1954" s="76" t="s">
        <v>512</v>
      </c>
      <c r="J1954" s="76" t="s">
        <v>164</v>
      </c>
      <c r="K1954" s="82" t="n">
        <v>75</v>
      </c>
      <c r="L1954" s="55" t="n">
        <v>2</v>
      </c>
      <c r="M1954" s="73" t="n">
        <v>0.4</v>
      </c>
      <c r="N1954" s="74" t="n">
        <f aca="false">K1954*L1954*M1954</f>
        <v>60</v>
      </c>
      <c r="O1954" s="41" t="n">
        <f aca="false">IFERROR(INDEX(Исходные!$B$21:$B$33,MATCH(H1954,Исходные!$A$21:$A$33,0)),0)</f>
        <v>0.617</v>
      </c>
      <c r="P1954" s="83" t="n">
        <f aca="false">N1954*O1954</f>
        <v>37.02</v>
      </c>
      <c r="Q1954" s="20" t="s">
        <v>921</v>
      </c>
      <c r="R1954" s="84" t="s">
        <v>667</v>
      </c>
      <c r="S1954" s="20" t="s">
        <v>1432</v>
      </c>
      <c r="T1954" s="20" t="s">
        <v>123</v>
      </c>
      <c r="U1954" s="53" t="n">
        <v>0</v>
      </c>
      <c r="V1954" s="76" t="s">
        <v>918</v>
      </c>
      <c r="W1954" s="53" t="n">
        <v>5</v>
      </c>
    </row>
    <row r="1955" customFormat="false" ht="35.05" hidden="false" customHeight="false" outlineLevel="0" collapsed="false">
      <c r="A1955" s="76" t="n">
        <v>1914</v>
      </c>
      <c r="B1955" s="20" t="s">
        <v>1838</v>
      </c>
      <c r="C1955" s="20" t="s">
        <v>912</v>
      </c>
      <c r="D1955" s="20" t="s">
        <v>913</v>
      </c>
      <c r="E1955" s="20" t="s">
        <v>2049</v>
      </c>
      <c r="F1955" s="76" t="s">
        <v>915</v>
      </c>
      <c r="G1955" s="20" t="s">
        <v>916</v>
      </c>
      <c r="H1955" s="55" t="n">
        <v>10</v>
      </c>
      <c r="I1955" s="76" t="s">
        <v>512</v>
      </c>
      <c r="J1955" s="76" t="n">
        <v>200</v>
      </c>
      <c r="K1955" s="82" t="n">
        <v>1</v>
      </c>
      <c r="L1955" s="55" t="n">
        <v>1</v>
      </c>
      <c r="M1955" s="73" t="n">
        <v>20.48</v>
      </c>
      <c r="N1955" s="74" t="n">
        <f aca="false">K1955*L1955*M1955</f>
        <v>20.48</v>
      </c>
      <c r="O1955" s="41" t="n">
        <f aca="false">IFERROR(INDEX(Исходные!$B$21:$B$33,MATCH(H1955,Исходные!$A$21:$A$33,0)),0)</f>
        <v>0.617</v>
      </c>
      <c r="P1955" s="83" t="n">
        <f aca="false">N1955*O1955</f>
        <v>12.63616</v>
      </c>
      <c r="Q1955" s="20" t="s">
        <v>2050</v>
      </c>
      <c r="R1955" s="84" t="s">
        <v>660</v>
      </c>
      <c r="S1955" s="20"/>
      <c r="T1955" s="20" t="s">
        <v>123</v>
      </c>
      <c r="U1955" s="53" t="n">
        <v>0</v>
      </c>
      <c r="V1955" s="76" t="s">
        <v>918</v>
      </c>
      <c r="W1955" s="53" t="n">
        <v>5</v>
      </c>
    </row>
    <row r="1956" customFormat="false" ht="35.05" hidden="false" customHeight="false" outlineLevel="0" collapsed="false">
      <c r="A1956" s="76" t="n">
        <v>1915</v>
      </c>
      <c r="B1956" s="20" t="s">
        <v>1838</v>
      </c>
      <c r="C1956" s="20" t="s">
        <v>912</v>
      </c>
      <c r="D1956" s="20" t="s">
        <v>913</v>
      </c>
      <c r="E1956" s="20" t="s">
        <v>2049</v>
      </c>
      <c r="F1956" s="76" t="s">
        <v>919</v>
      </c>
      <c r="G1956" s="20" t="s">
        <v>2052</v>
      </c>
      <c r="H1956" s="55" t="n">
        <v>10</v>
      </c>
      <c r="I1956" s="76" t="s">
        <v>512</v>
      </c>
      <c r="J1956" s="76" t="s">
        <v>164</v>
      </c>
      <c r="K1956" s="82" t="n">
        <v>1</v>
      </c>
      <c r="L1956" s="55" t="n">
        <v>1</v>
      </c>
      <c r="M1956" s="73" t="n">
        <v>0.4</v>
      </c>
      <c r="N1956" s="74" t="n">
        <f aca="false">K1956*L1956*M1956</f>
        <v>0.4</v>
      </c>
      <c r="O1956" s="41" t="n">
        <f aca="false">IFERROR(INDEX(Исходные!$B$21:$B$33,MATCH(H1956,Исходные!$A$21:$A$33,0)),0)</f>
        <v>0.617</v>
      </c>
      <c r="P1956" s="83" t="n">
        <f aca="false">N1956*O1956</f>
        <v>0.2468</v>
      </c>
      <c r="Q1956" s="20" t="s">
        <v>921</v>
      </c>
      <c r="R1956" s="84" t="s">
        <v>667</v>
      </c>
      <c r="S1956" s="20" t="s">
        <v>939</v>
      </c>
      <c r="T1956" s="20" t="s">
        <v>123</v>
      </c>
      <c r="U1956" s="53" t="n">
        <v>0</v>
      </c>
      <c r="V1956" s="76" t="s">
        <v>918</v>
      </c>
      <c r="W1956" s="53" t="n">
        <v>5</v>
      </c>
    </row>
    <row r="1957" customFormat="false" ht="35.05" hidden="false" customHeight="false" outlineLevel="0" collapsed="false">
      <c r="A1957" s="76" t="n">
        <v>1916</v>
      </c>
      <c r="B1957" s="20" t="s">
        <v>1838</v>
      </c>
      <c r="C1957" s="20" t="s">
        <v>912</v>
      </c>
      <c r="D1957" s="20" t="s">
        <v>913</v>
      </c>
      <c r="E1957" s="20" t="s">
        <v>2049</v>
      </c>
      <c r="F1957" s="76" t="s">
        <v>915</v>
      </c>
      <c r="G1957" s="20" t="s">
        <v>916</v>
      </c>
      <c r="H1957" s="55" t="n">
        <v>10</v>
      </c>
      <c r="I1957" s="76" t="s">
        <v>512</v>
      </c>
      <c r="J1957" s="76" t="n">
        <v>200</v>
      </c>
      <c r="K1957" s="82" t="n">
        <v>1</v>
      </c>
      <c r="L1957" s="55" t="n">
        <v>28</v>
      </c>
      <c r="M1957" s="73" t="n">
        <v>13.9</v>
      </c>
      <c r="N1957" s="74" t="n">
        <f aca="false">K1957*L1957*M1957</f>
        <v>389.2</v>
      </c>
      <c r="O1957" s="41" t="n">
        <f aca="false">IFERROR(INDEX(Исходные!$B$21:$B$33,MATCH(H1957,Исходные!$A$21:$A$33,0)),0)</f>
        <v>0.617</v>
      </c>
      <c r="P1957" s="83" t="n">
        <f aca="false">N1957*O1957</f>
        <v>240.1364</v>
      </c>
      <c r="Q1957" s="20" t="s">
        <v>2050</v>
      </c>
      <c r="R1957" s="84" t="s">
        <v>660</v>
      </c>
      <c r="S1957" s="20"/>
      <c r="T1957" s="20" t="s">
        <v>123</v>
      </c>
      <c r="U1957" s="53" t="n">
        <v>0</v>
      </c>
      <c r="V1957" s="76" t="s">
        <v>918</v>
      </c>
      <c r="W1957" s="53" t="n">
        <v>5</v>
      </c>
    </row>
    <row r="1958" customFormat="false" ht="35.05" hidden="false" customHeight="false" outlineLevel="0" collapsed="false">
      <c r="A1958" s="76" t="n">
        <v>1917</v>
      </c>
      <c r="B1958" s="20" t="s">
        <v>1838</v>
      </c>
      <c r="C1958" s="20" t="s">
        <v>912</v>
      </c>
      <c r="D1958" s="20" t="s">
        <v>913</v>
      </c>
      <c r="E1958" s="20" t="s">
        <v>2049</v>
      </c>
      <c r="F1958" s="76" t="s">
        <v>919</v>
      </c>
      <c r="G1958" s="20" t="s">
        <v>2053</v>
      </c>
      <c r="H1958" s="55" t="n">
        <v>10</v>
      </c>
      <c r="I1958" s="76" t="s">
        <v>512</v>
      </c>
      <c r="J1958" s="76" t="s">
        <v>164</v>
      </c>
      <c r="K1958" s="82" t="n">
        <v>28</v>
      </c>
      <c r="L1958" s="55" t="n">
        <v>1</v>
      </c>
      <c r="M1958" s="73" t="n">
        <v>0.4</v>
      </c>
      <c r="N1958" s="74" t="n">
        <f aca="false">K1958*L1958*M1958</f>
        <v>11.2</v>
      </c>
      <c r="O1958" s="41" t="n">
        <f aca="false">IFERROR(INDEX(Исходные!$B$21:$B$33,MATCH(H1958,Исходные!$A$21:$A$33,0)),0)</f>
        <v>0.617</v>
      </c>
      <c r="P1958" s="83" t="n">
        <f aca="false">N1958*O1958</f>
        <v>6.9104</v>
      </c>
      <c r="Q1958" s="20" t="s">
        <v>921</v>
      </c>
      <c r="R1958" s="84" t="s">
        <v>667</v>
      </c>
      <c r="S1958" s="20" t="s">
        <v>930</v>
      </c>
      <c r="T1958" s="20" t="s">
        <v>123</v>
      </c>
      <c r="U1958" s="53" t="n">
        <v>0</v>
      </c>
      <c r="V1958" s="76" t="s">
        <v>918</v>
      </c>
      <c r="W1958" s="53" t="n">
        <v>5</v>
      </c>
    </row>
    <row r="1959" customFormat="false" ht="35.05" hidden="false" customHeight="false" outlineLevel="0" collapsed="false">
      <c r="A1959" s="76" t="n">
        <v>1918</v>
      </c>
      <c r="B1959" s="20" t="s">
        <v>1838</v>
      </c>
      <c r="C1959" s="20" t="s">
        <v>912</v>
      </c>
      <c r="D1959" s="20" t="s">
        <v>913</v>
      </c>
      <c r="E1959" s="20" t="s">
        <v>2049</v>
      </c>
      <c r="F1959" s="76" t="s">
        <v>915</v>
      </c>
      <c r="G1959" s="20" t="s">
        <v>916</v>
      </c>
      <c r="H1959" s="55" t="n">
        <v>10</v>
      </c>
      <c r="I1959" s="76" t="s">
        <v>512</v>
      </c>
      <c r="J1959" s="76" t="n">
        <v>200</v>
      </c>
      <c r="K1959" s="82" t="n">
        <v>1</v>
      </c>
      <c r="L1959" s="55" t="n">
        <v>1</v>
      </c>
      <c r="M1959" s="73" t="n">
        <v>10.77</v>
      </c>
      <c r="N1959" s="74" t="n">
        <f aca="false">K1959*L1959*M1959</f>
        <v>10.77</v>
      </c>
      <c r="O1959" s="41" t="n">
        <f aca="false">IFERROR(INDEX(Исходные!$B$21:$B$33,MATCH(H1959,Исходные!$A$21:$A$33,0)),0)</f>
        <v>0.617</v>
      </c>
      <c r="P1959" s="83" t="n">
        <f aca="false">N1959*O1959</f>
        <v>6.64509</v>
      </c>
      <c r="Q1959" s="20" t="s">
        <v>2050</v>
      </c>
      <c r="R1959" s="84" t="s">
        <v>660</v>
      </c>
      <c r="S1959" s="20"/>
      <c r="T1959" s="20" t="s">
        <v>123</v>
      </c>
      <c r="U1959" s="53" t="n">
        <v>0</v>
      </c>
      <c r="V1959" s="76" t="s">
        <v>918</v>
      </c>
      <c r="W1959" s="53" t="n">
        <v>5</v>
      </c>
    </row>
    <row r="1960" customFormat="false" ht="35.05" hidden="false" customHeight="false" outlineLevel="0" collapsed="false">
      <c r="A1960" s="76" t="n">
        <v>1919</v>
      </c>
      <c r="B1960" s="20" t="s">
        <v>1838</v>
      </c>
      <c r="C1960" s="20" t="s">
        <v>912</v>
      </c>
      <c r="D1960" s="20" t="s">
        <v>913</v>
      </c>
      <c r="E1960" s="20" t="s">
        <v>2049</v>
      </c>
      <c r="F1960" s="76" t="s">
        <v>915</v>
      </c>
      <c r="G1960" s="20" t="s">
        <v>916</v>
      </c>
      <c r="H1960" s="55" t="n">
        <v>10</v>
      </c>
      <c r="I1960" s="76" t="s">
        <v>512</v>
      </c>
      <c r="J1960" s="76" t="n">
        <v>200</v>
      </c>
      <c r="K1960" s="82" t="n">
        <v>1</v>
      </c>
      <c r="L1960" s="55" t="n">
        <v>14</v>
      </c>
      <c r="M1960" s="73" t="n">
        <v>7.97</v>
      </c>
      <c r="N1960" s="74" t="n">
        <f aca="false">K1960*L1960*M1960</f>
        <v>111.58</v>
      </c>
      <c r="O1960" s="41" t="n">
        <f aca="false">IFERROR(INDEX(Исходные!$B$21:$B$33,MATCH(H1960,Исходные!$A$21:$A$33,0)),0)</f>
        <v>0.617</v>
      </c>
      <c r="P1960" s="83" t="n">
        <f aca="false">N1960*O1960</f>
        <v>68.84486</v>
      </c>
      <c r="Q1960" s="20" t="s">
        <v>2050</v>
      </c>
      <c r="R1960" s="84" t="s">
        <v>660</v>
      </c>
      <c r="S1960" s="20"/>
      <c r="T1960" s="20" t="s">
        <v>123</v>
      </c>
      <c r="U1960" s="53" t="n">
        <v>0</v>
      </c>
      <c r="V1960" s="76" t="s">
        <v>918</v>
      </c>
      <c r="W1960" s="53" t="n">
        <v>5</v>
      </c>
    </row>
    <row r="1961" customFormat="false" ht="35.05" hidden="false" customHeight="false" outlineLevel="0" collapsed="false">
      <c r="A1961" s="76" t="n">
        <v>1920</v>
      </c>
      <c r="B1961" s="20" t="s">
        <v>1838</v>
      </c>
      <c r="C1961" s="20" t="s">
        <v>912</v>
      </c>
      <c r="D1961" s="20" t="s">
        <v>913</v>
      </c>
      <c r="E1961" s="20" t="s">
        <v>2049</v>
      </c>
      <c r="F1961" s="76" t="s">
        <v>915</v>
      </c>
      <c r="G1961" s="20" t="s">
        <v>916</v>
      </c>
      <c r="H1961" s="55" t="n">
        <v>10</v>
      </c>
      <c r="I1961" s="76" t="s">
        <v>512</v>
      </c>
      <c r="J1961" s="76" t="n">
        <v>200</v>
      </c>
      <c r="K1961" s="82" t="n">
        <v>1</v>
      </c>
      <c r="L1961" s="55" t="n">
        <v>13</v>
      </c>
      <c r="M1961" s="73" t="n">
        <v>7.17</v>
      </c>
      <c r="N1961" s="74" t="n">
        <f aca="false">K1961*L1961*M1961</f>
        <v>93.21</v>
      </c>
      <c r="O1961" s="41" t="n">
        <f aca="false">IFERROR(INDEX(Исходные!$B$21:$B$33,MATCH(H1961,Исходные!$A$21:$A$33,0)),0)</f>
        <v>0.617</v>
      </c>
      <c r="P1961" s="83" t="n">
        <f aca="false">N1961*O1961</f>
        <v>57.51057</v>
      </c>
      <c r="Q1961" s="20" t="s">
        <v>2050</v>
      </c>
      <c r="R1961" s="84" t="s">
        <v>660</v>
      </c>
      <c r="S1961" s="20"/>
      <c r="T1961" s="20" t="s">
        <v>123</v>
      </c>
      <c r="U1961" s="53" t="n">
        <v>0</v>
      </c>
      <c r="V1961" s="76" t="s">
        <v>918</v>
      </c>
      <c r="W1961" s="53" t="n">
        <v>5</v>
      </c>
    </row>
    <row r="1962" customFormat="false" ht="35.05" hidden="false" customHeight="false" outlineLevel="0" collapsed="false">
      <c r="A1962" s="76" t="n">
        <v>1921</v>
      </c>
      <c r="B1962" s="20" t="s">
        <v>1838</v>
      </c>
      <c r="C1962" s="20" t="s">
        <v>912</v>
      </c>
      <c r="D1962" s="20" t="s">
        <v>913</v>
      </c>
      <c r="E1962" s="20" t="s">
        <v>2049</v>
      </c>
      <c r="F1962" s="76" t="s">
        <v>931</v>
      </c>
      <c r="G1962" s="20" t="s">
        <v>932</v>
      </c>
      <c r="H1962" s="55" t="n">
        <v>10</v>
      </c>
      <c r="I1962" s="76" t="s">
        <v>512</v>
      </c>
      <c r="J1962" s="76" t="n">
        <v>200</v>
      </c>
      <c r="K1962" s="82" t="n">
        <v>1</v>
      </c>
      <c r="L1962" s="55" t="n">
        <v>81</v>
      </c>
      <c r="M1962" s="73" t="n">
        <v>20.6</v>
      </c>
      <c r="N1962" s="74" t="n">
        <f aca="false">K1962*L1962*M1962</f>
        <v>1668.6</v>
      </c>
      <c r="O1962" s="41" t="n">
        <f aca="false">IFERROR(INDEX(Исходные!$B$21:$B$33,MATCH(H1962,Исходные!$A$21:$A$33,0)),0)</f>
        <v>0.617</v>
      </c>
      <c r="P1962" s="83" t="n">
        <f aca="false">N1962*O1962</f>
        <v>1029.5262</v>
      </c>
      <c r="Q1962" s="20" t="s">
        <v>2050</v>
      </c>
      <c r="R1962" s="84" t="s">
        <v>660</v>
      </c>
      <c r="S1962" s="20"/>
      <c r="T1962" s="20" t="s">
        <v>123</v>
      </c>
      <c r="U1962" s="53" t="n">
        <v>0</v>
      </c>
      <c r="V1962" s="76" t="s">
        <v>918</v>
      </c>
      <c r="W1962" s="53" t="n">
        <v>5</v>
      </c>
    </row>
    <row r="1963" customFormat="false" ht="35.05" hidden="false" customHeight="false" outlineLevel="0" collapsed="false">
      <c r="A1963" s="76" t="n">
        <v>1922</v>
      </c>
      <c r="B1963" s="20" t="s">
        <v>1838</v>
      </c>
      <c r="C1963" s="20" t="s">
        <v>912</v>
      </c>
      <c r="D1963" s="20" t="s">
        <v>913</v>
      </c>
      <c r="E1963" s="20" t="s">
        <v>2049</v>
      </c>
      <c r="F1963" s="76" t="s">
        <v>933</v>
      </c>
      <c r="G1963" s="20" t="s">
        <v>2054</v>
      </c>
      <c r="H1963" s="55" t="n">
        <v>10</v>
      </c>
      <c r="I1963" s="76" t="s">
        <v>512</v>
      </c>
      <c r="J1963" s="76" t="s">
        <v>164</v>
      </c>
      <c r="K1963" s="82" t="n">
        <v>81</v>
      </c>
      <c r="L1963" s="55" t="n">
        <v>1</v>
      </c>
      <c r="M1963" s="73" t="n">
        <v>0.4</v>
      </c>
      <c r="N1963" s="74" t="n">
        <f aca="false">K1963*L1963*M1963</f>
        <v>32.4</v>
      </c>
      <c r="O1963" s="41" t="n">
        <f aca="false">IFERROR(INDEX(Исходные!$B$21:$B$33,MATCH(H1963,Исходные!$A$21:$A$33,0)),0)</f>
        <v>0.617</v>
      </c>
      <c r="P1963" s="83" t="n">
        <f aca="false">N1963*O1963</f>
        <v>19.9908</v>
      </c>
      <c r="Q1963" s="20" t="s">
        <v>921</v>
      </c>
      <c r="R1963" s="84" t="s">
        <v>667</v>
      </c>
      <c r="S1963" s="20" t="s">
        <v>1436</v>
      </c>
      <c r="T1963" s="20" t="s">
        <v>123</v>
      </c>
      <c r="U1963" s="53" t="n">
        <v>0</v>
      </c>
      <c r="V1963" s="76" t="s">
        <v>918</v>
      </c>
      <c r="W1963" s="53" t="n">
        <v>5</v>
      </c>
    </row>
    <row r="1964" customFormat="false" ht="35.05" hidden="false" customHeight="false" outlineLevel="0" collapsed="false">
      <c r="A1964" s="76" t="n">
        <v>1923</v>
      </c>
      <c r="B1964" s="20" t="s">
        <v>1838</v>
      </c>
      <c r="C1964" s="20" t="s">
        <v>912</v>
      </c>
      <c r="D1964" s="20" t="s">
        <v>913</v>
      </c>
      <c r="E1964" s="20" t="s">
        <v>2049</v>
      </c>
      <c r="F1964" s="76" t="s">
        <v>931</v>
      </c>
      <c r="G1964" s="20" t="s">
        <v>932</v>
      </c>
      <c r="H1964" s="55" t="n">
        <v>10</v>
      </c>
      <c r="I1964" s="76" t="s">
        <v>512</v>
      </c>
      <c r="J1964" s="76" t="n">
        <v>200</v>
      </c>
      <c r="K1964" s="82" t="n">
        <v>1</v>
      </c>
      <c r="L1964" s="55" t="n">
        <v>26</v>
      </c>
      <c r="M1964" s="73" t="n">
        <v>20.48</v>
      </c>
      <c r="N1964" s="74" t="n">
        <f aca="false">K1964*L1964*M1964</f>
        <v>532.48</v>
      </c>
      <c r="O1964" s="41" t="n">
        <f aca="false">IFERROR(INDEX(Исходные!$B$21:$B$33,MATCH(H1964,Исходные!$A$21:$A$33,0)),0)</f>
        <v>0.617</v>
      </c>
      <c r="P1964" s="83" t="n">
        <f aca="false">N1964*O1964</f>
        <v>328.54016</v>
      </c>
      <c r="Q1964" s="20" t="s">
        <v>2050</v>
      </c>
      <c r="R1964" s="84" t="s">
        <v>660</v>
      </c>
      <c r="S1964" s="20"/>
      <c r="T1964" s="20" t="s">
        <v>123</v>
      </c>
      <c r="U1964" s="53" t="n">
        <v>0</v>
      </c>
      <c r="V1964" s="76" t="s">
        <v>918</v>
      </c>
      <c r="W1964" s="53" t="n">
        <v>5</v>
      </c>
    </row>
    <row r="1965" customFormat="false" ht="35.05" hidden="false" customHeight="false" outlineLevel="0" collapsed="false">
      <c r="A1965" s="76" t="n">
        <v>1924</v>
      </c>
      <c r="B1965" s="20" t="s">
        <v>1838</v>
      </c>
      <c r="C1965" s="20" t="s">
        <v>912</v>
      </c>
      <c r="D1965" s="20" t="s">
        <v>913</v>
      </c>
      <c r="E1965" s="20" t="s">
        <v>2049</v>
      </c>
      <c r="F1965" s="76" t="s">
        <v>933</v>
      </c>
      <c r="G1965" s="20" t="s">
        <v>938</v>
      </c>
      <c r="H1965" s="55" t="n">
        <v>10</v>
      </c>
      <c r="I1965" s="76" t="s">
        <v>512</v>
      </c>
      <c r="J1965" s="76" t="s">
        <v>164</v>
      </c>
      <c r="K1965" s="82" t="n">
        <v>26</v>
      </c>
      <c r="L1965" s="55" t="n">
        <v>1</v>
      </c>
      <c r="M1965" s="73" t="n">
        <v>0.4</v>
      </c>
      <c r="N1965" s="74" t="n">
        <f aca="false">K1965*L1965*M1965</f>
        <v>10.4</v>
      </c>
      <c r="O1965" s="41" t="n">
        <f aca="false">IFERROR(INDEX(Исходные!$B$21:$B$33,MATCH(H1965,Исходные!$A$21:$A$33,0)),0)</f>
        <v>0.617</v>
      </c>
      <c r="P1965" s="83" t="n">
        <f aca="false">N1965*O1965</f>
        <v>6.4168</v>
      </c>
      <c r="Q1965" s="20" t="s">
        <v>921</v>
      </c>
      <c r="R1965" s="84" t="s">
        <v>667</v>
      </c>
      <c r="S1965" s="20" t="s">
        <v>939</v>
      </c>
      <c r="T1965" s="20" t="s">
        <v>123</v>
      </c>
      <c r="U1965" s="53" t="n">
        <v>0</v>
      </c>
      <c r="V1965" s="76" t="s">
        <v>918</v>
      </c>
      <c r="W1965" s="53" t="n">
        <v>5</v>
      </c>
    </row>
    <row r="1966" customFormat="false" ht="35.05" hidden="false" customHeight="false" outlineLevel="0" collapsed="false">
      <c r="A1966" s="76" t="n">
        <v>1925</v>
      </c>
      <c r="B1966" s="20" t="s">
        <v>1838</v>
      </c>
      <c r="C1966" s="20" t="s">
        <v>912</v>
      </c>
      <c r="D1966" s="20" t="s">
        <v>913</v>
      </c>
      <c r="E1966" s="20" t="s">
        <v>2049</v>
      </c>
      <c r="F1966" s="76" t="s">
        <v>931</v>
      </c>
      <c r="G1966" s="20" t="s">
        <v>932</v>
      </c>
      <c r="H1966" s="55" t="n">
        <v>10</v>
      </c>
      <c r="I1966" s="76" t="s">
        <v>512</v>
      </c>
      <c r="J1966" s="76" t="n">
        <v>200</v>
      </c>
      <c r="K1966" s="82" t="n">
        <v>1</v>
      </c>
      <c r="L1966" s="55" t="n">
        <v>5</v>
      </c>
      <c r="M1966" s="73" t="n">
        <v>17.28</v>
      </c>
      <c r="N1966" s="74" t="n">
        <f aca="false">K1966*L1966*M1966</f>
        <v>86.4</v>
      </c>
      <c r="O1966" s="41" t="n">
        <f aca="false">IFERROR(INDEX(Исходные!$B$21:$B$33,MATCH(H1966,Исходные!$A$21:$A$33,0)),0)</f>
        <v>0.617</v>
      </c>
      <c r="P1966" s="83" t="n">
        <f aca="false">N1966*O1966</f>
        <v>53.3088</v>
      </c>
      <c r="Q1966" s="20" t="s">
        <v>2050</v>
      </c>
      <c r="R1966" s="84" t="s">
        <v>660</v>
      </c>
      <c r="S1966" s="20"/>
      <c r="T1966" s="20" t="s">
        <v>123</v>
      </c>
      <c r="U1966" s="53" t="n">
        <v>0</v>
      </c>
      <c r="V1966" s="76" t="s">
        <v>918</v>
      </c>
      <c r="W1966" s="53" t="n">
        <v>5</v>
      </c>
    </row>
    <row r="1967" customFormat="false" ht="35.05" hidden="false" customHeight="false" outlineLevel="0" collapsed="false">
      <c r="A1967" s="76" t="n">
        <v>1926</v>
      </c>
      <c r="B1967" s="20" t="s">
        <v>1838</v>
      </c>
      <c r="C1967" s="20" t="s">
        <v>912</v>
      </c>
      <c r="D1967" s="20" t="s">
        <v>913</v>
      </c>
      <c r="E1967" s="20" t="s">
        <v>2049</v>
      </c>
      <c r="F1967" s="76" t="s">
        <v>933</v>
      </c>
      <c r="G1967" s="20" t="s">
        <v>942</v>
      </c>
      <c r="H1967" s="55" t="n">
        <v>10</v>
      </c>
      <c r="I1967" s="76" t="s">
        <v>512</v>
      </c>
      <c r="J1967" s="76" t="s">
        <v>164</v>
      </c>
      <c r="K1967" s="82" t="n">
        <v>5</v>
      </c>
      <c r="L1967" s="55" t="n">
        <v>1</v>
      </c>
      <c r="M1967" s="73" t="n">
        <v>0.4</v>
      </c>
      <c r="N1967" s="74" t="n">
        <f aca="false">K1967*L1967*M1967</f>
        <v>2</v>
      </c>
      <c r="O1967" s="41" t="n">
        <f aca="false">IFERROR(INDEX(Исходные!$B$21:$B$33,MATCH(H1967,Исходные!$A$21:$A$33,0)),0)</f>
        <v>0.617</v>
      </c>
      <c r="P1967" s="83" t="n">
        <f aca="false">N1967*O1967</f>
        <v>1.234</v>
      </c>
      <c r="Q1967" s="20" t="s">
        <v>921</v>
      </c>
      <c r="R1967" s="84" t="s">
        <v>667</v>
      </c>
      <c r="S1967" s="20" t="s">
        <v>943</v>
      </c>
      <c r="T1967" s="20" t="s">
        <v>123</v>
      </c>
      <c r="U1967" s="53" t="n">
        <v>0</v>
      </c>
      <c r="V1967" s="76" t="s">
        <v>918</v>
      </c>
      <c r="W1967" s="53" t="n">
        <v>5</v>
      </c>
    </row>
    <row r="1968" customFormat="false" ht="35.05" hidden="false" customHeight="false" outlineLevel="0" collapsed="false">
      <c r="A1968" s="76" t="n">
        <v>1927</v>
      </c>
      <c r="B1968" s="20" t="s">
        <v>1838</v>
      </c>
      <c r="C1968" s="20" t="s">
        <v>912</v>
      </c>
      <c r="D1968" s="20" t="s">
        <v>913</v>
      </c>
      <c r="E1968" s="20" t="s">
        <v>2049</v>
      </c>
      <c r="F1968" s="76" t="s">
        <v>931</v>
      </c>
      <c r="G1968" s="20" t="s">
        <v>932</v>
      </c>
      <c r="H1968" s="55" t="n">
        <v>10</v>
      </c>
      <c r="I1968" s="76" t="s">
        <v>512</v>
      </c>
      <c r="J1968" s="76" t="n">
        <v>200</v>
      </c>
      <c r="K1968" s="82" t="n">
        <v>1</v>
      </c>
      <c r="L1968" s="55" t="n">
        <v>17</v>
      </c>
      <c r="M1968" s="73" t="n">
        <v>13.88</v>
      </c>
      <c r="N1968" s="74" t="n">
        <f aca="false">K1968*L1968*M1968</f>
        <v>235.96</v>
      </c>
      <c r="O1968" s="41" t="n">
        <f aca="false">IFERROR(INDEX(Исходные!$B$21:$B$33,MATCH(H1968,Исходные!$A$21:$A$33,0)),0)</f>
        <v>0.617</v>
      </c>
      <c r="P1968" s="83" t="n">
        <f aca="false">N1968*O1968</f>
        <v>145.58732</v>
      </c>
      <c r="Q1968" s="20" t="s">
        <v>2050</v>
      </c>
      <c r="R1968" s="84" t="s">
        <v>660</v>
      </c>
      <c r="S1968" s="20"/>
      <c r="T1968" s="20" t="s">
        <v>123</v>
      </c>
      <c r="U1968" s="53" t="n">
        <v>0</v>
      </c>
      <c r="V1968" s="76" t="s">
        <v>918</v>
      </c>
      <c r="W1968" s="53" t="n">
        <v>5</v>
      </c>
    </row>
    <row r="1969" customFormat="false" ht="35.05" hidden="false" customHeight="false" outlineLevel="0" collapsed="false">
      <c r="A1969" s="76" t="n">
        <v>1928</v>
      </c>
      <c r="B1969" s="20" t="s">
        <v>1838</v>
      </c>
      <c r="C1969" s="20" t="s">
        <v>912</v>
      </c>
      <c r="D1969" s="20" t="s">
        <v>913</v>
      </c>
      <c r="E1969" s="20" t="s">
        <v>2049</v>
      </c>
      <c r="F1969" s="76" t="s">
        <v>933</v>
      </c>
      <c r="G1969" s="20" t="s">
        <v>2055</v>
      </c>
      <c r="H1969" s="55" t="n">
        <v>10</v>
      </c>
      <c r="I1969" s="76" t="s">
        <v>512</v>
      </c>
      <c r="J1969" s="76" t="s">
        <v>164</v>
      </c>
      <c r="K1969" s="82" t="n">
        <v>17</v>
      </c>
      <c r="L1969" s="55" t="n">
        <v>1</v>
      </c>
      <c r="M1969" s="73" t="n">
        <v>0.4</v>
      </c>
      <c r="N1969" s="74" t="n">
        <f aca="false">K1969*L1969*M1969</f>
        <v>6.8</v>
      </c>
      <c r="O1969" s="41" t="n">
        <f aca="false">IFERROR(INDEX(Исходные!$B$21:$B$33,MATCH(H1969,Исходные!$A$21:$A$33,0)),0)</f>
        <v>0.617</v>
      </c>
      <c r="P1969" s="83" t="n">
        <f aca="false">N1969*O1969</f>
        <v>4.1956</v>
      </c>
      <c r="Q1969" s="20" t="s">
        <v>921</v>
      </c>
      <c r="R1969" s="84" t="s">
        <v>667</v>
      </c>
      <c r="S1969" s="20" t="s">
        <v>2056</v>
      </c>
      <c r="T1969" s="20" t="s">
        <v>123</v>
      </c>
      <c r="U1969" s="53" t="n">
        <v>0</v>
      </c>
      <c r="V1969" s="76" t="s">
        <v>918</v>
      </c>
      <c r="W1969" s="53" t="n">
        <v>5</v>
      </c>
    </row>
    <row r="1970" customFormat="false" ht="35.05" hidden="false" customHeight="false" outlineLevel="0" collapsed="false">
      <c r="A1970" s="76" t="n">
        <v>1929</v>
      </c>
      <c r="B1970" s="20" t="s">
        <v>1838</v>
      </c>
      <c r="C1970" s="20" t="s">
        <v>912</v>
      </c>
      <c r="D1970" s="20" t="s">
        <v>913</v>
      </c>
      <c r="E1970" s="20" t="s">
        <v>2049</v>
      </c>
      <c r="F1970" s="76" t="s">
        <v>931</v>
      </c>
      <c r="G1970" s="20" t="s">
        <v>932</v>
      </c>
      <c r="H1970" s="55" t="n">
        <v>10</v>
      </c>
      <c r="I1970" s="76" t="s">
        <v>512</v>
      </c>
      <c r="J1970" s="76" t="n">
        <v>200</v>
      </c>
      <c r="K1970" s="82" t="n">
        <v>1</v>
      </c>
      <c r="L1970" s="55" t="n">
        <v>22</v>
      </c>
      <c r="M1970" s="73" t="n">
        <v>0.6</v>
      </c>
      <c r="N1970" s="74" t="n">
        <f aca="false">K1970*L1970*M1970</f>
        <v>13.2</v>
      </c>
      <c r="O1970" s="41" t="n">
        <f aca="false">IFERROR(INDEX(Исходные!$B$21:$B$33,MATCH(H1970,Исходные!$A$21:$A$33,0)),0)</f>
        <v>0.617</v>
      </c>
      <c r="P1970" s="83" t="n">
        <f aca="false">N1970*O1970</f>
        <v>8.1444</v>
      </c>
      <c r="Q1970" s="20" t="s">
        <v>2050</v>
      </c>
      <c r="R1970" s="84" t="s">
        <v>660</v>
      </c>
      <c r="S1970" s="20"/>
      <c r="T1970" s="20" t="s">
        <v>123</v>
      </c>
      <c r="U1970" s="53" t="n">
        <v>0</v>
      </c>
      <c r="V1970" s="76" t="s">
        <v>918</v>
      </c>
      <c r="W1970" s="53" t="n">
        <v>5</v>
      </c>
    </row>
    <row r="1971" customFormat="false" ht="35.05" hidden="false" customHeight="false" outlineLevel="0" collapsed="false">
      <c r="A1971" s="76" t="n">
        <v>1930</v>
      </c>
      <c r="B1971" s="20" t="s">
        <v>1838</v>
      </c>
      <c r="C1971" s="20" t="s">
        <v>912</v>
      </c>
      <c r="D1971" s="20" t="s">
        <v>913</v>
      </c>
      <c r="E1971" s="20" t="s">
        <v>2049</v>
      </c>
      <c r="F1971" s="76" t="s">
        <v>946</v>
      </c>
      <c r="G1971" s="20" t="s">
        <v>947</v>
      </c>
      <c r="H1971" s="55" t="n">
        <v>10</v>
      </c>
      <c r="I1971" s="76" t="s">
        <v>512</v>
      </c>
      <c r="J1971" s="76" t="n">
        <v>200</v>
      </c>
      <c r="K1971" s="82" t="n">
        <v>1</v>
      </c>
      <c r="L1971" s="55" t="n">
        <v>75</v>
      </c>
      <c r="M1971" s="73" t="n">
        <v>25.6</v>
      </c>
      <c r="N1971" s="74" t="n">
        <f aca="false">K1971*L1971*M1971</f>
        <v>1920</v>
      </c>
      <c r="O1971" s="41" t="n">
        <f aca="false">IFERROR(INDEX(Исходные!$B$21:$B$33,MATCH(H1971,Исходные!$A$21:$A$33,0)),0)</f>
        <v>0.617</v>
      </c>
      <c r="P1971" s="83" t="n">
        <f aca="false">N1971*O1971</f>
        <v>1184.64</v>
      </c>
      <c r="Q1971" s="20" t="s">
        <v>2050</v>
      </c>
      <c r="R1971" s="84" t="s">
        <v>660</v>
      </c>
      <c r="S1971" s="20"/>
      <c r="T1971" s="20" t="s">
        <v>123</v>
      </c>
      <c r="U1971" s="53" t="n">
        <v>0</v>
      </c>
      <c r="V1971" s="76" t="s">
        <v>918</v>
      </c>
      <c r="W1971" s="53" t="n">
        <v>5</v>
      </c>
    </row>
    <row r="1972" customFormat="false" ht="35.05" hidden="false" customHeight="false" outlineLevel="0" collapsed="false">
      <c r="A1972" s="76" t="n">
        <v>1931</v>
      </c>
      <c r="B1972" s="20" t="s">
        <v>1838</v>
      </c>
      <c r="C1972" s="20" t="s">
        <v>912</v>
      </c>
      <c r="D1972" s="20" t="s">
        <v>913</v>
      </c>
      <c r="E1972" s="20" t="s">
        <v>2049</v>
      </c>
      <c r="F1972" s="76" t="s">
        <v>948</v>
      </c>
      <c r="G1972" s="20" t="s">
        <v>2057</v>
      </c>
      <c r="H1972" s="55" t="n">
        <v>10</v>
      </c>
      <c r="I1972" s="76" t="s">
        <v>512</v>
      </c>
      <c r="J1972" s="76" t="s">
        <v>164</v>
      </c>
      <c r="K1972" s="82" t="n">
        <v>75</v>
      </c>
      <c r="L1972" s="55" t="n">
        <v>2</v>
      </c>
      <c r="M1972" s="73" t="n">
        <v>0.4</v>
      </c>
      <c r="N1972" s="74" t="n">
        <f aca="false">K1972*L1972*M1972</f>
        <v>60</v>
      </c>
      <c r="O1972" s="41" t="n">
        <f aca="false">IFERROR(INDEX(Исходные!$B$21:$B$33,MATCH(H1972,Исходные!$A$21:$A$33,0)),0)</f>
        <v>0.617</v>
      </c>
      <c r="P1972" s="83" t="n">
        <f aca="false">N1972*O1972</f>
        <v>37.02</v>
      </c>
      <c r="Q1972" s="20" t="s">
        <v>921</v>
      </c>
      <c r="R1972" s="84" t="s">
        <v>667</v>
      </c>
      <c r="S1972" s="20" t="s">
        <v>1432</v>
      </c>
      <c r="T1972" s="20" t="s">
        <v>123</v>
      </c>
      <c r="U1972" s="53" t="n">
        <v>0</v>
      </c>
      <c r="V1972" s="76" t="s">
        <v>918</v>
      </c>
      <c r="W1972" s="53" t="n">
        <v>5</v>
      </c>
    </row>
    <row r="1973" customFormat="false" ht="35.05" hidden="false" customHeight="false" outlineLevel="0" collapsed="false">
      <c r="A1973" s="76" t="n">
        <v>1932</v>
      </c>
      <c r="B1973" s="20" t="s">
        <v>1838</v>
      </c>
      <c r="C1973" s="20" t="s">
        <v>912</v>
      </c>
      <c r="D1973" s="20" t="s">
        <v>913</v>
      </c>
      <c r="E1973" s="20" t="s">
        <v>2049</v>
      </c>
      <c r="F1973" s="76" t="s">
        <v>946</v>
      </c>
      <c r="G1973" s="20" t="s">
        <v>947</v>
      </c>
      <c r="H1973" s="55" t="n">
        <v>10</v>
      </c>
      <c r="I1973" s="76" t="s">
        <v>512</v>
      </c>
      <c r="J1973" s="76" t="n">
        <v>200</v>
      </c>
      <c r="K1973" s="82" t="n">
        <v>1</v>
      </c>
      <c r="L1973" s="55" t="n">
        <v>1</v>
      </c>
      <c r="M1973" s="73" t="n">
        <v>20.48</v>
      </c>
      <c r="N1973" s="74" t="n">
        <f aca="false">K1973*L1973*M1973</f>
        <v>20.48</v>
      </c>
      <c r="O1973" s="41" t="n">
        <f aca="false">IFERROR(INDEX(Исходные!$B$21:$B$33,MATCH(H1973,Исходные!$A$21:$A$33,0)),0)</f>
        <v>0.617</v>
      </c>
      <c r="P1973" s="83" t="n">
        <f aca="false">N1973*O1973</f>
        <v>12.63616</v>
      </c>
      <c r="Q1973" s="20" t="s">
        <v>2050</v>
      </c>
      <c r="R1973" s="84" t="s">
        <v>660</v>
      </c>
      <c r="S1973" s="20"/>
      <c r="T1973" s="20" t="s">
        <v>123</v>
      </c>
      <c r="U1973" s="53" t="n">
        <v>0</v>
      </c>
      <c r="V1973" s="76" t="s">
        <v>918</v>
      </c>
      <c r="W1973" s="53" t="n">
        <v>5</v>
      </c>
    </row>
    <row r="1974" customFormat="false" ht="35.05" hidden="false" customHeight="false" outlineLevel="0" collapsed="false">
      <c r="A1974" s="76" t="n">
        <v>1933</v>
      </c>
      <c r="B1974" s="20" t="s">
        <v>1838</v>
      </c>
      <c r="C1974" s="20" t="s">
        <v>912</v>
      </c>
      <c r="D1974" s="20" t="s">
        <v>913</v>
      </c>
      <c r="E1974" s="20" t="s">
        <v>2049</v>
      </c>
      <c r="F1974" s="76" t="s">
        <v>948</v>
      </c>
      <c r="G1974" s="20" t="s">
        <v>2058</v>
      </c>
      <c r="H1974" s="55" t="n">
        <v>10</v>
      </c>
      <c r="I1974" s="76" t="s">
        <v>512</v>
      </c>
      <c r="J1974" s="76" t="s">
        <v>164</v>
      </c>
      <c r="K1974" s="82" t="n">
        <v>1</v>
      </c>
      <c r="L1974" s="55" t="n">
        <v>1</v>
      </c>
      <c r="M1974" s="73" t="n">
        <v>0.4</v>
      </c>
      <c r="N1974" s="74" t="n">
        <f aca="false">K1974*L1974*M1974</f>
        <v>0.4</v>
      </c>
      <c r="O1974" s="41" t="n">
        <f aca="false">IFERROR(INDEX(Исходные!$B$21:$B$33,MATCH(H1974,Исходные!$A$21:$A$33,0)),0)</f>
        <v>0.617</v>
      </c>
      <c r="P1974" s="83" t="n">
        <f aca="false">N1974*O1974</f>
        <v>0.2468</v>
      </c>
      <c r="Q1974" s="20" t="s">
        <v>921</v>
      </c>
      <c r="R1974" s="84" t="s">
        <v>667</v>
      </c>
      <c r="S1974" s="20" t="s">
        <v>939</v>
      </c>
      <c r="T1974" s="20" t="s">
        <v>123</v>
      </c>
      <c r="U1974" s="53" t="n">
        <v>0</v>
      </c>
      <c r="V1974" s="76" t="s">
        <v>918</v>
      </c>
      <c r="W1974" s="53" t="n">
        <v>5</v>
      </c>
    </row>
    <row r="1975" customFormat="false" ht="35.05" hidden="false" customHeight="false" outlineLevel="0" collapsed="false">
      <c r="A1975" s="76" t="n">
        <v>1934</v>
      </c>
      <c r="B1975" s="20" t="s">
        <v>1838</v>
      </c>
      <c r="C1975" s="20" t="s">
        <v>912</v>
      </c>
      <c r="D1975" s="20" t="s">
        <v>913</v>
      </c>
      <c r="E1975" s="20" t="s">
        <v>2049</v>
      </c>
      <c r="F1975" s="76" t="s">
        <v>946</v>
      </c>
      <c r="G1975" s="20" t="s">
        <v>947</v>
      </c>
      <c r="H1975" s="55" t="n">
        <v>10</v>
      </c>
      <c r="I1975" s="76" t="s">
        <v>512</v>
      </c>
      <c r="J1975" s="76" t="n">
        <v>200</v>
      </c>
      <c r="K1975" s="82" t="n">
        <v>1</v>
      </c>
      <c r="L1975" s="55" t="n">
        <v>28</v>
      </c>
      <c r="M1975" s="73" t="n">
        <v>13.9</v>
      </c>
      <c r="N1975" s="74" t="n">
        <f aca="false">K1975*L1975*M1975</f>
        <v>389.2</v>
      </c>
      <c r="O1975" s="41" t="n">
        <f aca="false">IFERROR(INDEX(Исходные!$B$21:$B$33,MATCH(H1975,Исходные!$A$21:$A$33,0)),0)</f>
        <v>0.617</v>
      </c>
      <c r="P1975" s="83" t="n">
        <f aca="false">N1975*O1975</f>
        <v>240.1364</v>
      </c>
      <c r="Q1975" s="20" t="s">
        <v>2050</v>
      </c>
      <c r="R1975" s="84" t="s">
        <v>660</v>
      </c>
      <c r="S1975" s="20"/>
      <c r="T1975" s="20" t="s">
        <v>123</v>
      </c>
      <c r="U1975" s="53" t="n">
        <v>0</v>
      </c>
      <c r="V1975" s="76" t="s">
        <v>918</v>
      </c>
      <c r="W1975" s="53" t="n">
        <v>5</v>
      </c>
    </row>
    <row r="1976" customFormat="false" ht="35.05" hidden="false" customHeight="false" outlineLevel="0" collapsed="false">
      <c r="A1976" s="76" t="n">
        <v>1935</v>
      </c>
      <c r="B1976" s="20" t="s">
        <v>1838</v>
      </c>
      <c r="C1976" s="20" t="s">
        <v>912</v>
      </c>
      <c r="D1976" s="20" t="s">
        <v>913</v>
      </c>
      <c r="E1976" s="20" t="s">
        <v>2049</v>
      </c>
      <c r="F1976" s="76" t="s">
        <v>948</v>
      </c>
      <c r="G1976" s="20" t="s">
        <v>2059</v>
      </c>
      <c r="H1976" s="55" t="n">
        <v>10</v>
      </c>
      <c r="I1976" s="76" t="s">
        <v>512</v>
      </c>
      <c r="J1976" s="76" t="s">
        <v>164</v>
      </c>
      <c r="K1976" s="82" t="n">
        <v>28</v>
      </c>
      <c r="L1976" s="55" t="n">
        <v>1</v>
      </c>
      <c r="M1976" s="73" t="n">
        <v>0.4</v>
      </c>
      <c r="N1976" s="74" t="n">
        <f aca="false">K1976*L1976*M1976</f>
        <v>11.2</v>
      </c>
      <c r="O1976" s="41" t="n">
        <f aca="false">IFERROR(INDEX(Исходные!$B$21:$B$33,MATCH(H1976,Исходные!$A$21:$A$33,0)),0)</f>
        <v>0.617</v>
      </c>
      <c r="P1976" s="83" t="n">
        <f aca="false">N1976*O1976</f>
        <v>6.9104</v>
      </c>
      <c r="Q1976" s="20" t="s">
        <v>921</v>
      </c>
      <c r="R1976" s="84" t="s">
        <v>667</v>
      </c>
      <c r="S1976" s="20" t="s">
        <v>930</v>
      </c>
      <c r="T1976" s="20" t="s">
        <v>123</v>
      </c>
      <c r="U1976" s="53" t="n">
        <v>0</v>
      </c>
      <c r="V1976" s="76" t="s">
        <v>918</v>
      </c>
      <c r="W1976" s="53" t="n">
        <v>5</v>
      </c>
    </row>
    <row r="1977" customFormat="false" ht="35.05" hidden="false" customHeight="false" outlineLevel="0" collapsed="false">
      <c r="A1977" s="76" t="n">
        <v>1936</v>
      </c>
      <c r="B1977" s="20" t="s">
        <v>1838</v>
      </c>
      <c r="C1977" s="20" t="s">
        <v>912</v>
      </c>
      <c r="D1977" s="20" t="s">
        <v>913</v>
      </c>
      <c r="E1977" s="20" t="s">
        <v>2049</v>
      </c>
      <c r="F1977" s="76" t="s">
        <v>946</v>
      </c>
      <c r="G1977" s="20" t="s">
        <v>947</v>
      </c>
      <c r="H1977" s="55" t="n">
        <v>10</v>
      </c>
      <c r="I1977" s="76" t="s">
        <v>512</v>
      </c>
      <c r="J1977" s="76" t="n">
        <v>200</v>
      </c>
      <c r="K1977" s="82" t="n">
        <v>1</v>
      </c>
      <c r="L1977" s="55" t="n">
        <v>1</v>
      </c>
      <c r="M1977" s="73" t="n">
        <v>10.77</v>
      </c>
      <c r="N1977" s="74" t="n">
        <f aca="false">K1977*L1977*M1977</f>
        <v>10.77</v>
      </c>
      <c r="O1977" s="41" t="n">
        <f aca="false">IFERROR(INDEX(Исходные!$B$21:$B$33,MATCH(H1977,Исходные!$A$21:$A$33,0)),0)</f>
        <v>0.617</v>
      </c>
      <c r="P1977" s="83" t="n">
        <f aca="false">N1977*O1977</f>
        <v>6.64509</v>
      </c>
      <c r="Q1977" s="20" t="s">
        <v>2050</v>
      </c>
      <c r="R1977" s="84" t="s">
        <v>660</v>
      </c>
      <c r="S1977" s="20"/>
      <c r="T1977" s="20" t="s">
        <v>123</v>
      </c>
      <c r="U1977" s="53" t="n">
        <v>0</v>
      </c>
      <c r="V1977" s="76" t="s">
        <v>918</v>
      </c>
      <c r="W1977" s="53" t="n">
        <v>5</v>
      </c>
    </row>
    <row r="1978" customFormat="false" ht="35.05" hidden="false" customHeight="false" outlineLevel="0" collapsed="false">
      <c r="A1978" s="76" t="n">
        <v>1937</v>
      </c>
      <c r="B1978" s="20" t="s">
        <v>1838</v>
      </c>
      <c r="C1978" s="20" t="s">
        <v>912</v>
      </c>
      <c r="D1978" s="20" t="s">
        <v>913</v>
      </c>
      <c r="E1978" s="20" t="s">
        <v>2049</v>
      </c>
      <c r="F1978" s="76" t="s">
        <v>946</v>
      </c>
      <c r="G1978" s="20" t="s">
        <v>947</v>
      </c>
      <c r="H1978" s="55" t="n">
        <v>10</v>
      </c>
      <c r="I1978" s="76" t="s">
        <v>512</v>
      </c>
      <c r="J1978" s="76" t="n">
        <v>200</v>
      </c>
      <c r="K1978" s="82" t="n">
        <v>1</v>
      </c>
      <c r="L1978" s="55" t="n">
        <v>14</v>
      </c>
      <c r="M1978" s="73" t="n">
        <v>7.97</v>
      </c>
      <c r="N1978" s="74" t="n">
        <f aca="false">K1978*L1978*M1978</f>
        <v>111.58</v>
      </c>
      <c r="O1978" s="41" t="n">
        <f aca="false">IFERROR(INDEX(Исходные!$B$21:$B$33,MATCH(H1978,Исходные!$A$21:$A$33,0)),0)</f>
        <v>0.617</v>
      </c>
      <c r="P1978" s="83" t="n">
        <f aca="false">N1978*O1978</f>
        <v>68.84486</v>
      </c>
      <c r="Q1978" s="20" t="s">
        <v>2050</v>
      </c>
      <c r="R1978" s="84" t="s">
        <v>660</v>
      </c>
      <c r="S1978" s="20"/>
      <c r="T1978" s="20" t="s">
        <v>123</v>
      </c>
      <c r="U1978" s="53" t="n">
        <v>0</v>
      </c>
      <c r="V1978" s="76" t="s">
        <v>918</v>
      </c>
      <c r="W1978" s="53" t="n">
        <v>5</v>
      </c>
    </row>
    <row r="1979" customFormat="false" ht="35.05" hidden="false" customHeight="false" outlineLevel="0" collapsed="false">
      <c r="A1979" s="76" t="n">
        <v>1938</v>
      </c>
      <c r="B1979" s="20" t="s">
        <v>1838</v>
      </c>
      <c r="C1979" s="20" t="s">
        <v>912</v>
      </c>
      <c r="D1979" s="20" t="s">
        <v>913</v>
      </c>
      <c r="E1979" s="20" t="s">
        <v>2049</v>
      </c>
      <c r="F1979" s="76" t="s">
        <v>946</v>
      </c>
      <c r="G1979" s="20" t="s">
        <v>947</v>
      </c>
      <c r="H1979" s="55" t="n">
        <v>10</v>
      </c>
      <c r="I1979" s="76" t="s">
        <v>512</v>
      </c>
      <c r="J1979" s="76" t="n">
        <v>200</v>
      </c>
      <c r="K1979" s="82" t="n">
        <v>1</v>
      </c>
      <c r="L1979" s="55" t="n">
        <v>13</v>
      </c>
      <c r="M1979" s="73" t="n">
        <v>7.17</v>
      </c>
      <c r="N1979" s="74" t="n">
        <f aca="false">K1979*L1979*M1979</f>
        <v>93.21</v>
      </c>
      <c r="O1979" s="41" t="n">
        <f aca="false">IFERROR(INDEX(Исходные!$B$21:$B$33,MATCH(H1979,Исходные!$A$21:$A$33,0)),0)</f>
        <v>0.617</v>
      </c>
      <c r="P1979" s="83" t="n">
        <f aca="false">N1979*O1979</f>
        <v>57.51057</v>
      </c>
      <c r="Q1979" s="20" t="s">
        <v>2050</v>
      </c>
      <c r="R1979" s="84" t="s">
        <v>660</v>
      </c>
      <c r="S1979" s="20"/>
      <c r="T1979" s="20" t="s">
        <v>123</v>
      </c>
      <c r="U1979" s="53" t="n">
        <v>0</v>
      </c>
      <c r="V1979" s="76" t="s">
        <v>918</v>
      </c>
      <c r="W1979" s="53" t="n">
        <v>5</v>
      </c>
    </row>
    <row r="1980" customFormat="false" ht="35.05" hidden="false" customHeight="false" outlineLevel="0" collapsed="false">
      <c r="A1980" s="76" t="n">
        <v>1939</v>
      </c>
      <c r="B1980" s="20" t="s">
        <v>1838</v>
      </c>
      <c r="C1980" s="20" t="s">
        <v>912</v>
      </c>
      <c r="D1980" s="20" t="s">
        <v>913</v>
      </c>
      <c r="E1980" s="20" t="s">
        <v>2049</v>
      </c>
      <c r="F1980" s="76" t="s">
        <v>954</v>
      </c>
      <c r="G1980" s="20" t="s">
        <v>955</v>
      </c>
      <c r="H1980" s="55" t="n">
        <v>10</v>
      </c>
      <c r="I1980" s="76" t="s">
        <v>512</v>
      </c>
      <c r="J1980" s="76" t="n">
        <v>200</v>
      </c>
      <c r="K1980" s="82" t="n">
        <v>1</v>
      </c>
      <c r="L1980" s="55" t="n">
        <v>81</v>
      </c>
      <c r="M1980" s="73" t="n">
        <v>20.6</v>
      </c>
      <c r="N1980" s="74" t="n">
        <f aca="false">K1980*L1980*M1980</f>
        <v>1668.6</v>
      </c>
      <c r="O1980" s="41" t="n">
        <f aca="false">IFERROR(INDEX(Исходные!$B$21:$B$33,MATCH(H1980,Исходные!$A$21:$A$33,0)),0)</f>
        <v>0.617</v>
      </c>
      <c r="P1980" s="83" t="n">
        <f aca="false">N1980*O1980</f>
        <v>1029.5262</v>
      </c>
      <c r="Q1980" s="20" t="s">
        <v>2050</v>
      </c>
      <c r="R1980" s="84" t="s">
        <v>660</v>
      </c>
      <c r="S1980" s="20"/>
      <c r="T1980" s="20" t="s">
        <v>123</v>
      </c>
      <c r="U1980" s="53" t="n">
        <v>0</v>
      </c>
      <c r="V1980" s="76" t="s">
        <v>918</v>
      </c>
      <c r="W1980" s="53" t="n">
        <v>5</v>
      </c>
    </row>
    <row r="1981" customFormat="false" ht="35.05" hidden="false" customHeight="false" outlineLevel="0" collapsed="false">
      <c r="A1981" s="76" t="n">
        <v>1940</v>
      </c>
      <c r="B1981" s="20" t="s">
        <v>1838</v>
      </c>
      <c r="C1981" s="20" t="s">
        <v>912</v>
      </c>
      <c r="D1981" s="20" t="s">
        <v>913</v>
      </c>
      <c r="E1981" s="20" t="s">
        <v>2049</v>
      </c>
      <c r="F1981" s="76" t="s">
        <v>956</v>
      </c>
      <c r="G1981" s="20" t="s">
        <v>2060</v>
      </c>
      <c r="H1981" s="55" t="n">
        <v>10</v>
      </c>
      <c r="I1981" s="76" t="s">
        <v>512</v>
      </c>
      <c r="J1981" s="76" t="s">
        <v>164</v>
      </c>
      <c r="K1981" s="82" t="n">
        <v>81</v>
      </c>
      <c r="L1981" s="55" t="n">
        <v>1</v>
      </c>
      <c r="M1981" s="73" t="n">
        <v>0.4</v>
      </c>
      <c r="N1981" s="74" t="n">
        <f aca="false">K1981*L1981*M1981</f>
        <v>32.4</v>
      </c>
      <c r="O1981" s="41" t="n">
        <f aca="false">IFERROR(INDEX(Исходные!$B$21:$B$33,MATCH(H1981,Исходные!$A$21:$A$33,0)),0)</f>
        <v>0.617</v>
      </c>
      <c r="P1981" s="83" t="n">
        <f aca="false">N1981*O1981</f>
        <v>19.9908</v>
      </c>
      <c r="Q1981" s="20" t="s">
        <v>921</v>
      </c>
      <c r="R1981" s="84" t="s">
        <v>667</v>
      </c>
      <c r="S1981" s="20" t="s">
        <v>1436</v>
      </c>
      <c r="T1981" s="20" t="s">
        <v>123</v>
      </c>
      <c r="U1981" s="53" t="n">
        <v>0</v>
      </c>
      <c r="V1981" s="76" t="s">
        <v>918</v>
      </c>
      <c r="W1981" s="53" t="n">
        <v>5</v>
      </c>
    </row>
    <row r="1982" customFormat="false" ht="35.05" hidden="false" customHeight="false" outlineLevel="0" collapsed="false">
      <c r="A1982" s="76" t="n">
        <v>1941</v>
      </c>
      <c r="B1982" s="20" t="s">
        <v>1838</v>
      </c>
      <c r="C1982" s="20" t="s">
        <v>912</v>
      </c>
      <c r="D1982" s="20" t="s">
        <v>913</v>
      </c>
      <c r="E1982" s="20" t="s">
        <v>2049</v>
      </c>
      <c r="F1982" s="76" t="s">
        <v>954</v>
      </c>
      <c r="G1982" s="20" t="s">
        <v>955</v>
      </c>
      <c r="H1982" s="55" t="n">
        <v>10</v>
      </c>
      <c r="I1982" s="76" t="s">
        <v>512</v>
      </c>
      <c r="J1982" s="76" t="n">
        <v>200</v>
      </c>
      <c r="K1982" s="82" t="n">
        <v>1</v>
      </c>
      <c r="L1982" s="55" t="n">
        <v>26</v>
      </c>
      <c r="M1982" s="73" t="n">
        <v>20.48</v>
      </c>
      <c r="N1982" s="74" t="n">
        <f aca="false">K1982*L1982*M1982</f>
        <v>532.48</v>
      </c>
      <c r="O1982" s="41" t="n">
        <f aca="false">IFERROR(INDEX(Исходные!$B$21:$B$33,MATCH(H1982,Исходные!$A$21:$A$33,0)),0)</f>
        <v>0.617</v>
      </c>
      <c r="P1982" s="83" t="n">
        <f aca="false">N1982*O1982</f>
        <v>328.54016</v>
      </c>
      <c r="Q1982" s="20" t="s">
        <v>2050</v>
      </c>
      <c r="R1982" s="84" t="s">
        <v>660</v>
      </c>
      <c r="S1982" s="20"/>
      <c r="T1982" s="20" t="s">
        <v>123</v>
      </c>
      <c r="U1982" s="53" t="n">
        <v>0</v>
      </c>
      <c r="V1982" s="76" t="s">
        <v>918</v>
      </c>
      <c r="W1982" s="53" t="n">
        <v>5</v>
      </c>
    </row>
    <row r="1983" customFormat="false" ht="35.05" hidden="false" customHeight="false" outlineLevel="0" collapsed="false">
      <c r="A1983" s="76" t="n">
        <v>1942</v>
      </c>
      <c r="B1983" s="20" t="s">
        <v>1838</v>
      </c>
      <c r="C1983" s="20" t="s">
        <v>912</v>
      </c>
      <c r="D1983" s="20" t="s">
        <v>913</v>
      </c>
      <c r="E1983" s="20" t="s">
        <v>2049</v>
      </c>
      <c r="F1983" s="76" t="s">
        <v>956</v>
      </c>
      <c r="G1983" s="20" t="s">
        <v>959</v>
      </c>
      <c r="H1983" s="55" t="n">
        <v>10</v>
      </c>
      <c r="I1983" s="76" t="s">
        <v>512</v>
      </c>
      <c r="J1983" s="76" t="s">
        <v>164</v>
      </c>
      <c r="K1983" s="82" t="n">
        <v>26</v>
      </c>
      <c r="L1983" s="55" t="n">
        <v>1</v>
      </c>
      <c r="M1983" s="73" t="n">
        <v>0.4</v>
      </c>
      <c r="N1983" s="74" t="n">
        <f aca="false">K1983*L1983*M1983</f>
        <v>10.4</v>
      </c>
      <c r="O1983" s="41" t="n">
        <f aca="false">IFERROR(INDEX(Исходные!$B$21:$B$33,MATCH(H1983,Исходные!$A$21:$A$33,0)),0)</f>
        <v>0.617</v>
      </c>
      <c r="P1983" s="83" t="n">
        <f aca="false">N1983*O1983</f>
        <v>6.4168</v>
      </c>
      <c r="Q1983" s="20" t="s">
        <v>921</v>
      </c>
      <c r="R1983" s="84" t="s">
        <v>667</v>
      </c>
      <c r="S1983" s="20" t="s">
        <v>939</v>
      </c>
      <c r="T1983" s="20" t="s">
        <v>123</v>
      </c>
      <c r="U1983" s="53" t="n">
        <v>0</v>
      </c>
      <c r="V1983" s="76" t="s">
        <v>918</v>
      </c>
      <c r="W1983" s="53" t="n">
        <v>5</v>
      </c>
    </row>
    <row r="1984" customFormat="false" ht="35.05" hidden="false" customHeight="false" outlineLevel="0" collapsed="false">
      <c r="A1984" s="76" t="n">
        <v>1943</v>
      </c>
      <c r="B1984" s="20" t="s">
        <v>1838</v>
      </c>
      <c r="C1984" s="20" t="s">
        <v>912</v>
      </c>
      <c r="D1984" s="20" t="s">
        <v>913</v>
      </c>
      <c r="E1984" s="20" t="s">
        <v>2049</v>
      </c>
      <c r="F1984" s="76" t="s">
        <v>954</v>
      </c>
      <c r="G1984" s="20" t="s">
        <v>955</v>
      </c>
      <c r="H1984" s="55" t="n">
        <v>10</v>
      </c>
      <c r="I1984" s="76" t="s">
        <v>512</v>
      </c>
      <c r="J1984" s="76" t="n">
        <v>200</v>
      </c>
      <c r="K1984" s="82" t="n">
        <v>1</v>
      </c>
      <c r="L1984" s="55" t="n">
        <v>5</v>
      </c>
      <c r="M1984" s="73" t="n">
        <v>17.28</v>
      </c>
      <c r="N1984" s="74" t="n">
        <f aca="false">K1984*L1984*M1984</f>
        <v>86.4</v>
      </c>
      <c r="O1984" s="41" t="n">
        <f aca="false">IFERROR(INDEX(Исходные!$B$21:$B$33,MATCH(H1984,Исходные!$A$21:$A$33,0)),0)</f>
        <v>0.617</v>
      </c>
      <c r="P1984" s="83" t="n">
        <f aca="false">N1984*O1984</f>
        <v>53.3088</v>
      </c>
      <c r="Q1984" s="20" t="s">
        <v>2050</v>
      </c>
      <c r="R1984" s="84" t="s">
        <v>660</v>
      </c>
      <c r="S1984" s="20"/>
      <c r="T1984" s="20" t="s">
        <v>123</v>
      </c>
      <c r="U1984" s="53" t="n">
        <v>0</v>
      </c>
      <c r="V1984" s="76" t="s">
        <v>918</v>
      </c>
      <c r="W1984" s="53" t="n">
        <v>5</v>
      </c>
    </row>
    <row r="1985" customFormat="false" ht="35.05" hidden="false" customHeight="false" outlineLevel="0" collapsed="false">
      <c r="A1985" s="76" t="n">
        <v>1944</v>
      </c>
      <c r="B1985" s="20" t="s">
        <v>1838</v>
      </c>
      <c r="C1985" s="20" t="s">
        <v>912</v>
      </c>
      <c r="D1985" s="20" t="s">
        <v>913</v>
      </c>
      <c r="E1985" s="20" t="s">
        <v>2049</v>
      </c>
      <c r="F1985" s="76" t="s">
        <v>956</v>
      </c>
      <c r="G1985" s="20" t="s">
        <v>961</v>
      </c>
      <c r="H1985" s="55" t="n">
        <v>10</v>
      </c>
      <c r="I1985" s="76" t="s">
        <v>512</v>
      </c>
      <c r="J1985" s="76" t="s">
        <v>164</v>
      </c>
      <c r="K1985" s="82" t="n">
        <v>5</v>
      </c>
      <c r="L1985" s="55" t="n">
        <v>1</v>
      </c>
      <c r="M1985" s="73" t="n">
        <v>0.4</v>
      </c>
      <c r="N1985" s="74" t="n">
        <f aca="false">K1985*L1985*M1985</f>
        <v>2</v>
      </c>
      <c r="O1985" s="41" t="n">
        <f aca="false">IFERROR(INDEX(Исходные!$B$21:$B$33,MATCH(H1985,Исходные!$A$21:$A$33,0)),0)</f>
        <v>0.617</v>
      </c>
      <c r="P1985" s="83" t="n">
        <f aca="false">N1985*O1985</f>
        <v>1.234</v>
      </c>
      <c r="Q1985" s="20" t="s">
        <v>921</v>
      </c>
      <c r="R1985" s="84" t="s">
        <v>667</v>
      </c>
      <c r="S1985" s="20" t="s">
        <v>943</v>
      </c>
      <c r="T1985" s="20" t="s">
        <v>123</v>
      </c>
      <c r="U1985" s="53" t="n">
        <v>0</v>
      </c>
      <c r="V1985" s="76" t="s">
        <v>918</v>
      </c>
      <c r="W1985" s="53" t="n">
        <v>5</v>
      </c>
    </row>
    <row r="1986" customFormat="false" ht="35.05" hidden="false" customHeight="false" outlineLevel="0" collapsed="false">
      <c r="A1986" s="76" t="n">
        <v>1945</v>
      </c>
      <c r="B1986" s="20" t="s">
        <v>1838</v>
      </c>
      <c r="C1986" s="20" t="s">
        <v>912</v>
      </c>
      <c r="D1986" s="20" t="s">
        <v>913</v>
      </c>
      <c r="E1986" s="20" t="s">
        <v>2049</v>
      </c>
      <c r="F1986" s="76" t="s">
        <v>954</v>
      </c>
      <c r="G1986" s="20" t="s">
        <v>955</v>
      </c>
      <c r="H1986" s="55" t="n">
        <v>10</v>
      </c>
      <c r="I1986" s="76" t="s">
        <v>512</v>
      </c>
      <c r="J1986" s="76" t="n">
        <v>200</v>
      </c>
      <c r="K1986" s="82" t="n">
        <v>1</v>
      </c>
      <c r="L1986" s="55" t="n">
        <v>17</v>
      </c>
      <c r="M1986" s="73" t="n">
        <v>13.88</v>
      </c>
      <c r="N1986" s="74" t="n">
        <f aca="false">K1986*L1986*M1986</f>
        <v>235.96</v>
      </c>
      <c r="O1986" s="41" t="n">
        <f aca="false">IFERROR(INDEX(Исходные!$B$21:$B$33,MATCH(H1986,Исходные!$A$21:$A$33,0)),0)</f>
        <v>0.617</v>
      </c>
      <c r="P1986" s="83" t="n">
        <f aca="false">N1986*O1986</f>
        <v>145.58732</v>
      </c>
      <c r="Q1986" s="20" t="s">
        <v>2050</v>
      </c>
      <c r="R1986" s="84" t="s">
        <v>660</v>
      </c>
      <c r="S1986" s="20"/>
      <c r="T1986" s="20" t="s">
        <v>123</v>
      </c>
      <c r="U1986" s="53" t="n">
        <v>0</v>
      </c>
      <c r="V1986" s="76" t="s">
        <v>918</v>
      </c>
      <c r="W1986" s="53" t="n">
        <v>5</v>
      </c>
    </row>
    <row r="1987" customFormat="false" ht="35.05" hidden="false" customHeight="false" outlineLevel="0" collapsed="false">
      <c r="A1987" s="76" t="n">
        <v>1946</v>
      </c>
      <c r="B1987" s="20" t="s">
        <v>1838</v>
      </c>
      <c r="C1987" s="20" t="s">
        <v>912</v>
      </c>
      <c r="D1987" s="20" t="s">
        <v>913</v>
      </c>
      <c r="E1987" s="20" t="s">
        <v>2049</v>
      </c>
      <c r="F1987" s="76" t="s">
        <v>956</v>
      </c>
      <c r="G1987" s="20" t="s">
        <v>2061</v>
      </c>
      <c r="H1987" s="55" t="n">
        <v>10</v>
      </c>
      <c r="I1987" s="76" t="s">
        <v>512</v>
      </c>
      <c r="J1987" s="76" t="s">
        <v>164</v>
      </c>
      <c r="K1987" s="82" t="n">
        <v>17</v>
      </c>
      <c r="L1987" s="55" t="n">
        <v>1</v>
      </c>
      <c r="M1987" s="73" t="n">
        <v>0.4</v>
      </c>
      <c r="N1987" s="74" t="n">
        <f aca="false">K1987*L1987*M1987</f>
        <v>6.8</v>
      </c>
      <c r="O1987" s="41" t="n">
        <f aca="false">IFERROR(INDEX(Исходные!$B$21:$B$33,MATCH(H1987,Исходные!$A$21:$A$33,0)),0)</f>
        <v>0.617</v>
      </c>
      <c r="P1987" s="83" t="n">
        <f aca="false">N1987*O1987</f>
        <v>4.1956</v>
      </c>
      <c r="Q1987" s="20" t="s">
        <v>921</v>
      </c>
      <c r="R1987" s="84" t="s">
        <v>667</v>
      </c>
      <c r="S1987" s="20" t="s">
        <v>2056</v>
      </c>
      <c r="T1987" s="20" t="s">
        <v>123</v>
      </c>
      <c r="U1987" s="53" t="n">
        <v>0</v>
      </c>
      <c r="V1987" s="76" t="s">
        <v>918</v>
      </c>
      <c r="W1987" s="53" t="n">
        <v>5</v>
      </c>
    </row>
    <row r="1988" customFormat="false" ht="35.05" hidden="false" customHeight="false" outlineLevel="0" collapsed="false">
      <c r="A1988" s="76" t="n">
        <v>1947</v>
      </c>
      <c r="B1988" s="20" t="s">
        <v>1838</v>
      </c>
      <c r="C1988" s="20" t="s">
        <v>912</v>
      </c>
      <c r="D1988" s="20" t="s">
        <v>913</v>
      </c>
      <c r="E1988" s="20" t="s">
        <v>2049</v>
      </c>
      <c r="F1988" s="76" t="s">
        <v>954</v>
      </c>
      <c r="G1988" s="20" t="s">
        <v>955</v>
      </c>
      <c r="H1988" s="55" t="n">
        <v>10</v>
      </c>
      <c r="I1988" s="76" t="s">
        <v>512</v>
      </c>
      <c r="J1988" s="76" t="n">
        <v>200</v>
      </c>
      <c r="K1988" s="82" t="n">
        <v>1</v>
      </c>
      <c r="L1988" s="55" t="n">
        <v>22</v>
      </c>
      <c r="M1988" s="73" t="n">
        <v>0.6</v>
      </c>
      <c r="N1988" s="74" t="n">
        <f aca="false">K1988*L1988*M1988</f>
        <v>13.2</v>
      </c>
      <c r="O1988" s="41" t="n">
        <f aca="false">IFERROR(INDEX(Исходные!$B$21:$B$33,MATCH(H1988,Исходные!$A$21:$A$33,0)),0)</f>
        <v>0.617</v>
      </c>
      <c r="P1988" s="83" t="n">
        <f aca="false">N1988*O1988</f>
        <v>8.1444</v>
      </c>
      <c r="Q1988" s="20" t="s">
        <v>2050</v>
      </c>
      <c r="R1988" s="84" t="s">
        <v>660</v>
      </c>
      <c r="S1988" s="20"/>
      <c r="T1988" s="20" t="s">
        <v>123</v>
      </c>
      <c r="U1988" s="53" t="n">
        <v>0</v>
      </c>
      <c r="V1988" s="76" t="s">
        <v>918</v>
      </c>
      <c r="W1988" s="53" t="n">
        <v>5</v>
      </c>
    </row>
    <row r="1989" customFormat="false" ht="35.05" hidden="false" customHeight="false" outlineLevel="0" collapsed="false">
      <c r="A1989" s="76" t="n">
        <v>1948</v>
      </c>
      <c r="B1989" s="20" t="s">
        <v>1838</v>
      </c>
      <c r="C1989" s="20" t="s">
        <v>912</v>
      </c>
      <c r="D1989" s="20" t="s">
        <v>2062</v>
      </c>
      <c r="E1989" s="20" t="s">
        <v>2049</v>
      </c>
      <c r="F1989" s="76" t="s">
        <v>972</v>
      </c>
      <c r="G1989" s="20" t="s">
        <v>2063</v>
      </c>
      <c r="H1989" s="55" t="n">
        <v>10</v>
      </c>
      <c r="I1989" s="76" t="s">
        <v>512</v>
      </c>
      <c r="J1989" s="76" t="n">
        <v>200</v>
      </c>
      <c r="K1989" s="82" t="n">
        <v>1</v>
      </c>
      <c r="L1989" s="55" t="n">
        <v>10</v>
      </c>
      <c r="M1989" s="73" t="n">
        <v>1.2</v>
      </c>
      <c r="N1989" s="74" t="n">
        <f aca="false">K1989*L1989*M1989</f>
        <v>12</v>
      </c>
      <c r="O1989" s="41" t="n">
        <f aca="false">IFERROR(INDEX(Исходные!$B$21:$B$33,MATCH(H1989,Исходные!$A$21:$A$33,0)),0)</f>
        <v>0.617</v>
      </c>
      <c r="P1989" s="83" t="n">
        <f aca="false">N1989*O1989</f>
        <v>7.404</v>
      </c>
      <c r="Q1989" s="20" t="s">
        <v>2064</v>
      </c>
      <c r="R1989" s="85" t="s">
        <v>535</v>
      </c>
      <c r="S1989" s="20"/>
      <c r="T1989" s="20" t="s">
        <v>123</v>
      </c>
      <c r="U1989" s="53" t="n">
        <v>1</v>
      </c>
      <c r="V1989" s="76" t="s">
        <v>975</v>
      </c>
      <c r="W1989" s="53" t="n">
        <v>5</v>
      </c>
    </row>
    <row r="1990" customFormat="false" ht="35.05" hidden="false" customHeight="false" outlineLevel="0" collapsed="false">
      <c r="A1990" s="76" t="n">
        <v>1949</v>
      </c>
      <c r="B1990" s="20" t="s">
        <v>1838</v>
      </c>
      <c r="C1990" s="20" t="s">
        <v>912</v>
      </c>
      <c r="D1990" s="20" t="s">
        <v>2062</v>
      </c>
      <c r="E1990" s="20" t="s">
        <v>2049</v>
      </c>
      <c r="F1990" s="76" t="s">
        <v>972</v>
      </c>
      <c r="G1990" s="20" t="s">
        <v>2065</v>
      </c>
      <c r="H1990" s="55" t="n">
        <v>10</v>
      </c>
      <c r="I1990" s="76" t="s">
        <v>512</v>
      </c>
      <c r="J1990" s="76" t="n">
        <v>200</v>
      </c>
      <c r="K1990" s="82" t="n">
        <v>1</v>
      </c>
      <c r="L1990" s="55" t="n">
        <v>5</v>
      </c>
      <c r="M1990" s="73" t="n">
        <v>2.73</v>
      </c>
      <c r="N1990" s="74" t="n">
        <f aca="false">K1990*L1990*M1990</f>
        <v>13.65</v>
      </c>
      <c r="O1990" s="41" t="n">
        <f aca="false">IFERROR(INDEX(Исходные!$B$21:$B$33,MATCH(H1990,Исходные!$A$21:$A$33,0)),0)</f>
        <v>0.617</v>
      </c>
      <c r="P1990" s="83" t="n">
        <f aca="false">N1990*O1990</f>
        <v>8.42205</v>
      </c>
      <c r="Q1990" s="20" t="s">
        <v>2066</v>
      </c>
      <c r="R1990" s="85" t="s">
        <v>535</v>
      </c>
      <c r="S1990" s="20"/>
      <c r="T1990" s="20" t="s">
        <v>123</v>
      </c>
      <c r="U1990" s="53" t="n">
        <v>1</v>
      </c>
      <c r="V1990" s="76" t="s">
        <v>975</v>
      </c>
      <c r="W1990" s="53" t="n">
        <v>5</v>
      </c>
    </row>
    <row r="1991" customFormat="false" ht="35.05" hidden="false" customHeight="false" outlineLevel="0" collapsed="false">
      <c r="A1991" s="76" t="n">
        <v>1950</v>
      </c>
      <c r="B1991" s="20" t="s">
        <v>1838</v>
      </c>
      <c r="C1991" s="20" t="s">
        <v>912</v>
      </c>
      <c r="D1991" s="20" t="s">
        <v>2062</v>
      </c>
      <c r="E1991" s="20" t="s">
        <v>2049</v>
      </c>
      <c r="F1991" s="76" t="s">
        <v>972</v>
      </c>
      <c r="G1991" s="20" t="s">
        <v>2067</v>
      </c>
      <c r="H1991" s="55" t="n">
        <v>10</v>
      </c>
      <c r="I1991" s="76" t="s">
        <v>512</v>
      </c>
      <c r="J1991" s="76" t="s">
        <v>164</v>
      </c>
      <c r="K1991" s="82" t="n">
        <v>1</v>
      </c>
      <c r="L1991" s="55" t="n">
        <v>3</v>
      </c>
      <c r="M1991" s="73" t="n">
        <v>3.83</v>
      </c>
      <c r="N1991" s="74" t="n">
        <f aca="false">K1991*L1991*M1991</f>
        <v>11.49</v>
      </c>
      <c r="O1991" s="41" t="n">
        <f aca="false">IFERROR(INDEX(Исходные!$B$21:$B$33,MATCH(H1991,Исходные!$A$21:$A$33,0)),0)</f>
        <v>0.617</v>
      </c>
      <c r="P1991" s="83" t="n">
        <f aca="false">N1991*O1991</f>
        <v>7.08933</v>
      </c>
      <c r="Q1991" s="20" t="s">
        <v>2066</v>
      </c>
      <c r="R1991" s="85" t="s">
        <v>535</v>
      </c>
      <c r="S1991" s="20"/>
      <c r="T1991" s="20" t="s">
        <v>123</v>
      </c>
      <c r="U1991" s="53" t="n">
        <v>1</v>
      </c>
      <c r="V1991" s="76" t="s">
        <v>975</v>
      </c>
      <c r="W1991" s="53" t="n">
        <v>5</v>
      </c>
    </row>
    <row r="1992" customFormat="false" ht="35.05" hidden="false" customHeight="false" outlineLevel="0" collapsed="false">
      <c r="A1992" s="76" t="n">
        <v>1951</v>
      </c>
      <c r="B1992" s="20" t="s">
        <v>1838</v>
      </c>
      <c r="C1992" s="20" t="s">
        <v>912</v>
      </c>
      <c r="D1992" s="20" t="s">
        <v>2068</v>
      </c>
      <c r="E1992" s="20" t="s">
        <v>2049</v>
      </c>
      <c r="F1992" s="76" t="s">
        <v>972</v>
      </c>
      <c r="G1992" s="20" t="s">
        <v>2069</v>
      </c>
      <c r="H1992" s="55" t="n">
        <v>22</v>
      </c>
      <c r="I1992" s="76" t="s">
        <v>512</v>
      </c>
      <c r="J1992" s="76" t="s">
        <v>164</v>
      </c>
      <c r="K1992" s="82" t="n">
        <v>2</v>
      </c>
      <c r="L1992" s="55" t="n">
        <v>2</v>
      </c>
      <c r="M1992" s="73" t="n">
        <v>1.7</v>
      </c>
      <c r="N1992" s="74" t="n">
        <f aca="false">K1992*L1992*M1992</f>
        <v>6.8</v>
      </c>
      <c r="O1992" s="41" t="n">
        <f aca="false">IFERROR(INDEX(Исходные!$B$21:$B$33,MATCH(H1992,Исходные!$A$21:$A$33,0)),0)</f>
        <v>2.984</v>
      </c>
      <c r="P1992" s="83" t="n">
        <f aca="false">N1992*O1992</f>
        <v>20.2912</v>
      </c>
      <c r="Q1992" s="20" t="s">
        <v>2070</v>
      </c>
      <c r="R1992" s="84" t="s">
        <v>514</v>
      </c>
      <c r="S1992" s="20"/>
      <c r="T1992" s="20" t="s">
        <v>123</v>
      </c>
      <c r="U1992" s="53" t="n">
        <v>0</v>
      </c>
      <c r="V1992" s="76" t="s">
        <v>975</v>
      </c>
      <c r="W1992" s="53" t="n">
        <v>5</v>
      </c>
    </row>
    <row r="1993" customFormat="false" ht="35.05" hidden="false" customHeight="false" outlineLevel="0" collapsed="false">
      <c r="A1993" s="76" t="n">
        <v>1952</v>
      </c>
      <c r="B1993" s="20" t="s">
        <v>1838</v>
      </c>
      <c r="C1993" s="20" t="s">
        <v>912</v>
      </c>
      <c r="D1993" s="20" t="s">
        <v>2068</v>
      </c>
      <c r="E1993" s="20" t="s">
        <v>2049</v>
      </c>
      <c r="F1993" s="76" t="s">
        <v>972</v>
      </c>
      <c r="G1993" s="20" t="s">
        <v>2071</v>
      </c>
      <c r="H1993" s="55" t="n">
        <v>18</v>
      </c>
      <c r="I1993" s="76" t="s">
        <v>512</v>
      </c>
      <c r="J1993" s="76" t="s">
        <v>164</v>
      </c>
      <c r="K1993" s="82" t="n">
        <v>1</v>
      </c>
      <c r="L1993" s="55" t="n">
        <v>1</v>
      </c>
      <c r="M1993" s="73" t="n">
        <v>3.9</v>
      </c>
      <c r="N1993" s="74" t="n">
        <f aca="false">K1993*L1993*M1993</f>
        <v>3.9</v>
      </c>
      <c r="O1993" s="41" t="n">
        <f aca="false">IFERROR(INDEX(Исходные!$B$21:$B$33,MATCH(H1993,Исходные!$A$21:$A$33,0)),0)</f>
        <v>1.998</v>
      </c>
      <c r="P1993" s="83" t="n">
        <f aca="false">N1993*O1993</f>
        <v>7.7922</v>
      </c>
      <c r="Q1993" s="20" t="s">
        <v>2070</v>
      </c>
      <c r="R1993" s="84" t="s">
        <v>514</v>
      </c>
      <c r="S1993" s="20"/>
      <c r="T1993" s="20" t="s">
        <v>123</v>
      </c>
      <c r="U1993" s="53" t="n">
        <v>0</v>
      </c>
      <c r="V1993" s="76" t="s">
        <v>975</v>
      </c>
      <c r="W1993" s="53" t="n">
        <v>5</v>
      </c>
    </row>
    <row r="1994" customFormat="false" ht="35.05" hidden="false" customHeight="false" outlineLevel="0" collapsed="false">
      <c r="A1994" s="76" t="n">
        <v>1953</v>
      </c>
      <c r="B1994" s="20" t="s">
        <v>1838</v>
      </c>
      <c r="C1994" s="20" t="s">
        <v>912</v>
      </c>
      <c r="D1994" s="20" t="s">
        <v>2068</v>
      </c>
      <c r="E1994" s="20" t="s">
        <v>2049</v>
      </c>
      <c r="F1994" s="76" t="s">
        <v>972</v>
      </c>
      <c r="G1994" s="20" t="s">
        <v>2072</v>
      </c>
      <c r="H1994" s="55" t="n">
        <v>16</v>
      </c>
      <c r="I1994" s="76" t="s">
        <v>512</v>
      </c>
      <c r="J1994" s="76" t="s">
        <v>164</v>
      </c>
      <c r="K1994" s="82" t="n">
        <v>2</v>
      </c>
      <c r="L1994" s="55" t="n">
        <v>2</v>
      </c>
      <c r="M1994" s="73" t="n">
        <v>1.7</v>
      </c>
      <c r="N1994" s="74" t="n">
        <f aca="false">K1994*L1994*M1994</f>
        <v>6.8</v>
      </c>
      <c r="O1994" s="41" t="n">
        <f aca="false">IFERROR(INDEX(Исходные!$B$21:$B$33,MATCH(H1994,Исходные!$A$21:$A$33,0)),0)</f>
        <v>1.578</v>
      </c>
      <c r="P1994" s="83" t="n">
        <f aca="false">N1994*O1994</f>
        <v>10.7304</v>
      </c>
      <c r="Q1994" s="20" t="s">
        <v>2070</v>
      </c>
      <c r="R1994" s="84" t="s">
        <v>514</v>
      </c>
      <c r="S1994" s="20"/>
      <c r="T1994" s="20" t="s">
        <v>123</v>
      </c>
      <c r="U1994" s="53" t="n">
        <v>0</v>
      </c>
      <c r="V1994" s="76" t="s">
        <v>975</v>
      </c>
      <c r="W1994" s="53" t="n">
        <v>5</v>
      </c>
    </row>
    <row r="1995" customFormat="false" ht="35.05" hidden="false" customHeight="false" outlineLevel="0" collapsed="false">
      <c r="A1995" s="76" t="n">
        <v>1954</v>
      </c>
      <c r="B1995" s="20" t="s">
        <v>1838</v>
      </c>
      <c r="C1995" s="20" t="s">
        <v>912</v>
      </c>
      <c r="D1995" s="20" t="s">
        <v>2068</v>
      </c>
      <c r="E1995" s="20" t="s">
        <v>2049</v>
      </c>
      <c r="F1995" s="76" t="s">
        <v>972</v>
      </c>
      <c r="G1995" s="20" t="s">
        <v>2073</v>
      </c>
      <c r="H1995" s="55" t="n">
        <v>16</v>
      </c>
      <c r="I1995" s="76" t="s">
        <v>512</v>
      </c>
      <c r="J1995" s="76" t="s">
        <v>164</v>
      </c>
      <c r="K1995" s="82" t="n">
        <v>2</v>
      </c>
      <c r="L1995" s="55" t="n">
        <v>2</v>
      </c>
      <c r="M1995" s="73" t="n">
        <v>1.9</v>
      </c>
      <c r="N1995" s="74" t="n">
        <f aca="false">K1995*L1995*M1995</f>
        <v>7.6</v>
      </c>
      <c r="O1995" s="41" t="n">
        <f aca="false">IFERROR(INDEX(Исходные!$B$21:$B$33,MATCH(H1995,Исходные!$A$21:$A$33,0)),0)</f>
        <v>1.578</v>
      </c>
      <c r="P1995" s="83" t="n">
        <f aca="false">N1995*O1995</f>
        <v>11.9928</v>
      </c>
      <c r="Q1995" s="20" t="s">
        <v>2070</v>
      </c>
      <c r="R1995" s="85" t="s">
        <v>638</v>
      </c>
      <c r="S1995" s="20"/>
      <c r="T1995" s="20" t="s">
        <v>123</v>
      </c>
      <c r="U1995" s="53" t="n">
        <v>1</v>
      </c>
      <c r="V1995" s="76" t="s">
        <v>975</v>
      </c>
      <c r="W1995" s="53" t="n">
        <v>5</v>
      </c>
    </row>
    <row r="1996" customFormat="false" ht="35.05" hidden="false" customHeight="false" outlineLevel="0" collapsed="false">
      <c r="A1996" s="76" t="n">
        <v>1955</v>
      </c>
      <c r="B1996" s="20" t="s">
        <v>1838</v>
      </c>
      <c r="C1996" s="20" t="s">
        <v>912</v>
      </c>
      <c r="D1996" s="20" t="s">
        <v>2068</v>
      </c>
      <c r="E1996" s="20" t="s">
        <v>2049</v>
      </c>
      <c r="F1996" s="76" t="s">
        <v>972</v>
      </c>
      <c r="G1996" s="20" t="s">
        <v>2074</v>
      </c>
      <c r="H1996" s="55" t="n">
        <v>18</v>
      </c>
      <c r="I1996" s="76" t="s">
        <v>512</v>
      </c>
      <c r="J1996" s="76" t="s">
        <v>164</v>
      </c>
      <c r="K1996" s="82" t="n">
        <v>1</v>
      </c>
      <c r="L1996" s="55" t="n">
        <v>2</v>
      </c>
      <c r="M1996" s="73" t="n">
        <v>1.7</v>
      </c>
      <c r="N1996" s="74" t="n">
        <f aca="false">K1996*L1996*M1996</f>
        <v>3.4</v>
      </c>
      <c r="O1996" s="41" t="n">
        <f aca="false">IFERROR(INDEX(Исходные!$B$21:$B$33,MATCH(H1996,Исходные!$A$21:$A$33,0)),0)</f>
        <v>1.998</v>
      </c>
      <c r="P1996" s="83" t="n">
        <f aca="false">N1996*O1996</f>
        <v>6.7932</v>
      </c>
      <c r="Q1996" s="20" t="s">
        <v>2070</v>
      </c>
      <c r="R1996" s="84" t="s">
        <v>514</v>
      </c>
      <c r="S1996" s="20"/>
      <c r="T1996" s="20" t="s">
        <v>123</v>
      </c>
      <c r="U1996" s="53" t="n">
        <v>0</v>
      </c>
      <c r="V1996" s="76" t="s">
        <v>975</v>
      </c>
      <c r="W1996" s="53" t="n">
        <v>5</v>
      </c>
    </row>
    <row r="1997" customFormat="false" ht="35.05" hidden="false" customHeight="false" outlineLevel="0" collapsed="false">
      <c r="A1997" s="76" t="n">
        <v>1956</v>
      </c>
      <c r="B1997" s="20" t="s">
        <v>1838</v>
      </c>
      <c r="C1997" s="20" t="s">
        <v>912</v>
      </c>
      <c r="D1997" s="20" t="s">
        <v>2068</v>
      </c>
      <c r="E1997" s="20" t="s">
        <v>2049</v>
      </c>
      <c r="F1997" s="76" t="s">
        <v>972</v>
      </c>
      <c r="G1997" s="20" t="s">
        <v>2075</v>
      </c>
      <c r="H1997" s="55" t="n">
        <v>22</v>
      </c>
      <c r="I1997" s="76" t="s">
        <v>512</v>
      </c>
      <c r="J1997" s="76" t="s">
        <v>164</v>
      </c>
      <c r="K1997" s="82" t="n">
        <v>1</v>
      </c>
      <c r="L1997" s="55" t="n">
        <v>1</v>
      </c>
      <c r="M1997" s="73" t="n">
        <v>1.7</v>
      </c>
      <c r="N1997" s="74" t="n">
        <f aca="false">K1997*L1997*M1997</f>
        <v>1.7</v>
      </c>
      <c r="O1997" s="41" t="n">
        <f aca="false">IFERROR(INDEX(Исходные!$B$21:$B$33,MATCH(H1997,Исходные!$A$21:$A$33,0)),0)</f>
        <v>2.984</v>
      </c>
      <c r="P1997" s="83" t="n">
        <f aca="false">N1997*O1997</f>
        <v>5.0728</v>
      </c>
      <c r="Q1997" s="20" t="s">
        <v>2070</v>
      </c>
      <c r="R1997" s="84" t="s">
        <v>514</v>
      </c>
      <c r="S1997" s="20"/>
      <c r="T1997" s="20" t="s">
        <v>123</v>
      </c>
      <c r="U1997" s="53" t="n">
        <v>0</v>
      </c>
      <c r="V1997" s="76" t="s">
        <v>975</v>
      </c>
      <c r="W1997" s="53" t="n">
        <v>5</v>
      </c>
    </row>
    <row r="1998" customFormat="false" ht="35.05" hidden="false" customHeight="false" outlineLevel="0" collapsed="false">
      <c r="A1998" s="76" t="n">
        <v>1957</v>
      </c>
      <c r="B1998" s="20" t="s">
        <v>1838</v>
      </c>
      <c r="C1998" s="20" t="s">
        <v>912</v>
      </c>
      <c r="D1998" s="20" t="s">
        <v>994</v>
      </c>
      <c r="E1998" s="20" t="s">
        <v>2049</v>
      </c>
      <c r="F1998" s="76" t="s">
        <v>995</v>
      </c>
      <c r="G1998" s="20" t="s">
        <v>996</v>
      </c>
      <c r="H1998" s="55" t="n">
        <v>14</v>
      </c>
      <c r="I1998" s="76" t="s">
        <v>512</v>
      </c>
      <c r="J1998" s="76" t="s">
        <v>164</v>
      </c>
      <c r="K1998" s="82" t="n">
        <v>1</v>
      </c>
      <c r="L1998" s="55" t="n">
        <v>2</v>
      </c>
      <c r="M1998" s="73" t="n">
        <v>25.795</v>
      </c>
      <c r="N1998" s="74" t="n">
        <f aca="false">K1998*L1998*M1998</f>
        <v>51.59</v>
      </c>
      <c r="O1998" s="41" t="n">
        <f aca="false">IFERROR(INDEX(Исходные!$B$21:$B$33,MATCH(H1998,Исходные!$A$21:$A$33,0)),0)</f>
        <v>1.208</v>
      </c>
      <c r="P1998" s="83" t="n">
        <f aca="false">N1998*O1998</f>
        <v>62.32072</v>
      </c>
      <c r="Q1998" s="20" t="s">
        <v>2076</v>
      </c>
      <c r="R1998" s="84" t="s">
        <v>660</v>
      </c>
      <c r="S1998" s="20"/>
      <c r="T1998" s="20" t="s">
        <v>123</v>
      </c>
      <c r="U1998" s="53" t="n">
        <v>0</v>
      </c>
      <c r="V1998" s="76" t="s">
        <v>998</v>
      </c>
      <c r="W1998" s="53" t="n">
        <v>5</v>
      </c>
    </row>
    <row r="1999" customFormat="false" ht="35.05" hidden="false" customHeight="false" outlineLevel="0" collapsed="false">
      <c r="A1999" s="76" t="n">
        <v>1958</v>
      </c>
      <c r="B1999" s="20" t="s">
        <v>1838</v>
      </c>
      <c r="C1999" s="20" t="s">
        <v>912</v>
      </c>
      <c r="D1999" s="20" t="s">
        <v>994</v>
      </c>
      <c r="E1999" s="20" t="s">
        <v>2049</v>
      </c>
      <c r="F1999" s="76" t="s">
        <v>999</v>
      </c>
      <c r="G1999" s="20" t="s">
        <v>1454</v>
      </c>
      <c r="H1999" s="55" t="n">
        <v>14</v>
      </c>
      <c r="I1999" s="76" t="s">
        <v>512</v>
      </c>
      <c r="J1999" s="76" t="s">
        <v>164</v>
      </c>
      <c r="K1999" s="82" t="n">
        <v>2</v>
      </c>
      <c r="L1999" s="55" t="n">
        <v>2</v>
      </c>
      <c r="M1999" s="73" t="n">
        <v>0.56</v>
      </c>
      <c r="N1999" s="74" t="n">
        <f aca="false">K1999*L1999*M1999</f>
        <v>2.24</v>
      </c>
      <c r="O1999" s="41" t="n">
        <f aca="false">IFERROR(INDEX(Исходные!$B$21:$B$33,MATCH(H1999,Исходные!$A$21:$A$33,0)),0)</f>
        <v>1.208</v>
      </c>
      <c r="P1999" s="83" t="n">
        <f aca="false">N1999*O1999</f>
        <v>2.70592</v>
      </c>
      <c r="Q1999" s="20" t="s">
        <v>1001</v>
      </c>
      <c r="R1999" s="84" t="s">
        <v>667</v>
      </c>
      <c r="S1999" s="20" t="s">
        <v>1455</v>
      </c>
      <c r="T1999" s="20" t="s">
        <v>123</v>
      </c>
      <c r="U1999" s="53" t="n">
        <v>0</v>
      </c>
      <c r="V1999" s="76" t="s">
        <v>998</v>
      </c>
      <c r="W1999" s="53" t="n">
        <v>5</v>
      </c>
    </row>
    <row r="2000" customFormat="false" ht="35.05" hidden="false" customHeight="false" outlineLevel="0" collapsed="false">
      <c r="A2000" s="76" t="n">
        <v>1959</v>
      </c>
      <c r="B2000" s="20" t="s">
        <v>1838</v>
      </c>
      <c r="C2000" s="20" t="s">
        <v>912</v>
      </c>
      <c r="D2000" s="20" t="s">
        <v>994</v>
      </c>
      <c r="E2000" s="20" t="s">
        <v>2049</v>
      </c>
      <c r="F2000" s="76" t="s">
        <v>995</v>
      </c>
      <c r="G2000" s="20" t="s">
        <v>1003</v>
      </c>
      <c r="H2000" s="55" t="n">
        <v>14</v>
      </c>
      <c r="I2000" s="76" t="s">
        <v>512</v>
      </c>
      <c r="J2000" s="76" t="s">
        <v>164</v>
      </c>
      <c r="K2000" s="82" t="n">
        <v>1</v>
      </c>
      <c r="L2000" s="55" t="n">
        <v>2</v>
      </c>
      <c r="M2000" s="73" t="n">
        <v>20.495</v>
      </c>
      <c r="N2000" s="74" t="n">
        <f aca="false">K2000*L2000*M2000</f>
        <v>40.99</v>
      </c>
      <c r="O2000" s="41" t="n">
        <f aca="false">IFERROR(INDEX(Исходные!$B$21:$B$33,MATCH(H2000,Исходные!$A$21:$A$33,0)),0)</f>
        <v>1.208</v>
      </c>
      <c r="P2000" s="83" t="n">
        <f aca="false">N2000*O2000</f>
        <v>49.51592</v>
      </c>
      <c r="Q2000" s="20" t="s">
        <v>1004</v>
      </c>
      <c r="R2000" s="84" t="s">
        <v>660</v>
      </c>
      <c r="S2000" s="20"/>
      <c r="T2000" s="20" t="s">
        <v>123</v>
      </c>
      <c r="U2000" s="53" t="n">
        <v>0</v>
      </c>
      <c r="V2000" s="76" t="s">
        <v>998</v>
      </c>
      <c r="W2000" s="53" t="n">
        <v>5</v>
      </c>
    </row>
    <row r="2001" customFormat="false" ht="35.05" hidden="false" customHeight="false" outlineLevel="0" collapsed="false">
      <c r="A2001" s="76" t="n">
        <v>1960</v>
      </c>
      <c r="B2001" s="20" t="s">
        <v>1838</v>
      </c>
      <c r="C2001" s="20" t="s">
        <v>912</v>
      </c>
      <c r="D2001" s="20" t="s">
        <v>994</v>
      </c>
      <c r="E2001" s="20" t="s">
        <v>2049</v>
      </c>
      <c r="F2001" s="76" t="s">
        <v>999</v>
      </c>
      <c r="G2001" s="20" t="s">
        <v>1456</v>
      </c>
      <c r="H2001" s="55" t="n">
        <v>14</v>
      </c>
      <c r="I2001" s="76" t="s">
        <v>512</v>
      </c>
      <c r="J2001" s="76" t="s">
        <v>164</v>
      </c>
      <c r="K2001" s="82" t="n">
        <v>2</v>
      </c>
      <c r="L2001" s="55" t="n">
        <v>1</v>
      </c>
      <c r="M2001" s="73" t="n">
        <v>0.56</v>
      </c>
      <c r="N2001" s="74" t="n">
        <f aca="false">K2001*L2001*M2001</f>
        <v>1.12</v>
      </c>
      <c r="O2001" s="41" t="n">
        <f aca="false">IFERROR(INDEX(Исходные!$B$21:$B$33,MATCH(H2001,Исходные!$A$21:$A$33,0)),0)</f>
        <v>1.208</v>
      </c>
      <c r="P2001" s="83" t="n">
        <f aca="false">N2001*O2001</f>
        <v>1.35296</v>
      </c>
      <c r="Q2001" s="20" t="s">
        <v>1001</v>
      </c>
      <c r="R2001" s="84" t="s">
        <v>667</v>
      </c>
      <c r="S2001" s="20" t="s">
        <v>1457</v>
      </c>
      <c r="T2001" s="20" t="s">
        <v>123</v>
      </c>
      <c r="U2001" s="53" t="n">
        <v>0</v>
      </c>
      <c r="V2001" s="76" t="s">
        <v>998</v>
      </c>
      <c r="W2001" s="53" t="n">
        <v>5</v>
      </c>
    </row>
    <row r="2002" customFormat="false" ht="35.05" hidden="false" customHeight="false" outlineLevel="0" collapsed="false">
      <c r="A2002" s="76" t="n">
        <v>1961</v>
      </c>
      <c r="B2002" s="20" t="s">
        <v>1838</v>
      </c>
      <c r="C2002" s="20" t="s">
        <v>912</v>
      </c>
      <c r="D2002" s="20" t="s">
        <v>994</v>
      </c>
      <c r="E2002" s="20" t="s">
        <v>2049</v>
      </c>
      <c r="F2002" s="76" t="s">
        <v>544</v>
      </c>
      <c r="G2002" s="20" t="s">
        <v>1458</v>
      </c>
      <c r="H2002" s="55" t="n">
        <v>10</v>
      </c>
      <c r="I2002" s="76" t="s">
        <v>546</v>
      </c>
      <c r="J2002" s="76" t="n">
        <v>400</v>
      </c>
      <c r="K2002" s="82" t="n">
        <v>1</v>
      </c>
      <c r="L2002" s="55" t="n">
        <v>119</v>
      </c>
      <c r="M2002" s="73" t="n">
        <v>0.7</v>
      </c>
      <c r="N2002" s="74" t="n">
        <f aca="false">K2002*L2002*M2002</f>
        <v>83.3</v>
      </c>
      <c r="O2002" s="41" t="n">
        <f aca="false">IFERROR(INDEX(Исходные!$B$21:$B$33,MATCH(H2002,Исходные!$A$21:$A$33,0)),0)</f>
        <v>0.617</v>
      </c>
      <c r="P2002" s="83" t="n">
        <f aca="false">N2002*O2002</f>
        <v>51.3961</v>
      </c>
      <c r="Q2002" s="20" t="s">
        <v>1008</v>
      </c>
      <c r="R2002" s="84" t="s">
        <v>514</v>
      </c>
      <c r="S2002" s="20"/>
      <c r="T2002" s="20" t="s">
        <v>123</v>
      </c>
      <c r="U2002" s="53" t="n">
        <v>0</v>
      </c>
      <c r="V2002" s="76" t="s">
        <v>998</v>
      </c>
      <c r="W2002" s="53" t="n">
        <v>5</v>
      </c>
    </row>
    <row r="2003" customFormat="false" ht="57.45" hidden="false" customHeight="false" outlineLevel="0" collapsed="false">
      <c r="A2003" s="76" t="n">
        <v>1962</v>
      </c>
      <c r="B2003" s="20" t="s">
        <v>1838</v>
      </c>
      <c r="C2003" s="20" t="s">
        <v>912</v>
      </c>
      <c r="D2003" s="20" t="s">
        <v>2077</v>
      </c>
      <c r="E2003" s="20" t="s">
        <v>2078</v>
      </c>
      <c r="F2003" s="76" t="s">
        <v>510</v>
      </c>
      <c r="G2003" s="20" t="s">
        <v>2079</v>
      </c>
      <c r="H2003" s="55" t="n">
        <v>14</v>
      </c>
      <c r="I2003" s="76" t="s">
        <v>512</v>
      </c>
      <c r="J2003" s="76" t="n">
        <v>1500</v>
      </c>
      <c r="K2003" s="82" t="n">
        <v>59</v>
      </c>
      <c r="L2003" s="55" t="n">
        <v>2</v>
      </c>
      <c r="M2003" s="73" t="n">
        <v>1.24</v>
      </c>
      <c r="N2003" s="74" t="n">
        <f aca="false">K2003*L2003*M2003</f>
        <v>146.32</v>
      </c>
      <c r="O2003" s="41" t="n">
        <f aca="false">IFERROR(INDEX(Исходные!$B$21:$B$33,MATCH(H2003,Исходные!$A$21:$A$33,0)),0)</f>
        <v>1.208</v>
      </c>
      <c r="P2003" s="83" t="n">
        <f aca="false">N2003*O2003</f>
        <v>176.75456</v>
      </c>
      <c r="Q2003" s="20" t="s">
        <v>2080</v>
      </c>
      <c r="R2003" s="86" t="s">
        <v>1014</v>
      </c>
      <c r="S2003" s="20" t="s">
        <v>2081</v>
      </c>
      <c r="T2003" s="20" t="s">
        <v>123</v>
      </c>
      <c r="U2003" s="53" t="n">
        <v>1</v>
      </c>
      <c r="V2003" s="76" t="s">
        <v>2082</v>
      </c>
      <c r="W2003" s="53" t="n">
        <v>5</v>
      </c>
    </row>
    <row r="2004" customFormat="false" ht="35.05" hidden="false" customHeight="false" outlineLevel="0" collapsed="false">
      <c r="A2004" s="76" t="n">
        <v>1963</v>
      </c>
      <c r="B2004" s="20" t="s">
        <v>1838</v>
      </c>
      <c r="C2004" s="20" t="s">
        <v>912</v>
      </c>
      <c r="D2004" s="20" t="s">
        <v>1009</v>
      </c>
      <c r="E2004" s="20" t="s">
        <v>1010</v>
      </c>
      <c r="F2004" s="76" t="s">
        <v>1010</v>
      </c>
      <c r="G2004" s="20" t="s">
        <v>2083</v>
      </c>
      <c r="H2004" s="55" t="n">
        <v>10</v>
      </c>
      <c r="I2004" s="76" t="s">
        <v>546</v>
      </c>
      <c r="J2004" s="76" t="s">
        <v>1012</v>
      </c>
      <c r="K2004" s="82" t="n">
        <v>1</v>
      </c>
      <c r="L2004" s="55" t="n">
        <v>792</v>
      </c>
      <c r="M2004" s="73" t="n">
        <v>0.42</v>
      </c>
      <c r="N2004" s="74" t="n">
        <f aca="false">K2004*L2004*M2004</f>
        <v>332.64</v>
      </c>
      <c r="O2004" s="41" t="n">
        <f aca="false">IFERROR(INDEX(Исходные!$B$21:$B$33,MATCH(H2004,Исходные!$A$21:$A$33,0)),0)</f>
        <v>0.617</v>
      </c>
      <c r="P2004" s="83" t="n">
        <f aca="false">N2004*O2004</f>
        <v>205.23888</v>
      </c>
      <c r="Q2004" s="20" t="s">
        <v>1460</v>
      </c>
      <c r="R2004" s="86" t="s">
        <v>1014</v>
      </c>
      <c r="S2004" s="20"/>
      <c r="T2004" s="20" t="s">
        <v>123</v>
      </c>
      <c r="U2004" s="53" t="n">
        <v>1</v>
      </c>
      <c r="V2004" s="76" t="s">
        <v>1015</v>
      </c>
      <c r="W2004" s="53" t="n">
        <v>5</v>
      </c>
    </row>
    <row r="2005" customFormat="false" ht="35.05" hidden="false" customHeight="false" outlineLevel="0" collapsed="false">
      <c r="A2005" s="76" t="n">
        <v>1964</v>
      </c>
      <c r="B2005" s="20" t="s">
        <v>1838</v>
      </c>
      <c r="C2005" s="20" t="s">
        <v>912</v>
      </c>
      <c r="D2005" s="20" t="s">
        <v>1009</v>
      </c>
      <c r="E2005" s="20" t="s">
        <v>1016</v>
      </c>
      <c r="F2005" s="76" t="s">
        <v>1016</v>
      </c>
      <c r="G2005" s="20" t="s">
        <v>2084</v>
      </c>
      <c r="H2005" s="55" t="n">
        <v>8</v>
      </c>
      <c r="I2005" s="76" t="s">
        <v>546</v>
      </c>
      <c r="J2005" s="76" t="s">
        <v>1018</v>
      </c>
      <c r="K2005" s="82" t="n">
        <v>1</v>
      </c>
      <c r="L2005" s="55" t="n">
        <v>792</v>
      </c>
      <c r="M2005" s="73" t="n">
        <v>0.22</v>
      </c>
      <c r="N2005" s="74" t="n">
        <f aca="false">K2005*L2005*M2005</f>
        <v>174.24</v>
      </c>
      <c r="O2005" s="41" t="n">
        <f aca="false">IFERROR(INDEX(Исходные!$B$21:$B$33,MATCH(H2005,Исходные!$A$21:$A$33,0)),0)</f>
        <v>0.395</v>
      </c>
      <c r="P2005" s="83" t="n">
        <f aca="false">N2005*O2005</f>
        <v>68.8248</v>
      </c>
      <c r="Q2005" s="20" t="s">
        <v>1461</v>
      </c>
      <c r="R2005" s="86" t="s">
        <v>1014</v>
      </c>
      <c r="S2005" s="20"/>
      <c r="T2005" s="20" t="s">
        <v>123</v>
      </c>
      <c r="U2005" s="53" t="n">
        <v>1</v>
      </c>
      <c r="V2005" s="76" t="s">
        <v>1015</v>
      </c>
      <c r="W2005" s="53" t="n">
        <v>5</v>
      </c>
    </row>
    <row r="2006" customFormat="false" ht="15" hidden="false" customHeight="true" outlineLevel="0" collapsed="false">
      <c r="A2006" s="81" t="s">
        <v>2085</v>
      </c>
      <c r="B2006" s="81"/>
      <c r="C2006" s="81"/>
      <c r="D2006" s="81"/>
      <c r="E2006" s="81"/>
      <c r="F2006" s="81"/>
      <c r="G2006" s="81"/>
      <c r="H2006" s="81"/>
      <c r="I2006" s="81"/>
      <c r="J2006" s="81"/>
      <c r="K2006" s="81"/>
      <c r="L2006" s="81"/>
      <c r="M2006" s="81"/>
      <c r="N2006" s="81"/>
      <c r="O2006" s="81"/>
      <c r="P2006" s="81"/>
      <c r="Q2006" s="81"/>
      <c r="R2006" s="81"/>
      <c r="S2006" s="81"/>
      <c r="T2006" s="81"/>
      <c r="U2006" s="81"/>
      <c r="V2006" s="81"/>
      <c r="W2006" s="81"/>
    </row>
    <row r="2007" customFormat="false" ht="35.05" hidden="false" customHeight="false" outlineLevel="0" collapsed="false">
      <c r="A2007" s="76" t="n">
        <v>1965</v>
      </c>
      <c r="B2007" s="20" t="s">
        <v>1838</v>
      </c>
      <c r="C2007" s="20" t="s">
        <v>1021</v>
      </c>
      <c r="D2007" s="20" t="s">
        <v>1022</v>
      </c>
      <c r="E2007" s="20" t="s">
        <v>1023</v>
      </c>
      <c r="F2007" s="76" t="s">
        <v>522</v>
      </c>
      <c r="G2007" s="20" t="s">
        <v>1024</v>
      </c>
      <c r="H2007" s="55" t="n">
        <v>25</v>
      </c>
      <c r="I2007" s="76" t="s">
        <v>512</v>
      </c>
      <c r="J2007" s="76" t="s">
        <v>164</v>
      </c>
      <c r="K2007" s="82" t="n">
        <v>1</v>
      </c>
      <c r="L2007" s="55" t="n">
        <v>4</v>
      </c>
      <c r="M2007" s="73" t="n">
        <v>20.4</v>
      </c>
      <c r="N2007" s="74" t="n">
        <f aca="false">K2007*L2007*M2007</f>
        <v>81.6</v>
      </c>
      <c r="O2007" s="41" t="n">
        <f aca="false">IFERROR(INDEX(Исходные!$B$21:$B$33,MATCH(H2007,Исходные!$A$21:$A$33,0)),0)</f>
        <v>3.853</v>
      </c>
      <c r="P2007" s="83" t="n">
        <f aca="false">N2007*O2007</f>
        <v>314.4048</v>
      </c>
      <c r="Q2007" s="20" t="s">
        <v>2086</v>
      </c>
      <c r="R2007" s="84" t="s">
        <v>660</v>
      </c>
      <c r="S2007" s="20" t="s">
        <v>832</v>
      </c>
      <c r="T2007" s="20" t="s">
        <v>123</v>
      </c>
      <c r="U2007" s="53" t="n">
        <v>0</v>
      </c>
      <c r="V2007" s="76" t="s">
        <v>1026</v>
      </c>
      <c r="W2007" s="53" t="n">
        <v>5</v>
      </c>
    </row>
    <row r="2008" customFormat="false" ht="35.05" hidden="false" customHeight="false" outlineLevel="0" collapsed="false">
      <c r="A2008" s="76" t="n">
        <v>1966</v>
      </c>
      <c r="B2008" s="20" t="s">
        <v>1838</v>
      </c>
      <c r="C2008" s="20" t="s">
        <v>1021</v>
      </c>
      <c r="D2008" s="20" t="s">
        <v>1027</v>
      </c>
      <c r="E2008" s="20" t="s">
        <v>1023</v>
      </c>
      <c r="F2008" s="76" t="s">
        <v>522</v>
      </c>
      <c r="G2008" s="20" t="s">
        <v>1028</v>
      </c>
      <c r="H2008" s="55" t="n">
        <v>25</v>
      </c>
      <c r="I2008" s="76" t="s">
        <v>512</v>
      </c>
      <c r="J2008" s="76" t="s">
        <v>164</v>
      </c>
      <c r="K2008" s="82" t="n">
        <v>1</v>
      </c>
      <c r="L2008" s="55" t="n">
        <v>4</v>
      </c>
      <c r="M2008" s="73" t="n">
        <v>20.4</v>
      </c>
      <c r="N2008" s="74" t="n">
        <f aca="false">K2008*L2008*M2008</f>
        <v>81.6</v>
      </c>
      <c r="O2008" s="41" t="n">
        <f aca="false">IFERROR(INDEX(Исходные!$B$21:$B$33,MATCH(H2008,Исходные!$A$21:$A$33,0)),0)</f>
        <v>3.853</v>
      </c>
      <c r="P2008" s="83" t="n">
        <f aca="false">N2008*O2008</f>
        <v>314.4048</v>
      </c>
      <c r="Q2008" s="20" t="s">
        <v>2086</v>
      </c>
      <c r="R2008" s="84" t="s">
        <v>660</v>
      </c>
      <c r="S2008" s="20" t="s">
        <v>832</v>
      </c>
      <c r="T2008" s="20" t="s">
        <v>123</v>
      </c>
      <c r="U2008" s="53" t="n">
        <v>0</v>
      </c>
      <c r="V2008" s="76" t="s">
        <v>1026</v>
      </c>
      <c r="W2008" s="53" t="n">
        <v>5</v>
      </c>
    </row>
    <row r="2009" customFormat="false" ht="35.05" hidden="false" customHeight="false" outlineLevel="0" collapsed="false">
      <c r="A2009" s="76" t="n">
        <v>1967</v>
      </c>
      <c r="B2009" s="20" t="s">
        <v>1838</v>
      </c>
      <c r="C2009" s="20" t="s">
        <v>1021</v>
      </c>
      <c r="D2009" s="20" t="s">
        <v>1029</v>
      </c>
      <c r="E2009" s="20" t="s">
        <v>1023</v>
      </c>
      <c r="F2009" s="76" t="s">
        <v>522</v>
      </c>
      <c r="G2009" s="20" t="s">
        <v>1030</v>
      </c>
      <c r="H2009" s="55" t="n">
        <v>25</v>
      </c>
      <c r="I2009" s="76" t="s">
        <v>512</v>
      </c>
      <c r="J2009" s="76" t="s">
        <v>164</v>
      </c>
      <c r="K2009" s="82" t="n">
        <v>1</v>
      </c>
      <c r="L2009" s="55" t="n">
        <v>4</v>
      </c>
      <c r="M2009" s="73" t="n">
        <v>13.9</v>
      </c>
      <c r="N2009" s="74" t="n">
        <f aca="false">K2009*L2009*M2009</f>
        <v>55.6</v>
      </c>
      <c r="O2009" s="41" t="n">
        <f aca="false">IFERROR(INDEX(Исходные!$B$21:$B$33,MATCH(H2009,Исходные!$A$21:$A$33,0)),0)</f>
        <v>3.853</v>
      </c>
      <c r="P2009" s="83" t="n">
        <f aca="false">N2009*O2009</f>
        <v>214.2268</v>
      </c>
      <c r="Q2009" s="20" t="s">
        <v>2086</v>
      </c>
      <c r="R2009" s="84" t="s">
        <v>660</v>
      </c>
      <c r="S2009" s="20" t="s">
        <v>832</v>
      </c>
      <c r="T2009" s="20" t="s">
        <v>123</v>
      </c>
      <c r="U2009" s="53" t="n">
        <v>0</v>
      </c>
      <c r="V2009" s="76" t="s">
        <v>1026</v>
      </c>
      <c r="W2009" s="53" t="n">
        <v>5</v>
      </c>
    </row>
    <row r="2010" customFormat="false" ht="35.05" hidden="false" customHeight="false" outlineLevel="0" collapsed="false">
      <c r="A2010" s="76" t="n">
        <v>1968</v>
      </c>
      <c r="B2010" s="20" t="s">
        <v>1838</v>
      </c>
      <c r="C2010" s="20" t="s">
        <v>1021</v>
      </c>
      <c r="D2010" s="20" t="s">
        <v>1031</v>
      </c>
      <c r="E2010" s="20" t="s">
        <v>1023</v>
      </c>
      <c r="F2010" s="76" t="s">
        <v>522</v>
      </c>
      <c r="G2010" s="20" t="s">
        <v>1032</v>
      </c>
      <c r="H2010" s="55" t="n">
        <v>25</v>
      </c>
      <c r="I2010" s="76" t="s">
        <v>512</v>
      </c>
      <c r="J2010" s="76" t="s">
        <v>164</v>
      </c>
      <c r="K2010" s="82" t="n">
        <v>1</v>
      </c>
      <c r="L2010" s="55" t="n">
        <v>4</v>
      </c>
      <c r="M2010" s="73" t="n">
        <v>20.4</v>
      </c>
      <c r="N2010" s="74" t="n">
        <f aca="false">K2010*L2010*M2010</f>
        <v>81.6</v>
      </c>
      <c r="O2010" s="41" t="n">
        <f aca="false">IFERROR(INDEX(Исходные!$B$21:$B$33,MATCH(H2010,Исходные!$A$21:$A$33,0)),0)</f>
        <v>3.853</v>
      </c>
      <c r="P2010" s="83" t="n">
        <f aca="false">N2010*O2010</f>
        <v>314.4048</v>
      </c>
      <c r="Q2010" s="20" t="s">
        <v>2086</v>
      </c>
      <c r="R2010" s="84" t="s">
        <v>660</v>
      </c>
      <c r="S2010" s="20" t="s">
        <v>832</v>
      </c>
      <c r="T2010" s="20" t="s">
        <v>123</v>
      </c>
      <c r="U2010" s="53" t="n">
        <v>0</v>
      </c>
      <c r="V2010" s="76" t="s">
        <v>1026</v>
      </c>
      <c r="W2010" s="53" t="n">
        <v>5</v>
      </c>
    </row>
    <row r="2011" customFormat="false" ht="35.05" hidden="false" customHeight="false" outlineLevel="0" collapsed="false">
      <c r="A2011" s="76" t="n">
        <v>1969</v>
      </c>
      <c r="B2011" s="20" t="s">
        <v>1838</v>
      </c>
      <c r="C2011" s="20" t="s">
        <v>1021</v>
      </c>
      <c r="D2011" s="20" t="s">
        <v>1033</v>
      </c>
      <c r="E2011" s="20" t="s">
        <v>1023</v>
      </c>
      <c r="F2011" s="76" t="s">
        <v>522</v>
      </c>
      <c r="G2011" s="20" t="s">
        <v>1034</v>
      </c>
      <c r="H2011" s="55" t="n">
        <v>25</v>
      </c>
      <c r="I2011" s="76" t="s">
        <v>512</v>
      </c>
      <c r="J2011" s="76" t="s">
        <v>164</v>
      </c>
      <c r="K2011" s="82" t="n">
        <v>1</v>
      </c>
      <c r="L2011" s="55" t="n">
        <v>4</v>
      </c>
      <c r="M2011" s="73" t="n">
        <v>25.4</v>
      </c>
      <c r="N2011" s="74" t="n">
        <f aca="false">K2011*L2011*M2011</f>
        <v>101.6</v>
      </c>
      <c r="O2011" s="41" t="n">
        <f aca="false">IFERROR(INDEX(Исходные!$B$21:$B$33,MATCH(H2011,Исходные!$A$21:$A$33,0)),0)</f>
        <v>3.853</v>
      </c>
      <c r="P2011" s="83" t="n">
        <f aca="false">N2011*O2011</f>
        <v>391.4648</v>
      </c>
      <c r="Q2011" s="20" t="s">
        <v>2086</v>
      </c>
      <c r="R2011" s="84" t="s">
        <v>660</v>
      </c>
      <c r="S2011" s="20" t="s">
        <v>661</v>
      </c>
      <c r="T2011" s="20" t="s">
        <v>123</v>
      </c>
      <c r="U2011" s="53" t="n">
        <v>0</v>
      </c>
      <c r="V2011" s="76" t="s">
        <v>1026</v>
      </c>
      <c r="W2011" s="53" t="n">
        <v>5</v>
      </c>
    </row>
    <row r="2012" customFormat="false" ht="35.05" hidden="false" customHeight="false" outlineLevel="0" collapsed="false">
      <c r="A2012" s="76" t="n">
        <v>1970</v>
      </c>
      <c r="B2012" s="20" t="s">
        <v>1838</v>
      </c>
      <c r="C2012" s="20" t="s">
        <v>1021</v>
      </c>
      <c r="D2012" s="20" t="s">
        <v>1035</v>
      </c>
      <c r="E2012" s="20" t="s">
        <v>1023</v>
      </c>
      <c r="F2012" s="76" t="s">
        <v>522</v>
      </c>
      <c r="G2012" s="20" t="s">
        <v>1036</v>
      </c>
      <c r="H2012" s="55" t="n">
        <v>25</v>
      </c>
      <c r="I2012" s="76" t="s">
        <v>512</v>
      </c>
      <c r="J2012" s="76" t="s">
        <v>164</v>
      </c>
      <c r="K2012" s="82" t="n">
        <v>1</v>
      </c>
      <c r="L2012" s="55" t="n">
        <v>4</v>
      </c>
      <c r="M2012" s="73" t="n">
        <v>25.4</v>
      </c>
      <c r="N2012" s="74" t="n">
        <f aca="false">K2012*L2012*M2012</f>
        <v>101.6</v>
      </c>
      <c r="O2012" s="41" t="n">
        <f aca="false">IFERROR(INDEX(Исходные!$B$21:$B$33,MATCH(H2012,Исходные!$A$21:$A$33,0)),0)</f>
        <v>3.853</v>
      </c>
      <c r="P2012" s="83" t="n">
        <f aca="false">N2012*O2012</f>
        <v>391.4648</v>
      </c>
      <c r="Q2012" s="20" t="s">
        <v>2086</v>
      </c>
      <c r="R2012" s="84" t="s">
        <v>660</v>
      </c>
      <c r="S2012" s="20" t="s">
        <v>661</v>
      </c>
      <c r="T2012" s="20" t="s">
        <v>123</v>
      </c>
      <c r="U2012" s="53" t="n">
        <v>0</v>
      </c>
      <c r="V2012" s="76" t="s">
        <v>1026</v>
      </c>
      <c r="W2012" s="53" t="n">
        <v>5</v>
      </c>
    </row>
    <row r="2013" customFormat="false" ht="35.05" hidden="false" customHeight="false" outlineLevel="0" collapsed="false">
      <c r="A2013" s="76" t="n">
        <v>1971</v>
      </c>
      <c r="B2013" s="20" t="s">
        <v>1838</v>
      </c>
      <c r="C2013" s="20" t="s">
        <v>1021</v>
      </c>
      <c r="D2013" s="20" t="s">
        <v>1037</v>
      </c>
      <c r="E2013" s="20" t="s">
        <v>1023</v>
      </c>
      <c r="F2013" s="76" t="s">
        <v>522</v>
      </c>
      <c r="G2013" s="20" t="s">
        <v>1038</v>
      </c>
      <c r="H2013" s="55" t="n">
        <v>25</v>
      </c>
      <c r="I2013" s="76" t="s">
        <v>512</v>
      </c>
      <c r="J2013" s="76" t="s">
        <v>164</v>
      </c>
      <c r="K2013" s="82" t="n">
        <v>1</v>
      </c>
      <c r="L2013" s="55" t="n">
        <v>4</v>
      </c>
      <c r="M2013" s="73" t="n">
        <v>13.9</v>
      </c>
      <c r="N2013" s="74" t="n">
        <f aca="false">K2013*L2013*M2013</f>
        <v>55.6</v>
      </c>
      <c r="O2013" s="41" t="n">
        <f aca="false">IFERROR(INDEX(Исходные!$B$21:$B$33,MATCH(H2013,Исходные!$A$21:$A$33,0)),0)</f>
        <v>3.853</v>
      </c>
      <c r="P2013" s="83" t="n">
        <f aca="false">N2013*O2013</f>
        <v>214.2268</v>
      </c>
      <c r="Q2013" s="20" t="s">
        <v>2086</v>
      </c>
      <c r="R2013" s="84" t="s">
        <v>660</v>
      </c>
      <c r="S2013" s="20" t="s">
        <v>832</v>
      </c>
      <c r="T2013" s="20" t="s">
        <v>123</v>
      </c>
      <c r="U2013" s="53" t="n">
        <v>0</v>
      </c>
      <c r="V2013" s="76" t="s">
        <v>1026</v>
      </c>
      <c r="W2013" s="53" t="n">
        <v>5</v>
      </c>
    </row>
    <row r="2014" customFormat="false" ht="35.05" hidden="false" customHeight="false" outlineLevel="0" collapsed="false">
      <c r="A2014" s="76" t="n">
        <v>1972</v>
      </c>
      <c r="B2014" s="20" t="s">
        <v>1838</v>
      </c>
      <c r="C2014" s="20" t="s">
        <v>1021</v>
      </c>
      <c r="D2014" s="20" t="s">
        <v>1039</v>
      </c>
      <c r="E2014" s="20" t="s">
        <v>1040</v>
      </c>
      <c r="F2014" s="76" t="s">
        <v>522</v>
      </c>
      <c r="G2014" s="20" t="s">
        <v>1041</v>
      </c>
      <c r="H2014" s="55" t="n">
        <v>25</v>
      </c>
      <c r="I2014" s="76" t="s">
        <v>512</v>
      </c>
      <c r="J2014" s="76" t="s">
        <v>164</v>
      </c>
      <c r="K2014" s="82" t="n">
        <v>1</v>
      </c>
      <c r="L2014" s="55" t="n">
        <v>4</v>
      </c>
      <c r="M2014" s="73" t="n">
        <v>11.9</v>
      </c>
      <c r="N2014" s="74" t="n">
        <f aca="false">K2014*L2014*M2014</f>
        <v>47.6</v>
      </c>
      <c r="O2014" s="41" t="n">
        <f aca="false">IFERROR(INDEX(Исходные!$B$21:$B$33,MATCH(H2014,Исходные!$A$21:$A$33,0)),0)</f>
        <v>3.853</v>
      </c>
      <c r="P2014" s="83" t="n">
        <f aca="false">N2014*O2014</f>
        <v>183.4028</v>
      </c>
      <c r="Q2014" s="20" t="s">
        <v>2087</v>
      </c>
      <c r="R2014" s="84" t="s">
        <v>660</v>
      </c>
      <c r="S2014" s="20" t="s">
        <v>832</v>
      </c>
      <c r="T2014" s="20" t="s">
        <v>123</v>
      </c>
      <c r="U2014" s="53" t="n">
        <v>0</v>
      </c>
      <c r="V2014" s="76" t="s">
        <v>1026</v>
      </c>
      <c r="W2014" s="53" t="n">
        <v>5</v>
      </c>
    </row>
    <row r="2015" customFormat="false" ht="35.05" hidden="false" customHeight="false" outlineLevel="0" collapsed="false">
      <c r="A2015" s="76" t="n">
        <v>1973</v>
      </c>
      <c r="B2015" s="20" t="s">
        <v>1838</v>
      </c>
      <c r="C2015" s="20" t="s">
        <v>1021</v>
      </c>
      <c r="D2015" s="20" t="s">
        <v>1043</v>
      </c>
      <c r="E2015" s="20" t="s">
        <v>1044</v>
      </c>
      <c r="F2015" s="76" t="s">
        <v>522</v>
      </c>
      <c r="G2015" s="20" t="s">
        <v>1045</v>
      </c>
      <c r="H2015" s="55" t="n">
        <v>25</v>
      </c>
      <c r="I2015" s="76" t="s">
        <v>512</v>
      </c>
      <c r="J2015" s="76" t="s">
        <v>164</v>
      </c>
      <c r="K2015" s="82" t="n">
        <v>1</v>
      </c>
      <c r="L2015" s="55" t="n">
        <v>4</v>
      </c>
      <c r="M2015" s="73" t="n">
        <v>3.785</v>
      </c>
      <c r="N2015" s="74" t="n">
        <f aca="false">K2015*L2015*M2015</f>
        <v>15.14</v>
      </c>
      <c r="O2015" s="41" t="n">
        <f aca="false">IFERROR(INDEX(Исходные!$B$21:$B$33,MATCH(H2015,Исходные!$A$21:$A$33,0)),0)</f>
        <v>3.853</v>
      </c>
      <c r="P2015" s="83" t="n">
        <f aca="false">N2015*O2015</f>
        <v>58.33442</v>
      </c>
      <c r="Q2015" s="20" t="s">
        <v>2088</v>
      </c>
      <c r="R2015" s="84" t="s">
        <v>660</v>
      </c>
      <c r="S2015" s="20"/>
      <c r="T2015" s="20" t="s">
        <v>123</v>
      </c>
      <c r="U2015" s="53" t="n">
        <v>0</v>
      </c>
      <c r="V2015" s="76" t="s">
        <v>1026</v>
      </c>
      <c r="W2015" s="53" t="n">
        <v>5</v>
      </c>
    </row>
    <row r="2016" customFormat="false" ht="35.05" hidden="false" customHeight="false" outlineLevel="0" collapsed="false">
      <c r="A2016" s="76" t="n">
        <v>1974</v>
      </c>
      <c r="B2016" s="20" t="s">
        <v>1838</v>
      </c>
      <c r="C2016" s="20" t="s">
        <v>1021</v>
      </c>
      <c r="D2016" s="20" t="s">
        <v>1047</v>
      </c>
      <c r="E2016" s="20" t="s">
        <v>1044</v>
      </c>
      <c r="F2016" s="76" t="s">
        <v>522</v>
      </c>
      <c r="G2016" s="20" t="s">
        <v>1048</v>
      </c>
      <c r="H2016" s="55" t="n">
        <v>25</v>
      </c>
      <c r="I2016" s="76" t="s">
        <v>512</v>
      </c>
      <c r="J2016" s="76" t="s">
        <v>164</v>
      </c>
      <c r="K2016" s="82" t="n">
        <v>1</v>
      </c>
      <c r="L2016" s="55" t="n">
        <v>4</v>
      </c>
      <c r="M2016" s="73" t="n">
        <v>3.365</v>
      </c>
      <c r="N2016" s="74" t="n">
        <f aca="false">K2016*L2016*M2016</f>
        <v>13.46</v>
      </c>
      <c r="O2016" s="41" t="n">
        <f aca="false">IFERROR(INDEX(Исходные!$B$21:$B$33,MATCH(H2016,Исходные!$A$21:$A$33,0)),0)</f>
        <v>3.853</v>
      </c>
      <c r="P2016" s="83" t="n">
        <f aca="false">N2016*O2016</f>
        <v>51.86138</v>
      </c>
      <c r="Q2016" s="20" t="s">
        <v>2088</v>
      </c>
      <c r="R2016" s="84" t="s">
        <v>660</v>
      </c>
      <c r="S2016" s="20"/>
      <c r="T2016" s="20" t="s">
        <v>123</v>
      </c>
      <c r="U2016" s="53" t="n">
        <v>0</v>
      </c>
      <c r="V2016" s="76" t="s">
        <v>1026</v>
      </c>
      <c r="W2016" s="53" t="n">
        <v>5</v>
      </c>
    </row>
    <row r="2017" customFormat="false" ht="35.05" hidden="false" customHeight="false" outlineLevel="0" collapsed="false">
      <c r="A2017" s="76" t="n">
        <v>1975</v>
      </c>
      <c r="B2017" s="20" t="s">
        <v>1838</v>
      </c>
      <c r="C2017" s="20" t="s">
        <v>1021</v>
      </c>
      <c r="D2017" s="20" t="s">
        <v>1049</v>
      </c>
      <c r="E2017" s="20" t="s">
        <v>1050</v>
      </c>
      <c r="F2017" s="76" t="s">
        <v>516</v>
      </c>
      <c r="G2017" s="20" t="s">
        <v>1051</v>
      </c>
      <c r="H2017" s="55" t="n">
        <v>20</v>
      </c>
      <c r="I2017" s="76" t="s">
        <v>512</v>
      </c>
      <c r="J2017" s="76" t="s">
        <v>164</v>
      </c>
      <c r="K2017" s="82" t="n">
        <v>1</v>
      </c>
      <c r="L2017" s="55" t="n">
        <v>4</v>
      </c>
      <c r="M2017" s="73" t="n">
        <v>3.05</v>
      </c>
      <c r="N2017" s="74" t="n">
        <f aca="false">K2017*L2017*M2017</f>
        <v>12.2</v>
      </c>
      <c r="O2017" s="41" t="n">
        <f aca="false">IFERROR(INDEX(Исходные!$B$21:$B$33,MATCH(H2017,Исходные!$A$21:$A$33,0)),0)</f>
        <v>2.466</v>
      </c>
      <c r="P2017" s="83" t="n">
        <f aca="false">N2017*O2017</f>
        <v>30.0852</v>
      </c>
      <c r="Q2017" s="20" t="s">
        <v>2089</v>
      </c>
      <c r="R2017" s="84" t="s">
        <v>660</v>
      </c>
      <c r="S2017" s="20"/>
      <c r="T2017" s="20" t="s">
        <v>123</v>
      </c>
      <c r="U2017" s="53" t="n">
        <v>0</v>
      </c>
      <c r="V2017" s="76" t="s">
        <v>1026</v>
      </c>
      <c r="W2017" s="53" t="n">
        <v>5</v>
      </c>
    </row>
    <row r="2018" customFormat="false" ht="35.05" hidden="false" customHeight="false" outlineLevel="0" collapsed="false">
      <c r="A2018" s="76" t="n">
        <v>1976</v>
      </c>
      <c r="B2018" s="20" t="s">
        <v>1838</v>
      </c>
      <c r="C2018" s="20" t="s">
        <v>1021</v>
      </c>
      <c r="D2018" s="20" t="s">
        <v>1053</v>
      </c>
      <c r="E2018" s="20" t="s">
        <v>1050</v>
      </c>
      <c r="F2018" s="76" t="s">
        <v>516</v>
      </c>
      <c r="G2018" s="20" t="s">
        <v>1054</v>
      </c>
      <c r="H2018" s="55" t="n">
        <v>20</v>
      </c>
      <c r="I2018" s="76" t="s">
        <v>512</v>
      </c>
      <c r="J2018" s="76" t="s">
        <v>164</v>
      </c>
      <c r="K2018" s="82" t="n">
        <v>1</v>
      </c>
      <c r="L2018" s="55" t="n">
        <v>4</v>
      </c>
      <c r="M2018" s="73" t="n">
        <v>3.785</v>
      </c>
      <c r="N2018" s="74" t="n">
        <f aca="false">K2018*L2018*M2018</f>
        <v>15.14</v>
      </c>
      <c r="O2018" s="41" t="n">
        <f aca="false">IFERROR(INDEX(Исходные!$B$21:$B$33,MATCH(H2018,Исходные!$A$21:$A$33,0)),0)</f>
        <v>2.466</v>
      </c>
      <c r="P2018" s="83" t="n">
        <f aca="false">N2018*O2018</f>
        <v>37.33524</v>
      </c>
      <c r="Q2018" s="20" t="s">
        <v>2089</v>
      </c>
      <c r="R2018" s="84" t="s">
        <v>660</v>
      </c>
      <c r="S2018" s="20"/>
      <c r="T2018" s="20" t="s">
        <v>123</v>
      </c>
      <c r="U2018" s="53" t="n">
        <v>0</v>
      </c>
      <c r="V2018" s="76" t="s">
        <v>1026</v>
      </c>
      <c r="W2018" s="53" t="n">
        <v>5</v>
      </c>
    </row>
    <row r="2019" customFormat="false" ht="35.05" hidden="false" customHeight="false" outlineLevel="0" collapsed="false">
      <c r="A2019" s="76" t="n">
        <v>1977</v>
      </c>
      <c r="B2019" s="20" t="s">
        <v>1838</v>
      </c>
      <c r="C2019" s="20" t="s">
        <v>1021</v>
      </c>
      <c r="D2019" s="20" t="s">
        <v>1055</v>
      </c>
      <c r="E2019" s="20" t="s">
        <v>1050</v>
      </c>
      <c r="F2019" s="76" t="s">
        <v>516</v>
      </c>
      <c r="G2019" s="20" t="s">
        <v>1056</v>
      </c>
      <c r="H2019" s="55" t="n">
        <v>20</v>
      </c>
      <c r="I2019" s="76" t="s">
        <v>512</v>
      </c>
      <c r="J2019" s="76" t="s">
        <v>164</v>
      </c>
      <c r="K2019" s="82" t="n">
        <v>1</v>
      </c>
      <c r="L2019" s="55" t="n">
        <v>4</v>
      </c>
      <c r="M2019" s="73" t="n">
        <v>4.1</v>
      </c>
      <c r="N2019" s="74" t="n">
        <f aca="false">K2019*L2019*M2019</f>
        <v>16.4</v>
      </c>
      <c r="O2019" s="41" t="n">
        <f aca="false">IFERROR(INDEX(Исходные!$B$21:$B$33,MATCH(H2019,Исходные!$A$21:$A$33,0)),0)</f>
        <v>2.466</v>
      </c>
      <c r="P2019" s="83" t="n">
        <f aca="false">N2019*O2019</f>
        <v>40.4424</v>
      </c>
      <c r="Q2019" s="20" t="s">
        <v>2089</v>
      </c>
      <c r="R2019" s="84" t="s">
        <v>660</v>
      </c>
      <c r="S2019" s="20"/>
      <c r="T2019" s="20" t="s">
        <v>123</v>
      </c>
      <c r="U2019" s="53" t="n">
        <v>0</v>
      </c>
      <c r="V2019" s="76" t="s">
        <v>1026</v>
      </c>
      <c r="W2019" s="53" t="n">
        <v>5</v>
      </c>
    </row>
    <row r="2020" customFormat="false" ht="35.05" hidden="false" customHeight="false" outlineLevel="0" collapsed="false">
      <c r="A2020" s="76" t="n">
        <v>1978</v>
      </c>
      <c r="B2020" s="20" t="s">
        <v>1838</v>
      </c>
      <c r="C2020" s="20" t="s">
        <v>1021</v>
      </c>
      <c r="D2020" s="20" t="s">
        <v>1057</v>
      </c>
      <c r="E2020" s="20" t="s">
        <v>1050</v>
      </c>
      <c r="F2020" s="76" t="s">
        <v>516</v>
      </c>
      <c r="G2020" s="20" t="s">
        <v>1058</v>
      </c>
      <c r="H2020" s="55" t="n">
        <v>20</v>
      </c>
      <c r="I2020" s="76" t="s">
        <v>512</v>
      </c>
      <c r="J2020" s="76" t="s">
        <v>164</v>
      </c>
      <c r="K2020" s="82" t="n">
        <v>1</v>
      </c>
      <c r="L2020" s="55" t="n">
        <v>4</v>
      </c>
      <c r="M2020" s="73" t="n">
        <v>3.325</v>
      </c>
      <c r="N2020" s="74" t="n">
        <f aca="false">K2020*L2020*M2020</f>
        <v>13.3</v>
      </c>
      <c r="O2020" s="41" t="n">
        <f aca="false">IFERROR(INDEX(Исходные!$B$21:$B$33,MATCH(H2020,Исходные!$A$21:$A$33,0)),0)</f>
        <v>2.466</v>
      </c>
      <c r="P2020" s="83" t="n">
        <f aca="false">N2020*O2020</f>
        <v>32.7978</v>
      </c>
      <c r="Q2020" s="20" t="s">
        <v>2089</v>
      </c>
      <c r="R2020" s="84" t="s">
        <v>660</v>
      </c>
      <c r="S2020" s="20"/>
      <c r="T2020" s="20" t="s">
        <v>123</v>
      </c>
      <c r="U2020" s="53" t="n">
        <v>0</v>
      </c>
      <c r="V2020" s="76" t="s">
        <v>1026</v>
      </c>
      <c r="W2020" s="53" t="n">
        <v>5</v>
      </c>
    </row>
    <row r="2021" customFormat="false" ht="35.05" hidden="false" customHeight="false" outlineLevel="0" collapsed="false">
      <c r="A2021" s="76" t="n">
        <v>1979</v>
      </c>
      <c r="B2021" s="20" t="s">
        <v>1838</v>
      </c>
      <c r="C2021" s="20" t="s">
        <v>1021</v>
      </c>
      <c r="D2021" s="20" t="s">
        <v>2090</v>
      </c>
      <c r="E2021" s="20" t="s">
        <v>1050</v>
      </c>
      <c r="F2021" s="76" t="s">
        <v>516</v>
      </c>
      <c r="G2021" s="20" t="s">
        <v>1468</v>
      </c>
      <c r="H2021" s="55" t="n">
        <v>20</v>
      </c>
      <c r="I2021" s="76" t="s">
        <v>512</v>
      </c>
      <c r="J2021" s="76" t="s">
        <v>164</v>
      </c>
      <c r="K2021" s="82" t="n">
        <v>1</v>
      </c>
      <c r="L2021" s="55" t="n">
        <v>4</v>
      </c>
      <c r="M2021" s="73" t="n">
        <v>3.78</v>
      </c>
      <c r="N2021" s="74" t="n">
        <f aca="false">K2021*L2021*M2021</f>
        <v>15.12</v>
      </c>
      <c r="O2021" s="41" t="n">
        <f aca="false">IFERROR(INDEX(Исходные!$B$21:$B$33,MATCH(H2021,Исходные!$A$21:$A$33,0)),0)</f>
        <v>2.466</v>
      </c>
      <c r="P2021" s="83" t="n">
        <f aca="false">N2021*O2021</f>
        <v>37.28592</v>
      </c>
      <c r="Q2021" s="20" t="s">
        <v>2089</v>
      </c>
      <c r="R2021" s="84" t="s">
        <v>660</v>
      </c>
      <c r="S2021" s="20"/>
      <c r="T2021" s="20" t="s">
        <v>123</v>
      </c>
      <c r="U2021" s="53" t="n">
        <v>0</v>
      </c>
      <c r="V2021" s="76" t="s">
        <v>1026</v>
      </c>
      <c r="W2021" s="53" t="n">
        <v>5</v>
      </c>
    </row>
    <row r="2022" customFormat="false" ht="46.25" hidden="false" customHeight="false" outlineLevel="0" collapsed="false">
      <c r="A2022" s="76" t="n">
        <v>1980</v>
      </c>
      <c r="B2022" s="20" t="s">
        <v>1838</v>
      </c>
      <c r="C2022" s="20" t="s">
        <v>1021</v>
      </c>
      <c r="D2022" s="20" t="s">
        <v>1469</v>
      </c>
      <c r="E2022" s="20" t="s">
        <v>1050</v>
      </c>
      <c r="F2022" s="76" t="s">
        <v>516</v>
      </c>
      <c r="G2022" s="20" t="s">
        <v>1470</v>
      </c>
      <c r="H2022" s="55" t="n">
        <v>20</v>
      </c>
      <c r="I2022" s="76" t="s">
        <v>512</v>
      </c>
      <c r="J2022" s="76" t="s">
        <v>164</v>
      </c>
      <c r="K2022" s="82" t="n">
        <v>1</v>
      </c>
      <c r="L2022" s="55" t="n">
        <v>4</v>
      </c>
      <c r="M2022" s="73" t="n">
        <v>3.59</v>
      </c>
      <c r="N2022" s="74" t="n">
        <f aca="false">K2022*L2022*M2022</f>
        <v>14.36</v>
      </c>
      <c r="O2022" s="41" t="n">
        <f aca="false">IFERROR(INDEX(Исходные!$B$21:$B$33,MATCH(H2022,Исходные!$A$21:$A$33,0)),0)</f>
        <v>2.466</v>
      </c>
      <c r="P2022" s="83" t="n">
        <f aca="false">N2022*O2022</f>
        <v>35.41176</v>
      </c>
      <c r="Q2022" s="20" t="s">
        <v>2089</v>
      </c>
      <c r="R2022" s="84" t="s">
        <v>660</v>
      </c>
      <c r="S2022" s="20"/>
      <c r="T2022" s="20" t="s">
        <v>123</v>
      </c>
      <c r="U2022" s="53" t="n">
        <v>0</v>
      </c>
      <c r="V2022" s="76" t="s">
        <v>1026</v>
      </c>
      <c r="W2022" s="53" t="n">
        <v>5</v>
      </c>
    </row>
    <row r="2023" customFormat="false" ht="35.05" hidden="false" customHeight="false" outlineLevel="0" collapsed="false">
      <c r="A2023" s="76" t="n">
        <v>1981</v>
      </c>
      <c r="B2023" s="20" t="s">
        <v>1838</v>
      </c>
      <c r="C2023" s="20" t="s">
        <v>1021</v>
      </c>
      <c r="D2023" s="20" t="s">
        <v>1074</v>
      </c>
      <c r="E2023" s="20" t="s">
        <v>1075</v>
      </c>
      <c r="F2023" s="76" t="s">
        <v>555</v>
      </c>
      <c r="G2023" s="20" t="s">
        <v>1474</v>
      </c>
      <c r="H2023" s="55" t="n">
        <v>8</v>
      </c>
      <c r="I2023" s="76" t="s">
        <v>546</v>
      </c>
      <c r="J2023" s="76" t="s">
        <v>644</v>
      </c>
      <c r="K2023" s="82" t="n">
        <v>1</v>
      </c>
      <c r="L2023" s="55" t="n">
        <v>925</v>
      </c>
      <c r="M2023" s="73" t="n">
        <v>1.24</v>
      </c>
      <c r="N2023" s="74" t="n">
        <f aca="false">K2023*L2023*M2023</f>
        <v>1147</v>
      </c>
      <c r="O2023" s="41" t="n">
        <f aca="false">IFERROR(INDEX(Исходные!$B$21:$B$33,MATCH(H2023,Исходные!$A$21:$A$33,0)),0)</f>
        <v>0.395</v>
      </c>
      <c r="P2023" s="83" t="n">
        <f aca="false">N2023*O2023</f>
        <v>453.065</v>
      </c>
      <c r="Q2023" s="20" t="s">
        <v>1475</v>
      </c>
      <c r="R2023" s="84" t="s">
        <v>514</v>
      </c>
      <c r="S2023" s="20"/>
      <c r="T2023" s="20" t="s">
        <v>123</v>
      </c>
      <c r="U2023" s="53" t="n">
        <v>0</v>
      </c>
      <c r="V2023" s="76" t="s">
        <v>1078</v>
      </c>
      <c r="W2023" s="53" t="n">
        <v>5</v>
      </c>
    </row>
    <row r="2024" customFormat="false" ht="35.05" hidden="false" customHeight="false" outlineLevel="0" collapsed="false">
      <c r="A2024" s="76" t="n">
        <v>1982</v>
      </c>
      <c r="B2024" s="20" t="s">
        <v>1838</v>
      </c>
      <c r="C2024" s="20" t="s">
        <v>1021</v>
      </c>
      <c r="D2024" s="20" t="s">
        <v>1079</v>
      </c>
      <c r="E2024" s="20" t="s">
        <v>1080</v>
      </c>
      <c r="F2024" s="76" t="s">
        <v>555</v>
      </c>
      <c r="G2024" s="20" t="s">
        <v>2091</v>
      </c>
      <c r="H2024" s="55" t="n">
        <v>8</v>
      </c>
      <c r="I2024" s="76" t="s">
        <v>546</v>
      </c>
      <c r="J2024" s="76" t="s">
        <v>644</v>
      </c>
      <c r="K2024" s="82" t="n">
        <v>1</v>
      </c>
      <c r="L2024" s="55" t="n">
        <v>12</v>
      </c>
      <c r="M2024" s="73" t="n">
        <v>1.24</v>
      </c>
      <c r="N2024" s="74" t="n">
        <f aca="false">K2024*L2024*M2024</f>
        <v>14.88</v>
      </c>
      <c r="O2024" s="41" t="n">
        <f aca="false">IFERROR(INDEX(Исходные!$B$21:$B$33,MATCH(H2024,Исходные!$A$21:$A$33,0)),0)</f>
        <v>0.395</v>
      </c>
      <c r="P2024" s="83" t="n">
        <f aca="false">N2024*O2024</f>
        <v>5.8776</v>
      </c>
      <c r="Q2024" s="20" t="s">
        <v>1477</v>
      </c>
      <c r="R2024" s="84" t="s">
        <v>514</v>
      </c>
      <c r="S2024" s="20"/>
      <c r="T2024" s="20" t="s">
        <v>123</v>
      </c>
      <c r="U2024" s="53" t="n">
        <v>0</v>
      </c>
      <c r="V2024" s="76" t="s">
        <v>1078</v>
      </c>
      <c r="W2024" s="53" t="n">
        <v>5</v>
      </c>
    </row>
    <row r="2025" customFormat="false" ht="35.05" hidden="false" customHeight="false" outlineLevel="0" collapsed="false">
      <c r="A2025" s="76" t="n">
        <v>1983</v>
      </c>
      <c r="B2025" s="20" t="s">
        <v>1838</v>
      </c>
      <c r="C2025" s="20" t="s">
        <v>1021</v>
      </c>
      <c r="D2025" s="20" t="s">
        <v>1083</v>
      </c>
      <c r="E2025" s="20" t="s">
        <v>1084</v>
      </c>
      <c r="F2025" s="76" t="s">
        <v>696</v>
      </c>
      <c r="G2025" s="20" t="s">
        <v>2092</v>
      </c>
      <c r="H2025" s="55" t="n">
        <v>8</v>
      </c>
      <c r="I2025" s="76" t="s">
        <v>546</v>
      </c>
      <c r="J2025" s="76" t="s">
        <v>644</v>
      </c>
      <c r="K2025" s="82" t="n">
        <v>1</v>
      </c>
      <c r="L2025" s="55" t="n">
        <v>23</v>
      </c>
      <c r="M2025" s="73" t="n">
        <v>1.44</v>
      </c>
      <c r="N2025" s="74" t="n">
        <f aca="false">K2025*L2025*M2025</f>
        <v>33.12</v>
      </c>
      <c r="O2025" s="41" t="n">
        <f aca="false">IFERROR(INDEX(Исходные!$B$21:$B$33,MATCH(H2025,Исходные!$A$21:$A$33,0)),0)</f>
        <v>0.395</v>
      </c>
      <c r="P2025" s="83" t="n">
        <f aca="false">N2025*O2025</f>
        <v>13.0824</v>
      </c>
      <c r="Q2025" s="20" t="s">
        <v>1479</v>
      </c>
      <c r="R2025" s="84" t="s">
        <v>514</v>
      </c>
      <c r="S2025" s="20"/>
      <c r="T2025" s="20" t="s">
        <v>123</v>
      </c>
      <c r="U2025" s="53" t="n">
        <v>0</v>
      </c>
      <c r="V2025" s="76" t="s">
        <v>1078</v>
      </c>
      <c r="W2025" s="53" t="n">
        <v>5</v>
      </c>
    </row>
    <row r="2026" customFormat="false" ht="35.05" hidden="false" customHeight="false" outlineLevel="0" collapsed="false">
      <c r="A2026" s="76" t="n">
        <v>1984</v>
      </c>
      <c r="B2026" s="20" t="s">
        <v>1838</v>
      </c>
      <c r="C2026" s="20" t="s">
        <v>1021</v>
      </c>
      <c r="D2026" s="20" t="s">
        <v>1087</v>
      </c>
      <c r="E2026" s="20" t="s">
        <v>1088</v>
      </c>
      <c r="F2026" s="76" t="s">
        <v>561</v>
      </c>
      <c r="G2026" s="20" t="s">
        <v>2093</v>
      </c>
      <c r="H2026" s="55" t="n">
        <v>8</v>
      </c>
      <c r="I2026" s="76" t="s">
        <v>546</v>
      </c>
      <c r="J2026" s="76" t="s">
        <v>644</v>
      </c>
      <c r="K2026" s="82" t="n">
        <v>1</v>
      </c>
      <c r="L2026" s="55" t="n">
        <v>122</v>
      </c>
      <c r="M2026" s="73" t="n">
        <v>1.04</v>
      </c>
      <c r="N2026" s="74" t="n">
        <f aca="false">K2026*L2026*M2026</f>
        <v>126.88</v>
      </c>
      <c r="O2026" s="41" t="n">
        <f aca="false">IFERROR(INDEX(Исходные!$B$21:$B$33,MATCH(H2026,Исходные!$A$21:$A$33,0)),0)</f>
        <v>0.395</v>
      </c>
      <c r="P2026" s="83" t="n">
        <f aca="false">N2026*O2026</f>
        <v>50.1176</v>
      </c>
      <c r="Q2026" s="20" t="s">
        <v>1481</v>
      </c>
      <c r="R2026" s="84" t="s">
        <v>514</v>
      </c>
      <c r="S2026" s="20"/>
      <c r="T2026" s="20" t="s">
        <v>123</v>
      </c>
      <c r="U2026" s="53" t="n">
        <v>0</v>
      </c>
      <c r="V2026" s="76" t="s">
        <v>1078</v>
      </c>
      <c r="W2026" s="53" t="n">
        <v>5</v>
      </c>
    </row>
    <row r="2027" customFormat="false" ht="35.05" hidden="false" customHeight="false" outlineLevel="0" collapsed="false">
      <c r="A2027" s="76" t="n">
        <v>1985</v>
      </c>
      <c r="B2027" s="20" t="s">
        <v>1838</v>
      </c>
      <c r="C2027" s="20" t="s">
        <v>1021</v>
      </c>
      <c r="D2027" s="20" t="s">
        <v>2094</v>
      </c>
      <c r="E2027" s="20" t="s">
        <v>2095</v>
      </c>
      <c r="F2027" s="76" t="s">
        <v>2096</v>
      </c>
      <c r="G2027" s="20" t="s">
        <v>2097</v>
      </c>
      <c r="H2027" s="55" t="n">
        <v>10</v>
      </c>
      <c r="I2027" s="76" t="s">
        <v>546</v>
      </c>
      <c r="J2027" s="76" t="n">
        <v>100</v>
      </c>
      <c r="K2027" s="82" t="n">
        <v>1</v>
      </c>
      <c r="L2027" s="55" t="n">
        <v>27</v>
      </c>
      <c r="M2027" s="73" t="n">
        <v>1.14</v>
      </c>
      <c r="N2027" s="74" t="n">
        <f aca="false">K2027*L2027*M2027</f>
        <v>30.78</v>
      </c>
      <c r="O2027" s="41" t="n">
        <f aca="false">IFERROR(INDEX(Исходные!$B$21:$B$33,MATCH(H2027,Исходные!$A$21:$A$33,0)),0)</f>
        <v>0.617</v>
      </c>
      <c r="P2027" s="83" t="n">
        <f aca="false">N2027*O2027</f>
        <v>18.99126</v>
      </c>
      <c r="Q2027" s="20" t="s">
        <v>2098</v>
      </c>
      <c r="R2027" s="85" t="s">
        <v>535</v>
      </c>
      <c r="S2027" s="20"/>
      <c r="T2027" s="20" t="s">
        <v>123</v>
      </c>
      <c r="U2027" s="53" t="n">
        <v>1</v>
      </c>
      <c r="V2027" s="76" t="s">
        <v>1078</v>
      </c>
      <c r="W2027" s="53" t="n">
        <v>5</v>
      </c>
    </row>
    <row r="2028" customFormat="false" ht="46.25" hidden="false" customHeight="false" outlineLevel="0" collapsed="false">
      <c r="A2028" s="76" t="n">
        <v>1986</v>
      </c>
      <c r="B2028" s="20" t="s">
        <v>1838</v>
      </c>
      <c r="C2028" s="20" t="s">
        <v>1021</v>
      </c>
      <c r="D2028" s="20" t="s">
        <v>2099</v>
      </c>
      <c r="E2028" s="20" t="s">
        <v>2100</v>
      </c>
      <c r="F2028" s="76" t="s">
        <v>696</v>
      </c>
      <c r="G2028" s="20" t="s">
        <v>2101</v>
      </c>
      <c r="H2028" s="55" t="n">
        <v>8</v>
      </c>
      <c r="I2028" s="76" t="s">
        <v>546</v>
      </c>
      <c r="J2028" s="76" t="n">
        <v>50</v>
      </c>
      <c r="K2028" s="82" t="n">
        <v>1</v>
      </c>
      <c r="L2028" s="55" t="n">
        <v>60</v>
      </c>
      <c r="M2028" s="73" t="n">
        <v>1.44</v>
      </c>
      <c r="N2028" s="74" t="n">
        <f aca="false">K2028*L2028*M2028</f>
        <v>86.4</v>
      </c>
      <c r="O2028" s="41" t="n">
        <f aca="false">IFERROR(INDEX(Исходные!$B$21:$B$33,MATCH(H2028,Исходные!$A$21:$A$33,0)),0)</f>
        <v>0.395</v>
      </c>
      <c r="P2028" s="83" t="n">
        <f aca="false">N2028*O2028</f>
        <v>34.128</v>
      </c>
      <c r="Q2028" s="20" t="s">
        <v>2102</v>
      </c>
      <c r="R2028" s="85" t="s">
        <v>535</v>
      </c>
      <c r="S2028" s="20"/>
      <c r="T2028" s="20" t="s">
        <v>123</v>
      </c>
      <c r="U2028" s="53" t="n">
        <v>1</v>
      </c>
      <c r="V2028" s="76" t="s">
        <v>1078</v>
      </c>
      <c r="W2028" s="53" t="n">
        <v>5</v>
      </c>
    </row>
    <row r="2029" customFormat="false" ht="46.25" hidden="false" customHeight="false" outlineLevel="0" collapsed="false">
      <c r="A2029" s="76" t="n">
        <v>1987</v>
      </c>
      <c r="B2029" s="20" t="s">
        <v>1838</v>
      </c>
      <c r="C2029" s="20" t="s">
        <v>1021</v>
      </c>
      <c r="D2029" s="20" t="s">
        <v>2103</v>
      </c>
      <c r="E2029" s="20" t="s">
        <v>2104</v>
      </c>
      <c r="F2029" s="76" t="s">
        <v>2105</v>
      </c>
      <c r="G2029" s="20" t="s">
        <v>2106</v>
      </c>
      <c r="H2029" s="55" t="n">
        <v>10</v>
      </c>
      <c r="I2029" s="76" t="s">
        <v>546</v>
      </c>
      <c r="J2029" s="76" t="n">
        <v>50</v>
      </c>
      <c r="K2029" s="82" t="n">
        <v>1</v>
      </c>
      <c r="L2029" s="55" t="n">
        <v>31</v>
      </c>
      <c r="M2029" s="73" t="n">
        <v>1.04</v>
      </c>
      <c r="N2029" s="74" t="n">
        <f aca="false">K2029*L2029*M2029</f>
        <v>32.24</v>
      </c>
      <c r="O2029" s="41" t="n">
        <f aca="false">IFERROR(INDEX(Исходные!$B$21:$B$33,MATCH(H2029,Исходные!$A$21:$A$33,0)),0)</f>
        <v>0.617</v>
      </c>
      <c r="P2029" s="83" t="n">
        <f aca="false">N2029*O2029</f>
        <v>19.89208</v>
      </c>
      <c r="Q2029" s="20" t="s">
        <v>2107</v>
      </c>
      <c r="R2029" s="85" t="s">
        <v>535</v>
      </c>
      <c r="S2029" s="20"/>
      <c r="T2029" s="20" t="s">
        <v>123</v>
      </c>
      <c r="U2029" s="53" t="n">
        <v>1</v>
      </c>
      <c r="V2029" s="76" t="s">
        <v>1078</v>
      </c>
      <c r="W2029" s="53" t="n">
        <v>5</v>
      </c>
    </row>
    <row r="2030" customFormat="false" ht="35.05" hidden="false" customHeight="false" outlineLevel="0" collapsed="false">
      <c r="A2030" s="76" t="n">
        <v>1988</v>
      </c>
      <c r="B2030" s="20" t="s">
        <v>1838</v>
      </c>
      <c r="C2030" s="20" t="s">
        <v>1021</v>
      </c>
      <c r="D2030" s="20" t="s">
        <v>2108</v>
      </c>
      <c r="E2030" s="20" t="s">
        <v>2095</v>
      </c>
      <c r="F2030" s="76" t="s">
        <v>2096</v>
      </c>
      <c r="G2030" s="20" t="s">
        <v>2109</v>
      </c>
      <c r="H2030" s="55" t="n">
        <v>10</v>
      </c>
      <c r="I2030" s="76" t="s">
        <v>546</v>
      </c>
      <c r="J2030" s="76" t="n">
        <v>50</v>
      </c>
      <c r="K2030" s="82" t="n">
        <v>1</v>
      </c>
      <c r="L2030" s="55" t="n">
        <v>31</v>
      </c>
      <c r="M2030" s="73" t="n">
        <v>1.14</v>
      </c>
      <c r="N2030" s="74" t="n">
        <f aca="false">K2030*L2030*M2030</f>
        <v>35.34</v>
      </c>
      <c r="O2030" s="41" t="n">
        <f aca="false">IFERROR(INDEX(Исходные!$B$21:$B$33,MATCH(H2030,Исходные!$A$21:$A$33,0)),0)</f>
        <v>0.617</v>
      </c>
      <c r="P2030" s="83" t="n">
        <f aca="false">N2030*O2030</f>
        <v>21.80478</v>
      </c>
      <c r="Q2030" s="20" t="s">
        <v>2110</v>
      </c>
      <c r="R2030" s="85" t="s">
        <v>535</v>
      </c>
      <c r="S2030" s="20"/>
      <c r="T2030" s="20" t="s">
        <v>123</v>
      </c>
      <c r="U2030" s="53" t="n">
        <v>1</v>
      </c>
      <c r="V2030" s="76" t="s">
        <v>1078</v>
      </c>
      <c r="W2030" s="53" t="n">
        <v>5</v>
      </c>
    </row>
    <row r="2031" customFormat="false" ht="15" hidden="false" customHeight="true" outlineLevel="0" collapsed="false">
      <c r="A2031" s="81" t="s">
        <v>2111</v>
      </c>
      <c r="B2031" s="81"/>
      <c r="C2031" s="81"/>
      <c r="D2031" s="81"/>
      <c r="E2031" s="81"/>
      <c r="F2031" s="81"/>
      <c r="G2031" s="81"/>
      <c r="H2031" s="81"/>
      <c r="I2031" s="81"/>
      <c r="J2031" s="81"/>
      <c r="K2031" s="81"/>
      <c r="L2031" s="81"/>
      <c r="M2031" s="81"/>
      <c r="N2031" s="81"/>
      <c r="O2031" s="81"/>
      <c r="P2031" s="81"/>
      <c r="Q2031" s="81"/>
      <c r="R2031" s="81"/>
      <c r="S2031" s="81"/>
      <c r="T2031" s="81"/>
      <c r="U2031" s="81"/>
      <c r="V2031" s="81"/>
      <c r="W2031" s="81"/>
    </row>
    <row r="2032" customFormat="false" ht="46.25" hidden="false" customHeight="false" outlineLevel="0" collapsed="false">
      <c r="A2032" s="76" t="n">
        <v>1989</v>
      </c>
      <c r="B2032" s="20" t="s">
        <v>1838</v>
      </c>
      <c r="C2032" s="20" t="s">
        <v>1096</v>
      </c>
      <c r="D2032" s="20" t="s">
        <v>2112</v>
      </c>
      <c r="E2032" s="20" t="s">
        <v>140</v>
      </c>
      <c r="F2032" s="76" t="s">
        <v>510</v>
      </c>
      <c r="G2032" s="20" t="s">
        <v>2113</v>
      </c>
      <c r="H2032" s="55" t="n">
        <v>10</v>
      </c>
      <c r="I2032" s="76" t="s">
        <v>512</v>
      </c>
      <c r="J2032" s="76" t="n">
        <v>90</v>
      </c>
      <c r="K2032" s="82" t="n">
        <v>200</v>
      </c>
      <c r="L2032" s="55" t="n">
        <v>7</v>
      </c>
      <c r="M2032" s="73" t="n">
        <v>0.57</v>
      </c>
      <c r="N2032" s="74" t="n">
        <f aca="false">K2032*L2032*M2032</f>
        <v>798</v>
      </c>
      <c r="O2032" s="41" t="n">
        <f aca="false">IFERROR(INDEX(Исходные!$B$21:$B$33,MATCH(H2032,Исходные!$A$21:$A$33,0)),0)</f>
        <v>0.617</v>
      </c>
      <c r="P2032" s="83" t="n">
        <f aca="false">N2032*O2032</f>
        <v>492.366</v>
      </c>
      <c r="Q2032" s="20" t="s">
        <v>2114</v>
      </c>
      <c r="R2032" s="85" t="s">
        <v>638</v>
      </c>
      <c r="S2032" s="20"/>
      <c r="T2032" s="20" t="s">
        <v>123</v>
      </c>
      <c r="U2032" s="53" t="n">
        <v>1</v>
      </c>
      <c r="V2032" s="76" t="s">
        <v>140</v>
      </c>
      <c r="W2032" s="53" t="n">
        <v>5</v>
      </c>
    </row>
    <row r="2033" customFormat="false" ht="15" hidden="false" customHeight="true" outlineLevel="0" collapsed="false">
      <c r="A2033" s="81" t="s">
        <v>2115</v>
      </c>
      <c r="B2033" s="81"/>
      <c r="C2033" s="81"/>
      <c r="D2033" s="81"/>
      <c r="E2033" s="81"/>
      <c r="F2033" s="81"/>
      <c r="G2033" s="81"/>
      <c r="H2033" s="81"/>
      <c r="I2033" s="81"/>
      <c r="J2033" s="81"/>
      <c r="K2033" s="81"/>
      <c r="L2033" s="81"/>
      <c r="M2033" s="81"/>
      <c r="N2033" s="81"/>
      <c r="O2033" s="81"/>
      <c r="P2033" s="81"/>
      <c r="Q2033" s="81"/>
      <c r="R2033" s="81"/>
      <c r="S2033" s="81"/>
      <c r="T2033" s="81"/>
      <c r="U2033" s="81"/>
      <c r="V2033" s="81"/>
      <c r="W2033" s="81"/>
    </row>
    <row r="2034" customFormat="false" ht="35.05" hidden="false" customHeight="false" outlineLevel="0" collapsed="false">
      <c r="A2034" s="76" t="n">
        <v>1990</v>
      </c>
      <c r="B2034" s="20" t="s">
        <v>1838</v>
      </c>
      <c r="C2034" s="20" t="s">
        <v>1101</v>
      </c>
      <c r="D2034" s="20" t="s">
        <v>1102</v>
      </c>
      <c r="E2034" s="20" t="s">
        <v>2116</v>
      </c>
      <c r="F2034" s="76" t="s">
        <v>510</v>
      </c>
      <c r="G2034" s="20" t="s">
        <v>2117</v>
      </c>
      <c r="H2034" s="55" t="n">
        <v>18</v>
      </c>
      <c r="I2034" s="76" t="s">
        <v>512</v>
      </c>
      <c r="J2034" s="76" t="n">
        <v>150</v>
      </c>
      <c r="K2034" s="82" t="n">
        <v>1</v>
      </c>
      <c r="L2034" s="55" t="n">
        <v>18</v>
      </c>
      <c r="M2034" s="73" t="n">
        <v>6.109</v>
      </c>
      <c r="N2034" s="74" t="n">
        <f aca="false">K2034*L2034*M2034</f>
        <v>109.962</v>
      </c>
      <c r="O2034" s="41" t="n">
        <f aca="false">IFERROR(INDEX(Исходные!$B$21:$B$33,MATCH(H2034,Исходные!$A$21:$A$33,0)),0)</f>
        <v>1.998</v>
      </c>
      <c r="P2034" s="83" t="n">
        <f aca="false">N2034*O2034</f>
        <v>219.704076</v>
      </c>
      <c r="Q2034" s="20" t="s">
        <v>2118</v>
      </c>
      <c r="R2034" s="85" t="s">
        <v>535</v>
      </c>
      <c r="S2034" s="20" t="s">
        <v>1491</v>
      </c>
      <c r="T2034" s="20" t="s">
        <v>124</v>
      </c>
      <c r="U2034" s="53" t="n">
        <v>1</v>
      </c>
      <c r="V2034" s="76" t="s">
        <v>141</v>
      </c>
      <c r="W2034" s="53" t="n">
        <v>5</v>
      </c>
    </row>
    <row r="2035" customFormat="false" ht="35.05" hidden="false" customHeight="false" outlineLevel="0" collapsed="false">
      <c r="A2035" s="76" t="n">
        <v>1991</v>
      </c>
      <c r="B2035" s="20" t="s">
        <v>1838</v>
      </c>
      <c r="C2035" s="20" t="s">
        <v>1101</v>
      </c>
      <c r="D2035" s="20" t="s">
        <v>1107</v>
      </c>
      <c r="E2035" s="20" t="s">
        <v>2116</v>
      </c>
      <c r="F2035" s="76" t="s">
        <v>519</v>
      </c>
      <c r="G2035" s="20" t="s">
        <v>1492</v>
      </c>
      <c r="H2035" s="55" t="n">
        <v>10</v>
      </c>
      <c r="I2035" s="76" t="s">
        <v>512</v>
      </c>
      <c r="J2035" s="76" t="s">
        <v>1109</v>
      </c>
      <c r="K2035" s="82" t="n">
        <v>1</v>
      </c>
      <c r="L2035" s="55" t="n">
        <v>60</v>
      </c>
      <c r="M2035" s="73" t="n">
        <v>1.19</v>
      </c>
      <c r="N2035" s="74" t="n">
        <f aca="false">K2035*L2035*M2035</f>
        <v>71.4</v>
      </c>
      <c r="O2035" s="41" t="n">
        <f aca="false">IFERROR(INDEX(Исходные!$B$21:$B$33,MATCH(H2035,Исходные!$A$21:$A$33,0)),0)</f>
        <v>0.617</v>
      </c>
      <c r="P2035" s="83" t="n">
        <f aca="false">N2035*O2035</f>
        <v>44.0538</v>
      </c>
      <c r="Q2035" s="20" t="s">
        <v>1493</v>
      </c>
      <c r="R2035" s="84" t="s">
        <v>514</v>
      </c>
      <c r="S2035" s="20" t="s">
        <v>1494</v>
      </c>
      <c r="T2035" s="20" t="s">
        <v>124</v>
      </c>
      <c r="U2035" s="53" t="n">
        <v>0</v>
      </c>
      <c r="V2035" s="76" t="s">
        <v>141</v>
      </c>
      <c r="W2035" s="53" t="n">
        <v>5</v>
      </c>
    </row>
    <row r="2036" customFormat="false" ht="35.05" hidden="false" customHeight="false" outlineLevel="0" collapsed="false">
      <c r="A2036" s="76" t="n">
        <v>1992</v>
      </c>
      <c r="B2036" s="20" t="s">
        <v>1838</v>
      </c>
      <c r="C2036" s="20" t="s">
        <v>1101</v>
      </c>
      <c r="D2036" s="20" t="s">
        <v>1107</v>
      </c>
      <c r="E2036" s="20" t="s">
        <v>2116</v>
      </c>
      <c r="F2036" s="76" t="s">
        <v>575</v>
      </c>
      <c r="G2036" s="20" t="s">
        <v>1495</v>
      </c>
      <c r="H2036" s="55" t="n">
        <v>10</v>
      </c>
      <c r="I2036" s="76" t="s">
        <v>546</v>
      </c>
      <c r="J2036" s="76" t="s">
        <v>1109</v>
      </c>
      <c r="K2036" s="82" t="n">
        <v>1</v>
      </c>
      <c r="L2036" s="55" t="n">
        <v>60</v>
      </c>
      <c r="M2036" s="73" t="n">
        <v>0.52</v>
      </c>
      <c r="N2036" s="74" t="n">
        <f aca="false">K2036*L2036*M2036</f>
        <v>31.2</v>
      </c>
      <c r="O2036" s="41" t="n">
        <f aca="false">IFERROR(INDEX(Исходные!$B$21:$B$33,MATCH(H2036,Исходные!$A$21:$A$33,0)),0)</f>
        <v>0.617</v>
      </c>
      <c r="P2036" s="83" t="n">
        <f aca="false">N2036*O2036</f>
        <v>19.2504</v>
      </c>
      <c r="Q2036" s="20" t="s">
        <v>1496</v>
      </c>
      <c r="R2036" s="84" t="s">
        <v>514</v>
      </c>
      <c r="S2036" s="20"/>
      <c r="T2036" s="20" t="s">
        <v>124</v>
      </c>
      <c r="U2036" s="53" t="n">
        <v>0</v>
      </c>
      <c r="V2036" s="76" t="s">
        <v>141</v>
      </c>
      <c r="W2036" s="53" t="n">
        <v>5</v>
      </c>
    </row>
    <row r="2037" customFormat="false" ht="35.05" hidden="false" customHeight="false" outlineLevel="0" collapsed="false">
      <c r="A2037" s="76" t="n">
        <v>1993</v>
      </c>
      <c r="B2037" s="20" t="s">
        <v>1838</v>
      </c>
      <c r="C2037" s="20" t="s">
        <v>1101</v>
      </c>
      <c r="D2037" s="20" t="s">
        <v>1107</v>
      </c>
      <c r="E2037" s="20" t="s">
        <v>2116</v>
      </c>
      <c r="F2037" s="76" t="s">
        <v>522</v>
      </c>
      <c r="G2037" s="20" t="s">
        <v>1139</v>
      </c>
      <c r="H2037" s="55" t="n">
        <v>6</v>
      </c>
      <c r="I2037" s="76" t="s">
        <v>546</v>
      </c>
      <c r="J2037" s="76" t="s">
        <v>1115</v>
      </c>
      <c r="K2037" s="82" t="n">
        <v>1</v>
      </c>
      <c r="L2037" s="55" t="n">
        <v>38</v>
      </c>
      <c r="M2037" s="73" t="n">
        <v>0.28</v>
      </c>
      <c r="N2037" s="74" t="n">
        <f aca="false">K2037*L2037*M2037</f>
        <v>10.64</v>
      </c>
      <c r="O2037" s="41" t="n">
        <f aca="false">IFERROR(INDEX(Исходные!$B$21:$B$33,MATCH(H2037,Исходные!$A$21:$A$33,0)),0)</f>
        <v>0.222</v>
      </c>
      <c r="P2037" s="83" t="n">
        <f aca="false">N2037*O2037</f>
        <v>2.36208</v>
      </c>
      <c r="Q2037" s="20" t="s">
        <v>1497</v>
      </c>
      <c r="R2037" s="85" t="s">
        <v>638</v>
      </c>
      <c r="S2037" s="20" t="s">
        <v>1498</v>
      </c>
      <c r="T2037" s="20" t="s">
        <v>124</v>
      </c>
      <c r="U2037" s="53" t="n">
        <v>1</v>
      </c>
      <c r="V2037" s="76" t="s">
        <v>141</v>
      </c>
      <c r="W2037" s="53" t="n">
        <v>5</v>
      </c>
    </row>
    <row r="2038" customFormat="false" ht="35.05" hidden="false" customHeight="false" outlineLevel="0" collapsed="false">
      <c r="A2038" s="76" t="n">
        <v>1994</v>
      </c>
      <c r="B2038" s="20" t="s">
        <v>1838</v>
      </c>
      <c r="C2038" s="20" t="s">
        <v>1101</v>
      </c>
      <c r="D2038" s="20" t="s">
        <v>1107</v>
      </c>
      <c r="E2038" s="20" t="s">
        <v>2116</v>
      </c>
      <c r="F2038" s="76" t="s">
        <v>140</v>
      </c>
      <c r="G2038" s="20" t="s">
        <v>1499</v>
      </c>
      <c r="H2038" s="55" t="n">
        <v>5</v>
      </c>
      <c r="I2038" s="76" t="s">
        <v>1119</v>
      </c>
      <c r="J2038" s="76" t="s">
        <v>1120</v>
      </c>
      <c r="K2038" s="82" t="n">
        <v>6.38</v>
      </c>
      <c r="L2038" s="55" t="n">
        <v>20</v>
      </c>
      <c r="M2038" s="73" t="n">
        <v>1</v>
      </c>
      <c r="N2038" s="74" t="n">
        <f aca="false">K2038*L2038*M2038</f>
        <v>127.6</v>
      </c>
      <c r="O2038" s="41" t="n">
        <f aca="false">IFERROR(INDEX(Исходные!$B$21:$B$33,MATCH(H2038,Исходные!$A$21:$A$33,0)),0)</f>
        <v>0.154</v>
      </c>
      <c r="P2038" s="83" t="n">
        <f aca="false">N2038*O2038</f>
        <v>19.6504</v>
      </c>
      <c r="Q2038" s="20" t="s">
        <v>1500</v>
      </c>
      <c r="R2038" s="85" t="s">
        <v>535</v>
      </c>
      <c r="S2038" s="20" t="s">
        <v>1501</v>
      </c>
      <c r="T2038" s="20" t="s">
        <v>124</v>
      </c>
      <c r="U2038" s="53" t="n">
        <v>1</v>
      </c>
      <c r="V2038" s="76" t="s">
        <v>141</v>
      </c>
      <c r="W2038" s="53" t="n">
        <v>5</v>
      </c>
    </row>
    <row r="2039" customFormat="false" ht="35.05" hidden="false" customHeight="false" outlineLevel="0" collapsed="false">
      <c r="A2039" s="76" t="n">
        <v>1995</v>
      </c>
      <c r="B2039" s="20" t="s">
        <v>1838</v>
      </c>
      <c r="C2039" s="20" t="s">
        <v>1101</v>
      </c>
      <c r="D2039" s="20" t="s">
        <v>1102</v>
      </c>
      <c r="E2039" s="20" t="s">
        <v>2119</v>
      </c>
      <c r="F2039" s="76" t="s">
        <v>510</v>
      </c>
      <c r="G2039" s="20" t="s">
        <v>2120</v>
      </c>
      <c r="H2039" s="55" t="n">
        <v>18</v>
      </c>
      <c r="I2039" s="76" t="s">
        <v>512</v>
      </c>
      <c r="J2039" s="76" t="n">
        <v>150</v>
      </c>
      <c r="K2039" s="82" t="n">
        <v>1</v>
      </c>
      <c r="L2039" s="55" t="n">
        <v>18</v>
      </c>
      <c r="M2039" s="73" t="n">
        <v>6.109</v>
      </c>
      <c r="N2039" s="74" t="n">
        <f aca="false">K2039*L2039*M2039</f>
        <v>109.962</v>
      </c>
      <c r="O2039" s="41" t="n">
        <f aca="false">IFERROR(INDEX(Исходные!$B$21:$B$33,MATCH(H2039,Исходные!$A$21:$A$33,0)),0)</f>
        <v>1.998</v>
      </c>
      <c r="P2039" s="83" t="n">
        <f aca="false">N2039*O2039</f>
        <v>219.704076</v>
      </c>
      <c r="Q2039" s="20" t="s">
        <v>2118</v>
      </c>
      <c r="R2039" s="85" t="s">
        <v>535</v>
      </c>
      <c r="S2039" s="20" t="s">
        <v>1491</v>
      </c>
      <c r="T2039" s="20" t="s">
        <v>124</v>
      </c>
      <c r="U2039" s="53" t="n">
        <v>1</v>
      </c>
      <c r="V2039" s="76" t="s">
        <v>142</v>
      </c>
      <c r="W2039" s="53" t="n">
        <v>5</v>
      </c>
    </row>
    <row r="2040" customFormat="false" ht="35.05" hidden="false" customHeight="false" outlineLevel="0" collapsed="false">
      <c r="A2040" s="76" t="n">
        <v>1996</v>
      </c>
      <c r="B2040" s="20" t="s">
        <v>1838</v>
      </c>
      <c r="C2040" s="20" t="s">
        <v>1101</v>
      </c>
      <c r="D2040" s="20" t="s">
        <v>1107</v>
      </c>
      <c r="E2040" s="20" t="s">
        <v>2119</v>
      </c>
      <c r="F2040" s="76" t="s">
        <v>519</v>
      </c>
      <c r="G2040" s="20" t="s">
        <v>1492</v>
      </c>
      <c r="H2040" s="55" t="n">
        <v>10</v>
      </c>
      <c r="I2040" s="76" t="s">
        <v>512</v>
      </c>
      <c r="J2040" s="76" t="s">
        <v>1109</v>
      </c>
      <c r="K2040" s="82" t="n">
        <v>1</v>
      </c>
      <c r="L2040" s="55" t="n">
        <v>60</v>
      </c>
      <c r="M2040" s="73" t="n">
        <v>1.19</v>
      </c>
      <c r="N2040" s="74" t="n">
        <f aca="false">K2040*L2040*M2040</f>
        <v>71.4</v>
      </c>
      <c r="O2040" s="41" t="n">
        <f aca="false">IFERROR(INDEX(Исходные!$B$21:$B$33,MATCH(H2040,Исходные!$A$21:$A$33,0)),0)</f>
        <v>0.617</v>
      </c>
      <c r="P2040" s="83" t="n">
        <f aca="false">N2040*O2040</f>
        <v>44.0538</v>
      </c>
      <c r="Q2040" s="20" t="s">
        <v>1493</v>
      </c>
      <c r="R2040" s="84" t="s">
        <v>514</v>
      </c>
      <c r="S2040" s="20" t="s">
        <v>1494</v>
      </c>
      <c r="T2040" s="20" t="s">
        <v>124</v>
      </c>
      <c r="U2040" s="53" t="n">
        <v>0</v>
      </c>
      <c r="V2040" s="76" t="s">
        <v>142</v>
      </c>
      <c r="W2040" s="53" t="n">
        <v>5</v>
      </c>
    </row>
    <row r="2041" customFormat="false" ht="35.05" hidden="false" customHeight="false" outlineLevel="0" collapsed="false">
      <c r="A2041" s="76" t="n">
        <v>1997</v>
      </c>
      <c r="B2041" s="20" t="s">
        <v>1838</v>
      </c>
      <c r="C2041" s="20" t="s">
        <v>1101</v>
      </c>
      <c r="D2041" s="20" t="s">
        <v>1107</v>
      </c>
      <c r="E2041" s="20" t="s">
        <v>2119</v>
      </c>
      <c r="F2041" s="76" t="s">
        <v>575</v>
      </c>
      <c r="G2041" s="20" t="s">
        <v>1495</v>
      </c>
      <c r="H2041" s="55" t="n">
        <v>10</v>
      </c>
      <c r="I2041" s="76" t="s">
        <v>546</v>
      </c>
      <c r="J2041" s="76" t="s">
        <v>1109</v>
      </c>
      <c r="K2041" s="82" t="n">
        <v>1</v>
      </c>
      <c r="L2041" s="55" t="n">
        <v>60</v>
      </c>
      <c r="M2041" s="73" t="n">
        <v>0.52</v>
      </c>
      <c r="N2041" s="74" t="n">
        <f aca="false">K2041*L2041*M2041</f>
        <v>31.2</v>
      </c>
      <c r="O2041" s="41" t="n">
        <f aca="false">IFERROR(INDEX(Исходные!$B$21:$B$33,MATCH(H2041,Исходные!$A$21:$A$33,0)),0)</f>
        <v>0.617</v>
      </c>
      <c r="P2041" s="83" t="n">
        <f aca="false">N2041*O2041</f>
        <v>19.2504</v>
      </c>
      <c r="Q2041" s="20" t="s">
        <v>1496</v>
      </c>
      <c r="R2041" s="84" t="s">
        <v>514</v>
      </c>
      <c r="S2041" s="20"/>
      <c r="T2041" s="20" t="s">
        <v>124</v>
      </c>
      <c r="U2041" s="53" t="n">
        <v>0</v>
      </c>
      <c r="V2041" s="76" t="s">
        <v>142</v>
      </c>
      <c r="W2041" s="53" t="n">
        <v>5</v>
      </c>
    </row>
    <row r="2042" customFormat="false" ht="35.05" hidden="false" customHeight="false" outlineLevel="0" collapsed="false">
      <c r="A2042" s="76" t="n">
        <v>1998</v>
      </c>
      <c r="B2042" s="20" t="s">
        <v>1838</v>
      </c>
      <c r="C2042" s="20" t="s">
        <v>1101</v>
      </c>
      <c r="D2042" s="20" t="s">
        <v>1107</v>
      </c>
      <c r="E2042" s="20" t="s">
        <v>2119</v>
      </c>
      <c r="F2042" s="76" t="s">
        <v>522</v>
      </c>
      <c r="G2042" s="20" t="s">
        <v>1139</v>
      </c>
      <c r="H2042" s="55" t="n">
        <v>6</v>
      </c>
      <c r="I2042" s="76" t="s">
        <v>546</v>
      </c>
      <c r="J2042" s="76" t="s">
        <v>1115</v>
      </c>
      <c r="K2042" s="82" t="n">
        <v>1</v>
      </c>
      <c r="L2042" s="55" t="n">
        <v>38</v>
      </c>
      <c r="M2042" s="73" t="n">
        <v>0.28</v>
      </c>
      <c r="N2042" s="74" t="n">
        <f aca="false">K2042*L2042*M2042</f>
        <v>10.64</v>
      </c>
      <c r="O2042" s="41" t="n">
        <f aca="false">IFERROR(INDEX(Исходные!$B$21:$B$33,MATCH(H2042,Исходные!$A$21:$A$33,0)),0)</f>
        <v>0.222</v>
      </c>
      <c r="P2042" s="83" t="n">
        <f aca="false">N2042*O2042</f>
        <v>2.36208</v>
      </c>
      <c r="Q2042" s="20" t="s">
        <v>1497</v>
      </c>
      <c r="R2042" s="85" t="s">
        <v>638</v>
      </c>
      <c r="S2042" s="20" t="s">
        <v>1498</v>
      </c>
      <c r="T2042" s="20" t="s">
        <v>124</v>
      </c>
      <c r="U2042" s="53" t="n">
        <v>1</v>
      </c>
      <c r="V2042" s="76" t="s">
        <v>142</v>
      </c>
      <c r="W2042" s="53" t="n">
        <v>5</v>
      </c>
    </row>
    <row r="2043" customFormat="false" ht="35.05" hidden="false" customHeight="false" outlineLevel="0" collapsed="false">
      <c r="A2043" s="76" t="n">
        <v>1999</v>
      </c>
      <c r="B2043" s="20" t="s">
        <v>1838</v>
      </c>
      <c r="C2043" s="20" t="s">
        <v>1101</v>
      </c>
      <c r="D2043" s="20" t="s">
        <v>1107</v>
      </c>
      <c r="E2043" s="20" t="s">
        <v>2119</v>
      </c>
      <c r="F2043" s="76" t="s">
        <v>140</v>
      </c>
      <c r="G2043" s="20" t="s">
        <v>1499</v>
      </c>
      <c r="H2043" s="55" t="n">
        <v>5</v>
      </c>
      <c r="I2043" s="76" t="s">
        <v>1119</v>
      </c>
      <c r="J2043" s="76" t="s">
        <v>1120</v>
      </c>
      <c r="K2043" s="82" t="n">
        <v>6.38</v>
      </c>
      <c r="L2043" s="55" t="n">
        <v>20</v>
      </c>
      <c r="M2043" s="73" t="n">
        <v>1</v>
      </c>
      <c r="N2043" s="74" t="n">
        <f aca="false">K2043*L2043*M2043</f>
        <v>127.6</v>
      </c>
      <c r="O2043" s="41" t="n">
        <f aca="false">IFERROR(INDEX(Исходные!$B$21:$B$33,MATCH(H2043,Исходные!$A$21:$A$33,0)),0)</f>
        <v>0.154</v>
      </c>
      <c r="P2043" s="83" t="n">
        <f aca="false">N2043*O2043</f>
        <v>19.6504</v>
      </c>
      <c r="Q2043" s="20" t="s">
        <v>1500</v>
      </c>
      <c r="R2043" s="85" t="s">
        <v>535</v>
      </c>
      <c r="S2043" s="20" t="s">
        <v>1501</v>
      </c>
      <c r="T2043" s="20" t="s">
        <v>124</v>
      </c>
      <c r="U2043" s="53" t="n">
        <v>1</v>
      </c>
      <c r="V2043" s="76" t="s">
        <v>142</v>
      </c>
      <c r="W2043" s="53" t="n">
        <v>5</v>
      </c>
    </row>
    <row r="2044" customFormat="false" ht="35.05" hidden="false" customHeight="false" outlineLevel="0" collapsed="false">
      <c r="A2044" s="76" t="n">
        <v>2000</v>
      </c>
      <c r="B2044" s="20" t="s">
        <v>1838</v>
      </c>
      <c r="C2044" s="20" t="s">
        <v>1101</v>
      </c>
      <c r="D2044" s="20" t="s">
        <v>2121</v>
      </c>
      <c r="E2044" s="20" t="s">
        <v>2122</v>
      </c>
      <c r="F2044" s="76" t="s">
        <v>519</v>
      </c>
      <c r="G2044" s="20" t="s">
        <v>1506</v>
      </c>
      <c r="H2044" s="55" t="n">
        <v>10</v>
      </c>
      <c r="I2044" s="76" t="s">
        <v>512</v>
      </c>
      <c r="J2044" s="76" t="n">
        <v>100</v>
      </c>
      <c r="K2044" s="82" t="n">
        <v>2</v>
      </c>
      <c r="L2044" s="55" t="n">
        <v>28</v>
      </c>
      <c r="M2044" s="73" t="n">
        <v>1.19</v>
      </c>
      <c r="N2044" s="74" t="n">
        <f aca="false">K2044*L2044*M2044</f>
        <v>66.64</v>
      </c>
      <c r="O2044" s="41" t="n">
        <f aca="false">IFERROR(INDEX(Исходные!$B$21:$B$33,MATCH(H2044,Исходные!$A$21:$A$33,0)),0)</f>
        <v>0.617</v>
      </c>
      <c r="P2044" s="83" t="n">
        <f aca="false">N2044*O2044</f>
        <v>41.11688</v>
      </c>
      <c r="Q2044" s="20" t="s">
        <v>1507</v>
      </c>
      <c r="R2044" s="84" t="s">
        <v>514</v>
      </c>
      <c r="S2044" s="20"/>
      <c r="T2044" s="20" t="s">
        <v>124</v>
      </c>
      <c r="U2044" s="53" t="n">
        <v>0</v>
      </c>
      <c r="V2044" s="76" t="s">
        <v>1134</v>
      </c>
      <c r="W2044" s="53" t="n">
        <v>5</v>
      </c>
    </row>
    <row r="2045" customFormat="false" ht="35.05" hidden="false" customHeight="false" outlineLevel="0" collapsed="false">
      <c r="A2045" s="76" t="n">
        <v>2001</v>
      </c>
      <c r="B2045" s="20" t="s">
        <v>1838</v>
      </c>
      <c r="C2045" s="20" t="s">
        <v>1101</v>
      </c>
      <c r="D2045" s="20" t="s">
        <v>2121</v>
      </c>
      <c r="E2045" s="20" t="s">
        <v>2122</v>
      </c>
      <c r="F2045" s="76" t="s">
        <v>575</v>
      </c>
      <c r="G2045" s="20" t="s">
        <v>1508</v>
      </c>
      <c r="H2045" s="55" t="n">
        <v>10</v>
      </c>
      <c r="I2045" s="76" t="s">
        <v>546</v>
      </c>
      <c r="J2045" s="76" t="n">
        <v>100</v>
      </c>
      <c r="K2045" s="82" t="n">
        <v>2</v>
      </c>
      <c r="L2045" s="55" t="n">
        <v>28</v>
      </c>
      <c r="M2045" s="73" t="n">
        <v>0.52</v>
      </c>
      <c r="N2045" s="74" t="n">
        <f aca="false">K2045*L2045*M2045</f>
        <v>29.12</v>
      </c>
      <c r="O2045" s="41" t="n">
        <f aca="false">IFERROR(INDEX(Исходные!$B$21:$B$33,MATCH(H2045,Исходные!$A$21:$A$33,0)),0)</f>
        <v>0.617</v>
      </c>
      <c r="P2045" s="83" t="n">
        <f aca="false">N2045*O2045</f>
        <v>17.96704</v>
      </c>
      <c r="Q2045" s="20" t="s">
        <v>1136</v>
      </c>
      <c r="R2045" s="84" t="s">
        <v>514</v>
      </c>
      <c r="S2045" s="20"/>
      <c r="T2045" s="20" t="s">
        <v>124</v>
      </c>
      <c r="U2045" s="53" t="n">
        <v>0</v>
      </c>
      <c r="V2045" s="76" t="s">
        <v>1134</v>
      </c>
      <c r="W2045" s="53" t="n">
        <v>5</v>
      </c>
    </row>
    <row r="2046" customFormat="false" ht="35.05" hidden="false" customHeight="false" outlineLevel="0" collapsed="false">
      <c r="A2046" s="76" t="n">
        <v>2002</v>
      </c>
      <c r="B2046" s="20" t="s">
        <v>1838</v>
      </c>
      <c r="C2046" s="20" t="s">
        <v>1101</v>
      </c>
      <c r="D2046" s="20" t="s">
        <v>2121</v>
      </c>
      <c r="E2046" s="20" t="s">
        <v>2122</v>
      </c>
      <c r="F2046" s="76" t="s">
        <v>516</v>
      </c>
      <c r="G2046" s="20" t="s">
        <v>1509</v>
      </c>
      <c r="H2046" s="55" t="n">
        <v>10</v>
      </c>
      <c r="I2046" s="76" t="s">
        <v>512</v>
      </c>
      <c r="J2046" s="76" t="n">
        <v>100</v>
      </c>
      <c r="K2046" s="82" t="n">
        <v>1</v>
      </c>
      <c r="L2046" s="55" t="n">
        <v>28</v>
      </c>
      <c r="M2046" s="73" t="n">
        <v>0.6</v>
      </c>
      <c r="N2046" s="74" t="n">
        <f aca="false">K2046*L2046*M2046</f>
        <v>16.8</v>
      </c>
      <c r="O2046" s="41" t="n">
        <f aca="false">IFERROR(INDEX(Исходные!$B$21:$B$33,MATCH(H2046,Исходные!$A$21:$A$33,0)),0)</f>
        <v>0.617</v>
      </c>
      <c r="P2046" s="83" t="n">
        <f aca="false">N2046*O2046</f>
        <v>10.3656</v>
      </c>
      <c r="Q2046" s="20" t="s">
        <v>1510</v>
      </c>
      <c r="R2046" s="84" t="s">
        <v>514</v>
      </c>
      <c r="S2046" s="20"/>
      <c r="T2046" s="20" t="s">
        <v>124</v>
      </c>
      <c r="U2046" s="53" t="n">
        <v>0</v>
      </c>
      <c r="V2046" s="76" t="s">
        <v>1134</v>
      </c>
      <c r="W2046" s="53" t="n">
        <v>5</v>
      </c>
    </row>
    <row r="2047" customFormat="false" ht="35.05" hidden="false" customHeight="false" outlineLevel="0" collapsed="false">
      <c r="A2047" s="76" t="n">
        <v>2003</v>
      </c>
      <c r="B2047" s="20" t="s">
        <v>1838</v>
      </c>
      <c r="C2047" s="20" t="s">
        <v>1101</v>
      </c>
      <c r="D2047" s="20" t="s">
        <v>2121</v>
      </c>
      <c r="E2047" s="20" t="s">
        <v>2122</v>
      </c>
      <c r="F2047" s="76" t="s">
        <v>522</v>
      </c>
      <c r="G2047" s="20" t="s">
        <v>1511</v>
      </c>
      <c r="H2047" s="55" t="n">
        <v>6</v>
      </c>
      <c r="I2047" s="76" t="s">
        <v>546</v>
      </c>
      <c r="J2047" s="76" t="s">
        <v>1115</v>
      </c>
      <c r="K2047" s="82" t="n">
        <v>1</v>
      </c>
      <c r="L2047" s="55" t="n">
        <v>28</v>
      </c>
      <c r="M2047" s="73" t="n">
        <v>0.28</v>
      </c>
      <c r="N2047" s="74" t="n">
        <f aca="false">K2047*L2047*M2047</f>
        <v>7.84</v>
      </c>
      <c r="O2047" s="41" t="n">
        <f aca="false">IFERROR(INDEX(Исходные!$B$21:$B$33,MATCH(H2047,Исходные!$A$21:$A$33,0)),0)</f>
        <v>0.222</v>
      </c>
      <c r="P2047" s="83" t="n">
        <f aca="false">N2047*O2047</f>
        <v>1.74048</v>
      </c>
      <c r="Q2047" s="20" t="s">
        <v>1140</v>
      </c>
      <c r="R2047" s="85" t="s">
        <v>638</v>
      </c>
      <c r="S2047" s="20"/>
      <c r="T2047" s="20" t="s">
        <v>124</v>
      </c>
      <c r="U2047" s="53" t="n">
        <v>1</v>
      </c>
      <c r="V2047" s="76" t="s">
        <v>1134</v>
      </c>
      <c r="W2047" s="53" t="n">
        <v>5</v>
      </c>
    </row>
    <row r="2048" customFormat="false" ht="35.05" hidden="false" customHeight="false" outlineLevel="0" collapsed="false">
      <c r="A2048" s="76" t="n">
        <v>2004</v>
      </c>
      <c r="B2048" s="20" t="s">
        <v>1838</v>
      </c>
      <c r="C2048" s="20" t="s">
        <v>1101</v>
      </c>
      <c r="D2048" s="20" t="s">
        <v>2121</v>
      </c>
      <c r="E2048" s="20" t="s">
        <v>2122</v>
      </c>
      <c r="F2048" s="76" t="s">
        <v>1142</v>
      </c>
      <c r="G2048" s="20" t="s">
        <v>1512</v>
      </c>
      <c r="H2048" s="55" t="n">
        <v>10</v>
      </c>
      <c r="I2048" s="76" t="s">
        <v>512</v>
      </c>
      <c r="J2048" s="76" t="s">
        <v>164</v>
      </c>
      <c r="K2048" s="82" t="n">
        <v>2</v>
      </c>
      <c r="L2048" s="55" t="n">
        <v>4</v>
      </c>
      <c r="M2048" s="73" t="n">
        <v>0.48</v>
      </c>
      <c r="N2048" s="74" t="n">
        <f aca="false">K2048*L2048*M2048</f>
        <v>3.84</v>
      </c>
      <c r="O2048" s="41" t="n">
        <f aca="false">IFERROR(INDEX(Исходные!$B$21:$B$33,MATCH(H2048,Исходные!$A$21:$A$33,0)),0)</f>
        <v>0.617</v>
      </c>
      <c r="P2048" s="83" t="n">
        <f aca="false">N2048*O2048</f>
        <v>2.36928</v>
      </c>
      <c r="Q2048" s="20" t="s">
        <v>1513</v>
      </c>
      <c r="R2048" s="85" t="s">
        <v>638</v>
      </c>
      <c r="S2048" s="20"/>
      <c r="T2048" s="20" t="s">
        <v>124</v>
      </c>
      <c r="U2048" s="53" t="n">
        <v>1</v>
      </c>
      <c r="V2048" s="76" t="s">
        <v>1134</v>
      </c>
      <c r="W2048" s="53" t="n">
        <v>5</v>
      </c>
    </row>
    <row r="2049" customFormat="false" ht="35.05" hidden="false" customHeight="false" outlineLevel="0" collapsed="false">
      <c r="A2049" s="76" t="n">
        <v>2005</v>
      </c>
      <c r="B2049" s="20" t="s">
        <v>1838</v>
      </c>
      <c r="C2049" s="20" t="s">
        <v>1101</v>
      </c>
      <c r="D2049" s="20" t="s">
        <v>1146</v>
      </c>
      <c r="E2049" s="20" t="s">
        <v>220</v>
      </c>
      <c r="F2049" s="76" t="s">
        <v>510</v>
      </c>
      <c r="G2049" s="20" t="s">
        <v>1147</v>
      </c>
      <c r="H2049" s="55" t="n">
        <v>25</v>
      </c>
      <c r="I2049" s="76" t="s">
        <v>512</v>
      </c>
      <c r="J2049" s="76" t="s">
        <v>164</v>
      </c>
      <c r="K2049" s="82" t="n">
        <v>1</v>
      </c>
      <c r="L2049" s="55" t="n">
        <v>4</v>
      </c>
      <c r="M2049" s="73" t="n">
        <v>3.065</v>
      </c>
      <c r="N2049" s="74" t="n">
        <f aca="false">K2049*L2049*M2049</f>
        <v>12.26</v>
      </c>
      <c r="O2049" s="41" t="n">
        <f aca="false">IFERROR(INDEX(Исходные!$B$21:$B$33,MATCH(H2049,Исходные!$A$21:$A$33,0)),0)</f>
        <v>3.853</v>
      </c>
      <c r="P2049" s="83" t="n">
        <f aca="false">N2049*O2049</f>
        <v>47.23778</v>
      </c>
      <c r="Q2049" s="20" t="s">
        <v>1514</v>
      </c>
      <c r="R2049" s="85" t="s">
        <v>535</v>
      </c>
      <c r="S2049" s="20"/>
      <c r="T2049" s="20" t="s">
        <v>124</v>
      </c>
      <c r="U2049" s="53" t="n">
        <v>1</v>
      </c>
      <c r="V2049" s="76" t="s">
        <v>1150</v>
      </c>
      <c r="W2049" s="53" t="n">
        <v>5</v>
      </c>
    </row>
    <row r="2050" customFormat="false" ht="35.05" hidden="false" customHeight="false" outlineLevel="0" collapsed="false">
      <c r="A2050" s="76" t="n">
        <v>2006</v>
      </c>
      <c r="B2050" s="20" t="s">
        <v>1838</v>
      </c>
      <c r="C2050" s="20" t="s">
        <v>1101</v>
      </c>
      <c r="D2050" s="20" t="s">
        <v>1146</v>
      </c>
      <c r="E2050" s="20" t="s">
        <v>220</v>
      </c>
      <c r="F2050" s="76" t="s">
        <v>510</v>
      </c>
      <c r="G2050" s="20" t="s">
        <v>2123</v>
      </c>
      <c r="H2050" s="55" t="n">
        <v>25</v>
      </c>
      <c r="I2050" s="76" t="s">
        <v>512</v>
      </c>
      <c r="J2050" s="76" t="s">
        <v>164</v>
      </c>
      <c r="K2050" s="82" t="n">
        <v>1</v>
      </c>
      <c r="L2050" s="55" t="n">
        <v>4</v>
      </c>
      <c r="M2050" s="73" t="n">
        <v>2.21</v>
      </c>
      <c r="N2050" s="74" t="n">
        <f aca="false">K2050*L2050*M2050</f>
        <v>8.84</v>
      </c>
      <c r="O2050" s="41" t="n">
        <f aca="false">IFERROR(INDEX(Исходные!$B$21:$B$33,MATCH(H2050,Исходные!$A$21:$A$33,0)),0)</f>
        <v>3.853</v>
      </c>
      <c r="P2050" s="83" t="n">
        <f aca="false">N2050*O2050</f>
        <v>34.06052</v>
      </c>
      <c r="Q2050" s="20" t="s">
        <v>2124</v>
      </c>
      <c r="R2050" s="85" t="s">
        <v>535</v>
      </c>
      <c r="S2050" s="20" t="s">
        <v>1517</v>
      </c>
      <c r="T2050" s="20" t="s">
        <v>124</v>
      </c>
      <c r="U2050" s="53" t="n">
        <v>1</v>
      </c>
      <c r="V2050" s="76" t="s">
        <v>1150</v>
      </c>
      <c r="W2050" s="53" t="n">
        <v>5</v>
      </c>
    </row>
    <row r="2051" customFormat="false" ht="35.05" hidden="false" customHeight="false" outlineLevel="0" collapsed="false">
      <c r="A2051" s="76" t="n">
        <v>2007</v>
      </c>
      <c r="B2051" s="20" t="s">
        <v>1838</v>
      </c>
      <c r="C2051" s="20" t="s">
        <v>1101</v>
      </c>
      <c r="D2051" s="20" t="s">
        <v>1154</v>
      </c>
      <c r="E2051" s="20" t="s">
        <v>220</v>
      </c>
      <c r="F2051" s="76" t="s">
        <v>1155</v>
      </c>
      <c r="G2051" s="20" t="s">
        <v>1518</v>
      </c>
      <c r="H2051" s="55" t="n">
        <v>8</v>
      </c>
      <c r="I2051" s="76" t="s">
        <v>546</v>
      </c>
      <c r="J2051" s="76" t="n">
        <v>100</v>
      </c>
      <c r="K2051" s="82" t="n">
        <v>1</v>
      </c>
      <c r="L2051" s="55" t="n">
        <v>14</v>
      </c>
      <c r="M2051" s="73" t="n">
        <v>1.28</v>
      </c>
      <c r="N2051" s="74" t="n">
        <f aca="false">K2051*L2051*M2051</f>
        <v>17.92</v>
      </c>
      <c r="O2051" s="41" t="n">
        <f aca="false">IFERROR(INDEX(Исходные!$B$21:$B$33,MATCH(H2051,Исходные!$A$21:$A$33,0)),0)</f>
        <v>0.395</v>
      </c>
      <c r="P2051" s="83" t="n">
        <f aca="false">N2051*O2051</f>
        <v>7.0784</v>
      </c>
      <c r="Q2051" s="20" t="s">
        <v>1519</v>
      </c>
      <c r="R2051" s="84" t="s">
        <v>514</v>
      </c>
      <c r="S2051" s="20"/>
      <c r="T2051" s="20" t="s">
        <v>124</v>
      </c>
      <c r="U2051" s="53" t="n">
        <v>0</v>
      </c>
      <c r="V2051" s="76" t="s">
        <v>1150</v>
      </c>
      <c r="W2051" s="53" t="n">
        <v>5</v>
      </c>
    </row>
    <row r="2052" customFormat="false" ht="35.05" hidden="false" customHeight="false" outlineLevel="0" collapsed="false">
      <c r="A2052" s="76" t="n">
        <v>2008</v>
      </c>
      <c r="B2052" s="20" t="s">
        <v>1838</v>
      </c>
      <c r="C2052" s="20" t="s">
        <v>1101</v>
      </c>
      <c r="D2052" s="20" t="s">
        <v>1154</v>
      </c>
      <c r="E2052" s="20" t="s">
        <v>220</v>
      </c>
      <c r="F2052" s="76" t="s">
        <v>1158</v>
      </c>
      <c r="G2052" s="20" t="s">
        <v>1520</v>
      </c>
      <c r="H2052" s="55" t="n">
        <v>8</v>
      </c>
      <c r="I2052" s="76" t="s">
        <v>546</v>
      </c>
      <c r="J2052" s="76" t="n">
        <v>100</v>
      </c>
      <c r="K2052" s="82" t="n">
        <v>1</v>
      </c>
      <c r="L2052" s="55" t="n">
        <v>22</v>
      </c>
      <c r="M2052" s="73" t="n">
        <v>1.16</v>
      </c>
      <c r="N2052" s="74" t="n">
        <f aca="false">K2052*L2052*M2052</f>
        <v>25.52</v>
      </c>
      <c r="O2052" s="41" t="n">
        <f aca="false">IFERROR(INDEX(Исходные!$B$21:$B$33,MATCH(H2052,Исходные!$A$21:$A$33,0)),0)</f>
        <v>0.395</v>
      </c>
      <c r="P2052" s="83" t="n">
        <f aca="false">N2052*O2052</f>
        <v>10.0804</v>
      </c>
      <c r="Q2052" s="20" t="s">
        <v>1521</v>
      </c>
      <c r="R2052" s="84" t="s">
        <v>514</v>
      </c>
      <c r="S2052" s="20"/>
      <c r="T2052" s="20" t="s">
        <v>124</v>
      </c>
      <c r="U2052" s="53" t="n">
        <v>0</v>
      </c>
      <c r="V2052" s="76" t="s">
        <v>1150</v>
      </c>
      <c r="W2052" s="53" t="n">
        <v>5</v>
      </c>
    </row>
    <row r="2053" customFormat="false" ht="35.05" hidden="false" customHeight="false" outlineLevel="0" collapsed="false">
      <c r="A2053" s="76" t="n">
        <v>2009</v>
      </c>
      <c r="B2053" s="20" t="s">
        <v>1838</v>
      </c>
      <c r="C2053" s="20" t="s">
        <v>1101</v>
      </c>
      <c r="D2053" s="20" t="s">
        <v>1154</v>
      </c>
      <c r="E2053" s="20" t="s">
        <v>220</v>
      </c>
      <c r="F2053" s="76" t="s">
        <v>1161</v>
      </c>
      <c r="G2053" s="20" t="s">
        <v>1522</v>
      </c>
      <c r="H2053" s="55" t="n">
        <v>16</v>
      </c>
      <c r="I2053" s="76" t="s">
        <v>546</v>
      </c>
      <c r="J2053" s="76" t="s">
        <v>164</v>
      </c>
      <c r="K2053" s="82" t="n">
        <v>1</v>
      </c>
      <c r="L2053" s="55" t="n">
        <v>2</v>
      </c>
      <c r="M2053" s="73" t="n">
        <v>0.42</v>
      </c>
      <c r="N2053" s="74" t="n">
        <f aca="false">K2053*L2053*M2053</f>
        <v>0.84</v>
      </c>
      <c r="O2053" s="41" t="n">
        <f aca="false">IFERROR(INDEX(Исходные!$B$21:$B$33,MATCH(H2053,Исходные!$A$21:$A$33,0)),0)</f>
        <v>1.578</v>
      </c>
      <c r="P2053" s="83" t="n">
        <f aca="false">N2053*O2053</f>
        <v>1.32552</v>
      </c>
      <c r="Q2053" s="20" t="s">
        <v>1523</v>
      </c>
      <c r="R2053" s="85" t="s">
        <v>638</v>
      </c>
      <c r="S2053" s="20"/>
      <c r="T2053" s="20" t="s">
        <v>124</v>
      </c>
      <c r="U2053" s="53" t="n">
        <v>1</v>
      </c>
      <c r="V2053" s="76" t="s">
        <v>1150</v>
      </c>
      <c r="W2053" s="53" t="n">
        <v>5</v>
      </c>
    </row>
    <row r="2054" customFormat="false" ht="15" hidden="false" customHeight="false" outlineLevel="0" collapsed="false">
      <c r="G2054" s="4" t="s">
        <v>2125</v>
      </c>
      <c r="N2054" s="87" t="n">
        <f aca="false">SUMIFS(N5:N2053,W5:W2053,1)</f>
        <v>30004.61</v>
      </c>
      <c r="P2054" s="87" t="n">
        <f aca="false">SUMIFS(P5:P2053,W5:W2053,1)</f>
        <v>32440.35277</v>
      </c>
    </row>
    <row r="2055" customFormat="false" ht="15" hidden="false" customHeight="false" outlineLevel="0" collapsed="false">
      <c r="G2055" s="4" t="s">
        <v>2126</v>
      </c>
      <c r="N2055" s="87" t="n">
        <f aca="false">SUMIFS(N5:N2053,W5:W2053,2)</f>
        <v>29531.714</v>
      </c>
      <c r="P2055" s="87" t="n">
        <f aca="false">SUMIFS(P5:P2053,W5:W2053,2)</f>
        <v>30090.918882</v>
      </c>
    </row>
    <row r="2056" customFormat="false" ht="15" hidden="false" customHeight="false" outlineLevel="0" collapsed="false">
      <c r="G2056" s="4" t="s">
        <v>2127</v>
      </c>
      <c r="N2056" s="87" t="n">
        <f aca="false">SUMIFS(N5:N2053,W5:W2053,3)</f>
        <v>29471.45</v>
      </c>
      <c r="P2056" s="87" t="n">
        <f aca="false">SUMIFS(P5:P2053,W5:W2053,3)</f>
        <v>29589.48803</v>
      </c>
    </row>
    <row r="2057" customFormat="false" ht="15" hidden="false" customHeight="false" outlineLevel="0" collapsed="false">
      <c r="G2057" s="4" t="s">
        <v>2128</v>
      </c>
      <c r="N2057" s="87" t="n">
        <f aca="false">SUMIFS(N5:N2053,W5:W2053,4)</f>
        <v>29435.598</v>
      </c>
      <c r="P2057" s="87" t="n">
        <f aca="false">SUMIFS(P5:P2053,W5:W2053,4)</f>
        <v>28957.123474</v>
      </c>
    </row>
    <row r="2058" customFormat="false" ht="15" hidden="false" customHeight="false" outlineLevel="0" collapsed="false">
      <c r="G2058" s="4" t="s">
        <v>2129</v>
      </c>
      <c r="N2058" s="87" t="n">
        <f aca="false">SUMIFS(N5:N2053,W5:W2053,5)</f>
        <v>26154.27</v>
      </c>
      <c r="P2058" s="87" t="n">
        <f aca="false">SUMIFS(P5:P2053,W5:W2053,5)</f>
        <v>24404.42877</v>
      </c>
    </row>
    <row r="2059" customFormat="false" ht="15" hidden="false" customHeight="false" outlineLevel="0" collapsed="false">
      <c r="G2059" s="4" t="s">
        <v>2130</v>
      </c>
      <c r="N2059" s="87" t="n">
        <f aca="false">SUM(N5:N2053)</f>
        <v>144597.642</v>
      </c>
      <c r="P2059" s="87" t="n">
        <f aca="false">SUM(P5:P2053)</f>
        <v>145482.311926</v>
      </c>
    </row>
  </sheetData>
  <autoFilter ref="A4:W2053"/>
  <mergeCells count="40">
    <mergeCell ref="A5:W5"/>
    <mergeCell ref="A6:W6"/>
    <mergeCell ref="A88:W88"/>
    <mergeCell ref="A105:W105"/>
    <mergeCell ref="A273:W273"/>
    <mergeCell ref="A361:W361"/>
    <mergeCell ref="A395:W395"/>
    <mergeCell ref="A397:W397"/>
    <mergeCell ref="A418:W418"/>
    <mergeCell ref="A419:W419"/>
    <mergeCell ref="A504:W504"/>
    <mergeCell ref="A523:W523"/>
    <mergeCell ref="A701:W701"/>
    <mergeCell ref="A791:W791"/>
    <mergeCell ref="A827:W827"/>
    <mergeCell ref="A829:W829"/>
    <mergeCell ref="A850:W850"/>
    <mergeCell ref="A851:W851"/>
    <mergeCell ref="A937:W937"/>
    <mergeCell ref="A956:W956"/>
    <mergeCell ref="A1128:W1128"/>
    <mergeCell ref="A1218:W1218"/>
    <mergeCell ref="A1254:W1254"/>
    <mergeCell ref="A1256:W1256"/>
    <mergeCell ref="A1277:W1277"/>
    <mergeCell ref="A1278:W1278"/>
    <mergeCell ref="A1366:W1366"/>
    <mergeCell ref="A1385:W1385"/>
    <mergeCell ref="A1548:W1548"/>
    <mergeCell ref="A1638:W1638"/>
    <mergeCell ref="A1674:W1674"/>
    <mergeCell ref="A1676:W1676"/>
    <mergeCell ref="A1697:W1697"/>
    <mergeCell ref="A1698:W1698"/>
    <mergeCell ref="A1805:W1805"/>
    <mergeCell ref="A1840:W1840"/>
    <mergeCell ref="A1952:W1952"/>
    <mergeCell ref="A2006:W2006"/>
    <mergeCell ref="A2031:W2031"/>
    <mergeCell ref="A2033:W20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8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6"/>
    <col collapsed="false" customWidth="true" hidden="false" outlineLevel="0" max="4" min="3" style="0" width="8"/>
    <col collapsed="false" customWidth="true" hidden="false" outlineLevel="0" max="5" min="5" style="0" width="11"/>
    <col collapsed="false" customWidth="true" hidden="false" outlineLevel="0" max="6" min="6" style="0" width="6"/>
    <col collapsed="false" customWidth="true" hidden="false" outlineLevel="0" max="7" min="7" style="0" width="11"/>
    <col collapsed="false" customWidth="true" hidden="false" outlineLevel="0" max="8" min="8" style="0" width="6"/>
    <col collapsed="false" customWidth="true" hidden="false" outlineLevel="0" max="9" min="9" style="0" width="11"/>
    <col collapsed="false" customWidth="true" hidden="false" outlineLevel="0" max="10" min="10" style="0" width="6"/>
    <col collapsed="false" customWidth="true" hidden="false" outlineLevel="0" max="11" min="11" style="0" width="11"/>
    <col collapsed="false" customWidth="true" hidden="false" outlineLevel="0" max="12" min="12" style="0" width="6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false" outlineLevel="0" max="16" min="16" style="0" width="11"/>
    <col collapsed="false" customWidth="true" hidden="false" outlineLevel="0" max="17" min="17" style="0" width="13"/>
    <col collapsed="false" customWidth="true" hidden="false" outlineLevel="0" max="18" min="18" style="0" width="11"/>
  </cols>
  <sheetData>
    <row r="1" customFormat="false" ht="17.35" hidden="false" customHeight="false" outlineLevel="0" collapsed="false">
      <c r="A1" s="58" t="s">
        <v>2131</v>
      </c>
    </row>
    <row r="2" customFormat="false" ht="15" hidden="false" customHeight="false" outlineLevel="0" collapsed="false">
      <c r="A2" s="35" t="s">
        <v>2132</v>
      </c>
    </row>
    <row r="4" customFormat="false" ht="42" hidden="false" customHeight="true" outlineLevel="0" collapsed="false">
      <c r="A4" s="5" t="s">
        <v>2133</v>
      </c>
      <c r="B4" s="5" t="s">
        <v>491</v>
      </c>
      <c r="C4" s="5" t="s">
        <v>492</v>
      </c>
      <c r="D4" s="5" t="s">
        <v>2134</v>
      </c>
      <c r="E4" s="5" t="s">
        <v>2135</v>
      </c>
      <c r="F4" s="5" t="s">
        <v>2136</v>
      </c>
      <c r="G4" s="5" t="s">
        <v>2137</v>
      </c>
      <c r="H4" s="5" t="s">
        <v>2136</v>
      </c>
      <c r="I4" s="5" t="s">
        <v>2138</v>
      </c>
      <c r="J4" s="5" t="s">
        <v>2136</v>
      </c>
      <c r="K4" s="5" t="s">
        <v>2139</v>
      </c>
      <c r="L4" s="5" t="s">
        <v>2136</v>
      </c>
      <c r="M4" s="5" t="s">
        <v>2140</v>
      </c>
      <c r="N4" s="5" t="s">
        <v>2141</v>
      </c>
      <c r="O4" s="5" t="s">
        <v>2142</v>
      </c>
      <c r="P4" s="5" t="s">
        <v>2143</v>
      </c>
      <c r="Q4" s="5" t="s">
        <v>2144</v>
      </c>
      <c r="R4" s="5" t="s">
        <v>2145</v>
      </c>
    </row>
    <row r="5" customFormat="false" ht="15" hidden="false" customHeight="false" outlineLevel="0" collapsed="false">
      <c r="A5" s="53" t="n">
        <v>1</v>
      </c>
      <c r="B5" s="53" t="n">
        <v>32</v>
      </c>
      <c r="C5" s="76" t="s">
        <v>512</v>
      </c>
      <c r="D5" s="53" t="n">
        <v>1</v>
      </c>
      <c r="E5" s="73" t="n">
        <v>4</v>
      </c>
      <c r="F5" s="55" t="n">
        <v>2</v>
      </c>
      <c r="G5" s="73" t="n">
        <v>3.7</v>
      </c>
      <c r="H5" s="55" t="n">
        <v>1</v>
      </c>
      <c r="I5" s="20"/>
      <c r="J5" s="20"/>
      <c r="K5" s="20"/>
      <c r="L5" s="20"/>
      <c r="M5" s="41" t="n">
        <f aca="false">E5*F5+G5*H5+I5*J5+K5*L5</f>
        <v>11.7</v>
      </c>
      <c r="N5" s="41" t="n">
        <f aca="false">Исходные!$B$15-M5</f>
        <v>0</v>
      </c>
      <c r="O5" s="55" t="n">
        <v>6</v>
      </c>
      <c r="P5" s="53" t="n">
        <f aca="false">(F5+H5+J5+L5)*O5</f>
        <v>18</v>
      </c>
      <c r="Q5" s="74" t="n">
        <f aca="false">M5*O5</f>
        <v>70.2</v>
      </c>
      <c r="R5" s="74" t="n">
        <f aca="false">N5*O5</f>
        <v>0</v>
      </c>
    </row>
    <row r="6" customFormat="false" ht="15" hidden="false" customHeight="false" outlineLevel="0" collapsed="false">
      <c r="A6" s="53" t="n">
        <v>1</v>
      </c>
      <c r="B6" s="53" t="n">
        <v>32</v>
      </c>
      <c r="C6" s="76" t="s">
        <v>512</v>
      </c>
      <c r="D6" s="53" t="n">
        <v>2</v>
      </c>
      <c r="E6" s="73" t="n">
        <v>4</v>
      </c>
      <c r="F6" s="55" t="n">
        <v>2</v>
      </c>
      <c r="G6" s="73" t="n">
        <v>3.6</v>
      </c>
      <c r="H6" s="55" t="n">
        <v>1</v>
      </c>
      <c r="I6" s="20"/>
      <c r="J6" s="20"/>
      <c r="K6" s="20"/>
      <c r="L6" s="20"/>
      <c r="M6" s="41" t="n">
        <f aca="false">E6*F6+G6*H6+I6*J6+K6*L6</f>
        <v>11.6</v>
      </c>
      <c r="N6" s="41" t="n">
        <f aca="false">Исходные!$B$15-M6</f>
        <v>0.0999999999999996</v>
      </c>
      <c r="O6" s="55" t="n">
        <v>2</v>
      </c>
      <c r="P6" s="53" t="n">
        <f aca="false">(F6+H6+J6+L6)*O6</f>
        <v>6</v>
      </c>
      <c r="Q6" s="74" t="n">
        <f aca="false">M6*O6</f>
        <v>23.2</v>
      </c>
      <c r="R6" s="74" t="n">
        <f aca="false">N6*O6</f>
        <v>0.199999999999999</v>
      </c>
    </row>
    <row r="7" customFormat="false" ht="15" hidden="false" customHeight="false" outlineLevel="0" collapsed="false">
      <c r="A7" s="53" t="n">
        <v>1</v>
      </c>
      <c r="B7" s="53" t="n">
        <v>32</v>
      </c>
      <c r="C7" s="76" t="s">
        <v>512</v>
      </c>
      <c r="D7" s="53" t="n">
        <v>3</v>
      </c>
      <c r="E7" s="73" t="n">
        <v>7.5</v>
      </c>
      <c r="F7" s="55" t="n">
        <v>1</v>
      </c>
      <c r="G7" s="73" t="n">
        <v>4</v>
      </c>
      <c r="H7" s="55" t="n">
        <v>1</v>
      </c>
      <c r="I7" s="20"/>
      <c r="J7" s="20"/>
      <c r="K7" s="20"/>
      <c r="L7" s="20"/>
      <c r="M7" s="41" t="n">
        <f aca="false">E7*F7+G7*H7+I7*J7+K7*L7</f>
        <v>11.5</v>
      </c>
      <c r="N7" s="41" t="n">
        <f aca="false">Исходные!$B$15-M7</f>
        <v>0.199999999999999</v>
      </c>
      <c r="O7" s="55" t="n">
        <v>2</v>
      </c>
      <c r="P7" s="53" t="n">
        <f aca="false">(F7+H7+J7+L7)*O7</f>
        <v>4</v>
      </c>
      <c r="Q7" s="74" t="n">
        <f aca="false">M7*O7</f>
        <v>23</v>
      </c>
      <c r="R7" s="74" t="n">
        <f aca="false">N7*O7</f>
        <v>0.399999999999999</v>
      </c>
    </row>
    <row r="8" customFormat="false" ht="15" hidden="false" customHeight="false" outlineLevel="0" collapsed="false">
      <c r="A8" s="53" t="n">
        <v>1</v>
      </c>
      <c r="B8" s="53" t="n">
        <v>32</v>
      </c>
      <c r="C8" s="76" t="s">
        <v>512</v>
      </c>
      <c r="D8" s="53" t="n">
        <v>4</v>
      </c>
      <c r="E8" s="73" t="n">
        <v>4.3</v>
      </c>
      <c r="F8" s="55" t="n">
        <v>2</v>
      </c>
      <c r="G8" s="73" t="n">
        <v>2.85</v>
      </c>
      <c r="H8" s="55" t="n">
        <v>1</v>
      </c>
      <c r="I8" s="20"/>
      <c r="J8" s="20"/>
      <c r="K8" s="20"/>
      <c r="L8" s="20"/>
      <c r="M8" s="41" t="n">
        <f aca="false">E8*F8+G8*H8+I8*J8+K8*L8</f>
        <v>11.45</v>
      </c>
      <c r="N8" s="41" t="n">
        <f aca="false">Исходные!$B$15-M8</f>
        <v>0.25</v>
      </c>
      <c r="O8" s="55" t="n">
        <v>1</v>
      </c>
      <c r="P8" s="53" t="n">
        <f aca="false">(F8+H8+J8+L8)*O8</f>
        <v>3</v>
      </c>
      <c r="Q8" s="74" t="n">
        <f aca="false">M8*O8</f>
        <v>11.45</v>
      </c>
      <c r="R8" s="74" t="n">
        <f aca="false">N8*O8</f>
        <v>0.25</v>
      </c>
    </row>
    <row r="9" customFormat="false" ht="15" hidden="false" customHeight="false" outlineLevel="0" collapsed="false">
      <c r="A9" s="53" t="n">
        <v>1</v>
      </c>
      <c r="B9" s="53" t="n">
        <v>32</v>
      </c>
      <c r="C9" s="76" t="s">
        <v>512</v>
      </c>
      <c r="D9" s="53" t="n">
        <v>5</v>
      </c>
      <c r="E9" s="73" t="n">
        <v>4</v>
      </c>
      <c r="F9" s="55" t="n">
        <v>2</v>
      </c>
      <c r="G9" s="73" t="n">
        <v>3.4</v>
      </c>
      <c r="H9" s="55" t="n">
        <v>1</v>
      </c>
      <c r="I9" s="20"/>
      <c r="J9" s="20"/>
      <c r="K9" s="20"/>
      <c r="L9" s="20"/>
      <c r="M9" s="41" t="n">
        <f aca="false">E9*F9+G9*H9+I9*J9+K9*L9</f>
        <v>11.4</v>
      </c>
      <c r="N9" s="41" t="n">
        <f aca="false">Исходные!$B$15-M9</f>
        <v>0.299999999999999</v>
      </c>
      <c r="O9" s="55" t="n">
        <v>2</v>
      </c>
      <c r="P9" s="53" t="n">
        <f aca="false">(F9+H9+J9+L9)*O9</f>
        <v>6</v>
      </c>
      <c r="Q9" s="74" t="n">
        <f aca="false">M9*O9</f>
        <v>22.8</v>
      </c>
      <c r="R9" s="74" t="n">
        <f aca="false">N9*O9</f>
        <v>0.599999999999998</v>
      </c>
    </row>
    <row r="10" customFormat="false" ht="15" hidden="false" customHeight="false" outlineLevel="0" collapsed="false">
      <c r="A10" s="53" t="n">
        <v>1</v>
      </c>
      <c r="B10" s="53" t="n">
        <v>32</v>
      </c>
      <c r="C10" s="76" t="s">
        <v>512</v>
      </c>
      <c r="D10" s="53" t="n">
        <v>6</v>
      </c>
      <c r="E10" s="73" t="n">
        <v>3.8</v>
      </c>
      <c r="F10" s="55" t="n">
        <v>3</v>
      </c>
      <c r="G10" s="20"/>
      <c r="H10" s="20"/>
      <c r="I10" s="20"/>
      <c r="J10" s="20"/>
      <c r="K10" s="20"/>
      <c r="L10" s="20"/>
      <c r="M10" s="41" t="n">
        <f aca="false">E10*F10+G10*H10+I10*J10+K10*L10</f>
        <v>11.4</v>
      </c>
      <c r="N10" s="41" t="n">
        <f aca="false">Исходные!$B$15-M10</f>
        <v>0.300000000000001</v>
      </c>
      <c r="O10" s="55" t="n">
        <v>1</v>
      </c>
      <c r="P10" s="53" t="n">
        <f aca="false">(F10+H10+J10+L10)*O10</f>
        <v>3</v>
      </c>
      <c r="Q10" s="74" t="n">
        <f aca="false">M10*O10</f>
        <v>11.4</v>
      </c>
      <c r="R10" s="74" t="n">
        <f aca="false">N10*O10</f>
        <v>0.300000000000001</v>
      </c>
    </row>
    <row r="11" customFormat="false" ht="15" hidden="false" customHeight="false" outlineLevel="0" collapsed="false">
      <c r="A11" s="53" t="n">
        <v>1</v>
      </c>
      <c r="B11" s="53" t="n">
        <v>32</v>
      </c>
      <c r="C11" s="76" t="s">
        <v>512</v>
      </c>
      <c r="D11" s="53" t="n">
        <v>7</v>
      </c>
      <c r="E11" s="73" t="n">
        <v>4</v>
      </c>
      <c r="F11" s="55" t="n">
        <v>2</v>
      </c>
      <c r="G11" s="73" t="n">
        <v>3.3</v>
      </c>
      <c r="H11" s="55" t="n">
        <v>1</v>
      </c>
      <c r="I11" s="20"/>
      <c r="J11" s="20"/>
      <c r="K11" s="20"/>
      <c r="L11" s="20"/>
      <c r="M11" s="41" t="n">
        <f aca="false">E11*F11+G11*H11+I11*J11+K11*L11</f>
        <v>11.3</v>
      </c>
      <c r="N11" s="41" t="n">
        <f aca="false">Исходные!$B$15-M11</f>
        <v>0.399999999999999</v>
      </c>
      <c r="O11" s="55" t="n">
        <v>2</v>
      </c>
      <c r="P11" s="53" t="n">
        <f aca="false">(F11+H11+J11+L11)*O11</f>
        <v>6</v>
      </c>
      <c r="Q11" s="74" t="n">
        <f aca="false">M11*O11</f>
        <v>22.6</v>
      </c>
      <c r="R11" s="74" t="n">
        <f aca="false">N11*O11</f>
        <v>0.799999999999997</v>
      </c>
    </row>
    <row r="12" customFormat="false" ht="15" hidden="false" customHeight="false" outlineLevel="0" collapsed="false">
      <c r="A12" s="53" t="n">
        <v>1</v>
      </c>
      <c r="B12" s="53" t="n">
        <v>32</v>
      </c>
      <c r="C12" s="76" t="s">
        <v>512</v>
      </c>
      <c r="D12" s="53" t="n">
        <v>8</v>
      </c>
      <c r="E12" s="73" t="n">
        <v>4</v>
      </c>
      <c r="F12" s="55" t="n">
        <v>2</v>
      </c>
      <c r="G12" s="73" t="n">
        <v>2.85</v>
      </c>
      <c r="H12" s="55" t="n">
        <v>1</v>
      </c>
      <c r="I12" s="20"/>
      <c r="J12" s="20"/>
      <c r="K12" s="20"/>
      <c r="L12" s="20"/>
      <c r="M12" s="41" t="n">
        <f aca="false">E12*F12+G12*H12+I12*J12+K12*L12</f>
        <v>10.85</v>
      </c>
      <c r="N12" s="41" t="n">
        <f aca="false">Исходные!$B$15-M12</f>
        <v>0.85</v>
      </c>
      <c r="O12" s="55" t="n">
        <v>3</v>
      </c>
      <c r="P12" s="53" t="n">
        <f aca="false">(F12+H12+J12+L12)*O12</f>
        <v>9</v>
      </c>
      <c r="Q12" s="74" t="n">
        <f aca="false">M12*O12</f>
        <v>32.55</v>
      </c>
      <c r="R12" s="74" t="n">
        <f aca="false">N12*O12</f>
        <v>2.55</v>
      </c>
    </row>
    <row r="13" customFormat="false" ht="15" hidden="false" customHeight="false" outlineLevel="0" collapsed="false">
      <c r="A13" s="53" t="n">
        <v>1</v>
      </c>
      <c r="B13" s="53" t="n">
        <v>32</v>
      </c>
      <c r="C13" s="76" t="s">
        <v>512</v>
      </c>
      <c r="D13" s="53" t="n">
        <v>9</v>
      </c>
      <c r="E13" s="73" t="n">
        <v>4</v>
      </c>
      <c r="F13" s="55" t="n">
        <v>2</v>
      </c>
      <c r="G13" s="73" t="n">
        <v>2.4</v>
      </c>
      <c r="H13" s="55" t="n">
        <v>1</v>
      </c>
      <c r="I13" s="20"/>
      <c r="J13" s="20"/>
      <c r="K13" s="20"/>
      <c r="L13" s="20"/>
      <c r="M13" s="41" t="n">
        <f aca="false">E13*F13+G13*H13+I13*J13+K13*L13</f>
        <v>10.4</v>
      </c>
      <c r="N13" s="41" t="n">
        <f aca="false">Исходные!$B$15-M13</f>
        <v>1.3</v>
      </c>
      <c r="O13" s="55" t="n">
        <v>2</v>
      </c>
      <c r="P13" s="53" t="n">
        <f aca="false">(F13+H13+J13+L13)*O13</f>
        <v>6</v>
      </c>
      <c r="Q13" s="74" t="n">
        <f aca="false">M13*O13</f>
        <v>20.8</v>
      </c>
      <c r="R13" s="74" t="n">
        <f aca="false">N13*O13</f>
        <v>2.6</v>
      </c>
    </row>
    <row r="14" customFormat="false" ht="15" hidden="false" customHeight="false" outlineLevel="0" collapsed="false">
      <c r="A14" s="53" t="n">
        <v>1</v>
      </c>
      <c r="B14" s="53" t="n">
        <v>32</v>
      </c>
      <c r="C14" s="76" t="s">
        <v>512</v>
      </c>
      <c r="D14" s="53" t="n">
        <v>10</v>
      </c>
      <c r="E14" s="73" t="n">
        <v>4</v>
      </c>
      <c r="F14" s="55" t="n">
        <v>2</v>
      </c>
      <c r="G14" s="73" t="n">
        <v>2.05</v>
      </c>
      <c r="H14" s="55" t="n">
        <v>1</v>
      </c>
      <c r="I14" s="20"/>
      <c r="J14" s="20"/>
      <c r="K14" s="20"/>
      <c r="L14" s="20"/>
      <c r="M14" s="41" t="n">
        <f aca="false">E14*F14+G14*H14+I14*J14+K14*L14</f>
        <v>10.05</v>
      </c>
      <c r="N14" s="41" t="n">
        <f aca="false">Исходные!$B$15-M14</f>
        <v>1.65</v>
      </c>
      <c r="O14" s="55" t="n">
        <v>2</v>
      </c>
      <c r="P14" s="53" t="n">
        <f aca="false">(F14+H14+J14+L14)*O14</f>
        <v>6</v>
      </c>
      <c r="Q14" s="74" t="n">
        <f aca="false">M14*O14</f>
        <v>20.1</v>
      </c>
      <c r="R14" s="74" t="n">
        <f aca="false">N14*O14</f>
        <v>3.3</v>
      </c>
    </row>
    <row r="15" customFormat="false" ht="15" hidden="false" customHeight="false" outlineLevel="0" collapsed="false">
      <c r="A15" s="53" t="n">
        <v>1</v>
      </c>
      <c r="B15" s="53" t="n">
        <v>32</v>
      </c>
      <c r="C15" s="76" t="s">
        <v>512</v>
      </c>
      <c r="D15" s="53" t="n">
        <v>11</v>
      </c>
      <c r="E15" s="73" t="n">
        <v>4</v>
      </c>
      <c r="F15" s="55" t="n">
        <v>2</v>
      </c>
      <c r="G15" s="20"/>
      <c r="H15" s="20"/>
      <c r="I15" s="20"/>
      <c r="J15" s="20"/>
      <c r="K15" s="20"/>
      <c r="L15" s="20"/>
      <c r="M15" s="41" t="n">
        <f aca="false">E15*F15+G15*H15+I15*J15+K15*L15</f>
        <v>8</v>
      </c>
      <c r="N15" s="41" t="n">
        <f aca="false">Исходные!$B$15-M15</f>
        <v>3.7</v>
      </c>
      <c r="O15" s="55" t="n">
        <v>20</v>
      </c>
      <c r="P15" s="53" t="n">
        <f aca="false">(F15+H15+J15+L15)*O15</f>
        <v>40</v>
      </c>
      <c r="Q15" s="74" t="n">
        <f aca="false">M15*O15</f>
        <v>160</v>
      </c>
      <c r="R15" s="74" t="n">
        <f aca="false">N15*O15</f>
        <v>74</v>
      </c>
    </row>
    <row r="16" customFormat="false" ht="15" hidden="false" customHeight="false" outlineLevel="0" collapsed="false">
      <c r="A16" s="53" t="n">
        <v>1</v>
      </c>
      <c r="B16" s="53" t="n">
        <v>32</v>
      </c>
      <c r="C16" s="76" t="s">
        <v>512</v>
      </c>
      <c r="D16" s="53" t="n">
        <v>12</v>
      </c>
      <c r="E16" s="73" t="n">
        <v>3.8</v>
      </c>
      <c r="F16" s="55" t="n">
        <v>1</v>
      </c>
      <c r="G16" s="20"/>
      <c r="H16" s="20"/>
      <c r="I16" s="20"/>
      <c r="J16" s="20"/>
      <c r="K16" s="20"/>
      <c r="L16" s="20"/>
      <c r="M16" s="41" t="n">
        <f aca="false">E16*F16+G16*H16+I16*J16+K16*L16</f>
        <v>3.8</v>
      </c>
      <c r="N16" s="41" t="n">
        <f aca="false">Исходные!$B$15-M16</f>
        <v>7.9</v>
      </c>
      <c r="O16" s="55" t="n">
        <v>1</v>
      </c>
      <c r="P16" s="53" t="n">
        <f aca="false">(F16+H16+J16+L16)*O16</f>
        <v>1</v>
      </c>
      <c r="Q16" s="74" t="n">
        <f aca="false">M16*O16</f>
        <v>3.8</v>
      </c>
      <c r="R16" s="74" t="n">
        <f aca="false">N16*O16</f>
        <v>7.9</v>
      </c>
    </row>
    <row r="17" customFormat="false" ht="15" hidden="false" customHeight="false" outlineLevel="0" collapsed="false">
      <c r="A17" s="53" t="n">
        <v>1</v>
      </c>
      <c r="B17" s="53" t="n">
        <v>28</v>
      </c>
      <c r="C17" s="76" t="s">
        <v>512</v>
      </c>
      <c r="D17" s="53" t="n">
        <v>1</v>
      </c>
      <c r="E17" s="73" t="n">
        <v>11.7</v>
      </c>
      <c r="F17" s="55" t="n">
        <v>1</v>
      </c>
      <c r="G17" s="20"/>
      <c r="H17" s="20"/>
      <c r="I17" s="20"/>
      <c r="J17" s="20"/>
      <c r="K17" s="20"/>
      <c r="L17" s="20"/>
      <c r="M17" s="41" t="n">
        <f aca="false">E17*F17+G17*H17+I17*J17+K17*L17</f>
        <v>11.7</v>
      </c>
      <c r="N17" s="41" t="n">
        <f aca="false">Исходные!$B$15-M17</f>
        <v>0</v>
      </c>
      <c r="O17" s="55" t="n">
        <v>52</v>
      </c>
      <c r="P17" s="53" t="n">
        <f aca="false">(F17+H17+J17+L17)*O17</f>
        <v>52</v>
      </c>
      <c r="Q17" s="74" t="n">
        <f aca="false">M17*O17</f>
        <v>608.4</v>
      </c>
      <c r="R17" s="74" t="n">
        <f aca="false">N17*O17</f>
        <v>0</v>
      </c>
    </row>
    <row r="18" customFormat="false" ht="15" hidden="false" customHeight="false" outlineLevel="0" collapsed="false">
      <c r="A18" s="53" t="n">
        <v>1</v>
      </c>
      <c r="B18" s="53" t="n">
        <v>28</v>
      </c>
      <c r="C18" s="76" t="s">
        <v>512</v>
      </c>
      <c r="D18" s="53" t="n">
        <v>2</v>
      </c>
      <c r="E18" s="73" t="n">
        <v>4</v>
      </c>
      <c r="F18" s="55" t="n">
        <v>2</v>
      </c>
      <c r="G18" s="73" t="n">
        <v>3.7</v>
      </c>
      <c r="H18" s="55" t="n">
        <v>1</v>
      </c>
      <c r="I18" s="20"/>
      <c r="J18" s="20"/>
      <c r="K18" s="20"/>
      <c r="L18" s="20"/>
      <c r="M18" s="41" t="n">
        <f aca="false">E18*F18+G18*H18+I18*J18+K18*L18</f>
        <v>11.7</v>
      </c>
      <c r="N18" s="41" t="n">
        <f aca="false">Исходные!$B$15-M18</f>
        <v>0</v>
      </c>
      <c r="O18" s="55" t="n">
        <v>2</v>
      </c>
      <c r="P18" s="53" t="n">
        <f aca="false">(F18+H18+J18+L18)*O18</f>
        <v>6</v>
      </c>
      <c r="Q18" s="74" t="n">
        <f aca="false">M18*O18</f>
        <v>23.4</v>
      </c>
      <c r="R18" s="74" t="n">
        <f aca="false">N18*O18</f>
        <v>0</v>
      </c>
    </row>
    <row r="19" customFormat="false" ht="15" hidden="false" customHeight="false" outlineLevel="0" collapsed="false">
      <c r="A19" s="53" t="n">
        <v>1</v>
      </c>
      <c r="B19" s="53" t="n">
        <v>28</v>
      </c>
      <c r="C19" s="76" t="s">
        <v>512</v>
      </c>
      <c r="D19" s="53" t="n">
        <v>3</v>
      </c>
      <c r="E19" s="73" t="n">
        <v>4</v>
      </c>
      <c r="F19" s="55" t="n">
        <v>2</v>
      </c>
      <c r="G19" s="73" t="n">
        <v>1.85</v>
      </c>
      <c r="H19" s="55" t="n">
        <v>2</v>
      </c>
      <c r="I19" s="20"/>
      <c r="J19" s="20"/>
      <c r="K19" s="20"/>
      <c r="L19" s="20"/>
      <c r="M19" s="41" t="n">
        <f aca="false">E19*F19+G19*H19+I19*J19+K19*L19</f>
        <v>11.7</v>
      </c>
      <c r="N19" s="41" t="n">
        <f aca="false">Исходные!$B$15-M19</f>
        <v>0</v>
      </c>
      <c r="O19" s="55" t="n">
        <v>1</v>
      </c>
      <c r="P19" s="53" t="n">
        <f aca="false">(F19+H19+J19+L19)*O19</f>
        <v>4</v>
      </c>
      <c r="Q19" s="74" t="n">
        <f aca="false">M19*O19</f>
        <v>11.7</v>
      </c>
      <c r="R19" s="74" t="n">
        <f aca="false">N19*O19</f>
        <v>0</v>
      </c>
    </row>
    <row r="20" customFormat="false" ht="15" hidden="false" customHeight="false" outlineLevel="0" collapsed="false">
      <c r="A20" s="53" t="n">
        <v>1</v>
      </c>
      <c r="B20" s="53" t="n">
        <v>28</v>
      </c>
      <c r="C20" s="76" t="s">
        <v>512</v>
      </c>
      <c r="D20" s="53" t="n">
        <v>4</v>
      </c>
      <c r="E20" s="73" t="n">
        <v>7.85</v>
      </c>
      <c r="F20" s="55" t="n">
        <v>1</v>
      </c>
      <c r="G20" s="73" t="n">
        <v>3.8</v>
      </c>
      <c r="H20" s="55" t="n">
        <v>1</v>
      </c>
      <c r="I20" s="20"/>
      <c r="J20" s="20"/>
      <c r="K20" s="20"/>
      <c r="L20" s="20"/>
      <c r="M20" s="41" t="n">
        <f aca="false">E20*F20+G20*H20+I20*J20+K20*L20</f>
        <v>11.65</v>
      </c>
      <c r="N20" s="41" t="n">
        <f aca="false">Исходные!$B$15-M20</f>
        <v>0.0500000000000007</v>
      </c>
      <c r="O20" s="55" t="n">
        <v>2</v>
      </c>
      <c r="P20" s="53" t="n">
        <f aca="false">(F20+H20+J20+L20)*O20</f>
        <v>4</v>
      </c>
      <c r="Q20" s="74" t="n">
        <f aca="false">M20*O20</f>
        <v>23.3</v>
      </c>
      <c r="R20" s="74" t="n">
        <f aca="false">N20*O20</f>
        <v>0.100000000000001</v>
      </c>
    </row>
    <row r="21" customFormat="false" ht="15" hidden="false" customHeight="false" outlineLevel="0" collapsed="false">
      <c r="A21" s="53" t="n">
        <v>1</v>
      </c>
      <c r="B21" s="53" t="n">
        <v>28</v>
      </c>
      <c r="C21" s="76" t="s">
        <v>512</v>
      </c>
      <c r="D21" s="53" t="n">
        <v>5</v>
      </c>
      <c r="E21" s="73" t="n">
        <v>4.3</v>
      </c>
      <c r="F21" s="55" t="n">
        <v>2</v>
      </c>
      <c r="G21" s="73" t="n">
        <v>3</v>
      </c>
      <c r="H21" s="55" t="n">
        <v>1</v>
      </c>
      <c r="I21" s="20"/>
      <c r="J21" s="20"/>
      <c r="K21" s="20"/>
      <c r="L21" s="20"/>
      <c r="M21" s="41" t="n">
        <f aca="false">E21*F21+G21*H21+I21*J21+K21*L21</f>
        <v>11.6</v>
      </c>
      <c r="N21" s="41" t="n">
        <f aca="false">Исходные!$B$15-M21</f>
        <v>0.0999999999999996</v>
      </c>
      <c r="O21" s="55" t="n">
        <v>1</v>
      </c>
      <c r="P21" s="53" t="n">
        <f aca="false">(F21+H21+J21+L21)*O21</f>
        <v>3</v>
      </c>
      <c r="Q21" s="74" t="n">
        <f aca="false">M21*O21</f>
        <v>11.6</v>
      </c>
      <c r="R21" s="74" t="n">
        <f aca="false">N21*O21</f>
        <v>0.0999999999999996</v>
      </c>
    </row>
    <row r="22" customFormat="false" ht="15" hidden="false" customHeight="false" outlineLevel="0" collapsed="false">
      <c r="A22" s="53" t="n">
        <v>1</v>
      </c>
      <c r="B22" s="53" t="n">
        <v>28</v>
      </c>
      <c r="C22" s="76" t="s">
        <v>512</v>
      </c>
      <c r="D22" s="53" t="n">
        <v>6</v>
      </c>
      <c r="E22" s="73" t="n">
        <v>4</v>
      </c>
      <c r="F22" s="55" t="n">
        <v>2</v>
      </c>
      <c r="G22" s="73" t="n">
        <v>3.6</v>
      </c>
      <c r="H22" s="55" t="n">
        <v>1</v>
      </c>
      <c r="I22" s="20"/>
      <c r="J22" s="20"/>
      <c r="K22" s="20"/>
      <c r="L22" s="20"/>
      <c r="M22" s="41" t="n">
        <f aca="false">E22*F22+G22*H22+I22*J22+K22*L22</f>
        <v>11.6</v>
      </c>
      <c r="N22" s="41" t="n">
        <f aca="false">Исходные!$B$15-M22</f>
        <v>0.0999999999999996</v>
      </c>
      <c r="O22" s="55" t="n">
        <v>6</v>
      </c>
      <c r="P22" s="53" t="n">
        <f aca="false">(F22+H22+J22+L22)*O22</f>
        <v>18</v>
      </c>
      <c r="Q22" s="74" t="n">
        <f aca="false">M22*O22</f>
        <v>69.6</v>
      </c>
      <c r="R22" s="74" t="n">
        <f aca="false">N22*O22</f>
        <v>0.599999999999998</v>
      </c>
    </row>
    <row r="23" customFormat="false" ht="15" hidden="false" customHeight="false" outlineLevel="0" collapsed="false">
      <c r="A23" s="53" t="n">
        <v>1</v>
      </c>
      <c r="B23" s="53" t="n">
        <v>28</v>
      </c>
      <c r="C23" s="76" t="s">
        <v>512</v>
      </c>
      <c r="D23" s="53" t="n">
        <v>7</v>
      </c>
      <c r="E23" s="73" t="n">
        <v>4.7</v>
      </c>
      <c r="F23" s="55" t="n">
        <v>2</v>
      </c>
      <c r="G23" s="73" t="n">
        <v>2.1</v>
      </c>
      <c r="H23" s="55" t="n">
        <v>1</v>
      </c>
      <c r="I23" s="20"/>
      <c r="J23" s="20"/>
      <c r="K23" s="20"/>
      <c r="L23" s="20"/>
      <c r="M23" s="41" t="n">
        <f aca="false">E23*F23+G23*H23+I23*J23+K23*L23</f>
        <v>11.5</v>
      </c>
      <c r="N23" s="41" t="n">
        <f aca="false">Исходные!$B$15-M23</f>
        <v>0.199999999999999</v>
      </c>
      <c r="O23" s="55" t="n">
        <v>2</v>
      </c>
      <c r="P23" s="53" t="n">
        <f aca="false">(F23+H23+J23+L23)*O23</f>
        <v>6</v>
      </c>
      <c r="Q23" s="74" t="n">
        <f aca="false">M23*O23</f>
        <v>23</v>
      </c>
      <c r="R23" s="74" t="n">
        <f aca="false">N23*O23</f>
        <v>0.399999999999999</v>
      </c>
    </row>
    <row r="24" customFormat="false" ht="15" hidden="false" customHeight="false" outlineLevel="0" collapsed="false">
      <c r="A24" s="53" t="n">
        <v>1</v>
      </c>
      <c r="B24" s="53" t="n">
        <v>28</v>
      </c>
      <c r="C24" s="76" t="s">
        <v>512</v>
      </c>
      <c r="D24" s="53" t="n">
        <v>8</v>
      </c>
      <c r="E24" s="73" t="n">
        <v>3.8</v>
      </c>
      <c r="F24" s="55" t="n">
        <v>3</v>
      </c>
      <c r="G24" s="20"/>
      <c r="H24" s="20"/>
      <c r="I24" s="20"/>
      <c r="J24" s="20"/>
      <c r="K24" s="20"/>
      <c r="L24" s="20"/>
      <c r="M24" s="41" t="n">
        <f aca="false">E24*F24+G24*H24+I24*J24+K24*L24</f>
        <v>11.4</v>
      </c>
      <c r="N24" s="41" t="n">
        <f aca="false">Исходные!$B$15-M24</f>
        <v>0.300000000000001</v>
      </c>
      <c r="O24" s="55" t="n">
        <v>1</v>
      </c>
      <c r="P24" s="53" t="n">
        <f aca="false">(F24+H24+J24+L24)*O24</f>
        <v>3</v>
      </c>
      <c r="Q24" s="74" t="n">
        <f aca="false">M24*O24</f>
        <v>11.4</v>
      </c>
      <c r="R24" s="74" t="n">
        <f aca="false">N24*O24</f>
        <v>0.300000000000001</v>
      </c>
    </row>
    <row r="25" customFormat="false" ht="15" hidden="false" customHeight="false" outlineLevel="0" collapsed="false">
      <c r="A25" s="53" t="n">
        <v>1</v>
      </c>
      <c r="B25" s="53" t="n">
        <v>28</v>
      </c>
      <c r="C25" s="76" t="s">
        <v>512</v>
      </c>
      <c r="D25" s="53" t="n">
        <v>9</v>
      </c>
      <c r="E25" s="73" t="n">
        <v>5.5</v>
      </c>
      <c r="F25" s="55" t="n">
        <v>2</v>
      </c>
      <c r="G25" s="20"/>
      <c r="H25" s="20"/>
      <c r="I25" s="20"/>
      <c r="J25" s="20"/>
      <c r="K25" s="20"/>
      <c r="L25" s="20"/>
      <c r="M25" s="41" t="n">
        <f aca="false">E25*F25+G25*H25+I25*J25+K25*L25</f>
        <v>11</v>
      </c>
      <c r="N25" s="41" t="n">
        <f aca="false">Исходные!$B$15-M25</f>
        <v>0.699999999999999</v>
      </c>
      <c r="O25" s="55" t="n">
        <v>1</v>
      </c>
      <c r="P25" s="53" t="n">
        <f aca="false">(F25+H25+J25+L25)*O25</f>
        <v>2</v>
      </c>
      <c r="Q25" s="74" t="n">
        <f aca="false">M25*O25</f>
        <v>11</v>
      </c>
      <c r="R25" s="74" t="n">
        <f aca="false">N25*O25</f>
        <v>0.699999999999999</v>
      </c>
    </row>
    <row r="26" customFormat="false" ht="15" hidden="false" customHeight="false" outlineLevel="0" collapsed="false">
      <c r="A26" s="53" t="n">
        <v>1</v>
      </c>
      <c r="B26" s="53" t="n">
        <v>28</v>
      </c>
      <c r="C26" s="76" t="s">
        <v>512</v>
      </c>
      <c r="D26" s="53" t="n">
        <v>10</v>
      </c>
      <c r="E26" s="73" t="n">
        <v>4</v>
      </c>
      <c r="F26" s="55" t="n">
        <v>2</v>
      </c>
      <c r="G26" s="73" t="n">
        <v>3</v>
      </c>
      <c r="H26" s="55" t="n">
        <v>1</v>
      </c>
      <c r="I26" s="20"/>
      <c r="J26" s="20"/>
      <c r="K26" s="20"/>
      <c r="L26" s="20"/>
      <c r="M26" s="41" t="n">
        <f aca="false">E26*F26+G26*H26+I26*J26+K26*L26</f>
        <v>11</v>
      </c>
      <c r="N26" s="41" t="n">
        <f aca="false">Исходные!$B$15-M26</f>
        <v>0.699999999999999</v>
      </c>
      <c r="O26" s="55" t="n">
        <v>1</v>
      </c>
      <c r="P26" s="53" t="n">
        <f aca="false">(F26+H26+J26+L26)*O26</f>
        <v>3</v>
      </c>
      <c r="Q26" s="74" t="n">
        <f aca="false">M26*O26</f>
        <v>11</v>
      </c>
      <c r="R26" s="74" t="n">
        <f aca="false">N26*O26</f>
        <v>0.699999999999999</v>
      </c>
    </row>
    <row r="27" customFormat="false" ht="15" hidden="false" customHeight="false" outlineLevel="0" collapsed="false">
      <c r="A27" s="53" t="n">
        <v>1</v>
      </c>
      <c r="B27" s="53" t="n">
        <v>28</v>
      </c>
      <c r="C27" s="76" t="s">
        <v>512</v>
      </c>
      <c r="D27" s="53" t="n">
        <v>11</v>
      </c>
      <c r="E27" s="73" t="n">
        <v>8.8</v>
      </c>
      <c r="F27" s="55" t="n">
        <v>1</v>
      </c>
      <c r="G27" s="73" t="n">
        <v>2.1</v>
      </c>
      <c r="H27" s="55" t="n">
        <v>1</v>
      </c>
      <c r="I27" s="20"/>
      <c r="J27" s="20"/>
      <c r="K27" s="20"/>
      <c r="L27" s="20"/>
      <c r="M27" s="41" t="n">
        <f aca="false">E27*F27+G27*H27+I27*J27+K27*L27</f>
        <v>10.9</v>
      </c>
      <c r="N27" s="41" t="n">
        <f aca="false">Исходные!$B$15-M27</f>
        <v>0.799999999999999</v>
      </c>
      <c r="O27" s="55" t="n">
        <v>14</v>
      </c>
      <c r="P27" s="53" t="n">
        <f aca="false">(F27+H27+J27+L27)*O27</f>
        <v>28</v>
      </c>
      <c r="Q27" s="74" t="n">
        <f aca="false">M27*O27</f>
        <v>152.6</v>
      </c>
      <c r="R27" s="74" t="n">
        <f aca="false">N27*O27</f>
        <v>11.2</v>
      </c>
    </row>
    <row r="28" customFormat="false" ht="15" hidden="false" customHeight="false" outlineLevel="0" collapsed="false">
      <c r="A28" s="53" t="n">
        <v>1</v>
      </c>
      <c r="B28" s="53" t="n">
        <v>28</v>
      </c>
      <c r="C28" s="76" t="s">
        <v>512</v>
      </c>
      <c r="D28" s="53" t="n">
        <v>12</v>
      </c>
      <c r="E28" s="73" t="n">
        <v>8.8</v>
      </c>
      <c r="F28" s="55" t="n">
        <v>1</v>
      </c>
      <c r="G28" s="73" t="n">
        <v>2.05</v>
      </c>
      <c r="H28" s="55" t="n">
        <v>1</v>
      </c>
      <c r="I28" s="20"/>
      <c r="J28" s="20"/>
      <c r="K28" s="20"/>
      <c r="L28" s="20"/>
      <c r="M28" s="41" t="n">
        <f aca="false">E28*F28+G28*H28+I28*J28+K28*L28</f>
        <v>10.85</v>
      </c>
      <c r="N28" s="41" t="n">
        <f aca="false">Исходные!$B$15-M28</f>
        <v>0.849999999999998</v>
      </c>
      <c r="O28" s="55" t="n">
        <v>6</v>
      </c>
      <c r="P28" s="53" t="n">
        <f aca="false">(F28+H28+J28+L28)*O28</f>
        <v>12</v>
      </c>
      <c r="Q28" s="74" t="n">
        <f aca="false">M28*O28</f>
        <v>65.1</v>
      </c>
      <c r="R28" s="74" t="n">
        <f aca="false">N28*O28</f>
        <v>5.09999999999999</v>
      </c>
    </row>
    <row r="29" customFormat="false" ht="15" hidden="false" customHeight="false" outlineLevel="0" collapsed="false">
      <c r="A29" s="53" t="n">
        <v>1</v>
      </c>
      <c r="B29" s="53" t="n">
        <v>28</v>
      </c>
      <c r="C29" s="76" t="s">
        <v>512</v>
      </c>
      <c r="D29" s="53" t="n">
        <v>13</v>
      </c>
      <c r="E29" s="73" t="n">
        <v>4</v>
      </c>
      <c r="F29" s="55" t="n">
        <v>2</v>
      </c>
      <c r="G29" s="73" t="n">
        <v>2.05</v>
      </c>
      <c r="H29" s="55" t="n">
        <v>1</v>
      </c>
      <c r="I29" s="20"/>
      <c r="J29" s="20"/>
      <c r="K29" s="20"/>
      <c r="L29" s="20"/>
      <c r="M29" s="41" t="n">
        <f aca="false">E29*F29+G29*H29+I29*J29+K29*L29</f>
        <v>10.05</v>
      </c>
      <c r="N29" s="41" t="n">
        <f aca="false">Исходные!$B$15-M29</f>
        <v>1.65</v>
      </c>
      <c r="O29" s="55" t="n">
        <v>4</v>
      </c>
      <c r="P29" s="53" t="n">
        <f aca="false">(F29+H29+J29+L29)*O29</f>
        <v>12</v>
      </c>
      <c r="Q29" s="74" t="n">
        <f aca="false">M29*O29</f>
        <v>40.2</v>
      </c>
      <c r="R29" s="74" t="n">
        <f aca="false">N29*O29</f>
        <v>6.59999999999999</v>
      </c>
    </row>
    <row r="30" customFormat="false" ht="15" hidden="false" customHeight="false" outlineLevel="0" collapsed="false">
      <c r="A30" s="53" t="n">
        <v>1</v>
      </c>
      <c r="B30" s="53" t="n">
        <v>28</v>
      </c>
      <c r="C30" s="76" t="s">
        <v>512</v>
      </c>
      <c r="D30" s="53" t="n">
        <v>14</v>
      </c>
      <c r="E30" s="73" t="n">
        <v>4</v>
      </c>
      <c r="F30" s="55" t="n">
        <v>2</v>
      </c>
      <c r="G30" s="20"/>
      <c r="H30" s="20"/>
      <c r="I30" s="20"/>
      <c r="J30" s="20"/>
      <c r="K30" s="20"/>
      <c r="L30" s="20"/>
      <c r="M30" s="41" t="n">
        <f aca="false">E30*F30+G30*H30+I30*J30+K30*L30</f>
        <v>8</v>
      </c>
      <c r="N30" s="41" t="n">
        <f aca="false">Исходные!$B$15-M30</f>
        <v>3.7</v>
      </c>
      <c r="O30" s="55" t="n">
        <v>38</v>
      </c>
      <c r="P30" s="53" t="n">
        <f aca="false">(F30+H30+J30+L30)*O30</f>
        <v>76</v>
      </c>
      <c r="Q30" s="74" t="n">
        <f aca="false">M30*O30</f>
        <v>304</v>
      </c>
      <c r="R30" s="74" t="n">
        <f aca="false">N30*O30</f>
        <v>140.6</v>
      </c>
    </row>
    <row r="31" customFormat="false" ht="15" hidden="false" customHeight="false" outlineLevel="0" collapsed="false">
      <c r="A31" s="53" t="n">
        <v>1</v>
      </c>
      <c r="B31" s="53" t="n">
        <v>28</v>
      </c>
      <c r="C31" s="76" t="s">
        <v>512</v>
      </c>
      <c r="D31" s="53" t="n">
        <v>15</v>
      </c>
      <c r="E31" s="73" t="n">
        <v>3.8</v>
      </c>
      <c r="F31" s="55" t="n">
        <v>1</v>
      </c>
      <c r="G31" s="20"/>
      <c r="H31" s="20"/>
      <c r="I31" s="20"/>
      <c r="J31" s="20"/>
      <c r="K31" s="20"/>
      <c r="L31" s="20"/>
      <c r="M31" s="41" t="n">
        <f aca="false">E31*F31+G31*H31+I31*J31+K31*L31</f>
        <v>3.8</v>
      </c>
      <c r="N31" s="41" t="n">
        <f aca="false">Исходные!$B$15-M31</f>
        <v>7.9</v>
      </c>
      <c r="O31" s="55" t="n">
        <v>1</v>
      </c>
      <c r="P31" s="53" t="n">
        <f aca="false">(F31+H31+J31+L31)*O31</f>
        <v>1</v>
      </c>
      <c r="Q31" s="74" t="n">
        <f aca="false">M31*O31</f>
        <v>3.8</v>
      </c>
      <c r="R31" s="74" t="n">
        <f aca="false">N31*O31</f>
        <v>7.9</v>
      </c>
    </row>
    <row r="32" customFormat="false" ht="15" hidden="false" customHeight="false" outlineLevel="0" collapsed="false">
      <c r="A32" s="53" t="n">
        <v>1</v>
      </c>
      <c r="B32" s="53" t="n">
        <v>25</v>
      </c>
      <c r="C32" s="76" t="s">
        <v>512</v>
      </c>
      <c r="D32" s="53" t="n">
        <v>1</v>
      </c>
      <c r="E32" s="73" t="n">
        <v>11.7</v>
      </c>
      <c r="F32" s="55" t="n">
        <v>1</v>
      </c>
      <c r="G32" s="20"/>
      <c r="H32" s="20"/>
      <c r="I32" s="20"/>
      <c r="J32" s="20"/>
      <c r="K32" s="20"/>
      <c r="L32" s="20"/>
      <c r="M32" s="41" t="n">
        <f aca="false">E32*F32+G32*H32+I32*J32+K32*L32</f>
        <v>11.7</v>
      </c>
      <c r="N32" s="41" t="n">
        <f aca="false">Исходные!$B$15-M32</f>
        <v>0</v>
      </c>
      <c r="O32" s="55" t="n">
        <v>40</v>
      </c>
      <c r="P32" s="53" t="n">
        <f aca="false">(F32+H32+J32+L32)*O32</f>
        <v>40</v>
      </c>
      <c r="Q32" s="74" t="n">
        <f aca="false">M32*O32</f>
        <v>468</v>
      </c>
      <c r="R32" s="74" t="n">
        <f aca="false">N32*O32</f>
        <v>0</v>
      </c>
    </row>
    <row r="33" customFormat="false" ht="15" hidden="false" customHeight="false" outlineLevel="0" collapsed="false">
      <c r="A33" s="53" t="n">
        <v>1</v>
      </c>
      <c r="B33" s="53" t="n">
        <v>25</v>
      </c>
      <c r="C33" s="76" t="s">
        <v>512</v>
      </c>
      <c r="D33" s="53" t="n">
        <v>2</v>
      </c>
      <c r="E33" s="73" t="n">
        <v>7.85</v>
      </c>
      <c r="F33" s="55" t="n">
        <v>1</v>
      </c>
      <c r="G33" s="73" t="n">
        <v>3.8</v>
      </c>
      <c r="H33" s="55" t="n">
        <v>1</v>
      </c>
      <c r="I33" s="20"/>
      <c r="J33" s="20"/>
      <c r="K33" s="20"/>
      <c r="L33" s="20"/>
      <c r="M33" s="41" t="n">
        <f aca="false">E33*F33+G33*H33+I33*J33+K33*L33</f>
        <v>11.65</v>
      </c>
      <c r="N33" s="41" t="n">
        <f aca="false">Исходные!$B$15-M33</f>
        <v>0.0500000000000007</v>
      </c>
      <c r="O33" s="55" t="n">
        <v>4</v>
      </c>
      <c r="P33" s="53" t="n">
        <f aca="false">(F33+H33+J33+L33)*O33</f>
        <v>8</v>
      </c>
      <c r="Q33" s="74" t="n">
        <f aca="false">M33*O33</f>
        <v>46.6</v>
      </c>
      <c r="R33" s="74" t="n">
        <f aca="false">N33*O33</f>
        <v>0.200000000000003</v>
      </c>
    </row>
    <row r="34" customFormat="false" ht="15" hidden="false" customHeight="false" outlineLevel="0" collapsed="false">
      <c r="A34" s="53" t="n">
        <v>1</v>
      </c>
      <c r="B34" s="53" t="n">
        <v>25</v>
      </c>
      <c r="C34" s="76" t="s">
        <v>512</v>
      </c>
      <c r="D34" s="53" t="n">
        <v>3</v>
      </c>
      <c r="E34" s="73" t="n">
        <v>3.8</v>
      </c>
      <c r="F34" s="55" t="n">
        <v>2</v>
      </c>
      <c r="G34" s="73" t="n">
        <v>3.785</v>
      </c>
      <c r="H34" s="55" t="n">
        <v>1</v>
      </c>
      <c r="I34" s="73" t="n">
        <v>0.2</v>
      </c>
      <c r="J34" s="55" t="n">
        <v>1</v>
      </c>
      <c r="K34" s="20"/>
      <c r="L34" s="20"/>
      <c r="M34" s="41" t="n">
        <f aca="false">E34*F34+G34*H34+I34*J34+K34*L34</f>
        <v>11.585</v>
      </c>
      <c r="N34" s="41" t="n">
        <f aca="false">Исходные!$B$15-M34</f>
        <v>0.115</v>
      </c>
      <c r="O34" s="55" t="n">
        <v>1</v>
      </c>
      <c r="P34" s="53" t="n">
        <f aca="false">(F34+H34+J34+L34)*O34</f>
        <v>4</v>
      </c>
      <c r="Q34" s="74" t="n">
        <f aca="false">M34*O34</f>
        <v>11.585</v>
      </c>
      <c r="R34" s="74" t="n">
        <f aca="false">N34*O34</f>
        <v>0.115</v>
      </c>
    </row>
    <row r="35" customFormat="false" ht="15" hidden="false" customHeight="false" outlineLevel="0" collapsed="false">
      <c r="A35" s="53" t="n">
        <v>1</v>
      </c>
      <c r="B35" s="53" t="n">
        <v>25</v>
      </c>
      <c r="C35" s="76" t="s">
        <v>512</v>
      </c>
      <c r="D35" s="53" t="n">
        <v>4</v>
      </c>
      <c r="E35" s="73" t="n">
        <v>4</v>
      </c>
      <c r="F35" s="55" t="n">
        <v>2</v>
      </c>
      <c r="G35" s="73" t="n">
        <v>3.365</v>
      </c>
      <c r="H35" s="55" t="n">
        <v>1</v>
      </c>
      <c r="I35" s="73" t="n">
        <v>0.2</v>
      </c>
      <c r="J35" s="55" t="n">
        <v>1</v>
      </c>
      <c r="K35" s="20"/>
      <c r="L35" s="20"/>
      <c r="M35" s="41" t="n">
        <f aca="false">E35*F35+G35*H35+I35*J35+K35*L35</f>
        <v>11.565</v>
      </c>
      <c r="N35" s="41" t="n">
        <f aca="false">Исходные!$B$15-M35</f>
        <v>0.135</v>
      </c>
      <c r="O35" s="55" t="n">
        <v>3</v>
      </c>
      <c r="P35" s="53" t="n">
        <f aca="false">(F35+H35+J35+L35)*O35</f>
        <v>12</v>
      </c>
      <c r="Q35" s="74" t="n">
        <f aca="false">M35*O35</f>
        <v>34.695</v>
      </c>
      <c r="R35" s="74" t="n">
        <f aca="false">N35*O35</f>
        <v>0.404999999999999</v>
      </c>
    </row>
    <row r="36" customFormat="false" ht="15" hidden="false" customHeight="false" outlineLevel="0" collapsed="false">
      <c r="A36" s="53" t="n">
        <v>1</v>
      </c>
      <c r="B36" s="53" t="n">
        <v>25</v>
      </c>
      <c r="C36" s="76" t="s">
        <v>512</v>
      </c>
      <c r="D36" s="53" t="n">
        <v>5</v>
      </c>
      <c r="E36" s="73" t="n">
        <v>4</v>
      </c>
      <c r="F36" s="55" t="n">
        <v>2</v>
      </c>
      <c r="G36" s="73" t="n">
        <v>3.365</v>
      </c>
      <c r="H36" s="55" t="n">
        <v>1</v>
      </c>
      <c r="I36" s="20"/>
      <c r="J36" s="20"/>
      <c r="K36" s="20"/>
      <c r="L36" s="20"/>
      <c r="M36" s="41" t="n">
        <f aca="false">E36*F36+G36*H36+I36*J36+K36*L36</f>
        <v>11.365</v>
      </c>
      <c r="N36" s="41" t="n">
        <f aca="false">Исходные!$B$15-M36</f>
        <v>0.334999999999999</v>
      </c>
      <c r="O36" s="55" t="n">
        <v>1</v>
      </c>
      <c r="P36" s="53" t="n">
        <f aca="false">(F36+H36+J36+L36)*O36</f>
        <v>3</v>
      </c>
      <c r="Q36" s="74" t="n">
        <f aca="false">M36*O36</f>
        <v>11.365</v>
      </c>
      <c r="R36" s="74" t="n">
        <f aca="false">N36*O36</f>
        <v>0.334999999999999</v>
      </c>
    </row>
    <row r="37" customFormat="false" ht="15" hidden="false" customHeight="false" outlineLevel="0" collapsed="false">
      <c r="A37" s="53" t="n">
        <v>1</v>
      </c>
      <c r="B37" s="53" t="n">
        <v>25</v>
      </c>
      <c r="C37" s="76" t="s">
        <v>512</v>
      </c>
      <c r="D37" s="53" t="n">
        <v>6</v>
      </c>
      <c r="E37" s="73" t="n">
        <v>3.785</v>
      </c>
      <c r="F37" s="55" t="n">
        <v>3</v>
      </c>
      <c r="G37" s="20"/>
      <c r="H37" s="20"/>
      <c r="I37" s="20"/>
      <c r="J37" s="20"/>
      <c r="K37" s="20"/>
      <c r="L37" s="20"/>
      <c r="M37" s="41" t="n">
        <f aca="false">E37*F37+G37*H37+I37*J37+K37*L37</f>
        <v>11.355</v>
      </c>
      <c r="N37" s="41" t="n">
        <f aca="false">Исходные!$B$15-M37</f>
        <v>0.344999999999999</v>
      </c>
      <c r="O37" s="55" t="n">
        <v>1</v>
      </c>
      <c r="P37" s="53" t="n">
        <f aca="false">(F37+H37+J37+L37)*O37</f>
        <v>3</v>
      </c>
      <c r="Q37" s="74" t="n">
        <f aca="false">M37*O37</f>
        <v>11.355</v>
      </c>
      <c r="R37" s="74" t="n">
        <f aca="false">N37*O37</f>
        <v>0.344999999999999</v>
      </c>
    </row>
    <row r="38" customFormat="false" ht="15" hidden="false" customHeight="false" outlineLevel="0" collapsed="false">
      <c r="A38" s="53" t="n">
        <v>1</v>
      </c>
      <c r="B38" s="53" t="n">
        <v>25</v>
      </c>
      <c r="C38" s="76" t="s">
        <v>512</v>
      </c>
      <c r="D38" s="53" t="n">
        <v>7</v>
      </c>
      <c r="E38" s="73" t="n">
        <v>4</v>
      </c>
      <c r="F38" s="55" t="n">
        <v>2</v>
      </c>
      <c r="G38" s="73" t="n">
        <v>3.065</v>
      </c>
      <c r="H38" s="55" t="n">
        <v>1</v>
      </c>
      <c r="I38" s="20"/>
      <c r="J38" s="20"/>
      <c r="K38" s="20"/>
      <c r="L38" s="20"/>
      <c r="M38" s="41" t="n">
        <f aca="false">E38*F38+G38*H38+I38*J38+K38*L38</f>
        <v>11.065</v>
      </c>
      <c r="N38" s="41" t="n">
        <f aca="false">Исходные!$B$15-M38</f>
        <v>0.635</v>
      </c>
      <c r="O38" s="55" t="n">
        <v>4</v>
      </c>
      <c r="P38" s="53" t="n">
        <f aca="false">(F38+H38+J38+L38)*O38</f>
        <v>12</v>
      </c>
      <c r="Q38" s="74" t="n">
        <f aca="false">M38*O38</f>
        <v>44.26</v>
      </c>
      <c r="R38" s="74" t="n">
        <f aca="false">N38*O38</f>
        <v>2.54</v>
      </c>
    </row>
    <row r="39" customFormat="false" ht="15" hidden="false" customHeight="false" outlineLevel="0" collapsed="false">
      <c r="A39" s="53" t="n">
        <v>1</v>
      </c>
      <c r="B39" s="53" t="n">
        <v>25</v>
      </c>
      <c r="C39" s="76" t="s">
        <v>512</v>
      </c>
      <c r="D39" s="53" t="n">
        <v>8</v>
      </c>
      <c r="E39" s="73" t="n">
        <v>8.7</v>
      </c>
      <c r="F39" s="55" t="n">
        <v>1</v>
      </c>
      <c r="G39" s="73" t="n">
        <v>2.28</v>
      </c>
      <c r="H39" s="55" t="n">
        <v>1</v>
      </c>
      <c r="I39" s="20"/>
      <c r="J39" s="20"/>
      <c r="K39" s="20"/>
      <c r="L39" s="20"/>
      <c r="M39" s="41" t="n">
        <f aca="false">E39*F39+G39*H39+I39*J39+K39*L39</f>
        <v>10.98</v>
      </c>
      <c r="N39" s="41" t="n">
        <f aca="false">Исходные!$B$15-M39</f>
        <v>0.720000000000001</v>
      </c>
      <c r="O39" s="55" t="n">
        <v>4</v>
      </c>
      <c r="P39" s="53" t="n">
        <f aca="false">(F39+H39+J39+L39)*O39</f>
        <v>8</v>
      </c>
      <c r="Q39" s="74" t="n">
        <f aca="false">M39*O39</f>
        <v>43.92</v>
      </c>
      <c r="R39" s="74" t="n">
        <f aca="false">N39*O39</f>
        <v>2.88</v>
      </c>
    </row>
    <row r="40" customFormat="false" ht="15" hidden="false" customHeight="false" outlineLevel="0" collapsed="false">
      <c r="A40" s="53" t="n">
        <v>1</v>
      </c>
      <c r="B40" s="53" t="n">
        <v>25</v>
      </c>
      <c r="C40" s="76" t="s">
        <v>512</v>
      </c>
      <c r="D40" s="53" t="n">
        <v>9</v>
      </c>
      <c r="E40" s="73" t="n">
        <v>8.7</v>
      </c>
      <c r="F40" s="55" t="n">
        <v>1</v>
      </c>
      <c r="G40" s="73" t="n">
        <v>2.2</v>
      </c>
      <c r="H40" s="55" t="n">
        <v>1</v>
      </c>
      <c r="I40" s="20"/>
      <c r="J40" s="20"/>
      <c r="K40" s="20"/>
      <c r="L40" s="20"/>
      <c r="M40" s="41" t="n">
        <f aca="false">E40*F40+G40*H40+I40*J40+K40*L40</f>
        <v>10.9</v>
      </c>
      <c r="N40" s="41" t="n">
        <f aca="false">Исходные!$B$15-M40</f>
        <v>0.800000000000001</v>
      </c>
      <c r="O40" s="55" t="n">
        <v>8</v>
      </c>
      <c r="P40" s="53" t="n">
        <f aca="false">(F40+H40+J40+L40)*O40</f>
        <v>16</v>
      </c>
      <c r="Q40" s="74" t="n">
        <f aca="false">M40*O40</f>
        <v>87.2</v>
      </c>
      <c r="R40" s="74" t="n">
        <f aca="false">N40*O40</f>
        <v>6.40000000000001</v>
      </c>
    </row>
    <row r="41" customFormat="false" ht="15" hidden="false" customHeight="false" outlineLevel="0" collapsed="false">
      <c r="A41" s="53" t="n">
        <v>1</v>
      </c>
      <c r="B41" s="53" t="n">
        <v>25</v>
      </c>
      <c r="C41" s="76" t="s">
        <v>512</v>
      </c>
      <c r="D41" s="53" t="n">
        <v>10</v>
      </c>
      <c r="E41" s="73" t="n">
        <v>6.2</v>
      </c>
      <c r="F41" s="55" t="n">
        <v>1</v>
      </c>
      <c r="G41" s="73" t="n">
        <v>4.5</v>
      </c>
      <c r="H41" s="55" t="n">
        <v>1</v>
      </c>
      <c r="I41" s="20"/>
      <c r="J41" s="20"/>
      <c r="K41" s="20"/>
      <c r="L41" s="20"/>
      <c r="M41" s="41" t="n">
        <f aca="false">E41*F41+G41*H41+I41*J41+K41*L41</f>
        <v>10.7</v>
      </c>
      <c r="N41" s="41" t="n">
        <f aca="false">Исходные!$B$15-M41</f>
        <v>1</v>
      </c>
      <c r="O41" s="55" t="n">
        <v>2</v>
      </c>
      <c r="P41" s="53" t="n">
        <f aca="false">(F41+H41+J41+L41)*O41</f>
        <v>4</v>
      </c>
      <c r="Q41" s="74" t="n">
        <f aca="false">M41*O41</f>
        <v>21.4</v>
      </c>
      <c r="R41" s="74" t="n">
        <f aca="false">N41*O41</f>
        <v>2</v>
      </c>
    </row>
    <row r="42" customFormat="false" ht="15" hidden="false" customHeight="false" outlineLevel="0" collapsed="false">
      <c r="A42" s="53" t="n">
        <v>1</v>
      </c>
      <c r="B42" s="53" t="n">
        <v>25</v>
      </c>
      <c r="C42" s="76" t="s">
        <v>512</v>
      </c>
      <c r="D42" s="53" t="n">
        <v>11</v>
      </c>
      <c r="E42" s="73" t="n">
        <v>10.5</v>
      </c>
      <c r="F42" s="55" t="n">
        <v>1</v>
      </c>
      <c r="G42" s="20"/>
      <c r="H42" s="20"/>
      <c r="I42" s="20"/>
      <c r="J42" s="20"/>
      <c r="K42" s="20"/>
      <c r="L42" s="20"/>
      <c r="M42" s="41" t="n">
        <f aca="false">E42*F42+G42*H42+I42*J42+K42*L42</f>
        <v>10.5</v>
      </c>
      <c r="N42" s="41" t="n">
        <f aca="false">Исходные!$B$15-M42</f>
        <v>1.2</v>
      </c>
      <c r="O42" s="55" t="n">
        <v>2</v>
      </c>
      <c r="P42" s="53" t="n">
        <f aca="false">(F42+H42+J42+L42)*O42</f>
        <v>2</v>
      </c>
      <c r="Q42" s="74" t="n">
        <f aca="false">M42*O42</f>
        <v>21</v>
      </c>
      <c r="R42" s="74" t="n">
        <f aca="false">N42*O42</f>
        <v>2.4</v>
      </c>
    </row>
    <row r="43" customFormat="false" ht="15" hidden="false" customHeight="false" outlineLevel="0" collapsed="false">
      <c r="A43" s="53" t="n">
        <v>1</v>
      </c>
      <c r="B43" s="53" t="n">
        <v>25</v>
      </c>
      <c r="C43" s="76" t="s">
        <v>512</v>
      </c>
      <c r="D43" s="53" t="n">
        <v>12</v>
      </c>
      <c r="E43" s="73" t="n">
        <v>2.05</v>
      </c>
      <c r="F43" s="55" t="n">
        <v>2</v>
      </c>
      <c r="G43" s="73" t="n">
        <v>2</v>
      </c>
      <c r="H43" s="55" t="n">
        <v>3</v>
      </c>
      <c r="I43" s="20"/>
      <c r="J43" s="20"/>
      <c r="K43" s="20"/>
      <c r="L43" s="20"/>
      <c r="M43" s="41" t="n">
        <f aca="false">E43*F43+G43*H43+I43*J43+K43*L43</f>
        <v>10.1</v>
      </c>
      <c r="N43" s="41" t="n">
        <f aca="false">Исходные!$B$15-M43</f>
        <v>1.6</v>
      </c>
      <c r="O43" s="55" t="n">
        <v>1</v>
      </c>
      <c r="P43" s="53" t="n">
        <f aca="false">(F43+H43+J43+L43)*O43</f>
        <v>5</v>
      </c>
      <c r="Q43" s="74" t="n">
        <f aca="false">M43*O43</f>
        <v>10.1</v>
      </c>
      <c r="R43" s="74" t="n">
        <f aca="false">N43*O43</f>
        <v>1.6</v>
      </c>
    </row>
    <row r="44" customFormat="false" ht="15" hidden="false" customHeight="false" outlineLevel="0" collapsed="false">
      <c r="A44" s="53" t="n">
        <v>1</v>
      </c>
      <c r="B44" s="53" t="n">
        <v>25</v>
      </c>
      <c r="C44" s="76" t="s">
        <v>512</v>
      </c>
      <c r="D44" s="53" t="n">
        <v>13</v>
      </c>
      <c r="E44" s="73" t="n">
        <v>4</v>
      </c>
      <c r="F44" s="55" t="n">
        <v>2</v>
      </c>
      <c r="G44" s="73" t="n">
        <v>2.05</v>
      </c>
      <c r="H44" s="55" t="n">
        <v>1</v>
      </c>
      <c r="I44" s="20"/>
      <c r="J44" s="20"/>
      <c r="K44" s="20"/>
      <c r="L44" s="20"/>
      <c r="M44" s="41" t="n">
        <f aca="false">E44*F44+G44*H44+I44*J44+K44*L44</f>
        <v>10.05</v>
      </c>
      <c r="N44" s="41" t="n">
        <f aca="false">Исходные!$B$15-M44</f>
        <v>1.65</v>
      </c>
      <c r="O44" s="55" t="n">
        <v>10</v>
      </c>
      <c r="P44" s="53" t="n">
        <f aca="false">(F44+H44+J44+L44)*O44</f>
        <v>30</v>
      </c>
      <c r="Q44" s="74" t="n">
        <f aca="false">M44*O44</f>
        <v>100.5</v>
      </c>
      <c r="R44" s="74" t="n">
        <f aca="false">N44*O44</f>
        <v>16.5</v>
      </c>
    </row>
    <row r="45" customFormat="false" ht="15" hidden="false" customHeight="false" outlineLevel="0" collapsed="false">
      <c r="A45" s="53" t="n">
        <v>1</v>
      </c>
      <c r="B45" s="53" t="n">
        <v>25</v>
      </c>
      <c r="C45" s="76" t="s">
        <v>512</v>
      </c>
      <c r="D45" s="53" t="n">
        <v>14</v>
      </c>
      <c r="E45" s="73" t="n">
        <v>2</v>
      </c>
      <c r="F45" s="55" t="n">
        <v>5</v>
      </c>
      <c r="G45" s="20"/>
      <c r="H45" s="20"/>
      <c r="I45" s="20"/>
      <c r="J45" s="20"/>
      <c r="K45" s="20"/>
      <c r="L45" s="20"/>
      <c r="M45" s="41" t="n">
        <f aca="false">E45*F45+G45*H45+I45*J45+K45*L45</f>
        <v>10</v>
      </c>
      <c r="N45" s="41" t="n">
        <f aca="false">Исходные!$B$15-M45</f>
        <v>1.7</v>
      </c>
      <c r="O45" s="55" t="n">
        <v>1</v>
      </c>
      <c r="P45" s="53" t="n">
        <f aca="false">(F45+H45+J45+L45)*O45</f>
        <v>5</v>
      </c>
      <c r="Q45" s="74" t="n">
        <f aca="false">M45*O45</f>
        <v>10</v>
      </c>
      <c r="R45" s="74" t="n">
        <f aca="false">N45*O45</f>
        <v>1.7</v>
      </c>
    </row>
    <row r="46" customFormat="false" ht="15" hidden="false" customHeight="false" outlineLevel="0" collapsed="false">
      <c r="A46" s="53" t="n">
        <v>1</v>
      </c>
      <c r="B46" s="53" t="n">
        <v>22</v>
      </c>
      <c r="C46" s="76" t="s">
        <v>512</v>
      </c>
      <c r="D46" s="53" t="n">
        <v>1</v>
      </c>
      <c r="E46" s="73" t="n">
        <v>4</v>
      </c>
      <c r="F46" s="55" t="n">
        <v>2</v>
      </c>
      <c r="G46" s="73" t="n">
        <v>2.375</v>
      </c>
      <c r="H46" s="55" t="n">
        <v>1</v>
      </c>
      <c r="I46" s="73" t="n">
        <v>1.3</v>
      </c>
      <c r="J46" s="55" t="n">
        <v>1</v>
      </c>
      <c r="K46" s="20"/>
      <c r="L46" s="20"/>
      <c r="M46" s="41" t="n">
        <f aca="false">E46*F46+G46*H46+I46*J46+K46*L46</f>
        <v>11.675</v>
      </c>
      <c r="N46" s="41" t="n">
        <f aca="false">Исходные!$B$15-M46</f>
        <v>0.0249999999999986</v>
      </c>
      <c r="O46" s="55" t="n">
        <v>3</v>
      </c>
      <c r="P46" s="53" t="n">
        <f aca="false">(F46+H46+J46+L46)*O46</f>
        <v>12</v>
      </c>
      <c r="Q46" s="74" t="n">
        <f aca="false">M46*O46</f>
        <v>35.025</v>
      </c>
      <c r="R46" s="74" t="n">
        <f aca="false">N46*O46</f>
        <v>0.0749999999999957</v>
      </c>
    </row>
    <row r="47" customFormat="false" ht="15" hidden="false" customHeight="false" outlineLevel="0" collapsed="false">
      <c r="A47" s="53" t="n">
        <v>1</v>
      </c>
      <c r="B47" s="53" t="n">
        <v>22</v>
      </c>
      <c r="C47" s="76" t="s">
        <v>512</v>
      </c>
      <c r="D47" s="53" t="n">
        <v>2</v>
      </c>
      <c r="E47" s="73" t="n">
        <v>4.7</v>
      </c>
      <c r="F47" s="55" t="n">
        <v>2</v>
      </c>
      <c r="G47" s="73" t="n">
        <v>2.175</v>
      </c>
      <c r="H47" s="55" t="n">
        <v>1</v>
      </c>
      <c r="I47" s="20"/>
      <c r="J47" s="20"/>
      <c r="K47" s="20"/>
      <c r="L47" s="20"/>
      <c r="M47" s="41" t="n">
        <f aca="false">E47*F47+G47*H47+I47*J47+K47*L47</f>
        <v>11.575</v>
      </c>
      <c r="N47" s="41" t="n">
        <f aca="false">Исходные!$B$15-M47</f>
        <v>0.125</v>
      </c>
      <c r="O47" s="55" t="n">
        <v>1</v>
      </c>
      <c r="P47" s="53" t="n">
        <f aca="false">(F47+H47+J47+L47)*O47</f>
        <v>3</v>
      </c>
      <c r="Q47" s="74" t="n">
        <f aca="false">M47*O47</f>
        <v>11.575</v>
      </c>
      <c r="R47" s="74" t="n">
        <f aca="false">N47*O47</f>
        <v>0.125</v>
      </c>
    </row>
    <row r="48" customFormat="false" ht="15" hidden="false" customHeight="false" outlineLevel="0" collapsed="false">
      <c r="A48" s="53" t="n">
        <v>1</v>
      </c>
      <c r="B48" s="53" t="n">
        <v>22</v>
      </c>
      <c r="C48" s="76" t="s">
        <v>512</v>
      </c>
      <c r="D48" s="53" t="n">
        <v>3</v>
      </c>
      <c r="E48" s="73" t="n">
        <v>3.775</v>
      </c>
      <c r="F48" s="55" t="n">
        <v>1</v>
      </c>
      <c r="G48" s="73" t="n">
        <v>2.15</v>
      </c>
      <c r="H48" s="55" t="n">
        <v>3</v>
      </c>
      <c r="I48" s="73" t="n">
        <v>1.3</v>
      </c>
      <c r="J48" s="55" t="n">
        <v>1</v>
      </c>
      <c r="K48" s="20"/>
      <c r="L48" s="20"/>
      <c r="M48" s="41" t="n">
        <f aca="false">E48*F48+G48*H48+I48*J48+K48*L48</f>
        <v>11.525</v>
      </c>
      <c r="N48" s="41" t="n">
        <f aca="false">Исходные!$B$15-M48</f>
        <v>0.174999999999999</v>
      </c>
      <c r="O48" s="55" t="n">
        <v>1</v>
      </c>
      <c r="P48" s="53" t="n">
        <f aca="false">(F48+H48+J48+L48)*O48</f>
        <v>5</v>
      </c>
      <c r="Q48" s="74" t="n">
        <f aca="false">M48*O48</f>
        <v>11.525</v>
      </c>
      <c r="R48" s="74" t="n">
        <f aca="false">N48*O48</f>
        <v>0.174999999999999</v>
      </c>
    </row>
    <row r="49" customFormat="false" ht="15" hidden="false" customHeight="false" outlineLevel="0" collapsed="false">
      <c r="A49" s="53" t="n">
        <v>1</v>
      </c>
      <c r="B49" s="53" t="n">
        <v>22</v>
      </c>
      <c r="C49" s="76" t="s">
        <v>512</v>
      </c>
      <c r="D49" s="53" t="n">
        <v>4</v>
      </c>
      <c r="E49" s="73" t="n">
        <v>4.15</v>
      </c>
      <c r="F49" s="55" t="n">
        <v>2</v>
      </c>
      <c r="G49" s="73" t="n">
        <v>3.2</v>
      </c>
      <c r="H49" s="55" t="n">
        <v>1</v>
      </c>
      <c r="I49" s="20"/>
      <c r="J49" s="20"/>
      <c r="K49" s="20"/>
      <c r="L49" s="20"/>
      <c r="M49" s="41" t="n">
        <f aca="false">E49*F49+G49*H49+I49*J49+K49*L49</f>
        <v>11.5</v>
      </c>
      <c r="N49" s="41" t="n">
        <f aca="false">Исходные!$B$15-M49</f>
        <v>0.199999999999999</v>
      </c>
      <c r="O49" s="55" t="n">
        <v>4</v>
      </c>
      <c r="P49" s="53" t="n">
        <f aca="false">(F49+H49+J49+L49)*O49</f>
        <v>12</v>
      </c>
      <c r="Q49" s="74" t="n">
        <f aca="false">M49*O49</f>
        <v>46</v>
      </c>
      <c r="R49" s="74" t="n">
        <f aca="false">N49*O49</f>
        <v>0.799999999999997</v>
      </c>
    </row>
    <row r="50" customFormat="false" ht="15" hidden="false" customHeight="false" outlineLevel="0" collapsed="false">
      <c r="A50" s="53" t="n">
        <v>1</v>
      </c>
      <c r="B50" s="53" t="n">
        <v>22</v>
      </c>
      <c r="C50" s="76" t="s">
        <v>512</v>
      </c>
      <c r="D50" s="53" t="n">
        <v>5</v>
      </c>
      <c r="E50" s="73" t="n">
        <v>4</v>
      </c>
      <c r="F50" s="55" t="n">
        <v>2</v>
      </c>
      <c r="G50" s="73" t="n">
        <v>2.175</v>
      </c>
      <c r="H50" s="55" t="n">
        <v>1</v>
      </c>
      <c r="I50" s="73" t="n">
        <v>1.3</v>
      </c>
      <c r="J50" s="55" t="n">
        <v>1</v>
      </c>
      <c r="K50" s="20"/>
      <c r="L50" s="20"/>
      <c r="M50" s="41" t="n">
        <f aca="false">E50*F50+G50*H50+I50*J50+K50*L50</f>
        <v>11.475</v>
      </c>
      <c r="N50" s="41" t="n">
        <f aca="false">Исходные!$B$15-M50</f>
        <v>0.224999999999998</v>
      </c>
      <c r="O50" s="55" t="n">
        <v>6</v>
      </c>
      <c r="P50" s="53" t="n">
        <f aca="false">(F50+H50+J50+L50)*O50</f>
        <v>24</v>
      </c>
      <c r="Q50" s="74" t="n">
        <f aca="false">M50*O50</f>
        <v>68.85</v>
      </c>
      <c r="R50" s="74" t="n">
        <f aca="false">N50*O50</f>
        <v>1.34999999999999</v>
      </c>
    </row>
    <row r="51" customFormat="false" ht="15" hidden="false" customHeight="false" outlineLevel="0" collapsed="false">
      <c r="A51" s="53" t="n">
        <v>1</v>
      </c>
      <c r="B51" s="53" t="n">
        <v>22</v>
      </c>
      <c r="C51" s="76" t="s">
        <v>512</v>
      </c>
      <c r="D51" s="53" t="n">
        <v>6</v>
      </c>
      <c r="E51" s="73" t="n">
        <v>4.5</v>
      </c>
      <c r="F51" s="55" t="n">
        <v>2</v>
      </c>
      <c r="G51" s="73" t="n">
        <v>2.375</v>
      </c>
      <c r="H51" s="55" t="n">
        <v>1</v>
      </c>
      <c r="I51" s="20"/>
      <c r="J51" s="20"/>
      <c r="K51" s="20"/>
      <c r="L51" s="20"/>
      <c r="M51" s="41" t="n">
        <f aca="false">E51*F51+G51*H51+I51*J51+K51*L51</f>
        <v>11.375</v>
      </c>
      <c r="N51" s="41" t="n">
        <f aca="false">Исходные!$B$15-M51</f>
        <v>0.324999999999999</v>
      </c>
      <c r="O51" s="55" t="n">
        <v>1</v>
      </c>
      <c r="P51" s="53" t="n">
        <f aca="false">(F51+H51+J51+L51)*O51</f>
        <v>3</v>
      </c>
      <c r="Q51" s="74" t="n">
        <f aca="false">M51*O51</f>
        <v>11.375</v>
      </c>
      <c r="R51" s="74" t="n">
        <f aca="false">N51*O51</f>
        <v>0.324999999999999</v>
      </c>
    </row>
    <row r="52" customFormat="false" ht="15" hidden="false" customHeight="false" outlineLevel="0" collapsed="false">
      <c r="A52" s="53" t="n">
        <v>1</v>
      </c>
      <c r="B52" s="53" t="n">
        <v>22</v>
      </c>
      <c r="C52" s="76" t="s">
        <v>512</v>
      </c>
      <c r="D52" s="53" t="n">
        <v>7</v>
      </c>
      <c r="E52" s="73" t="n">
        <v>3.775</v>
      </c>
      <c r="F52" s="55" t="n">
        <v>3</v>
      </c>
      <c r="G52" s="20"/>
      <c r="H52" s="20"/>
      <c r="I52" s="20"/>
      <c r="J52" s="20"/>
      <c r="K52" s="20"/>
      <c r="L52" s="20"/>
      <c r="M52" s="41" t="n">
        <f aca="false">E52*F52+G52*H52+I52*J52+K52*L52</f>
        <v>11.325</v>
      </c>
      <c r="N52" s="41" t="n">
        <f aca="false">Исходные!$B$15-M52</f>
        <v>0.375</v>
      </c>
      <c r="O52" s="55" t="n">
        <v>1</v>
      </c>
      <c r="P52" s="53" t="n">
        <f aca="false">(F52+H52+J52+L52)*O52</f>
        <v>3</v>
      </c>
      <c r="Q52" s="74" t="n">
        <f aca="false">M52*O52</f>
        <v>11.325</v>
      </c>
      <c r="R52" s="74" t="n">
        <f aca="false">N52*O52</f>
        <v>0.375</v>
      </c>
    </row>
    <row r="53" customFormat="false" ht="15" hidden="false" customHeight="false" outlineLevel="0" collapsed="false">
      <c r="A53" s="53" t="n">
        <v>1</v>
      </c>
      <c r="B53" s="53" t="n">
        <v>22</v>
      </c>
      <c r="C53" s="76" t="s">
        <v>512</v>
      </c>
      <c r="D53" s="53" t="n">
        <v>8</v>
      </c>
      <c r="E53" s="73" t="n">
        <v>5.5</v>
      </c>
      <c r="F53" s="55" t="n">
        <v>2</v>
      </c>
      <c r="G53" s="20"/>
      <c r="H53" s="20"/>
      <c r="I53" s="20"/>
      <c r="J53" s="20"/>
      <c r="K53" s="20"/>
      <c r="L53" s="20"/>
      <c r="M53" s="41" t="n">
        <f aca="false">E53*F53+G53*H53+I53*J53+K53*L53</f>
        <v>11</v>
      </c>
      <c r="N53" s="41" t="n">
        <f aca="false">Исходные!$B$15-M53</f>
        <v>0.699999999999999</v>
      </c>
      <c r="O53" s="55" t="n">
        <v>2</v>
      </c>
      <c r="P53" s="53" t="n">
        <f aca="false">(F53+H53+J53+L53)*O53</f>
        <v>4</v>
      </c>
      <c r="Q53" s="74" t="n">
        <f aca="false">M53*O53</f>
        <v>22</v>
      </c>
      <c r="R53" s="74" t="n">
        <f aca="false">N53*O53</f>
        <v>1.4</v>
      </c>
    </row>
    <row r="54" customFormat="false" ht="15" hidden="false" customHeight="false" outlineLevel="0" collapsed="false">
      <c r="A54" s="53" t="n">
        <v>1</v>
      </c>
      <c r="B54" s="53" t="n">
        <v>22</v>
      </c>
      <c r="C54" s="76" t="s">
        <v>512</v>
      </c>
      <c r="D54" s="53" t="n">
        <v>9</v>
      </c>
      <c r="E54" s="73" t="n">
        <v>2.15</v>
      </c>
      <c r="F54" s="55" t="n">
        <v>5</v>
      </c>
      <c r="G54" s="20"/>
      <c r="H54" s="20"/>
      <c r="I54" s="20"/>
      <c r="J54" s="20"/>
      <c r="K54" s="20"/>
      <c r="L54" s="20"/>
      <c r="M54" s="41" t="n">
        <f aca="false">E54*F54+G54*H54+I54*J54+K54*L54</f>
        <v>10.75</v>
      </c>
      <c r="N54" s="41" t="n">
        <f aca="false">Исходные!$B$15-M54</f>
        <v>0.949999999999999</v>
      </c>
      <c r="O54" s="55" t="n">
        <v>1</v>
      </c>
      <c r="P54" s="53" t="n">
        <f aca="false">(F54+H54+J54+L54)*O54</f>
        <v>5</v>
      </c>
      <c r="Q54" s="74" t="n">
        <f aca="false">M54*O54</f>
        <v>10.75</v>
      </c>
      <c r="R54" s="74" t="n">
        <f aca="false">N54*O54</f>
        <v>0.949999999999999</v>
      </c>
    </row>
    <row r="55" customFormat="false" ht="15" hidden="false" customHeight="false" outlineLevel="0" collapsed="false">
      <c r="A55" s="53" t="n">
        <v>1</v>
      </c>
      <c r="B55" s="53" t="n">
        <v>22</v>
      </c>
      <c r="C55" s="76" t="s">
        <v>512</v>
      </c>
      <c r="D55" s="53" t="n">
        <v>10</v>
      </c>
      <c r="E55" s="73" t="n">
        <v>2.15</v>
      </c>
      <c r="F55" s="55" t="n">
        <v>4</v>
      </c>
      <c r="G55" s="73" t="n">
        <v>2.05</v>
      </c>
      <c r="H55" s="55" t="n">
        <v>1</v>
      </c>
      <c r="I55" s="20"/>
      <c r="J55" s="20"/>
      <c r="K55" s="20"/>
      <c r="L55" s="20"/>
      <c r="M55" s="41" t="n">
        <f aca="false">E55*F55+G55*H55+I55*J55+K55*L55</f>
        <v>10.65</v>
      </c>
      <c r="N55" s="41" t="n">
        <f aca="false">Исходные!$B$15-M55</f>
        <v>1.05</v>
      </c>
      <c r="O55" s="55" t="n">
        <v>1</v>
      </c>
      <c r="P55" s="53" t="n">
        <f aca="false">(F55+H55+J55+L55)*O55</f>
        <v>5</v>
      </c>
      <c r="Q55" s="74" t="n">
        <f aca="false">M55*O55</f>
        <v>10.65</v>
      </c>
      <c r="R55" s="74" t="n">
        <f aca="false">N55*O55</f>
        <v>1.05</v>
      </c>
    </row>
    <row r="56" customFormat="false" ht="15" hidden="false" customHeight="false" outlineLevel="0" collapsed="false">
      <c r="A56" s="53" t="n">
        <v>1</v>
      </c>
      <c r="B56" s="53" t="n">
        <v>22</v>
      </c>
      <c r="C56" s="76" t="s">
        <v>512</v>
      </c>
      <c r="D56" s="53" t="n">
        <v>11</v>
      </c>
      <c r="E56" s="73" t="n">
        <v>4</v>
      </c>
      <c r="F56" s="55" t="n">
        <v>2</v>
      </c>
      <c r="G56" s="73" t="n">
        <v>2.175</v>
      </c>
      <c r="H56" s="55" t="n">
        <v>1</v>
      </c>
      <c r="I56" s="20"/>
      <c r="J56" s="20"/>
      <c r="K56" s="20"/>
      <c r="L56" s="20"/>
      <c r="M56" s="41" t="n">
        <f aca="false">E56*F56+G56*H56+I56*J56+K56*L56</f>
        <v>10.175</v>
      </c>
      <c r="N56" s="41" t="n">
        <f aca="false">Исходные!$B$15-M56</f>
        <v>1.525</v>
      </c>
      <c r="O56" s="55" t="n">
        <v>9</v>
      </c>
      <c r="P56" s="53" t="n">
        <f aca="false">(F56+H56+J56+L56)*O56</f>
        <v>27</v>
      </c>
      <c r="Q56" s="74" t="n">
        <f aca="false">M56*O56</f>
        <v>91.575</v>
      </c>
      <c r="R56" s="74" t="n">
        <f aca="false">N56*O56</f>
        <v>13.725</v>
      </c>
    </row>
    <row r="57" customFormat="false" ht="15" hidden="false" customHeight="false" outlineLevel="0" collapsed="false">
      <c r="A57" s="53" t="n">
        <v>1</v>
      </c>
      <c r="B57" s="53" t="n">
        <v>22</v>
      </c>
      <c r="C57" s="76" t="s">
        <v>512</v>
      </c>
      <c r="D57" s="53" t="n">
        <v>12</v>
      </c>
      <c r="E57" s="73" t="n">
        <v>7.95</v>
      </c>
      <c r="F57" s="55" t="n">
        <v>1</v>
      </c>
      <c r="G57" s="73" t="n">
        <v>2.15</v>
      </c>
      <c r="H57" s="55" t="n">
        <v>1</v>
      </c>
      <c r="I57" s="20"/>
      <c r="J57" s="20"/>
      <c r="K57" s="20"/>
      <c r="L57" s="20"/>
      <c r="M57" s="41" t="n">
        <f aca="false">E57*F57+G57*H57+I57*J57+K57*L57</f>
        <v>10.1</v>
      </c>
      <c r="N57" s="41" t="n">
        <f aca="false">Исходные!$B$15-M57</f>
        <v>1.6</v>
      </c>
      <c r="O57" s="55" t="n">
        <v>4</v>
      </c>
      <c r="P57" s="53" t="n">
        <f aca="false">(F57+H57+J57+L57)*O57</f>
        <v>8</v>
      </c>
      <c r="Q57" s="74" t="n">
        <f aca="false">M57*O57</f>
        <v>40.4</v>
      </c>
      <c r="R57" s="74" t="n">
        <f aca="false">N57*O57</f>
        <v>6.4</v>
      </c>
    </row>
    <row r="58" customFormat="false" ht="15" hidden="false" customHeight="false" outlineLevel="0" collapsed="false">
      <c r="A58" s="53" t="n">
        <v>1</v>
      </c>
      <c r="B58" s="53" t="n">
        <v>22</v>
      </c>
      <c r="C58" s="76" t="s">
        <v>512</v>
      </c>
      <c r="D58" s="53" t="n">
        <v>13</v>
      </c>
      <c r="E58" s="73" t="n">
        <v>2.05</v>
      </c>
      <c r="F58" s="55" t="n">
        <v>1</v>
      </c>
      <c r="G58" s="20"/>
      <c r="H58" s="20"/>
      <c r="I58" s="20"/>
      <c r="J58" s="20"/>
      <c r="K58" s="20"/>
      <c r="L58" s="20"/>
      <c r="M58" s="41" t="n">
        <f aca="false">E58*F58+G58*H58+I58*J58+K58*L58</f>
        <v>2.05</v>
      </c>
      <c r="N58" s="41" t="n">
        <f aca="false">Исходные!$B$15-M58</f>
        <v>9.65</v>
      </c>
      <c r="O58" s="55" t="n">
        <v>1</v>
      </c>
      <c r="P58" s="53" t="n">
        <f aca="false">(F58+H58+J58+L58)*O58</f>
        <v>1</v>
      </c>
      <c r="Q58" s="74" t="n">
        <f aca="false">M58*O58</f>
        <v>2.05</v>
      </c>
      <c r="R58" s="74" t="n">
        <f aca="false">N58*O58</f>
        <v>9.65</v>
      </c>
    </row>
    <row r="59" customFormat="false" ht="15" hidden="false" customHeight="false" outlineLevel="0" collapsed="false">
      <c r="A59" s="53" t="n">
        <v>1</v>
      </c>
      <c r="B59" s="53" t="n">
        <v>20</v>
      </c>
      <c r="C59" s="76" t="s">
        <v>512</v>
      </c>
      <c r="D59" s="53" t="n">
        <v>1</v>
      </c>
      <c r="E59" s="73" t="n">
        <v>4</v>
      </c>
      <c r="F59" s="55" t="n">
        <v>2</v>
      </c>
      <c r="G59" s="73" t="n">
        <v>2.4</v>
      </c>
      <c r="H59" s="55" t="n">
        <v>1</v>
      </c>
      <c r="I59" s="73" t="n">
        <v>1.2</v>
      </c>
      <c r="J59" s="55" t="n">
        <v>1</v>
      </c>
      <c r="K59" s="20"/>
      <c r="L59" s="20"/>
      <c r="M59" s="41" t="n">
        <f aca="false">E59*F59+G59*H59+I59*J59+K59*L59</f>
        <v>11.6</v>
      </c>
      <c r="N59" s="41" t="n">
        <f aca="false">Исходные!$B$15-M59</f>
        <v>0.0999999999999996</v>
      </c>
      <c r="O59" s="55" t="n">
        <v>1</v>
      </c>
      <c r="P59" s="53" t="n">
        <f aca="false">(F59+H59+J59+L59)*O59</f>
        <v>4</v>
      </c>
      <c r="Q59" s="74" t="n">
        <f aca="false">M59*O59</f>
        <v>11.6</v>
      </c>
      <c r="R59" s="74" t="n">
        <f aca="false">N59*O59</f>
        <v>0.0999999999999996</v>
      </c>
    </row>
    <row r="60" customFormat="false" ht="15" hidden="false" customHeight="false" outlineLevel="0" collapsed="false">
      <c r="A60" s="53" t="n">
        <v>1</v>
      </c>
      <c r="B60" s="53" t="n">
        <v>20</v>
      </c>
      <c r="C60" s="76" t="s">
        <v>512</v>
      </c>
      <c r="D60" s="53" t="n">
        <v>2</v>
      </c>
      <c r="E60" s="73" t="n">
        <v>4</v>
      </c>
      <c r="F60" s="55" t="n">
        <v>2</v>
      </c>
      <c r="G60" s="73" t="n">
        <v>1.2</v>
      </c>
      <c r="H60" s="55" t="n">
        <v>3</v>
      </c>
      <c r="I60" s="20"/>
      <c r="J60" s="20"/>
      <c r="K60" s="20"/>
      <c r="L60" s="20"/>
      <c r="M60" s="41" t="n">
        <f aca="false">E60*F60+G60*H60+I60*J60+K60*L60</f>
        <v>11.6</v>
      </c>
      <c r="N60" s="41" t="n">
        <f aca="false">Исходные!$B$15-M60</f>
        <v>0.0999999999999996</v>
      </c>
      <c r="O60" s="55" t="n">
        <v>1</v>
      </c>
      <c r="P60" s="53" t="n">
        <f aca="false">(F60+H60+J60+L60)*O60</f>
        <v>5</v>
      </c>
      <c r="Q60" s="74" t="n">
        <f aca="false">M60*O60</f>
        <v>11.6</v>
      </c>
      <c r="R60" s="74" t="n">
        <f aca="false">N60*O60</f>
        <v>0.0999999999999996</v>
      </c>
    </row>
    <row r="61" customFormat="false" ht="15" hidden="false" customHeight="false" outlineLevel="0" collapsed="false">
      <c r="A61" s="53" t="n">
        <v>1</v>
      </c>
      <c r="B61" s="53" t="n">
        <v>20</v>
      </c>
      <c r="C61" s="76" t="s">
        <v>512</v>
      </c>
      <c r="D61" s="53" t="n">
        <v>3</v>
      </c>
      <c r="E61" s="73" t="n">
        <v>4.1</v>
      </c>
      <c r="F61" s="55" t="n">
        <v>2</v>
      </c>
      <c r="G61" s="73" t="n">
        <v>3.325</v>
      </c>
      <c r="H61" s="55" t="n">
        <v>1</v>
      </c>
      <c r="I61" s="20"/>
      <c r="J61" s="20"/>
      <c r="K61" s="20"/>
      <c r="L61" s="20"/>
      <c r="M61" s="41" t="n">
        <f aca="false">E61*F61+G61*H61+I61*J61+K61*L61</f>
        <v>11.525</v>
      </c>
      <c r="N61" s="41" t="n">
        <f aca="false">Исходные!$B$15-M61</f>
        <v>0.175000000000001</v>
      </c>
      <c r="O61" s="55" t="n">
        <v>2</v>
      </c>
      <c r="P61" s="53" t="n">
        <f aca="false">(F61+H61+J61+L61)*O61</f>
        <v>6</v>
      </c>
      <c r="Q61" s="74" t="n">
        <f aca="false">M61*O61</f>
        <v>23.05</v>
      </c>
      <c r="R61" s="74" t="n">
        <f aca="false">N61*O61</f>
        <v>0.350000000000001</v>
      </c>
    </row>
    <row r="62" customFormat="false" ht="15" hidden="false" customHeight="false" outlineLevel="0" collapsed="false">
      <c r="A62" s="53" t="n">
        <v>1</v>
      </c>
      <c r="B62" s="53" t="n">
        <v>20</v>
      </c>
      <c r="C62" s="76" t="s">
        <v>512</v>
      </c>
      <c r="D62" s="53" t="n">
        <v>4</v>
      </c>
      <c r="E62" s="73" t="n">
        <v>3.785</v>
      </c>
      <c r="F62" s="55" t="n">
        <v>3</v>
      </c>
      <c r="G62" s="20"/>
      <c r="H62" s="20"/>
      <c r="I62" s="20"/>
      <c r="J62" s="20"/>
      <c r="K62" s="20"/>
      <c r="L62" s="20"/>
      <c r="M62" s="41" t="n">
        <f aca="false">E62*F62+G62*H62+I62*J62+K62*L62</f>
        <v>11.355</v>
      </c>
      <c r="N62" s="41" t="n">
        <f aca="false">Исходные!$B$15-M62</f>
        <v>0.344999999999999</v>
      </c>
      <c r="O62" s="55" t="n">
        <v>1</v>
      </c>
      <c r="P62" s="53" t="n">
        <f aca="false">(F62+H62+J62+L62)*O62</f>
        <v>3</v>
      </c>
      <c r="Q62" s="74" t="n">
        <f aca="false">M62*O62</f>
        <v>11.355</v>
      </c>
      <c r="R62" s="74" t="n">
        <f aca="false">N62*O62</f>
        <v>0.344999999999999</v>
      </c>
    </row>
    <row r="63" customFormat="false" ht="15" hidden="false" customHeight="false" outlineLevel="0" collapsed="false">
      <c r="A63" s="53" t="n">
        <v>1</v>
      </c>
      <c r="B63" s="53" t="n">
        <v>20</v>
      </c>
      <c r="C63" s="76" t="s">
        <v>512</v>
      </c>
      <c r="D63" s="53" t="n">
        <v>5</v>
      </c>
      <c r="E63" s="73" t="n">
        <v>4</v>
      </c>
      <c r="F63" s="55" t="n">
        <v>2</v>
      </c>
      <c r="G63" s="73" t="n">
        <v>3.325</v>
      </c>
      <c r="H63" s="55" t="n">
        <v>1</v>
      </c>
      <c r="I63" s="20"/>
      <c r="J63" s="20"/>
      <c r="K63" s="20"/>
      <c r="L63" s="20"/>
      <c r="M63" s="41" t="n">
        <f aca="false">E63*F63+G63*H63+I63*J63+K63*L63</f>
        <v>11.325</v>
      </c>
      <c r="N63" s="41" t="n">
        <f aca="false">Исходные!$B$15-M63</f>
        <v>0.375</v>
      </c>
      <c r="O63" s="55" t="n">
        <v>2</v>
      </c>
      <c r="P63" s="53" t="n">
        <f aca="false">(F63+H63+J63+L63)*O63</f>
        <v>6</v>
      </c>
      <c r="Q63" s="74" t="n">
        <f aca="false">M63*O63</f>
        <v>22.65</v>
      </c>
      <c r="R63" s="74" t="n">
        <f aca="false">N63*O63</f>
        <v>0.75</v>
      </c>
    </row>
    <row r="64" customFormat="false" ht="15" hidden="false" customHeight="false" outlineLevel="0" collapsed="false">
      <c r="A64" s="53" t="n">
        <v>1</v>
      </c>
      <c r="B64" s="53" t="n">
        <v>20</v>
      </c>
      <c r="C64" s="76" t="s">
        <v>512</v>
      </c>
      <c r="D64" s="53" t="n">
        <v>6</v>
      </c>
      <c r="E64" s="73" t="n">
        <v>4</v>
      </c>
      <c r="F64" s="55" t="n">
        <v>2</v>
      </c>
      <c r="G64" s="73" t="n">
        <v>1.95</v>
      </c>
      <c r="H64" s="55" t="n">
        <v>1</v>
      </c>
      <c r="I64" s="73" t="n">
        <v>1.2</v>
      </c>
      <c r="J64" s="55" t="n">
        <v>1</v>
      </c>
      <c r="K64" s="20"/>
      <c r="L64" s="20"/>
      <c r="M64" s="41" t="n">
        <f aca="false">E64*F64+G64*H64+I64*J64+K64*L64</f>
        <v>11.15</v>
      </c>
      <c r="N64" s="41" t="n">
        <f aca="false">Исходные!$B$15-M64</f>
        <v>0.550000000000001</v>
      </c>
      <c r="O64" s="55" t="n">
        <v>10</v>
      </c>
      <c r="P64" s="53" t="n">
        <f aca="false">(F64+H64+J64+L64)*O64</f>
        <v>40</v>
      </c>
      <c r="Q64" s="74" t="n">
        <f aca="false">M64*O64</f>
        <v>111.5</v>
      </c>
      <c r="R64" s="74" t="n">
        <f aca="false">N64*O64</f>
        <v>5.50000000000001</v>
      </c>
    </row>
    <row r="65" customFormat="false" ht="15" hidden="false" customHeight="false" outlineLevel="0" collapsed="false">
      <c r="A65" s="53" t="n">
        <v>1</v>
      </c>
      <c r="B65" s="53" t="n">
        <v>20</v>
      </c>
      <c r="C65" s="76" t="s">
        <v>512</v>
      </c>
      <c r="D65" s="53" t="n">
        <v>7</v>
      </c>
      <c r="E65" s="73" t="n">
        <v>4</v>
      </c>
      <c r="F65" s="55" t="n">
        <v>2</v>
      </c>
      <c r="G65" s="73" t="n">
        <v>3.05</v>
      </c>
      <c r="H65" s="55" t="n">
        <v>1</v>
      </c>
      <c r="I65" s="20"/>
      <c r="J65" s="20"/>
      <c r="K65" s="20"/>
      <c r="L65" s="20"/>
      <c r="M65" s="41" t="n">
        <f aca="false">E65*F65+G65*H65+I65*J65+K65*L65</f>
        <v>11.05</v>
      </c>
      <c r="N65" s="41" t="n">
        <f aca="false">Исходные!$B$15-M65</f>
        <v>0.649999999999999</v>
      </c>
      <c r="O65" s="55" t="n">
        <v>4</v>
      </c>
      <c r="P65" s="53" t="n">
        <f aca="false">(F65+H65+J65+L65)*O65</f>
        <v>12</v>
      </c>
      <c r="Q65" s="74" t="n">
        <f aca="false">M65*O65</f>
        <v>44.2</v>
      </c>
      <c r="R65" s="74" t="n">
        <f aca="false">N65*O65</f>
        <v>2.59999999999999</v>
      </c>
    </row>
    <row r="66" customFormat="false" ht="15" hidden="false" customHeight="false" outlineLevel="0" collapsed="false">
      <c r="A66" s="53" t="n">
        <v>1</v>
      </c>
      <c r="B66" s="53" t="n">
        <v>20</v>
      </c>
      <c r="C66" s="76" t="s">
        <v>512</v>
      </c>
      <c r="D66" s="53" t="n">
        <v>8</v>
      </c>
      <c r="E66" s="73" t="n">
        <v>4</v>
      </c>
      <c r="F66" s="55" t="n">
        <v>2</v>
      </c>
      <c r="G66" s="73" t="n">
        <v>3</v>
      </c>
      <c r="H66" s="55" t="n">
        <v>1</v>
      </c>
      <c r="I66" s="20"/>
      <c r="J66" s="20"/>
      <c r="K66" s="20"/>
      <c r="L66" s="20"/>
      <c r="M66" s="41" t="n">
        <f aca="false">E66*F66+G66*H66+I66*J66+K66*L66</f>
        <v>11</v>
      </c>
      <c r="N66" s="41" t="n">
        <f aca="false">Исходные!$B$15-M66</f>
        <v>0.699999999999999</v>
      </c>
      <c r="O66" s="55" t="n">
        <v>6</v>
      </c>
      <c r="P66" s="53" t="n">
        <f aca="false">(F66+H66+J66+L66)*O66</f>
        <v>18</v>
      </c>
      <c r="Q66" s="74" t="n">
        <f aca="false">M66*O66</f>
        <v>66</v>
      </c>
      <c r="R66" s="74" t="n">
        <f aca="false">N66*O66</f>
        <v>4.2</v>
      </c>
    </row>
    <row r="67" customFormat="false" ht="15" hidden="false" customHeight="false" outlineLevel="0" collapsed="false">
      <c r="A67" s="53" t="n">
        <v>1</v>
      </c>
      <c r="B67" s="53" t="n">
        <v>20</v>
      </c>
      <c r="C67" s="76" t="s">
        <v>512</v>
      </c>
      <c r="D67" s="53" t="n">
        <v>9</v>
      </c>
      <c r="E67" s="73" t="n">
        <v>4</v>
      </c>
      <c r="F67" s="55" t="n">
        <v>2</v>
      </c>
      <c r="G67" s="73" t="n">
        <v>2.85</v>
      </c>
      <c r="H67" s="55" t="n">
        <v>1</v>
      </c>
      <c r="I67" s="20"/>
      <c r="J67" s="20"/>
      <c r="K67" s="20"/>
      <c r="L67" s="20"/>
      <c r="M67" s="41" t="n">
        <f aca="false">E67*F67+G67*H67+I67*J67+K67*L67</f>
        <v>10.85</v>
      </c>
      <c r="N67" s="41" t="n">
        <f aca="false">Исходные!$B$15-M67</f>
        <v>0.85</v>
      </c>
      <c r="O67" s="55" t="n">
        <v>2</v>
      </c>
      <c r="P67" s="53" t="n">
        <f aca="false">(F67+H67+J67+L67)*O67</f>
        <v>6</v>
      </c>
      <c r="Q67" s="74" t="n">
        <f aca="false">M67*O67</f>
        <v>21.7</v>
      </c>
      <c r="R67" s="74" t="n">
        <f aca="false">N67*O67</f>
        <v>1.7</v>
      </c>
    </row>
    <row r="68" customFormat="false" ht="15" hidden="false" customHeight="false" outlineLevel="0" collapsed="false">
      <c r="A68" s="53" t="n">
        <v>1</v>
      </c>
      <c r="B68" s="53" t="n">
        <v>20</v>
      </c>
      <c r="C68" s="76" t="s">
        <v>512</v>
      </c>
      <c r="D68" s="53" t="n">
        <v>10</v>
      </c>
      <c r="E68" s="73" t="n">
        <v>4</v>
      </c>
      <c r="F68" s="55" t="n">
        <v>2</v>
      </c>
      <c r="G68" s="73" t="n">
        <v>1.2</v>
      </c>
      <c r="H68" s="55" t="n">
        <v>2</v>
      </c>
      <c r="I68" s="20"/>
      <c r="J68" s="20"/>
      <c r="K68" s="20"/>
      <c r="L68" s="20"/>
      <c r="M68" s="41" t="n">
        <f aca="false">E68*F68+G68*H68+I68*J68+K68*L68</f>
        <v>10.4</v>
      </c>
      <c r="N68" s="41" t="n">
        <f aca="false">Исходные!$B$15-M68</f>
        <v>1.3</v>
      </c>
      <c r="O68" s="55" t="n">
        <v>1</v>
      </c>
      <c r="P68" s="53" t="n">
        <f aca="false">(F68+H68+J68+L68)*O68</f>
        <v>4</v>
      </c>
      <c r="Q68" s="74" t="n">
        <f aca="false">M68*O68</f>
        <v>10.4</v>
      </c>
      <c r="R68" s="74" t="n">
        <f aca="false">N68*O68</f>
        <v>1.3</v>
      </c>
    </row>
    <row r="69" customFormat="false" ht="15" hidden="false" customHeight="false" outlineLevel="0" collapsed="false">
      <c r="A69" s="53" t="n">
        <v>1</v>
      </c>
      <c r="B69" s="53" t="n">
        <v>20</v>
      </c>
      <c r="C69" s="76" t="s">
        <v>512</v>
      </c>
      <c r="D69" s="53" t="n">
        <v>11</v>
      </c>
      <c r="E69" s="73" t="n">
        <v>4</v>
      </c>
      <c r="F69" s="55" t="n">
        <v>2</v>
      </c>
      <c r="G69" s="20"/>
      <c r="H69" s="20"/>
      <c r="I69" s="20"/>
      <c r="J69" s="20"/>
      <c r="K69" s="20"/>
      <c r="L69" s="20"/>
      <c r="M69" s="41" t="n">
        <f aca="false">E69*F69+G69*H69+I69*J69+K69*L69</f>
        <v>8</v>
      </c>
      <c r="N69" s="41" t="n">
        <f aca="false">Исходные!$B$15-M69</f>
        <v>3.7</v>
      </c>
      <c r="O69" s="55" t="n">
        <v>56</v>
      </c>
      <c r="P69" s="53" t="n">
        <f aca="false">(F69+H69+J69+L69)*O69</f>
        <v>112</v>
      </c>
      <c r="Q69" s="74" t="n">
        <f aca="false">M69*O69</f>
        <v>448</v>
      </c>
      <c r="R69" s="74" t="n">
        <f aca="false">N69*O69</f>
        <v>207.2</v>
      </c>
    </row>
    <row r="70" customFormat="false" ht="15" hidden="false" customHeight="false" outlineLevel="0" collapsed="false">
      <c r="A70" s="53" t="n">
        <v>1</v>
      </c>
      <c r="B70" s="53" t="n">
        <v>20</v>
      </c>
      <c r="C70" s="76" t="s">
        <v>512</v>
      </c>
      <c r="D70" s="53" t="n">
        <v>12</v>
      </c>
      <c r="E70" s="73" t="n">
        <v>3.785</v>
      </c>
      <c r="F70" s="55" t="n">
        <v>1</v>
      </c>
      <c r="G70" s="20"/>
      <c r="H70" s="20"/>
      <c r="I70" s="20"/>
      <c r="J70" s="20"/>
      <c r="K70" s="20"/>
      <c r="L70" s="20"/>
      <c r="M70" s="41" t="n">
        <f aca="false">E70*F70+G70*H70+I70*J70+K70*L70</f>
        <v>3.785</v>
      </c>
      <c r="N70" s="41" t="n">
        <f aca="false">Исходные!$B$15-M70</f>
        <v>7.915</v>
      </c>
      <c r="O70" s="55" t="n">
        <v>1</v>
      </c>
      <c r="P70" s="53" t="n">
        <f aca="false">(F70+H70+J70+L70)*O70</f>
        <v>1</v>
      </c>
      <c r="Q70" s="74" t="n">
        <f aca="false">M70*O70</f>
        <v>3.785</v>
      </c>
      <c r="R70" s="74" t="n">
        <f aca="false">N70*O70</f>
        <v>7.915</v>
      </c>
    </row>
    <row r="71" customFormat="false" ht="15" hidden="false" customHeight="false" outlineLevel="0" collapsed="false">
      <c r="A71" s="53" t="n">
        <v>1</v>
      </c>
      <c r="B71" s="53" t="n">
        <v>18</v>
      </c>
      <c r="C71" s="76" t="s">
        <v>512</v>
      </c>
      <c r="D71" s="53" t="n">
        <v>1</v>
      </c>
      <c r="E71" s="73" t="n">
        <v>11.7</v>
      </c>
      <c r="F71" s="55" t="n">
        <v>1</v>
      </c>
      <c r="G71" s="20"/>
      <c r="H71" s="20"/>
      <c r="I71" s="20"/>
      <c r="J71" s="20"/>
      <c r="K71" s="20"/>
      <c r="L71" s="20"/>
      <c r="M71" s="41" t="n">
        <f aca="false">E71*F71+G71*H71+I71*J71+K71*L71</f>
        <v>11.7</v>
      </c>
      <c r="N71" s="41" t="n">
        <f aca="false">Исходные!$B$15-M71</f>
        <v>0</v>
      </c>
      <c r="O71" s="55" t="n">
        <v>26</v>
      </c>
      <c r="P71" s="53" t="n">
        <f aca="false">(F71+H71+J71+L71)*O71</f>
        <v>26</v>
      </c>
      <c r="Q71" s="74" t="n">
        <f aca="false">M71*O71</f>
        <v>304.2</v>
      </c>
      <c r="R71" s="74" t="n">
        <f aca="false">N71*O71</f>
        <v>0</v>
      </c>
    </row>
    <row r="72" customFormat="false" ht="15" hidden="false" customHeight="false" outlineLevel="0" collapsed="false">
      <c r="A72" s="53" t="n">
        <v>1</v>
      </c>
      <c r="B72" s="53" t="n">
        <v>18</v>
      </c>
      <c r="C72" s="76" t="s">
        <v>512</v>
      </c>
      <c r="D72" s="53" t="n">
        <v>2</v>
      </c>
      <c r="E72" s="73" t="n">
        <v>6.508</v>
      </c>
      <c r="F72" s="55" t="n">
        <v>1</v>
      </c>
      <c r="G72" s="73" t="n">
        <v>1.95</v>
      </c>
      <c r="H72" s="55" t="n">
        <v>2</v>
      </c>
      <c r="I72" s="73" t="n">
        <v>1.2</v>
      </c>
      <c r="J72" s="55" t="n">
        <v>1</v>
      </c>
      <c r="K72" s="20"/>
      <c r="L72" s="20"/>
      <c r="M72" s="41" t="n">
        <f aca="false">E72*F72+G72*H72+I72*J72+K72*L72</f>
        <v>11.608</v>
      </c>
      <c r="N72" s="41" t="n">
        <f aca="false">Исходные!$B$15-M72</f>
        <v>0.0920000000000005</v>
      </c>
      <c r="O72" s="55" t="n">
        <v>8</v>
      </c>
      <c r="P72" s="53" t="n">
        <f aca="false">(F72+H72+J72+L72)*O72</f>
        <v>32</v>
      </c>
      <c r="Q72" s="74" t="n">
        <f aca="false">M72*O72</f>
        <v>92.864</v>
      </c>
      <c r="R72" s="74" t="n">
        <f aca="false">N72*O72</f>
        <v>0.736000000000004</v>
      </c>
    </row>
    <row r="73" customFormat="false" ht="15" hidden="false" customHeight="false" outlineLevel="0" collapsed="false">
      <c r="A73" s="53" t="n">
        <v>1</v>
      </c>
      <c r="B73" s="53" t="n">
        <v>18</v>
      </c>
      <c r="C73" s="76" t="s">
        <v>512</v>
      </c>
      <c r="D73" s="53" t="n">
        <v>3</v>
      </c>
      <c r="E73" s="73" t="n">
        <v>5.93</v>
      </c>
      <c r="F73" s="55" t="n">
        <v>1</v>
      </c>
      <c r="G73" s="73" t="n">
        <v>1.45</v>
      </c>
      <c r="H73" s="55" t="n">
        <v>3</v>
      </c>
      <c r="I73" s="73" t="n">
        <v>1.2</v>
      </c>
      <c r="J73" s="55" t="n">
        <v>1</v>
      </c>
      <c r="K73" s="20"/>
      <c r="L73" s="20"/>
      <c r="M73" s="41" t="n">
        <f aca="false">E73*F73+G73*H73+I73*J73+K73*L73</f>
        <v>11.48</v>
      </c>
      <c r="N73" s="41" t="n">
        <f aca="false">Исходные!$B$15-M73</f>
        <v>0.220000000000001</v>
      </c>
      <c r="O73" s="55" t="n">
        <v>3</v>
      </c>
      <c r="P73" s="53" t="n">
        <f aca="false">(F73+H73+J73+L73)*O73</f>
        <v>15</v>
      </c>
      <c r="Q73" s="74" t="n">
        <f aca="false">M73*O73</f>
        <v>34.44</v>
      </c>
      <c r="R73" s="74" t="n">
        <f aca="false">N73*O73</f>
        <v>0.660000000000002</v>
      </c>
    </row>
    <row r="74" customFormat="false" ht="15" hidden="false" customHeight="false" outlineLevel="0" collapsed="false">
      <c r="A74" s="53" t="n">
        <v>1</v>
      </c>
      <c r="B74" s="53" t="n">
        <v>18</v>
      </c>
      <c r="C74" s="76" t="s">
        <v>512</v>
      </c>
      <c r="D74" s="53" t="n">
        <v>4</v>
      </c>
      <c r="E74" s="73" t="n">
        <v>8.944</v>
      </c>
      <c r="F74" s="55" t="n">
        <v>1</v>
      </c>
      <c r="G74" s="73" t="n">
        <v>2.388</v>
      </c>
      <c r="H74" s="55" t="n">
        <v>1</v>
      </c>
      <c r="I74" s="20"/>
      <c r="J74" s="20"/>
      <c r="K74" s="20"/>
      <c r="L74" s="20"/>
      <c r="M74" s="41" t="n">
        <f aca="false">E74*F74+G74*H74+I74*J74+K74*L74</f>
        <v>11.332</v>
      </c>
      <c r="N74" s="41" t="n">
        <f aca="false">Исходные!$B$15-M74</f>
        <v>0.367999999999999</v>
      </c>
      <c r="O74" s="55" t="n">
        <v>8</v>
      </c>
      <c r="P74" s="53" t="n">
        <f aca="false">(F74+H74+J74+L74)*O74</f>
        <v>16</v>
      </c>
      <c r="Q74" s="74" t="n">
        <f aca="false">M74*O74</f>
        <v>90.656</v>
      </c>
      <c r="R74" s="74" t="n">
        <f aca="false">N74*O74</f>
        <v>2.94399999999999</v>
      </c>
    </row>
    <row r="75" customFormat="false" ht="15" hidden="false" customHeight="false" outlineLevel="0" collapsed="false">
      <c r="A75" s="53" t="n">
        <v>1</v>
      </c>
      <c r="B75" s="53" t="n">
        <v>18</v>
      </c>
      <c r="C75" s="76" t="s">
        <v>512</v>
      </c>
      <c r="D75" s="53" t="n">
        <v>5</v>
      </c>
      <c r="E75" s="73" t="n">
        <v>5.93</v>
      </c>
      <c r="F75" s="55" t="n">
        <v>1</v>
      </c>
      <c r="G75" s="73" t="n">
        <v>1.95</v>
      </c>
      <c r="H75" s="55" t="n">
        <v>2</v>
      </c>
      <c r="I75" s="73" t="n">
        <v>1.45</v>
      </c>
      <c r="J75" s="55" t="n">
        <v>1</v>
      </c>
      <c r="K75" s="20"/>
      <c r="L75" s="20"/>
      <c r="M75" s="41" t="n">
        <f aca="false">E75*F75+G75*H75+I75*J75+K75*L75</f>
        <v>11.28</v>
      </c>
      <c r="N75" s="41" t="n">
        <f aca="false">Исходные!$B$15-M75</f>
        <v>0.42</v>
      </c>
      <c r="O75" s="55" t="n">
        <v>9</v>
      </c>
      <c r="P75" s="53" t="n">
        <f aca="false">(F75+H75+J75+L75)*O75</f>
        <v>36</v>
      </c>
      <c r="Q75" s="74" t="n">
        <f aca="false">M75*O75</f>
        <v>101.52</v>
      </c>
      <c r="R75" s="74" t="n">
        <f aca="false">N75*O75</f>
        <v>3.78</v>
      </c>
    </row>
    <row r="76" customFormat="false" ht="15" hidden="false" customHeight="false" outlineLevel="0" collapsed="false">
      <c r="A76" s="53" t="n">
        <v>1</v>
      </c>
      <c r="B76" s="53" t="n">
        <v>18</v>
      </c>
      <c r="C76" s="76" t="s">
        <v>512</v>
      </c>
      <c r="D76" s="53" t="n">
        <v>6</v>
      </c>
      <c r="E76" s="73" t="n">
        <v>5.93</v>
      </c>
      <c r="F76" s="55" t="n">
        <v>1</v>
      </c>
      <c r="G76" s="73" t="n">
        <v>1.45</v>
      </c>
      <c r="H76" s="55" t="n">
        <v>2</v>
      </c>
      <c r="I76" s="73" t="n">
        <v>1.2</v>
      </c>
      <c r="J76" s="55" t="n">
        <v>2</v>
      </c>
      <c r="K76" s="20"/>
      <c r="L76" s="20"/>
      <c r="M76" s="41" t="n">
        <f aca="false">E76*F76+G76*H76+I76*J76+K76*L76</f>
        <v>11.23</v>
      </c>
      <c r="N76" s="41" t="n">
        <f aca="false">Исходные!$B$15-M76</f>
        <v>0.469999999999999</v>
      </c>
      <c r="O76" s="55" t="n">
        <v>1</v>
      </c>
      <c r="P76" s="53" t="n">
        <f aca="false">(F76+H76+J76+L76)*O76</f>
        <v>5</v>
      </c>
      <c r="Q76" s="74" t="n">
        <f aca="false">M76*O76</f>
        <v>11.23</v>
      </c>
      <c r="R76" s="74" t="n">
        <f aca="false">N76*O76</f>
        <v>0.469999999999999</v>
      </c>
    </row>
    <row r="77" customFormat="false" ht="15" hidden="false" customHeight="false" outlineLevel="0" collapsed="false">
      <c r="A77" s="53" t="n">
        <v>1</v>
      </c>
      <c r="B77" s="53" t="n">
        <v>18</v>
      </c>
      <c r="C77" s="76" t="s">
        <v>512</v>
      </c>
      <c r="D77" s="53" t="n">
        <v>7</v>
      </c>
      <c r="E77" s="73" t="n">
        <v>8.944</v>
      </c>
      <c r="F77" s="55" t="n">
        <v>1</v>
      </c>
      <c r="G77" s="73" t="n">
        <v>1.95</v>
      </c>
      <c r="H77" s="55" t="n">
        <v>1</v>
      </c>
      <c r="I77" s="20"/>
      <c r="J77" s="20"/>
      <c r="K77" s="20"/>
      <c r="L77" s="20"/>
      <c r="M77" s="41" t="n">
        <f aca="false">E77*F77+G77*H77+I77*J77+K77*L77</f>
        <v>10.894</v>
      </c>
      <c r="N77" s="41" t="n">
        <f aca="false">Исходные!$B$15-M77</f>
        <v>0.805999999999999</v>
      </c>
      <c r="O77" s="55" t="n">
        <v>2</v>
      </c>
      <c r="P77" s="53" t="n">
        <f aca="false">(F77+H77+J77+L77)*O77</f>
        <v>4</v>
      </c>
      <c r="Q77" s="74" t="n">
        <f aca="false">M77*O77</f>
        <v>21.788</v>
      </c>
      <c r="R77" s="74" t="n">
        <f aca="false">N77*O77</f>
        <v>1.612</v>
      </c>
    </row>
    <row r="78" customFormat="false" ht="15" hidden="false" customHeight="false" outlineLevel="0" collapsed="false">
      <c r="A78" s="53" t="n">
        <v>1</v>
      </c>
      <c r="B78" s="53" t="n">
        <v>18</v>
      </c>
      <c r="C78" s="76" t="s">
        <v>512</v>
      </c>
      <c r="D78" s="53" t="n">
        <v>8</v>
      </c>
      <c r="E78" s="73" t="n">
        <v>5.93</v>
      </c>
      <c r="F78" s="55" t="n">
        <v>1</v>
      </c>
      <c r="G78" s="73" t="n">
        <v>1.2</v>
      </c>
      <c r="H78" s="55" t="n">
        <v>4</v>
      </c>
      <c r="I78" s="20"/>
      <c r="J78" s="20"/>
      <c r="K78" s="20"/>
      <c r="L78" s="20"/>
      <c r="M78" s="41" t="n">
        <f aca="false">E78*F78+G78*H78+I78*J78+K78*L78</f>
        <v>10.73</v>
      </c>
      <c r="N78" s="41" t="n">
        <f aca="false">Исходные!$B$15-M78</f>
        <v>0.969999999999999</v>
      </c>
      <c r="O78" s="55" t="n">
        <v>1</v>
      </c>
      <c r="P78" s="53" t="n">
        <f aca="false">(F78+H78+J78+L78)*O78</f>
        <v>5</v>
      </c>
      <c r="Q78" s="74" t="n">
        <f aca="false">M78*O78</f>
        <v>10.73</v>
      </c>
      <c r="R78" s="74" t="n">
        <f aca="false">N78*O78</f>
        <v>0.969999999999999</v>
      </c>
    </row>
    <row r="79" customFormat="false" ht="15" hidden="false" customHeight="false" outlineLevel="0" collapsed="false">
      <c r="A79" s="53" t="n">
        <v>1</v>
      </c>
      <c r="B79" s="53" t="n">
        <v>18</v>
      </c>
      <c r="C79" s="76" t="s">
        <v>512</v>
      </c>
      <c r="D79" s="53" t="n">
        <v>9</v>
      </c>
      <c r="E79" s="73" t="n">
        <v>6.508</v>
      </c>
      <c r="F79" s="55" t="n">
        <v>1</v>
      </c>
      <c r="G79" s="73" t="n">
        <v>4.144</v>
      </c>
      <c r="H79" s="55" t="n">
        <v>1</v>
      </c>
      <c r="I79" s="20"/>
      <c r="J79" s="20"/>
      <c r="K79" s="20"/>
      <c r="L79" s="20"/>
      <c r="M79" s="41" t="n">
        <f aca="false">E79*F79+G79*H79+I79*J79+K79*L79</f>
        <v>10.652</v>
      </c>
      <c r="N79" s="41" t="n">
        <f aca="false">Исходные!$B$15-M79</f>
        <v>1.048</v>
      </c>
      <c r="O79" s="55" t="n">
        <v>10</v>
      </c>
      <c r="P79" s="53" t="n">
        <f aca="false">(F79+H79+J79+L79)*O79</f>
        <v>20</v>
      </c>
      <c r="Q79" s="74" t="n">
        <f aca="false">M79*O79</f>
        <v>106.52</v>
      </c>
      <c r="R79" s="74" t="n">
        <f aca="false">N79*O79</f>
        <v>10.48</v>
      </c>
    </row>
    <row r="80" customFormat="false" ht="15" hidden="false" customHeight="false" outlineLevel="0" collapsed="false">
      <c r="A80" s="53" t="n">
        <v>1</v>
      </c>
      <c r="B80" s="53" t="n">
        <v>18</v>
      </c>
      <c r="C80" s="76" t="s">
        <v>512</v>
      </c>
      <c r="D80" s="53" t="n">
        <v>10</v>
      </c>
      <c r="E80" s="73" t="n">
        <v>5.93</v>
      </c>
      <c r="F80" s="55" t="n">
        <v>1</v>
      </c>
      <c r="G80" s="73" t="n">
        <v>1.2</v>
      </c>
      <c r="H80" s="55" t="n">
        <v>3</v>
      </c>
      <c r="I80" s="20"/>
      <c r="J80" s="20"/>
      <c r="K80" s="20"/>
      <c r="L80" s="20"/>
      <c r="M80" s="41" t="n">
        <f aca="false">E80*F80+G80*H80+I80*J80+K80*L80</f>
        <v>9.53</v>
      </c>
      <c r="N80" s="41" t="n">
        <f aca="false">Исходные!$B$15-M80</f>
        <v>2.17</v>
      </c>
      <c r="O80" s="55" t="n">
        <v>1</v>
      </c>
      <c r="P80" s="53" t="n">
        <f aca="false">(F80+H80+J80+L80)*O80</f>
        <v>4</v>
      </c>
      <c r="Q80" s="74" t="n">
        <f aca="false">M80*O80</f>
        <v>9.53</v>
      </c>
      <c r="R80" s="74" t="n">
        <f aca="false">N80*O80</f>
        <v>2.17</v>
      </c>
    </row>
    <row r="81" customFormat="false" ht="15" hidden="false" customHeight="false" outlineLevel="0" collapsed="false">
      <c r="A81" s="53" t="n">
        <v>1</v>
      </c>
      <c r="B81" s="53" t="n">
        <v>18</v>
      </c>
      <c r="C81" s="76" t="s">
        <v>512</v>
      </c>
      <c r="D81" s="53" t="n">
        <v>11</v>
      </c>
      <c r="E81" s="73" t="n">
        <v>5.93</v>
      </c>
      <c r="F81" s="55" t="n">
        <v>1</v>
      </c>
      <c r="G81" s="20"/>
      <c r="H81" s="20"/>
      <c r="I81" s="20"/>
      <c r="J81" s="20"/>
      <c r="K81" s="20"/>
      <c r="L81" s="20"/>
      <c r="M81" s="41" t="n">
        <f aca="false">E81*F81+G81*H81+I81*J81+K81*L81</f>
        <v>5.93</v>
      </c>
      <c r="N81" s="41" t="n">
        <f aca="false">Исходные!$B$15-M81</f>
        <v>5.77</v>
      </c>
      <c r="O81" s="55" t="n">
        <v>3</v>
      </c>
      <c r="P81" s="53" t="n">
        <f aca="false">(F81+H81+J81+L81)*O81</f>
        <v>3</v>
      </c>
      <c r="Q81" s="74" t="n">
        <f aca="false">M81*O81</f>
        <v>17.79</v>
      </c>
      <c r="R81" s="74" t="n">
        <f aca="false">N81*O81</f>
        <v>17.31</v>
      </c>
    </row>
    <row r="82" customFormat="false" ht="15" hidden="false" customHeight="false" outlineLevel="0" collapsed="false">
      <c r="A82" s="53" t="n">
        <v>1</v>
      </c>
      <c r="B82" s="53" t="n">
        <v>16</v>
      </c>
      <c r="C82" s="76" t="s">
        <v>512</v>
      </c>
      <c r="D82" s="53" t="n">
        <v>1</v>
      </c>
      <c r="E82" s="73" t="n">
        <v>11.7</v>
      </c>
      <c r="F82" s="55" t="n">
        <v>1</v>
      </c>
      <c r="G82" s="20"/>
      <c r="H82" s="20"/>
      <c r="I82" s="20"/>
      <c r="J82" s="20"/>
      <c r="K82" s="20"/>
      <c r="L82" s="20"/>
      <c r="M82" s="41" t="n">
        <f aca="false">E82*F82+G82*H82+I82*J82+K82*L82</f>
        <v>11.7</v>
      </c>
      <c r="N82" s="41" t="n">
        <f aca="false">Исходные!$B$15-M82</f>
        <v>0</v>
      </c>
      <c r="O82" s="55" t="n">
        <v>26</v>
      </c>
      <c r="P82" s="53" t="n">
        <f aca="false">(F82+H82+J82+L82)*O82</f>
        <v>26</v>
      </c>
      <c r="Q82" s="74" t="n">
        <f aca="false">M82*O82</f>
        <v>304.2</v>
      </c>
      <c r="R82" s="74" t="n">
        <f aca="false">N82*O82</f>
        <v>0</v>
      </c>
    </row>
    <row r="83" customFormat="false" ht="15" hidden="false" customHeight="false" outlineLevel="0" collapsed="false">
      <c r="A83" s="53" t="n">
        <v>1</v>
      </c>
      <c r="B83" s="53" t="n">
        <v>16</v>
      </c>
      <c r="C83" s="76" t="s">
        <v>512</v>
      </c>
      <c r="D83" s="53" t="n">
        <v>2</v>
      </c>
      <c r="E83" s="73" t="n">
        <v>9.45</v>
      </c>
      <c r="F83" s="55" t="n">
        <v>1</v>
      </c>
      <c r="G83" s="73" t="n">
        <v>2.25</v>
      </c>
      <c r="H83" s="55" t="n">
        <v>1</v>
      </c>
      <c r="I83" s="20"/>
      <c r="J83" s="20"/>
      <c r="K83" s="20"/>
      <c r="L83" s="20"/>
      <c r="M83" s="41" t="n">
        <f aca="false">E83*F83+G83*H83+I83*J83+K83*L83</f>
        <v>11.7</v>
      </c>
      <c r="N83" s="41" t="n">
        <f aca="false">Исходные!$B$15-M83</f>
        <v>0</v>
      </c>
      <c r="O83" s="55" t="n">
        <v>2</v>
      </c>
      <c r="P83" s="53" t="n">
        <f aca="false">(F83+H83+J83+L83)*O83</f>
        <v>4</v>
      </c>
      <c r="Q83" s="74" t="n">
        <f aca="false">M83*O83</f>
        <v>23.4</v>
      </c>
      <c r="R83" s="74" t="n">
        <f aca="false">N83*O83</f>
        <v>0</v>
      </c>
    </row>
    <row r="84" customFormat="false" ht="15" hidden="false" customHeight="false" outlineLevel="0" collapsed="false">
      <c r="A84" s="53" t="n">
        <v>1</v>
      </c>
      <c r="B84" s="53" t="n">
        <v>16</v>
      </c>
      <c r="C84" s="76" t="s">
        <v>512</v>
      </c>
      <c r="D84" s="53" t="n">
        <v>3</v>
      </c>
      <c r="E84" s="73" t="n">
        <v>1.95</v>
      </c>
      <c r="F84" s="55" t="n">
        <v>6</v>
      </c>
      <c r="G84" s="20"/>
      <c r="H84" s="20"/>
      <c r="I84" s="20"/>
      <c r="J84" s="20"/>
      <c r="K84" s="20"/>
      <c r="L84" s="20"/>
      <c r="M84" s="41" t="n">
        <f aca="false">E84*F84+G84*H84+I84*J84+K84*L84</f>
        <v>11.7</v>
      </c>
      <c r="N84" s="41" t="n">
        <f aca="false">Исходные!$B$15-M84</f>
        <v>0</v>
      </c>
      <c r="O84" s="55" t="n">
        <v>5</v>
      </c>
      <c r="P84" s="53" t="n">
        <f aca="false">(F84+H84+J84+L84)*O84</f>
        <v>30</v>
      </c>
      <c r="Q84" s="74" t="n">
        <f aca="false">M84*O84</f>
        <v>58.5</v>
      </c>
      <c r="R84" s="74" t="n">
        <f aca="false">N84*O84</f>
        <v>0</v>
      </c>
    </row>
    <row r="85" customFormat="false" ht="15" hidden="false" customHeight="false" outlineLevel="0" collapsed="false">
      <c r="A85" s="53" t="n">
        <v>1</v>
      </c>
      <c r="B85" s="53" t="n">
        <v>16</v>
      </c>
      <c r="C85" s="76" t="s">
        <v>512</v>
      </c>
      <c r="D85" s="53" t="n">
        <v>4</v>
      </c>
      <c r="E85" s="73" t="n">
        <v>3.3</v>
      </c>
      <c r="F85" s="55" t="n">
        <v>1</v>
      </c>
      <c r="G85" s="73" t="n">
        <v>3</v>
      </c>
      <c r="H85" s="55" t="n">
        <v>2</v>
      </c>
      <c r="I85" s="73" t="n">
        <v>2.356</v>
      </c>
      <c r="J85" s="55" t="n">
        <v>1</v>
      </c>
      <c r="K85" s="20"/>
      <c r="L85" s="20"/>
      <c r="M85" s="41" t="n">
        <f aca="false">E85*F85+G85*H85+I85*J85+K85*L85</f>
        <v>11.656</v>
      </c>
      <c r="N85" s="41" t="n">
        <f aca="false">Исходные!$B$15-M85</f>
        <v>0.0439999999999987</v>
      </c>
      <c r="O85" s="55" t="n">
        <v>1</v>
      </c>
      <c r="P85" s="53" t="n">
        <f aca="false">(F85+H85+J85+L85)*O85</f>
        <v>4</v>
      </c>
      <c r="Q85" s="74" t="n">
        <f aca="false">M85*O85</f>
        <v>11.656</v>
      </c>
      <c r="R85" s="74" t="n">
        <f aca="false">N85*O85</f>
        <v>0.0439999999999987</v>
      </c>
    </row>
    <row r="86" customFormat="false" ht="15" hidden="false" customHeight="false" outlineLevel="0" collapsed="false">
      <c r="A86" s="53" t="n">
        <v>1</v>
      </c>
      <c r="B86" s="53" t="n">
        <v>16</v>
      </c>
      <c r="C86" s="76" t="s">
        <v>512</v>
      </c>
      <c r="D86" s="53" t="n">
        <v>5</v>
      </c>
      <c r="E86" s="73" t="n">
        <v>2.9</v>
      </c>
      <c r="F86" s="55" t="n">
        <v>4</v>
      </c>
      <c r="G86" s="20"/>
      <c r="H86" s="20"/>
      <c r="I86" s="20"/>
      <c r="J86" s="20"/>
      <c r="K86" s="20"/>
      <c r="L86" s="20"/>
      <c r="M86" s="41" t="n">
        <f aca="false">E86*F86+G86*H86+I86*J86+K86*L86</f>
        <v>11.6</v>
      </c>
      <c r="N86" s="41" t="n">
        <f aca="false">Исходные!$B$15-M86</f>
        <v>0.0999999999999996</v>
      </c>
      <c r="O86" s="55" t="n">
        <v>3</v>
      </c>
      <c r="P86" s="53" t="n">
        <f aca="false">(F86+H86+J86+L86)*O86</f>
        <v>12</v>
      </c>
      <c r="Q86" s="74" t="n">
        <f aca="false">M86*O86</f>
        <v>34.8</v>
      </c>
      <c r="R86" s="74" t="n">
        <f aca="false">N86*O86</f>
        <v>0.299999999999999</v>
      </c>
    </row>
    <row r="87" customFormat="false" ht="15" hidden="false" customHeight="false" outlineLevel="0" collapsed="false">
      <c r="A87" s="53" t="n">
        <v>1</v>
      </c>
      <c r="B87" s="53" t="n">
        <v>16</v>
      </c>
      <c r="C87" s="76" t="s">
        <v>512</v>
      </c>
      <c r="D87" s="53" t="n">
        <v>6</v>
      </c>
      <c r="E87" s="73" t="n">
        <v>2.9</v>
      </c>
      <c r="F87" s="55" t="n">
        <v>1</v>
      </c>
      <c r="G87" s="73" t="n">
        <v>2.25</v>
      </c>
      <c r="H87" s="55" t="n">
        <v>3</v>
      </c>
      <c r="I87" s="73" t="n">
        <v>1.95</v>
      </c>
      <c r="J87" s="55" t="n">
        <v>1</v>
      </c>
      <c r="K87" s="20"/>
      <c r="L87" s="20"/>
      <c r="M87" s="41" t="n">
        <f aca="false">E87*F87+G87*H87+I87*J87+K87*L87</f>
        <v>11.6</v>
      </c>
      <c r="N87" s="41" t="n">
        <f aca="false">Исходные!$B$15-M87</f>
        <v>0.0999999999999996</v>
      </c>
      <c r="O87" s="55" t="n">
        <v>1</v>
      </c>
      <c r="P87" s="53" t="n">
        <f aca="false">(F87+H87+J87+L87)*O87</f>
        <v>5</v>
      </c>
      <c r="Q87" s="74" t="n">
        <f aca="false">M87*O87</f>
        <v>11.6</v>
      </c>
      <c r="R87" s="74" t="n">
        <f aca="false">N87*O87</f>
        <v>0.0999999999999996</v>
      </c>
    </row>
    <row r="88" customFormat="false" ht="15" hidden="false" customHeight="false" outlineLevel="0" collapsed="false">
      <c r="A88" s="53" t="n">
        <v>1</v>
      </c>
      <c r="B88" s="53" t="n">
        <v>16</v>
      </c>
      <c r="C88" s="76" t="s">
        <v>512</v>
      </c>
      <c r="D88" s="53" t="n">
        <v>7</v>
      </c>
      <c r="E88" s="73" t="n">
        <v>1.95</v>
      </c>
      <c r="F88" s="55" t="n">
        <v>5</v>
      </c>
      <c r="G88" s="73" t="n">
        <v>1.85</v>
      </c>
      <c r="H88" s="55" t="n">
        <v>1</v>
      </c>
      <c r="I88" s="20"/>
      <c r="J88" s="20"/>
      <c r="K88" s="20"/>
      <c r="L88" s="20"/>
      <c r="M88" s="41" t="n">
        <f aca="false">E88*F88+G88*H88+I88*J88+K88*L88</f>
        <v>11.6</v>
      </c>
      <c r="N88" s="41" t="n">
        <f aca="false">Исходные!$B$15-M88</f>
        <v>0.0999999999999996</v>
      </c>
      <c r="O88" s="55" t="n">
        <v>1</v>
      </c>
      <c r="P88" s="53" t="n">
        <f aca="false">(F88+H88+J88+L88)*O88</f>
        <v>6</v>
      </c>
      <c r="Q88" s="74" t="n">
        <f aca="false">M88*O88</f>
        <v>11.6</v>
      </c>
      <c r="R88" s="74" t="n">
        <f aca="false">N88*O88</f>
        <v>0.0999999999999996</v>
      </c>
    </row>
    <row r="89" customFormat="false" ht="15" hidden="false" customHeight="false" outlineLevel="0" collapsed="false">
      <c r="A89" s="53" t="n">
        <v>1</v>
      </c>
      <c r="B89" s="53" t="n">
        <v>16</v>
      </c>
      <c r="C89" s="76" t="s">
        <v>512</v>
      </c>
      <c r="D89" s="53" t="n">
        <v>8</v>
      </c>
      <c r="E89" s="73" t="n">
        <v>1.45</v>
      </c>
      <c r="F89" s="55" t="n">
        <v>8</v>
      </c>
      <c r="G89" s="20"/>
      <c r="H89" s="20"/>
      <c r="I89" s="20"/>
      <c r="J89" s="20"/>
      <c r="K89" s="20"/>
      <c r="L89" s="20"/>
      <c r="M89" s="41" t="n">
        <f aca="false">E89*F89+G89*H89+I89*J89+K89*L89</f>
        <v>11.6</v>
      </c>
      <c r="N89" s="41" t="n">
        <f aca="false">Исходные!$B$15-M89</f>
        <v>0.0999999999999996</v>
      </c>
      <c r="O89" s="55" t="n">
        <v>8</v>
      </c>
      <c r="P89" s="53" t="n">
        <f aca="false">(F89+H89+J89+L89)*O89</f>
        <v>64</v>
      </c>
      <c r="Q89" s="74" t="n">
        <f aca="false">M89*O89</f>
        <v>92.8</v>
      </c>
      <c r="R89" s="74" t="n">
        <f aca="false">N89*O89</f>
        <v>0.799999999999997</v>
      </c>
    </row>
    <row r="90" customFormat="false" ht="15" hidden="false" customHeight="false" outlineLevel="0" collapsed="false">
      <c r="A90" s="53" t="n">
        <v>1</v>
      </c>
      <c r="B90" s="53" t="n">
        <v>16</v>
      </c>
      <c r="C90" s="76" t="s">
        <v>512</v>
      </c>
      <c r="D90" s="53" t="n">
        <v>9</v>
      </c>
      <c r="E90" s="73" t="n">
        <v>4.95</v>
      </c>
      <c r="F90" s="55" t="n">
        <v>2</v>
      </c>
      <c r="G90" s="73" t="n">
        <v>1.6</v>
      </c>
      <c r="H90" s="55" t="n">
        <v>1</v>
      </c>
      <c r="I90" s="20"/>
      <c r="J90" s="20"/>
      <c r="K90" s="20"/>
      <c r="L90" s="20"/>
      <c r="M90" s="41" t="n">
        <f aca="false">E90*F90+G90*H90+I90*J90+K90*L90</f>
        <v>11.5</v>
      </c>
      <c r="N90" s="41" t="n">
        <f aca="false">Исходные!$B$15-M90</f>
        <v>0.199999999999999</v>
      </c>
      <c r="O90" s="55" t="n">
        <v>3</v>
      </c>
      <c r="P90" s="53" t="n">
        <f aca="false">(F90+H90+J90+L90)*O90</f>
        <v>9</v>
      </c>
      <c r="Q90" s="74" t="n">
        <f aca="false">M90*O90</f>
        <v>34.5</v>
      </c>
      <c r="R90" s="74" t="n">
        <f aca="false">N90*O90</f>
        <v>0.599999999999998</v>
      </c>
    </row>
    <row r="91" customFormat="false" ht="15" hidden="false" customHeight="false" outlineLevel="0" collapsed="false">
      <c r="A91" s="53" t="n">
        <v>1</v>
      </c>
      <c r="B91" s="53" t="n">
        <v>16</v>
      </c>
      <c r="C91" s="76" t="s">
        <v>512</v>
      </c>
      <c r="D91" s="53" t="n">
        <v>10</v>
      </c>
      <c r="E91" s="73" t="n">
        <v>1.45</v>
      </c>
      <c r="F91" s="55" t="n">
        <v>7</v>
      </c>
      <c r="G91" s="73" t="n">
        <v>1.25</v>
      </c>
      <c r="H91" s="55" t="n">
        <v>1</v>
      </c>
      <c r="I91" s="20"/>
      <c r="J91" s="20"/>
      <c r="K91" s="20"/>
      <c r="L91" s="20"/>
      <c r="M91" s="41" t="n">
        <f aca="false">E91*F91+G91*H91+I91*J91+K91*L91</f>
        <v>11.4</v>
      </c>
      <c r="N91" s="41" t="n">
        <f aca="false">Исходные!$B$15-M91</f>
        <v>0.299999999999999</v>
      </c>
      <c r="O91" s="55" t="n">
        <v>1</v>
      </c>
      <c r="P91" s="53" t="n">
        <f aca="false">(F91+H91+J91+L91)*O91</f>
        <v>8</v>
      </c>
      <c r="Q91" s="74" t="n">
        <f aca="false">M91*O91</f>
        <v>11.4</v>
      </c>
      <c r="R91" s="74" t="n">
        <f aca="false">N91*O91</f>
        <v>0.299999999999999</v>
      </c>
    </row>
    <row r="92" customFormat="false" ht="15" hidden="false" customHeight="false" outlineLevel="0" collapsed="false">
      <c r="A92" s="53" t="n">
        <v>1</v>
      </c>
      <c r="B92" s="53" t="n">
        <v>16</v>
      </c>
      <c r="C92" s="76" t="s">
        <v>512</v>
      </c>
      <c r="D92" s="53" t="n">
        <v>11</v>
      </c>
      <c r="E92" s="73" t="n">
        <v>1.85</v>
      </c>
      <c r="F92" s="55" t="n">
        <v>1</v>
      </c>
      <c r="G92" s="73" t="n">
        <v>1.6</v>
      </c>
      <c r="H92" s="55" t="n">
        <v>5</v>
      </c>
      <c r="I92" s="73" t="n">
        <v>1.45</v>
      </c>
      <c r="J92" s="55" t="n">
        <v>1</v>
      </c>
      <c r="K92" s="20"/>
      <c r="L92" s="20"/>
      <c r="M92" s="41" t="n">
        <f aca="false">E92*F92+G92*H92+I92*J92+K92*L92</f>
        <v>11.3</v>
      </c>
      <c r="N92" s="41" t="n">
        <f aca="false">Исходные!$B$15-M92</f>
        <v>0.4</v>
      </c>
      <c r="O92" s="55" t="n">
        <v>1</v>
      </c>
      <c r="P92" s="53" t="n">
        <f aca="false">(F92+H92+J92+L92)*O92</f>
        <v>7</v>
      </c>
      <c r="Q92" s="74" t="n">
        <f aca="false">M92*O92</f>
        <v>11.3</v>
      </c>
      <c r="R92" s="74" t="n">
        <f aca="false">N92*O92</f>
        <v>0.4</v>
      </c>
    </row>
    <row r="93" customFormat="false" ht="15" hidden="false" customHeight="false" outlineLevel="0" collapsed="false">
      <c r="A93" s="53" t="n">
        <v>1</v>
      </c>
      <c r="B93" s="53" t="n">
        <v>16</v>
      </c>
      <c r="C93" s="76" t="s">
        <v>512</v>
      </c>
      <c r="D93" s="53" t="n">
        <v>12</v>
      </c>
      <c r="E93" s="73" t="n">
        <v>8.928</v>
      </c>
      <c r="F93" s="55" t="n">
        <v>1</v>
      </c>
      <c r="G93" s="73" t="n">
        <v>2.356</v>
      </c>
      <c r="H93" s="55" t="n">
        <v>1</v>
      </c>
      <c r="I93" s="20"/>
      <c r="J93" s="20"/>
      <c r="K93" s="20"/>
      <c r="L93" s="20"/>
      <c r="M93" s="41" t="n">
        <f aca="false">E93*F93+G93*H93+I93*J93+K93*L93</f>
        <v>11.284</v>
      </c>
      <c r="N93" s="41" t="n">
        <f aca="false">Исходные!$B$15-M93</f>
        <v>0.415999999999999</v>
      </c>
      <c r="O93" s="55" t="n">
        <v>7</v>
      </c>
      <c r="P93" s="53" t="n">
        <f aca="false">(F93+H93+J93+L93)*O93</f>
        <v>14</v>
      </c>
      <c r="Q93" s="74" t="n">
        <f aca="false">M93*O93</f>
        <v>78.988</v>
      </c>
      <c r="R93" s="74" t="n">
        <f aca="false">N93*O93</f>
        <v>2.91199999999999</v>
      </c>
    </row>
    <row r="94" customFormat="false" ht="15" hidden="false" customHeight="false" outlineLevel="0" collapsed="false">
      <c r="A94" s="53" t="n">
        <v>1</v>
      </c>
      <c r="B94" s="53" t="n">
        <v>16</v>
      </c>
      <c r="C94" s="76" t="s">
        <v>512</v>
      </c>
      <c r="D94" s="53" t="n">
        <v>13</v>
      </c>
      <c r="E94" s="73" t="n">
        <v>2.25</v>
      </c>
      <c r="F94" s="55" t="n">
        <v>5</v>
      </c>
      <c r="G94" s="20"/>
      <c r="H94" s="20"/>
      <c r="I94" s="20"/>
      <c r="J94" s="20"/>
      <c r="K94" s="20"/>
      <c r="L94" s="20"/>
      <c r="M94" s="41" t="n">
        <f aca="false">E94*F94+G94*H94+I94*J94+K94*L94</f>
        <v>11.25</v>
      </c>
      <c r="N94" s="41" t="n">
        <f aca="false">Исходные!$B$15-M94</f>
        <v>0.449999999999999</v>
      </c>
      <c r="O94" s="55" t="n">
        <v>13</v>
      </c>
      <c r="P94" s="53" t="n">
        <f aca="false">(F94+H94+J94+L94)*O94</f>
        <v>65</v>
      </c>
      <c r="Q94" s="74" t="n">
        <f aca="false">M94*O94</f>
        <v>146.25</v>
      </c>
      <c r="R94" s="74" t="n">
        <f aca="false">N94*O94</f>
        <v>5.84999999999999</v>
      </c>
    </row>
    <row r="95" customFormat="false" ht="15" hidden="false" customHeight="false" outlineLevel="0" collapsed="false">
      <c r="A95" s="53" t="n">
        <v>1</v>
      </c>
      <c r="B95" s="53" t="n">
        <v>16</v>
      </c>
      <c r="C95" s="76" t="s">
        <v>512</v>
      </c>
      <c r="D95" s="53" t="n">
        <v>14</v>
      </c>
      <c r="E95" s="73" t="n">
        <v>1.25</v>
      </c>
      <c r="F95" s="55" t="n">
        <v>9</v>
      </c>
      <c r="G95" s="20"/>
      <c r="H95" s="20"/>
      <c r="I95" s="20"/>
      <c r="J95" s="20"/>
      <c r="K95" s="20"/>
      <c r="L95" s="20"/>
      <c r="M95" s="41" t="n">
        <f aca="false">E95*F95+G95*H95+I95*J95+K95*L95</f>
        <v>11.25</v>
      </c>
      <c r="N95" s="41" t="n">
        <f aca="false">Исходные!$B$15-M95</f>
        <v>0.449999999999999</v>
      </c>
      <c r="O95" s="55" t="n">
        <v>7</v>
      </c>
      <c r="P95" s="53" t="n">
        <f aca="false">(F95+H95+J95+L95)*O95</f>
        <v>63</v>
      </c>
      <c r="Q95" s="74" t="n">
        <f aca="false">M95*O95</f>
        <v>78.75</v>
      </c>
      <c r="R95" s="74" t="n">
        <f aca="false">N95*O95</f>
        <v>3.15</v>
      </c>
    </row>
    <row r="96" customFormat="false" ht="15" hidden="false" customHeight="false" outlineLevel="0" collapsed="false">
      <c r="A96" s="53" t="n">
        <v>1</v>
      </c>
      <c r="B96" s="53" t="n">
        <v>16</v>
      </c>
      <c r="C96" s="76" t="s">
        <v>512</v>
      </c>
      <c r="D96" s="53" t="n">
        <v>15</v>
      </c>
      <c r="E96" s="73" t="n">
        <v>8.928</v>
      </c>
      <c r="F96" s="55" t="n">
        <v>1</v>
      </c>
      <c r="G96" s="73" t="n">
        <v>2.3</v>
      </c>
      <c r="H96" s="55" t="n">
        <v>1</v>
      </c>
      <c r="I96" s="20"/>
      <c r="J96" s="20"/>
      <c r="K96" s="20"/>
      <c r="L96" s="20"/>
      <c r="M96" s="41" t="n">
        <f aca="false">E96*F96+G96*H96+I96*J96+K96*L96</f>
        <v>11.228</v>
      </c>
      <c r="N96" s="41" t="n">
        <f aca="false">Исходные!$B$15-M96</f>
        <v>0.471999999999998</v>
      </c>
      <c r="O96" s="55" t="n">
        <v>2</v>
      </c>
      <c r="P96" s="53" t="n">
        <f aca="false">(F96+H96+J96+L96)*O96</f>
        <v>4</v>
      </c>
      <c r="Q96" s="74" t="n">
        <f aca="false">M96*O96</f>
        <v>22.456</v>
      </c>
      <c r="R96" s="74" t="n">
        <f aca="false">N96*O96</f>
        <v>0.943999999999996</v>
      </c>
    </row>
    <row r="97" customFormat="false" ht="15" hidden="false" customHeight="false" outlineLevel="0" collapsed="false">
      <c r="A97" s="53" t="n">
        <v>1</v>
      </c>
      <c r="B97" s="53" t="n">
        <v>16</v>
      </c>
      <c r="C97" s="76" t="s">
        <v>512</v>
      </c>
      <c r="D97" s="53" t="n">
        <v>16</v>
      </c>
      <c r="E97" s="73" t="n">
        <v>8.928</v>
      </c>
      <c r="F97" s="55" t="n">
        <v>1</v>
      </c>
      <c r="G97" s="73" t="n">
        <v>2.25</v>
      </c>
      <c r="H97" s="55" t="n">
        <v>1</v>
      </c>
      <c r="I97" s="20"/>
      <c r="J97" s="20"/>
      <c r="K97" s="20"/>
      <c r="L97" s="20"/>
      <c r="M97" s="41" t="n">
        <f aca="false">E97*F97+G97*H97+I97*J97+K97*L97</f>
        <v>11.178</v>
      </c>
      <c r="N97" s="41" t="n">
        <f aca="false">Исходные!$B$15-M97</f>
        <v>0.521999999999999</v>
      </c>
      <c r="O97" s="55" t="n">
        <v>1</v>
      </c>
      <c r="P97" s="53" t="n">
        <f aca="false">(F97+H97+J97+L97)*O97</f>
        <v>2</v>
      </c>
      <c r="Q97" s="74" t="n">
        <f aca="false">M97*O97</f>
        <v>11.178</v>
      </c>
      <c r="R97" s="74" t="n">
        <f aca="false">N97*O97</f>
        <v>0.521999999999999</v>
      </c>
    </row>
    <row r="98" customFormat="false" ht="15" hidden="false" customHeight="false" outlineLevel="0" collapsed="false">
      <c r="A98" s="53" t="n">
        <v>1</v>
      </c>
      <c r="B98" s="53" t="n">
        <v>16</v>
      </c>
      <c r="C98" s="76" t="s">
        <v>512</v>
      </c>
      <c r="D98" s="53" t="n">
        <v>17</v>
      </c>
      <c r="E98" s="73" t="n">
        <v>3</v>
      </c>
      <c r="F98" s="55" t="n">
        <v>2</v>
      </c>
      <c r="G98" s="73" t="n">
        <v>2.9</v>
      </c>
      <c r="H98" s="55" t="n">
        <v>1</v>
      </c>
      <c r="I98" s="73" t="n">
        <v>2.25</v>
      </c>
      <c r="J98" s="55" t="n">
        <v>1</v>
      </c>
      <c r="K98" s="20"/>
      <c r="L98" s="20"/>
      <c r="M98" s="41" t="n">
        <f aca="false">E98*F98+G98*H98+I98*J98+K98*L98</f>
        <v>11.15</v>
      </c>
      <c r="N98" s="41" t="n">
        <f aca="false">Исходные!$B$15-M98</f>
        <v>0.549999999999999</v>
      </c>
      <c r="O98" s="55" t="n">
        <v>1</v>
      </c>
      <c r="P98" s="53" t="n">
        <f aca="false">(F98+H98+J98+L98)*O98</f>
        <v>4</v>
      </c>
      <c r="Q98" s="74" t="n">
        <f aca="false">M98*O98</f>
        <v>11.15</v>
      </c>
      <c r="R98" s="74" t="n">
        <f aca="false">N98*O98</f>
        <v>0.549999999999999</v>
      </c>
    </row>
    <row r="99" customFormat="false" ht="15" hidden="false" customHeight="false" outlineLevel="0" collapsed="false">
      <c r="A99" s="53" t="n">
        <v>1</v>
      </c>
      <c r="B99" s="53" t="n">
        <v>16</v>
      </c>
      <c r="C99" s="76" t="s">
        <v>512</v>
      </c>
      <c r="D99" s="53" t="n">
        <v>18</v>
      </c>
      <c r="E99" s="73" t="n">
        <v>3.6</v>
      </c>
      <c r="F99" s="55" t="n">
        <v>2</v>
      </c>
      <c r="G99" s="73" t="n">
        <v>3.3</v>
      </c>
      <c r="H99" s="55" t="n">
        <v>1</v>
      </c>
      <c r="I99" s="20"/>
      <c r="J99" s="20"/>
      <c r="K99" s="20"/>
      <c r="L99" s="20"/>
      <c r="M99" s="41" t="n">
        <f aca="false">E99*F99+G99*H99+I99*J99+K99*L99</f>
        <v>10.5</v>
      </c>
      <c r="N99" s="41" t="n">
        <f aca="false">Исходные!$B$15-M99</f>
        <v>1.2</v>
      </c>
      <c r="O99" s="55" t="n">
        <v>1</v>
      </c>
      <c r="P99" s="53" t="n">
        <f aca="false">(F99+H99+J99+L99)*O99</f>
        <v>3</v>
      </c>
      <c r="Q99" s="74" t="n">
        <f aca="false">M99*O99</f>
        <v>10.5</v>
      </c>
      <c r="R99" s="74" t="n">
        <f aca="false">N99*O99</f>
        <v>1.2</v>
      </c>
    </row>
    <row r="100" customFormat="false" ht="15" hidden="false" customHeight="false" outlineLevel="0" collapsed="false">
      <c r="A100" s="53" t="n">
        <v>1</v>
      </c>
      <c r="B100" s="53" t="n">
        <v>16</v>
      </c>
      <c r="C100" s="76" t="s">
        <v>512</v>
      </c>
      <c r="D100" s="53" t="n">
        <v>19</v>
      </c>
      <c r="E100" s="73" t="n">
        <v>1.25</v>
      </c>
      <c r="F100" s="55" t="n">
        <v>8</v>
      </c>
      <c r="G100" s="20"/>
      <c r="H100" s="20"/>
      <c r="I100" s="20"/>
      <c r="J100" s="20"/>
      <c r="K100" s="20"/>
      <c r="L100" s="20"/>
      <c r="M100" s="41" t="n">
        <f aca="false">E100*F100+G100*H100+I100*J100+K100*L100</f>
        <v>10</v>
      </c>
      <c r="N100" s="41" t="n">
        <f aca="false">Исходные!$B$15-M100</f>
        <v>1.7</v>
      </c>
      <c r="O100" s="55" t="n">
        <v>1</v>
      </c>
      <c r="P100" s="53" t="n">
        <f aca="false">(F100+H100+J100+L100)*O100</f>
        <v>8</v>
      </c>
      <c r="Q100" s="74" t="n">
        <f aca="false">M100*O100</f>
        <v>10</v>
      </c>
      <c r="R100" s="74" t="n">
        <f aca="false">N100*O100</f>
        <v>1.7</v>
      </c>
    </row>
    <row r="101" customFormat="false" ht="15" hidden="false" customHeight="false" outlineLevel="0" collapsed="false">
      <c r="A101" s="53" t="n">
        <v>1</v>
      </c>
      <c r="B101" s="53" t="n">
        <v>14</v>
      </c>
      <c r="C101" s="76" t="s">
        <v>512</v>
      </c>
      <c r="D101" s="53" t="n">
        <v>1</v>
      </c>
      <c r="E101" s="73" t="n">
        <v>11.7</v>
      </c>
      <c r="F101" s="55" t="n">
        <v>1</v>
      </c>
      <c r="G101" s="20"/>
      <c r="H101" s="20"/>
      <c r="I101" s="20"/>
      <c r="J101" s="20"/>
      <c r="K101" s="20"/>
      <c r="L101" s="20"/>
      <c r="M101" s="41" t="n">
        <f aca="false">E101*F101+G101*H101+I101*J101+K101*L101</f>
        <v>11.7</v>
      </c>
      <c r="N101" s="41" t="n">
        <f aca="false">Исходные!$B$15-M101</f>
        <v>0</v>
      </c>
      <c r="O101" s="55" t="n">
        <v>6</v>
      </c>
      <c r="P101" s="53" t="n">
        <f aca="false">(F101+H101+J101+L101)*O101</f>
        <v>6</v>
      </c>
      <c r="Q101" s="74" t="n">
        <f aca="false">M101*O101</f>
        <v>70.2</v>
      </c>
      <c r="R101" s="74" t="n">
        <f aca="false">N101*O101</f>
        <v>0</v>
      </c>
    </row>
    <row r="102" customFormat="false" ht="15" hidden="false" customHeight="false" outlineLevel="0" collapsed="false">
      <c r="A102" s="53" t="n">
        <v>1</v>
      </c>
      <c r="B102" s="53" t="n">
        <v>14</v>
      </c>
      <c r="C102" s="76" t="s">
        <v>512</v>
      </c>
      <c r="D102" s="53" t="n">
        <v>2</v>
      </c>
      <c r="E102" s="73" t="n">
        <v>4</v>
      </c>
      <c r="F102" s="55" t="n">
        <v>2</v>
      </c>
      <c r="G102" s="73" t="n">
        <v>3.7</v>
      </c>
      <c r="H102" s="55" t="n">
        <v>1</v>
      </c>
      <c r="I102" s="20"/>
      <c r="J102" s="20"/>
      <c r="K102" s="20"/>
      <c r="L102" s="20"/>
      <c r="M102" s="41" t="n">
        <f aca="false">E102*F102+G102*H102+I102*J102+K102*L102</f>
        <v>11.7</v>
      </c>
      <c r="N102" s="41" t="n">
        <f aca="false">Исходные!$B$15-M102</f>
        <v>0</v>
      </c>
      <c r="O102" s="55" t="n">
        <v>1</v>
      </c>
      <c r="P102" s="53" t="n">
        <f aca="false">(F102+H102+J102+L102)*O102</f>
        <v>3</v>
      </c>
      <c r="Q102" s="74" t="n">
        <f aca="false">M102*O102</f>
        <v>11.7</v>
      </c>
      <c r="R102" s="74" t="n">
        <f aca="false">N102*O102</f>
        <v>0</v>
      </c>
    </row>
    <row r="103" customFormat="false" ht="15" hidden="false" customHeight="false" outlineLevel="0" collapsed="false">
      <c r="A103" s="53" t="n">
        <v>1</v>
      </c>
      <c r="B103" s="53" t="n">
        <v>14</v>
      </c>
      <c r="C103" s="76" t="s">
        <v>512</v>
      </c>
      <c r="D103" s="53" t="n">
        <v>3</v>
      </c>
      <c r="E103" s="73" t="n">
        <v>1.45</v>
      </c>
      <c r="F103" s="55" t="n">
        <v>8</v>
      </c>
      <c r="G103" s="20"/>
      <c r="H103" s="20"/>
      <c r="I103" s="20"/>
      <c r="J103" s="20"/>
      <c r="K103" s="20"/>
      <c r="L103" s="20"/>
      <c r="M103" s="41" t="n">
        <f aca="false">E103*F103+G103*H103+I103*J103+K103*L103</f>
        <v>11.6</v>
      </c>
      <c r="N103" s="41" t="n">
        <f aca="false">Исходные!$B$15-M103</f>
        <v>0.0999999999999996</v>
      </c>
      <c r="O103" s="55" t="n">
        <v>5</v>
      </c>
      <c r="P103" s="53" t="n">
        <f aca="false">(F103+H103+J103+L103)*O103</f>
        <v>40</v>
      </c>
      <c r="Q103" s="74" t="n">
        <f aca="false">M103*O103</f>
        <v>58</v>
      </c>
      <c r="R103" s="74" t="n">
        <f aca="false">N103*O103</f>
        <v>0.499999999999998</v>
      </c>
    </row>
    <row r="104" customFormat="false" ht="15" hidden="false" customHeight="false" outlineLevel="0" collapsed="false">
      <c r="A104" s="53" t="n">
        <v>1</v>
      </c>
      <c r="B104" s="53" t="n">
        <v>14</v>
      </c>
      <c r="C104" s="76" t="s">
        <v>512</v>
      </c>
      <c r="D104" s="53" t="n">
        <v>4</v>
      </c>
      <c r="E104" s="73" t="n">
        <v>9.1</v>
      </c>
      <c r="F104" s="55" t="n">
        <v>1</v>
      </c>
      <c r="G104" s="73" t="n">
        <v>2.4</v>
      </c>
      <c r="H104" s="55" t="n">
        <v>1</v>
      </c>
      <c r="I104" s="20"/>
      <c r="J104" s="20"/>
      <c r="K104" s="20"/>
      <c r="L104" s="20"/>
      <c r="M104" s="41" t="n">
        <f aca="false">E104*F104+G104*H104+I104*J104+K104*L104</f>
        <v>11.5</v>
      </c>
      <c r="N104" s="41" t="n">
        <f aca="false">Исходные!$B$15-M104</f>
        <v>0.199999999999999</v>
      </c>
      <c r="O104" s="55" t="n">
        <v>2</v>
      </c>
      <c r="P104" s="53" t="n">
        <f aca="false">(F104+H104+J104+L104)*O104</f>
        <v>4</v>
      </c>
      <c r="Q104" s="74" t="n">
        <f aca="false">M104*O104</f>
        <v>23</v>
      </c>
      <c r="R104" s="74" t="n">
        <f aca="false">N104*O104</f>
        <v>0.399999999999999</v>
      </c>
    </row>
    <row r="105" customFormat="false" ht="15" hidden="false" customHeight="false" outlineLevel="0" collapsed="false">
      <c r="A105" s="53" t="n">
        <v>1</v>
      </c>
      <c r="B105" s="53" t="n">
        <v>14</v>
      </c>
      <c r="C105" s="76" t="s">
        <v>512</v>
      </c>
      <c r="D105" s="53" t="n">
        <v>5</v>
      </c>
      <c r="E105" s="73" t="n">
        <v>3.9</v>
      </c>
      <c r="F105" s="55" t="n">
        <v>2</v>
      </c>
      <c r="G105" s="73" t="n">
        <v>3.7</v>
      </c>
      <c r="H105" s="55" t="n">
        <v>1</v>
      </c>
      <c r="I105" s="20"/>
      <c r="J105" s="20"/>
      <c r="K105" s="20"/>
      <c r="L105" s="20"/>
      <c r="M105" s="41" t="n">
        <f aca="false">E105*F105+G105*H105+I105*J105+K105*L105</f>
        <v>11.5</v>
      </c>
      <c r="N105" s="41" t="n">
        <f aca="false">Исходные!$B$15-M105</f>
        <v>0.199999999999999</v>
      </c>
      <c r="O105" s="55" t="n">
        <v>1</v>
      </c>
      <c r="P105" s="53" t="n">
        <f aca="false">(F105+H105+J105+L105)*O105</f>
        <v>3</v>
      </c>
      <c r="Q105" s="74" t="n">
        <f aca="false">M105*O105</f>
        <v>11.5</v>
      </c>
      <c r="R105" s="74" t="n">
        <f aca="false">N105*O105</f>
        <v>0.199999999999999</v>
      </c>
    </row>
    <row r="106" customFormat="false" ht="15" hidden="false" customHeight="false" outlineLevel="0" collapsed="false">
      <c r="A106" s="53" t="n">
        <v>1</v>
      </c>
      <c r="B106" s="53" t="n">
        <v>14</v>
      </c>
      <c r="C106" s="76" t="s">
        <v>512</v>
      </c>
      <c r="D106" s="53" t="n">
        <v>6</v>
      </c>
      <c r="E106" s="73" t="n">
        <v>4.2</v>
      </c>
      <c r="F106" s="55" t="n">
        <v>2</v>
      </c>
      <c r="G106" s="73" t="n">
        <v>2.85</v>
      </c>
      <c r="H106" s="55" t="n">
        <v>1</v>
      </c>
      <c r="I106" s="20"/>
      <c r="J106" s="20"/>
      <c r="K106" s="20"/>
      <c r="L106" s="20"/>
      <c r="M106" s="41" t="n">
        <f aca="false">E106*F106+G106*H106+I106*J106+K106*L106</f>
        <v>11.25</v>
      </c>
      <c r="N106" s="41" t="n">
        <f aca="false">Исходные!$B$15-M106</f>
        <v>0.449999999999999</v>
      </c>
      <c r="O106" s="55" t="n">
        <v>2</v>
      </c>
      <c r="P106" s="53" t="n">
        <f aca="false">(F106+H106+J106+L106)*O106</f>
        <v>6</v>
      </c>
      <c r="Q106" s="74" t="n">
        <f aca="false">M106*O106</f>
        <v>22.5</v>
      </c>
      <c r="R106" s="74" t="n">
        <f aca="false">N106*O106</f>
        <v>0.899999999999999</v>
      </c>
    </row>
    <row r="107" customFormat="false" ht="15" hidden="false" customHeight="false" outlineLevel="0" collapsed="false">
      <c r="A107" s="53" t="n">
        <v>1</v>
      </c>
      <c r="B107" s="53" t="n">
        <v>14</v>
      </c>
      <c r="C107" s="76" t="s">
        <v>512</v>
      </c>
      <c r="D107" s="53" t="n">
        <v>7</v>
      </c>
      <c r="E107" s="73" t="n">
        <v>3.7</v>
      </c>
      <c r="F107" s="55" t="n">
        <v>3</v>
      </c>
      <c r="G107" s="20"/>
      <c r="H107" s="20"/>
      <c r="I107" s="20"/>
      <c r="J107" s="20"/>
      <c r="K107" s="20"/>
      <c r="L107" s="20"/>
      <c r="M107" s="41" t="n">
        <f aca="false">E107*F107+G107*H107+I107*J107+K107*L107</f>
        <v>11.1</v>
      </c>
      <c r="N107" s="41" t="n">
        <f aca="false">Исходные!$B$15-M107</f>
        <v>0.599999999999998</v>
      </c>
      <c r="O107" s="55" t="n">
        <v>1</v>
      </c>
      <c r="P107" s="53" t="n">
        <f aca="false">(F107+H107+J107+L107)*O107</f>
        <v>3</v>
      </c>
      <c r="Q107" s="74" t="n">
        <f aca="false">M107*O107</f>
        <v>11.1</v>
      </c>
      <c r="R107" s="74" t="n">
        <f aca="false">N107*O107</f>
        <v>0.599999999999998</v>
      </c>
    </row>
    <row r="108" customFormat="false" ht="15" hidden="false" customHeight="false" outlineLevel="0" collapsed="false">
      <c r="A108" s="53" t="n">
        <v>1</v>
      </c>
      <c r="B108" s="53" t="n">
        <v>14</v>
      </c>
      <c r="C108" s="76" t="s">
        <v>512</v>
      </c>
      <c r="D108" s="53" t="n">
        <v>8</v>
      </c>
      <c r="E108" s="73" t="n">
        <v>9.385</v>
      </c>
      <c r="F108" s="55" t="n">
        <v>1</v>
      </c>
      <c r="G108" s="73" t="n">
        <v>1.45</v>
      </c>
      <c r="H108" s="55" t="n">
        <v>1</v>
      </c>
      <c r="I108" s="20"/>
      <c r="J108" s="20"/>
      <c r="K108" s="20"/>
      <c r="L108" s="20"/>
      <c r="M108" s="41" t="n">
        <f aca="false">E108*F108+G108*H108+I108*J108+K108*L108</f>
        <v>10.835</v>
      </c>
      <c r="N108" s="41" t="n">
        <f aca="false">Исходные!$B$15-M108</f>
        <v>0.865</v>
      </c>
      <c r="O108" s="55" t="n">
        <v>2</v>
      </c>
      <c r="P108" s="53" t="n">
        <f aca="false">(F108+H108+J108+L108)*O108</f>
        <v>4</v>
      </c>
      <c r="Q108" s="74" t="n">
        <f aca="false">M108*O108</f>
        <v>21.67</v>
      </c>
      <c r="R108" s="74" t="n">
        <f aca="false">N108*O108</f>
        <v>1.73</v>
      </c>
    </row>
    <row r="109" customFormat="false" ht="15" hidden="false" customHeight="false" outlineLevel="0" collapsed="false">
      <c r="A109" s="53" t="n">
        <v>1</v>
      </c>
      <c r="B109" s="53" t="n">
        <v>14</v>
      </c>
      <c r="C109" s="76" t="s">
        <v>512</v>
      </c>
      <c r="D109" s="53" t="n">
        <v>9</v>
      </c>
      <c r="E109" s="73" t="n">
        <v>3.7</v>
      </c>
      <c r="F109" s="55" t="n">
        <v>1</v>
      </c>
      <c r="G109" s="73" t="n">
        <v>3.545</v>
      </c>
      <c r="H109" s="55" t="n">
        <v>2</v>
      </c>
      <c r="I109" s="20"/>
      <c r="J109" s="20"/>
      <c r="K109" s="20"/>
      <c r="L109" s="20"/>
      <c r="M109" s="41" t="n">
        <f aca="false">E109*F109+G109*H109+I109*J109+K109*L109</f>
        <v>10.79</v>
      </c>
      <c r="N109" s="41" t="n">
        <f aca="false">Исходные!$B$15-M109</f>
        <v>0.91</v>
      </c>
      <c r="O109" s="55" t="n">
        <v>1</v>
      </c>
      <c r="P109" s="53" t="n">
        <f aca="false">(F109+H109+J109+L109)*O109</f>
        <v>3</v>
      </c>
      <c r="Q109" s="74" t="n">
        <f aca="false">M109*O109</f>
        <v>10.79</v>
      </c>
      <c r="R109" s="74" t="n">
        <f aca="false">N109*O109</f>
        <v>0.91</v>
      </c>
    </row>
    <row r="110" customFormat="false" ht="15" hidden="false" customHeight="false" outlineLevel="0" collapsed="false">
      <c r="A110" s="53" t="n">
        <v>1</v>
      </c>
      <c r="B110" s="53" t="n">
        <v>12</v>
      </c>
      <c r="C110" s="76" t="s">
        <v>512</v>
      </c>
      <c r="D110" s="53" t="n">
        <v>1</v>
      </c>
      <c r="E110" s="73" t="n">
        <v>11.7</v>
      </c>
      <c r="F110" s="55" t="n">
        <v>1</v>
      </c>
      <c r="G110" s="20"/>
      <c r="H110" s="20"/>
      <c r="I110" s="20"/>
      <c r="J110" s="20"/>
      <c r="K110" s="20"/>
      <c r="L110" s="20"/>
      <c r="M110" s="41" t="n">
        <f aca="false">E110*F110+G110*H110+I110*J110+K110*L110</f>
        <v>11.7</v>
      </c>
      <c r="N110" s="41" t="n">
        <f aca="false">Исходные!$B$15-M110</f>
        <v>0</v>
      </c>
      <c r="O110" s="55" t="n">
        <v>4</v>
      </c>
      <c r="P110" s="53" t="n">
        <f aca="false">(F110+H110+J110+L110)*O110</f>
        <v>4</v>
      </c>
      <c r="Q110" s="74" t="n">
        <f aca="false">M110*O110</f>
        <v>46.8</v>
      </c>
      <c r="R110" s="74" t="n">
        <f aca="false">N110*O110</f>
        <v>0</v>
      </c>
    </row>
    <row r="111" customFormat="false" ht="15" hidden="false" customHeight="false" outlineLevel="0" collapsed="false">
      <c r="A111" s="53" t="n">
        <v>1</v>
      </c>
      <c r="B111" s="53" t="n">
        <v>12</v>
      </c>
      <c r="C111" s="76" t="s">
        <v>512</v>
      </c>
      <c r="D111" s="53" t="n">
        <v>2</v>
      </c>
      <c r="E111" s="73" t="n">
        <v>2.05</v>
      </c>
      <c r="F111" s="55" t="n">
        <v>5</v>
      </c>
      <c r="G111" s="73" t="n">
        <v>1.4</v>
      </c>
      <c r="H111" s="55" t="n">
        <v>1</v>
      </c>
      <c r="I111" s="20"/>
      <c r="J111" s="20"/>
      <c r="K111" s="20"/>
      <c r="L111" s="20"/>
      <c r="M111" s="41" t="n">
        <f aca="false">E111*F111+G111*H111+I111*J111+K111*L111</f>
        <v>11.65</v>
      </c>
      <c r="N111" s="41" t="n">
        <f aca="false">Исходные!$B$15-M111</f>
        <v>0.0499999999999989</v>
      </c>
      <c r="O111" s="55" t="n">
        <v>1</v>
      </c>
      <c r="P111" s="53" t="n">
        <f aca="false">(F111+H111+J111+L111)*O111</f>
        <v>6</v>
      </c>
      <c r="Q111" s="74" t="n">
        <f aca="false">M111*O111</f>
        <v>11.65</v>
      </c>
      <c r="R111" s="74" t="n">
        <f aca="false">N111*O111</f>
        <v>0.0499999999999989</v>
      </c>
    </row>
    <row r="112" customFormat="false" ht="15" hidden="false" customHeight="false" outlineLevel="0" collapsed="false">
      <c r="A112" s="53" t="n">
        <v>1</v>
      </c>
      <c r="B112" s="53" t="n">
        <v>12</v>
      </c>
      <c r="C112" s="76" t="s">
        <v>512</v>
      </c>
      <c r="D112" s="53" t="n">
        <v>3</v>
      </c>
      <c r="E112" s="73" t="n">
        <v>2.4</v>
      </c>
      <c r="F112" s="55" t="n">
        <v>4</v>
      </c>
      <c r="G112" s="73" t="n">
        <v>2.05</v>
      </c>
      <c r="H112" s="55" t="n">
        <v>1</v>
      </c>
      <c r="I112" s="20"/>
      <c r="J112" s="20"/>
      <c r="K112" s="20"/>
      <c r="L112" s="20"/>
      <c r="M112" s="41" t="n">
        <f aca="false">E112*F112+G112*H112+I112*J112+K112*L112</f>
        <v>11.65</v>
      </c>
      <c r="N112" s="41" t="n">
        <f aca="false">Исходные!$B$15-M112</f>
        <v>0.0500000000000007</v>
      </c>
      <c r="O112" s="55" t="n">
        <v>1</v>
      </c>
      <c r="P112" s="53" t="n">
        <f aca="false">(F112+H112+J112+L112)*O112</f>
        <v>5</v>
      </c>
      <c r="Q112" s="74" t="n">
        <f aca="false">M112*O112</f>
        <v>11.65</v>
      </c>
      <c r="R112" s="74" t="n">
        <f aca="false">N112*O112</f>
        <v>0.0500000000000007</v>
      </c>
    </row>
    <row r="113" customFormat="false" ht="15" hidden="false" customHeight="false" outlineLevel="0" collapsed="false">
      <c r="A113" s="53" t="n">
        <v>1</v>
      </c>
      <c r="B113" s="53" t="n">
        <v>12</v>
      </c>
      <c r="C113" s="76" t="s">
        <v>512</v>
      </c>
      <c r="D113" s="53" t="n">
        <v>4</v>
      </c>
      <c r="E113" s="73" t="n">
        <v>3.4</v>
      </c>
      <c r="F113" s="55" t="n">
        <v>3</v>
      </c>
      <c r="G113" s="73" t="n">
        <v>1.4</v>
      </c>
      <c r="H113" s="55" t="n">
        <v>1</v>
      </c>
      <c r="I113" s="20"/>
      <c r="J113" s="20"/>
      <c r="K113" s="20"/>
      <c r="L113" s="20"/>
      <c r="M113" s="41" t="n">
        <f aca="false">E113*F113+G113*H113+I113*J113+K113*L113</f>
        <v>11.6</v>
      </c>
      <c r="N113" s="41" t="n">
        <f aca="false">Исходные!$B$15-M113</f>
        <v>0.0999999999999996</v>
      </c>
      <c r="O113" s="55" t="n">
        <v>1</v>
      </c>
      <c r="P113" s="53" t="n">
        <f aca="false">(F113+H113+J113+L113)*O113</f>
        <v>4</v>
      </c>
      <c r="Q113" s="74" t="n">
        <f aca="false">M113*O113</f>
        <v>11.6</v>
      </c>
      <c r="R113" s="74" t="n">
        <f aca="false">N113*O113</f>
        <v>0.0999999999999996</v>
      </c>
    </row>
    <row r="114" customFormat="false" ht="15" hidden="false" customHeight="false" outlineLevel="0" collapsed="false">
      <c r="A114" s="53" t="n">
        <v>1</v>
      </c>
      <c r="B114" s="53" t="n">
        <v>12</v>
      </c>
      <c r="C114" s="76" t="s">
        <v>512</v>
      </c>
      <c r="D114" s="53" t="n">
        <v>5</v>
      </c>
      <c r="E114" s="73" t="n">
        <v>3.8</v>
      </c>
      <c r="F114" s="55" t="n">
        <v>3</v>
      </c>
      <c r="G114" s="20"/>
      <c r="H114" s="20"/>
      <c r="I114" s="20"/>
      <c r="J114" s="20"/>
      <c r="K114" s="20"/>
      <c r="L114" s="20"/>
      <c r="M114" s="41" t="n">
        <f aca="false">E114*F114+G114*H114+I114*J114+K114*L114</f>
        <v>11.4</v>
      </c>
      <c r="N114" s="41" t="n">
        <f aca="false">Исходные!$B$15-M114</f>
        <v>0.300000000000001</v>
      </c>
      <c r="O114" s="55" t="n">
        <v>2</v>
      </c>
      <c r="P114" s="53" t="n">
        <f aca="false">(F114+H114+J114+L114)*O114</f>
        <v>6</v>
      </c>
      <c r="Q114" s="74" t="n">
        <f aca="false">M114*O114</f>
        <v>22.8</v>
      </c>
      <c r="R114" s="74" t="n">
        <f aca="false">N114*O114</f>
        <v>0.600000000000001</v>
      </c>
    </row>
    <row r="115" customFormat="false" ht="15" hidden="false" customHeight="false" outlineLevel="0" collapsed="false">
      <c r="A115" s="53" t="n">
        <v>1</v>
      </c>
      <c r="B115" s="53" t="n">
        <v>12</v>
      </c>
      <c r="C115" s="76" t="s">
        <v>512</v>
      </c>
      <c r="D115" s="53" t="n">
        <v>6</v>
      </c>
      <c r="E115" s="73" t="n">
        <v>2.3</v>
      </c>
      <c r="F115" s="55" t="n">
        <v>4</v>
      </c>
      <c r="G115" s="73" t="n">
        <v>2.2</v>
      </c>
      <c r="H115" s="55" t="n">
        <v>1</v>
      </c>
      <c r="I115" s="20"/>
      <c r="J115" s="20"/>
      <c r="K115" s="20"/>
      <c r="L115" s="20"/>
      <c r="M115" s="41" t="n">
        <f aca="false">E115*F115+G115*H115+I115*J115+K115*L115</f>
        <v>11.4</v>
      </c>
      <c r="N115" s="41" t="n">
        <f aca="false">Исходные!$B$15-M115</f>
        <v>0.300000000000001</v>
      </c>
      <c r="O115" s="55" t="n">
        <v>1</v>
      </c>
      <c r="P115" s="53" t="n">
        <f aca="false">(F115+H115+J115+L115)*O115</f>
        <v>5</v>
      </c>
      <c r="Q115" s="74" t="n">
        <f aca="false">M115*O115</f>
        <v>11.4</v>
      </c>
      <c r="R115" s="74" t="n">
        <f aca="false">N115*O115</f>
        <v>0.300000000000001</v>
      </c>
    </row>
    <row r="116" customFormat="false" ht="15" hidden="false" customHeight="false" outlineLevel="0" collapsed="false">
      <c r="A116" s="53" t="n">
        <v>1</v>
      </c>
      <c r="B116" s="53" t="n">
        <v>12</v>
      </c>
      <c r="C116" s="76" t="s">
        <v>512</v>
      </c>
      <c r="D116" s="53" t="n">
        <v>7</v>
      </c>
      <c r="E116" s="73" t="n">
        <v>3.8</v>
      </c>
      <c r="F116" s="55" t="n">
        <v>2</v>
      </c>
      <c r="G116" s="73" t="n">
        <v>3.6</v>
      </c>
      <c r="H116" s="55" t="n">
        <v>1</v>
      </c>
      <c r="I116" s="20"/>
      <c r="J116" s="20"/>
      <c r="K116" s="20"/>
      <c r="L116" s="20"/>
      <c r="M116" s="41" t="n">
        <f aca="false">E116*F116+G116*H116+I116*J116+K116*L116</f>
        <v>11.2</v>
      </c>
      <c r="N116" s="41" t="n">
        <f aca="false">Исходные!$B$15-M116</f>
        <v>0.5</v>
      </c>
      <c r="O116" s="55" t="n">
        <v>1</v>
      </c>
      <c r="P116" s="53" t="n">
        <f aca="false">(F116+H116+J116+L116)*O116</f>
        <v>3</v>
      </c>
      <c r="Q116" s="74" t="n">
        <f aca="false">M116*O116</f>
        <v>11.2</v>
      </c>
      <c r="R116" s="74" t="n">
        <f aca="false">N116*O116</f>
        <v>0.5</v>
      </c>
    </row>
    <row r="117" customFormat="false" ht="15" hidden="false" customHeight="false" outlineLevel="0" collapsed="false">
      <c r="A117" s="53" t="n">
        <v>1</v>
      </c>
      <c r="B117" s="53" t="n">
        <v>12</v>
      </c>
      <c r="C117" s="76" t="s">
        <v>512</v>
      </c>
      <c r="D117" s="53" t="n">
        <v>8</v>
      </c>
      <c r="E117" s="73" t="n">
        <v>2.05</v>
      </c>
      <c r="F117" s="55" t="n">
        <v>2</v>
      </c>
      <c r="G117" s="73" t="n">
        <v>1.4</v>
      </c>
      <c r="H117" s="55" t="n">
        <v>5</v>
      </c>
      <c r="I117" s="20"/>
      <c r="J117" s="20"/>
      <c r="K117" s="20"/>
      <c r="L117" s="20"/>
      <c r="M117" s="41" t="n">
        <f aca="false">E117*F117+G117*H117+I117*J117+K117*L117</f>
        <v>11.1</v>
      </c>
      <c r="N117" s="41" t="n">
        <f aca="false">Исходные!$B$15-M117</f>
        <v>0.6</v>
      </c>
      <c r="O117" s="55" t="n">
        <v>1</v>
      </c>
      <c r="P117" s="53" t="n">
        <f aca="false">(F117+H117+J117+L117)*O117</f>
        <v>7</v>
      </c>
      <c r="Q117" s="74" t="n">
        <f aca="false">M117*O117</f>
        <v>11.1</v>
      </c>
      <c r="R117" s="74" t="n">
        <f aca="false">N117*O117</f>
        <v>0.6</v>
      </c>
    </row>
    <row r="118" customFormat="false" ht="15" hidden="false" customHeight="false" outlineLevel="0" collapsed="false">
      <c r="A118" s="53" t="n">
        <v>1</v>
      </c>
      <c r="B118" s="53" t="n">
        <v>12</v>
      </c>
      <c r="C118" s="76" t="s">
        <v>512</v>
      </c>
      <c r="D118" s="53" t="n">
        <v>9</v>
      </c>
      <c r="E118" s="73" t="n">
        <v>2.2</v>
      </c>
      <c r="F118" s="55" t="n">
        <v>5</v>
      </c>
      <c r="G118" s="20"/>
      <c r="H118" s="20"/>
      <c r="I118" s="20"/>
      <c r="J118" s="20"/>
      <c r="K118" s="20"/>
      <c r="L118" s="20"/>
      <c r="M118" s="41" t="n">
        <f aca="false">E118*F118+G118*H118+I118*J118+K118*L118</f>
        <v>11</v>
      </c>
      <c r="N118" s="41" t="n">
        <f aca="false">Исходные!$B$15-M118</f>
        <v>0.699999999999999</v>
      </c>
      <c r="O118" s="55" t="n">
        <v>2</v>
      </c>
      <c r="P118" s="53" t="n">
        <f aca="false">(F118+H118+J118+L118)*O118</f>
        <v>10</v>
      </c>
      <c r="Q118" s="74" t="n">
        <f aca="false">M118*O118</f>
        <v>22</v>
      </c>
      <c r="R118" s="74" t="n">
        <f aca="false">N118*O118</f>
        <v>1.4</v>
      </c>
    </row>
    <row r="119" customFormat="false" ht="15" hidden="false" customHeight="false" outlineLevel="0" collapsed="false">
      <c r="A119" s="53" t="n">
        <v>1</v>
      </c>
      <c r="B119" s="53" t="n">
        <v>12</v>
      </c>
      <c r="C119" s="76" t="s">
        <v>512</v>
      </c>
      <c r="D119" s="53" t="n">
        <v>10</v>
      </c>
      <c r="E119" s="73" t="n">
        <v>5.496</v>
      </c>
      <c r="F119" s="55" t="n">
        <v>2</v>
      </c>
      <c r="G119" s="20"/>
      <c r="H119" s="20"/>
      <c r="I119" s="20"/>
      <c r="J119" s="20"/>
      <c r="K119" s="20"/>
      <c r="L119" s="20"/>
      <c r="M119" s="41" t="n">
        <f aca="false">E119*F119+G119*H119+I119*J119+K119*L119</f>
        <v>10.992</v>
      </c>
      <c r="N119" s="41" t="n">
        <f aca="false">Исходные!$B$15-M119</f>
        <v>0.707999999999998</v>
      </c>
      <c r="O119" s="55" t="n">
        <v>2</v>
      </c>
      <c r="P119" s="53" t="n">
        <f aca="false">(F119+H119+J119+L119)*O119</f>
        <v>4</v>
      </c>
      <c r="Q119" s="74" t="n">
        <f aca="false">M119*O119</f>
        <v>21.984</v>
      </c>
      <c r="R119" s="74" t="n">
        <f aca="false">N119*O119</f>
        <v>1.416</v>
      </c>
    </row>
    <row r="120" customFormat="false" ht="15" hidden="false" customHeight="false" outlineLevel="0" collapsed="false">
      <c r="A120" s="53" t="n">
        <v>1</v>
      </c>
      <c r="B120" s="53" t="n">
        <v>12</v>
      </c>
      <c r="C120" s="76" t="s">
        <v>512</v>
      </c>
      <c r="D120" s="53" t="n">
        <v>11</v>
      </c>
      <c r="E120" s="73" t="n">
        <v>3.6</v>
      </c>
      <c r="F120" s="55" t="n">
        <v>3</v>
      </c>
      <c r="G120" s="20"/>
      <c r="H120" s="20"/>
      <c r="I120" s="20"/>
      <c r="J120" s="20"/>
      <c r="K120" s="20"/>
      <c r="L120" s="20"/>
      <c r="M120" s="41" t="n">
        <f aca="false">E120*F120+G120*H120+I120*J120+K120*L120</f>
        <v>10.8</v>
      </c>
      <c r="N120" s="41" t="n">
        <f aca="false">Исходные!$B$15-M120</f>
        <v>0.899999999999999</v>
      </c>
      <c r="O120" s="55" t="n">
        <v>1</v>
      </c>
      <c r="P120" s="53" t="n">
        <f aca="false">(F120+H120+J120+L120)*O120</f>
        <v>3</v>
      </c>
      <c r="Q120" s="74" t="n">
        <f aca="false">M120*O120</f>
        <v>10.8</v>
      </c>
      <c r="R120" s="74" t="n">
        <f aca="false">N120*O120</f>
        <v>0.899999999999999</v>
      </c>
    </row>
    <row r="121" customFormat="false" ht="15" hidden="false" customHeight="false" outlineLevel="0" collapsed="false">
      <c r="A121" s="53" t="n">
        <v>1</v>
      </c>
      <c r="B121" s="53" t="n">
        <v>12</v>
      </c>
      <c r="C121" s="76" t="s">
        <v>512</v>
      </c>
      <c r="D121" s="53" t="n">
        <v>12</v>
      </c>
      <c r="E121" s="73" t="n">
        <v>10.6</v>
      </c>
      <c r="F121" s="55" t="n">
        <v>1</v>
      </c>
      <c r="G121" s="20"/>
      <c r="H121" s="20"/>
      <c r="I121" s="20"/>
      <c r="J121" s="20"/>
      <c r="K121" s="20"/>
      <c r="L121" s="20"/>
      <c r="M121" s="41" t="n">
        <f aca="false">E121*F121+G121*H121+I121*J121+K121*L121</f>
        <v>10.6</v>
      </c>
      <c r="N121" s="41" t="n">
        <f aca="false">Исходные!$B$15-M121</f>
        <v>1.1</v>
      </c>
      <c r="O121" s="55" t="n">
        <v>2</v>
      </c>
      <c r="P121" s="53" t="n">
        <f aca="false">(F121+H121+J121+L121)*O121</f>
        <v>2</v>
      </c>
      <c r="Q121" s="74" t="n">
        <f aca="false">M121*O121</f>
        <v>21.2</v>
      </c>
      <c r="R121" s="74" t="n">
        <f aca="false">N121*O121</f>
        <v>2.2</v>
      </c>
    </row>
    <row r="122" customFormat="false" ht="15" hidden="false" customHeight="false" outlineLevel="0" collapsed="false">
      <c r="A122" s="53" t="n">
        <v>1</v>
      </c>
      <c r="B122" s="53" t="n">
        <v>12</v>
      </c>
      <c r="C122" s="76" t="s">
        <v>512</v>
      </c>
      <c r="D122" s="53" t="n">
        <v>13</v>
      </c>
      <c r="E122" s="73" t="n">
        <v>3.6</v>
      </c>
      <c r="F122" s="55" t="n">
        <v>2</v>
      </c>
      <c r="G122" s="73" t="n">
        <v>3.4</v>
      </c>
      <c r="H122" s="55" t="n">
        <v>1</v>
      </c>
      <c r="I122" s="20"/>
      <c r="J122" s="20"/>
      <c r="K122" s="20"/>
      <c r="L122" s="20"/>
      <c r="M122" s="41" t="n">
        <f aca="false">E122*F122+G122*H122+I122*J122+K122*L122</f>
        <v>10.6</v>
      </c>
      <c r="N122" s="41" t="n">
        <f aca="false">Исходные!$B$15-M122</f>
        <v>1.1</v>
      </c>
      <c r="O122" s="55" t="n">
        <v>1</v>
      </c>
      <c r="P122" s="53" t="n">
        <f aca="false">(F122+H122+J122+L122)*O122</f>
        <v>3</v>
      </c>
      <c r="Q122" s="74" t="n">
        <f aca="false">M122*O122</f>
        <v>10.6</v>
      </c>
      <c r="R122" s="74" t="n">
        <f aca="false">N122*O122</f>
        <v>1.1</v>
      </c>
    </row>
    <row r="123" customFormat="false" ht="15" hidden="false" customHeight="false" outlineLevel="0" collapsed="false">
      <c r="A123" s="53" t="n">
        <v>1</v>
      </c>
      <c r="B123" s="53" t="n">
        <v>12</v>
      </c>
      <c r="C123" s="76" t="s">
        <v>512</v>
      </c>
      <c r="D123" s="53" t="n">
        <v>14</v>
      </c>
      <c r="E123" s="73" t="n">
        <v>2.2</v>
      </c>
      <c r="F123" s="55" t="n">
        <v>1</v>
      </c>
      <c r="G123" s="73" t="n">
        <v>2.05</v>
      </c>
      <c r="H123" s="55" t="n">
        <v>4</v>
      </c>
      <c r="I123" s="20"/>
      <c r="J123" s="20"/>
      <c r="K123" s="20"/>
      <c r="L123" s="20"/>
      <c r="M123" s="41" t="n">
        <f aca="false">E123*F123+G123*H123+I123*J123+K123*L123</f>
        <v>10.4</v>
      </c>
      <c r="N123" s="41" t="n">
        <f aca="false">Исходные!$B$15-M123</f>
        <v>1.3</v>
      </c>
      <c r="O123" s="55" t="n">
        <v>1</v>
      </c>
      <c r="P123" s="53" t="n">
        <f aca="false">(F123+H123+J123+L123)*O123</f>
        <v>5</v>
      </c>
      <c r="Q123" s="74" t="n">
        <f aca="false">M123*O123</f>
        <v>10.4</v>
      </c>
      <c r="R123" s="74" t="n">
        <f aca="false">N123*O123</f>
        <v>1.3</v>
      </c>
    </row>
    <row r="124" customFormat="false" ht="15" hidden="false" customHeight="false" outlineLevel="0" collapsed="false">
      <c r="A124" s="53" t="n">
        <v>1</v>
      </c>
      <c r="B124" s="53" t="n">
        <v>12</v>
      </c>
      <c r="C124" s="76" t="s">
        <v>512</v>
      </c>
      <c r="D124" s="53" t="n">
        <v>15</v>
      </c>
      <c r="E124" s="73" t="n">
        <v>1.4</v>
      </c>
      <c r="F124" s="55" t="n">
        <v>5</v>
      </c>
      <c r="G124" s="20"/>
      <c r="H124" s="20"/>
      <c r="I124" s="20"/>
      <c r="J124" s="20"/>
      <c r="K124" s="20"/>
      <c r="L124" s="20"/>
      <c r="M124" s="41" t="n">
        <f aca="false">E124*F124+G124*H124+I124*J124+K124*L124</f>
        <v>7</v>
      </c>
      <c r="N124" s="41" t="n">
        <f aca="false">Исходные!$B$15-M124</f>
        <v>4.7</v>
      </c>
      <c r="O124" s="55" t="n">
        <v>1</v>
      </c>
      <c r="P124" s="53" t="n">
        <f aca="false">(F124+H124+J124+L124)*O124</f>
        <v>5</v>
      </c>
      <c r="Q124" s="74" t="n">
        <f aca="false">M124*O124</f>
        <v>7</v>
      </c>
      <c r="R124" s="74" t="n">
        <f aca="false">N124*O124</f>
        <v>4.7</v>
      </c>
    </row>
    <row r="125" customFormat="false" ht="15" hidden="false" customHeight="false" outlineLevel="0" collapsed="false">
      <c r="A125" s="53" t="n">
        <v>1</v>
      </c>
      <c r="B125" s="53" t="n">
        <v>10</v>
      </c>
      <c r="C125" s="76" t="s">
        <v>512</v>
      </c>
      <c r="D125" s="53" t="n">
        <v>1</v>
      </c>
      <c r="E125" s="73" t="n">
        <v>11.7</v>
      </c>
      <c r="F125" s="55" t="n">
        <v>1</v>
      </c>
      <c r="G125" s="20"/>
      <c r="H125" s="20"/>
      <c r="I125" s="20"/>
      <c r="J125" s="20"/>
      <c r="K125" s="20"/>
      <c r="L125" s="20"/>
      <c r="M125" s="41" t="n">
        <f aca="false">E125*F125+G125*H125+I125*J125+K125*L125</f>
        <v>11.7</v>
      </c>
      <c r="N125" s="41" t="n">
        <f aca="false">Исходные!$B$15-M125</f>
        <v>0</v>
      </c>
      <c r="O125" s="55" t="n">
        <v>616</v>
      </c>
      <c r="P125" s="53" t="n">
        <f aca="false">(F125+H125+J125+L125)*O125</f>
        <v>616</v>
      </c>
      <c r="Q125" s="74" t="n">
        <f aca="false">M125*O125</f>
        <v>7207.2</v>
      </c>
      <c r="R125" s="74" t="n">
        <f aca="false">N125*O125</f>
        <v>0</v>
      </c>
    </row>
    <row r="126" customFormat="false" ht="15" hidden="false" customHeight="false" outlineLevel="0" collapsed="false">
      <c r="A126" s="53" t="n">
        <v>1</v>
      </c>
      <c r="B126" s="53" t="n">
        <v>10</v>
      </c>
      <c r="C126" s="76" t="s">
        <v>512</v>
      </c>
      <c r="D126" s="53" t="n">
        <v>2</v>
      </c>
      <c r="E126" s="73" t="n">
        <v>4.75</v>
      </c>
      <c r="F126" s="55" t="n">
        <v>2</v>
      </c>
      <c r="G126" s="73" t="n">
        <v>2.2</v>
      </c>
      <c r="H126" s="55" t="n">
        <v>1</v>
      </c>
      <c r="I126" s="20"/>
      <c r="J126" s="20"/>
      <c r="K126" s="20"/>
      <c r="L126" s="20"/>
      <c r="M126" s="41" t="n">
        <f aca="false">E126*F126+G126*H126+I126*J126+K126*L126</f>
        <v>11.7</v>
      </c>
      <c r="N126" s="41" t="n">
        <f aca="false">Исходные!$B$15-M126</f>
        <v>0</v>
      </c>
      <c r="O126" s="55" t="n">
        <v>13</v>
      </c>
      <c r="P126" s="53" t="n">
        <f aca="false">(F126+H126+J126+L126)*O126</f>
        <v>39</v>
      </c>
      <c r="Q126" s="74" t="n">
        <f aca="false">M126*O126</f>
        <v>152.1</v>
      </c>
      <c r="R126" s="74" t="n">
        <f aca="false">N126*O126</f>
        <v>0</v>
      </c>
    </row>
    <row r="127" customFormat="false" ht="15" hidden="false" customHeight="false" outlineLevel="0" collapsed="false">
      <c r="A127" s="53" t="n">
        <v>1</v>
      </c>
      <c r="B127" s="53" t="n">
        <v>10</v>
      </c>
      <c r="C127" s="76" t="s">
        <v>512</v>
      </c>
      <c r="D127" s="53" t="n">
        <v>3</v>
      </c>
      <c r="E127" s="73" t="n">
        <v>1.4</v>
      </c>
      <c r="F127" s="55" t="n">
        <v>4</v>
      </c>
      <c r="G127" s="73" t="n">
        <v>1.25</v>
      </c>
      <c r="H127" s="55" t="n">
        <v>3</v>
      </c>
      <c r="I127" s="73" t="n">
        <v>1.2</v>
      </c>
      <c r="J127" s="55" t="n">
        <v>1</v>
      </c>
      <c r="K127" s="73" t="n">
        <v>0.57</v>
      </c>
      <c r="L127" s="55" t="n">
        <v>2</v>
      </c>
      <c r="M127" s="41" t="n">
        <f aca="false">E127*F127+G127*H127+I127*J127+K127*L127</f>
        <v>11.69</v>
      </c>
      <c r="N127" s="41" t="n">
        <f aca="false">Исходные!$B$15-M127</f>
        <v>0.00999999999999979</v>
      </c>
      <c r="O127" s="55" t="n">
        <v>1</v>
      </c>
      <c r="P127" s="53" t="n">
        <f aca="false">(F127+H127+J127+L127)*O127</f>
        <v>10</v>
      </c>
      <c r="Q127" s="74" t="n">
        <f aca="false">M127*O127</f>
        <v>11.69</v>
      </c>
      <c r="R127" s="74" t="n">
        <f aca="false">N127*O127</f>
        <v>0.00999999999999979</v>
      </c>
    </row>
    <row r="128" customFormat="false" ht="15" hidden="false" customHeight="false" outlineLevel="0" collapsed="false">
      <c r="A128" s="53" t="n">
        <v>1</v>
      </c>
      <c r="B128" s="53" t="n">
        <v>10</v>
      </c>
      <c r="C128" s="76" t="s">
        <v>512</v>
      </c>
      <c r="D128" s="53" t="n">
        <v>4</v>
      </c>
      <c r="E128" s="73" t="n">
        <v>1.4</v>
      </c>
      <c r="F128" s="55" t="n">
        <v>8</v>
      </c>
      <c r="G128" s="73" t="n">
        <v>0.48</v>
      </c>
      <c r="H128" s="55" t="n">
        <v>1</v>
      </c>
      <c r="I128" s="20"/>
      <c r="J128" s="20"/>
      <c r="K128" s="20"/>
      <c r="L128" s="20"/>
      <c r="M128" s="41" t="n">
        <f aca="false">E128*F128+G128*H128+I128*J128+K128*L128</f>
        <v>11.68</v>
      </c>
      <c r="N128" s="41" t="n">
        <f aca="false">Исходные!$B$15-M128</f>
        <v>0.0199999999999996</v>
      </c>
      <c r="O128" s="55" t="n">
        <v>3</v>
      </c>
      <c r="P128" s="53" t="n">
        <f aca="false">(F128+H128+J128+L128)*O128</f>
        <v>27</v>
      </c>
      <c r="Q128" s="74" t="n">
        <f aca="false">M128*O128</f>
        <v>35.04</v>
      </c>
      <c r="R128" s="74" t="n">
        <f aca="false">N128*O128</f>
        <v>0.0599999999999987</v>
      </c>
    </row>
    <row r="129" customFormat="false" ht="15" hidden="false" customHeight="false" outlineLevel="0" collapsed="false">
      <c r="A129" s="53" t="n">
        <v>1</v>
      </c>
      <c r="B129" s="53" t="n">
        <v>10</v>
      </c>
      <c r="C129" s="76" t="s">
        <v>512</v>
      </c>
      <c r="D129" s="53" t="n">
        <v>5</v>
      </c>
      <c r="E129" s="73" t="n">
        <v>11.05</v>
      </c>
      <c r="F129" s="55" t="n">
        <v>1</v>
      </c>
      <c r="G129" s="73" t="n">
        <v>0.62</v>
      </c>
      <c r="H129" s="55" t="n">
        <v>1</v>
      </c>
      <c r="I129" s="20"/>
      <c r="J129" s="20"/>
      <c r="K129" s="20"/>
      <c r="L129" s="20"/>
      <c r="M129" s="41" t="n">
        <f aca="false">E129*F129+G129*H129+I129*J129+K129*L129</f>
        <v>11.67</v>
      </c>
      <c r="N129" s="41" t="n">
        <f aca="false">Исходные!$B$15-M129</f>
        <v>0.0299999999999994</v>
      </c>
      <c r="O129" s="55" t="n">
        <v>48</v>
      </c>
      <c r="P129" s="53" t="n">
        <f aca="false">(F129+H129+J129+L129)*O129</f>
        <v>96</v>
      </c>
      <c r="Q129" s="74" t="n">
        <f aca="false">M129*O129</f>
        <v>560.16</v>
      </c>
      <c r="R129" s="74" t="n">
        <f aca="false">N129*O129</f>
        <v>1.43999999999997</v>
      </c>
    </row>
    <row r="130" customFormat="false" ht="15" hidden="false" customHeight="false" outlineLevel="0" collapsed="false">
      <c r="A130" s="53" t="n">
        <v>1</v>
      </c>
      <c r="B130" s="53" t="n">
        <v>10</v>
      </c>
      <c r="C130" s="76" t="s">
        <v>512</v>
      </c>
      <c r="D130" s="53" t="n">
        <v>6</v>
      </c>
      <c r="E130" s="73" t="n">
        <v>9.18</v>
      </c>
      <c r="F130" s="55" t="n">
        <v>1</v>
      </c>
      <c r="G130" s="73" t="n">
        <v>2</v>
      </c>
      <c r="H130" s="55" t="n">
        <v>1</v>
      </c>
      <c r="I130" s="73" t="n">
        <v>0.48</v>
      </c>
      <c r="J130" s="55" t="n">
        <v>1</v>
      </c>
      <c r="K130" s="20"/>
      <c r="L130" s="20"/>
      <c r="M130" s="41" t="n">
        <f aca="false">E130*F130+G130*H130+I130*J130+K130*L130</f>
        <v>11.66</v>
      </c>
      <c r="N130" s="41" t="n">
        <f aca="false">Исходные!$B$15-M130</f>
        <v>0.0399999999999992</v>
      </c>
      <c r="O130" s="55" t="n">
        <v>5</v>
      </c>
      <c r="P130" s="53" t="n">
        <f aca="false">(F130+H130+J130+L130)*O130</f>
        <v>15</v>
      </c>
      <c r="Q130" s="74" t="n">
        <f aca="false">M130*O130</f>
        <v>58.3</v>
      </c>
      <c r="R130" s="74" t="n">
        <f aca="false">N130*O130</f>
        <v>0.199999999999996</v>
      </c>
    </row>
    <row r="131" customFormat="false" ht="15" hidden="false" customHeight="false" outlineLevel="0" collapsed="false">
      <c r="A131" s="53" t="n">
        <v>1</v>
      </c>
      <c r="B131" s="53" t="n">
        <v>10</v>
      </c>
      <c r="C131" s="76" t="s">
        <v>512</v>
      </c>
      <c r="D131" s="53" t="n">
        <v>7</v>
      </c>
      <c r="E131" s="73" t="n">
        <v>4.32</v>
      </c>
      <c r="F131" s="55" t="n">
        <v>2</v>
      </c>
      <c r="G131" s="73" t="n">
        <v>3.02</v>
      </c>
      <c r="H131" s="55" t="n">
        <v>1</v>
      </c>
      <c r="I131" s="20"/>
      <c r="J131" s="20"/>
      <c r="K131" s="20"/>
      <c r="L131" s="20"/>
      <c r="M131" s="41" t="n">
        <f aca="false">E131*F131+G131*H131+I131*J131+K131*L131</f>
        <v>11.66</v>
      </c>
      <c r="N131" s="41" t="n">
        <f aca="false">Исходные!$B$15-M131</f>
        <v>0.0399999999999992</v>
      </c>
      <c r="O131" s="55" t="n">
        <v>16</v>
      </c>
      <c r="P131" s="53" t="n">
        <f aca="false">(F131+H131+J131+L131)*O131</f>
        <v>48</v>
      </c>
      <c r="Q131" s="74" t="n">
        <f aca="false">M131*O131</f>
        <v>186.56</v>
      </c>
      <c r="R131" s="74" t="n">
        <f aca="false">N131*O131</f>
        <v>0.639999999999986</v>
      </c>
    </row>
    <row r="132" customFormat="false" ht="15" hidden="false" customHeight="false" outlineLevel="0" collapsed="false">
      <c r="A132" s="53" t="n">
        <v>1</v>
      </c>
      <c r="B132" s="53" t="n">
        <v>10</v>
      </c>
      <c r="C132" s="76" t="s">
        <v>512</v>
      </c>
      <c r="D132" s="53" t="n">
        <v>8</v>
      </c>
      <c r="E132" s="73" t="n">
        <v>3.02</v>
      </c>
      <c r="F132" s="55" t="n">
        <v>3</v>
      </c>
      <c r="G132" s="73" t="n">
        <v>2.6</v>
      </c>
      <c r="H132" s="55" t="n">
        <v>1</v>
      </c>
      <c r="I132" s="20"/>
      <c r="J132" s="20"/>
      <c r="K132" s="20"/>
      <c r="L132" s="20"/>
      <c r="M132" s="41" t="n">
        <f aca="false">E132*F132+G132*H132+I132*J132+K132*L132</f>
        <v>11.66</v>
      </c>
      <c r="N132" s="41" t="n">
        <f aca="false">Исходные!$B$15-M132</f>
        <v>0.0399999999999992</v>
      </c>
      <c r="O132" s="55" t="n">
        <v>6</v>
      </c>
      <c r="P132" s="53" t="n">
        <f aca="false">(F132+H132+J132+L132)*O132</f>
        <v>24</v>
      </c>
      <c r="Q132" s="74" t="n">
        <f aca="false">M132*O132</f>
        <v>69.96</v>
      </c>
      <c r="R132" s="74" t="n">
        <f aca="false">N132*O132</f>
        <v>0.239999999999995</v>
      </c>
    </row>
    <row r="133" customFormat="false" ht="15" hidden="false" customHeight="false" outlineLevel="0" collapsed="false">
      <c r="A133" s="53" t="n">
        <v>1</v>
      </c>
      <c r="B133" s="53" t="n">
        <v>10</v>
      </c>
      <c r="C133" s="76" t="s">
        <v>512</v>
      </c>
      <c r="D133" s="53" t="n">
        <v>9</v>
      </c>
      <c r="E133" s="73" t="n">
        <v>11.05</v>
      </c>
      <c r="F133" s="55" t="n">
        <v>1</v>
      </c>
      <c r="G133" s="73" t="n">
        <v>0.6</v>
      </c>
      <c r="H133" s="55" t="n">
        <v>1</v>
      </c>
      <c r="I133" s="20"/>
      <c r="J133" s="20"/>
      <c r="K133" s="20"/>
      <c r="L133" s="20"/>
      <c r="M133" s="41" t="n">
        <f aca="false">E133*F133+G133*H133+I133*J133+K133*L133</f>
        <v>11.65</v>
      </c>
      <c r="N133" s="41" t="n">
        <f aca="false">Исходные!$B$15-M133</f>
        <v>0.0499999999999989</v>
      </c>
      <c r="O133" s="55" t="n">
        <v>28</v>
      </c>
      <c r="P133" s="53" t="n">
        <f aca="false">(F133+H133+J133+L133)*O133</f>
        <v>56</v>
      </c>
      <c r="Q133" s="74" t="n">
        <f aca="false">M133*O133</f>
        <v>326.2</v>
      </c>
      <c r="R133" s="74" t="n">
        <f aca="false">N133*O133</f>
        <v>1.39999999999997</v>
      </c>
    </row>
    <row r="134" customFormat="false" ht="15" hidden="false" customHeight="false" outlineLevel="0" collapsed="false">
      <c r="A134" s="53" t="n">
        <v>1</v>
      </c>
      <c r="B134" s="53" t="n">
        <v>10</v>
      </c>
      <c r="C134" s="76" t="s">
        <v>512</v>
      </c>
      <c r="D134" s="53" t="n">
        <v>10</v>
      </c>
      <c r="E134" s="73" t="n">
        <v>6.9</v>
      </c>
      <c r="F134" s="55" t="n">
        <v>1</v>
      </c>
      <c r="G134" s="73" t="n">
        <v>4.75</v>
      </c>
      <c r="H134" s="55" t="n">
        <v>1</v>
      </c>
      <c r="I134" s="20"/>
      <c r="J134" s="20"/>
      <c r="K134" s="20"/>
      <c r="L134" s="20"/>
      <c r="M134" s="41" t="n">
        <f aca="false">E134*F134+G134*H134+I134*J134+K134*L134</f>
        <v>11.65</v>
      </c>
      <c r="N134" s="41" t="n">
        <f aca="false">Исходные!$B$15-M134</f>
        <v>0.0499999999999989</v>
      </c>
      <c r="O134" s="55" t="n">
        <v>26</v>
      </c>
      <c r="P134" s="53" t="n">
        <f aca="false">(F134+H134+J134+L134)*O134</f>
        <v>52</v>
      </c>
      <c r="Q134" s="74" t="n">
        <f aca="false">M134*O134</f>
        <v>302.9</v>
      </c>
      <c r="R134" s="74" t="n">
        <f aca="false">N134*O134</f>
        <v>1.29999999999997</v>
      </c>
    </row>
    <row r="135" customFormat="false" ht="15" hidden="false" customHeight="false" outlineLevel="0" collapsed="false">
      <c r="A135" s="53" t="n">
        <v>1</v>
      </c>
      <c r="B135" s="53" t="n">
        <v>10</v>
      </c>
      <c r="C135" s="76" t="s">
        <v>512</v>
      </c>
      <c r="D135" s="53" t="n">
        <v>11</v>
      </c>
      <c r="E135" s="73" t="n">
        <v>4.5</v>
      </c>
      <c r="F135" s="55" t="n">
        <v>2</v>
      </c>
      <c r="G135" s="73" t="n">
        <v>1.4</v>
      </c>
      <c r="H135" s="55" t="n">
        <v>1</v>
      </c>
      <c r="I135" s="73" t="n">
        <v>1.25</v>
      </c>
      <c r="J135" s="55" t="n">
        <v>1</v>
      </c>
      <c r="K135" s="20"/>
      <c r="L135" s="20"/>
      <c r="M135" s="41" t="n">
        <f aca="false">E135*F135+G135*H135+I135*J135+K135*L135</f>
        <v>11.65</v>
      </c>
      <c r="N135" s="41" t="n">
        <f aca="false">Исходные!$B$15-M135</f>
        <v>0.0499999999999989</v>
      </c>
      <c r="O135" s="55" t="n">
        <v>3</v>
      </c>
      <c r="P135" s="53" t="n">
        <f aca="false">(F135+H135+J135+L135)*O135</f>
        <v>12</v>
      </c>
      <c r="Q135" s="74" t="n">
        <f aca="false">M135*O135</f>
        <v>34.95</v>
      </c>
      <c r="R135" s="74" t="n">
        <f aca="false">N135*O135</f>
        <v>0.149999999999997</v>
      </c>
    </row>
    <row r="136" customFormat="false" ht="15" hidden="false" customHeight="false" outlineLevel="0" collapsed="false">
      <c r="A136" s="53" t="n">
        <v>1</v>
      </c>
      <c r="B136" s="53" t="n">
        <v>10</v>
      </c>
      <c r="C136" s="76" t="s">
        <v>512</v>
      </c>
      <c r="D136" s="53" t="n">
        <v>12</v>
      </c>
      <c r="E136" s="73" t="n">
        <v>3.02</v>
      </c>
      <c r="F136" s="55" t="n">
        <v>2</v>
      </c>
      <c r="G136" s="73" t="n">
        <v>1.4</v>
      </c>
      <c r="H136" s="55" t="n">
        <v>4</v>
      </c>
      <c r="I136" s="20"/>
      <c r="J136" s="20"/>
      <c r="K136" s="20"/>
      <c r="L136" s="20"/>
      <c r="M136" s="41" t="n">
        <f aca="false">E136*F136+G136*H136+I136*J136+K136*L136</f>
        <v>11.64</v>
      </c>
      <c r="N136" s="41" t="n">
        <f aca="false">Исходные!$B$15-M136</f>
        <v>0.0599999999999987</v>
      </c>
      <c r="O136" s="55" t="n">
        <v>1</v>
      </c>
      <c r="P136" s="53" t="n">
        <f aca="false">(F136+H136+J136+L136)*O136</f>
        <v>6</v>
      </c>
      <c r="Q136" s="74" t="n">
        <f aca="false">M136*O136</f>
        <v>11.64</v>
      </c>
      <c r="R136" s="74" t="n">
        <f aca="false">N136*O136</f>
        <v>0.0599999999999987</v>
      </c>
    </row>
    <row r="137" customFormat="false" ht="15" hidden="false" customHeight="false" outlineLevel="0" collapsed="false">
      <c r="A137" s="53" t="n">
        <v>1</v>
      </c>
      <c r="B137" s="53" t="n">
        <v>10</v>
      </c>
      <c r="C137" s="76" t="s">
        <v>512</v>
      </c>
      <c r="D137" s="53" t="n">
        <v>13</v>
      </c>
      <c r="E137" s="73" t="n">
        <v>8</v>
      </c>
      <c r="F137" s="55" t="n">
        <v>1</v>
      </c>
      <c r="G137" s="73" t="n">
        <v>3.625</v>
      </c>
      <c r="H137" s="55" t="n">
        <v>1</v>
      </c>
      <c r="I137" s="20"/>
      <c r="J137" s="20"/>
      <c r="K137" s="20"/>
      <c r="L137" s="20"/>
      <c r="M137" s="41" t="n">
        <f aca="false">E137*F137+G137*H137+I137*J137+K137*L137</f>
        <v>11.625</v>
      </c>
      <c r="N137" s="41" t="n">
        <f aca="false">Исходные!$B$15-M137</f>
        <v>0.0749999999999993</v>
      </c>
      <c r="O137" s="55" t="n">
        <v>20</v>
      </c>
      <c r="P137" s="53" t="n">
        <f aca="false">(F137+H137+J137+L137)*O137</f>
        <v>40</v>
      </c>
      <c r="Q137" s="74" t="n">
        <f aca="false">M137*O137</f>
        <v>232.5</v>
      </c>
      <c r="R137" s="74" t="n">
        <f aca="false">N137*O137</f>
        <v>1.49999999999999</v>
      </c>
    </row>
    <row r="138" customFormat="false" ht="15" hidden="false" customHeight="false" outlineLevel="0" collapsed="false">
      <c r="A138" s="53" t="n">
        <v>1</v>
      </c>
      <c r="B138" s="53" t="n">
        <v>10</v>
      </c>
      <c r="C138" s="76" t="s">
        <v>512</v>
      </c>
      <c r="D138" s="53" t="n">
        <v>14</v>
      </c>
      <c r="E138" s="73" t="n">
        <v>11.05</v>
      </c>
      <c r="F138" s="55" t="n">
        <v>1</v>
      </c>
      <c r="G138" s="73" t="n">
        <v>0.57</v>
      </c>
      <c r="H138" s="55" t="n">
        <v>1</v>
      </c>
      <c r="I138" s="20"/>
      <c r="J138" s="20"/>
      <c r="K138" s="20"/>
      <c r="L138" s="20"/>
      <c r="M138" s="41" t="n">
        <f aca="false">E138*F138+G138*H138+I138*J138+K138*L138</f>
        <v>11.62</v>
      </c>
      <c r="N138" s="41" t="n">
        <f aca="false">Исходные!$B$15-M138</f>
        <v>0.0799999999999983</v>
      </c>
      <c r="O138" s="55" t="n">
        <v>4</v>
      </c>
      <c r="P138" s="53" t="n">
        <f aca="false">(F138+H138+J138+L138)*O138</f>
        <v>8</v>
      </c>
      <c r="Q138" s="74" t="n">
        <f aca="false">M138*O138</f>
        <v>46.48</v>
      </c>
      <c r="R138" s="74" t="n">
        <f aca="false">N138*O138</f>
        <v>0.319999999999993</v>
      </c>
    </row>
    <row r="139" customFormat="false" ht="15" hidden="false" customHeight="false" outlineLevel="0" collapsed="false">
      <c r="A139" s="53" t="n">
        <v>1</v>
      </c>
      <c r="B139" s="53" t="n">
        <v>10</v>
      </c>
      <c r="C139" s="76" t="s">
        <v>512</v>
      </c>
      <c r="D139" s="53" t="n">
        <v>15</v>
      </c>
      <c r="E139" s="73" t="n">
        <v>4.3</v>
      </c>
      <c r="F139" s="55" t="n">
        <v>2</v>
      </c>
      <c r="G139" s="73" t="n">
        <v>3.02</v>
      </c>
      <c r="H139" s="55" t="n">
        <v>1</v>
      </c>
      <c r="I139" s="20"/>
      <c r="J139" s="20"/>
      <c r="K139" s="20"/>
      <c r="L139" s="20"/>
      <c r="M139" s="41" t="n">
        <f aca="false">E139*F139+G139*H139+I139*J139+K139*L139</f>
        <v>11.62</v>
      </c>
      <c r="N139" s="41" t="n">
        <f aca="false">Исходные!$B$15-M139</f>
        <v>0.0800000000000001</v>
      </c>
      <c r="O139" s="55" t="n">
        <v>17</v>
      </c>
      <c r="P139" s="53" t="n">
        <f aca="false">(F139+H139+J139+L139)*O139</f>
        <v>51</v>
      </c>
      <c r="Q139" s="74" t="n">
        <f aca="false">M139*O139</f>
        <v>197.54</v>
      </c>
      <c r="R139" s="74" t="n">
        <f aca="false">N139*O139</f>
        <v>1.36</v>
      </c>
    </row>
    <row r="140" customFormat="false" ht="15" hidden="false" customHeight="false" outlineLevel="0" collapsed="false">
      <c r="A140" s="53" t="n">
        <v>1</v>
      </c>
      <c r="B140" s="53" t="n">
        <v>10</v>
      </c>
      <c r="C140" s="76" t="s">
        <v>512</v>
      </c>
      <c r="D140" s="53" t="n">
        <v>16</v>
      </c>
      <c r="E140" s="73" t="n">
        <v>5.98</v>
      </c>
      <c r="F140" s="55" t="n">
        <v>1</v>
      </c>
      <c r="G140" s="73" t="n">
        <v>5.05</v>
      </c>
      <c r="H140" s="55" t="n">
        <v>1</v>
      </c>
      <c r="I140" s="73" t="n">
        <v>0.57</v>
      </c>
      <c r="J140" s="55" t="n">
        <v>1</v>
      </c>
      <c r="K140" s="20"/>
      <c r="L140" s="20"/>
      <c r="M140" s="41" t="n">
        <f aca="false">E140*F140+G140*H140+I140*J140+K140*L140</f>
        <v>11.6</v>
      </c>
      <c r="N140" s="41" t="n">
        <f aca="false">Исходные!$B$15-M140</f>
        <v>0.0999999999999979</v>
      </c>
      <c r="O140" s="55" t="n">
        <v>10</v>
      </c>
      <c r="P140" s="53" t="n">
        <f aca="false">(F140+H140+J140+L140)*O140</f>
        <v>30</v>
      </c>
      <c r="Q140" s="74" t="n">
        <f aca="false">M140*O140</f>
        <v>116</v>
      </c>
      <c r="R140" s="74" t="n">
        <f aca="false">N140*O140</f>
        <v>0.999999999999979</v>
      </c>
    </row>
    <row r="141" customFormat="false" ht="15" hidden="false" customHeight="false" outlineLevel="0" collapsed="false">
      <c r="A141" s="53" t="n">
        <v>1</v>
      </c>
      <c r="B141" s="53" t="n">
        <v>10</v>
      </c>
      <c r="C141" s="76" t="s">
        <v>512</v>
      </c>
      <c r="D141" s="53" t="n">
        <v>17</v>
      </c>
      <c r="E141" s="73" t="n">
        <v>4.5</v>
      </c>
      <c r="F141" s="55" t="n">
        <v>2</v>
      </c>
      <c r="G141" s="73" t="n">
        <v>2.6</v>
      </c>
      <c r="H141" s="55" t="n">
        <v>1</v>
      </c>
      <c r="I141" s="20"/>
      <c r="J141" s="20"/>
      <c r="K141" s="20"/>
      <c r="L141" s="20"/>
      <c r="M141" s="41" t="n">
        <f aca="false">E141*F141+G141*H141+I141*J141+K141*L141</f>
        <v>11.6</v>
      </c>
      <c r="N141" s="41" t="n">
        <f aca="false">Исходные!$B$15-M141</f>
        <v>0.0999999999999996</v>
      </c>
      <c r="O141" s="55" t="n">
        <v>18</v>
      </c>
      <c r="P141" s="53" t="n">
        <f aca="false">(F141+H141+J141+L141)*O141</f>
        <v>54</v>
      </c>
      <c r="Q141" s="74" t="n">
        <f aca="false">M141*O141</f>
        <v>208.8</v>
      </c>
      <c r="R141" s="74" t="n">
        <f aca="false">N141*O141</f>
        <v>1.79999999999999</v>
      </c>
    </row>
    <row r="142" customFormat="false" ht="15" hidden="false" customHeight="false" outlineLevel="0" collapsed="false">
      <c r="A142" s="53" t="n">
        <v>1</v>
      </c>
      <c r="B142" s="53" t="n">
        <v>10</v>
      </c>
      <c r="C142" s="76" t="s">
        <v>512</v>
      </c>
      <c r="D142" s="53" t="n">
        <v>18</v>
      </c>
      <c r="E142" s="73" t="n">
        <v>8</v>
      </c>
      <c r="F142" s="55" t="n">
        <v>1</v>
      </c>
      <c r="G142" s="73" t="n">
        <v>3.02</v>
      </c>
      <c r="H142" s="55" t="n">
        <v>1</v>
      </c>
      <c r="I142" s="73" t="n">
        <v>0.57</v>
      </c>
      <c r="J142" s="55" t="n">
        <v>1</v>
      </c>
      <c r="K142" s="20"/>
      <c r="L142" s="20"/>
      <c r="M142" s="41" t="n">
        <f aca="false">E142*F142+G142*H142+I142*J142+K142*L142</f>
        <v>11.59</v>
      </c>
      <c r="N142" s="41" t="n">
        <f aca="false">Исходные!$B$15-M142</f>
        <v>0.109999999999999</v>
      </c>
      <c r="O142" s="55" t="n">
        <v>8</v>
      </c>
      <c r="P142" s="53" t="n">
        <f aca="false">(F142+H142+J142+L142)*O142</f>
        <v>24</v>
      </c>
      <c r="Q142" s="74" t="n">
        <f aca="false">M142*O142</f>
        <v>92.72</v>
      </c>
      <c r="R142" s="74" t="n">
        <f aca="false">N142*O142</f>
        <v>0.879999999999996</v>
      </c>
    </row>
    <row r="143" customFormat="false" ht="15" hidden="false" customHeight="false" outlineLevel="0" collapsed="false">
      <c r="A143" s="53" t="n">
        <v>1</v>
      </c>
      <c r="B143" s="53" t="n">
        <v>10</v>
      </c>
      <c r="C143" s="76" t="s">
        <v>512</v>
      </c>
      <c r="D143" s="53" t="n">
        <v>19</v>
      </c>
      <c r="E143" s="73" t="n">
        <v>7.95</v>
      </c>
      <c r="F143" s="55" t="n">
        <v>1</v>
      </c>
      <c r="G143" s="73" t="n">
        <v>3.02</v>
      </c>
      <c r="H143" s="55" t="n">
        <v>1</v>
      </c>
      <c r="I143" s="73" t="n">
        <v>0.57</v>
      </c>
      <c r="J143" s="55" t="n">
        <v>1</v>
      </c>
      <c r="K143" s="20"/>
      <c r="L143" s="20"/>
      <c r="M143" s="41" t="n">
        <f aca="false">E143*F143+G143*H143+I143*J143+K143*L143</f>
        <v>11.54</v>
      </c>
      <c r="N143" s="41" t="n">
        <f aca="false">Исходные!$B$15-M143</f>
        <v>0.159999999999998</v>
      </c>
      <c r="O143" s="55" t="n">
        <v>18</v>
      </c>
      <c r="P143" s="53" t="n">
        <f aca="false">(F143+H143+J143+L143)*O143</f>
        <v>54</v>
      </c>
      <c r="Q143" s="74" t="n">
        <f aca="false">M143*O143</f>
        <v>207.72</v>
      </c>
      <c r="R143" s="74" t="n">
        <f aca="false">N143*O143</f>
        <v>2.87999999999997</v>
      </c>
    </row>
    <row r="144" customFormat="false" ht="15" hidden="false" customHeight="false" outlineLevel="0" collapsed="false">
      <c r="A144" s="53" t="n">
        <v>1</v>
      </c>
      <c r="B144" s="53" t="n">
        <v>10</v>
      </c>
      <c r="C144" s="76" t="s">
        <v>512</v>
      </c>
      <c r="D144" s="53" t="n">
        <v>20</v>
      </c>
      <c r="E144" s="73" t="n">
        <v>9.32</v>
      </c>
      <c r="F144" s="55" t="n">
        <v>1</v>
      </c>
      <c r="G144" s="73" t="n">
        <v>2.2</v>
      </c>
      <c r="H144" s="55" t="n">
        <v>1</v>
      </c>
      <c r="I144" s="20"/>
      <c r="J144" s="20"/>
      <c r="K144" s="20"/>
      <c r="L144" s="20"/>
      <c r="M144" s="41" t="n">
        <f aca="false">E144*F144+G144*H144+I144*J144+K144*L144</f>
        <v>11.52</v>
      </c>
      <c r="N144" s="41" t="n">
        <f aca="false">Исходные!$B$15-M144</f>
        <v>0.18</v>
      </c>
      <c r="O144" s="55" t="n">
        <v>78</v>
      </c>
      <c r="P144" s="53" t="n">
        <f aca="false">(F144+H144+J144+L144)*O144</f>
        <v>156</v>
      </c>
      <c r="Q144" s="74" t="n">
        <f aca="false">M144*O144</f>
        <v>898.56</v>
      </c>
      <c r="R144" s="74" t="n">
        <f aca="false">N144*O144</f>
        <v>14.04</v>
      </c>
    </row>
    <row r="145" customFormat="false" ht="15" hidden="false" customHeight="false" outlineLevel="0" collapsed="false">
      <c r="A145" s="53" t="n">
        <v>1</v>
      </c>
      <c r="B145" s="53" t="n">
        <v>10</v>
      </c>
      <c r="C145" s="76" t="s">
        <v>512</v>
      </c>
      <c r="D145" s="53" t="n">
        <v>21</v>
      </c>
      <c r="E145" s="73" t="n">
        <v>5.05</v>
      </c>
      <c r="F145" s="55" t="n">
        <v>2</v>
      </c>
      <c r="G145" s="73" t="n">
        <v>1.4</v>
      </c>
      <c r="H145" s="55" t="n">
        <v>1</v>
      </c>
      <c r="I145" s="20"/>
      <c r="J145" s="20"/>
      <c r="K145" s="20"/>
      <c r="L145" s="20"/>
      <c r="M145" s="41" t="n">
        <f aca="false">E145*F145+G145*H145+I145*J145+K145*L145</f>
        <v>11.5</v>
      </c>
      <c r="N145" s="41" t="n">
        <f aca="false">Исходные!$B$15-M145</f>
        <v>0.199999999999999</v>
      </c>
      <c r="O145" s="55" t="n">
        <v>6</v>
      </c>
      <c r="P145" s="53" t="n">
        <f aca="false">(F145+H145+J145+L145)*O145</f>
        <v>18</v>
      </c>
      <c r="Q145" s="74" t="n">
        <f aca="false">M145*O145</f>
        <v>69</v>
      </c>
      <c r="R145" s="74" t="n">
        <f aca="false">N145*O145</f>
        <v>1.2</v>
      </c>
    </row>
    <row r="146" customFormat="false" ht="15" hidden="false" customHeight="false" outlineLevel="0" collapsed="false">
      <c r="A146" s="53" t="n">
        <v>1</v>
      </c>
      <c r="B146" s="53" t="n">
        <v>10</v>
      </c>
      <c r="C146" s="76" t="s">
        <v>512</v>
      </c>
      <c r="D146" s="53" t="n">
        <v>22</v>
      </c>
      <c r="E146" s="73" t="n">
        <v>7.71</v>
      </c>
      <c r="F146" s="55" t="n">
        <v>1</v>
      </c>
      <c r="G146" s="73" t="n">
        <v>3.78</v>
      </c>
      <c r="H146" s="55" t="n">
        <v>1</v>
      </c>
      <c r="I146" s="20"/>
      <c r="J146" s="20"/>
      <c r="K146" s="20"/>
      <c r="L146" s="20"/>
      <c r="M146" s="41" t="n">
        <f aca="false">E146*F146+G146*H146+I146*J146+K146*L146</f>
        <v>11.49</v>
      </c>
      <c r="N146" s="41" t="n">
        <f aca="false">Исходные!$B$15-M146</f>
        <v>0.209999999999999</v>
      </c>
      <c r="O146" s="55" t="n">
        <v>4</v>
      </c>
      <c r="P146" s="53" t="n">
        <f aca="false">(F146+H146+J146+L146)*O146</f>
        <v>8</v>
      </c>
      <c r="Q146" s="74" t="n">
        <f aca="false">M146*O146</f>
        <v>45.96</v>
      </c>
      <c r="R146" s="74" t="n">
        <f aca="false">N146*O146</f>
        <v>0.839999999999996</v>
      </c>
    </row>
    <row r="147" customFormat="false" ht="15" hidden="false" customHeight="false" outlineLevel="0" collapsed="false">
      <c r="A147" s="53" t="n">
        <v>1</v>
      </c>
      <c r="B147" s="53" t="n">
        <v>10</v>
      </c>
      <c r="C147" s="76" t="s">
        <v>512</v>
      </c>
      <c r="D147" s="53" t="n">
        <v>23</v>
      </c>
      <c r="E147" s="73" t="n">
        <v>10.9</v>
      </c>
      <c r="F147" s="55" t="n">
        <v>1</v>
      </c>
      <c r="G147" s="73" t="n">
        <v>0.57</v>
      </c>
      <c r="H147" s="55" t="n">
        <v>1</v>
      </c>
      <c r="I147" s="20"/>
      <c r="J147" s="20"/>
      <c r="K147" s="20"/>
      <c r="L147" s="20"/>
      <c r="M147" s="41" t="n">
        <f aca="false">E147*F147+G147*H147+I147*J147+K147*L147</f>
        <v>11.47</v>
      </c>
      <c r="N147" s="41" t="n">
        <f aca="false">Исходные!$B$15-M147</f>
        <v>0.229999999999999</v>
      </c>
      <c r="O147" s="55" t="n">
        <v>2</v>
      </c>
      <c r="P147" s="53" t="n">
        <f aca="false">(F147+H147+J147+L147)*O147</f>
        <v>4</v>
      </c>
      <c r="Q147" s="74" t="n">
        <f aca="false">M147*O147</f>
        <v>22.94</v>
      </c>
      <c r="R147" s="74" t="n">
        <f aca="false">N147*O147</f>
        <v>0.459999999999997</v>
      </c>
    </row>
    <row r="148" customFormat="false" ht="15" hidden="false" customHeight="false" outlineLevel="0" collapsed="false">
      <c r="A148" s="53" t="n">
        <v>1</v>
      </c>
      <c r="B148" s="53" t="n">
        <v>10</v>
      </c>
      <c r="C148" s="76" t="s">
        <v>512</v>
      </c>
      <c r="D148" s="53" t="n">
        <v>24</v>
      </c>
      <c r="E148" s="73" t="n">
        <v>0.57</v>
      </c>
      <c r="F148" s="55" t="n">
        <v>20</v>
      </c>
      <c r="G148" s="20"/>
      <c r="H148" s="20"/>
      <c r="I148" s="20"/>
      <c r="J148" s="20"/>
      <c r="K148" s="20"/>
      <c r="L148" s="20"/>
      <c r="M148" s="41" t="n">
        <f aca="false">E148*F148+G148*H148+I148*J148+K148*L148</f>
        <v>11.4</v>
      </c>
      <c r="N148" s="41" t="n">
        <f aca="false">Исходные!$B$15-M148</f>
        <v>0.300000000000001</v>
      </c>
      <c r="O148" s="55" t="n">
        <v>64</v>
      </c>
      <c r="P148" s="53" t="n">
        <f aca="false">(F148+H148+J148+L148)*O148</f>
        <v>1280</v>
      </c>
      <c r="Q148" s="74" t="n">
        <f aca="false">M148*O148</f>
        <v>729.6</v>
      </c>
      <c r="R148" s="74" t="n">
        <f aca="false">N148*O148</f>
        <v>19.2</v>
      </c>
    </row>
    <row r="149" customFormat="false" ht="15" hidden="false" customHeight="false" outlineLevel="0" collapsed="false">
      <c r="A149" s="53" t="n">
        <v>1</v>
      </c>
      <c r="B149" s="53" t="n">
        <v>10</v>
      </c>
      <c r="C149" s="76" t="s">
        <v>512</v>
      </c>
      <c r="D149" s="53" t="n">
        <v>25</v>
      </c>
      <c r="E149" s="73" t="n">
        <v>9.18</v>
      </c>
      <c r="F149" s="55" t="n">
        <v>1</v>
      </c>
      <c r="G149" s="73" t="n">
        <v>2.2</v>
      </c>
      <c r="H149" s="55" t="n">
        <v>1</v>
      </c>
      <c r="I149" s="20"/>
      <c r="J149" s="20"/>
      <c r="K149" s="20"/>
      <c r="L149" s="20"/>
      <c r="M149" s="41" t="n">
        <f aca="false">E149*F149+G149*H149+I149*J149+K149*L149</f>
        <v>11.38</v>
      </c>
      <c r="N149" s="41" t="n">
        <f aca="false">Исходные!$B$15-M149</f>
        <v>0.32</v>
      </c>
      <c r="O149" s="55" t="n">
        <v>6</v>
      </c>
      <c r="P149" s="53" t="n">
        <f aca="false">(F149+H149+J149+L149)*O149</f>
        <v>12</v>
      </c>
      <c r="Q149" s="74" t="n">
        <f aca="false">M149*O149</f>
        <v>68.28</v>
      </c>
      <c r="R149" s="74" t="n">
        <f aca="false">N149*O149</f>
        <v>1.92</v>
      </c>
    </row>
    <row r="150" customFormat="false" ht="15" hidden="false" customHeight="false" outlineLevel="0" collapsed="false">
      <c r="A150" s="53" t="n">
        <v>1</v>
      </c>
      <c r="B150" s="53" t="n">
        <v>10</v>
      </c>
      <c r="C150" s="76" t="s">
        <v>512</v>
      </c>
      <c r="D150" s="53" t="n">
        <v>26</v>
      </c>
      <c r="E150" s="73" t="n">
        <v>10.8</v>
      </c>
      <c r="F150" s="55" t="n">
        <v>1</v>
      </c>
      <c r="G150" s="73" t="n">
        <v>0.57</v>
      </c>
      <c r="H150" s="55" t="n">
        <v>1</v>
      </c>
      <c r="I150" s="20"/>
      <c r="J150" s="20"/>
      <c r="K150" s="20"/>
      <c r="L150" s="20"/>
      <c r="M150" s="41" t="n">
        <f aca="false">E150*F150+G150*H150+I150*J150+K150*L150</f>
        <v>11.37</v>
      </c>
      <c r="N150" s="41" t="n">
        <f aca="false">Исходные!$B$15-M150</f>
        <v>0.329999999999998</v>
      </c>
      <c r="O150" s="55" t="n">
        <v>2</v>
      </c>
      <c r="P150" s="53" t="n">
        <f aca="false">(F150+H150+J150+L150)*O150</f>
        <v>4</v>
      </c>
      <c r="Q150" s="74" t="n">
        <f aca="false">M150*O150</f>
        <v>22.74</v>
      </c>
      <c r="R150" s="74" t="n">
        <f aca="false">N150*O150</f>
        <v>0.659999999999997</v>
      </c>
    </row>
    <row r="151" customFormat="false" ht="15" hidden="false" customHeight="false" outlineLevel="0" collapsed="false">
      <c r="A151" s="53" t="n">
        <v>1</v>
      </c>
      <c r="B151" s="53" t="n">
        <v>10</v>
      </c>
      <c r="C151" s="76" t="s">
        <v>512</v>
      </c>
      <c r="D151" s="53" t="n">
        <v>27</v>
      </c>
      <c r="E151" s="73" t="n">
        <v>1.2</v>
      </c>
      <c r="F151" s="55" t="n">
        <v>9</v>
      </c>
      <c r="G151" s="73" t="n">
        <v>0.57</v>
      </c>
      <c r="H151" s="55" t="n">
        <v>1</v>
      </c>
      <c r="I151" s="20"/>
      <c r="J151" s="20"/>
      <c r="K151" s="20"/>
      <c r="L151" s="20"/>
      <c r="M151" s="41" t="n">
        <f aca="false">E151*F151+G151*H151+I151*J151+K151*L151</f>
        <v>11.37</v>
      </c>
      <c r="N151" s="41" t="n">
        <f aca="false">Исходные!$B$15-M151</f>
        <v>0.33</v>
      </c>
      <c r="O151" s="55" t="n">
        <v>18</v>
      </c>
      <c r="P151" s="53" t="n">
        <f aca="false">(F151+H151+J151+L151)*O151</f>
        <v>180</v>
      </c>
      <c r="Q151" s="74" t="n">
        <f aca="false">M151*O151</f>
        <v>204.66</v>
      </c>
      <c r="R151" s="74" t="n">
        <f aca="false">N151*O151</f>
        <v>5.94</v>
      </c>
    </row>
    <row r="152" customFormat="false" ht="15" hidden="false" customHeight="false" outlineLevel="0" collapsed="false">
      <c r="A152" s="53" t="n">
        <v>1</v>
      </c>
      <c r="B152" s="53" t="n">
        <v>10</v>
      </c>
      <c r="C152" s="76" t="s">
        <v>512</v>
      </c>
      <c r="D152" s="53" t="n">
        <v>28</v>
      </c>
      <c r="E152" s="73" t="n">
        <v>1.2</v>
      </c>
      <c r="F152" s="55" t="n">
        <v>7</v>
      </c>
      <c r="G152" s="73" t="n">
        <v>1.19</v>
      </c>
      <c r="H152" s="55" t="n">
        <v>2</v>
      </c>
      <c r="I152" s="73" t="n">
        <v>0.57</v>
      </c>
      <c r="J152" s="55" t="n">
        <v>1</v>
      </c>
      <c r="K152" s="20"/>
      <c r="L152" s="20"/>
      <c r="M152" s="41" t="n">
        <f aca="false">E152*F152+G152*H152+I152*J152+K152*L152</f>
        <v>11.35</v>
      </c>
      <c r="N152" s="41" t="n">
        <f aca="false">Исходные!$B$15-M152</f>
        <v>0.349999999999998</v>
      </c>
      <c r="O152" s="55" t="n">
        <v>1</v>
      </c>
      <c r="P152" s="53" t="n">
        <f aca="false">(F152+H152+J152+L152)*O152</f>
        <v>10</v>
      </c>
      <c r="Q152" s="74" t="n">
        <f aca="false">M152*O152</f>
        <v>11.35</v>
      </c>
      <c r="R152" s="74" t="n">
        <f aca="false">N152*O152</f>
        <v>0.349999999999998</v>
      </c>
    </row>
    <row r="153" customFormat="false" ht="15" hidden="false" customHeight="false" outlineLevel="0" collapsed="false">
      <c r="A153" s="53" t="n">
        <v>1</v>
      </c>
      <c r="B153" s="53" t="n">
        <v>10</v>
      </c>
      <c r="C153" s="76" t="s">
        <v>512</v>
      </c>
      <c r="D153" s="53" t="n">
        <v>29</v>
      </c>
      <c r="E153" s="73" t="n">
        <v>3.78</v>
      </c>
      <c r="F153" s="55" t="n">
        <v>3</v>
      </c>
      <c r="G153" s="20"/>
      <c r="H153" s="20"/>
      <c r="I153" s="20"/>
      <c r="J153" s="20"/>
      <c r="K153" s="20"/>
      <c r="L153" s="20"/>
      <c r="M153" s="41" t="n">
        <f aca="false">E153*F153+G153*H153+I153*J153+K153*L153</f>
        <v>11.34</v>
      </c>
      <c r="N153" s="41" t="n">
        <f aca="false">Исходные!$B$15-M153</f>
        <v>0.359999999999999</v>
      </c>
      <c r="O153" s="55" t="n">
        <v>4</v>
      </c>
      <c r="P153" s="53" t="n">
        <f aca="false">(F153+H153+J153+L153)*O153</f>
        <v>12</v>
      </c>
      <c r="Q153" s="74" t="n">
        <f aca="false">M153*O153</f>
        <v>45.36</v>
      </c>
      <c r="R153" s="74" t="n">
        <f aca="false">N153*O153</f>
        <v>1.44</v>
      </c>
    </row>
    <row r="154" customFormat="false" ht="15" hidden="false" customHeight="false" outlineLevel="0" collapsed="false">
      <c r="A154" s="53" t="n">
        <v>1</v>
      </c>
      <c r="B154" s="53" t="n">
        <v>10</v>
      </c>
      <c r="C154" s="76" t="s">
        <v>512</v>
      </c>
      <c r="D154" s="53" t="n">
        <v>30</v>
      </c>
      <c r="E154" s="73" t="n">
        <v>4.15</v>
      </c>
      <c r="F154" s="55" t="n">
        <v>2</v>
      </c>
      <c r="G154" s="73" t="n">
        <v>3.02</v>
      </c>
      <c r="H154" s="55" t="n">
        <v>1</v>
      </c>
      <c r="I154" s="20"/>
      <c r="J154" s="20"/>
      <c r="K154" s="20"/>
      <c r="L154" s="20"/>
      <c r="M154" s="41" t="n">
        <f aca="false">E154*F154+G154*H154+I154*J154+K154*L154</f>
        <v>11.32</v>
      </c>
      <c r="N154" s="41" t="n">
        <f aca="false">Исходные!$B$15-M154</f>
        <v>0.379999999999999</v>
      </c>
      <c r="O154" s="55" t="n">
        <v>18</v>
      </c>
      <c r="P154" s="53" t="n">
        <f aca="false">(F154+H154+J154+L154)*O154</f>
        <v>54</v>
      </c>
      <c r="Q154" s="74" t="n">
        <f aca="false">M154*O154</f>
        <v>203.76</v>
      </c>
      <c r="R154" s="74" t="n">
        <f aca="false">N154*O154</f>
        <v>6.83999999999998</v>
      </c>
    </row>
    <row r="155" customFormat="false" ht="15" hidden="false" customHeight="false" outlineLevel="0" collapsed="false">
      <c r="A155" s="53" t="n">
        <v>1</v>
      </c>
      <c r="B155" s="53" t="n">
        <v>10</v>
      </c>
      <c r="C155" s="76" t="s">
        <v>512</v>
      </c>
      <c r="D155" s="53" t="n">
        <v>31</v>
      </c>
      <c r="E155" s="73" t="n">
        <v>1.19</v>
      </c>
      <c r="F155" s="55" t="n">
        <v>9</v>
      </c>
      <c r="G155" s="73" t="n">
        <v>0.57</v>
      </c>
      <c r="H155" s="55" t="n">
        <v>1</v>
      </c>
      <c r="I155" s="20"/>
      <c r="J155" s="20"/>
      <c r="K155" s="20"/>
      <c r="L155" s="20"/>
      <c r="M155" s="41" t="n">
        <f aca="false">E155*F155+G155*H155+I155*J155+K155*L155</f>
        <v>11.28</v>
      </c>
      <c r="N155" s="41" t="n">
        <f aca="false">Исходные!$B$15-M155</f>
        <v>0.42</v>
      </c>
      <c r="O155" s="55" t="n">
        <v>20</v>
      </c>
      <c r="P155" s="53" t="n">
        <f aca="false">(F155+H155+J155+L155)*O155</f>
        <v>200</v>
      </c>
      <c r="Q155" s="74" t="n">
        <f aca="false">M155*O155</f>
        <v>225.6</v>
      </c>
      <c r="R155" s="74" t="n">
        <f aca="false">N155*O155</f>
        <v>8.4</v>
      </c>
    </row>
    <row r="156" customFormat="false" ht="15" hidden="false" customHeight="false" outlineLevel="0" collapsed="false">
      <c r="A156" s="53" t="n">
        <v>1</v>
      </c>
      <c r="B156" s="53" t="n">
        <v>10</v>
      </c>
      <c r="C156" s="76" t="s">
        <v>512</v>
      </c>
      <c r="D156" s="53" t="n">
        <v>32</v>
      </c>
      <c r="E156" s="73" t="n">
        <v>9.18</v>
      </c>
      <c r="F156" s="55" t="n">
        <v>1</v>
      </c>
      <c r="G156" s="73" t="n">
        <v>2</v>
      </c>
      <c r="H156" s="55" t="n">
        <v>1</v>
      </c>
      <c r="I156" s="20"/>
      <c r="J156" s="20"/>
      <c r="K156" s="20"/>
      <c r="L156" s="20"/>
      <c r="M156" s="41" t="n">
        <f aca="false">E156*F156+G156*H156+I156*J156+K156*L156</f>
        <v>11.18</v>
      </c>
      <c r="N156" s="41" t="n">
        <f aca="false">Исходные!$B$15-M156</f>
        <v>0.52</v>
      </c>
      <c r="O156" s="55" t="n">
        <v>20</v>
      </c>
      <c r="P156" s="53" t="n">
        <f aca="false">(F156+H156+J156+L156)*O156</f>
        <v>40</v>
      </c>
      <c r="Q156" s="74" t="n">
        <f aca="false">M156*O156</f>
        <v>223.6</v>
      </c>
      <c r="R156" s="74" t="n">
        <f aca="false">N156*O156</f>
        <v>10.4</v>
      </c>
    </row>
    <row r="157" customFormat="false" ht="15" hidden="false" customHeight="false" outlineLevel="0" collapsed="false">
      <c r="A157" s="53" t="n">
        <v>1</v>
      </c>
      <c r="B157" s="53" t="n">
        <v>10</v>
      </c>
      <c r="C157" s="76" t="s">
        <v>512</v>
      </c>
      <c r="D157" s="53" t="n">
        <v>33</v>
      </c>
      <c r="E157" s="73" t="n">
        <v>9.18</v>
      </c>
      <c r="F157" s="55" t="n">
        <v>1</v>
      </c>
      <c r="G157" s="73" t="n">
        <v>1.4</v>
      </c>
      <c r="H157" s="55" t="n">
        <v>1</v>
      </c>
      <c r="I157" s="73" t="n">
        <v>0.57</v>
      </c>
      <c r="J157" s="55" t="n">
        <v>1</v>
      </c>
      <c r="K157" s="20"/>
      <c r="L157" s="20"/>
      <c r="M157" s="41" t="n">
        <f aca="false">E157*F157+G157*H157+I157*J157+K157*L157</f>
        <v>11.15</v>
      </c>
      <c r="N157" s="41" t="n">
        <f aca="false">Исходные!$B$15-M157</f>
        <v>0.549999999999999</v>
      </c>
      <c r="O157" s="55" t="n">
        <v>21</v>
      </c>
      <c r="P157" s="53" t="n">
        <f aca="false">(F157+H157+J157+L157)*O157</f>
        <v>63</v>
      </c>
      <c r="Q157" s="74" t="n">
        <f aca="false">M157*O157</f>
        <v>234.15</v>
      </c>
      <c r="R157" s="74" t="n">
        <f aca="false">N157*O157</f>
        <v>11.55</v>
      </c>
    </row>
    <row r="158" customFormat="false" ht="15" hidden="false" customHeight="false" outlineLevel="0" collapsed="false">
      <c r="A158" s="53" t="n">
        <v>1</v>
      </c>
      <c r="B158" s="53" t="n">
        <v>10</v>
      </c>
      <c r="C158" s="76" t="s">
        <v>512</v>
      </c>
      <c r="D158" s="53" t="n">
        <v>34</v>
      </c>
      <c r="E158" s="73" t="n">
        <v>3.78</v>
      </c>
      <c r="F158" s="55" t="n">
        <v>2</v>
      </c>
      <c r="G158" s="73" t="n">
        <v>3.02</v>
      </c>
      <c r="H158" s="55" t="n">
        <v>1</v>
      </c>
      <c r="I158" s="73" t="n">
        <v>0.57</v>
      </c>
      <c r="J158" s="55" t="n">
        <v>1</v>
      </c>
      <c r="K158" s="20"/>
      <c r="L158" s="20"/>
      <c r="M158" s="41" t="n">
        <f aca="false">E158*F158+G158*H158+I158*J158+K158*L158</f>
        <v>11.15</v>
      </c>
      <c r="N158" s="41" t="n">
        <f aca="false">Исходные!$B$15-M158</f>
        <v>0.549999999999999</v>
      </c>
      <c r="O158" s="55" t="n">
        <v>1</v>
      </c>
      <c r="P158" s="53" t="n">
        <f aca="false">(F158+H158+J158+L158)*O158</f>
        <v>4</v>
      </c>
      <c r="Q158" s="74" t="n">
        <f aca="false">M158*O158</f>
        <v>11.15</v>
      </c>
      <c r="R158" s="74" t="n">
        <f aca="false">N158*O158</f>
        <v>0.549999999999999</v>
      </c>
    </row>
    <row r="159" customFormat="false" ht="15" hidden="false" customHeight="false" outlineLevel="0" collapsed="false">
      <c r="A159" s="53" t="n">
        <v>1</v>
      </c>
      <c r="B159" s="53" t="n">
        <v>10</v>
      </c>
      <c r="C159" s="76" t="s">
        <v>512</v>
      </c>
      <c r="D159" s="53" t="n">
        <v>35</v>
      </c>
      <c r="E159" s="73" t="n">
        <v>0.57</v>
      </c>
      <c r="F159" s="55" t="n">
        <v>13</v>
      </c>
      <c r="G159" s="20"/>
      <c r="H159" s="20"/>
      <c r="I159" s="20"/>
      <c r="J159" s="20"/>
      <c r="K159" s="20"/>
      <c r="L159" s="20"/>
      <c r="M159" s="41" t="n">
        <f aca="false">E159*F159+G159*H159+I159*J159+K159*L159</f>
        <v>7.41</v>
      </c>
      <c r="N159" s="41" t="n">
        <f aca="false">Исходные!$B$15-M159</f>
        <v>4.29</v>
      </c>
      <c r="O159" s="55" t="n">
        <v>1</v>
      </c>
      <c r="P159" s="53" t="n">
        <f aca="false">(F159+H159+J159+L159)*O159</f>
        <v>13</v>
      </c>
      <c r="Q159" s="74" t="n">
        <f aca="false">M159*O159</f>
        <v>7.41</v>
      </c>
      <c r="R159" s="74" t="n">
        <f aca="false">N159*O159</f>
        <v>4.29</v>
      </c>
    </row>
    <row r="160" customFormat="false" ht="15" hidden="false" customHeight="false" outlineLevel="0" collapsed="false">
      <c r="A160" s="53" t="n">
        <v>1</v>
      </c>
      <c r="B160" s="53" t="n">
        <v>16</v>
      </c>
      <c r="C160" s="76" t="s">
        <v>546</v>
      </c>
      <c r="D160" s="53" t="n">
        <v>1</v>
      </c>
      <c r="E160" s="73" t="n">
        <v>0.42</v>
      </c>
      <c r="F160" s="55" t="n">
        <v>2</v>
      </c>
      <c r="G160" s="20"/>
      <c r="H160" s="20"/>
      <c r="I160" s="20"/>
      <c r="J160" s="20"/>
      <c r="K160" s="20"/>
      <c r="L160" s="20"/>
      <c r="M160" s="41" t="n">
        <f aca="false">E160*F160+G160*H160+I160*J160+K160*L160</f>
        <v>0.84</v>
      </c>
      <c r="N160" s="41" t="n">
        <f aca="false">Исходные!$B$15-M160</f>
        <v>10.86</v>
      </c>
      <c r="O160" s="55" t="n">
        <v>1</v>
      </c>
      <c r="P160" s="53" t="n">
        <f aca="false">(F160+H160+J160+L160)*O160</f>
        <v>2</v>
      </c>
      <c r="Q160" s="74" t="n">
        <f aca="false">M160*O160</f>
        <v>0.84</v>
      </c>
      <c r="R160" s="74" t="n">
        <f aca="false">N160*O160</f>
        <v>10.86</v>
      </c>
    </row>
    <row r="161" customFormat="false" ht="15" hidden="false" customHeight="false" outlineLevel="0" collapsed="false">
      <c r="A161" s="53" t="n">
        <v>1</v>
      </c>
      <c r="B161" s="53" t="n">
        <v>10</v>
      </c>
      <c r="C161" s="76" t="s">
        <v>546</v>
      </c>
      <c r="D161" s="53" t="n">
        <v>1</v>
      </c>
      <c r="E161" s="73" t="n">
        <v>1.76</v>
      </c>
      <c r="F161" s="55" t="n">
        <v>6</v>
      </c>
      <c r="G161" s="73" t="n">
        <v>0.7</v>
      </c>
      <c r="H161" s="55" t="n">
        <v>1</v>
      </c>
      <c r="I161" s="73" t="n">
        <v>0.42</v>
      </c>
      <c r="J161" s="55" t="n">
        <v>1</v>
      </c>
      <c r="K161" s="20"/>
      <c r="L161" s="20"/>
      <c r="M161" s="41" t="n">
        <f aca="false">E161*F161+G161*H161+I161*J161+K161*L161</f>
        <v>11.68</v>
      </c>
      <c r="N161" s="41" t="n">
        <f aca="false">Исходные!$B$15-M161</f>
        <v>0.0199999999999996</v>
      </c>
      <c r="O161" s="55" t="n">
        <v>9</v>
      </c>
      <c r="P161" s="53" t="n">
        <f aca="false">(F161+H161+J161+L161)*O161</f>
        <v>72</v>
      </c>
      <c r="Q161" s="74" t="n">
        <f aca="false">M161*O161</f>
        <v>105.12</v>
      </c>
      <c r="R161" s="74" t="n">
        <f aca="false">N161*O161</f>
        <v>0.179999999999996</v>
      </c>
    </row>
    <row r="162" customFormat="false" ht="15" hidden="false" customHeight="false" outlineLevel="0" collapsed="false">
      <c r="A162" s="53" t="n">
        <v>1</v>
      </c>
      <c r="B162" s="53" t="n">
        <v>10</v>
      </c>
      <c r="C162" s="76" t="s">
        <v>546</v>
      </c>
      <c r="D162" s="53" t="n">
        <v>2</v>
      </c>
      <c r="E162" s="73" t="n">
        <v>2.06</v>
      </c>
      <c r="F162" s="55" t="n">
        <v>5</v>
      </c>
      <c r="G162" s="73" t="n">
        <v>1.33</v>
      </c>
      <c r="H162" s="55" t="n">
        <v>1</v>
      </c>
      <c r="I162" s="20"/>
      <c r="J162" s="20"/>
      <c r="K162" s="20"/>
      <c r="L162" s="20"/>
      <c r="M162" s="41" t="n">
        <f aca="false">E162*F162+G162*H162+I162*J162+K162*L162</f>
        <v>11.63</v>
      </c>
      <c r="N162" s="41" t="n">
        <f aca="false">Исходные!$B$15-M162</f>
        <v>0.0699999999999985</v>
      </c>
      <c r="O162" s="55" t="n">
        <v>131</v>
      </c>
      <c r="P162" s="53" t="n">
        <f aca="false">(F162+H162+J162+L162)*O162</f>
        <v>786</v>
      </c>
      <c r="Q162" s="74" t="n">
        <f aca="false">M162*O162</f>
        <v>1523.53</v>
      </c>
      <c r="R162" s="74" t="n">
        <f aca="false">N162*O162</f>
        <v>9.16999999999981</v>
      </c>
    </row>
    <row r="163" customFormat="false" ht="15" hidden="false" customHeight="false" outlineLevel="0" collapsed="false">
      <c r="A163" s="53" t="n">
        <v>1</v>
      </c>
      <c r="B163" s="53" t="n">
        <v>10</v>
      </c>
      <c r="C163" s="76" t="s">
        <v>546</v>
      </c>
      <c r="D163" s="53" t="n">
        <v>3</v>
      </c>
      <c r="E163" s="73" t="n">
        <v>1.6</v>
      </c>
      <c r="F163" s="55" t="n">
        <v>7</v>
      </c>
      <c r="G163" s="73" t="n">
        <v>0.42</v>
      </c>
      <c r="H163" s="55" t="n">
        <v>1</v>
      </c>
      <c r="I163" s="20"/>
      <c r="J163" s="20"/>
      <c r="K163" s="20"/>
      <c r="L163" s="20"/>
      <c r="M163" s="41" t="n">
        <f aca="false">E163*F163+G163*H163+I163*J163+K163*L163</f>
        <v>11.62</v>
      </c>
      <c r="N163" s="41" t="n">
        <f aca="false">Исходные!$B$15-M163</f>
        <v>0.0799999999999983</v>
      </c>
      <c r="O163" s="55" t="n">
        <v>43</v>
      </c>
      <c r="P163" s="53" t="n">
        <f aca="false">(F163+H163+J163+L163)*O163</f>
        <v>344</v>
      </c>
      <c r="Q163" s="74" t="n">
        <f aca="false">M163*O163</f>
        <v>499.66</v>
      </c>
      <c r="R163" s="74" t="n">
        <f aca="false">N163*O163</f>
        <v>3.43999999999993</v>
      </c>
    </row>
    <row r="164" customFormat="false" ht="15" hidden="false" customHeight="false" outlineLevel="0" collapsed="false">
      <c r="A164" s="53" t="n">
        <v>1</v>
      </c>
      <c r="B164" s="53" t="n">
        <v>10</v>
      </c>
      <c r="C164" s="76" t="s">
        <v>546</v>
      </c>
      <c r="D164" s="53" t="n">
        <v>4</v>
      </c>
      <c r="E164" s="73" t="n">
        <v>1.56</v>
      </c>
      <c r="F164" s="55" t="n">
        <v>7</v>
      </c>
      <c r="G164" s="73" t="n">
        <v>0.7</v>
      </c>
      <c r="H164" s="55" t="n">
        <v>1</v>
      </c>
      <c r="I164" s="20"/>
      <c r="J164" s="20"/>
      <c r="K164" s="20"/>
      <c r="L164" s="20"/>
      <c r="M164" s="41" t="n">
        <f aca="false">E164*F164+G164*H164+I164*J164+K164*L164</f>
        <v>11.62</v>
      </c>
      <c r="N164" s="41" t="n">
        <f aca="false">Исходные!$B$15-M164</f>
        <v>0.0800000000000001</v>
      </c>
      <c r="O164" s="55" t="n">
        <v>14</v>
      </c>
      <c r="P164" s="53" t="n">
        <f aca="false">(F164+H164+J164+L164)*O164</f>
        <v>112</v>
      </c>
      <c r="Q164" s="74" t="n">
        <f aca="false">M164*O164</f>
        <v>162.68</v>
      </c>
      <c r="R164" s="74" t="n">
        <f aca="false">N164*O164</f>
        <v>1.12</v>
      </c>
    </row>
    <row r="165" customFormat="false" ht="15" hidden="false" customHeight="false" outlineLevel="0" collapsed="false">
      <c r="A165" s="53" t="n">
        <v>1</v>
      </c>
      <c r="B165" s="53" t="n">
        <v>10</v>
      </c>
      <c r="C165" s="76" t="s">
        <v>546</v>
      </c>
      <c r="D165" s="53" t="n">
        <v>5</v>
      </c>
      <c r="E165" s="73" t="n">
        <v>0.7</v>
      </c>
      <c r="F165" s="55" t="n">
        <v>16</v>
      </c>
      <c r="G165" s="73" t="n">
        <v>0.42</v>
      </c>
      <c r="H165" s="55" t="n">
        <v>1</v>
      </c>
      <c r="I165" s="20"/>
      <c r="J165" s="20"/>
      <c r="K165" s="20"/>
      <c r="L165" s="20"/>
      <c r="M165" s="41" t="n">
        <f aca="false">E165*F165+G165*H165+I165*J165+K165*L165</f>
        <v>11.62</v>
      </c>
      <c r="N165" s="41" t="n">
        <f aca="false">Исходные!$B$15-M165</f>
        <v>0.0800000000000001</v>
      </c>
      <c r="O165" s="55" t="n">
        <v>4</v>
      </c>
      <c r="P165" s="53" t="n">
        <f aca="false">(F165+H165+J165+L165)*O165</f>
        <v>68</v>
      </c>
      <c r="Q165" s="74" t="n">
        <f aca="false">M165*O165</f>
        <v>46.48</v>
      </c>
      <c r="R165" s="74" t="n">
        <f aca="false">N165*O165</f>
        <v>0.32</v>
      </c>
    </row>
    <row r="166" customFormat="false" ht="15" hidden="false" customHeight="false" outlineLevel="0" collapsed="false">
      <c r="A166" s="53" t="n">
        <v>1</v>
      </c>
      <c r="B166" s="53" t="n">
        <v>10</v>
      </c>
      <c r="C166" s="76" t="s">
        <v>546</v>
      </c>
      <c r="D166" s="53" t="n">
        <v>6</v>
      </c>
      <c r="E166" s="73" t="n">
        <v>1.33</v>
      </c>
      <c r="F166" s="55" t="n">
        <v>2</v>
      </c>
      <c r="G166" s="73" t="n">
        <v>0.7</v>
      </c>
      <c r="H166" s="55" t="n">
        <v>12</v>
      </c>
      <c r="I166" s="73" t="n">
        <v>0.52</v>
      </c>
      <c r="J166" s="55" t="n">
        <v>1</v>
      </c>
      <c r="K166" s="20"/>
      <c r="L166" s="20"/>
      <c r="M166" s="41" t="n">
        <f aca="false">E166*F166+G166*H166+I166*J166+K166*L166</f>
        <v>11.58</v>
      </c>
      <c r="N166" s="41" t="n">
        <f aca="false">Исходные!$B$15-M166</f>
        <v>0.120000000000001</v>
      </c>
      <c r="O166" s="55" t="n">
        <v>1</v>
      </c>
      <c r="P166" s="53" t="n">
        <f aca="false">(F166+H166+J166+L166)*O166</f>
        <v>15</v>
      </c>
      <c r="Q166" s="74" t="n">
        <f aca="false">M166*O166</f>
        <v>11.58</v>
      </c>
      <c r="R166" s="74" t="n">
        <f aca="false">N166*O166</f>
        <v>0.120000000000001</v>
      </c>
    </row>
    <row r="167" customFormat="false" ht="15" hidden="false" customHeight="false" outlineLevel="0" collapsed="false">
      <c r="A167" s="53" t="n">
        <v>1</v>
      </c>
      <c r="B167" s="53" t="n">
        <v>10</v>
      </c>
      <c r="C167" s="76" t="s">
        <v>546</v>
      </c>
      <c r="D167" s="53" t="n">
        <v>7</v>
      </c>
      <c r="E167" s="73" t="n">
        <v>1.6</v>
      </c>
      <c r="F167" s="55" t="n">
        <v>3</v>
      </c>
      <c r="G167" s="73" t="n">
        <v>1.56</v>
      </c>
      <c r="H167" s="55" t="n">
        <v>4</v>
      </c>
      <c r="I167" s="73" t="n">
        <v>0.52</v>
      </c>
      <c r="J167" s="55" t="n">
        <v>1</v>
      </c>
      <c r="K167" s="20"/>
      <c r="L167" s="20"/>
      <c r="M167" s="41" t="n">
        <f aca="false">E167*F167+G167*H167+I167*J167+K167*L167</f>
        <v>11.56</v>
      </c>
      <c r="N167" s="41" t="n">
        <f aca="false">Исходные!$B$15-M167</f>
        <v>0.139999999999999</v>
      </c>
      <c r="O167" s="55" t="n">
        <v>1</v>
      </c>
      <c r="P167" s="53" t="n">
        <f aca="false">(F167+H167+J167+L167)*O167</f>
        <v>8</v>
      </c>
      <c r="Q167" s="74" t="n">
        <f aca="false">M167*O167</f>
        <v>11.56</v>
      </c>
      <c r="R167" s="74" t="n">
        <f aca="false">N167*O167</f>
        <v>0.139999999999999</v>
      </c>
    </row>
    <row r="168" customFormat="false" ht="15" hidden="false" customHeight="false" outlineLevel="0" collapsed="false">
      <c r="A168" s="53" t="n">
        <v>1</v>
      </c>
      <c r="B168" s="53" t="n">
        <v>10</v>
      </c>
      <c r="C168" s="76" t="s">
        <v>546</v>
      </c>
      <c r="D168" s="53" t="n">
        <v>8</v>
      </c>
      <c r="E168" s="73" t="n">
        <v>0.52</v>
      </c>
      <c r="F168" s="55" t="n">
        <v>19</v>
      </c>
      <c r="G168" s="73" t="n">
        <v>0.42</v>
      </c>
      <c r="H168" s="55" t="n">
        <v>4</v>
      </c>
      <c r="I168" s="20"/>
      <c r="J168" s="20"/>
      <c r="K168" s="20"/>
      <c r="L168" s="20"/>
      <c r="M168" s="41" t="n">
        <f aca="false">E168*F168+G168*H168+I168*J168+K168*L168</f>
        <v>11.56</v>
      </c>
      <c r="N168" s="41" t="n">
        <f aca="false">Исходные!$B$15-M168</f>
        <v>0.139999999999999</v>
      </c>
      <c r="O168" s="55" t="n">
        <v>1</v>
      </c>
      <c r="P168" s="53" t="n">
        <f aca="false">(F168+H168+J168+L168)*O168</f>
        <v>23</v>
      </c>
      <c r="Q168" s="74" t="n">
        <f aca="false">M168*O168</f>
        <v>11.56</v>
      </c>
      <c r="R168" s="74" t="n">
        <f aca="false">N168*O168</f>
        <v>0.139999999999999</v>
      </c>
    </row>
    <row r="169" customFormat="false" ht="15" hidden="false" customHeight="false" outlineLevel="0" collapsed="false">
      <c r="A169" s="53" t="n">
        <v>1</v>
      </c>
      <c r="B169" s="53" t="n">
        <v>10</v>
      </c>
      <c r="C169" s="76" t="s">
        <v>546</v>
      </c>
      <c r="D169" s="53" t="n">
        <v>9</v>
      </c>
      <c r="E169" s="73" t="n">
        <v>0.52</v>
      </c>
      <c r="F169" s="55" t="n">
        <v>22</v>
      </c>
      <c r="G169" s="20"/>
      <c r="H169" s="20"/>
      <c r="I169" s="20"/>
      <c r="J169" s="20"/>
      <c r="K169" s="20"/>
      <c r="L169" s="20"/>
      <c r="M169" s="41" t="n">
        <f aca="false">E169*F169+G169*H169+I169*J169+K169*L169</f>
        <v>11.44</v>
      </c>
      <c r="N169" s="41" t="n">
        <f aca="false">Исходные!$B$15-M169</f>
        <v>0.259999999999998</v>
      </c>
      <c r="O169" s="55" t="n">
        <v>7</v>
      </c>
      <c r="P169" s="53" t="n">
        <f aca="false">(F169+H169+J169+L169)*O169</f>
        <v>154</v>
      </c>
      <c r="Q169" s="74" t="n">
        <f aca="false">M169*O169</f>
        <v>80.08</v>
      </c>
      <c r="R169" s="74" t="n">
        <f aca="false">N169*O169</f>
        <v>1.81999999999999</v>
      </c>
    </row>
    <row r="170" customFormat="false" ht="15" hidden="false" customHeight="false" outlineLevel="0" collapsed="false">
      <c r="A170" s="53" t="n">
        <v>1</v>
      </c>
      <c r="B170" s="53" t="n">
        <v>10</v>
      </c>
      <c r="C170" s="76" t="s">
        <v>546</v>
      </c>
      <c r="D170" s="53" t="n">
        <v>10</v>
      </c>
      <c r="E170" s="73" t="n">
        <v>1.56</v>
      </c>
      <c r="F170" s="55" t="n">
        <v>6</v>
      </c>
      <c r="G170" s="73" t="n">
        <v>1.33</v>
      </c>
      <c r="H170" s="55" t="n">
        <v>1</v>
      </c>
      <c r="I170" s="73" t="n">
        <v>0.7</v>
      </c>
      <c r="J170" s="55" t="n">
        <v>1</v>
      </c>
      <c r="K170" s="20"/>
      <c r="L170" s="20"/>
      <c r="M170" s="41" t="n">
        <f aca="false">E170*F170+G170*H170+I170*J170+K170*L170</f>
        <v>11.39</v>
      </c>
      <c r="N170" s="41" t="n">
        <f aca="false">Исходные!$B$15-M170</f>
        <v>0.310000000000001</v>
      </c>
      <c r="O170" s="55" t="n">
        <v>1</v>
      </c>
      <c r="P170" s="53" t="n">
        <f aca="false">(F170+H170+J170+L170)*O170</f>
        <v>8</v>
      </c>
      <c r="Q170" s="74" t="n">
        <f aca="false">M170*O170</f>
        <v>11.39</v>
      </c>
      <c r="R170" s="74" t="n">
        <f aca="false">N170*O170</f>
        <v>0.310000000000001</v>
      </c>
    </row>
    <row r="171" customFormat="false" ht="15" hidden="false" customHeight="false" outlineLevel="0" collapsed="false">
      <c r="A171" s="53" t="n">
        <v>1</v>
      </c>
      <c r="B171" s="53" t="n">
        <v>10</v>
      </c>
      <c r="C171" s="76" t="s">
        <v>546</v>
      </c>
      <c r="D171" s="53" t="n">
        <v>11</v>
      </c>
      <c r="E171" s="73" t="n">
        <v>1.33</v>
      </c>
      <c r="F171" s="55" t="n">
        <v>8</v>
      </c>
      <c r="G171" s="73" t="n">
        <v>0.7</v>
      </c>
      <c r="H171" s="55" t="n">
        <v>1</v>
      </c>
      <c r="I171" s="20"/>
      <c r="J171" s="20"/>
      <c r="K171" s="20"/>
      <c r="L171" s="20"/>
      <c r="M171" s="41" t="n">
        <f aca="false">E171*F171+G171*H171+I171*J171+K171*L171</f>
        <v>11.34</v>
      </c>
      <c r="N171" s="41" t="n">
        <f aca="false">Исходные!$B$15-M171</f>
        <v>0.359999999999999</v>
      </c>
      <c r="O171" s="55" t="n">
        <v>8</v>
      </c>
      <c r="P171" s="53" t="n">
        <f aca="false">(F171+H171+J171+L171)*O171</f>
        <v>72</v>
      </c>
      <c r="Q171" s="74" t="n">
        <f aca="false">M171*O171</f>
        <v>90.72</v>
      </c>
      <c r="R171" s="74" t="n">
        <f aca="false">N171*O171</f>
        <v>2.88</v>
      </c>
    </row>
    <row r="172" customFormat="false" ht="15" hidden="false" customHeight="false" outlineLevel="0" collapsed="false">
      <c r="A172" s="53" t="n">
        <v>1</v>
      </c>
      <c r="B172" s="53" t="n">
        <v>10</v>
      </c>
      <c r="C172" s="76" t="s">
        <v>546</v>
      </c>
      <c r="D172" s="53" t="n">
        <v>12</v>
      </c>
      <c r="E172" s="73" t="n">
        <v>0.7</v>
      </c>
      <c r="F172" s="55" t="n">
        <v>11</v>
      </c>
      <c r="G172" s="73" t="n">
        <v>0.52</v>
      </c>
      <c r="H172" s="55" t="n">
        <v>7</v>
      </c>
      <c r="I172" s="20"/>
      <c r="J172" s="20"/>
      <c r="K172" s="20"/>
      <c r="L172" s="20"/>
      <c r="M172" s="41" t="n">
        <f aca="false">E172*F172+G172*H172+I172*J172+K172*L172</f>
        <v>11.34</v>
      </c>
      <c r="N172" s="41" t="n">
        <f aca="false">Исходные!$B$15-M172</f>
        <v>0.359999999999999</v>
      </c>
      <c r="O172" s="55" t="n">
        <v>1</v>
      </c>
      <c r="P172" s="53" t="n">
        <f aca="false">(F172+H172+J172+L172)*O172</f>
        <v>18</v>
      </c>
      <c r="Q172" s="74" t="n">
        <f aca="false">M172*O172</f>
        <v>11.34</v>
      </c>
      <c r="R172" s="74" t="n">
        <f aca="false">N172*O172</f>
        <v>0.359999999999999</v>
      </c>
    </row>
    <row r="173" customFormat="false" ht="15" hidden="false" customHeight="false" outlineLevel="0" collapsed="false">
      <c r="A173" s="53" t="n">
        <v>1</v>
      </c>
      <c r="B173" s="53" t="n">
        <v>10</v>
      </c>
      <c r="C173" s="76" t="s">
        <v>546</v>
      </c>
      <c r="D173" s="53" t="n">
        <v>13</v>
      </c>
      <c r="E173" s="73" t="n">
        <v>0.42</v>
      </c>
      <c r="F173" s="55" t="n">
        <v>27</v>
      </c>
      <c r="G173" s="20"/>
      <c r="H173" s="20"/>
      <c r="I173" s="20"/>
      <c r="J173" s="20"/>
      <c r="K173" s="20"/>
      <c r="L173" s="20"/>
      <c r="M173" s="41" t="n">
        <f aca="false">E173*F173+G173*H173+I173*J173+K173*L173</f>
        <v>11.34</v>
      </c>
      <c r="N173" s="41" t="n">
        <f aca="false">Исходные!$B$15-M173</f>
        <v>0.359999999999999</v>
      </c>
      <c r="O173" s="55" t="n">
        <v>29</v>
      </c>
      <c r="P173" s="53" t="n">
        <f aca="false">(F173+H173+J173+L173)*O173</f>
        <v>783</v>
      </c>
      <c r="Q173" s="74" t="n">
        <f aca="false">M173*O173</f>
        <v>328.86</v>
      </c>
      <c r="R173" s="74" t="n">
        <f aca="false">N173*O173</f>
        <v>10.44</v>
      </c>
    </row>
    <row r="174" customFormat="false" ht="15" hidden="false" customHeight="false" outlineLevel="0" collapsed="false">
      <c r="A174" s="53" t="n">
        <v>1</v>
      </c>
      <c r="B174" s="53" t="n">
        <v>10</v>
      </c>
      <c r="C174" s="76" t="s">
        <v>546</v>
      </c>
      <c r="D174" s="53" t="n">
        <v>14</v>
      </c>
      <c r="E174" s="73" t="n">
        <v>0.42</v>
      </c>
      <c r="F174" s="55" t="n">
        <v>4</v>
      </c>
      <c r="G174" s="20"/>
      <c r="H174" s="20"/>
      <c r="I174" s="20"/>
      <c r="J174" s="20"/>
      <c r="K174" s="20"/>
      <c r="L174" s="20"/>
      <c r="M174" s="41" t="n">
        <f aca="false">E174*F174+G174*H174+I174*J174+K174*L174</f>
        <v>1.68</v>
      </c>
      <c r="N174" s="41" t="n">
        <f aca="false">Исходные!$B$15-M174</f>
        <v>10.02</v>
      </c>
      <c r="O174" s="55" t="n">
        <v>1</v>
      </c>
      <c r="P174" s="53" t="n">
        <f aca="false">(F174+H174+J174+L174)*O174</f>
        <v>4</v>
      </c>
      <c r="Q174" s="74" t="n">
        <f aca="false">M174*O174</f>
        <v>1.68</v>
      </c>
      <c r="R174" s="74" t="n">
        <f aca="false">N174*O174</f>
        <v>10.02</v>
      </c>
    </row>
    <row r="175" customFormat="false" ht="15" hidden="false" customHeight="false" outlineLevel="0" collapsed="false">
      <c r="A175" s="53" t="n">
        <v>1</v>
      </c>
      <c r="B175" s="53" t="n">
        <v>8</v>
      </c>
      <c r="C175" s="76" t="s">
        <v>546</v>
      </c>
      <c r="D175" s="53" t="n">
        <v>1</v>
      </c>
      <c r="E175" s="73" t="n">
        <v>0.75</v>
      </c>
      <c r="F175" s="55" t="n">
        <v>4</v>
      </c>
      <c r="G175" s="73" t="n">
        <v>0.58</v>
      </c>
      <c r="H175" s="55" t="n">
        <v>15</v>
      </c>
      <c r="I175" s="20"/>
      <c r="J175" s="20"/>
      <c r="K175" s="20"/>
      <c r="L175" s="20"/>
      <c r="M175" s="41" t="n">
        <f aca="false">E175*F175+G175*H175+I175*J175+K175*L175</f>
        <v>11.7</v>
      </c>
      <c r="N175" s="41" t="n">
        <f aca="false">Исходные!$B$15-M175</f>
        <v>0</v>
      </c>
      <c r="O175" s="55" t="n">
        <v>1</v>
      </c>
      <c r="P175" s="53" t="n">
        <f aca="false">(F175+H175+J175+L175)*O175</f>
        <v>19</v>
      </c>
      <c r="Q175" s="74" t="n">
        <f aca="false">M175*O175</f>
        <v>11.7</v>
      </c>
      <c r="R175" s="74" t="n">
        <f aca="false">N175*O175</f>
        <v>0</v>
      </c>
    </row>
    <row r="176" customFormat="false" ht="15" hidden="false" customHeight="false" outlineLevel="0" collapsed="false">
      <c r="A176" s="53" t="n">
        <v>1</v>
      </c>
      <c r="B176" s="53" t="n">
        <v>8</v>
      </c>
      <c r="C176" s="76" t="s">
        <v>546</v>
      </c>
      <c r="D176" s="53" t="n">
        <v>2</v>
      </c>
      <c r="E176" s="73" t="n">
        <v>1.24</v>
      </c>
      <c r="F176" s="55" t="n">
        <v>9</v>
      </c>
      <c r="G176" s="73" t="n">
        <v>0.53</v>
      </c>
      <c r="H176" s="55" t="n">
        <v>1</v>
      </c>
      <c r="I176" s="20"/>
      <c r="J176" s="20"/>
      <c r="K176" s="20"/>
      <c r="L176" s="20"/>
      <c r="M176" s="41" t="n">
        <f aca="false">E176*F176+G176*H176+I176*J176+K176*L176</f>
        <v>11.69</v>
      </c>
      <c r="N176" s="41" t="n">
        <f aca="false">Исходные!$B$15-M176</f>
        <v>0.00999999999999979</v>
      </c>
      <c r="O176" s="55" t="n">
        <v>67</v>
      </c>
      <c r="P176" s="53" t="n">
        <f aca="false">(F176+H176+J176+L176)*O176</f>
        <v>670</v>
      </c>
      <c r="Q176" s="74" t="n">
        <f aca="false">M176*O176</f>
        <v>783.23</v>
      </c>
      <c r="R176" s="74" t="n">
        <f aca="false">N176*O176</f>
        <v>0.669999999999986</v>
      </c>
    </row>
    <row r="177" customFormat="false" ht="15" hidden="false" customHeight="false" outlineLevel="0" collapsed="false">
      <c r="A177" s="53" t="n">
        <v>1</v>
      </c>
      <c r="B177" s="53" t="n">
        <v>8</v>
      </c>
      <c r="C177" s="76" t="s">
        <v>546</v>
      </c>
      <c r="D177" s="53" t="n">
        <v>3</v>
      </c>
      <c r="E177" s="73" t="n">
        <v>0.75</v>
      </c>
      <c r="F177" s="55" t="n">
        <v>15</v>
      </c>
      <c r="G177" s="73" t="n">
        <v>0.22</v>
      </c>
      <c r="H177" s="55" t="n">
        <v>2</v>
      </c>
      <c r="I177" s="20"/>
      <c r="J177" s="20"/>
      <c r="K177" s="20"/>
      <c r="L177" s="20"/>
      <c r="M177" s="41" t="n">
        <f aca="false">E177*F177+G177*H177+I177*J177+K177*L177</f>
        <v>11.69</v>
      </c>
      <c r="N177" s="41" t="n">
        <f aca="false">Исходные!$B$15-M177</f>
        <v>0.00999999999999979</v>
      </c>
      <c r="O177" s="55" t="n">
        <v>50</v>
      </c>
      <c r="P177" s="53" t="n">
        <f aca="false">(F177+H177+J177+L177)*O177</f>
        <v>850</v>
      </c>
      <c r="Q177" s="74" t="n">
        <f aca="false">M177*O177</f>
        <v>584.5</v>
      </c>
      <c r="R177" s="74" t="n">
        <f aca="false">N177*O177</f>
        <v>0.499999999999989</v>
      </c>
    </row>
    <row r="178" customFormat="false" ht="15" hidden="false" customHeight="false" outlineLevel="0" collapsed="false">
      <c r="A178" s="53" t="n">
        <v>1</v>
      </c>
      <c r="B178" s="53" t="n">
        <v>8</v>
      </c>
      <c r="C178" s="76" t="s">
        <v>546</v>
      </c>
      <c r="D178" s="53" t="n">
        <v>4</v>
      </c>
      <c r="E178" s="73" t="n">
        <v>1.96</v>
      </c>
      <c r="F178" s="55" t="n">
        <v>5</v>
      </c>
      <c r="G178" s="73" t="n">
        <v>1.44</v>
      </c>
      <c r="H178" s="55" t="n">
        <v>1</v>
      </c>
      <c r="I178" s="73" t="n">
        <v>0.22</v>
      </c>
      <c r="J178" s="55" t="n">
        <v>2</v>
      </c>
      <c r="K178" s="20"/>
      <c r="L178" s="20"/>
      <c r="M178" s="41" t="n">
        <f aca="false">E178*F178+G178*H178+I178*J178+K178*L178</f>
        <v>11.68</v>
      </c>
      <c r="N178" s="41" t="n">
        <f aca="false">Исходные!$B$15-M178</f>
        <v>0.0199999999999996</v>
      </c>
      <c r="O178" s="55" t="n">
        <v>44</v>
      </c>
      <c r="P178" s="53" t="n">
        <f aca="false">(F178+H178+J178+L178)*O178</f>
        <v>352</v>
      </c>
      <c r="Q178" s="74" t="n">
        <f aca="false">M178*O178</f>
        <v>513.92</v>
      </c>
      <c r="R178" s="74" t="n">
        <f aca="false">N178*O178</f>
        <v>0.879999999999981</v>
      </c>
    </row>
    <row r="179" customFormat="false" ht="15" hidden="false" customHeight="false" outlineLevel="0" collapsed="false">
      <c r="A179" s="53" t="n">
        <v>1</v>
      </c>
      <c r="B179" s="53" t="n">
        <v>8</v>
      </c>
      <c r="C179" s="76" t="s">
        <v>546</v>
      </c>
      <c r="D179" s="53" t="n">
        <v>5</v>
      </c>
      <c r="E179" s="73" t="n">
        <v>1.04</v>
      </c>
      <c r="F179" s="55" t="n">
        <v>11</v>
      </c>
      <c r="G179" s="73" t="n">
        <v>0.22</v>
      </c>
      <c r="H179" s="55" t="n">
        <v>1</v>
      </c>
      <c r="I179" s="20"/>
      <c r="J179" s="20"/>
      <c r="K179" s="20"/>
      <c r="L179" s="20"/>
      <c r="M179" s="41" t="n">
        <f aca="false">E179*F179+G179*H179+I179*J179+K179*L179</f>
        <v>11.66</v>
      </c>
      <c r="N179" s="41" t="n">
        <f aca="false">Исходные!$B$15-M179</f>
        <v>0.0399999999999974</v>
      </c>
      <c r="O179" s="55" t="n">
        <v>8</v>
      </c>
      <c r="P179" s="53" t="n">
        <f aca="false">(F179+H179+J179+L179)*O179</f>
        <v>96</v>
      </c>
      <c r="Q179" s="74" t="n">
        <f aca="false">M179*O179</f>
        <v>93.28</v>
      </c>
      <c r="R179" s="74" t="n">
        <f aca="false">N179*O179</f>
        <v>0.319999999999979</v>
      </c>
    </row>
    <row r="180" customFormat="false" ht="15" hidden="false" customHeight="false" outlineLevel="0" collapsed="false">
      <c r="A180" s="53" t="n">
        <v>1</v>
      </c>
      <c r="B180" s="53" t="n">
        <v>8</v>
      </c>
      <c r="C180" s="76" t="s">
        <v>546</v>
      </c>
      <c r="D180" s="53" t="n">
        <v>6</v>
      </c>
      <c r="E180" s="73" t="n">
        <v>0.53</v>
      </c>
      <c r="F180" s="55" t="n">
        <v>22</v>
      </c>
      <c r="G180" s="20"/>
      <c r="H180" s="20"/>
      <c r="I180" s="20"/>
      <c r="J180" s="20"/>
      <c r="K180" s="20"/>
      <c r="L180" s="20"/>
      <c r="M180" s="41" t="n">
        <f aca="false">E180*F180+G180*H180+I180*J180+K180*L180</f>
        <v>11.66</v>
      </c>
      <c r="N180" s="41" t="n">
        <f aca="false">Исходные!$B$15-M180</f>
        <v>0.0399999999999992</v>
      </c>
      <c r="O180" s="55" t="n">
        <v>11</v>
      </c>
      <c r="P180" s="53" t="n">
        <f aca="false">(F180+H180+J180+L180)*O180</f>
        <v>242</v>
      </c>
      <c r="Q180" s="74" t="n">
        <f aca="false">M180*O180</f>
        <v>128.26</v>
      </c>
      <c r="R180" s="74" t="n">
        <f aca="false">N180*O180</f>
        <v>0.439999999999991</v>
      </c>
    </row>
    <row r="181" customFormat="false" ht="15" hidden="false" customHeight="false" outlineLevel="0" collapsed="false">
      <c r="A181" s="53" t="n">
        <v>1</v>
      </c>
      <c r="B181" s="53" t="n">
        <v>8</v>
      </c>
      <c r="C181" s="76" t="s">
        <v>546</v>
      </c>
      <c r="D181" s="53" t="n">
        <v>7</v>
      </c>
      <c r="E181" s="73" t="n">
        <v>0.22</v>
      </c>
      <c r="F181" s="55" t="n">
        <v>53</v>
      </c>
      <c r="G181" s="20"/>
      <c r="H181" s="20"/>
      <c r="I181" s="20"/>
      <c r="J181" s="20"/>
      <c r="K181" s="20"/>
      <c r="L181" s="20"/>
      <c r="M181" s="41" t="n">
        <f aca="false">E181*F181+G181*H181+I181*J181+K181*L181</f>
        <v>11.66</v>
      </c>
      <c r="N181" s="41" t="n">
        <f aca="false">Исходные!$B$15-M181</f>
        <v>0.0399999999999992</v>
      </c>
      <c r="O181" s="55" t="n">
        <v>11</v>
      </c>
      <c r="P181" s="53" t="n">
        <f aca="false">(F181+H181+J181+L181)*O181</f>
        <v>583</v>
      </c>
      <c r="Q181" s="74" t="n">
        <f aca="false">M181*O181</f>
        <v>128.26</v>
      </c>
      <c r="R181" s="74" t="n">
        <f aca="false">N181*O181</f>
        <v>0.439999999999991</v>
      </c>
    </row>
    <row r="182" customFormat="false" ht="15" hidden="false" customHeight="false" outlineLevel="0" collapsed="false">
      <c r="A182" s="53" t="n">
        <v>1</v>
      </c>
      <c r="B182" s="53" t="n">
        <v>8</v>
      </c>
      <c r="C182" s="76" t="s">
        <v>546</v>
      </c>
      <c r="D182" s="53" t="n">
        <v>8</v>
      </c>
      <c r="E182" s="73" t="n">
        <v>1.96</v>
      </c>
      <c r="F182" s="55" t="n">
        <v>5</v>
      </c>
      <c r="G182" s="73" t="n">
        <v>1.24</v>
      </c>
      <c r="H182" s="55" t="n">
        <v>1</v>
      </c>
      <c r="I182" s="73" t="n">
        <v>0.58</v>
      </c>
      <c r="J182" s="55" t="n">
        <v>1</v>
      </c>
      <c r="K182" s="20"/>
      <c r="L182" s="20"/>
      <c r="M182" s="41" t="n">
        <f aca="false">E182*F182+G182*H182+I182*J182+K182*L182</f>
        <v>11.62</v>
      </c>
      <c r="N182" s="41" t="n">
        <f aca="false">Исходные!$B$15-M182</f>
        <v>0.0799999999999983</v>
      </c>
      <c r="O182" s="55" t="n">
        <v>64</v>
      </c>
      <c r="P182" s="53" t="n">
        <f aca="false">(F182+H182+J182+L182)*O182</f>
        <v>448</v>
      </c>
      <c r="Q182" s="74" t="n">
        <f aca="false">M182*O182</f>
        <v>743.68</v>
      </c>
      <c r="R182" s="74" t="n">
        <f aca="false">N182*O182</f>
        <v>5.11999999999989</v>
      </c>
    </row>
    <row r="183" customFormat="false" ht="15" hidden="false" customHeight="false" outlineLevel="0" collapsed="false">
      <c r="A183" s="53" t="n">
        <v>1</v>
      </c>
      <c r="B183" s="53" t="n">
        <v>8</v>
      </c>
      <c r="C183" s="76" t="s">
        <v>546</v>
      </c>
      <c r="D183" s="53" t="n">
        <v>9</v>
      </c>
      <c r="E183" s="73" t="n">
        <v>1.14</v>
      </c>
      <c r="F183" s="55" t="n">
        <v>10</v>
      </c>
      <c r="G183" s="73" t="n">
        <v>0.22</v>
      </c>
      <c r="H183" s="55" t="n">
        <v>1</v>
      </c>
      <c r="I183" s="20"/>
      <c r="J183" s="20"/>
      <c r="K183" s="20"/>
      <c r="L183" s="20"/>
      <c r="M183" s="41" t="n">
        <f aca="false">E183*F183+G183*H183+I183*J183+K183*L183</f>
        <v>11.62</v>
      </c>
      <c r="N183" s="41" t="n">
        <f aca="false">Исходные!$B$15-M183</f>
        <v>0.0800000000000001</v>
      </c>
      <c r="O183" s="55" t="n">
        <v>27</v>
      </c>
      <c r="P183" s="53" t="n">
        <f aca="false">(F183+H183+J183+L183)*O183</f>
        <v>297</v>
      </c>
      <c r="Q183" s="74" t="n">
        <f aca="false">M183*O183</f>
        <v>313.74</v>
      </c>
      <c r="R183" s="74" t="n">
        <f aca="false">N183*O183</f>
        <v>2.16</v>
      </c>
    </row>
    <row r="184" customFormat="false" ht="15" hidden="false" customHeight="false" outlineLevel="0" collapsed="false">
      <c r="A184" s="53" t="n">
        <v>1</v>
      </c>
      <c r="B184" s="53" t="n">
        <v>8</v>
      </c>
      <c r="C184" s="76" t="s">
        <v>546</v>
      </c>
      <c r="D184" s="53" t="n">
        <v>10</v>
      </c>
      <c r="E184" s="73" t="n">
        <v>0.58</v>
      </c>
      <c r="F184" s="55" t="n">
        <v>16</v>
      </c>
      <c r="G184" s="73" t="n">
        <v>0.53</v>
      </c>
      <c r="H184" s="55" t="n">
        <v>4</v>
      </c>
      <c r="I184" s="73" t="n">
        <v>0.22</v>
      </c>
      <c r="J184" s="55" t="n">
        <v>1</v>
      </c>
      <c r="K184" s="20"/>
      <c r="L184" s="20"/>
      <c r="M184" s="41" t="n">
        <f aca="false">E184*F184+G184*H184+I184*J184+K184*L184</f>
        <v>11.62</v>
      </c>
      <c r="N184" s="41" t="n">
        <f aca="false">Исходные!$B$15-M184</f>
        <v>0.0800000000000001</v>
      </c>
      <c r="O184" s="55" t="n">
        <v>1</v>
      </c>
      <c r="P184" s="53" t="n">
        <f aca="false">(F184+H184+J184+L184)*O184</f>
        <v>21</v>
      </c>
      <c r="Q184" s="74" t="n">
        <f aca="false">M184*O184</f>
        <v>11.62</v>
      </c>
      <c r="R184" s="74" t="n">
        <f aca="false">N184*O184</f>
        <v>0.0800000000000001</v>
      </c>
    </row>
    <row r="185" customFormat="false" ht="15" hidden="false" customHeight="false" outlineLevel="0" collapsed="false">
      <c r="A185" s="53" t="n">
        <v>1</v>
      </c>
      <c r="B185" s="53" t="n">
        <v>8</v>
      </c>
      <c r="C185" s="76" t="s">
        <v>546</v>
      </c>
      <c r="D185" s="53" t="n">
        <v>11</v>
      </c>
      <c r="E185" s="73" t="n">
        <v>1.16</v>
      </c>
      <c r="F185" s="55" t="n">
        <v>10</v>
      </c>
      <c r="G185" s="20"/>
      <c r="H185" s="20"/>
      <c r="I185" s="20"/>
      <c r="J185" s="20"/>
      <c r="K185" s="20"/>
      <c r="L185" s="20"/>
      <c r="M185" s="41" t="n">
        <f aca="false">E185*F185+G185*H185+I185*J185+K185*L185</f>
        <v>11.6</v>
      </c>
      <c r="N185" s="41" t="n">
        <f aca="false">Исходные!$B$15-M185</f>
        <v>0.0999999999999996</v>
      </c>
      <c r="O185" s="55" t="n">
        <v>1</v>
      </c>
      <c r="P185" s="53" t="n">
        <f aca="false">(F185+H185+J185+L185)*O185</f>
        <v>10</v>
      </c>
      <c r="Q185" s="74" t="n">
        <f aca="false">M185*O185</f>
        <v>11.6</v>
      </c>
      <c r="R185" s="74" t="n">
        <f aca="false">N185*O185</f>
        <v>0.0999999999999996</v>
      </c>
    </row>
    <row r="186" customFormat="false" ht="15" hidden="false" customHeight="false" outlineLevel="0" collapsed="false">
      <c r="A186" s="53" t="n">
        <v>1</v>
      </c>
      <c r="B186" s="53" t="n">
        <v>8</v>
      </c>
      <c r="C186" s="76" t="s">
        <v>546</v>
      </c>
      <c r="D186" s="53" t="n">
        <v>12</v>
      </c>
      <c r="E186" s="73" t="n">
        <v>0.58</v>
      </c>
      <c r="F186" s="55" t="n">
        <v>20</v>
      </c>
      <c r="G186" s="20"/>
      <c r="H186" s="20"/>
      <c r="I186" s="20"/>
      <c r="J186" s="20"/>
      <c r="K186" s="20"/>
      <c r="L186" s="20"/>
      <c r="M186" s="41" t="n">
        <f aca="false">E186*F186+G186*H186+I186*J186+K186*L186</f>
        <v>11.6</v>
      </c>
      <c r="N186" s="41" t="n">
        <f aca="false">Исходные!$B$15-M186</f>
        <v>0.0999999999999996</v>
      </c>
      <c r="O186" s="55" t="n">
        <v>17</v>
      </c>
      <c r="P186" s="53" t="n">
        <f aca="false">(F186+H186+J186+L186)*O186</f>
        <v>340</v>
      </c>
      <c r="Q186" s="74" t="n">
        <f aca="false">M186*O186</f>
        <v>197.2</v>
      </c>
      <c r="R186" s="74" t="n">
        <f aca="false">N186*O186</f>
        <v>1.69999999999999</v>
      </c>
    </row>
    <row r="187" customFormat="false" ht="15" hidden="false" customHeight="false" outlineLevel="0" collapsed="false">
      <c r="A187" s="53" t="n">
        <v>1</v>
      </c>
      <c r="B187" s="53" t="n">
        <v>8</v>
      </c>
      <c r="C187" s="76" t="s">
        <v>546</v>
      </c>
      <c r="D187" s="53" t="n">
        <v>13</v>
      </c>
      <c r="E187" s="73" t="n">
        <v>1.24</v>
      </c>
      <c r="F187" s="55" t="n">
        <v>5</v>
      </c>
      <c r="G187" s="73" t="n">
        <v>1.16</v>
      </c>
      <c r="H187" s="55" t="n">
        <v>4</v>
      </c>
      <c r="I187" s="73" t="n">
        <v>0.75</v>
      </c>
      <c r="J187" s="55" t="n">
        <v>1</v>
      </c>
      <c r="K187" s="20"/>
      <c r="L187" s="20"/>
      <c r="M187" s="41" t="n">
        <f aca="false">E187*F187+G187*H187+I187*J187+K187*L187</f>
        <v>11.59</v>
      </c>
      <c r="N187" s="41" t="n">
        <f aca="false">Исходные!$B$15-M187</f>
        <v>0.109999999999999</v>
      </c>
      <c r="O187" s="55" t="n">
        <v>1</v>
      </c>
      <c r="P187" s="53" t="n">
        <f aca="false">(F187+H187+J187+L187)*O187</f>
        <v>10</v>
      </c>
      <c r="Q187" s="74" t="n">
        <f aca="false">M187*O187</f>
        <v>11.59</v>
      </c>
      <c r="R187" s="74" t="n">
        <f aca="false">N187*O187</f>
        <v>0.109999999999999</v>
      </c>
    </row>
    <row r="188" customFormat="false" ht="15" hidden="false" customHeight="false" outlineLevel="0" collapsed="false">
      <c r="A188" s="53" t="n">
        <v>1</v>
      </c>
      <c r="B188" s="53" t="n">
        <v>8</v>
      </c>
      <c r="C188" s="76" t="s">
        <v>546</v>
      </c>
      <c r="D188" s="53" t="n">
        <v>14</v>
      </c>
      <c r="E188" s="73" t="n">
        <v>2.44</v>
      </c>
      <c r="F188" s="55" t="n">
        <v>4</v>
      </c>
      <c r="G188" s="73" t="n">
        <v>1.24</v>
      </c>
      <c r="H188" s="55" t="n">
        <v>1</v>
      </c>
      <c r="I188" s="73" t="n">
        <v>0.58</v>
      </c>
      <c r="J188" s="55" t="n">
        <v>1</v>
      </c>
      <c r="K188" s="20"/>
      <c r="L188" s="20"/>
      <c r="M188" s="41" t="n">
        <f aca="false">E188*F188+G188*H188+I188*J188+K188*L188</f>
        <v>11.58</v>
      </c>
      <c r="N188" s="41" t="n">
        <f aca="false">Исходные!$B$15-M188</f>
        <v>0.119999999999999</v>
      </c>
      <c r="O188" s="55" t="n">
        <v>150</v>
      </c>
      <c r="P188" s="53" t="n">
        <f aca="false">(F188+H188+J188+L188)*O188</f>
        <v>900</v>
      </c>
      <c r="Q188" s="74" t="n">
        <f aca="false">M188*O188</f>
        <v>1737</v>
      </c>
      <c r="R188" s="74" t="n">
        <f aca="false">N188*O188</f>
        <v>17.9999999999999</v>
      </c>
    </row>
    <row r="189" customFormat="false" ht="15" hidden="false" customHeight="false" outlineLevel="0" collapsed="false">
      <c r="A189" s="53" t="n">
        <v>1</v>
      </c>
      <c r="B189" s="53" t="n">
        <v>8</v>
      </c>
      <c r="C189" s="76" t="s">
        <v>546</v>
      </c>
      <c r="D189" s="53" t="n">
        <v>15</v>
      </c>
      <c r="E189" s="73" t="n">
        <v>2.06</v>
      </c>
      <c r="F189" s="55" t="n">
        <v>5</v>
      </c>
      <c r="G189" s="73" t="n">
        <v>1.28</v>
      </c>
      <c r="H189" s="55" t="n">
        <v>1</v>
      </c>
      <c r="I189" s="20"/>
      <c r="J189" s="20"/>
      <c r="K189" s="20"/>
      <c r="L189" s="20"/>
      <c r="M189" s="41" t="n">
        <f aca="false">E189*F189+G189*H189+I189*J189+K189*L189</f>
        <v>11.58</v>
      </c>
      <c r="N189" s="41" t="n">
        <f aca="false">Исходные!$B$15-M189</f>
        <v>0.119999999999999</v>
      </c>
      <c r="O189" s="55" t="n">
        <v>15</v>
      </c>
      <c r="P189" s="53" t="n">
        <f aca="false">(F189+H189+J189+L189)*O189</f>
        <v>90</v>
      </c>
      <c r="Q189" s="74" t="n">
        <f aca="false">M189*O189</f>
        <v>173.7</v>
      </c>
      <c r="R189" s="74" t="n">
        <f aca="false">N189*O189</f>
        <v>1.79999999999999</v>
      </c>
    </row>
    <row r="190" customFormat="false" ht="15" hidden="false" customHeight="false" outlineLevel="0" collapsed="false">
      <c r="A190" s="53" t="n">
        <v>1</v>
      </c>
      <c r="B190" s="53" t="n">
        <v>8</v>
      </c>
      <c r="C190" s="76" t="s">
        <v>546</v>
      </c>
      <c r="D190" s="53" t="n">
        <v>16</v>
      </c>
      <c r="E190" s="73" t="n">
        <v>1.96</v>
      </c>
      <c r="F190" s="55" t="n">
        <v>5</v>
      </c>
      <c r="G190" s="73" t="n">
        <v>1.76</v>
      </c>
      <c r="H190" s="55" t="n">
        <v>1</v>
      </c>
      <c r="I190" s="20"/>
      <c r="J190" s="20"/>
      <c r="K190" s="20"/>
      <c r="L190" s="20"/>
      <c r="M190" s="41" t="n">
        <f aca="false">E190*F190+G190*H190+I190*J190+K190*L190</f>
        <v>11.56</v>
      </c>
      <c r="N190" s="41" t="n">
        <f aca="false">Исходные!$B$15-M190</f>
        <v>0.139999999999999</v>
      </c>
      <c r="O190" s="55" t="n">
        <v>36</v>
      </c>
      <c r="P190" s="53" t="n">
        <f aca="false">(F190+H190+J190+L190)*O190</f>
        <v>216</v>
      </c>
      <c r="Q190" s="74" t="n">
        <f aca="false">M190*O190</f>
        <v>416.16</v>
      </c>
      <c r="R190" s="74" t="n">
        <f aca="false">N190*O190</f>
        <v>5.03999999999996</v>
      </c>
    </row>
    <row r="191" customFormat="false" ht="15" hidden="false" customHeight="false" outlineLevel="0" collapsed="false">
      <c r="A191" s="53" t="n">
        <v>1</v>
      </c>
      <c r="B191" s="53" t="n">
        <v>8</v>
      </c>
      <c r="C191" s="76" t="s">
        <v>546</v>
      </c>
      <c r="D191" s="53" t="n">
        <v>17</v>
      </c>
      <c r="E191" s="73" t="n">
        <v>1.16</v>
      </c>
      <c r="F191" s="55" t="n">
        <v>8</v>
      </c>
      <c r="G191" s="73" t="n">
        <v>1.14</v>
      </c>
      <c r="H191" s="55" t="n">
        <v>2</v>
      </c>
      <c r="I191" s="20"/>
      <c r="J191" s="20"/>
      <c r="K191" s="20"/>
      <c r="L191" s="20"/>
      <c r="M191" s="41" t="n">
        <f aca="false">E191*F191+G191*H191+I191*J191+K191*L191</f>
        <v>11.56</v>
      </c>
      <c r="N191" s="41" t="n">
        <f aca="false">Исходные!$B$15-M191</f>
        <v>0.140000000000001</v>
      </c>
      <c r="O191" s="55" t="n">
        <v>1</v>
      </c>
      <c r="P191" s="53" t="n">
        <f aca="false">(F191+H191+J191+L191)*O191</f>
        <v>10</v>
      </c>
      <c r="Q191" s="74" t="n">
        <f aca="false">M191*O191</f>
        <v>11.56</v>
      </c>
      <c r="R191" s="74" t="n">
        <f aca="false">N191*O191</f>
        <v>0.140000000000001</v>
      </c>
    </row>
    <row r="192" customFormat="false" ht="15" hidden="false" customHeight="false" outlineLevel="0" collapsed="false">
      <c r="A192" s="53" t="n">
        <v>1</v>
      </c>
      <c r="B192" s="53" t="n">
        <v>8</v>
      </c>
      <c r="C192" s="76" t="s">
        <v>546</v>
      </c>
      <c r="D192" s="53" t="n">
        <v>18</v>
      </c>
      <c r="E192" s="73" t="n">
        <v>0.53</v>
      </c>
      <c r="F192" s="55" t="n">
        <v>11</v>
      </c>
      <c r="G192" s="73" t="n">
        <v>0.22</v>
      </c>
      <c r="H192" s="55" t="n">
        <v>26</v>
      </c>
      <c r="I192" s="20"/>
      <c r="J192" s="20"/>
      <c r="K192" s="20"/>
      <c r="L192" s="20"/>
      <c r="M192" s="41" t="n">
        <f aca="false">E192*F192+G192*H192+I192*J192+K192*L192</f>
        <v>11.55</v>
      </c>
      <c r="N192" s="41" t="n">
        <f aca="false">Исходные!$B$15-M192</f>
        <v>0.149999999999999</v>
      </c>
      <c r="O192" s="55" t="n">
        <v>1</v>
      </c>
      <c r="P192" s="53" t="n">
        <f aca="false">(F192+H192+J192+L192)*O192</f>
        <v>37</v>
      </c>
      <c r="Q192" s="74" t="n">
        <f aca="false">M192*O192</f>
        <v>11.55</v>
      </c>
      <c r="R192" s="74" t="n">
        <f aca="false">N192*O192</f>
        <v>0.149999999999999</v>
      </c>
    </row>
    <row r="193" customFormat="false" ht="15" hidden="false" customHeight="false" outlineLevel="0" collapsed="false">
      <c r="A193" s="53" t="n">
        <v>1</v>
      </c>
      <c r="B193" s="53" t="n">
        <v>8</v>
      </c>
      <c r="C193" s="76" t="s">
        <v>546</v>
      </c>
      <c r="D193" s="53" t="n">
        <v>19</v>
      </c>
      <c r="E193" s="73" t="n">
        <v>2.06</v>
      </c>
      <c r="F193" s="55" t="n">
        <v>5</v>
      </c>
      <c r="G193" s="73" t="n">
        <v>1.24</v>
      </c>
      <c r="H193" s="55" t="n">
        <v>1</v>
      </c>
      <c r="I193" s="20"/>
      <c r="J193" s="20"/>
      <c r="K193" s="20"/>
      <c r="L193" s="20"/>
      <c r="M193" s="41" t="n">
        <f aca="false">E193*F193+G193*H193+I193*J193+K193*L193</f>
        <v>11.54</v>
      </c>
      <c r="N193" s="41" t="n">
        <f aca="false">Исходные!$B$15-M193</f>
        <v>0.159999999999998</v>
      </c>
      <c r="O193" s="55" t="n">
        <v>147</v>
      </c>
      <c r="P193" s="53" t="n">
        <f aca="false">(F193+H193+J193+L193)*O193</f>
        <v>882</v>
      </c>
      <c r="Q193" s="74" t="n">
        <f aca="false">M193*O193</f>
        <v>1696.38</v>
      </c>
      <c r="R193" s="74" t="n">
        <f aca="false">N193*O193</f>
        <v>23.5199999999998</v>
      </c>
    </row>
    <row r="194" customFormat="false" ht="15" hidden="false" customHeight="false" outlineLevel="0" collapsed="false">
      <c r="A194" s="53" t="n">
        <v>1</v>
      </c>
      <c r="B194" s="53" t="n">
        <v>8</v>
      </c>
      <c r="C194" s="76" t="s">
        <v>546</v>
      </c>
      <c r="D194" s="53" t="n">
        <v>20</v>
      </c>
      <c r="E194" s="73" t="n">
        <v>0.22</v>
      </c>
      <c r="F194" s="55" t="n">
        <v>14</v>
      </c>
      <c r="G194" s="20"/>
      <c r="H194" s="20"/>
      <c r="I194" s="20"/>
      <c r="J194" s="20"/>
      <c r="K194" s="20"/>
      <c r="L194" s="20"/>
      <c r="M194" s="41" t="n">
        <f aca="false">E194*F194+G194*H194+I194*J194+K194*L194</f>
        <v>3.08</v>
      </c>
      <c r="N194" s="41" t="n">
        <f aca="false">Исходные!$B$15-M194</f>
        <v>8.62</v>
      </c>
      <c r="O194" s="55" t="n">
        <v>1</v>
      </c>
      <c r="P194" s="53" t="n">
        <f aca="false">(F194+H194+J194+L194)*O194</f>
        <v>14</v>
      </c>
      <c r="Q194" s="74" t="n">
        <f aca="false">M194*O194</f>
        <v>3.08</v>
      </c>
      <c r="R194" s="74" t="n">
        <f aca="false">N194*O194</f>
        <v>8.62</v>
      </c>
    </row>
    <row r="195" customFormat="false" ht="15" hidden="false" customHeight="false" outlineLevel="0" collapsed="false">
      <c r="A195" s="53" t="n">
        <v>1</v>
      </c>
      <c r="B195" s="53" t="n">
        <v>6</v>
      </c>
      <c r="C195" s="76" t="s">
        <v>546</v>
      </c>
      <c r="D195" s="53" t="n">
        <v>1</v>
      </c>
      <c r="E195" s="73" t="n">
        <v>0.28</v>
      </c>
      <c r="F195" s="55" t="n">
        <v>41</v>
      </c>
      <c r="G195" s="20"/>
      <c r="H195" s="20"/>
      <c r="I195" s="20"/>
      <c r="J195" s="20"/>
      <c r="K195" s="20"/>
      <c r="L195" s="20"/>
      <c r="M195" s="41" t="n">
        <f aca="false">E195*F195+G195*H195+I195*J195+K195*L195</f>
        <v>11.48</v>
      </c>
      <c r="N195" s="41" t="n">
        <f aca="false">Исходные!$B$15-M195</f>
        <v>0.219999999999999</v>
      </c>
      <c r="O195" s="55" t="n">
        <v>2</v>
      </c>
      <c r="P195" s="53" t="n">
        <f aca="false">(F195+H195+J195+L195)*O195</f>
        <v>82</v>
      </c>
      <c r="Q195" s="74" t="n">
        <f aca="false">M195*O195</f>
        <v>22.96</v>
      </c>
      <c r="R195" s="74" t="n">
        <f aca="false">N195*O195</f>
        <v>0.439999999999998</v>
      </c>
    </row>
    <row r="196" customFormat="false" ht="15" hidden="false" customHeight="false" outlineLevel="0" collapsed="false">
      <c r="A196" s="53" t="n">
        <v>1</v>
      </c>
      <c r="B196" s="53" t="n">
        <v>6</v>
      </c>
      <c r="C196" s="76" t="s">
        <v>546</v>
      </c>
      <c r="D196" s="53" t="n">
        <v>2</v>
      </c>
      <c r="E196" s="73" t="n">
        <v>0.28</v>
      </c>
      <c r="F196" s="55" t="n">
        <v>29</v>
      </c>
      <c r="G196" s="20"/>
      <c r="H196" s="20"/>
      <c r="I196" s="20"/>
      <c r="J196" s="20"/>
      <c r="K196" s="20"/>
      <c r="L196" s="20"/>
      <c r="M196" s="41" t="n">
        <f aca="false">E196*F196+G196*H196+I196*J196+K196*L196</f>
        <v>8.12</v>
      </c>
      <c r="N196" s="41" t="n">
        <f aca="false">Исходные!$B$15-M196</f>
        <v>3.58</v>
      </c>
      <c r="O196" s="55" t="n">
        <v>1</v>
      </c>
      <c r="P196" s="53" t="n">
        <f aca="false">(F196+H196+J196+L196)*O196</f>
        <v>29</v>
      </c>
      <c r="Q196" s="74" t="n">
        <f aca="false">M196*O196</f>
        <v>8.12</v>
      </c>
      <c r="R196" s="74" t="n">
        <f aca="false">N196*O196</f>
        <v>3.58</v>
      </c>
    </row>
    <row r="197" customFormat="false" ht="15" hidden="false" customHeight="false" outlineLevel="0" collapsed="false">
      <c r="A197" s="53" t="n">
        <v>2</v>
      </c>
      <c r="B197" s="53" t="n">
        <v>32</v>
      </c>
      <c r="C197" s="76" t="s">
        <v>512</v>
      </c>
      <c r="D197" s="53" t="n">
        <v>1</v>
      </c>
      <c r="E197" s="73" t="n">
        <v>7.85</v>
      </c>
      <c r="F197" s="55" t="n">
        <v>1</v>
      </c>
      <c r="G197" s="73" t="n">
        <v>3.8</v>
      </c>
      <c r="H197" s="55" t="n">
        <v>1</v>
      </c>
      <c r="I197" s="20"/>
      <c r="J197" s="20"/>
      <c r="K197" s="20"/>
      <c r="L197" s="20"/>
      <c r="M197" s="41" t="n">
        <f aca="false">E197*F197+G197*H197+I197*J197+K197*L197</f>
        <v>11.65</v>
      </c>
      <c r="N197" s="41" t="n">
        <f aca="false">Исходные!$B$15-M197</f>
        <v>0.0500000000000007</v>
      </c>
      <c r="O197" s="55" t="n">
        <v>2</v>
      </c>
      <c r="P197" s="53" t="n">
        <f aca="false">(F197+H197+J197+L197)*O197</f>
        <v>4</v>
      </c>
      <c r="Q197" s="74" t="n">
        <f aca="false">M197*O197</f>
        <v>23.3</v>
      </c>
      <c r="R197" s="74" t="n">
        <f aca="false">N197*O197</f>
        <v>0.100000000000001</v>
      </c>
    </row>
    <row r="198" customFormat="false" ht="15" hidden="false" customHeight="false" outlineLevel="0" collapsed="false">
      <c r="A198" s="53" t="n">
        <v>2</v>
      </c>
      <c r="B198" s="53" t="n">
        <v>32</v>
      </c>
      <c r="C198" s="76" t="s">
        <v>512</v>
      </c>
      <c r="D198" s="53" t="n">
        <v>2</v>
      </c>
      <c r="E198" s="73" t="n">
        <v>3.3</v>
      </c>
      <c r="F198" s="55" t="n">
        <v>2</v>
      </c>
      <c r="G198" s="73" t="n">
        <v>2.85</v>
      </c>
      <c r="H198" s="55" t="n">
        <v>1</v>
      </c>
      <c r="I198" s="73" t="n">
        <v>2.05</v>
      </c>
      <c r="J198" s="55" t="n">
        <v>1</v>
      </c>
      <c r="K198" s="20"/>
      <c r="L198" s="20"/>
      <c r="M198" s="41" t="n">
        <f aca="false">E198*F198+G198*H198+I198*J198+K198*L198</f>
        <v>11.5</v>
      </c>
      <c r="N198" s="41" t="n">
        <f aca="false">Исходные!$B$15-M198</f>
        <v>0.199999999999999</v>
      </c>
      <c r="O198" s="55" t="n">
        <v>1</v>
      </c>
      <c r="P198" s="53" t="n">
        <f aca="false">(F198+H198+J198+L198)*O198</f>
        <v>4</v>
      </c>
      <c r="Q198" s="74" t="n">
        <f aca="false">M198*O198</f>
        <v>11.5</v>
      </c>
      <c r="R198" s="74" t="n">
        <f aca="false">N198*O198</f>
        <v>0.199999999999999</v>
      </c>
    </row>
    <row r="199" customFormat="false" ht="15" hidden="false" customHeight="false" outlineLevel="0" collapsed="false">
      <c r="A199" s="53" t="n">
        <v>2</v>
      </c>
      <c r="B199" s="53" t="n">
        <v>32</v>
      </c>
      <c r="C199" s="76" t="s">
        <v>512</v>
      </c>
      <c r="D199" s="53" t="n">
        <v>3</v>
      </c>
      <c r="E199" s="73" t="n">
        <v>7.5</v>
      </c>
      <c r="F199" s="55" t="n">
        <v>1</v>
      </c>
      <c r="G199" s="73" t="n">
        <v>3.8</v>
      </c>
      <c r="H199" s="55" t="n">
        <v>1</v>
      </c>
      <c r="I199" s="20"/>
      <c r="J199" s="20"/>
      <c r="K199" s="20"/>
      <c r="L199" s="20"/>
      <c r="M199" s="41" t="n">
        <f aca="false">E199*F199+G199*H199+I199*J199+K199*L199</f>
        <v>11.3</v>
      </c>
      <c r="N199" s="41" t="n">
        <f aca="false">Исходные!$B$15-M199</f>
        <v>0.399999999999999</v>
      </c>
      <c r="O199" s="55" t="n">
        <v>2</v>
      </c>
      <c r="P199" s="53" t="n">
        <f aca="false">(F199+H199+J199+L199)*O199</f>
        <v>4</v>
      </c>
      <c r="Q199" s="74" t="n">
        <f aca="false">M199*O199</f>
        <v>22.6</v>
      </c>
      <c r="R199" s="74" t="n">
        <f aca="false">N199*O199</f>
        <v>0.799999999999997</v>
      </c>
    </row>
    <row r="200" customFormat="false" ht="15" hidden="false" customHeight="false" outlineLevel="0" collapsed="false">
      <c r="A200" s="53" t="n">
        <v>2</v>
      </c>
      <c r="B200" s="53" t="n">
        <v>32</v>
      </c>
      <c r="C200" s="76" t="s">
        <v>512</v>
      </c>
      <c r="D200" s="53" t="n">
        <v>4</v>
      </c>
      <c r="E200" s="73" t="n">
        <v>3.7</v>
      </c>
      <c r="F200" s="55" t="n">
        <v>2</v>
      </c>
      <c r="G200" s="73" t="n">
        <v>3.6</v>
      </c>
      <c r="H200" s="55" t="n">
        <v>1</v>
      </c>
      <c r="I200" s="20"/>
      <c r="J200" s="20"/>
      <c r="K200" s="20"/>
      <c r="L200" s="20"/>
      <c r="M200" s="41" t="n">
        <f aca="false">E200*F200+G200*H200+I200*J200+K200*L200</f>
        <v>11</v>
      </c>
      <c r="N200" s="41" t="n">
        <f aca="false">Исходные!$B$15-M200</f>
        <v>0.699999999999999</v>
      </c>
      <c r="O200" s="55" t="n">
        <v>1</v>
      </c>
      <c r="P200" s="53" t="n">
        <f aca="false">(F200+H200+J200+L200)*O200</f>
        <v>3</v>
      </c>
      <c r="Q200" s="74" t="n">
        <f aca="false">M200*O200</f>
        <v>11</v>
      </c>
      <c r="R200" s="74" t="n">
        <f aca="false">N200*O200</f>
        <v>0.699999999999999</v>
      </c>
    </row>
    <row r="201" customFormat="false" ht="15" hidden="false" customHeight="false" outlineLevel="0" collapsed="false">
      <c r="A201" s="53" t="n">
        <v>2</v>
      </c>
      <c r="B201" s="53" t="n">
        <v>32</v>
      </c>
      <c r="C201" s="76" t="s">
        <v>512</v>
      </c>
      <c r="D201" s="53" t="n">
        <v>5</v>
      </c>
      <c r="E201" s="73" t="n">
        <v>3.6</v>
      </c>
      <c r="F201" s="55" t="n">
        <v>3</v>
      </c>
      <c r="G201" s="20"/>
      <c r="H201" s="20"/>
      <c r="I201" s="20"/>
      <c r="J201" s="20"/>
      <c r="K201" s="20"/>
      <c r="L201" s="20"/>
      <c r="M201" s="41" t="n">
        <f aca="false">E201*F201+G201*H201+I201*J201+K201*L201</f>
        <v>10.8</v>
      </c>
      <c r="N201" s="41" t="n">
        <f aca="false">Исходные!$B$15-M201</f>
        <v>0.899999999999999</v>
      </c>
      <c r="O201" s="55" t="n">
        <v>16</v>
      </c>
      <c r="P201" s="53" t="n">
        <f aca="false">(F201+H201+J201+L201)*O201</f>
        <v>48</v>
      </c>
      <c r="Q201" s="74" t="n">
        <f aca="false">M201*O201</f>
        <v>172.8</v>
      </c>
      <c r="R201" s="74" t="n">
        <f aca="false">N201*O201</f>
        <v>14.4</v>
      </c>
    </row>
    <row r="202" customFormat="false" ht="15" hidden="false" customHeight="false" outlineLevel="0" collapsed="false">
      <c r="A202" s="53" t="n">
        <v>2</v>
      </c>
      <c r="B202" s="53" t="n">
        <v>32</v>
      </c>
      <c r="C202" s="76" t="s">
        <v>512</v>
      </c>
      <c r="D202" s="53" t="n">
        <v>6</v>
      </c>
      <c r="E202" s="73" t="n">
        <v>2.85</v>
      </c>
      <c r="F202" s="55" t="n">
        <v>3</v>
      </c>
      <c r="G202" s="73" t="n">
        <v>2.05</v>
      </c>
      <c r="H202" s="55" t="n">
        <v>1</v>
      </c>
      <c r="I202" s="20"/>
      <c r="J202" s="20"/>
      <c r="K202" s="20"/>
      <c r="L202" s="20"/>
      <c r="M202" s="41" t="n">
        <f aca="false">E202*F202+G202*H202+I202*J202+K202*L202</f>
        <v>10.6</v>
      </c>
      <c r="N202" s="41" t="n">
        <f aca="false">Исходные!$B$15-M202</f>
        <v>1.1</v>
      </c>
      <c r="O202" s="55" t="n">
        <v>1</v>
      </c>
      <c r="P202" s="53" t="n">
        <f aca="false">(F202+H202+J202+L202)*O202</f>
        <v>4</v>
      </c>
      <c r="Q202" s="74" t="n">
        <f aca="false">M202*O202</f>
        <v>10.6</v>
      </c>
      <c r="R202" s="74" t="n">
        <f aca="false">N202*O202</f>
        <v>1.1</v>
      </c>
    </row>
    <row r="203" customFormat="false" ht="15" hidden="false" customHeight="false" outlineLevel="0" collapsed="false">
      <c r="A203" s="53" t="n">
        <v>2</v>
      </c>
      <c r="B203" s="53" t="n">
        <v>32</v>
      </c>
      <c r="C203" s="76" t="s">
        <v>512</v>
      </c>
      <c r="D203" s="53" t="n">
        <v>7</v>
      </c>
      <c r="E203" s="73" t="n">
        <v>3.6</v>
      </c>
      <c r="F203" s="55" t="n">
        <v>1</v>
      </c>
      <c r="G203" s="73" t="n">
        <v>3.4</v>
      </c>
      <c r="H203" s="55" t="n">
        <v>2</v>
      </c>
      <c r="I203" s="20"/>
      <c r="J203" s="20"/>
      <c r="K203" s="20"/>
      <c r="L203" s="20"/>
      <c r="M203" s="41" t="n">
        <f aca="false">E203*F203+G203*H203+I203*J203+K203*L203</f>
        <v>10.4</v>
      </c>
      <c r="N203" s="41" t="n">
        <f aca="false">Исходные!$B$15-M203</f>
        <v>1.3</v>
      </c>
      <c r="O203" s="55" t="n">
        <v>1</v>
      </c>
      <c r="P203" s="53" t="n">
        <f aca="false">(F203+H203+J203+L203)*O203</f>
        <v>3</v>
      </c>
      <c r="Q203" s="74" t="n">
        <f aca="false">M203*O203</f>
        <v>10.4</v>
      </c>
      <c r="R203" s="74" t="n">
        <f aca="false">N203*O203</f>
        <v>1.3</v>
      </c>
    </row>
    <row r="204" customFormat="false" ht="15" hidden="false" customHeight="false" outlineLevel="0" collapsed="false">
      <c r="A204" s="53" t="n">
        <v>2</v>
      </c>
      <c r="B204" s="53" t="n">
        <v>32</v>
      </c>
      <c r="C204" s="76" t="s">
        <v>512</v>
      </c>
      <c r="D204" s="53" t="n">
        <v>8</v>
      </c>
      <c r="E204" s="73" t="n">
        <v>2.05</v>
      </c>
      <c r="F204" s="55" t="n">
        <v>4</v>
      </c>
      <c r="G204" s="20"/>
      <c r="H204" s="20"/>
      <c r="I204" s="20"/>
      <c r="J204" s="20"/>
      <c r="K204" s="20"/>
      <c r="L204" s="20"/>
      <c r="M204" s="41" t="n">
        <f aca="false">E204*F204+G204*H204+I204*J204+K204*L204</f>
        <v>8.2</v>
      </c>
      <c r="N204" s="41" t="n">
        <f aca="false">Исходные!$B$15-M204</f>
        <v>3.5</v>
      </c>
      <c r="O204" s="55" t="n">
        <v>1</v>
      </c>
      <c r="P204" s="53" t="n">
        <f aca="false">(F204+H204+J204+L204)*O204</f>
        <v>4</v>
      </c>
      <c r="Q204" s="74" t="n">
        <f aca="false">M204*O204</f>
        <v>8.2</v>
      </c>
      <c r="R204" s="74" t="n">
        <f aca="false">N204*O204</f>
        <v>3.5</v>
      </c>
    </row>
    <row r="205" customFormat="false" ht="15" hidden="false" customHeight="false" outlineLevel="0" collapsed="false">
      <c r="A205" s="53" t="n">
        <v>2</v>
      </c>
      <c r="B205" s="53" t="n">
        <v>28</v>
      </c>
      <c r="C205" s="76" t="s">
        <v>512</v>
      </c>
      <c r="D205" s="53" t="n">
        <v>1</v>
      </c>
      <c r="E205" s="73" t="n">
        <v>11.7</v>
      </c>
      <c r="F205" s="55" t="n">
        <v>1</v>
      </c>
      <c r="G205" s="20"/>
      <c r="H205" s="20"/>
      <c r="I205" s="20"/>
      <c r="J205" s="20"/>
      <c r="K205" s="20"/>
      <c r="L205" s="20"/>
      <c r="M205" s="41" t="n">
        <f aca="false">E205*F205+G205*H205+I205*J205+K205*L205</f>
        <v>11.7</v>
      </c>
      <c r="N205" s="41" t="n">
        <f aca="false">Исходные!$B$15-M205</f>
        <v>0</v>
      </c>
      <c r="O205" s="55" t="n">
        <v>52</v>
      </c>
      <c r="P205" s="53" t="n">
        <f aca="false">(F205+H205+J205+L205)*O205</f>
        <v>52</v>
      </c>
      <c r="Q205" s="74" t="n">
        <f aca="false">M205*O205</f>
        <v>608.4</v>
      </c>
      <c r="R205" s="74" t="n">
        <f aca="false">N205*O205</f>
        <v>0</v>
      </c>
    </row>
    <row r="206" customFormat="false" ht="15" hidden="false" customHeight="false" outlineLevel="0" collapsed="false">
      <c r="A206" s="53" t="n">
        <v>2</v>
      </c>
      <c r="B206" s="53" t="n">
        <v>28</v>
      </c>
      <c r="C206" s="76" t="s">
        <v>512</v>
      </c>
      <c r="D206" s="53" t="n">
        <v>2</v>
      </c>
      <c r="E206" s="73" t="n">
        <v>6.2</v>
      </c>
      <c r="F206" s="55" t="n">
        <v>1</v>
      </c>
      <c r="G206" s="73" t="n">
        <v>5.5</v>
      </c>
      <c r="H206" s="55" t="n">
        <v>1</v>
      </c>
      <c r="I206" s="20"/>
      <c r="J206" s="20"/>
      <c r="K206" s="20"/>
      <c r="L206" s="20"/>
      <c r="M206" s="41" t="n">
        <f aca="false">E206*F206+G206*H206+I206*J206+K206*L206</f>
        <v>11.7</v>
      </c>
      <c r="N206" s="41" t="n">
        <f aca="false">Исходные!$B$15-M206</f>
        <v>0</v>
      </c>
      <c r="O206" s="55" t="n">
        <v>2</v>
      </c>
      <c r="P206" s="53" t="n">
        <f aca="false">(F206+H206+J206+L206)*O206</f>
        <v>4</v>
      </c>
      <c r="Q206" s="74" t="n">
        <f aca="false">M206*O206</f>
        <v>23.4</v>
      </c>
      <c r="R206" s="74" t="n">
        <f aca="false">N206*O206</f>
        <v>0</v>
      </c>
    </row>
    <row r="207" customFormat="false" ht="15" hidden="false" customHeight="false" outlineLevel="0" collapsed="false">
      <c r="A207" s="53" t="n">
        <v>2</v>
      </c>
      <c r="B207" s="53" t="n">
        <v>28</v>
      </c>
      <c r="C207" s="76" t="s">
        <v>512</v>
      </c>
      <c r="D207" s="53" t="n">
        <v>3</v>
      </c>
      <c r="E207" s="73" t="n">
        <v>4.3</v>
      </c>
      <c r="F207" s="55" t="n">
        <v>2</v>
      </c>
      <c r="G207" s="73" t="n">
        <v>3</v>
      </c>
      <c r="H207" s="55" t="n">
        <v>1</v>
      </c>
      <c r="I207" s="20"/>
      <c r="J207" s="20"/>
      <c r="K207" s="20"/>
      <c r="L207" s="20"/>
      <c r="M207" s="41" t="n">
        <f aca="false">E207*F207+G207*H207+I207*J207+K207*L207</f>
        <v>11.6</v>
      </c>
      <c r="N207" s="41" t="n">
        <f aca="false">Исходные!$B$15-M207</f>
        <v>0.0999999999999996</v>
      </c>
      <c r="O207" s="55" t="n">
        <v>1</v>
      </c>
      <c r="P207" s="53" t="n">
        <f aca="false">(F207+H207+J207+L207)*O207</f>
        <v>3</v>
      </c>
      <c r="Q207" s="74" t="n">
        <f aca="false">M207*O207</f>
        <v>11.6</v>
      </c>
      <c r="R207" s="74" t="n">
        <f aca="false">N207*O207</f>
        <v>0.0999999999999996</v>
      </c>
    </row>
    <row r="208" customFormat="false" ht="15" hidden="false" customHeight="false" outlineLevel="0" collapsed="false">
      <c r="A208" s="53" t="n">
        <v>2</v>
      </c>
      <c r="B208" s="53" t="n">
        <v>28</v>
      </c>
      <c r="C208" s="76" t="s">
        <v>512</v>
      </c>
      <c r="D208" s="53" t="n">
        <v>4</v>
      </c>
      <c r="E208" s="73" t="n">
        <v>4.7</v>
      </c>
      <c r="F208" s="55" t="n">
        <v>2</v>
      </c>
      <c r="G208" s="73" t="n">
        <v>2.1</v>
      </c>
      <c r="H208" s="55" t="n">
        <v>1</v>
      </c>
      <c r="I208" s="20"/>
      <c r="J208" s="20"/>
      <c r="K208" s="20"/>
      <c r="L208" s="20"/>
      <c r="M208" s="41" t="n">
        <f aca="false">E208*F208+G208*H208+I208*J208+K208*L208</f>
        <v>11.5</v>
      </c>
      <c r="N208" s="41" t="n">
        <f aca="false">Исходные!$B$15-M208</f>
        <v>0.199999999999999</v>
      </c>
      <c r="O208" s="55" t="n">
        <v>2</v>
      </c>
      <c r="P208" s="53" t="n">
        <f aca="false">(F208+H208+J208+L208)*O208</f>
        <v>6</v>
      </c>
      <c r="Q208" s="74" t="n">
        <f aca="false">M208*O208</f>
        <v>23</v>
      </c>
      <c r="R208" s="74" t="n">
        <f aca="false">N208*O208</f>
        <v>0.399999999999999</v>
      </c>
    </row>
    <row r="209" customFormat="false" ht="15" hidden="false" customHeight="false" outlineLevel="0" collapsed="false">
      <c r="A209" s="53" t="n">
        <v>2</v>
      </c>
      <c r="B209" s="53" t="n">
        <v>28</v>
      </c>
      <c r="C209" s="76" t="s">
        <v>512</v>
      </c>
      <c r="D209" s="53" t="n">
        <v>5</v>
      </c>
      <c r="E209" s="73" t="n">
        <v>3.8</v>
      </c>
      <c r="F209" s="55" t="n">
        <v>3</v>
      </c>
      <c r="G209" s="20"/>
      <c r="H209" s="20"/>
      <c r="I209" s="20"/>
      <c r="J209" s="20"/>
      <c r="K209" s="20"/>
      <c r="L209" s="20"/>
      <c r="M209" s="41" t="n">
        <f aca="false">E209*F209+G209*H209+I209*J209+K209*L209</f>
        <v>11.4</v>
      </c>
      <c r="N209" s="41" t="n">
        <f aca="false">Исходные!$B$15-M209</f>
        <v>0.300000000000001</v>
      </c>
      <c r="O209" s="55" t="n">
        <v>2</v>
      </c>
      <c r="P209" s="53" t="n">
        <f aca="false">(F209+H209+J209+L209)*O209</f>
        <v>6</v>
      </c>
      <c r="Q209" s="74" t="n">
        <f aca="false">M209*O209</f>
        <v>22.8</v>
      </c>
      <c r="R209" s="74" t="n">
        <f aca="false">N209*O209</f>
        <v>0.600000000000001</v>
      </c>
    </row>
    <row r="210" customFormat="false" ht="15" hidden="false" customHeight="false" outlineLevel="0" collapsed="false">
      <c r="A210" s="53" t="n">
        <v>2</v>
      </c>
      <c r="B210" s="53" t="n">
        <v>28</v>
      </c>
      <c r="C210" s="76" t="s">
        <v>512</v>
      </c>
      <c r="D210" s="53" t="n">
        <v>6</v>
      </c>
      <c r="E210" s="73" t="n">
        <v>3.8</v>
      </c>
      <c r="F210" s="55" t="n">
        <v>2</v>
      </c>
      <c r="G210" s="73" t="n">
        <v>3.7</v>
      </c>
      <c r="H210" s="55" t="n">
        <v>1</v>
      </c>
      <c r="I210" s="20"/>
      <c r="J210" s="20"/>
      <c r="K210" s="20"/>
      <c r="L210" s="20"/>
      <c r="M210" s="41" t="n">
        <f aca="false">E210*F210+G210*H210+I210*J210+K210*L210</f>
        <v>11.3</v>
      </c>
      <c r="N210" s="41" t="n">
        <f aca="false">Исходные!$B$15-M210</f>
        <v>0.399999999999999</v>
      </c>
      <c r="O210" s="55" t="n">
        <v>1</v>
      </c>
      <c r="P210" s="53" t="n">
        <f aca="false">(F210+H210+J210+L210)*O210</f>
        <v>3</v>
      </c>
      <c r="Q210" s="74" t="n">
        <f aca="false">M210*O210</f>
        <v>11.3</v>
      </c>
      <c r="R210" s="74" t="n">
        <f aca="false">N210*O210</f>
        <v>0.399999999999999</v>
      </c>
    </row>
    <row r="211" customFormat="false" ht="15" hidden="false" customHeight="false" outlineLevel="0" collapsed="false">
      <c r="A211" s="53" t="n">
        <v>2</v>
      </c>
      <c r="B211" s="53" t="n">
        <v>28</v>
      </c>
      <c r="C211" s="76" t="s">
        <v>512</v>
      </c>
      <c r="D211" s="53" t="n">
        <v>7</v>
      </c>
      <c r="E211" s="73" t="n">
        <v>3.7</v>
      </c>
      <c r="F211" s="55" t="n">
        <v>3</v>
      </c>
      <c r="G211" s="20"/>
      <c r="H211" s="20"/>
      <c r="I211" s="20"/>
      <c r="J211" s="20"/>
      <c r="K211" s="20"/>
      <c r="L211" s="20"/>
      <c r="M211" s="41" t="n">
        <f aca="false">E211*F211+G211*H211+I211*J211+K211*L211</f>
        <v>11.1</v>
      </c>
      <c r="N211" s="41" t="n">
        <f aca="false">Исходные!$B$15-M211</f>
        <v>0.599999999999998</v>
      </c>
      <c r="O211" s="55" t="n">
        <v>1</v>
      </c>
      <c r="P211" s="53" t="n">
        <f aca="false">(F211+H211+J211+L211)*O211</f>
        <v>3</v>
      </c>
      <c r="Q211" s="74" t="n">
        <f aca="false">M211*O211</f>
        <v>11.1</v>
      </c>
      <c r="R211" s="74" t="n">
        <f aca="false">N211*O211</f>
        <v>0.599999999999998</v>
      </c>
    </row>
    <row r="212" customFormat="false" ht="15" hidden="false" customHeight="false" outlineLevel="0" collapsed="false">
      <c r="A212" s="53" t="n">
        <v>2</v>
      </c>
      <c r="B212" s="53" t="n">
        <v>28</v>
      </c>
      <c r="C212" s="76" t="s">
        <v>512</v>
      </c>
      <c r="D212" s="53" t="n">
        <v>8</v>
      </c>
      <c r="E212" s="73" t="n">
        <v>3.7</v>
      </c>
      <c r="F212" s="55" t="n">
        <v>2</v>
      </c>
      <c r="G212" s="73" t="n">
        <v>3.6</v>
      </c>
      <c r="H212" s="55" t="n">
        <v>1</v>
      </c>
      <c r="I212" s="20"/>
      <c r="J212" s="20"/>
      <c r="K212" s="20"/>
      <c r="L212" s="20"/>
      <c r="M212" s="41" t="n">
        <f aca="false">E212*F212+G212*H212+I212*J212+K212*L212</f>
        <v>11</v>
      </c>
      <c r="N212" s="41" t="n">
        <f aca="false">Исходные!$B$15-M212</f>
        <v>0.699999999999999</v>
      </c>
      <c r="O212" s="55" t="n">
        <v>1</v>
      </c>
      <c r="P212" s="53" t="n">
        <f aca="false">(F212+H212+J212+L212)*O212</f>
        <v>3</v>
      </c>
      <c r="Q212" s="74" t="n">
        <f aca="false">M212*O212</f>
        <v>11</v>
      </c>
      <c r="R212" s="74" t="n">
        <f aca="false">N212*O212</f>
        <v>0.699999999999999</v>
      </c>
    </row>
    <row r="213" customFormat="false" ht="15" hidden="false" customHeight="false" outlineLevel="0" collapsed="false">
      <c r="A213" s="53" t="n">
        <v>2</v>
      </c>
      <c r="B213" s="53" t="n">
        <v>28</v>
      </c>
      <c r="C213" s="76" t="s">
        <v>512</v>
      </c>
      <c r="D213" s="53" t="n">
        <v>9</v>
      </c>
      <c r="E213" s="73" t="n">
        <v>8.8</v>
      </c>
      <c r="F213" s="55" t="n">
        <v>1</v>
      </c>
      <c r="G213" s="73" t="n">
        <v>2.1</v>
      </c>
      <c r="H213" s="55" t="n">
        <v>1</v>
      </c>
      <c r="I213" s="20"/>
      <c r="J213" s="20"/>
      <c r="K213" s="20"/>
      <c r="L213" s="20"/>
      <c r="M213" s="41" t="n">
        <f aca="false">E213*F213+G213*H213+I213*J213+K213*L213</f>
        <v>10.9</v>
      </c>
      <c r="N213" s="41" t="n">
        <f aca="false">Исходные!$B$15-M213</f>
        <v>0.799999999999999</v>
      </c>
      <c r="O213" s="55" t="n">
        <v>14</v>
      </c>
      <c r="P213" s="53" t="n">
        <f aca="false">(F213+H213+J213+L213)*O213</f>
        <v>28</v>
      </c>
      <c r="Q213" s="74" t="n">
        <f aca="false">M213*O213</f>
        <v>152.6</v>
      </c>
      <c r="R213" s="74" t="n">
        <f aca="false">N213*O213</f>
        <v>11.2</v>
      </c>
    </row>
    <row r="214" customFormat="false" ht="15" hidden="false" customHeight="false" outlineLevel="0" collapsed="false">
      <c r="A214" s="53" t="n">
        <v>2</v>
      </c>
      <c r="B214" s="53" t="n">
        <v>28</v>
      </c>
      <c r="C214" s="76" t="s">
        <v>512</v>
      </c>
      <c r="D214" s="53" t="n">
        <v>10</v>
      </c>
      <c r="E214" s="73" t="n">
        <v>8.8</v>
      </c>
      <c r="F214" s="55" t="n">
        <v>1</v>
      </c>
      <c r="G214" s="73" t="n">
        <v>2.05</v>
      </c>
      <c r="H214" s="55" t="n">
        <v>1</v>
      </c>
      <c r="I214" s="20"/>
      <c r="J214" s="20"/>
      <c r="K214" s="20"/>
      <c r="L214" s="20"/>
      <c r="M214" s="41" t="n">
        <f aca="false">E214*F214+G214*H214+I214*J214+K214*L214</f>
        <v>10.85</v>
      </c>
      <c r="N214" s="41" t="n">
        <f aca="false">Исходные!$B$15-M214</f>
        <v>0.849999999999998</v>
      </c>
      <c r="O214" s="55" t="n">
        <v>6</v>
      </c>
      <c r="P214" s="53" t="n">
        <f aca="false">(F214+H214+J214+L214)*O214</f>
        <v>12</v>
      </c>
      <c r="Q214" s="74" t="n">
        <f aca="false">M214*O214</f>
        <v>65.1</v>
      </c>
      <c r="R214" s="74" t="n">
        <f aca="false">N214*O214</f>
        <v>5.09999999999999</v>
      </c>
    </row>
    <row r="215" customFormat="false" ht="15" hidden="false" customHeight="false" outlineLevel="0" collapsed="false">
      <c r="A215" s="53" t="n">
        <v>2</v>
      </c>
      <c r="B215" s="53" t="n">
        <v>28</v>
      </c>
      <c r="C215" s="76" t="s">
        <v>512</v>
      </c>
      <c r="D215" s="53" t="n">
        <v>11</v>
      </c>
      <c r="E215" s="73" t="n">
        <v>3.6</v>
      </c>
      <c r="F215" s="55" t="n">
        <v>3</v>
      </c>
      <c r="G215" s="20"/>
      <c r="H215" s="20"/>
      <c r="I215" s="20"/>
      <c r="J215" s="20"/>
      <c r="K215" s="20"/>
      <c r="L215" s="20"/>
      <c r="M215" s="41" t="n">
        <f aca="false">E215*F215+G215*H215+I215*J215+K215*L215</f>
        <v>10.8</v>
      </c>
      <c r="N215" s="41" t="n">
        <f aca="false">Исходные!$B$15-M215</f>
        <v>0.899999999999999</v>
      </c>
      <c r="O215" s="55" t="n">
        <v>12</v>
      </c>
      <c r="P215" s="53" t="n">
        <f aca="false">(F215+H215+J215+L215)*O215</f>
        <v>36</v>
      </c>
      <c r="Q215" s="74" t="n">
        <f aca="false">M215*O215</f>
        <v>129.6</v>
      </c>
      <c r="R215" s="74" t="n">
        <f aca="false">N215*O215</f>
        <v>10.8</v>
      </c>
    </row>
    <row r="216" customFormat="false" ht="15" hidden="false" customHeight="false" outlineLevel="0" collapsed="false">
      <c r="A216" s="53" t="n">
        <v>2</v>
      </c>
      <c r="B216" s="53" t="n">
        <v>28</v>
      </c>
      <c r="C216" s="76" t="s">
        <v>512</v>
      </c>
      <c r="D216" s="53" t="n">
        <v>12</v>
      </c>
      <c r="E216" s="73" t="n">
        <v>3.6</v>
      </c>
      <c r="F216" s="55" t="n">
        <v>1</v>
      </c>
      <c r="G216" s="73" t="n">
        <v>3</v>
      </c>
      <c r="H216" s="55" t="n">
        <v>1</v>
      </c>
      <c r="I216" s="73" t="n">
        <v>2.05</v>
      </c>
      <c r="J216" s="55" t="n">
        <v>2</v>
      </c>
      <c r="K216" s="20"/>
      <c r="L216" s="20"/>
      <c r="M216" s="41" t="n">
        <f aca="false">E216*F216+G216*H216+I216*J216+K216*L216</f>
        <v>10.7</v>
      </c>
      <c r="N216" s="41" t="n">
        <f aca="false">Исходные!$B$15-M216</f>
        <v>1</v>
      </c>
      <c r="O216" s="55" t="n">
        <v>1</v>
      </c>
      <c r="P216" s="53" t="n">
        <f aca="false">(F216+H216+J216+L216)*O216</f>
        <v>4</v>
      </c>
      <c r="Q216" s="74" t="n">
        <f aca="false">M216*O216</f>
        <v>10.7</v>
      </c>
      <c r="R216" s="74" t="n">
        <f aca="false">N216*O216</f>
        <v>1</v>
      </c>
    </row>
    <row r="217" customFormat="false" ht="15" hidden="false" customHeight="false" outlineLevel="0" collapsed="false">
      <c r="A217" s="53" t="n">
        <v>2</v>
      </c>
      <c r="B217" s="53" t="n">
        <v>28</v>
      </c>
      <c r="C217" s="76" t="s">
        <v>512</v>
      </c>
      <c r="D217" s="53" t="n">
        <v>13</v>
      </c>
      <c r="E217" s="73" t="n">
        <v>10.5</v>
      </c>
      <c r="F217" s="55" t="n">
        <v>1</v>
      </c>
      <c r="G217" s="20"/>
      <c r="H217" s="20"/>
      <c r="I217" s="20"/>
      <c r="J217" s="20"/>
      <c r="K217" s="20"/>
      <c r="L217" s="20"/>
      <c r="M217" s="41" t="n">
        <f aca="false">E217*F217+G217*H217+I217*J217+K217*L217</f>
        <v>10.5</v>
      </c>
      <c r="N217" s="41" t="n">
        <f aca="false">Исходные!$B$15-M217</f>
        <v>1.2</v>
      </c>
      <c r="O217" s="55" t="n">
        <v>2</v>
      </c>
      <c r="P217" s="53" t="n">
        <f aca="false">(F217+H217+J217+L217)*O217</f>
        <v>2</v>
      </c>
      <c r="Q217" s="74" t="n">
        <f aca="false">M217*O217</f>
        <v>21</v>
      </c>
      <c r="R217" s="74" t="n">
        <f aca="false">N217*O217</f>
        <v>2.4</v>
      </c>
    </row>
    <row r="218" customFormat="false" ht="15" hidden="false" customHeight="false" outlineLevel="0" collapsed="false">
      <c r="A218" s="53" t="n">
        <v>2</v>
      </c>
      <c r="B218" s="53" t="n">
        <v>28</v>
      </c>
      <c r="C218" s="76" t="s">
        <v>512</v>
      </c>
      <c r="D218" s="53" t="n">
        <v>14</v>
      </c>
      <c r="E218" s="73" t="n">
        <v>2.05</v>
      </c>
      <c r="F218" s="55" t="n">
        <v>2</v>
      </c>
      <c r="G218" s="20"/>
      <c r="H218" s="20"/>
      <c r="I218" s="20"/>
      <c r="J218" s="20"/>
      <c r="K218" s="20"/>
      <c r="L218" s="20"/>
      <c r="M218" s="41" t="n">
        <f aca="false">E218*F218+G218*H218+I218*J218+K218*L218</f>
        <v>4.1</v>
      </c>
      <c r="N218" s="41" t="n">
        <f aca="false">Исходные!$B$15-M218</f>
        <v>7.6</v>
      </c>
      <c r="O218" s="55" t="n">
        <v>1</v>
      </c>
      <c r="P218" s="53" t="n">
        <f aca="false">(F218+H218+J218+L218)*O218</f>
        <v>2</v>
      </c>
      <c r="Q218" s="74" t="n">
        <f aca="false">M218*O218</f>
        <v>4.1</v>
      </c>
      <c r="R218" s="74" t="n">
        <f aca="false">N218*O218</f>
        <v>7.6</v>
      </c>
    </row>
    <row r="219" customFormat="false" ht="15" hidden="false" customHeight="false" outlineLevel="0" collapsed="false">
      <c r="A219" s="53" t="n">
        <v>2</v>
      </c>
      <c r="B219" s="53" t="n">
        <v>25</v>
      </c>
      <c r="C219" s="76" t="s">
        <v>512</v>
      </c>
      <c r="D219" s="53" t="n">
        <v>1</v>
      </c>
      <c r="E219" s="73" t="n">
        <v>11.7</v>
      </c>
      <c r="F219" s="55" t="n">
        <v>1</v>
      </c>
      <c r="G219" s="20"/>
      <c r="H219" s="20"/>
      <c r="I219" s="20"/>
      <c r="J219" s="20"/>
      <c r="K219" s="20"/>
      <c r="L219" s="20"/>
      <c r="M219" s="41" t="n">
        <f aca="false">E219*F219+G219*H219+I219*J219+K219*L219</f>
        <v>11.7</v>
      </c>
      <c r="N219" s="41" t="n">
        <f aca="false">Исходные!$B$15-M219</f>
        <v>0</v>
      </c>
      <c r="O219" s="55" t="n">
        <v>40</v>
      </c>
      <c r="P219" s="53" t="n">
        <f aca="false">(F219+H219+J219+L219)*O219</f>
        <v>40</v>
      </c>
      <c r="Q219" s="74" t="n">
        <f aca="false">M219*O219</f>
        <v>468</v>
      </c>
      <c r="R219" s="74" t="n">
        <f aca="false">N219*O219</f>
        <v>0</v>
      </c>
    </row>
    <row r="220" customFormat="false" ht="15" hidden="false" customHeight="false" outlineLevel="0" collapsed="false">
      <c r="A220" s="53" t="n">
        <v>2</v>
      </c>
      <c r="B220" s="53" t="n">
        <v>25</v>
      </c>
      <c r="C220" s="76" t="s">
        <v>512</v>
      </c>
      <c r="D220" s="53" t="n">
        <v>2</v>
      </c>
      <c r="E220" s="73" t="n">
        <v>4.3</v>
      </c>
      <c r="F220" s="55" t="n">
        <v>2</v>
      </c>
      <c r="G220" s="73" t="n">
        <v>3.065</v>
      </c>
      <c r="H220" s="55" t="n">
        <v>1</v>
      </c>
      <c r="I220" s="20"/>
      <c r="J220" s="20"/>
      <c r="K220" s="20"/>
      <c r="L220" s="20"/>
      <c r="M220" s="41" t="n">
        <f aca="false">E220*F220+G220*H220+I220*J220+K220*L220</f>
        <v>11.665</v>
      </c>
      <c r="N220" s="41" t="n">
        <f aca="false">Исходные!$B$15-M220</f>
        <v>0.0350000000000001</v>
      </c>
      <c r="O220" s="55" t="n">
        <v>1</v>
      </c>
      <c r="P220" s="53" t="n">
        <f aca="false">(F220+H220+J220+L220)*O220</f>
        <v>3</v>
      </c>
      <c r="Q220" s="74" t="n">
        <f aca="false">M220*O220</f>
        <v>11.665</v>
      </c>
      <c r="R220" s="74" t="n">
        <f aca="false">N220*O220</f>
        <v>0.0350000000000001</v>
      </c>
    </row>
    <row r="221" customFormat="false" ht="15" hidden="false" customHeight="false" outlineLevel="0" collapsed="false">
      <c r="A221" s="53" t="n">
        <v>2</v>
      </c>
      <c r="B221" s="53" t="n">
        <v>25</v>
      </c>
      <c r="C221" s="76" t="s">
        <v>512</v>
      </c>
      <c r="D221" s="53" t="n">
        <v>3</v>
      </c>
      <c r="E221" s="73" t="n">
        <v>7.85</v>
      </c>
      <c r="F221" s="55" t="n">
        <v>1</v>
      </c>
      <c r="G221" s="73" t="n">
        <v>3.8</v>
      </c>
      <c r="H221" s="55" t="n">
        <v>1</v>
      </c>
      <c r="I221" s="20"/>
      <c r="J221" s="20"/>
      <c r="K221" s="20"/>
      <c r="L221" s="20"/>
      <c r="M221" s="41" t="n">
        <f aca="false">E221*F221+G221*H221+I221*J221+K221*L221</f>
        <v>11.65</v>
      </c>
      <c r="N221" s="41" t="n">
        <f aca="false">Исходные!$B$15-M221</f>
        <v>0.0500000000000007</v>
      </c>
      <c r="O221" s="55" t="n">
        <v>4</v>
      </c>
      <c r="P221" s="53" t="n">
        <f aca="false">(F221+H221+J221+L221)*O221</f>
        <v>8</v>
      </c>
      <c r="Q221" s="74" t="n">
        <f aca="false">M221*O221</f>
        <v>46.6</v>
      </c>
      <c r="R221" s="74" t="n">
        <f aca="false">N221*O221</f>
        <v>0.200000000000003</v>
      </c>
    </row>
    <row r="222" customFormat="false" ht="15" hidden="false" customHeight="false" outlineLevel="0" collapsed="false">
      <c r="A222" s="53" t="n">
        <v>2</v>
      </c>
      <c r="B222" s="53" t="n">
        <v>25</v>
      </c>
      <c r="C222" s="76" t="s">
        <v>512</v>
      </c>
      <c r="D222" s="53" t="n">
        <v>4</v>
      </c>
      <c r="E222" s="73" t="n">
        <v>3.365</v>
      </c>
      <c r="F222" s="55" t="n">
        <v>2</v>
      </c>
      <c r="G222" s="73" t="n">
        <v>3.065</v>
      </c>
      <c r="H222" s="55" t="n">
        <v>1</v>
      </c>
      <c r="I222" s="73" t="n">
        <v>1.85</v>
      </c>
      <c r="J222" s="55" t="n">
        <v>1</v>
      </c>
      <c r="K222" s="20"/>
      <c r="L222" s="20"/>
      <c r="M222" s="41" t="n">
        <f aca="false">E222*F222+G222*H222+I222*J222+K222*L222</f>
        <v>11.645</v>
      </c>
      <c r="N222" s="41" t="n">
        <f aca="false">Исходные!$B$15-M222</f>
        <v>0.0549999999999997</v>
      </c>
      <c r="O222" s="55" t="n">
        <v>1</v>
      </c>
      <c r="P222" s="53" t="n">
        <f aca="false">(F222+H222+J222+L222)*O222</f>
        <v>4</v>
      </c>
      <c r="Q222" s="74" t="n">
        <f aca="false">M222*O222</f>
        <v>11.645</v>
      </c>
      <c r="R222" s="74" t="n">
        <f aca="false">N222*O222</f>
        <v>0.0549999999999997</v>
      </c>
    </row>
    <row r="223" customFormat="false" ht="15" hidden="false" customHeight="false" outlineLevel="0" collapsed="false">
      <c r="A223" s="53" t="n">
        <v>2</v>
      </c>
      <c r="B223" s="53" t="n">
        <v>25</v>
      </c>
      <c r="C223" s="76" t="s">
        <v>512</v>
      </c>
      <c r="D223" s="53" t="n">
        <v>5</v>
      </c>
      <c r="E223" s="73" t="n">
        <v>4.7</v>
      </c>
      <c r="F223" s="55" t="n">
        <v>2</v>
      </c>
      <c r="G223" s="73" t="n">
        <v>2.21</v>
      </c>
      <c r="H223" s="55" t="n">
        <v>1</v>
      </c>
      <c r="I223" s="20"/>
      <c r="J223" s="20"/>
      <c r="K223" s="20"/>
      <c r="L223" s="20"/>
      <c r="M223" s="41" t="n">
        <f aca="false">E223*F223+G223*H223+I223*J223+K223*L223</f>
        <v>11.61</v>
      </c>
      <c r="N223" s="41" t="n">
        <f aca="false">Исходные!$B$15-M223</f>
        <v>0.0899999999999999</v>
      </c>
      <c r="O223" s="55" t="n">
        <v>1</v>
      </c>
      <c r="P223" s="53" t="n">
        <f aca="false">(F223+H223+J223+L223)*O223</f>
        <v>3</v>
      </c>
      <c r="Q223" s="74" t="n">
        <f aca="false">M223*O223</f>
        <v>11.61</v>
      </c>
      <c r="R223" s="74" t="n">
        <f aca="false">N223*O223</f>
        <v>0.0899999999999999</v>
      </c>
    </row>
    <row r="224" customFormat="false" ht="15" hidden="false" customHeight="false" outlineLevel="0" collapsed="false">
      <c r="A224" s="53" t="n">
        <v>2</v>
      </c>
      <c r="B224" s="53" t="n">
        <v>25</v>
      </c>
      <c r="C224" s="76" t="s">
        <v>512</v>
      </c>
      <c r="D224" s="53" t="n">
        <v>6</v>
      </c>
      <c r="E224" s="73" t="n">
        <v>4.5</v>
      </c>
      <c r="F224" s="55" t="n">
        <v>2</v>
      </c>
      <c r="G224" s="73" t="n">
        <v>2.4</v>
      </c>
      <c r="H224" s="55" t="n">
        <v>1</v>
      </c>
      <c r="I224" s="73" t="n">
        <v>0.2</v>
      </c>
      <c r="J224" s="55" t="n">
        <v>1</v>
      </c>
      <c r="K224" s="20"/>
      <c r="L224" s="20"/>
      <c r="M224" s="41" t="n">
        <f aca="false">E224*F224+G224*H224+I224*J224+K224*L224</f>
        <v>11.6</v>
      </c>
      <c r="N224" s="41" t="n">
        <f aca="false">Исходные!$B$15-M224</f>
        <v>0.0999999999999996</v>
      </c>
      <c r="O224" s="55" t="n">
        <v>1</v>
      </c>
      <c r="P224" s="53" t="n">
        <f aca="false">(F224+H224+J224+L224)*O224</f>
        <v>4</v>
      </c>
      <c r="Q224" s="74" t="n">
        <f aca="false">M224*O224</f>
        <v>11.6</v>
      </c>
      <c r="R224" s="74" t="n">
        <f aca="false">N224*O224</f>
        <v>0.0999999999999996</v>
      </c>
    </row>
    <row r="225" customFormat="false" ht="15" hidden="false" customHeight="false" outlineLevel="0" collapsed="false">
      <c r="A225" s="53" t="n">
        <v>2</v>
      </c>
      <c r="B225" s="53" t="n">
        <v>25</v>
      </c>
      <c r="C225" s="76" t="s">
        <v>512</v>
      </c>
      <c r="D225" s="53" t="n">
        <v>7</v>
      </c>
      <c r="E225" s="73" t="n">
        <v>3.785</v>
      </c>
      <c r="F225" s="55" t="n">
        <v>3</v>
      </c>
      <c r="G225" s="73" t="n">
        <v>0.2</v>
      </c>
      <c r="H225" s="55" t="n">
        <v>1</v>
      </c>
      <c r="I225" s="20"/>
      <c r="J225" s="20"/>
      <c r="K225" s="20"/>
      <c r="L225" s="20"/>
      <c r="M225" s="41" t="n">
        <f aca="false">E225*F225+G225*H225+I225*J225+K225*L225</f>
        <v>11.555</v>
      </c>
      <c r="N225" s="41" t="n">
        <f aca="false">Исходные!$B$15-M225</f>
        <v>0.145</v>
      </c>
      <c r="O225" s="55" t="n">
        <v>1</v>
      </c>
      <c r="P225" s="53" t="n">
        <f aca="false">(F225+H225+J225+L225)*O225</f>
        <v>4</v>
      </c>
      <c r="Q225" s="74" t="n">
        <f aca="false">M225*O225</f>
        <v>11.555</v>
      </c>
      <c r="R225" s="74" t="n">
        <f aca="false">N225*O225</f>
        <v>0.145</v>
      </c>
    </row>
    <row r="226" customFormat="false" ht="15" hidden="false" customHeight="false" outlineLevel="0" collapsed="false">
      <c r="A226" s="53" t="n">
        <v>2</v>
      </c>
      <c r="B226" s="53" t="n">
        <v>25</v>
      </c>
      <c r="C226" s="76" t="s">
        <v>512</v>
      </c>
      <c r="D226" s="53" t="n">
        <v>8</v>
      </c>
      <c r="E226" s="73" t="n">
        <v>8.7</v>
      </c>
      <c r="F226" s="55" t="n">
        <v>1</v>
      </c>
      <c r="G226" s="73" t="n">
        <v>2.4</v>
      </c>
      <c r="H226" s="55" t="n">
        <v>1</v>
      </c>
      <c r="I226" s="73" t="n">
        <v>0.2</v>
      </c>
      <c r="J226" s="55" t="n">
        <v>2</v>
      </c>
      <c r="K226" s="20"/>
      <c r="L226" s="20"/>
      <c r="M226" s="41" t="n">
        <f aca="false">E226*F226+G226*H226+I226*J226+K226*L226</f>
        <v>11.5</v>
      </c>
      <c r="N226" s="41" t="n">
        <f aca="false">Исходные!$B$15-M226</f>
        <v>0.199999999999999</v>
      </c>
      <c r="O226" s="55" t="n">
        <v>1</v>
      </c>
      <c r="P226" s="53" t="n">
        <f aca="false">(F226+H226+J226+L226)*O226</f>
        <v>4</v>
      </c>
      <c r="Q226" s="74" t="n">
        <f aca="false">M226*O226</f>
        <v>11.5</v>
      </c>
      <c r="R226" s="74" t="n">
        <f aca="false">N226*O226</f>
        <v>0.199999999999999</v>
      </c>
    </row>
    <row r="227" customFormat="false" ht="15" hidden="false" customHeight="false" outlineLevel="0" collapsed="false">
      <c r="A227" s="53" t="n">
        <v>2</v>
      </c>
      <c r="B227" s="53" t="n">
        <v>25</v>
      </c>
      <c r="C227" s="76" t="s">
        <v>512</v>
      </c>
      <c r="D227" s="53" t="n">
        <v>9</v>
      </c>
      <c r="E227" s="73" t="n">
        <v>8.7</v>
      </c>
      <c r="F227" s="55" t="n">
        <v>1</v>
      </c>
      <c r="G227" s="73" t="n">
        <v>2.4</v>
      </c>
      <c r="H227" s="55" t="n">
        <v>1</v>
      </c>
      <c r="I227" s="20"/>
      <c r="J227" s="20"/>
      <c r="K227" s="20"/>
      <c r="L227" s="20"/>
      <c r="M227" s="41" t="n">
        <f aca="false">E227*F227+G227*H227+I227*J227+K227*L227</f>
        <v>11.1</v>
      </c>
      <c r="N227" s="41" t="n">
        <f aca="false">Исходные!$B$15-M227</f>
        <v>0.6</v>
      </c>
      <c r="O227" s="55" t="n">
        <v>2</v>
      </c>
      <c r="P227" s="53" t="n">
        <f aca="false">(F227+H227+J227+L227)*O227</f>
        <v>4</v>
      </c>
      <c r="Q227" s="74" t="n">
        <f aca="false">M227*O227</f>
        <v>22.2</v>
      </c>
      <c r="R227" s="74" t="n">
        <f aca="false">N227*O227</f>
        <v>1.2</v>
      </c>
    </row>
    <row r="228" customFormat="false" ht="15" hidden="false" customHeight="false" outlineLevel="0" collapsed="false">
      <c r="A228" s="53" t="n">
        <v>2</v>
      </c>
      <c r="B228" s="53" t="n">
        <v>25</v>
      </c>
      <c r="C228" s="76" t="s">
        <v>512</v>
      </c>
      <c r="D228" s="53" t="n">
        <v>10</v>
      </c>
      <c r="E228" s="73" t="n">
        <v>5.5</v>
      </c>
      <c r="F228" s="55" t="n">
        <v>2</v>
      </c>
      <c r="G228" s="20"/>
      <c r="H228" s="20"/>
      <c r="I228" s="20"/>
      <c r="J228" s="20"/>
      <c r="K228" s="20"/>
      <c r="L228" s="20"/>
      <c r="M228" s="41" t="n">
        <f aca="false">E228*F228+G228*H228+I228*J228+K228*L228</f>
        <v>11</v>
      </c>
      <c r="N228" s="41" t="n">
        <f aca="false">Исходные!$B$15-M228</f>
        <v>0.699999999999999</v>
      </c>
      <c r="O228" s="55" t="n">
        <v>2</v>
      </c>
      <c r="P228" s="53" t="n">
        <f aca="false">(F228+H228+J228+L228)*O228</f>
        <v>4</v>
      </c>
      <c r="Q228" s="74" t="n">
        <f aca="false">M228*O228</f>
        <v>22</v>
      </c>
      <c r="R228" s="74" t="n">
        <f aca="false">N228*O228</f>
        <v>1.4</v>
      </c>
    </row>
    <row r="229" customFormat="false" ht="15" hidden="false" customHeight="false" outlineLevel="0" collapsed="false">
      <c r="A229" s="53" t="n">
        <v>2</v>
      </c>
      <c r="B229" s="53" t="n">
        <v>25</v>
      </c>
      <c r="C229" s="76" t="s">
        <v>512</v>
      </c>
      <c r="D229" s="53" t="n">
        <v>11</v>
      </c>
      <c r="E229" s="73" t="n">
        <v>3.785</v>
      </c>
      <c r="F229" s="55" t="n">
        <v>1</v>
      </c>
      <c r="G229" s="73" t="n">
        <v>3.6</v>
      </c>
      <c r="H229" s="55" t="n">
        <v>2</v>
      </c>
      <c r="I229" s="20"/>
      <c r="J229" s="20"/>
      <c r="K229" s="20"/>
      <c r="L229" s="20"/>
      <c r="M229" s="41" t="n">
        <f aca="false">E229*F229+G229*H229+I229*J229+K229*L229</f>
        <v>10.985</v>
      </c>
      <c r="N229" s="41" t="n">
        <f aca="false">Исходные!$B$15-M229</f>
        <v>0.715</v>
      </c>
      <c r="O229" s="55" t="n">
        <v>1</v>
      </c>
      <c r="P229" s="53" t="n">
        <f aca="false">(F229+H229+J229+L229)*O229</f>
        <v>3</v>
      </c>
      <c r="Q229" s="74" t="n">
        <f aca="false">M229*O229</f>
        <v>10.985</v>
      </c>
      <c r="R229" s="74" t="n">
        <f aca="false">N229*O229</f>
        <v>0.715</v>
      </c>
    </row>
    <row r="230" customFormat="false" ht="15" hidden="false" customHeight="false" outlineLevel="0" collapsed="false">
      <c r="A230" s="53" t="n">
        <v>2</v>
      </c>
      <c r="B230" s="53" t="n">
        <v>25</v>
      </c>
      <c r="C230" s="76" t="s">
        <v>512</v>
      </c>
      <c r="D230" s="53" t="n">
        <v>12</v>
      </c>
      <c r="E230" s="73" t="n">
        <v>8.7</v>
      </c>
      <c r="F230" s="55" t="n">
        <v>1</v>
      </c>
      <c r="G230" s="73" t="n">
        <v>2.21</v>
      </c>
      <c r="H230" s="55" t="n">
        <v>1</v>
      </c>
      <c r="I230" s="20"/>
      <c r="J230" s="20"/>
      <c r="K230" s="20"/>
      <c r="L230" s="20"/>
      <c r="M230" s="41" t="n">
        <f aca="false">E230*F230+G230*H230+I230*J230+K230*L230</f>
        <v>10.91</v>
      </c>
      <c r="N230" s="41" t="n">
        <f aca="false">Исходные!$B$15-M230</f>
        <v>0.789999999999999</v>
      </c>
      <c r="O230" s="55" t="n">
        <v>3</v>
      </c>
      <c r="P230" s="53" t="n">
        <f aca="false">(F230+H230+J230+L230)*O230</f>
        <v>6</v>
      </c>
      <c r="Q230" s="74" t="n">
        <f aca="false">M230*O230</f>
        <v>32.73</v>
      </c>
      <c r="R230" s="74" t="n">
        <f aca="false">N230*O230</f>
        <v>2.37</v>
      </c>
    </row>
    <row r="231" customFormat="false" ht="15" hidden="false" customHeight="false" outlineLevel="0" collapsed="false">
      <c r="A231" s="53" t="n">
        <v>2</v>
      </c>
      <c r="B231" s="53" t="n">
        <v>25</v>
      </c>
      <c r="C231" s="76" t="s">
        <v>512</v>
      </c>
      <c r="D231" s="53" t="n">
        <v>13</v>
      </c>
      <c r="E231" s="73" t="n">
        <v>8.7</v>
      </c>
      <c r="F231" s="55" t="n">
        <v>1</v>
      </c>
      <c r="G231" s="73" t="n">
        <v>2.2</v>
      </c>
      <c r="H231" s="55" t="n">
        <v>1</v>
      </c>
      <c r="I231" s="20"/>
      <c r="J231" s="20"/>
      <c r="K231" s="20"/>
      <c r="L231" s="20"/>
      <c r="M231" s="41" t="n">
        <f aca="false">E231*F231+G231*H231+I231*J231+K231*L231</f>
        <v>10.9</v>
      </c>
      <c r="N231" s="41" t="n">
        <f aca="false">Исходные!$B$15-M231</f>
        <v>0.800000000000001</v>
      </c>
      <c r="O231" s="55" t="n">
        <v>6</v>
      </c>
      <c r="P231" s="53" t="n">
        <f aca="false">(F231+H231+J231+L231)*O231</f>
        <v>12</v>
      </c>
      <c r="Q231" s="74" t="n">
        <f aca="false">M231*O231</f>
        <v>65.4</v>
      </c>
      <c r="R231" s="74" t="n">
        <f aca="false">N231*O231</f>
        <v>4.8</v>
      </c>
    </row>
    <row r="232" customFormat="false" ht="15" hidden="false" customHeight="false" outlineLevel="0" collapsed="false">
      <c r="A232" s="53" t="n">
        <v>2</v>
      </c>
      <c r="B232" s="53" t="n">
        <v>25</v>
      </c>
      <c r="C232" s="76" t="s">
        <v>512</v>
      </c>
      <c r="D232" s="53" t="n">
        <v>14</v>
      </c>
      <c r="E232" s="73" t="n">
        <v>3.6</v>
      </c>
      <c r="F232" s="55" t="n">
        <v>3</v>
      </c>
      <c r="G232" s="20"/>
      <c r="H232" s="20"/>
      <c r="I232" s="20"/>
      <c r="J232" s="20"/>
      <c r="K232" s="20"/>
      <c r="L232" s="20"/>
      <c r="M232" s="41" t="n">
        <f aca="false">E232*F232+G232*H232+I232*J232+K232*L232</f>
        <v>10.8</v>
      </c>
      <c r="N232" s="41" t="n">
        <f aca="false">Исходные!$B$15-M232</f>
        <v>0.899999999999999</v>
      </c>
      <c r="O232" s="55" t="n">
        <v>19</v>
      </c>
      <c r="P232" s="53" t="n">
        <f aca="false">(F232+H232+J232+L232)*O232</f>
        <v>57</v>
      </c>
      <c r="Q232" s="74" t="n">
        <f aca="false">M232*O232</f>
        <v>205.2</v>
      </c>
      <c r="R232" s="74" t="n">
        <f aca="false">N232*O232</f>
        <v>17.1</v>
      </c>
    </row>
    <row r="233" customFormat="false" ht="15" hidden="false" customHeight="false" outlineLevel="0" collapsed="false">
      <c r="A233" s="53" t="n">
        <v>2</v>
      </c>
      <c r="B233" s="53" t="n">
        <v>25</v>
      </c>
      <c r="C233" s="76" t="s">
        <v>512</v>
      </c>
      <c r="D233" s="53" t="n">
        <v>15</v>
      </c>
      <c r="E233" s="73" t="n">
        <v>3.065</v>
      </c>
      <c r="F233" s="55" t="n">
        <v>2</v>
      </c>
      <c r="G233" s="73" t="n">
        <v>2.2</v>
      </c>
      <c r="H233" s="55" t="n">
        <v>2</v>
      </c>
      <c r="I233" s="20"/>
      <c r="J233" s="20"/>
      <c r="K233" s="20"/>
      <c r="L233" s="20"/>
      <c r="M233" s="41" t="n">
        <f aca="false">E233*F233+G233*H233+I233*J233+K233*L233</f>
        <v>10.53</v>
      </c>
      <c r="N233" s="41" t="n">
        <f aca="false">Исходные!$B$15-M233</f>
        <v>1.17</v>
      </c>
      <c r="O233" s="55" t="n">
        <v>1</v>
      </c>
      <c r="P233" s="53" t="n">
        <f aca="false">(F233+H233+J233+L233)*O233</f>
        <v>4</v>
      </c>
      <c r="Q233" s="74" t="n">
        <f aca="false">M233*O233</f>
        <v>10.53</v>
      </c>
      <c r="R233" s="74" t="n">
        <f aca="false">N233*O233</f>
        <v>1.17</v>
      </c>
    </row>
    <row r="234" customFormat="false" ht="15" hidden="false" customHeight="false" outlineLevel="0" collapsed="false">
      <c r="A234" s="53" t="n">
        <v>2</v>
      </c>
      <c r="B234" s="53" t="n">
        <v>25</v>
      </c>
      <c r="C234" s="76" t="s">
        <v>512</v>
      </c>
      <c r="D234" s="53" t="n">
        <v>16</v>
      </c>
      <c r="E234" s="73" t="n">
        <v>3.6</v>
      </c>
      <c r="F234" s="55" t="n">
        <v>1</v>
      </c>
      <c r="G234" s="73" t="n">
        <v>3.365</v>
      </c>
      <c r="H234" s="55" t="n">
        <v>2</v>
      </c>
      <c r="I234" s="20"/>
      <c r="J234" s="20"/>
      <c r="K234" s="20"/>
      <c r="L234" s="20"/>
      <c r="M234" s="41" t="n">
        <f aca="false">E234*F234+G234*H234+I234*J234+K234*L234</f>
        <v>10.33</v>
      </c>
      <c r="N234" s="41" t="n">
        <f aca="false">Исходные!$B$15-M234</f>
        <v>1.37</v>
      </c>
      <c r="O234" s="55" t="n">
        <v>1</v>
      </c>
      <c r="P234" s="53" t="n">
        <f aca="false">(F234+H234+J234+L234)*O234</f>
        <v>3</v>
      </c>
      <c r="Q234" s="74" t="n">
        <f aca="false">M234*O234</f>
        <v>10.33</v>
      </c>
      <c r="R234" s="74" t="n">
        <f aca="false">N234*O234</f>
        <v>1.37</v>
      </c>
    </row>
    <row r="235" customFormat="false" ht="15" hidden="false" customHeight="false" outlineLevel="0" collapsed="false">
      <c r="A235" s="53" t="n">
        <v>2</v>
      </c>
      <c r="B235" s="53" t="n">
        <v>25</v>
      </c>
      <c r="C235" s="76" t="s">
        <v>512</v>
      </c>
      <c r="D235" s="53" t="n">
        <v>17</v>
      </c>
      <c r="E235" s="73" t="n">
        <v>2.05</v>
      </c>
      <c r="F235" s="55" t="n">
        <v>5</v>
      </c>
      <c r="G235" s="20"/>
      <c r="H235" s="20"/>
      <c r="I235" s="20"/>
      <c r="J235" s="20"/>
      <c r="K235" s="20"/>
      <c r="L235" s="20"/>
      <c r="M235" s="41" t="n">
        <f aca="false">E235*F235+G235*H235+I235*J235+K235*L235</f>
        <v>10.25</v>
      </c>
      <c r="N235" s="41" t="n">
        <f aca="false">Исходные!$B$15-M235</f>
        <v>1.45</v>
      </c>
      <c r="O235" s="55" t="n">
        <v>1</v>
      </c>
      <c r="P235" s="53" t="n">
        <f aca="false">(F235+H235+J235+L235)*O235</f>
        <v>5</v>
      </c>
      <c r="Q235" s="74" t="n">
        <f aca="false">M235*O235</f>
        <v>10.25</v>
      </c>
      <c r="R235" s="74" t="n">
        <f aca="false">N235*O235</f>
        <v>1.45</v>
      </c>
    </row>
    <row r="236" customFormat="false" ht="15" hidden="false" customHeight="false" outlineLevel="0" collapsed="false">
      <c r="A236" s="53" t="n">
        <v>2</v>
      </c>
      <c r="B236" s="53" t="n">
        <v>25</v>
      </c>
      <c r="C236" s="76" t="s">
        <v>512</v>
      </c>
      <c r="D236" s="53" t="n">
        <v>18</v>
      </c>
      <c r="E236" s="73" t="n">
        <v>2.05</v>
      </c>
      <c r="F236" s="55" t="n">
        <v>3</v>
      </c>
      <c r="G236" s="73" t="n">
        <v>2</v>
      </c>
      <c r="H236" s="55" t="n">
        <v>2</v>
      </c>
      <c r="I236" s="20"/>
      <c r="J236" s="20"/>
      <c r="K236" s="20"/>
      <c r="L236" s="20"/>
      <c r="M236" s="41" t="n">
        <f aca="false">E236*F236+G236*H236+I236*J236+K236*L236</f>
        <v>10.15</v>
      </c>
      <c r="N236" s="41" t="n">
        <f aca="false">Исходные!$B$15-M236</f>
        <v>1.55</v>
      </c>
      <c r="O236" s="55" t="n">
        <v>1</v>
      </c>
      <c r="P236" s="53" t="n">
        <f aca="false">(F236+H236+J236+L236)*O236</f>
        <v>5</v>
      </c>
      <c r="Q236" s="74" t="n">
        <f aca="false">M236*O236</f>
        <v>10.15</v>
      </c>
      <c r="R236" s="74" t="n">
        <f aca="false">N236*O236</f>
        <v>1.55</v>
      </c>
    </row>
    <row r="237" customFormat="false" ht="15" hidden="false" customHeight="false" outlineLevel="0" collapsed="false">
      <c r="A237" s="53" t="n">
        <v>2</v>
      </c>
      <c r="B237" s="53" t="n">
        <v>25</v>
      </c>
      <c r="C237" s="76" t="s">
        <v>512</v>
      </c>
      <c r="D237" s="53" t="n">
        <v>19</v>
      </c>
      <c r="E237" s="73" t="n">
        <v>2</v>
      </c>
      <c r="F237" s="55" t="n">
        <v>5</v>
      </c>
      <c r="G237" s="20"/>
      <c r="H237" s="20"/>
      <c r="I237" s="20"/>
      <c r="J237" s="20"/>
      <c r="K237" s="20"/>
      <c r="L237" s="20"/>
      <c r="M237" s="41" t="n">
        <f aca="false">E237*F237+G237*H237+I237*J237+K237*L237</f>
        <v>10</v>
      </c>
      <c r="N237" s="41" t="n">
        <f aca="false">Исходные!$B$15-M237</f>
        <v>1.7</v>
      </c>
      <c r="O237" s="55" t="n">
        <v>1</v>
      </c>
      <c r="P237" s="53" t="n">
        <f aca="false">(F237+H237+J237+L237)*O237</f>
        <v>5</v>
      </c>
      <c r="Q237" s="74" t="n">
        <f aca="false">M237*O237</f>
        <v>10</v>
      </c>
      <c r="R237" s="74" t="n">
        <f aca="false">N237*O237</f>
        <v>1.7</v>
      </c>
    </row>
    <row r="238" customFormat="false" ht="15" hidden="false" customHeight="false" outlineLevel="0" collapsed="false">
      <c r="A238" s="53" t="n">
        <v>2</v>
      </c>
      <c r="B238" s="53" t="n">
        <v>25</v>
      </c>
      <c r="C238" s="76" t="s">
        <v>512</v>
      </c>
      <c r="D238" s="53" t="n">
        <v>20</v>
      </c>
      <c r="E238" s="73" t="n">
        <v>2</v>
      </c>
      <c r="F238" s="55" t="n">
        <v>1</v>
      </c>
      <c r="G238" s="73" t="n">
        <v>1.85</v>
      </c>
      <c r="H238" s="55" t="n">
        <v>1</v>
      </c>
      <c r="I238" s="20"/>
      <c r="J238" s="20"/>
      <c r="K238" s="20"/>
      <c r="L238" s="20"/>
      <c r="M238" s="41" t="n">
        <f aca="false">E238*F238+G238*H238+I238*J238+K238*L238</f>
        <v>3.85</v>
      </c>
      <c r="N238" s="41" t="n">
        <f aca="false">Исходные!$B$15-M238</f>
        <v>7.85</v>
      </c>
      <c r="O238" s="55" t="n">
        <v>1</v>
      </c>
      <c r="P238" s="53" t="n">
        <f aca="false">(F238+H238+J238+L238)*O238</f>
        <v>2</v>
      </c>
      <c r="Q238" s="74" t="n">
        <f aca="false">M238*O238</f>
        <v>3.85</v>
      </c>
      <c r="R238" s="74" t="n">
        <f aca="false">N238*O238</f>
        <v>7.85</v>
      </c>
    </row>
    <row r="239" customFormat="false" ht="15" hidden="false" customHeight="false" outlineLevel="0" collapsed="false">
      <c r="A239" s="53" t="n">
        <v>2</v>
      </c>
      <c r="B239" s="53" t="n">
        <v>22</v>
      </c>
      <c r="C239" s="76" t="s">
        <v>512</v>
      </c>
      <c r="D239" s="53" t="n">
        <v>1</v>
      </c>
      <c r="E239" s="73" t="n">
        <v>7.95</v>
      </c>
      <c r="F239" s="55" t="n">
        <v>1</v>
      </c>
      <c r="G239" s="73" t="n">
        <v>3.7</v>
      </c>
      <c r="H239" s="55" t="n">
        <v>1</v>
      </c>
      <c r="I239" s="20"/>
      <c r="J239" s="20"/>
      <c r="K239" s="20"/>
      <c r="L239" s="20"/>
      <c r="M239" s="41" t="n">
        <f aca="false">E239*F239+G239*H239+I239*J239+K239*L239</f>
        <v>11.65</v>
      </c>
      <c r="N239" s="41" t="n">
        <f aca="false">Исходные!$B$15-M239</f>
        <v>0.0499999999999989</v>
      </c>
      <c r="O239" s="55" t="n">
        <v>2</v>
      </c>
      <c r="P239" s="53" t="n">
        <f aca="false">(F239+H239+J239+L239)*O239</f>
        <v>4</v>
      </c>
      <c r="Q239" s="74" t="n">
        <f aca="false">M239*O239</f>
        <v>23.3</v>
      </c>
      <c r="R239" s="74" t="n">
        <f aca="false">N239*O239</f>
        <v>0.0999999999999979</v>
      </c>
    </row>
    <row r="240" customFormat="false" ht="15" hidden="false" customHeight="false" outlineLevel="0" collapsed="false">
      <c r="A240" s="53" t="n">
        <v>2</v>
      </c>
      <c r="B240" s="53" t="n">
        <v>22</v>
      </c>
      <c r="C240" s="76" t="s">
        <v>512</v>
      </c>
      <c r="D240" s="53" t="n">
        <v>2</v>
      </c>
      <c r="E240" s="73" t="n">
        <v>3.6</v>
      </c>
      <c r="F240" s="55" t="n">
        <v>2</v>
      </c>
      <c r="G240" s="73" t="n">
        <v>2.375</v>
      </c>
      <c r="H240" s="55" t="n">
        <v>1</v>
      </c>
      <c r="I240" s="73" t="n">
        <v>2.05</v>
      </c>
      <c r="J240" s="55" t="n">
        <v>1</v>
      </c>
      <c r="K240" s="20"/>
      <c r="L240" s="20"/>
      <c r="M240" s="41" t="n">
        <f aca="false">E240*F240+G240*H240+I240*J240+K240*L240</f>
        <v>11.625</v>
      </c>
      <c r="N240" s="41" t="n">
        <f aca="false">Исходные!$B$15-M240</f>
        <v>0.0749999999999993</v>
      </c>
      <c r="O240" s="55" t="n">
        <v>1</v>
      </c>
      <c r="P240" s="53" t="n">
        <f aca="false">(F240+H240+J240+L240)*O240</f>
        <v>4</v>
      </c>
      <c r="Q240" s="74" t="n">
        <f aca="false">M240*O240</f>
        <v>11.625</v>
      </c>
      <c r="R240" s="74" t="n">
        <f aca="false">N240*O240</f>
        <v>0.0749999999999993</v>
      </c>
    </row>
    <row r="241" customFormat="false" ht="15" hidden="false" customHeight="false" outlineLevel="0" collapsed="false">
      <c r="A241" s="53" t="n">
        <v>2</v>
      </c>
      <c r="B241" s="53" t="n">
        <v>22</v>
      </c>
      <c r="C241" s="76" t="s">
        <v>512</v>
      </c>
      <c r="D241" s="53" t="n">
        <v>3</v>
      </c>
      <c r="E241" s="73" t="n">
        <v>4.2</v>
      </c>
      <c r="F241" s="55" t="n">
        <v>2</v>
      </c>
      <c r="G241" s="73" t="n">
        <v>3.2</v>
      </c>
      <c r="H241" s="55" t="n">
        <v>1</v>
      </c>
      <c r="I241" s="20"/>
      <c r="J241" s="20"/>
      <c r="K241" s="20"/>
      <c r="L241" s="20"/>
      <c r="M241" s="41" t="n">
        <f aca="false">E241*F241+G241*H241+I241*J241+K241*L241</f>
        <v>11.6</v>
      </c>
      <c r="N241" s="41" t="n">
        <f aca="false">Исходные!$B$15-M241</f>
        <v>0.0999999999999979</v>
      </c>
      <c r="O241" s="55" t="n">
        <v>1</v>
      </c>
      <c r="P241" s="53" t="n">
        <f aca="false">(F241+H241+J241+L241)*O241</f>
        <v>3</v>
      </c>
      <c r="Q241" s="74" t="n">
        <f aca="false">M241*O241</f>
        <v>11.6</v>
      </c>
      <c r="R241" s="74" t="n">
        <f aca="false">N241*O241</f>
        <v>0.0999999999999979</v>
      </c>
    </row>
    <row r="242" customFormat="false" ht="15" hidden="false" customHeight="false" outlineLevel="0" collapsed="false">
      <c r="A242" s="53" t="n">
        <v>2</v>
      </c>
      <c r="B242" s="53" t="n">
        <v>22</v>
      </c>
      <c r="C242" s="76" t="s">
        <v>512</v>
      </c>
      <c r="D242" s="53" t="n">
        <v>4</v>
      </c>
      <c r="E242" s="73" t="n">
        <v>7.95</v>
      </c>
      <c r="F242" s="55" t="n">
        <v>1</v>
      </c>
      <c r="G242" s="73" t="n">
        <v>3.6</v>
      </c>
      <c r="H242" s="55" t="n">
        <v>1</v>
      </c>
      <c r="I242" s="20"/>
      <c r="J242" s="20"/>
      <c r="K242" s="20"/>
      <c r="L242" s="20"/>
      <c r="M242" s="41" t="n">
        <f aca="false">E242*F242+G242*H242+I242*J242+K242*L242</f>
        <v>11.55</v>
      </c>
      <c r="N242" s="41" t="n">
        <f aca="false">Исходные!$B$15-M242</f>
        <v>0.149999999999999</v>
      </c>
      <c r="O242" s="55" t="n">
        <v>2</v>
      </c>
      <c r="P242" s="53" t="n">
        <f aca="false">(F242+H242+J242+L242)*O242</f>
        <v>4</v>
      </c>
      <c r="Q242" s="74" t="n">
        <f aca="false">M242*O242</f>
        <v>23.1</v>
      </c>
      <c r="R242" s="74" t="n">
        <f aca="false">N242*O242</f>
        <v>0.299999999999997</v>
      </c>
    </row>
    <row r="243" customFormat="false" ht="15" hidden="false" customHeight="false" outlineLevel="0" collapsed="false">
      <c r="A243" s="53" t="n">
        <v>2</v>
      </c>
      <c r="B243" s="53" t="n">
        <v>22</v>
      </c>
      <c r="C243" s="76" t="s">
        <v>512</v>
      </c>
      <c r="D243" s="53" t="n">
        <v>5</v>
      </c>
      <c r="E243" s="73" t="n">
        <v>4.15</v>
      </c>
      <c r="F243" s="55" t="n">
        <v>2</v>
      </c>
      <c r="G243" s="73" t="n">
        <v>3.2</v>
      </c>
      <c r="H243" s="55" t="n">
        <v>1</v>
      </c>
      <c r="I243" s="20"/>
      <c r="J243" s="20"/>
      <c r="K243" s="20"/>
      <c r="L243" s="20"/>
      <c r="M243" s="41" t="n">
        <f aca="false">E243*F243+G243*H243+I243*J243+K243*L243</f>
        <v>11.5</v>
      </c>
      <c r="N243" s="41" t="n">
        <f aca="false">Исходные!$B$15-M243</f>
        <v>0.199999999999999</v>
      </c>
      <c r="O243" s="55" t="n">
        <v>3</v>
      </c>
      <c r="P243" s="53" t="n">
        <f aca="false">(F243+H243+J243+L243)*O243</f>
        <v>9</v>
      </c>
      <c r="Q243" s="74" t="n">
        <f aca="false">M243*O243</f>
        <v>34.5</v>
      </c>
      <c r="R243" s="74" t="n">
        <f aca="false">N243*O243</f>
        <v>0.599999999999998</v>
      </c>
    </row>
    <row r="244" customFormat="false" ht="15" hidden="false" customHeight="false" outlineLevel="0" collapsed="false">
      <c r="A244" s="53" t="n">
        <v>2</v>
      </c>
      <c r="B244" s="53" t="n">
        <v>22</v>
      </c>
      <c r="C244" s="76" t="s">
        <v>512</v>
      </c>
      <c r="D244" s="53" t="n">
        <v>6</v>
      </c>
      <c r="E244" s="73" t="n">
        <v>4.5</v>
      </c>
      <c r="F244" s="55" t="n">
        <v>2</v>
      </c>
      <c r="G244" s="73" t="n">
        <v>2.4</v>
      </c>
      <c r="H244" s="55" t="n">
        <v>1</v>
      </c>
      <c r="I244" s="20"/>
      <c r="J244" s="20"/>
      <c r="K244" s="20"/>
      <c r="L244" s="20"/>
      <c r="M244" s="41" t="n">
        <f aca="false">E244*F244+G244*H244+I244*J244+K244*L244</f>
        <v>11.4</v>
      </c>
      <c r="N244" s="41" t="n">
        <f aca="false">Исходные!$B$15-M244</f>
        <v>0.299999999999999</v>
      </c>
      <c r="O244" s="55" t="n">
        <v>1</v>
      </c>
      <c r="P244" s="53" t="n">
        <f aca="false">(F244+H244+J244+L244)*O244</f>
        <v>3</v>
      </c>
      <c r="Q244" s="74" t="n">
        <f aca="false">M244*O244</f>
        <v>11.4</v>
      </c>
      <c r="R244" s="74" t="n">
        <f aca="false">N244*O244</f>
        <v>0.299999999999999</v>
      </c>
    </row>
    <row r="245" customFormat="false" ht="15" hidden="false" customHeight="false" outlineLevel="0" collapsed="false">
      <c r="A245" s="53" t="n">
        <v>2</v>
      </c>
      <c r="B245" s="53" t="n">
        <v>22</v>
      </c>
      <c r="C245" s="76" t="s">
        <v>512</v>
      </c>
      <c r="D245" s="53" t="n">
        <v>7</v>
      </c>
      <c r="E245" s="73" t="n">
        <v>3.775</v>
      </c>
      <c r="F245" s="55" t="n">
        <v>3</v>
      </c>
      <c r="G245" s="20"/>
      <c r="H245" s="20"/>
      <c r="I245" s="20"/>
      <c r="J245" s="20"/>
      <c r="K245" s="20"/>
      <c r="L245" s="20"/>
      <c r="M245" s="41" t="n">
        <f aca="false">E245*F245+G245*H245+I245*J245+K245*L245</f>
        <v>11.325</v>
      </c>
      <c r="N245" s="41" t="n">
        <f aca="false">Исходные!$B$15-M245</f>
        <v>0.375</v>
      </c>
      <c r="O245" s="55" t="n">
        <v>1</v>
      </c>
      <c r="P245" s="53" t="n">
        <f aca="false">(F245+H245+J245+L245)*O245</f>
        <v>3</v>
      </c>
      <c r="Q245" s="74" t="n">
        <f aca="false">M245*O245</f>
        <v>11.325</v>
      </c>
      <c r="R245" s="74" t="n">
        <f aca="false">N245*O245</f>
        <v>0.375</v>
      </c>
    </row>
    <row r="246" customFormat="false" ht="15" hidden="false" customHeight="false" outlineLevel="0" collapsed="false">
      <c r="A246" s="53" t="n">
        <v>2</v>
      </c>
      <c r="B246" s="53" t="n">
        <v>22</v>
      </c>
      <c r="C246" s="76" t="s">
        <v>512</v>
      </c>
      <c r="D246" s="53" t="n">
        <v>8</v>
      </c>
      <c r="E246" s="73" t="n">
        <v>2.375</v>
      </c>
      <c r="F246" s="55" t="n">
        <v>1</v>
      </c>
      <c r="G246" s="73" t="n">
        <v>2.175</v>
      </c>
      <c r="H246" s="55" t="n">
        <v>4</v>
      </c>
      <c r="I246" s="20"/>
      <c r="J246" s="20"/>
      <c r="K246" s="20"/>
      <c r="L246" s="20"/>
      <c r="M246" s="41" t="n">
        <f aca="false">E246*F246+G246*H246+I246*J246+K246*L246</f>
        <v>11.075</v>
      </c>
      <c r="N246" s="41" t="n">
        <f aca="false">Исходные!$B$15-M246</f>
        <v>0.625</v>
      </c>
      <c r="O246" s="55" t="n">
        <v>1</v>
      </c>
      <c r="P246" s="53" t="n">
        <f aca="false">(F246+H246+J246+L246)*O246</f>
        <v>5</v>
      </c>
      <c r="Q246" s="74" t="n">
        <f aca="false">M246*O246</f>
        <v>11.075</v>
      </c>
      <c r="R246" s="74" t="n">
        <f aca="false">N246*O246</f>
        <v>0.625</v>
      </c>
    </row>
    <row r="247" customFormat="false" ht="15" hidden="false" customHeight="false" outlineLevel="0" collapsed="false">
      <c r="A247" s="53" t="n">
        <v>2</v>
      </c>
      <c r="B247" s="53" t="n">
        <v>22</v>
      </c>
      <c r="C247" s="76" t="s">
        <v>512</v>
      </c>
      <c r="D247" s="53" t="n">
        <v>9</v>
      </c>
      <c r="E247" s="73" t="n">
        <v>4.3</v>
      </c>
      <c r="F247" s="55" t="n">
        <v>2</v>
      </c>
      <c r="G247" s="73" t="n">
        <v>2.375</v>
      </c>
      <c r="H247" s="55" t="n">
        <v>1</v>
      </c>
      <c r="I247" s="20"/>
      <c r="J247" s="20"/>
      <c r="K247" s="20"/>
      <c r="L247" s="20"/>
      <c r="M247" s="41" t="n">
        <f aca="false">E247*F247+G247*H247+I247*J247+K247*L247</f>
        <v>10.975</v>
      </c>
      <c r="N247" s="41" t="n">
        <f aca="false">Исходные!$B$15-M247</f>
        <v>0.725</v>
      </c>
      <c r="O247" s="55" t="n">
        <v>1</v>
      </c>
      <c r="P247" s="53" t="n">
        <f aca="false">(F247+H247+J247+L247)*O247</f>
        <v>3</v>
      </c>
      <c r="Q247" s="74" t="n">
        <f aca="false">M247*O247</f>
        <v>10.975</v>
      </c>
      <c r="R247" s="74" t="n">
        <f aca="false">N247*O247</f>
        <v>0.725</v>
      </c>
    </row>
    <row r="248" customFormat="false" ht="15" hidden="false" customHeight="false" outlineLevel="0" collapsed="false">
      <c r="A248" s="53" t="n">
        <v>2</v>
      </c>
      <c r="B248" s="53" t="n">
        <v>22</v>
      </c>
      <c r="C248" s="76" t="s">
        <v>512</v>
      </c>
      <c r="D248" s="53" t="n">
        <v>10</v>
      </c>
      <c r="E248" s="73" t="n">
        <v>3.775</v>
      </c>
      <c r="F248" s="55" t="n">
        <v>1</v>
      </c>
      <c r="G248" s="73" t="n">
        <v>3.6</v>
      </c>
      <c r="H248" s="55" t="n">
        <v>2</v>
      </c>
      <c r="I248" s="20"/>
      <c r="J248" s="20"/>
      <c r="K248" s="20"/>
      <c r="L248" s="20"/>
      <c r="M248" s="41" t="n">
        <f aca="false">E248*F248+G248*H248+I248*J248+K248*L248</f>
        <v>10.975</v>
      </c>
      <c r="N248" s="41" t="n">
        <f aca="false">Исходные!$B$15-M248</f>
        <v>0.725</v>
      </c>
      <c r="O248" s="55" t="n">
        <v>1</v>
      </c>
      <c r="P248" s="53" t="n">
        <f aca="false">(F248+H248+J248+L248)*O248</f>
        <v>3</v>
      </c>
      <c r="Q248" s="74" t="n">
        <f aca="false">M248*O248</f>
        <v>10.975</v>
      </c>
      <c r="R248" s="74" t="n">
        <f aca="false">N248*O248</f>
        <v>0.725</v>
      </c>
    </row>
    <row r="249" customFormat="false" ht="15" hidden="false" customHeight="false" outlineLevel="0" collapsed="false">
      <c r="A249" s="53" t="n">
        <v>2</v>
      </c>
      <c r="B249" s="53" t="n">
        <v>22</v>
      </c>
      <c r="C249" s="76" t="s">
        <v>512</v>
      </c>
      <c r="D249" s="53" t="n">
        <v>11</v>
      </c>
      <c r="E249" s="73" t="n">
        <v>2.175</v>
      </c>
      <c r="F249" s="55" t="n">
        <v>5</v>
      </c>
      <c r="G249" s="20"/>
      <c r="H249" s="20"/>
      <c r="I249" s="20"/>
      <c r="J249" s="20"/>
      <c r="K249" s="20"/>
      <c r="L249" s="20"/>
      <c r="M249" s="41" t="n">
        <f aca="false">E249*F249+G249*H249+I249*J249+K249*L249</f>
        <v>10.875</v>
      </c>
      <c r="N249" s="41" t="n">
        <f aca="false">Исходные!$B$15-M249</f>
        <v>0.824999999999999</v>
      </c>
      <c r="O249" s="55" t="n">
        <v>2</v>
      </c>
      <c r="P249" s="53" t="n">
        <f aca="false">(F249+H249+J249+L249)*O249</f>
        <v>10</v>
      </c>
      <c r="Q249" s="74" t="n">
        <f aca="false">M249*O249</f>
        <v>21.75</v>
      </c>
      <c r="R249" s="74" t="n">
        <f aca="false">N249*O249</f>
        <v>1.65</v>
      </c>
    </row>
    <row r="250" customFormat="false" ht="15" hidden="false" customHeight="false" outlineLevel="0" collapsed="false">
      <c r="A250" s="53" t="n">
        <v>2</v>
      </c>
      <c r="B250" s="53" t="n">
        <v>22</v>
      </c>
      <c r="C250" s="76" t="s">
        <v>512</v>
      </c>
      <c r="D250" s="53" t="n">
        <v>12</v>
      </c>
      <c r="E250" s="73" t="n">
        <v>2.175</v>
      </c>
      <c r="F250" s="55" t="n">
        <v>2</v>
      </c>
      <c r="G250" s="73" t="n">
        <v>2.15</v>
      </c>
      <c r="H250" s="55" t="n">
        <v>3</v>
      </c>
      <c r="I250" s="20"/>
      <c r="J250" s="20"/>
      <c r="K250" s="20"/>
      <c r="L250" s="20"/>
      <c r="M250" s="41" t="n">
        <f aca="false">E250*F250+G250*H250+I250*J250+K250*L250</f>
        <v>10.8</v>
      </c>
      <c r="N250" s="41" t="n">
        <f aca="false">Исходные!$B$15-M250</f>
        <v>0.9</v>
      </c>
      <c r="O250" s="55" t="n">
        <v>1</v>
      </c>
      <c r="P250" s="53" t="n">
        <f aca="false">(F250+H250+J250+L250)*O250</f>
        <v>5</v>
      </c>
      <c r="Q250" s="74" t="n">
        <f aca="false">M250*O250</f>
        <v>10.8</v>
      </c>
      <c r="R250" s="74" t="n">
        <f aca="false">N250*O250</f>
        <v>0.9</v>
      </c>
    </row>
    <row r="251" customFormat="false" ht="15" hidden="false" customHeight="false" outlineLevel="0" collapsed="false">
      <c r="A251" s="53" t="n">
        <v>2</v>
      </c>
      <c r="B251" s="53" t="n">
        <v>22</v>
      </c>
      <c r="C251" s="76" t="s">
        <v>512</v>
      </c>
      <c r="D251" s="53" t="n">
        <v>13</v>
      </c>
      <c r="E251" s="73" t="n">
        <v>2.15</v>
      </c>
      <c r="F251" s="55" t="n">
        <v>5</v>
      </c>
      <c r="G251" s="20"/>
      <c r="H251" s="20"/>
      <c r="I251" s="20"/>
      <c r="J251" s="20"/>
      <c r="K251" s="20"/>
      <c r="L251" s="20"/>
      <c r="M251" s="41" t="n">
        <f aca="false">E251*F251+G251*H251+I251*J251+K251*L251</f>
        <v>10.75</v>
      </c>
      <c r="N251" s="41" t="n">
        <f aca="false">Исходные!$B$15-M251</f>
        <v>0.949999999999999</v>
      </c>
      <c r="O251" s="55" t="n">
        <v>2</v>
      </c>
      <c r="P251" s="53" t="n">
        <f aca="false">(F251+H251+J251+L251)*O251</f>
        <v>10</v>
      </c>
      <c r="Q251" s="74" t="n">
        <f aca="false">M251*O251</f>
        <v>21.5</v>
      </c>
      <c r="R251" s="74" t="n">
        <f aca="false">N251*O251</f>
        <v>1.9</v>
      </c>
    </row>
    <row r="252" customFormat="false" ht="15" hidden="false" customHeight="false" outlineLevel="0" collapsed="false">
      <c r="A252" s="53" t="n">
        <v>2</v>
      </c>
      <c r="B252" s="53" t="n">
        <v>22</v>
      </c>
      <c r="C252" s="76" t="s">
        <v>512</v>
      </c>
      <c r="D252" s="53" t="n">
        <v>14</v>
      </c>
      <c r="E252" s="73" t="n">
        <v>4.15</v>
      </c>
      <c r="F252" s="55" t="n">
        <v>2</v>
      </c>
      <c r="G252" s="73" t="n">
        <v>2.375</v>
      </c>
      <c r="H252" s="55" t="n">
        <v>1</v>
      </c>
      <c r="I252" s="20"/>
      <c r="J252" s="20"/>
      <c r="K252" s="20"/>
      <c r="L252" s="20"/>
      <c r="M252" s="41" t="n">
        <f aca="false">E252*F252+G252*H252+I252*J252+K252*L252</f>
        <v>10.675</v>
      </c>
      <c r="N252" s="41" t="n">
        <f aca="false">Исходные!$B$15-M252</f>
        <v>1.025</v>
      </c>
      <c r="O252" s="55" t="n">
        <v>1</v>
      </c>
      <c r="P252" s="53" t="n">
        <f aca="false">(F252+H252+J252+L252)*O252</f>
        <v>3</v>
      </c>
      <c r="Q252" s="74" t="n">
        <f aca="false">M252*O252</f>
        <v>10.675</v>
      </c>
      <c r="R252" s="74" t="n">
        <f aca="false">N252*O252</f>
        <v>1.025</v>
      </c>
    </row>
    <row r="253" customFormat="false" ht="15" hidden="false" customHeight="false" outlineLevel="0" collapsed="false">
      <c r="A253" s="53" t="n">
        <v>2</v>
      </c>
      <c r="B253" s="53" t="n">
        <v>22</v>
      </c>
      <c r="C253" s="76" t="s">
        <v>512</v>
      </c>
      <c r="D253" s="53" t="n">
        <v>15</v>
      </c>
      <c r="E253" s="73" t="n">
        <v>2.15</v>
      </c>
      <c r="F253" s="55" t="n">
        <v>3</v>
      </c>
      <c r="G253" s="73" t="n">
        <v>2.05</v>
      </c>
      <c r="H253" s="55" t="n">
        <v>1</v>
      </c>
      <c r="I253" s="20"/>
      <c r="J253" s="20"/>
      <c r="K253" s="20"/>
      <c r="L253" s="20"/>
      <c r="M253" s="41" t="n">
        <f aca="false">E253*F253+G253*H253+I253*J253+K253*L253</f>
        <v>8.5</v>
      </c>
      <c r="N253" s="41" t="n">
        <f aca="false">Исходные!$B$15-M253</f>
        <v>3.2</v>
      </c>
      <c r="O253" s="55" t="n">
        <v>1</v>
      </c>
      <c r="P253" s="53" t="n">
        <f aca="false">(F253+H253+J253+L253)*O253</f>
        <v>4</v>
      </c>
      <c r="Q253" s="74" t="n">
        <f aca="false">M253*O253</f>
        <v>8.5</v>
      </c>
      <c r="R253" s="74" t="n">
        <f aca="false">N253*O253</f>
        <v>3.2</v>
      </c>
    </row>
    <row r="254" customFormat="false" ht="15" hidden="false" customHeight="false" outlineLevel="0" collapsed="false">
      <c r="A254" s="53" t="n">
        <v>2</v>
      </c>
      <c r="B254" s="53" t="n">
        <v>20</v>
      </c>
      <c r="C254" s="76" t="s">
        <v>512</v>
      </c>
      <c r="D254" s="53" t="n">
        <v>1</v>
      </c>
      <c r="E254" s="73" t="n">
        <v>4.1</v>
      </c>
      <c r="F254" s="55" t="n">
        <v>1</v>
      </c>
      <c r="G254" s="73" t="n">
        <v>3.785</v>
      </c>
      <c r="H254" s="55" t="n">
        <v>2</v>
      </c>
      <c r="I254" s="20"/>
      <c r="J254" s="20"/>
      <c r="K254" s="20"/>
      <c r="L254" s="20"/>
      <c r="M254" s="41" t="n">
        <f aca="false">E254*F254+G254*H254+I254*J254+K254*L254</f>
        <v>11.67</v>
      </c>
      <c r="N254" s="41" t="n">
        <f aca="false">Исходные!$B$15-M254</f>
        <v>0.0299999999999994</v>
      </c>
      <c r="O254" s="55" t="n">
        <v>1</v>
      </c>
      <c r="P254" s="53" t="n">
        <f aca="false">(F254+H254+J254+L254)*O254</f>
        <v>3</v>
      </c>
      <c r="Q254" s="74" t="n">
        <f aca="false">M254*O254</f>
        <v>11.67</v>
      </c>
      <c r="R254" s="74" t="n">
        <f aca="false">N254*O254</f>
        <v>0.0299999999999994</v>
      </c>
    </row>
    <row r="255" customFormat="false" ht="15" hidden="false" customHeight="false" outlineLevel="0" collapsed="false">
      <c r="A255" s="53" t="n">
        <v>2</v>
      </c>
      <c r="B255" s="53" t="n">
        <v>20</v>
      </c>
      <c r="C255" s="76" t="s">
        <v>512</v>
      </c>
      <c r="D255" s="53" t="n">
        <v>2</v>
      </c>
      <c r="E255" s="73" t="n">
        <v>4.7</v>
      </c>
      <c r="F255" s="55" t="n">
        <v>1</v>
      </c>
      <c r="G255" s="73" t="n">
        <v>4.1</v>
      </c>
      <c r="H255" s="55" t="n">
        <v>1</v>
      </c>
      <c r="I255" s="73" t="n">
        <v>2.85</v>
      </c>
      <c r="J255" s="55" t="n">
        <v>1</v>
      </c>
      <c r="K255" s="20"/>
      <c r="L255" s="20"/>
      <c r="M255" s="41" t="n">
        <f aca="false">E255*F255+G255*H255+I255*J255+K255*L255</f>
        <v>11.65</v>
      </c>
      <c r="N255" s="41" t="n">
        <f aca="false">Исходные!$B$15-M255</f>
        <v>0.0499999999999989</v>
      </c>
      <c r="O255" s="55" t="n">
        <v>1</v>
      </c>
      <c r="P255" s="53" t="n">
        <f aca="false">(F255+H255+J255+L255)*O255</f>
        <v>3</v>
      </c>
      <c r="Q255" s="74" t="n">
        <f aca="false">M255*O255</f>
        <v>11.65</v>
      </c>
      <c r="R255" s="74" t="n">
        <f aca="false">N255*O255</f>
        <v>0.0499999999999989</v>
      </c>
    </row>
    <row r="256" customFormat="false" ht="15" hidden="false" customHeight="false" outlineLevel="0" collapsed="false">
      <c r="A256" s="53" t="n">
        <v>2</v>
      </c>
      <c r="B256" s="53" t="n">
        <v>20</v>
      </c>
      <c r="C256" s="76" t="s">
        <v>512</v>
      </c>
      <c r="D256" s="53" t="n">
        <v>3</v>
      </c>
      <c r="E256" s="73" t="n">
        <v>4.1</v>
      </c>
      <c r="F256" s="55" t="n">
        <v>2</v>
      </c>
      <c r="G256" s="73" t="n">
        <v>3.325</v>
      </c>
      <c r="H256" s="55" t="n">
        <v>1</v>
      </c>
      <c r="I256" s="20"/>
      <c r="J256" s="20"/>
      <c r="K256" s="20"/>
      <c r="L256" s="20"/>
      <c r="M256" s="41" t="n">
        <f aca="false">E256*F256+G256*H256+I256*J256+K256*L256</f>
        <v>11.525</v>
      </c>
      <c r="N256" s="41" t="n">
        <f aca="false">Исходные!$B$15-M256</f>
        <v>0.175000000000001</v>
      </c>
      <c r="O256" s="55" t="n">
        <v>1</v>
      </c>
      <c r="P256" s="53" t="n">
        <f aca="false">(F256+H256+J256+L256)*O256</f>
        <v>3</v>
      </c>
      <c r="Q256" s="74" t="n">
        <f aca="false">M256*O256</f>
        <v>11.525</v>
      </c>
      <c r="R256" s="74" t="n">
        <f aca="false">N256*O256</f>
        <v>0.175000000000001</v>
      </c>
    </row>
    <row r="257" customFormat="false" ht="15" hidden="false" customHeight="false" outlineLevel="0" collapsed="false">
      <c r="A257" s="53" t="n">
        <v>2</v>
      </c>
      <c r="B257" s="53" t="n">
        <v>20</v>
      </c>
      <c r="C257" s="76" t="s">
        <v>512</v>
      </c>
      <c r="D257" s="53" t="n">
        <v>4</v>
      </c>
      <c r="E257" s="73" t="n">
        <v>3.05</v>
      </c>
      <c r="F257" s="55" t="n">
        <v>3</v>
      </c>
      <c r="G257" s="73" t="n">
        <v>2.3</v>
      </c>
      <c r="H257" s="55" t="n">
        <v>1</v>
      </c>
      <c r="I257" s="20"/>
      <c r="J257" s="20"/>
      <c r="K257" s="20"/>
      <c r="L257" s="20"/>
      <c r="M257" s="41" t="n">
        <f aca="false">E257*F257+G257*H257+I257*J257+K257*L257</f>
        <v>11.45</v>
      </c>
      <c r="N257" s="41" t="n">
        <f aca="false">Исходные!$B$15-M257</f>
        <v>0.25</v>
      </c>
      <c r="O257" s="55" t="n">
        <v>1</v>
      </c>
      <c r="P257" s="53" t="n">
        <f aca="false">(F257+H257+J257+L257)*O257</f>
        <v>4</v>
      </c>
      <c r="Q257" s="74" t="n">
        <f aca="false">M257*O257</f>
        <v>11.45</v>
      </c>
      <c r="R257" s="74" t="n">
        <f aca="false">N257*O257</f>
        <v>0.25</v>
      </c>
    </row>
    <row r="258" customFormat="false" ht="15" hidden="false" customHeight="false" outlineLevel="0" collapsed="false">
      <c r="A258" s="53" t="n">
        <v>2</v>
      </c>
      <c r="B258" s="53" t="n">
        <v>20</v>
      </c>
      <c r="C258" s="76" t="s">
        <v>512</v>
      </c>
      <c r="D258" s="53" t="n">
        <v>5</v>
      </c>
      <c r="E258" s="73" t="n">
        <v>3.785</v>
      </c>
      <c r="F258" s="55" t="n">
        <v>2</v>
      </c>
      <c r="G258" s="73" t="n">
        <v>3.78</v>
      </c>
      <c r="H258" s="55" t="n">
        <v>1</v>
      </c>
      <c r="I258" s="20"/>
      <c r="J258" s="20"/>
      <c r="K258" s="20"/>
      <c r="L258" s="20"/>
      <c r="M258" s="41" t="n">
        <f aca="false">E258*F258+G258*H258+I258*J258+K258*L258</f>
        <v>11.35</v>
      </c>
      <c r="N258" s="41" t="n">
        <f aca="false">Исходные!$B$15-M258</f>
        <v>0.35</v>
      </c>
      <c r="O258" s="55" t="n">
        <v>1</v>
      </c>
      <c r="P258" s="53" t="n">
        <f aca="false">(F258+H258+J258+L258)*O258</f>
        <v>3</v>
      </c>
      <c r="Q258" s="74" t="n">
        <f aca="false">M258*O258</f>
        <v>11.35</v>
      </c>
      <c r="R258" s="74" t="n">
        <f aca="false">N258*O258</f>
        <v>0.35</v>
      </c>
    </row>
    <row r="259" customFormat="false" ht="15" hidden="false" customHeight="false" outlineLevel="0" collapsed="false">
      <c r="A259" s="53" t="n">
        <v>2</v>
      </c>
      <c r="B259" s="53" t="n">
        <v>20</v>
      </c>
      <c r="C259" s="76" t="s">
        <v>512</v>
      </c>
      <c r="D259" s="53" t="n">
        <v>6</v>
      </c>
      <c r="E259" s="73" t="n">
        <v>3.78</v>
      </c>
      <c r="F259" s="55" t="n">
        <v>3</v>
      </c>
      <c r="G259" s="20"/>
      <c r="H259" s="20"/>
      <c r="I259" s="20"/>
      <c r="J259" s="20"/>
      <c r="K259" s="20"/>
      <c r="L259" s="20"/>
      <c r="M259" s="41" t="n">
        <f aca="false">E259*F259+G259*H259+I259*J259+K259*L259</f>
        <v>11.34</v>
      </c>
      <c r="N259" s="41" t="n">
        <f aca="false">Исходные!$B$15-M259</f>
        <v>0.359999999999999</v>
      </c>
      <c r="O259" s="55" t="n">
        <v>1</v>
      </c>
      <c r="P259" s="53" t="n">
        <f aca="false">(F259+H259+J259+L259)*O259</f>
        <v>3</v>
      </c>
      <c r="Q259" s="74" t="n">
        <f aca="false">M259*O259</f>
        <v>11.34</v>
      </c>
      <c r="R259" s="74" t="n">
        <f aca="false">N259*O259</f>
        <v>0.359999999999999</v>
      </c>
    </row>
    <row r="260" customFormat="false" ht="15" hidden="false" customHeight="false" outlineLevel="0" collapsed="false">
      <c r="A260" s="53" t="n">
        <v>2</v>
      </c>
      <c r="B260" s="53" t="n">
        <v>20</v>
      </c>
      <c r="C260" s="76" t="s">
        <v>512</v>
      </c>
      <c r="D260" s="53" t="n">
        <v>7</v>
      </c>
      <c r="E260" s="73" t="n">
        <v>3</v>
      </c>
      <c r="F260" s="55" t="n">
        <v>3</v>
      </c>
      <c r="G260" s="73" t="n">
        <v>2.3</v>
      </c>
      <c r="H260" s="55" t="n">
        <v>1</v>
      </c>
      <c r="I260" s="20"/>
      <c r="J260" s="20"/>
      <c r="K260" s="20"/>
      <c r="L260" s="20"/>
      <c r="M260" s="41" t="n">
        <f aca="false">E260*F260+G260*H260+I260*J260+K260*L260</f>
        <v>11.3</v>
      </c>
      <c r="N260" s="41" t="n">
        <f aca="false">Исходные!$B$15-M260</f>
        <v>0.399999999999999</v>
      </c>
      <c r="O260" s="55" t="n">
        <v>1</v>
      </c>
      <c r="P260" s="53" t="n">
        <f aca="false">(F260+H260+J260+L260)*O260</f>
        <v>4</v>
      </c>
      <c r="Q260" s="74" t="n">
        <f aca="false">M260*O260</f>
        <v>11.3</v>
      </c>
      <c r="R260" s="74" t="n">
        <f aca="false">N260*O260</f>
        <v>0.399999999999999</v>
      </c>
    </row>
    <row r="261" customFormat="false" ht="15" hidden="false" customHeight="false" outlineLevel="0" collapsed="false">
      <c r="A261" s="53" t="n">
        <v>2</v>
      </c>
      <c r="B261" s="53" t="n">
        <v>20</v>
      </c>
      <c r="C261" s="76" t="s">
        <v>512</v>
      </c>
      <c r="D261" s="53" t="n">
        <v>8</v>
      </c>
      <c r="E261" s="73" t="n">
        <v>3.6</v>
      </c>
      <c r="F261" s="55" t="n">
        <v>3</v>
      </c>
      <c r="G261" s="20"/>
      <c r="H261" s="20"/>
      <c r="I261" s="20"/>
      <c r="J261" s="20"/>
      <c r="K261" s="20"/>
      <c r="L261" s="20"/>
      <c r="M261" s="41" t="n">
        <f aca="false">E261*F261+G261*H261+I261*J261+K261*L261</f>
        <v>10.8</v>
      </c>
      <c r="N261" s="41" t="n">
        <f aca="false">Исходные!$B$15-M261</f>
        <v>0.899999999999999</v>
      </c>
      <c r="O261" s="55" t="n">
        <v>54</v>
      </c>
      <c r="P261" s="53" t="n">
        <f aca="false">(F261+H261+J261+L261)*O261</f>
        <v>162</v>
      </c>
      <c r="Q261" s="74" t="n">
        <f aca="false">M261*O261</f>
        <v>583.2</v>
      </c>
      <c r="R261" s="74" t="n">
        <f aca="false">N261*O261</f>
        <v>48.5999999999999</v>
      </c>
    </row>
    <row r="262" customFormat="false" ht="15" hidden="false" customHeight="false" outlineLevel="0" collapsed="false">
      <c r="A262" s="53" t="n">
        <v>2</v>
      </c>
      <c r="B262" s="53" t="n">
        <v>20</v>
      </c>
      <c r="C262" s="76" t="s">
        <v>512</v>
      </c>
      <c r="D262" s="53" t="n">
        <v>9</v>
      </c>
      <c r="E262" s="73" t="n">
        <v>3.6</v>
      </c>
      <c r="F262" s="55" t="n">
        <v>2</v>
      </c>
      <c r="G262" s="73" t="n">
        <v>3.59</v>
      </c>
      <c r="H262" s="55" t="n">
        <v>1</v>
      </c>
      <c r="I262" s="20"/>
      <c r="J262" s="20"/>
      <c r="K262" s="20"/>
      <c r="L262" s="20"/>
      <c r="M262" s="41" t="n">
        <f aca="false">E262*F262+G262*H262+I262*J262+K262*L262</f>
        <v>10.79</v>
      </c>
      <c r="N262" s="41" t="n">
        <f aca="false">Исходные!$B$15-M262</f>
        <v>0.91</v>
      </c>
      <c r="O262" s="55" t="n">
        <v>1</v>
      </c>
      <c r="P262" s="53" t="n">
        <f aca="false">(F262+H262+J262+L262)*O262</f>
        <v>3</v>
      </c>
      <c r="Q262" s="74" t="n">
        <f aca="false">M262*O262</f>
        <v>10.79</v>
      </c>
      <c r="R262" s="74" t="n">
        <f aca="false">N262*O262</f>
        <v>0.91</v>
      </c>
    </row>
    <row r="263" customFormat="false" ht="15" hidden="false" customHeight="false" outlineLevel="0" collapsed="false">
      <c r="A263" s="53" t="n">
        <v>2</v>
      </c>
      <c r="B263" s="53" t="n">
        <v>20</v>
      </c>
      <c r="C263" s="76" t="s">
        <v>512</v>
      </c>
      <c r="D263" s="53" t="n">
        <v>10</v>
      </c>
      <c r="E263" s="73" t="n">
        <v>3.59</v>
      </c>
      <c r="F263" s="55" t="n">
        <v>3</v>
      </c>
      <c r="G263" s="20"/>
      <c r="H263" s="20"/>
      <c r="I263" s="20"/>
      <c r="J263" s="20"/>
      <c r="K263" s="20"/>
      <c r="L263" s="20"/>
      <c r="M263" s="41" t="n">
        <f aca="false">E263*F263+G263*H263+I263*J263+K263*L263</f>
        <v>10.77</v>
      </c>
      <c r="N263" s="41" t="n">
        <f aca="false">Исходные!$B$15-M263</f>
        <v>0.93</v>
      </c>
      <c r="O263" s="55" t="n">
        <v>1</v>
      </c>
      <c r="P263" s="53" t="n">
        <f aca="false">(F263+H263+J263+L263)*O263</f>
        <v>3</v>
      </c>
      <c r="Q263" s="74" t="n">
        <f aca="false">M263*O263</f>
        <v>10.77</v>
      </c>
      <c r="R263" s="74" t="n">
        <f aca="false">N263*O263</f>
        <v>0.93</v>
      </c>
    </row>
    <row r="264" customFormat="false" ht="15" hidden="false" customHeight="false" outlineLevel="0" collapsed="false">
      <c r="A264" s="53" t="n">
        <v>2</v>
      </c>
      <c r="B264" s="53" t="n">
        <v>20</v>
      </c>
      <c r="C264" s="76" t="s">
        <v>512</v>
      </c>
      <c r="D264" s="53" t="n">
        <v>11</v>
      </c>
      <c r="E264" s="73" t="n">
        <v>3.325</v>
      </c>
      <c r="F264" s="55" t="n">
        <v>3</v>
      </c>
      <c r="G264" s="20"/>
      <c r="H264" s="20"/>
      <c r="I264" s="20"/>
      <c r="J264" s="20"/>
      <c r="K264" s="20"/>
      <c r="L264" s="20"/>
      <c r="M264" s="41" t="n">
        <f aca="false">E264*F264+G264*H264+I264*J264+K264*L264</f>
        <v>9.975</v>
      </c>
      <c r="N264" s="41" t="n">
        <f aca="false">Исходные!$B$15-M264</f>
        <v>1.725</v>
      </c>
      <c r="O264" s="55" t="n">
        <v>1</v>
      </c>
      <c r="P264" s="53" t="n">
        <f aca="false">(F264+H264+J264+L264)*O264</f>
        <v>3</v>
      </c>
      <c r="Q264" s="74" t="n">
        <f aca="false">M264*O264</f>
        <v>9.975</v>
      </c>
      <c r="R264" s="74" t="n">
        <f aca="false">N264*O264</f>
        <v>1.725</v>
      </c>
    </row>
    <row r="265" customFormat="false" ht="15" hidden="false" customHeight="false" outlineLevel="0" collapsed="false">
      <c r="A265" s="53" t="n">
        <v>2</v>
      </c>
      <c r="B265" s="53" t="n">
        <v>20</v>
      </c>
      <c r="C265" s="76" t="s">
        <v>512</v>
      </c>
      <c r="D265" s="53" t="n">
        <v>12</v>
      </c>
      <c r="E265" s="73" t="n">
        <v>3.3</v>
      </c>
      <c r="F265" s="55" t="n">
        <v>2</v>
      </c>
      <c r="G265" s="73" t="n">
        <v>3.05</v>
      </c>
      <c r="H265" s="55" t="n">
        <v>1</v>
      </c>
      <c r="I265" s="20"/>
      <c r="J265" s="20"/>
      <c r="K265" s="20"/>
      <c r="L265" s="20"/>
      <c r="M265" s="41" t="n">
        <f aca="false">E265*F265+G265*H265+I265*J265+K265*L265</f>
        <v>9.65</v>
      </c>
      <c r="N265" s="41" t="n">
        <f aca="false">Исходные!$B$15-M265</f>
        <v>2.05</v>
      </c>
      <c r="O265" s="55" t="n">
        <v>1</v>
      </c>
      <c r="P265" s="53" t="n">
        <f aca="false">(F265+H265+J265+L265)*O265</f>
        <v>3</v>
      </c>
      <c r="Q265" s="74" t="n">
        <f aca="false">M265*O265</f>
        <v>9.65</v>
      </c>
      <c r="R265" s="74" t="n">
        <f aca="false">N265*O265</f>
        <v>2.05</v>
      </c>
    </row>
    <row r="266" customFormat="false" ht="15" hidden="false" customHeight="false" outlineLevel="0" collapsed="false">
      <c r="A266" s="53" t="n">
        <v>2</v>
      </c>
      <c r="B266" s="53" t="n">
        <v>20</v>
      </c>
      <c r="C266" s="76" t="s">
        <v>512</v>
      </c>
      <c r="D266" s="53" t="n">
        <v>13</v>
      </c>
      <c r="E266" s="73" t="n">
        <v>3</v>
      </c>
      <c r="F266" s="55" t="n">
        <v>3</v>
      </c>
      <c r="G266" s="20"/>
      <c r="H266" s="20"/>
      <c r="I266" s="20"/>
      <c r="J266" s="20"/>
      <c r="K266" s="20"/>
      <c r="L266" s="20"/>
      <c r="M266" s="41" t="n">
        <f aca="false">E266*F266+G266*H266+I266*J266+K266*L266</f>
        <v>9</v>
      </c>
      <c r="N266" s="41" t="n">
        <f aca="false">Исходные!$B$15-M266</f>
        <v>2.7</v>
      </c>
      <c r="O266" s="55" t="n">
        <v>2</v>
      </c>
      <c r="P266" s="53" t="n">
        <f aca="false">(F266+H266+J266+L266)*O266</f>
        <v>6</v>
      </c>
      <c r="Q266" s="74" t="n">
        <f aca="false">M266*O266</f>
        <v>18</v>
      </c>
      <c r="R266" s="74" t="n">
        <f aca="false">N266*O266</f>
        <v>5.4</v>
      </c>
    </row>
    <row r="267" customFormat="false" ht="15" hidden="false" customHeight="false" outlineLevel="0" collapsed="false">
      <c r="A267" s="53" t="n">
        <v>2</v>
      </c>
      <c r="B267" s="53" t="n">
        <v>20</v>
      </c>
      <c r="C267" s="76" t="s">
        <v>512</v>
      </c>
      <c r="D267" s="53" t="n">
        <v>14</v>
      </c>
      <c r="E267" s="73" t="n">
        <v>3</v>
      </c>
      <c r="F267" s="55" t="n">
        <v>1</v>
      </c>
      <c r="G267" s="73" t="n">
        <v>2.85</v>
      </c>
      <c r="H267" s="55" t="n">
        <v>1</v>
      </c>
      <c r="I267" s="20"/>
      <c r="J267" s="20"/>
      <c r="K267" s="20"/>
      <c r="L267" s="20"/>
      <c r="M267" s="41" t="n">
        <f aca="false">E267*F267+G267*H267+I267*J267+K267*L267</f>
        <v>5.85</v>
      </c>
      <c r="N267" s="41" t="n">
        <f aca="false">Исходные!$B$15-M267</f>
        <v>5.85</v>
      </c>
      <c r="O267" s="55" t="n">
        <v>1</v>
      </c>
      <c r="P267" s="53" t="n">
        <f aca="false">(F267+H267+J267+L267)*O267</f>
        <v>2</v>
      </c>
      <c r="Q267" s="74" t="n">
        <f aca="false">M267*O267</f>
        <v>5.85</v>
      </c>
      <c r="R267" s="74" t="n">
        <f aca="false">N267*O267</f>
        <v>5.85</v>
      </c>
    </row>
    <row r="268" customFormat="false" ht="15" hidden="false" customHeight="false" outlineLevel="0" collapsed="false">
      <c r="A268" s="53" t="n">
        <v>2</v>
      </c>
      <c r="B268" s="53" t="n">
        <v>18</v>
      </c>
      <c r="C268" s="76" t="s">
        <v>512</v>
      </c>
      <c r="D268" s="53" t="n">
        <v>1</v>
      </c>
      <c r="E268" s="73" t="n">
        <v>11.7</v>
      </c>
      <c r="F268" s="55" t="n">
        <v>1</v>
      </c>
      <c r="G268" s="20"/>
      <c r="H268" s="20"/>
      <c r="I268" s="20"/>
      <c r="J268" s="20"/>
      <c r="K268" s="20"/>
      <c r="L268" s="20"/>
      <c r="M268" s="41" t="n">
        <f aca="false">E268*F268+G268*H268+I268*J268+K268*L268</f>
        <v>11.7</v>
      </c>
      <c r="N268" s="41" t="n">
        <f aca="false">Исходные!$B$15-M268</f>
        <v>0</v>
      </c>
      <c r="O268" s="55" t="n">
        <v>26</v>
      </c>
      <c r="P268" s="53" t="n">
        <f aca="false">(F268+H268+J268+L268)*O268</f>
        <v>26</v>
      </c>
      <c r="Q268" s="74" t="n">
        <f aca="false">M268*O268</f>
        <v>304.2</v>
      </c>
      <c r="R268" s="74" t="n">
        <f aca="false">N268*O268</f>
        <v>0</v>
      </c>
    </row>
    <row r="269" customFormat="false" ht="15" hidden="false" customHeight="false" outlineLevel="0" collapsed="false">
      <c r="A269" s="53" t="n">
        <v>2</v>
      </c>
      <c r="B269" s="53" t="n">
        <v>18</v>
      </c>
      <c r="C269" s="76" t="s">
        <v>512</v>
      </c>
      <c r="D269" s="53" t="n">
        <v>2</v>
      </c>
      <c r="E269" s="73" t="n">
        <v>6.109</v>
      </c>
      <c r="F269" s="55" t="n">
        <v>1</v>
      </c>
      <c r="G269" s="73" t="n">
        <v>3.744</v>
      </c>
      <c r="H269" s="55" t="n">
        <v>1</v>
      </c>
      <c r="I269" s="73" t="n">
        <v>1.7</v>
      </c>
      <c r="J269" s="55" t="n">
        <v>1</v>
      </c>
      <c r="K269" s="20"/>
      <c r="L269" s="20"/>
      <c r="M269" s="41" t="n">
        <f aca="false">E269*F269+G269*H269+I269*J269+K269*L269</f>
        <v>11.553</v>
      </c>
      <c r="N269" s="41" t="n">
        <f aca="false">Исходные!$B$15-M269</f>
        <v>0.147</v>
      </c>
      <c r="O269" s="55" t="n">
        <v>1</v>
      </c>
      <c r="P269" s="53" t="n">
        <f aca="false">(F269+H269+J269+L269)*O269</f>
        <v>3</v>
      </c>
      <c r="Q269" s="74" t="n">
        <f aca="false">M269*O269</f>
        <v>11.553</v>
      </c>
      <c r="R269" s="74" t="n">
        <f aca="false">N269*O269</f>
        <v>0.147</v>
      </c>
    </row>
    <row r="270" customFormat="false" ht="15" hidden="false" customHeight="false" outlineLevel="0" collapsed="false">
      <c r="A270" s="53" t="n">
        <v>2</v>
      </c>
      <c r="B270" s="53" t="n">
        <v>18</v>
      </c>
      <c r="C270" s="76" t="s">
        <v>512</v>
      </c>
      <c r="D270" s="53" t="n">
        <v>3</v>
      </c>
      <c r="E270" s="73" t="n">
        <v>6.109</v>
      </c>
      <c r="F270" s="55" t="n">
        <v>1</v>
      </c>
      <c r="G270" s="73" t="n">
        <v>3</v>
      </c>
      <c r="H270" s="55" t="n">
        <v>1</v>
      </c>
      <c r="I270" s="73" t="n">
        <v>2.388</v>
      </c>
      <c r="J270" s="55" t="n">
        <v>1</v>
      </c>
      <c r="K270" s="20"/>
      <c r="L270" s="20"/>
      <c r="M270" s="41" t="n">
        <f aca="false">E270*F270+G270*H270+I270*J270+K270*L270</f>
        <v>11.497</v>
      </c>
      <c r="N270" s="41" t="n">
        <f aca="false">Исходные!$B$15-M270</f>
        <v>0.202999999999999</v>
      </c>
      <c r="O270" s="55" t="n">
        <v>1</v>
      </c>
      <c r="P270" s="53" t="n">
        <f aca="false">(F270+H270+J270+L270)*O270</f>
        <v>3</v>
      </c>
      <c r="Q270" s="74" t="n">
        <f aca="false">M270*O270</f>
        <v>11.497</v>
      </c>
      <c r="R270" s="74" t="n">
        <f aca="false">N270*O270</f>
        <v>0.202999999999999</v>
      </c>
    </row>
    <row r="271" customFormat="false" ht="15" hidden="false" customHeight="false" outlineLevel="0" collapsed="false">
      <c r="A271" s="53" t="n">
        <v>2</v>
      </c>
      <c r="B271" s="53" t="n">
        <v>18</v>
      </c>
      <c r="C271" s="76" t="s">
        <v>512</v>
      </c>
      <c r="D271" s="53" t="n">
        <v>4</v>
      </c>
      <c r="E271" s="73" t="n">
        <v>8.944</v>
      </c>
      <c r="F271" s="55" t="n">
        <v>1</v>
      </c>
      <c r="G271" s="73" t="n">
        <v>2.388</v>
      </c>
      <c r="H271" s="55" t="n">
        <v>1</v>
      </c>
      <c r="I271" s="20"/>
      <c r="J271" s="20"/>
      <c r="K271" s="20"/>
      <c r="L271" s="20"/>
      <c r="M271" s="41" t="n">
        <f aca="false">E271*F271+G271*H271+I271*J271+K271*L271</f>
        <v>11.332</v>
      </c>
      <c r="N271" s="41" t="n">
        <f aca="false">Исходные!$B$15-M271</f>
        <v>0.367999999999999</v>
      </c>
      <c r="O271" s="55" t="n">
        <v>7</v>
      </c>
      <c r="P271" s="53" t="n">
        <f aca="false">(F271+H271+J271+L271)*O271</f>
        <v>14</v>
      </c>
      <c r="Q271" s="74" t="n">
        <f aca="false">M271*O271</f>
        <v>79.324</v>
      </c>
      <c r="R271" s="74" t="n">
        <f aca="false">N271*O271</f>
        <v>2.57599999999999</v>
      </c>
    </row>
    <row r="272" customFormat="false" ht="15" hidden="false" customHeight="false" outlineLevel="0" collapsed="false">
      <c r="A272" s="53" t="n">
        <v>2</v>
      </c>
      <c r="B272" s="53" t="n">
        <v>18</v>
      </c>
      <c r="C272" s="76" t="s">
        <v>512</v>
      </c>
      <c r="D272" s="53" t="n">
        <v>5</v>
      </c>
      <c r="E272" s="73" t="n">
        <v>6.109</v>
      </c>
      <c r="F272" s="55" t="n">
        <v>1</v>
      </c>
      <c r="G272" s="73" t="n">
        <v>4.95</v>
      </c>
      <c r="H272" s="55" t="n">
        <v>1</v>
      </c>
      <c r="I272" s="20"/>
      <c r="J272" s="20"/>
      <c r="K272" s="20"/>
      <c r="L272" s="20"/>
      <c r="M272" s="41" t="n">
        <f aca="false">E272*F272+G272*H272+I272*J272+K272*L272</f>
        <v>11.059</v>
      </c>
      <c r="N272" s="41" t="n">
        <f aca="false">Исходные!$B$15-M272</f>
        <v>0.640999999999998</v>
      </c>
      <c r="O272" s="55" t="n">
        <v>2</v>
      </c>
      <c r="P272" s="53" t="n">
        <f aca="false">(F272+H272+J272+L272)*O272</f>
        <v>4</v>
      </c>
      <c r="Q272" s="74" t="n">
        <f aca="false">M272*O272</f>
        <v>22.118</v>
      </c>
      <c r="R272" s="74" t="n">
        <f aca="false">N272*O272</f>
        <v>1.282</v>
      </c>
    </row>
    <row r="273" customFormat="false" ht="15" hidden="false" customHeight="false" outlineLevel="0" collapsed="false">
      <c r="A273" s="53" t="n">
        <v>2</v>
      </c>
      <c r="B273" s="53" t="n">
        <v>18</v>
      </c>
      <c r="C273" s="76" t="s">
        <v>512</v>
      </c>
      <c r="D273" s="53" t="n">
        <v>6</v>
      </c>
      <c r="E273" s="73" t="n">
        <v>6.109</v>
      </c>
      <c r="F273" s="55" t="n">
        <v>1</v>
      </c>
      <c r="G273" s="73" t="n">
        <v>3.744</v>
      </c>
      <c r="H273" s="55" t="n">
        <v>1</v>
      </c>
      <c r="I273" s="73" t="n">
        <v>1.2</v>
      </c>
      <c r="J273" s="55" t="n">
        <v>1</v>
      </c>
      <c r="K273" s="20"/>
      <c r="L273" s="20"/>
      <c r="M273" s="41" t="n">
        <f aca="false">E273*F273+G273*H273+I273*J273+K273*L273</f>
        <v>11.053</v>
      </c>
      <c r="N273" s="41" t="n">
        <f aca="false">Исходные!$B$15-M273</f>
        <v>0.647</v>
      </c>
      <c r="O273" s="55" t="n">
        <v>20</v>
      </c>
      <c r="P273" s="53" t="n">
        <f aca="false">(F273+H273+J273+L273)*O273</f>
        <v>60</v>
      </c>
      <c r="Q273" s="74" t="n">
        <f aca="false">M273*O273</f>
        <v>221.06</v>
      </c>
      <c r="R273" s="74" t="n">
        <f aca="false">N273*O273</f>
        <v>12.94</v>
      </c>
    </row>
    <row r="274" customFormat="false" ht="15" hidden="false" customHeight="false" outlineLevel="0" collapsed="false">
      <c r="A274" s="53" t="n">
        <v>2</v>
      </c>
      <c r="B274" s="53" t="n">
        <v>18</v>
      </c>
      <c r="C274" s="76" t="s">
        <v>512</v>
      </c>
      <c r="D274" s="53" t="n">
        <v>7</v>
      </c>
      <c r="E274" s="73" t="n">
        <v>6.109</v>
      </c>
      <c r="F274" s="55" t="n">
        <v>1</v>
      </c>
      <c r="G274" s="73" t="n">
        <v>4.8</v>
      </c>
      <c r="H274" s="55" t="n">
        <v>1</v>
      </c>
      <c r="I274" s="20"/>
      <c r="J274" s="20"/>
      <c r="K274" s="20"/>
      <c r="L274" s="20"/>
      <c r="M274" s="41" t="n">
        <f aca="false">E274*F274+G274*H274+I274*J274+K274*L274</f>
        <v>10.909</v>
      </c>
      <c r="N274" s="41" t="n">
        <f aca="false">Исходные!$B$15-M274</f>
        <v>0.791</v>
      </c>
      <c r="O274" s="55" t="n">
        <v>1</v>
      </c>
      <c r="P274" s="53" t="n">
        <f aca="false">(F274+H274+J274+L274)*O274</f>
        <v>2</v>
      </c>
      <c r="Q274" s="74" t="n">
        <f aca="false">M274*O274</f>
        <v>10.909</v>
      </c>
      <c r="R274" s="74" t="n">
        <f aca="false">N274*O274</f>
        <v>0.791</v>
      </c>
    </row>
    <row r="275" customFormat="false" ht="15" hidden="false" customHeight="false" outlineLevel="0" collapsed="false">
      <c r="A275" s="53" t="n">
        <v>2</v>
      </c>
      <c r="B275" s="53" t="n">
        <v>18</v>
      </c>
      <c r="C275" s="76" t="s">
        <v>512</v>
      </c>
      <c r="D275" s="53" t="n">
        <v>8</v>
      </c>
      <c r="E275" s="73" t="n">
        <v>6.109</v>
      </c>
      <c r="F275" s="55" t="n">
        <v>1</v>
      </c>
      <c r="G275" s="73" t="n">
        <v>3.744</v>
      </c>
      <c r="H275" s="55" t="n">
        <v>1</v>
      </c>
      <c r="I275" s="20"/>
      <c r="J275" s="20"/>
      <c r="K275" s="20"/>
      <c r="L275" s="20"/>
      <c r="M275" s="41" t="n">
        <f aca="false">E275*F275+G275*H275+I275*J275+K275*L275</f>
        <v>9.853</v>
      </c>
      <c r="N275" s="41" t="n">
        <f aca="false">Исходные!$B$15-M275</f>
        <v>1.847</v>
      </c>
      <c r="O275" s="55" t="n">
        <v>11</v>
      </c>
      <c r="P275" s="53" t="n">
        <f aca="false">(F275+H275+J275+L275)*O275</f>
        <v>22</v>
      </c>
      <c r="Q275" s="74" t="n">
        <f aca="false">M275*O275</f>
        <v>108.383</v>
      </c>
      <c r="R275" s="74" t="n">
        <f aca="false">N275*O275</f>
        <v>20.317</v>
      </c>
    </row>
    <row r="276" customFormat="false" ht="15" hidden="false" customHeight="false" outlineLevel="0" collapsed="false">
      <c r="A276" s="53" t="n">
        <v>2</v>
      </c>
      <c r="B276" s="53" t="n">
        <v>18</v>
      </c>
      <c r="C276" s="76" t="s">
        <v>512</v>
      </c>
      <c r="D276" s="53" t="n">
        <v>9</v>
      </c>
      <c r="E276" s="73" t="n">
        <v>8.944</v>
      </c>
      <c r="F276" s="55" t="n">
        <v>1</v>
      </c>
      <c r="G276" s="20"/>
      <c r="H276" s="20"/>
      <c r="I276" s="20"/>
      <c r="J276" s="20"/>
      <c r="K276" s="20"/>
      <c r="L276" s="20"/>
      <c r="M276" s="41" t="n">
        <f aca="false">E276*F276+G276*H276+I276*J276+K276*L276</f>
        <v>8.944</v>
      </c>
      <c r="N276" s="41" t="n">
        <f aca="false">Исходные!$B$15-M276</f>
        <v>2.756</v>
      </c>
      <c r="O276" s="55" t="n">
        <v>3</v>
      </c>
      <c r="P276" s="53" t="n">
        <f aca="false">(F276+H276+J276+L276)*O276</f>
        <v>3</v>
      </c>
      <c r="Q276" s="74" t="n">
        <f aca="false">M276*O276</f>
        <v>26.832</v>
      </c>
      <c r="R276" s="74" t="n">
        <f aca="false">N276*O276</f>
        <v>8.268</v>
      </c>
    </row>
    <row r="277" customFormat="false" ht="15" hidden="false" customHeight="false" outlineLevel="0" collapsed="false">
      <c r="A277" s="53" t="n">
        <v>2</v>
      </c>
      <c r="B277" s="53" t="n">
        <v>16</v>
      </c>
      <c r="C277" s="76" t="s">
        <v>512</v>
      </c>
      <c r="D277" s="53" t="n">
        <v>1</v>
      </c>
      <c r="E277" s="73" t="n">
        <v>11.7</v>
      </c>
      <c r="F277" s="55" t="n">
        <v>1</v>
      </c>
      <c r="G277" s="20"/>
      <c r="H277" s="20"/>
      <c r="I277" s="20"/>
      <c r="J277" s="20"/>
      <c r="K277" s="20"/>
      <c r="L277" s="20"/>
      <c r="M277" s="41" t="n">
        <f aca="false">E277*F277+G277*H277+I277*J277+K277*L277</f>
        <v>11.7</v>
      </c>
      <c r="N277" s="41" t="n">
        <f aca="false">Исходные!$B$15-M277</f>
        <v>0</v>
      </c>
      <c r="O277" s="55" t="n">
        <v>26</v>
      </c>
      <c r="P277" s="53" t="n">
        <f aca="false">(F277+H277+J277+L277)*O277</f>
        <v>26</v>
      </c>
      <c r="Q277" s="74" t="n">
        <f aca="false">M277*O277</f>
        <v>304.2</v>
      </c>
      <c r="R277" s="74" t="n">
        <f aca="false">N277*O277</f>
        <v>0</v>
      </c>
    </row>
    <row r="278" customFormat="false" ht="15" hidden="false" customHeight="false" outlineLevel="0" collapsed="false">
      <c r="A278" s="53" t="n">
        <v>2</v>
      </c>
      <c r="B278" s="53" t="n">
        <v>16</v>
      </c>
      <c r="C278" s="76" t="s">
        <v>512</v>
      </c>
      <c r="D278" s="53" t="n">
        <v>2</v>
      </c>
      <c r="E278" s="73" t="n">
        <v>9.45</v>
      </c>
      <c r="F278" s="55" t="n">
        <v>1</v>
      </c>
      <c r="G278" s="73" t="n">
        <v>2.25</v>
      </c>
      <c r="H278" s="55" t="n">
        <v>1</v>
      </c>
      <c r="I278" s="20"/>
      <c r="J278" s="20"/>
      <c r="K278" s="20"/>
      <c r="L278" s="20"/>
      <c r="M278" s="41" t="n">
        <f aca="false">E278*F278+G278*H278+I278*J278+K278*L278</f>
        <v>11.7</v>
      </c>
      <c r="N278" s="41" t="n">
        <f aca="false">Исходные!$B$15-M278</f>
        <v>0</v>
      </c>
      <c r="O278" s="55" t="n">
        <v>2</v>
      </c>
      <c r="P278" s="53" t="n">
        <f aca="false">(F278+H278+J278+L278)*O278</f>
        <v>4</v>
      </c>
      <c r="Q278" s="74" t="n">
        <f aca="false">M278*O278</f>
        <v>23.4</v>
      </c>
      <c r="R278" s="74" t="n">
        <f aca="false">N278*O278</f>
        <v>0</v>
      </c>
    </row>
    <row r="279" customFormat="false" ht="15" hidden="false" customHeight="false" outlineLevel="0" collapsed="false">
      <c r="A279" s="53" t="n">
        <v>2</v>
      </c>
      <c r="B279" s="53" t="n">
        <v>16</v>
      </c>
      <c r="C279" s="76" t="s">
        <v>512</v>
      </c>
      <c r="D279" s="53" t="n">
        <v>3</v>
      </c>
      <c r="E279" s="73" t="n">
        <v>1.95</v>
      </c>
      <c r="F279" s="55" t="n">
        <v>6</v>
      </c>
      <c r="G279" s="20"/>
      <c r="H279" s="20"/>
      <c r="I279" s="20"/>
      <c r="J279" s="20"/>
      <c r="K279" s="20"/>
      <c r="L279" s="20"/>
      <c r="M279" s="41" t="n">
        <f aca="false">E279*F279+G279*H279+I279*J279+K279*L279</f>
        <v>11.7</v>
      </c>
      <c r="N279" s="41" t="n">
        <f aca="false">Исходные!$B$15-M279</f>
        <v>0</v>
      </c>
      <c r="O279" s="55" t="n">
        <v>1</v>
      </c>
      <c r="P279" s="53" t="n">
        <f aca="false">(F279+H279+J279+L279)*O279</f>
        <v>6</v>
      </c>
      <c r="Q279" s="74" t="n">
        <f aca="false">M279*O279</f>
        <v>11.7</v>
      </c>
      <c r="R279" s="74" t="n">
        <f aca="false">N279*O279</f>
        <v>0</v>
      </c>
    </row>
    <row r="280" customFormat="false" ht="15" hidden="false" customHeight="false" outlineLevel="0" collapsed="false">
      <c r="A280" s="53" t="n">
        <v>2</v>
      </c>
      <c r="B280" s="53" t="n">
        <v>16</v>
      </c>
      <c r="C280" s="76" t="s">
        <v>512</v>
      </c>
      <c r="D280" s="53" t="n">
        <v>4</v>
      </c>
      <c r="E280" s="73" t="n">
        <v>6.5</v>
      </c>
      <c r="F280" s="55" t="n">
        <v>1</v>
      </c>
      <c r="G280" s="73" t="n">
        <v>3.728</v>
      </c>
      <c r="H280" s="55" t="n">
        <v>1</v>
      </c>
      <c r="I280" s="73" t="n">
        <v>1.45</v>
      </c>
      <c r="J280" s="55" t="n">
        <v>1</v>
      </c>
      <c r="K280" s="20"/>
      <c r="L280" s="20"/>
      <c r="M280" s="41" t="n">
        <f aca="false">E280*F280+G280*H280+I280*J280+K280*L280</f>
        <v>11.678</v>
      </c>
      <c r="N280" s="41" t="n">
        <f aca="false">Исходные!$B$15-M280</f>
        <v>0.0220000000000002</v>
      </c>
      <c r="O280" s="55" t="n">
        <v>4</v>
      </c>
      <c r="P280" s="53" t="n">
        <f aca="false">(F280+H280+J280+L280)*O280</f>
        <v>12</v>
      </c>
      <c r="Q280" s="74" t="n">
        <f aca="false">M280*O280</f>
        <v>46.712</v>
      </c>
      <c r="R280" s="74" t="n">
        <f aca="false">N280*O280</f>
        <v>0.088000000000001</v>
      </c>
    </row>
    <row r="281" customFormat="false" ht="15" hidden="false" customHeight="false" outlineLevel="0" collapsed="false">
      <c r="A281" s="53" t="n">
        <v>2</v>
      </c>
      <c r="B281" s="53" t="n">
        <v>16</v>
      </c>
      <c r="C281" s="76" t="s">
        <v>512</v>
      </c>
      <c r="D281" s="53" t="n">
        <v>5</v>
      </c>
      <c r="E281" s="73" t="n">
        <v>3.6</v>
      </c>
      <c r="F281" s="55" t="n">
        <v>2</v>
      </c>
      <c r="G281" s="73" t="n">
        <v>3</v>
      </c>
      <c r="H281" s="55" t="n">
        <v>1</v>
      </c>
      <c r="I281" s="73" t="n">
        <v>1.45</v>
      </c>
      <c r="J281" s="55" t="n">
        <v>1</v>
      </c>
      <c r="K281" s="20"/>
      <c r="L281" s="20"/>
      <c r="M281" s="41" t="n">
        <f aca="false">E281*F281+G281*H281+I281*J281+K281*L281</f>
        <v>11.65</v>
      </c>
      <c r="N281" s="41" t="n">
        <f aca="false">Исходные!$B$15-M281</f>
        <v>0.0500000000000007</v>
      </c>
      <c r="O281" s="55" t="n">
        <v>1</v>
      </c>
      <c r="P281" s="53" t="n">
        <f aca="false">(F281+H281+J281+L281)*O281</f>
        <v>4</v>
      </c>
      <c r="Q281" s="74" t="n">
        <f aca="false">M281*O281</f>
        <v>11.65</v>
      </c>
      <c r="R281" s="74" t="n">
        <f aca="false">N281*O281</f>
        <v>0.0500000000000007</v>
      </c>
    </row>
    <row r="282" customFormat="false" ht="15" hidden="false" customHeight="false" outlineLevel="0" collapsed="false">
      <c r="A282" s="53" t="n">
        <v>2</v>
      </c>
      <c r="B282" s="53" t="n">
        <v>16</v>
      </c>
      <c r="C282" s="76" t="s">
        <v>512</v>
      </c>
      <c r="D282" s="53" t="n">
        <v>6</v>
      </c>
      <c r="E282" s="73" t="n">
        <v>2.9</v>
      </c>
      <c r="F282" s="55" t="n">
        <v>4</v>
      </c>
      <c r="G282" s="20"/>
      <c r="H282" s="20"/>
      <c r="I282" s="20"/>
      <c r="J282" s="20"/>
      <c r="K282" s="20"/>
      <c r="L282" s="20"/>
      <c r="M282" s="41" t="n">
        <f aca="false">E282*F282+G282*H282+I282*J282+K282*L282</f>
        <v>11.6</v>
      </c>
      <c r="N282" s="41" t="n">
        <f aca="false">Исходные!$B$15-M282</f>
        <v>0.0999999999999996</v>
      </c>
      <c r="O282" s="55" t="n">
        <v>2</v>
      </c>
      <c r="P282" s="53" t="n">
        <f aca="false">(F282+H282+J282+L282)*O282</f>
        <v>8</v>
      </c>
      <c r="Q282" s="74" t="n">
        <f aca="false">M282*O282</f>
        <v>23.2</v>
      </c>
      <c r="R282" s="74" t="n">
        <f aca="false">N282*O282</f>
        <v>0.199999999999999</v>
      </c>
    </row>
    <row r="283" customFormat="false" ht="15" hidden="false" customHeight="false" outlineLevel="0" collapsed="false">
      <c r="A283" s="53" t="n">
        <v>2</v>
      </c>
      <c r="B283" s="53" t="n">
        <v>16</v>
      </c>
      <c r="C283" s="76" t="s">
        <v>512</v>
      </c>
      <c r="D283" s="53" t="n">
        <v>7</v>
      </c>
      <c r="E283" s="73" t="n">
        <v>2.05</v>
      </c>
      <c r="F283" s="55" t="n">
        <v>3</v>
      </c>
      <c r="G283" s="73" t="n">
        <v>1.95</v>
      </c>
      <c r="H283" s="55" t="n">
        <v>2</v>
      </c>
      <c r="I283" s="73" t="n">
        <v>1.45</v>
      </c>
      <c r="J283" s="55" t="n">
        <v>1</v>
      </c>
      <c r="K283" s="20"/>
      <c r="L283" s="20"/>
      <c r="M283" s="41" t="n">
        <f aca="false">E283*F283+G283*H283+I283*J283+K283*L283</f>
        <v>11.5</v>
      </c>
      <c r="N283" s="41" t="n">
        <f aca="false">Исходные!$B$15-M283</f>
        <v>0.200000000000001</v>
      </c>
      <c r="O283" s="55" t="n">
        <v>1</v>
      </c>
      <c r="P283" s="53" t="n">
        <f aca="false">(F283+H283+J283+L283)*O283</f>
        <v>6</v>
      </c>
      <c r="Q283" s="74" t="n">
        <f aca="false">M283*O283</f>
        <v>11.5</v>
      </c>
      <c r="R283" s="74" t="n">
        <f aca="false">N283*O283</f>
        <v>0.200000000000001</v>
      </c>
    </row>
    <row r="284" customFormat="false" ht="15" hidden="false" customHeight="false" outlineLevel="0" collapsed="false">
      <c r="A284" s="53" t="n">
        <v>2</v>
      </c>
      <c r="B284" s="53" t="n">
        <v>16</v>
      </c>
      <c r="C284" s="76" t="s">
        <v>512</v>
      </c>
      <c r="D284" s="53" t="n">
        <v>8</v>
      </c>
      <c r="E284" s="73" t="n">
        <v>3</v>
      </c>
      <c r="F284" s="55" t="n">
        <v>3</v>
      </c>
      <c r="G284" s="73" t="n">
        <v>2.356</v>
      </c>
      <c r="H284" s="55" t="n">
        <v>1</v>
      </c>
      <c r="I284" s="20"/>
      <c r="J284" s="20"/>
      <c r="K284" s="20"/>
      <c r="L284" s="20"/>
      <c r="M284" s="41" t="n">
        <f aca="false">E284*F284+G284*H284+I284*J284+K284*L284</f>
        <v>11.356</v>
      </c>
      <c r="N284" s="41" t="n">
        <f aca="false">Исходные!$B$15-M284</f>
        <v>0.343999999999999</v>
      </c>
      <c r="O284" s="55" t="n">
        <v>1</v>
      </c>
      <c r="P284" s="53" t="n">
        <f aca="false">(F284+H284+J284+L284)*O284</f>
        <v>4</v>
      </c>
      <c r="Q284" s="74" t="n">
        <f aca="false">M284*O284</f>
        <v>11.356</v>
      </c>
      <c r="R284" s="74" t="n">
        <f aca="false">N284*O284</f>
        <v>0.343999999999999</v>
      </c>
    </row>
    <row r="285" customFormat="false" ht="15" hidden="false" customHeight="false" outlineLevel="0" collapsed="false">
      <c r="A285" s="53" t="n">
        <v>2</v>
      </c>
      <c r="B285" s="53" t="n">
        <v>16</v>
      </c>
      <c r="C285" s="76" t="s">
        <v>512</v>
      </c>
      <c r="D285" s="53" t="n">
        <v>9</v>
      </c>
      <c r="E285" s="73" t="n">
        <v>8.928</v>
      </c>
      <c r="F285" s="55" t="n">
        <v>1</v>
      </c>
      <c r="G285" s="73" t="n">
        <v>2.356</v>
      </c>
      <c r="H285" s="55" t="n">
        <v>1</v>
      </c>
      <c r="I285" s="20"/>
      <c r="J285" s="20"/>
      <c r="K285" s="20"/>
      <c r="L285" s="20"/>
      <c r="M285" s="41" t="n">
        <f aca="false">E285*F285+G285*H285+I285*J285+K285*L285</f>
        <v>11.284</v>
      </c>
      <c r="N285" s="41" t="n">
        <f aca="false">Исходные!$B$15-M285</f>
        <v>0.415999999999999</v>
      </c>
      <c r="O285" s="55" t="n">
        <v>7</v>
      </c>
      <c r="P285" s="53" t="n">
        <f aca="false">(F285+H285+J285+L285)*O285</f>
        <v>14</v>
      </c>
      <c r="Q285" s="74" t="n">
        <f aca="false">M285*O285</f>
        <v>78.988</v>
      </c>
      <c r="R285" s="74" t="n">
        <f aca="false">N285*O285</f>
        <v>2.91199999999999</v>
      </c>
    </row>
    <row r="286" customFormat="false" ht="15" hidden="false" customHeight="false" outlineLevel="0" collapsed="false">
      <c r="A286" s="53" t="n">
        <v>2</v>
      </c>
      <c r="B286" s="53" t="n">
        <v>16</v>
      </c>
      <c r="C286" s="76" t="s">
        <v>512</v>
      </c>
      <c r="D286" s="53" t="n">
        <v>10</v>
      </c>
      <c r="E286" s="73" t="n">
        <v>2.25</v>
      </c>
      <c r="F286" s="55" t="n">
        <v>5</v>
      </c>
      <c r="G286" s="20"/>
      <c r="H286" s="20"/>
      <c r="I286" s="20"/>
      <c r="J286" s="20"/>
      <c r="K286" s="20"/>
      <c r="L286" s="20"/>
      <c r="M286" s="41" t="n">
        <f aca="false">E286*F286+G286*H286+I286*J286+K286*L286</f>
        <v>11.25</v>
      </c>
      <c r="N286" s="41" t="n">
        <f aca="false">Исходные!$B$15-M286</f>
        <v>0.449999999999999</v>
      </c>
      <c r="O286" s="55" t="n">
        <v>11</v>
      </c>
      <c r="P286" s="53" t="n">
        <f aca="false">(F286+H286+J286+L286)*O286</f>
        <v>55</v>
      </c>
      <c r="Q286" s="74" t="n">
        <f aca="false">M286*O286</f>
        <v>123.75</v>
      </c>
      <c r="R286" s="74" t="n">
        <f aca="false">N286*O286</f>
        <v>4.94999999999999</v>
      </c>
    </row>
    <row r="287" customFormat="false" ht="15" hidden="false" customHeight="false" outlineLevel="0" collapsed="false">
      <c r="A287" s="53" t="n">
        <v>2</v>
      </c>
      <c r="B287" s="53" t="n">
        <v>16</v>
      </c>
      <c r="C287" s="76" t="s">
        <v>512</v>
      </c>
      <c r="D287" s="53" t="n">
        <v>11</v>
      </c>
      <c r="E287" s="73" t="n">
        <v>8.928</v>
      </c>
      <c r="F287" s="55" t="n">
        <v>1</v>
      </c>
      <c r="G287" s="73" t="n">
        <v>2.3</v>
      </c>
      <c r="H287" s="55" t="n">
        <v>1</v>
      </c>
      <c r="I287" s="20"/>
      <c r="J287" s="20"/>
      <c r="K287" s="20"/>
      <c r="L287" s="20"/>
      <c r="M287" s="41" t="n">
        <f aca="false">E287*F287+G287*H287+I287*J287+K287*L287</f>
        <v>11.228</v>
      </c>
      <c r="N287" s="41" t="n">
        <f aca="false">Исходные!$B$15-M287</f>
        <v>0.471999999999998</v>
      </c>
      <c r="O287" s="55" t="n">
        <v>2</v>
      </c>
      <c r="P287" s="53" t="n">
        <f aca="false">(F287+H287+J287+L287)*O287</f>
        <v>4</v>
      </c>
      <c r="Q287" s="74" t="n">
        <f aca="false">M287*O287</f>
        <v>22.456</v>
      </c>
      <c r="R287" s="74" t="n">
        <f aca="false">N287*O287</f>
        <v>0.943999999999996</v>
      </c>
    </row>
    <row r="288" customFormat="false" ht="15" hidden="false" customHeight="false" outlineLevel="0" collapsed="false">
      <c r="A288" s="53" t="n">
        <v>2</v>
      </c>
      <c r="B288" s="53" t="n">
        <v>16</v>
      </c>
      <c r="C288" s="76" t="s">
        <v>512</v>
      </c>
      <c r="D288" s="53" t="n">
        <v>12</v>
      </c>
      <c r="E288" s="73" t="n">
        <v>3.728</v>
      </c>
      <c r="F288" s="55" t="n">
        <v>3</v>
      </c>
      <c r="G288" s="20"/>
      <c r="H288" s="20"/>
      <c r="I288" s="20"/>
      <c r="J288" s="20"/>
      <c r="K288" s="20"/>
      <c r="L288" s="20"/>
      <c r="M288" s="41" t="n">
        <f aca="false">E288*F288+G288*H288+I288*J288+K288*L288</f>
        <v>11.184</v>
      </c>
      <c r="N288" s="41" t="n">
        <f aca="false">Исходные!$B$15-M288</f>
        <v>0.515999999999998</v>
      </c>
      <c r="O288" s="55" t="n">
        <v>6</v>
      </c>
      <c r="P288" s="53" t="n">
        <f aca="false">(F288+H288+J288+L288)*O288</f>
        <v>18</v>
      </c>
      <c r="Q288" s="74" t="n">
        <f aca="false">M288*O288</f>
        <v>67.104</v>
      </c>
      <c r="R288" s="74" t="n">
        <f aca="false">N288*O288</f>
        <v>3.09599999999999</v>
      </c>
    </row>
    <row r="289" customFormat="false" ht="15" hidden="false" customHeight="false" outlineLevel="0" collapsed="false">
      <c r="A289" s="53" t="n">
        <v>2</v>
      </c>
      <c r="B289" s="53" t="n">
        <v>16</v>
      </c>
      <c r="C289" s="76" t="s">
        <v>512</v>
      </c>
      <c r="D289" s="53" t="n">
        <v>13</v>
      </c>
      <c r="E289" s="73" t="n">
        <v>8.928</v>
      </c>
      <c r="F289" s="55" t="n">
        <v>1</v>
      </c>
      <c r="G289" s="73" t="n">
        <v>2.25</v>
      </c>
      <c r="H289" s="55" t="n">
        <v>1</v>
      </c>
      <c r="I289" s="20"/>
      <c r="J289" s="20"/>
      <c r="K289" s="20"/>
      <c r="L289" s="20"/>
      <c r="M289" s="41" t="n">
        <f aca="false">E289*F289+G289*H289+I289*J289+K289*L289</f>
        <v>11.178</v>
      </c>
      <c r="N289" s="41" t="n">
        <f aca="false">Исходные!$B$15-M289</f>
        <v>0.521999999999999</v>
      </c>
      <c r="O289" s="55" t="n">
        <v>1</v>
      </c>
      <c r="P289" s="53" t="n">
        <f aca="false">(F289+H289+J289+L289)*O289</f>
        <v>2</v>
      </c>
      <c r="Q289" s="74" t="n">
        <f aca="false">M289*O289</f>
        <v>11.178</v>
      </c>
      <c r="R289" s="74" t="n">
        <f aca="false">N289*O289</f>
        <v>0.521999999999999</v>
      </c>
    </row>
    <row r="290" customFormat="false" ht="15" hidden="false" customHeight="false" outlineLevel="0" collapsed="false">
      <c r="A290" s="53" t="n">
        <v>2</v>
      </c>
      <c r="B290" s="53" t="n">
        <v>16</v>
      </c>
      <c r="C290" s="76" t="s">
        <v>512</v>
      </c>
      <c r="D290" s="53" t="n">
        <v>14</v>
      </c>
      <c r="E290" s="73" t="n">
        <v>2.25</v>
      </c>
      <c r="F290" s="55" t="n">
        <v>4</v>
      </c>
      <c r="G290" s="73" t="n">
        <v>2.05</v>
      </c>
      <c r="H290" s="55" t="n">
        <v>1</v>
      </c>
      <c r="I290" s="20"/>
      <c r="J290" s="20"/>
      <c r="K290" s="20"/>
      <c r="L290" s="20"/>
      <c r="M290" s="41" t="n">
        <f aca="false">E290*F290+G290*H290+I290*J290+K290*L290</f>
        <v>11.05</v>
      </c>
      <c r="N290" s="41" t="n">
        <f aca="false">Исходные!$B$15-M290</f>
        <v>0.649999999999999</v>
      </c>
      <c r="O290" s="55" t="n">
        <v>1</v>
      </c>
      <c r="P290" s="53" t="n">
        <f aca="false">(F290+H290+J290+L290)*O290</f>
        <v>5</v>
      </c>
      <c r="Q290" s="74" t="n">
        <f aca="false">M290*O290</f>
        <v>11.05</v>
      </c>
      <c r="R290" s="74" t="n">
        <f aca="false">N290*O290</f>
        <v>0.649999999999999</v>
      </c>
    </row>
    <row r="291" customFormat="false" ht="15" hidden="false" customHeight="false" outlineLevel="0" collapsed="false">
      <c r="A291" s="53" t="n">
        <v>2</v>
      </c>
      <c r="B291" s="53" t="n">
        <v>16</v>
      </c>
      <c r="C291" s="76" t="s">
        <v>512</v>
      </c>
      <c r="D291" s="53" t="n">
        <v>15</v>
      </c>
      <c r="E291" s="73" t="n">
        <v>2.9</v>
      </c>
      <c r="F291" s="55" t="n">
        <v>2</v>
      </c>
      <c r="G291" s="73" t="n">
        <v>2.25</v>
      </c>
      <c r="H291" s="55" t="n">
        <v>2</v>
      </c>
      <c r="I291" s="20"/>
      <c r="J291" s="20"/>
      <c r="K291" s="20"/>
      <c r="L291" s="20"/>
      <c r="M291" s="41" t="n">
        <f aca="false">E291*F291+G291*H291+I291*J291+K291*L291</f>
        <v>10.3</v>
      </c>
      <c r="N291" s="41" t="n">
        <f aca="false">Исходные!$B$15-M291</f>
        <v>1.4</v>
      </c>
      <c r="O291" s="55" t="n">
        <v>1</v>
      </c>
      <c r="P291" s="53" t="n">
        <f aca="false">(F291+H291+J291+L291)*O291</f>
        <v>4</v>
      </c>
      <c r="Q291" s="74" t="n">
        <f aca="false">M291*O291</f>
        <v>10.3</v>
      </c>
      <c r="R291" s="74" t="n">
        <f aca="false">N291*O291</f>
        <v>1.4</v>
      </c>
    </row>
    <row r="292" customFormat="false" ht="15" hidden="false" customHeight="false" outlineLevel="0" collapsed="false">
      <c r="A292" s="53" t="n">
        <v>2</v>
      </c>
      <c r="B292" s="53" t="n">
        <v>16</v>
      </c>
      <c r="C292" s="76" t="s">
        <v>512</v>
      </c>
      <c r="D292" s="53" t="n">
        <v>16</v>
      </c>
      <c r="E292" s="73" t="n">
        <v>1.85</v>
      </c>
      <c r="F292" s="55" t="n">
        <v>2</v>
      </c>
      <c r="G292" s="73" t="n">
        <v>1.45</v>
      </c>
      <c r="H292" s="55" t="n">
        <v>4</v>
      </c>
      <c r="I292" s="20"/>
      <c r="J292" s="20"/>
      <c r="K292" s="20"/>
      <c r="L292" s="20"/>
      <c r="M292" s="41" t="n">
        <f aca="false">E292*F292+G292*H292+I292*J292+K292*L292</f>
        <v>9.5</v>
      </c>
      <c r="N292" s="41" t="n">
        <f aca="false">Исходные!$B$15-M292</f>
        <v>2.2</v>
      </c>
      <c r="O292" s="55" t="n">
        <v>1</v>
      </c>
      <c r="P292" s="53" t="n">
        <f aca="false">(F292+H292+J292+L292)*O292</f>
        <v>6</v>
      </c>
      <c r="Q292" s="74" t="n">
        <f aca="false">M292*O292</f>
        <v>9.5</v>
      </c>
      <c r="R292" s="74" t="n">
        <f aca="false">N292*O292</f>
        <v>2.2</v>
      </c>
    </row>
    <row r="293" customFormat="false" ht="15" hidden="false" customHeight="false" outlineLevel="0" collapsed="false">
      <c r="A293" s="53" t="n">
        <v>2</v>
      </c>
      <c r="B293" s="53" t="n">
        <v>14</v>
      </c>
      <c r="C293" s="76" t="s">
        <v>512</v>
      </c>
      <c r="D293" s="53" t="n">
        <v>1</v>
      </c>
      <c r="E293" s="73" t="n">
        <v>11.7</v>
      </c>
      <c r="F293" s="55" t="n">
        <v>1</v>
      </c>
      <c r="G293" s="20"/>
      <c r="H293" s="20"/>
      <c r="I293" s="20"/>
      <c r="J293" s="20"/>
      <c r="K293" s="20"/>
      <c r="L293" s="20"/>
      <c r="M293" s="41" t="n">
        <f aca="false">E293*F293+G293*H293+I293*J293+K293*L293</f>
        <v>11.7</v>
      </c>
      <c r="N293" s="41" t="n">
        <f aca="false">Исходные!$B$15-M293</f>
        <v>0</v>
      </c>
      <c r="O293" s="55" t="n">
        <v>6</v>
      </c>
      <c r="P293" s="53" t="n">
        <f aca="false">(F293+H293+J293+L293)*O293</f>
        <v>6</v>
      </c>
      <c r="Q293" s="74" t="n">
        <f aca="false">M293*O293</f>
        <v>70.2</v>
      </c>
      <c r="R293" s="74" t="n">
        <f aca="false">N293*O293</f>
        <v>0</v>
      </c>
    </row>
    <row r="294" customFormat="false" ht="15" hidden="false" customHeight="false" outlineLevel="0" collapsed="false">
      <c r="A294" s="53" t="n">
        <v>2</v>
      </c>
      <c r="B294" s="53" t="n">
        <v>14</v>
      </c>
      <c r="C294" s="76" t="s">
        <v>512</v>
      </c>
      <c r="D294" s="53" t="n">
        <v>2</v>
      </c>
      <c r="E294" s="73" t="n">
        <v>4</v>
      </c>
      <c r="F294" s="55" t="n">
        <v>2</v>
      </c>
      <c r="G294" s="73" t="n">
        <v>3.7</v>
      </c>
      <c r="H294" s="55" t="n">
        <v>1</v>
      </c>
      <c r="I294" s="20"/>
      <c r="J294" s="20"/>
      <c r="K294" s="20"/>
      <c r="L294" s="20"/>
      <c r="M294" s="41" t="n">
        <f aca="false">E294*F294+G294*H294+I294*J294+K294*L294</f>
        <v>11.7</v>
      </c>
      <c r="N294" s="41" t="n">
        <f aca="false">Исходные!$B$15-M294</f>
        <v>0</v>
      </c>
      <c r="O294" s="55" t="n">
        <v>1</v>
      </c>
      <c r="P294" s="53" t="n">
        <f aca="false">(F294+H294+J294+L294)*O294</f>
        <v>3</v>
      </c>
      <c r="Q294" s="74" t="n">
        <f aca="false">M294*O294</f>
        <v>11.7</v>
      </c>
      <c r="R294" s="74" t="n">
        <f aca="false">N294*O294</f>
        <v>0</v>
      </c>
    </row>
    <row r="295" customFormat="false" ht="15" hidden="false" customHeight="false" outlineLevel="0" collapsed="false">
      <c r="A295" s="53" t="n">
        <v>2</v>
      </c>
      <c r="B295" s="53" t="n">
        <v>14</v>
      </c>
      <c r="C295" s="76" t="s">
        <v>512</v>
      </c>
      <c r="D295" s="53" t="n">
        <v>3</v>
      </c>
      <c r="E295" s="73" t="n">
        <v>1.95</v>
      </c>
      <c r="F295" s="55" t="n">
        <v>6</v>
      </c>
      <c r="G295" s="20"/>
      <c r="H295" s="20"/>
      <c r="I295" s="20"/>
      <c r="J295" s="20"/>
      <c r="K295" s="20"/>
      <c r="L295" s="20"/>
      <c r="M295" s="41" t="n">
        <f aca="false">E295*F295+G295*H295+I295*J295+K295*L295</f>
        <v>11.7</v>
      </c>
      <c r="N295" s="41" t="n">
        <f aca="false">Исходные!$B$15-M295</f>
        <v>0</v>
      </c>
      <c r="O295" s="55" t="n">
        <v>11</v>
      </c>
      <c r="P295" s="53" t="n">
        <f aca="false">(F295+H295+J295+L295)*O295</f>
        <v>66</v>
      </c>
      <c r="Q295" s="74" t="n">
        <f aca="false">M295*O295</f>
        <v>128.7</v>
      </c>
      <c r="R295" s="74" t="n">
        <f aca="false">N295*O295</f>
        <v>0</v>
      </c>
    </row>
    <row r="296" customFormat="false" ht="15" hidden="false" customHeight="false" outlineLevel="0" collapsed="false">
      <c r="A296" s="53" t="n">
        <v>2</v>
      </c>
      <c r="B296" s="53" t="n">
        <v>14</v>
      </c>
      <c r="C296" s="76" t="s">
        <v>512</v>
      </c>
      <c r="D296" s="53" t="n">
        <v>4</v>
      </c>
      <c r="E296" s="73" t="n">
        <v>3.515</v>
      </c>
      <c r="F296" s="55" t="n">
        <v>2</v>
      </c>
      <c r="G296" s="73" t="n">
        <v>3.4</v>
      </c>
      <c r="H296" s="55" t="n">
        <v>1</v>
      </c>
      <c r="I296" s="73" t="n">
        <v>1.25</v>
      </c>
      <c r="J296" s="55" t="n">
        <v>1</v>
      </c>
      <c r="K296" s="20"/>
      <c r="L296" s="20"/>
      <c r="M296" s="41" t="n">
        <f aca="false">E296*F296+G296*H296+I296*J296+K296*L296</f>
        <v>11.68</v>
      </c>
      <c r="N296" s="41" t="n">
        <f aca="false">Исходные!$B$15-M296</f>
        <v>0.0199999999999996</v>
      </c>
      <c r="O296" s="55" t="n">
        <v>1</v>
      </c>
      <c r="P296" s="53" t="n">
        <f aca="false">(F296+H296+J296+L296)*O296</f>
        <v>4</v>
      </c>
      <c r="Q296" s="74" t="n">
        <f aca="false">M296*O296</f>
        <v>11.68</v>
      </c>
      <c r="R296" s="74" t="n">
        <f aca="false">N296*O296</f>
        <v>0.0199999999999996</v>
      </c>
    </row>
    <row r="297" customFormat="false" ht="15" hidden="false" customHeight="false" outlineLevel="0" collapsed="false">
      <c r="A297" s="53" t="n">
        <v>2</v>
      </c>
      <c r="B297" s="53" t="n">
        <v>14</v>
      </c>
      <c r="C297" s="76" t="s">
        <v>512</v>
      </c>
      <c r="D297" s="53" t="n">
        <v>5</v>
      </c>
      <c r="E297" s="73" t="n">
        <v>3.4</v>
      </c>
      <c r="F297" s="55" t="n">
        <v>1</v>
      </c>
      <c r="G297" s="73" t="n">
        <v>2.85</v>
      </c>
      <c r="H297" s="55" t="n">
        <v>1</v>
      </c>
      <c r="I297" s="73" t="n">
        <v>2.7</v>
      </c>
      <c r="J297" s="55" t="n">
        <v>2</v>
      </c>
      <c r="K297" s="20"/>
      <c r="L297" s="20"/>
      <c r="M297" s="41" t="n">
        <f aca="false">E297*F297+G297*H297+I297*J297+K297*L297</f>
        <v>11.65</v>
      </c>
      <c r="N297" s="41" t="n">
        <f aca="false">Исходные!$B$15-M297</f>
        <v>0.0499999999999989</v>
      </c>
      <c r="O297" s="55" t="n">
        <v>1</v>
      </c>
      <c r="P297" s="53" t="n">
        <f aca="false">(F297+H297+J297+L297)*O297</f>
        <v>4</v>
      </c>
      <c r="Q297" s="74" t="n">
        <f aca="false">M297*O297</f>
        <v>11.65</v>
      </c>
      <c r="R297" s="74" t="n">
        <f aca="false">N297*O297</f>
        <v>0.0499999999999989</v>
      </c>
    </row>
    <row r="298" customFormat="false" ht="15" hidden="false" customHeight="false" outlineLevel="0" collapsed="false">
      <c r="A298" s="53" t="n">
        <v>2</v>
      </c>
      <c r="B298" s="53" t="n">
        <v>14</v>
      </c>
      <c r="C298" s="76" t="s">
        <v>512</v>
      </c>
      <c r="D298" s="53" t="n">
        <v>6</v>
      </c>
      <c r="E298" s="73" t="n">
        <v>1.45</v>
      </c>
      <c r="F298" s="55" t="n">
        <v>8</v>
      </c>
      <c r="G298" s="20"/>
      <c r="H298" s="20"/>
      <c r="I298" s="20"/>
      <c r="J298" s="20"/>
      <c r="K298" s="20"/>
      <c r="L298" s="20"/>
      <c r="M298" s="41" t="n">
        <f aca="false">E298*F298+G298*H298+I298*J298+K298*L298</f>
        <v>11.6</v>
      </c>
      <c r="N298" s="41" t="n">
        <f aca="false">Исходные!$B$15-M298</f>
        <v>0.0999999999999996</v>
      </c>
      <c r="O298" s="55" t="n">
        <v>14</v>
      </c>
      <c r="P298" s="53" t="n">
        <f aca="false">(F298+H298+J298+L298)*O298</f>
        <v>112</v>
      </c>
      <c r="Q298" s="74" t="n">
        <f aca="false">M298*O298</f>
        <v>162.4</v>
      </c>
      <c r="R298" s="74" t="n">
        <f aca="false">N298*O298</f>
        <v>1.4</v>
      </c>
    </row>
    <row r="299" customFormat="false" ht="15" hidden="false" customHeight="false" outlineLevel="0" collapsed="false">
      <c r="A299" s="53" t="n">
        <v>2</v>
      </c>
      <c r="B299" s="53" t="n">
        <v>14</v>
      </c>
      <c r="C299" s="76" t="s">
        <v>512</v>
      </c>
      <c r="D299" s="53" t="n">
        <v>7</v>
      </c>
      <c r="E299" s="73" t="n">
        <v>3.9</v>
      </c>
      <c r="F299" s="55" t="n">
        <v>2</v>
      </c>
      <c r="G299" s="73" t="n">
        <v>3.712</v>
      </c>
      <c r="H299" s="55" t="n">
        <v>1</v>
      </c>
      <c r="I299" s="20"/>
      <c r="J299" s="20"/>
      <c r="K299" s="20"/>
      <c r="L299" s="20"/>
      <c r="M299" s="41" t="n">
        <f aca="false">E299*F299+G299*H299+I299*J299+K299*L299</f>
        <v>11.512</v>
      </c>
      <c r="N299" s="41" t="n">
        <f aca="false">Исходные!$B$15-M299</f>
        <v>0.187999999999999</v>
      </c>
      <c r="O299" s="55" t="n">
        <v>1</v>
      </c>
      <c r="P299" s="53" t="n">
        <f aca="false">(F299+H299+J299+L299)*O299</f>
        <v>3</v>
      </c>
      <c r="Q299" s="74" t="n">
        <f aca="false">M299*O299</f>
        <v>11.512</v>
      </c>
      <c r="R299" s="74" t="n">
        <f aca="false">N299*O299</f>
        <v>0.187999999999999</v>
      </c>
    </row>
    <row r="300" customFormat="false" ht="15" hidden="false" customHeight="false" outlineLevel="0" collapsed="false">
      <c r="A300" s="53" t="n">
        <v>2</v>
      </c>
      <c r="B300" s="53" t="n">
        <v>14</v>
      </c>
      <c r="C300" s="76" t="s">
        <v>512</v>
      </c>
      <c r="D300" s="53" t="n">
        <v>8</v>
      </c>
      <c r="E300" s="73" t="n">
        <v>9.1</v>
      </c>
      <c r="F300" s="55" t="n">
        <v>1</v>
      </c>
      <c r="G300" s="73" t="n">
        <v>2.4</v>
      </c>
      <c r="H300" s="55" t="n">
        <v>1</v>
      </c>
      <c r="I300" s="20"/>
      <c r="J300" s="20"/>
      <c r="K300" s="20"/>
      <c r="L300" s="20"/>
      <c r="M300" s="41" t="n">
        <f aca="false">E300*F300+G300*H300+I300*J300+K300*L300</f>
        <v>11.5</v>
      </c>
      <c r="N300" s="41" t="n">
        <f aca="false">Исходные!$B$15-M300</f>
        <v>0.199999999999999</v>
      </c>
      <c r="O300" s="55" t="n">
        <v>2</v>
      </c>
      <c r="P300" s="53" t="n">
        <f aca="false">(F300+H300+J300+L300)*O300</f>
        <v>4</v>
      </c>
      <c r="Q300" s="74" t="n">
        <f aca="false">M300*O300</f>
        <v>23</v>
      </c>
      <c r="R300" s="74" t="n">
        <f aca="false">N300*O300</f>
        <v>0.399999999999999</v>
      </c>
    </row>
    <row r="301" customFormat="false" ht="15" hidden="false" customHeight="false" outlineLevel="0" collapsed="false">
      <c r="A301" s="53" t="n">
        <v>2</v>
      </c>
      <c r="B301" s="53" t="n">
        <v>14</v>
      </c>
      <c r="C301" s="76" t="s">
        <v>512</v>
      </c>
      <c r="D301" s="53" t="n">
        <v>9</v>
      </c>
      <c r="E301" s="73" t="n">
        <v>9.355</v>
      </c>
      <c r="F301" s="55" t="n">
        <v>1</v>
      </c>
      <c r="G301" s="73" t="n">
        <v>1.95</v>
      </c>
      <c r="H301" s="55" t="n">
        <v>1</v>
      </c>
      <c r="I301" s="20"/>
      <c r="J301" s="20"/>
      <c r="K301" s="20"/>
      <c r="L301" s="20"/>
      <c r="M301" s="41" t="n">
        <f aca="false">E301*F301+G301*H301+I301*J301+K301*L301</f>
        <v>11.305</v>
      </c>
      <c r="N301" s="41" t="n">
        <f aca="false">Исходные!$B$15-M301</f>
        <v>0.395</v>
      </c>
      <c r="O301" s="55" t="n">
        <v>2</v>
      </c>
      <c r="P301" s="53" t="n">
        <f aca="false">(F301+H301+J301+L301)*O301</f>
        <v>4</v>
      </c>
      <c r="Q301" s="74" t="n">
        <f aca="false">M301*O301</f>
        <v>22.61</v>
      </c>
      <c r="R301" s="74" t="n">
        <f aca="false">N301*O301</f>
        <v>0.789999999999999</v>
      </c>
    </row>
    <row r="302" customFormat="false" ht="15" hidden="false" customHeight="false" outlineLevel="0" collapsed="false">
      <c r="A302" s="53" t="n">
        <v>2</v>
      </c>
      <c r="B302" s="53" t="n">
        <v>14</v>
      </c>
      <c r="C302" s="76" t="s">
        <v>512</v>
      </c>
      <c r="D302" s="53" t="n">
        <v>10</v>
      </c>
      <c r="E302" s="73" t="n">
        <v>4.2</v>
      </c>
      <c r="F302" s="55" t="n">
        <v>2</v>
      </c>
      <c r="G302" s="73" t="n">
        <v>2.85</v>
      </c>
      <c r="H302" s="55" t="n">
        <v>1</v>
      </c>
      <c r="I302" s="20"/>
      <c r="J302" s="20"/>
      <c r="K302" s="20"/>
      <c r="L302" s="20"/>
      <c r="M302" s="41" t="n">
        <f aca="false">E302*F302+G302*H302+I302*J302+K302*L302</f>
        <v>11.25</v>
      </c>
      <c r="N302" s="41" t="n">
        <f aca="false">Исходные!$B$15-M302</f>
        <v>0.449999999999999</v>
      </c>
      <c r="O302" s="55" t="n">
        <v>1</v>
      </c>
      <c r="P302" s="53" t="n">
        <f aca="false">(F302+H302+J302+L302)*O302</f>
        <v>3</v>
      </c>
      <c r="Q302" s="74" t="n">
        <f aca="false">M302*O302</f>
        <v>11.25</v>
      </c>
      <c r="R302" s="74" t="n">
        <f aca="false">N302*O302</f>
        <v>0.449999999999999</v>
      </c>
    </row>
    <row r="303" customFormat="false" ht="15" hidden="false" customHeight="false" outlineLevel="0" collapsed="false">
      <c r="A303" s="53" t="n">
        <v>2</v>
      </c>
      <c r="B303" s="53" t="n">
        <v>14</v>
      </c>
      <c r="C303" s="76" t="s">
        <v>512</v>
      </c>
      <c r="D303" s="53" t="n">
        <v>11</v>
      </c>
      <c r="E303" s="73" t="n">
        <v>1.25</v>
      </c>
      <c r="F303" s="55" t="n">
        <v>9</v>
      </c>
      <c r="G303" s="20"/>
      <c r="H303" s="20"/>
      <c r="I303" s="20"/>
      <c r="J303" s="20"/>
      <c r="K303" s="20"/>
      <c r="L303" s="20"/>
      <c r="M303" s="41" t="n">
        <f aca="false">E303*F303+G303*H303+I303*J303+K303*L303</f>
        <v>11.25</v>
      </c>
      <c r="N303" s="41" t="n">
        <f aca="false">Исходные!$B$15-M303</f>
        <v>0.449999999999999</v>
      </c>
      <c r="O303" s="55" t="n">
        <v>3</v>
      </c>
      <c r="P303" s="53" t="n">
        <f aca="false">(F303+H303+J303+L303)*O303</f>
        <v>27</v>
      </c>
      <c r="Q303" s="74" t="n">
        <f aca="false">M303*O303</f>
        <v>33.75</v>
      </c>
      <c r="R303" s="74" t="n">
        <f aca="false">N303*O303</f>
        <v>1.35</v>
      </c>
    </row>
    <row r="304" customFormat="false" ht="15" hidden="false" customHeight="false" outlineLevel="0" collapsed="false">
      <c r="A304" s="53" t="n">
        <v>2</v>
      </c>
      <c r="B304" s="53" t="n">
        <v>14</v>
      </c>
      <c r="C304" s="76" t="s">
        <v>512</v>
      </c>
      <c r="D304" s="53" t="n">
        <v>12</v>
      </c>
      <c r="E304" s="73" t="n">
        <v>1.45</v>
      </c>
      <c r="F304" s="55" t="n">
        <v>6</v>
      </c>
      <c r="G304" s="73" t="n">
        <v>1.25</v>
      </c>
      <c r="H304" s="55" t="n">
        <v>2</v>
      </c>
      <c r="I304" s="20"/>
      <c r="J304" s="20"/>
      <c r="K304" s="20"/>
      <c r="L304" s="20"/>
      <c r="M304" s="41" t="n">
        <f aca="false">E304*F304+G304*H304+I304*J304+K304*L304</f>
        <v>11.2</v>
      </c>
      <c r="N304" s="41" t="n">
        <f aca="false">Исходные!$B$15-M304</f>
        <v>0.5</v>
      </c>
      <c r="O304" s="55" t="n">
        <v>1</v>
      </c>
      <c r="P304" s="53" t="n">
        <f aca="false">(F304+H304+J304+L304)*O304</f>
        <v>8</v>
      </c>
      <c r="Q304" s="74" t="n">
        <f aca="false">M304*O304</f>
        <v>11.2</v>
      </c>
      <c r="R304" s="74" t="n">
        <f aca="false">N304*O304</f>
        <v>0.5</v>
      </c>
    </row>
    <row r="305" customFormat="false" ht="15" hidden="false" customHeight="false" outlineLevel="0" collapsed="false">
      <c r="A305" s="53" t="n">
        <v>2</v>
      </c>
      <c r="B305" s="53" t="n">
        <v>14</v>
      </c>
      <c r="C305" s="76" t="s">
        <v>512</v>
      </c>
      <c r="D305" s="53" t="n">
        <v>13</v>
      </c>
      <c r="E305" s="73" t="n">
        <v>3.712</v>
      </c>
      <c r="F305" s="55" t="n">
        <v>3</v>
      </c>
      <c r="G305" s="20"/>
      <c r="H305" s="20"/>
      <c r="I305" s="20"/>
      <c r="J305" s="20"/>
      <c r="K305" s="20"/>
      <c r="L305" s="20"/>
      <c r="M305" s="41" t="n">
        <f aca="false">E305*F305+G305*H305+I305*J305+K305*L305</f>
        <v>11.136</v>
      </c>
      <c r="N305" s="41" t="n">
        <f aca="false">Исходные!$B$15-M305</f>
        <v>0.563999999999998</v>
      </c>
      <c r="O305" s="55" t="n">
        <v>2</v>
      </c>
      <c r="P305" s="53" t="n">
        <f aca="false">(F305+H305+J305+L305)*O305</f>
        <v>6</v>
      </c>
      <c r="Q305" s="74" t="n">
        <f aca="false">M305*O305</f>
        <v>22.272</v>
      </c>
      <c r="R305" s="74" t="n">
        <f aca="false">N305*O305</f>
        <v>1.128</v>
      </c>
    </row>
    <row r="306" customFormat="false" ht="15" hidden="false" customHeight="false" outlineLevel="0" collapsed="false">
      <c r="A306" s="53" t="n">
        <v>2</v>
      </c>
      <c r="B306" s="53" t="n">
        <v>14</v>
      </c>
      <c r="C306" s="76" t="s">
        <v>512</v>
      </c>
      <c r="D306" s="53" t="n">
        <v>14</v>
      </c>
      <c r="E306" s="73" t="n">
        <v>3.712</v>
      </c>
      <c r="F306" s="55" t="n">
        <v>1</v>
      </c>
      <c r="G306" s="73" t="n">
        <v>3.7</v>
      </c>
      <c r="H306" s="55" t="n">
        <v>2</v>
      </c>
      <c r="I306" s="20"/>
      <c r="J306" s="20"/>
      <c r="K306" s="20"/>
      <c r="L306" s="20"/>
      <c r="M306" s="41" t="n">
        <f aca="false">E306*F306+G306*H306+I306*J306+K306*L306</f>
        <v>11.112</v>
      </c>
      <c r="N306" s="41" t="n">
        <f aca="false">Исходные!$B$15-M306</f>
        <v>0.587999999999999</v>
      </c>
      <c r="O306" s="55" t="n">
        <v>1</v>
      </c>
      <c r="P306" s="53" t="n">
        <f aca="false">(F306+H306+J306+L306)*O306</f>
        <v>3</v>
      </c>
      <c r="Q306" s="74" t="n">
        <f aca="false">M306*O306</f>
        <v>11.112</v>
      </c>
      <c r="R306" s="74" t="n">
        <f aca="false">N306*O306</f>
        <v>0.587999999999999</v>
      </c>
    </row>
    <row r="307" customFormat="false" ht="15" hidden="false" customHeight="false" outlineLevel="0" collapsed="false">
      <c r="A307" s="53" t="n">
        <v>2</v>
      </c>
      <c r="B307" s="53" t="n">
        <v>14</v>
      </c>
      <c r="C307" s="76" t="s">
        <v>512</v>
      </c>
      <c r="D307" s="53" t="n">
        <v>15</v>
      </c>
      <c r="E307" s="73" t="n">
        <v>3.7</v>
      </c>
      <c r="F307" s="55" t="n">
        <v>3</v>
      </c>
      <c r="G307" s="20"/>
      <c r="H307" s="20"/>
      <c r="I307" s="20"/>
      <c r="J307" s="20"/>
      <c r="K307" s="20"/>
      <c r="L307" s="20"/>
      <c r="M307" s="41" t="n">
        <f aca="false">E307*F307+G307*H307+I307*J307+K307*L307</f>
        <v>11.1</v>
      </c>
      <c r="N307" s="41" t="n">
        <f aca="false">Исходные!$B$15-M307</f>
        <v>0.599999999999998</v>
      </c>
      <c r="O307" s="55" t="n">
        <v>1</v>
      </c>
      <c r="P307" s="53" t="n">
        <f aca="false">(F307+H307+J307+L307)*O307</f>
        <v>3</v>
      </c>
      <c r="Q307" s="74" t="n">
        <f aca="false">M307*O307</f>
        <v>11.1</v>
      </c>
      <c r="R307" s="74" t="n">
        <f aca="false">N307*O307</f>
        <v>0.599999999999998</v>
      </c>
    </row>
    <row r="308" customFormat="false" ht="15" hidden="false" customHeight="false" outlineLevel="0" collapsed="false">
      <c r="A308" s="53" t="n">
        <v>2</v>
      </c>
      <c r="B308" s="53" t="n">
        <v>14</v>
      </c>
      <c r="C308" s="76" t="s">
        <v>512</v>
      </c>
      <c r="D308" s="53" t="n">
        <v>16</v>
      </c>
      <c r="E308" s="73" t="n">
        <v>9.1</v>
      </c>
      <c r="F308" s="55" t="n">
        <v>1</v>
      </c>
      <c r="G308" s="73" t="n">
        <v>1.95</v>
      </c>
      <c r="H308" s="55" t="n">
        <v>1</v>
      </c>
      <c r="I308" s="20"/>
      <c r="J308" s="20"/>
      <c r="K308" s="20"/>
      <c r="L308" s="20"/>
      <c r="M308" s="41" t="n">
        <f aca="false">E308*F308+G308*H308+I308*J308+K308*L308</f>
        <v>11.05</v>
      </c>
      <c r="N308" s="41" t="n">
        <f aca="false">Исходные!$B$15-M308</f>
        <v>0.65</v>
      </c>
      <c r="O308" s="55" t="n">
        <v>2</v>
      </c>
      <c r="P308" s="53" t="n">
        <f aca="false">(F308+H308+J308+L308)*O308</f>
        <v>4</v>
      </c>
      <c r="Q308" s="74" t="n">
        <f aca="false">M308*O308</f>
        <v>22.1</v>
      </c>
      <c r="R308" s="74" t="n">
        <f aca="false">N308*O308</f>
        <v>1.3</v>
      </c>
    </row>
    <row r="309" customFormat="false" ht="15" hidden="false" customHeight="false" outlineLevel="0" collapsed="false">
      <c r="A309" s="53" t="n">
        <v>2</v>
      </c>
      <c r="B309" s="53" t="n">
        <v>14</v>
      </c>
      <c r="C309" s="76" t="s">
        <v>512</v>
      </c>
      <c r="D309" s="53" t="n">
        <v>17</v>
      </c>
      <c r="E309" s="73" t="n">
        <v>1.25</v>
      </c>
      <c r="F309" s="55" t="n">
        <v>2</v>
      </c>
      <c r="G309" s="73" t="n">
        <v>1.2</v>
      </c>
      <c r="H309" s="55" t="n">
        <v>7</v>
      </c>
      <c r="I309" s="20"/>
      <c r="J309" s="20"/>
      <c r="K309" s="20"/>
      <c r="L309" s="20"/>
      <c r="M309" s="41" t="n">
        <f aca="false">E309*F309+G309*H309+I309*J309+K309*L309</f>
        <v>10.9</v>
      </c>
      <c r="N309" s="41" t="n">
        <f aca="false">Исходные!$B$15-M309</f>
        <v>0.799999999999999</v>
      </c>
      <c r="O309" s="55" t="n">
        <v>1</v>
      </c>
      <c r="P309" s="53" t="n">
        <f aca="false">(F309+H309+J309+L309)*O309</f>
        <v>9</v>
      </c>
      <c r="Q309" s="74" t="n">
        <f aca="false">M309*O309</f>
        <v>10.9</v>
      </c>
      <c r="R309" s="74" t="n">
        <f aca="false">N309*O309</f>
        <v>0.799999999999999</v>
      </c>
    </row>
    <row r="310" customFormat="false" ht="15" hidden="false" customHeight="false" outlineLevel="0" collapsed="false">
      <c r="A310" s="53" t="n">
        <v>2</v>
      </c>
      <c r="B310" s="53" t="n">
        <v>14</v>
      </c>
      <c r="C310" s="76" t="s">
        <v>512</v>
      </c>
      <c r="D310" s="53" t="n">
        <v>18</v>
      </c>
      <c r="E310" s="73" t="n">
        <v>1.2</v>
      </c>
      <c r="F310" s="55" t="n">
        <v>9</v>
      </c>
      <c r="G310" s="20"/>
      <c r="H310" s="20"/>
      <c r="I310" s="20"/>
      <c r="J310" s="20"/>
      <c r="K310" s="20"/>
      <c r="L310" s="20"/>
      <c r="M310" s="41" t="n">
        <f aca="false">E310*F310+G310*H310+I310*J310+K310*L310</f>
        <v>10.8</v>
      </c>
      <c r="N310" s="41" t="n">
        <f aca="false">Исходные!$B$15-M310</f>
        <v>0.9</v>
      </c>
      <c r="O310" s="55" t="n">
        <v>1</v>
      </c>
      <c r="P310" s="53" t="n">
        <f aca="false">(F310+H310+J310+L310)*O310</f>
        <v>9</v>
      </c>
      <c r="Q310" s="74" t="n">
        <f aca="false">M310*O310</f>
        <v>10.8</v>
      </c>
      <c r="R310" s="74" t="n">
        <f aca="false">N310*O310</f>
        <v>0.9</v>
      </c>
    </row>
    <row r="311" customFormat="false" ht="15" hidden="false" customHeight="false" outlineLevel="0" collapsed="false">
      <c r="A311" s="53" t="n">
        <v>2</v>
      </c>
      <c r="B311" s="53" t="n">
        <v>14</v>
      </c>
      <c r="C311" s="76" t="s">
        <v>512</v>
      </c>
      <c r="D311" s="53" t="n">
        <v>19</v>
      </c>
      <c r="E311" s="73" t="n">
        <v>1.95</v>
      </c>
      <c r="F311" s="55" t="n">
        <v>4</v>
      </c>
      <c r="G311" s="73" t="n">
        <v>1.45</v>
      </c>
      <c r="H311" s="55" t="n">
        <v>2</v>
      </c>
      <c r="I311" s="20"/>
      <c r="J311" s="20"/>
      <c r="K311" s="20"/>
      <c r="L311" s="20"/>
      <c r="M311" s="41" t="n">
        <f aca="false">E311*F311+G311*H311+I311*J311+K311*L311</f>
        <v>10.7</v>
      </c>
      <c r="N311" s="41" t="n">
        <f aca="false">Исходные!$B$15-M311</f>
        <v>1</v>
      </c>
      <c r="O311" s="55" t="n">
        <v>1</v>
      </c>
      <c r="P311" s="53" t="n">
        <f aca="false">(F311+H311+J311+L311)*O311</f>
        <v>6</v>
      </c>
      <c r="Q311" s="74" t="n">
        <f aca="false">M311*O311</f>
        <v>10.7</v>
      </c>
      <c r="R311" s="74" t="n">
        <f aca="false">N311*O311</f>
        <v>1</v>
      </c>
    </row>
    <row r="312" customFormat="false" ht="15" hidden="false" customHeight="false" outlineLevel="0" collapsed="false">
      <c r="A312" s="53" t="n">
        <v>2</v>
      </c>
      <c r="B312" s="53" t="n">
        <v>14</v>
      </c>
      <c r="C312" s="76" t="s">
        <v>512</v>
      </c>
      <c r="D312" s="53" t="n">
        <v>20</v>
      </c>
      <c r="E312" s="73" t="n">
        <v>1.2</v>
      </c>
      <c r="F312" s="55" t="n">
        <v>2</v>
      </c>
      <c r="G312" s="20"/>
      <c r="H312" s="20"/>
      <c r="I312" s="20"/>
      <c r="J312" s="20"/>
      <c r="K312" s="20"/>
      <c r="L312" s="20"/>
      <c r="M312" s="41" t="n">
        <f aca="false">E312*F312+G312*H312+I312*J312+K312*L312</f>
        <v>2.4</v>
      </c>
      <c r="N312" s="41" t="n">
        <f aca="false">Исходные!$B$15-M312</f>
        <v>9.3</v>
      </c>
      <c r="O312" s="55" t="n">
        <v>1</v>
      </c>
      <c r="P312" s="53" t="n">
        <f aca="false">(F312+H312+J312+L312)*O312</f>
        <v>2</v>
      </c>
      <c r="Q312" s="74" t="n">
        <f aca="false">M312*O312</f>
        <v>2.4</v>
      </c>
      <c r="R312" s="74" t="n">
        <f aca="false">N312*O312</f>
        <v>9.3</v>
      </c>
    </row>
    <row r="313" customFormat="false" ht="15" hidden="false" customHeight="false" outlineLevel="0" collapsed="false">
      <c r="A313" s="53" t="n">
        <v>2</v>
      </c>
      <c r="B313" s="53" t="n">
        <v>12</v>
      </c>
      <c r="C313" s="76" t="s">
        <v>512</v>
      </c>
      <c r="D313" s="53" t="n">
        <v>1</v>
      </c>
      <c r="E313" s="73" t="n">
        <v>11.7</v>
      </c>
      <c r="F313" s="55" t="n">
        <v>1</v>
      </c>
      <c r="G313" s="20"/>
      <c r="H313" s="20"/>
      <c r="I313" s="20"/>
      <c r="J313" s="20"/>
      <c r="K313" s="20"/>
      <c r="L313" s="20"/>
      <c r="M313" s="41" t="n">
        <f aca="false">E313*F313+G313*H313+I313*J313+K313*L313</f>
        <v>11.7</v>
      </c>
      <c r="N313" s="41" t="n">
        <f aca="false">Исходные!$B$15-M313</f>
        <v>0</v>
      </c>
      <c r="O313" s="55" t="n">
        <v>8</v>
      </c>
      <c r="P313" s="53" t="n">
        <f aca="false">(F313+H313+J313+L313)*O313</f>
        <v>8</v>
      </c>
      <c r="Q313" s="74" t="n">
        <f aca="false">M313*O313</f>
        <v>93.6</v>
      </c>
      <c r="R313" s="74" t="n">
        <f aca="false">N313*O313</f>
        <v>0</v>
      </c>
    </row>
    <row r="314" customFormat="false" ht="15" hidden="false" customHeight="false" outlineLevel="0" collapsed="false">
      <c r="A314" s="53" t="n">
        <v>2</v>
      </c>
      <c r="B314" s="53" t="n">
        <v>12</v>
      </c>
      <c r="C314" s="76" t="s">
        <v>512</v>
      </c>
      <c r="D314" s="53" t="n">
        <v>2</v>
      </c>
      <c r="E314" s="73" t="n">
        <v>1.95</v>
      </c>
      <c r="F314" s="55" t="n">
        <v>6</v>
      </c>
      <c r="G314" s="20"/>
      <c r="H314" s="20"/>
      <c r="I314" s="20"/>
      <c r="J314" s="20"/>
      <c r="K314" s="20"/>
      <c r="L314" s="20"/>
      <c r="M314" s="41" t="n">
        <f aca="false">E314*F314+G314*H314+I314*J314+K314*L314</f>
        <v>11.7</v>
      </c>
      <c r="N314" s="41" t="n">
        <f aca="false">Исходные!$B$15-M314</f>
        <v>0</v>
      </c>
      <c r="O314" s="55" t="n">
        <v>2</v>
      </c>
      <c r="P314" s="53" t="n">
        <f aca="false">(F314+H314+J314+L314)*O314</f>
        <v>12</v>
      </c>
      <c r="Q314" s="74" t="n">
        <f aca="false">M314*O314</f>
        <v>23.4</v>
      </c>
      <c r="R314" s="74" t="n">
        <f aca="false">N314*O314</f>
        <v>0</v>
      </c>
    </row>
    <row r="315" customFormat="false" ht="15" hidden="false" customHeight="false" outlineLevel="0" collapsed="false">
      <c r="A315" s="53" t="n">
        <v>2</v>
      </c>
      <c r="B315" s="53" t="n">
        <v>12</v>
      </c>
      <c r="C315" s="76" t="s">
        <v>512</v>
      </c>
      <c r="D315" s="53" t="n">
        <v>3</v>
      </c>
      <c r="E315" s="73" t="n">
        <v>1.4</v>
      </c>
      <c r="F315" s="55" t="n">
        <v>3</v>
      </c>
      <c r="G315" s="73" t="n">
        <v>1.25</v>
      </c>
      <c r="H315" s="55" t="n">
        <v>6</v>
      </c>
      <c r="I315" s="20"/>
      <c r="J315" s="20"/>
      <c r="K315" s="20"/>
      <c r="L315" s="20"/>
      <c r="M315" s="41" t="n">
        <f aca="false">E315*F315+G315*H315+I315*J315+K315*L315</f>
        <v>11.7</v>
      </c>
      <c r="N315" s="41" t="n">
        <f aca="false">Исходные!$B$15-M315</f>
        <v>0</v>
      </c>
      <c r="O315" s="55" t="n">
        <v>1</v>
      </c>
      <c r="P315" s="53" t="n">
        <f aca="false">(F315+H315+J315+L315)*O315</f>
        <v>9</v>
      </c>
      <c r="Q315" s="74" t="n">
        <f aca="false">M315*O315</f>
        <v>11.7</v>
      </c>
      <c r="R315" s="74" t="n">
        <f aca="false">N315*O315</f>
        <v>0</v>
      </c>
    </row>
    <row r="316" customFormat="false" ht="15" hidden="false" customHeight="false" outlineLevel="0" collapsed="false">
      <c r="A316" s="53" t="n">
        <v>2</v>
      </c>
      <c r="B316" s="53" t="n">
        <v>12</v>
      </c>
      <c r="C316" s="76" t="s">
        <v>512</v>
      </c>
      <c r="D316" s="53" t="n">
        <v>4</v>
      </c>
      <c r="E316" s="73" t="n">
        <v>2.05</v>
      </c>
      <c r="F316" s="55" t="n">
        <v>5</v>
      </c>
      <c r="G316" s="73" t="n">
        <v>1.4</v>
      </c>
      <c r="H316" s="55" t="n">
        <v>1</v>
      </c>
      <c r="I316" s="20"/>
      <c r="J316" s="20"/>
      <c r="K316" s="20"/>
      <c r="L316" s="20"/>
      <c r="M316" s="41" t="n">
        <f aca="false">E316*F316+G316*H316+I316*J316+K316*L316</f>
        <v>11.65</v>
      </c>
      <c r="N316" s="41" t="n">
        <f aca="false">Исходные!$B$15-M316</f>
        <v>0.0499999999999989</v>
      </c>
      <c r="O316" s="55" t="n">
        <v>1</v>
      </c>
      <c r="P316" s="53" t="n">
        <f aca="false">(F316+H316+J316+L316)*O316</f>
        <v>6</v>
      </c>
      <c r="Q316" s="74" t="n">
        <f aca="false">M316*O316</f>
        <v>11.65</v>
      </c>
      <c r="R316" s="74" t="n">
        <f aca="false">N316*O316</f>
        <v>0.0499999999999989</v>
      </c>
    </row>
    <row r="317" customFormat="false" ht="15" hidden="false" customHeight="false" outlineLevel="0" collapsed="false">
      <c r="A317" s="53" t="n">
        <v>2</v>
      </c>
      <c r="B317" s="53" t="n">
        <v>12</v>
      </c>
      <c r="C317" s="76" t="s">
        <v>512</v>
      </c>
      <c r="D317" s="53" t="n">
        <v>5</v>
      </c>
      <c r="E317" s="73" t="n">
        <v>3.4</v>
      </c>
      <c r="F317" s="55" t="n">
        <v>3</v>
      </c>
      <c r="G317" s="73" t="n">
        <v>1.4</v>
      </c>
      <c r="H317" s="55" t="n">
        <v>1</v>
      </c>
      <c r="I317" s="20"/>
      <c r="J317" s="20"/>
      <c r="K317" s="20"/>
      <c r="L317" s="20"/>
      <c r="M317" s="41" t="n">
        <f aca="false">E317*F317+G317*H317+I317*J317+K317*L317</f>
        <v>11.6</v>
      </c>
      <c r="N317" s="41" t="n">
        <f aca="false">Исходные!$B$15-M317</f>
        <v>0.0999999999999996</v>
      </c>
      <c r="O317" s="55" t="n">
        <v>1</v>
      </c>
      <c r="P317" s="53" t="n">
        <f aca="false">(F317+H317+J317+L317)*O317</f>
        <v>4</v>
      </c>
      <c r="Q317" s="74" t="n">
        <f aca="false">M317*O317</f>
        <v>11.6</v>
      </c>
      <c r="R317" s="74" t="n">
        <f aca="false">N317*O317</f>
        <v>0.0999999999999996</v>
      </c>
    </row>
    <row r="318" customFormat="false" ht="15" hidden="false" customHeight="false" outlineLevel="0" collapsed="false">
      <c r="A318" s="53" t="n">
        <v>2</v>
      </c>
      <c r="B318" s="53" t="n">
        <v>12</v>
      </c>
      <c r="C318" s="76" t="s">
        <v>512</v>
      </c>
      <c r="D318" s="53" t="n">
        <v>6</v>
      </c>
      <c r="E318" s="73" t="n">
        <v>2.4</v>
      </c>
      <c r="F318" s="55" t="n">
        <v>1</v>
      </c>
      <c r="G318" s="73" t="n">
        <v>2.3</v>
      </c>
      <c r="H318" s="55" t="n">
        <v>4</v>
      </c>
      <c r="I318" s="20"/>
      <c r="J318" s="20"/>
      <c r="K318" s="20"/>
      <c r="L318" s="20"/>
      <c r="M318" s="41" t="n">
        <f aca="false">E318*F318+G318*H318+I318*J318+K318*L318</f>
        <v>11.6</v>
      </c>
      <c r="N318" s="41" t="n">
        <f aca="false">Исходные!$B$15-M318</f>
        <v>0.0999999999999996</v>
      </c>
      <c r="O318" s="55" t="n">
        <v>1</v>
      </c>
      <c r="P318" s="53" t="n">
        <f aca="false">(F318+H318+J318+L318)*O318</f>
        <v>5</v>
      </c>
      <c r="Q318" s="74" t="n">
        <f aca="false">M318*O318</f>
        <v>11.6</v>
      </c>
      <c r="R318" s="74" t="n">
        <f aca="false">N318*O318</f>
        <v>0.0999999999999996</v>
      </c>
    </row>
    <row r="319" customFormat="false" ht="15" hidden="false" customHeight="false" outlineLevel="0" collapsed="false">
      <c r="A319" s="53" t="n">
        <v>2</v>
      </c>
      <c r="B319" s="53" t="n">
        <v>12</v>
      </c>
      <c r="C319" s="76" t="s">
        <v>512</v>
      </c>
      <c r="D319" s="53" t="n">
        <v>7</v>
      </c>
      <c r="E319" s="73" t="n">
        <v>1.95</v>
      </c>
      <c r="F319" s="55" t="n">
        <v>1</v>
      </c>
      <c r="G319" s="73" t="n">
        <v>1.4</v>
      </c>
      <c r="H319" s="55" t="n">
        <v>6</v>
      </c>
      <c r="I319" s="73" t="n">
        <v>1.25</v>
      </c>
      <c r="J319" s="55" t="n">
        <v>1</v>
      </c>
      <c r="K319" s="20"/>
      <c r="L319" s="20"/>
      <c r="M319" s="41" t="n">
        <f aca="false">E319*F319+G319*H319+I319*J319+K319*L319</f>
        <v>11.6</v>
      </c>
      <c r="N319" s="41" t="n">
        <f aca="false">Исходные!$B$15-M319</f>
        <v>0.100000000000001</v>
      </c>
      <c r="O319" s="55" t="n">
        <v>1</v>
      </c>
      <c r="P319" s="53" t="n">
        <f aca="false">(F319+H319+J319+L319)*O319</f>
        <v>8</v>
      </c>
      <c r="Q319" s="74" t="n">
        <f aca="false">M319*O319</f>
        <v>11.6</v>
      </c>
      <c r="R319" s="74" t="n">
        <f aca="false">N319*O319</f>
        <v>0.100000000000001</v>
      </c>
    </row>
    <row r="320" customFormat="false" ht="15" hidden="false" customHeight="false" outlineLevel="0" collapsed="false">
      <c r="A320" s="53" t="n">
        <v>2</v>
      </c>
      <c r="B320" s="53" t="n">
        <v>12</v>
      </c>
      <c r="C320" s="76" t="s">
        <v>512</v>
      </c>
      <c r="D320" s="53" t="n">
        <v>8</v>
      </c>
      <c r="E320" s="73" t="n">
        <v>2.05</v>
      </c>
      <c r="F320" s="55" t="n">
        <v>4</v>
      </c>
      <c r="G320" s="73" t="n">
        <v>1.95</v>
      </c>
      <c r="H320" s="55" t="n">
        <v>1</v>
      </c>
      <c r="I320" s="73" t="n">
        <v>1.4</v>
      </c>
      <c r="J320" s="55" t="n">
        <v>1</v>
      </c>
      <c r="K320" s="20"/>
      <c r="L320" s="20"/>
      <c r="M320" s="41" t="n">
        <f aca="false">E320*F320+G320*H320+I320*J320+K320*L320</f>
        <v>11.55</v>
      </c>
      <c r="N320" s="41" t="n">
        <f aca="false">Исходные!$B$15-M320</f>
        <v>0.15</v>
      </c>
      <c r="O320" s="55" t="n">
        <v>1</v>
      </c>
      <c r="P320" s="53" t="n">
        <f aca="false">(F320+H320+J320+L320)*O320</f>
        <v>6</v>
      </c>
      <c r="Q320" s="74" t="n">
        <f aca="false">M320*O320</f>
        <v>11.55</v>
      </c>
      <c r="R320" s="74" t="n">
        <f aca="false">N320*O320</f>
        <v>0.15</v>
      </c>
    </row>
    <row r="321" customFormat="false" ht="15" hidden="false" customHeight="false" outlineLevel="0" collapsed="false">
      <c r="A321" s="53" t="n">
        <v>2</v>
      </c>
      <c r="B321" s="53" t="n">
        <v>12</v>
      </c>
      <c r="C321" s="76" t="s">
        <v>512</v>
      </c>
      <c r="D321" s="53" t="n">
        <v>9</v>
      </c>
      <c r="E321" s="73" t="n">
        <v>3.8</v>
      </c>
      <c r="F321" s="55" t="n">
        <v>3</v>
      </c>
      <c r="G321" s="20"/>
      <c r="H321" s="20"/>
      <c r="I321" s="20"/>
      <c r="J321" s="20"/>
      <c r="K321" s="20"/>
      <c r="L321" s="20"/>
      <c r="M321" s="41" t="n">
        <f aca="false">E321*F321+G321*H321+I321*J321+K321*L321</f>
        <v>11.4</v>
      </c>
      <c r="N321" s="41" t="n">
        <f aca="false">Исходные!$B$15-M321</f>
        <v>0.300000000000001</v>
      </c>
      <c r="O321" s="55" t="n">
        <v>2</v>
      </c>
      <c r="P321" s="53" t="n">
        <f aca="false">(F321+H321+J321+L321)*O321</f>
        <v>6</v>
      </c>
      <c r="Q321" s="74" t="n">
        <f aca="false">M321*O321</f>
        <v>22.8</v>
      </c>
      <c r="R321" s="74" t="n">
        <f aca="false">N321*O321</f>
        <v>0.600000000000001</v>
      </c>
    </row>
    <row r="322" customFormat="false" ht="15" hidden="false" customHeight="false" outlineLevel="0" collapsed="false">
      <c r="A322" s="53" t="n">
        <v>2</v>
      </c>
      <c r="B322" s="53" t="n">
        <v>12</v>
      </c>
      <c r="C322" s="76" t="s">
        <v>512</v>
      </c>
      <c r="D322" s="53" t="n">
        <v>10</v>
      </c>
      <c r="E322" s="73" t="n">
        <v>1.25</v>
      </c>
      <c r="F322" s="55" t="n">
        <v>9</v>
      </c>
      <c r="G322" s="20"/>
      <c r="H322" s="20"/>
      <c r="I322" s="20"/>
      <c r="J322" s="20"/>
      <c r="K322" s="20"/>
      <c r="L322" s="20"/>
      <c r="M322" s="41" t="n">
        <f aca="false">E322*F322+G322*H322+I322*J322+K322*L322</f>
        <v>11.25</v>
      </c>
      <c r="N322" s="41" t="n">
        <f aca="false">Исходные!$B$15-M322</f>
        <v>0.449999999999999</v>
      </c>
      <c r="O322" s="55" t="n">
        <v>5</v>
      </c>
      <c r="P322" s="53" t="n">
        <f aca="false">(F322+H322+J322+L322)*O322</f>
        <v>45</v>
      </c>
      <c r="Q322" s="74" t="n">
        <f aca="false">M322*O322</f>
        <v>56.25</v>
      </c>
      <c r="R322" s="74" t="n">
        <f aca="false">N322*O322</f>
        <v>2.25</v>
      </c>
    </row>
    <row r="323" customFormat="false" ht="15" hidden="false" customHeight="false" outlineLevel="0" collapsed="false">
      <c r="A323" s="53" t="n">
        <v>2</v>
      </c>
      <c r="B323" s="53" t="n">
        <v>12</v>
      </c>
      <c r="C323" s="76" t="s">
        <v>512</v>
      </c>
      <c r="D323" s="53" t="n">
        <v>11</v>
      </c>
      <c r="E323" s="73" t="n">
        <v>3.8</v>
      </c>
      <c r="F323" s="55" t="n">
        <v>2</v>
      </c>
      <c r="G323" s="73" t="n">
        <v>3.6</v>
      </c>
      <c r="H323" s="55" t="n">
        <v>1</v>
      </c>
      <c r="I323" s="20"/>
      <c r="J323" s="20"/>
      <c r="K323" s="20"/>
      <c r="L323" s="20"/>
      <c r="M323" s="41" t="n">
        <f aca="false">E323*F323+G323*H323+I323*J323+K323*L323</f>
        <v>11.2</v>
      </c>
      <c r="N323" s="41" t="n">
        <f aca="false">Исходные!$B$15-M323</f>
        <v>0.5</v>
      </c>
      <c r="O323" s="55" t="n">
        <v>1</v>
      </c>
      <c r="P323" s="53" t="n">
        <f aca="false">(F323+H323+J323+L323)*O323</f>
        <v>3</v>
      </c>
      <c r="Q323" s="74" t="n">
        <f aca="false">M323*O323</f>
        <v>11.2</v>
      </c>
      <c r="R323" s="74" t="n">
        <f aca="false">N323*O323</f>
        <v>0.5</v>
      </c>
    </row>
    <row r="324" customFormat="false" ht="15" hidden="false" customHeight="false" outlineLevel="0" collapsed="false">
      <c r="A324" s="53" t="n">
        <v>2</v>
      </c>
      <c r="B324" s="53" t="n">
        <v>12</v>
      </c>
      <c r="C324" s="76" t="s">
        <v>512</v>
      </c>
      <c r="D324" s="53" t="n">
        <v>12</v>
      </c>
      <c r="E324" s="73" t="n">
        <v>1.25</v>
      </c>
      <c r="F324" s="55" t="n">
        <v>6</v>
      </c>
      <c r="G324" s="73" t="n">
        <v>1.2</v>
      </c>
      <c r="H324" s="55" t="n">
        <v>3</v>
      </c>
      <c r="I324" s="20"/>
      <c r="J324" s="20"/>
      <c r="K324" s="20"/>
      <c r="L324" s="20"/>
      <c r="M324" s="41" t="n">
        <f aca="false">E324*F324+G324*H324+I324*J324+K324*L324</f>
        <v>11.1</v>
      </c>
      <c r="N324" s="41" t="n">
        <f aca="false">Исходные!$B$15-M324</f>
        <v>0.6</v>
      </c>
      <c r="O324" s="55" t="n">
        <v>1</v>
      </c>
      <c r="P324" s="53" t="n">
        <f aca="false">(F324+H324+J324+L324)*O324</f>
        <v>9</v>
      </c>
      <c r="Q324" s="74" t="n">
        <f aca="false">M324*O324</f>
        <v>11.1</v>
      </c>
      <c r="R324" s="74" t="n">
        <f aca="false">N324*O324</f>
        <v>0.6</v>
      </c>
    </row>
    <row r="325" customFormat="false" ht="15" hidden="false" customHeight="false" outlineLevel="0" collapsed="false">
      <c r="A325" s="53" t="n">
        <v>2</v>
      </c>
      <c r="B325" s="53" t="n">
        <v>12</v>
      </c>
      <c r="C325" s="76" t="s">
        <v>512</v>
      </c>
      <c r="D325" s="53" t="n">
        <v>13</v>
      </c>
      <c r="E325" s="73" t="n">
        <v>5.5</v>
      </c>
      <c r="F325" s="55" t="n">
        <v>2</v>
      </c>
      <c r="G325" s="20"/>
      <c r="H325" s="20"/>
      <c r="I325" s="20"/>
      <c r="J325" s="20"/>
      <c r="K325" s="20"/>
      <c r="L325" s="20"/>
      <c r="M325" s="41" t="n">
        <f aca="false">E325*F325+G325*H325+I325*J325+K325*L325</f>
        <v>11</v>
      </c>
      <c r="N325" s="41" t="n">
        <f aca="false">Исходные!$B$15-M325</f>
        <v>0.699999999999999</v>
      </c>
      <c r="O325" s="55" t="n">
        <v>1</v>
      </c>
      <c r="P325" s="53" t="n">
        <f aca="false">(F325+H325+J325+L325)*O325</f>
        <v>2</v>
      </c>
      <c r="Q325" s="74" t="n">
        <f aca="false">M325*O325</f>
        <v>11</v>
      </c>
      <c r="R325" s="74" t="n">
        <f aca="false">N325*O325</f>
        <v>0.699999999999999</v>
      </c>
    </row>
    <row r="326" customFormat="false" ht="15" hidden="false" customHeight="false" outlineLevel="0" collapsed="false">
      <c r="A326" s="53" t="n">
        <v>2</v>
      </c>
      <c r="B326" s="53" t="n">
        <v>12</v>
      </c>
      <c r="C326" s="76" t="s">
        <v>512</v>
      </c>
      <c r="D326" s="53" t="n">
        <v>14</v>
      </c>
      <c r="E326" s="73" t="n">
        <v>2.2</v>
      </c>
      <c r="F326" s="55" t="n">
        <v>5</v>
      </c>
      <c r="G326" s="20"/>
      <c r="H326" s="20"/>
      <c r="I326" s="20"/>
      <c r="J326" s="20"/>
      <c r="K326" s="20"/>
      <c r="L326" s="20"/>
      <c r="M326" s="41" t="n">
        <f aca="false">E326*F326+G326*H326+I326*J326+K326*L326</f>
        <v>11</v>
      </c>
      <c r="N326" s="41" t="n">
        <f aca="false">Исходные!$B$15-M326</f>
        <v>0.699999999999999</v>
      </c>
      <c r="O326" s="55" t="n">
        <v>2</v>
      </c>
      <c r="P326" s="53" t="n">
        <f aca="false">(F326+H326+J326+L326)*O326</f>
        <v>10</v>
      </c>
      <c r="Q326" s="74" t="n">
        <f aca="false">M326*O326</f>
        <v>22</v>
      </c>
      <c r="R326" s="74" t="n">
        <f aca="false">N326*O326</f>
        <v>1.4</v>
      </c>
    </row>
    <row r="327" customFormat="false" ht="15" hidden="false" customHeight="false" outlineLevel="0" collapsed="false">
      <c r="A327" s="53" t="n">
        <v>2</v>
      </c>
      <c r="B327" s="53" t="n">
        <v>12</v>
      </c>
      <c r="C327" s="76" t="s">
        <v>512</v>
      </c>
      <c r="D327" s="53" t="n">
        <v>15</v>
      </c>
      <c r="E327" s="73" t="n">
        <v>5.496</v>
      </c>
      <c r="F327" s="55" t="n">
        <v>2</v>
      </c>
      <c r="G327" s="20"/>
      <c r="H327" s="20"/>
      <c r="I327" s="20"/>
      <c r="J327" s="20"/>
      <c r="K327" s="20"/>
      <c r="L327" s="20"/>
      <c r="M327" s="41" t="n">
        <f aca="false">E327*F327+G327*H327+I327*J327+K327*L327</f>
        <v>10.992</v>
      </c>
      <c r="N327" s="41" t="n">
        <f aca="false">Исходные!$B$15-M327</f>
        <v>0.707999999999998</v>
      </c>
      <c r="O327" s="55" t="n">
        <v>4</v>
      </c>
      <c r="P327" s="53" t="n">
        <f aca="false">(F327+H327+J327+L327)*O327</f>
        <v>8</v>
      </c>
      <c r="Q327" s="74" t="n">
        <f aca="false">M327*O327</f>
        <v>43.968</v>
      </c>
      <c r="R327" s="74" t="n">
        <f aca="false">N327*O327</f>
        <v>2.83199999999999</v>
      </c>
    </row>
    <row r="328" customFormat="false" ht="15" hidden="false" customHeight="false" outlineLevel="0" collapsed="false">
      <c r="A328" s="53" t="n">
        <v>2</v>
      </c>
      <c r="B328" s="53" t="n">
        <v>12</v>
      </c>
      <c r="C328" s="76" t="s">
        <v>512</v>
      </c>
      <c r="D328" s="53" t="n">
        <v>16</v>
      </c>
      <c r="E328" s="73" t="n">
        <v>3.6</v>
      </c>
      <c r="F328" s="55" t="n">
        <v>3</v>
      </c>
      <c r="G328" s="20"/>
      <c r="H328" s="20"/>
      <c r="I328" s="20"/>
      <c r="J328" s="20"/>
      <c r="K328" s="20"/>
      <c r="L328" s="20"/>
      <c r="M328" s="41" t="n">
        <f aca="false">E328*F328+G328*H328+I328*J328+K328*L328</f>
        <v>10.8</v>
      </c>
      <c r="N328" s="41" t="n">
        <f aca="false">Исходные!$B$15-M328</f>
        <v>0.899999999999999</v>
      </c>
      <c r="O328" s="55" t="n">
        <v>1</v>
      </c>
      <c r="P328" s="53" t="n">
        <f aca="false">(F328+H328+J328+L328)*O328</f>
        <v>3</v>
      </c>
      <c r="Q328" s="74" t="n">
        <f aca="false">M328*O328</f>
        <v>10.8</v>
      </c>
      <c r="R328" s="74" t="n">
        <f aca="false">N328*O328</f>
        <v>0.899999999999999</v>
      </c>
    </row>
    <row r="329" customFormat="false" ht="15" hidden="false" customHeight="false" outlineLevel="0" collapsed="false">
      <c r="A329" s="53" t="n">
        <v>2</v>
      </c>
      <c r="B329" s="53" t="n">
        <v>12</v>
      </c>
      <c r="C329" s="76" t="s">
        <v>512</v>
      </c>
      <c r="D329" s="53" t="n">
        <v>17</v>
      </c>
      <c r="E329" s="73" t="n">
        <v>3.4</v>
      </c>
      <c r="F329" s="55" t="n">
        <v>1</v>
      </c>
      <c r="G329" s="73" t="n">
        <v>2.4</v>
      </c>
      <c r="H329" s="55" t="n">
        <v>3</v>
      </c>
      <c r="I329" s="20"/>
      <c r="J329" s="20"/>
      <c r="K329" s="20"/>
      <c r="L329" s="20"/>
      <c r="M329" s="41" t="n">
        <f aca="false">E329*F329+G329*H329+I329*J329+K329*L329</f>
        <v>10.6</v>
      </c>
      <c r="N329" s="41" t="n">
        <f aca="false">Исходные!$B$15-M329</f>
        <v>1.1</v>
      </c>
      <c r="O329" s="55" t="n">
        <v>1</v>
      </c>
      <c r="P329" s="53" t="n">
        <f aca="false">(F329+H329+J329+L329)*O329</f>
        <v>4</v>
      </c>
      <c r="Q329" s="74" t="n">
        <f aca="false">M329*O329</f>
        <v>10.6</v>
      </c>
      <c r="R329" s="74" t="n">
        <f aca="false">N329*O329</f>
        <v>1.1</v>
      </c>
    </row>
    <row r="330" customFormat="false" ht="15" hidden="false" customHeight="false" outlineLevel="0" collapsed="false">
      <c r="A330" s="53" t="n">
        <v>2</v>
      </c>
      <c r="B330" s="53" t="n">
        <v>12</v>
      </c>
      <c r="C330" s="76" t="s">
        <v>512</v>
      </c>
      <c r="D330" s="53" t="n">
        <v>18</v>
      </c>
      <c r="E330" s="73" t="n">
        <v>2.2</v>
      </c>
      <c r="F330" s="55" t="n">
        <v>2</v>
      </c>
      <c r="G330" s="73" t="n">
        <v>2.05</v>
      </c>
      <c r="H330" s="55" t="n">
        <v>3</v>
      </c>
      <c r="I330" s="20"/>
      <c r="J330" s="20"/>
      <c r="K330" s="20"/>
      <c r="L330" s="20"/>
      <c r="M330" s="41" t="n">
        <f aca="false">E330*F330+G330*H330+I330*J330+K330*L330</f>
        <v>10.55</v>
      </c>
      <c r="N330" s="41" t="n">
        <f aca="false">Исходные!$B$15-M330</f>
        <v>1.15</v>
      </c>
      <c r="O330" s="55" t="n">
        <v>1</v>
      </c>
      <c r="P330" s="53" t="n">
        <f aca="false">(F330+H330+J330+L330)*O330</f>
        <v>5</v>
      </c>
      <c r="Q330" s="74" t="n">
        <f aca="false">M330*O330</f>
        <v>10.55</v>
      </c>
      <c r="R330" s="74" t="n">
        <f aca="false">N330*O330</f>
        <v>1.15</v>
      </c>
    </row>
    <row r="331" customFormat="false" ht="15" hidden="false" customHeight="false" outlineLevel="0" collapsed="false">
      <c r="A331" s="53" t="n">
        <v>2</v>
      </c>
      <c r="B331" s="53" t="n">
        <v>12</v>
      </c>
      <c r="C331" s="76" t="s">
        <v>512</v>
      </c>
      <c r="D331" s="53" t="n">
        <v>19</v>
      </c>
      <c r="E331" s="73" t="n">
        <v>1.2</v>
      </c>
      <c r="F331" s="55" t="n">
        <v>3</v>
      </c>
      <c r="G331" s="20"/>
      <c r="H331" s="20"/>
      <c r="I331" s="20"/>
      <c r="J331" s="20"/>
      <c r="K331" s="20"/>
      <c r="L331" s="20"/>
      <c r="M331" s="41" t="n">
        <f aca="false">E331*F331+G331*H331+I331*J331+K331*L331</f>
        <v>3.6</v>
      </c>
      <c r="N331" s="41" t="n">
        <f aca="false">Исходные!$B$15-M331</f>
        <v>8.1</v>
      </c>
      <c r="O331" s="55" t="n">
        <v>1</v>
      </c>
      <c r="P331" s="53" t="n">
        <f aca="false">(F331+H331+J331+L331)*O331</f>
        <v>3</v>
      </c>
      <c r="Q331" s="74" t="n">
        <f aca="false">M331*O331</f>
        <v>3.6</v>
      </c>
      <c r="R331" s="74" t="n">
        <f aca="false">N331*O331</f>
        <v>8.1</v>
      </c>
    </row>
    <row r="332" customFormat="false" ht="15" hidden="false" customHeight="false" outlineLevel="0" collapsed="false">
      <c r="A332" s="53" t="n">
        <v>2</v>
      </c>
      <c r="B332" s="53" t="n">
        <v>10</v>
      </c>
      <c r="C332" s="76" t="s">
        <v>512</v>
      </c>
      <c r="D332" s="53" t="n">
        <v>1</v>
      </c>
      <c r="E332" s="73" t="n">
        <v>11.7</v>
      </c>
      <c r="F332" s="55" t="n">
        <v>1</v>
      </c>
      <c r="G332" s="20"/>
      <c r="H332" s="20"/>
      <c r="I332" s="20"/>
      <c r="J332" s="20"/>
      <c r="K332" s="20"/>
      <c r="L332" s="20"/>
      <c r="M332" s="41" t="n">
        <f aca="false">E332*F332+G332*H332+I332*J332+K332*L332</f>
        <v>11.7</v>
      </c>
      <c r="N332" s="41" t="n">
        <f aca="false">Исходные!$B$15-M332</f>
        <v>0</v>
      </c>
      <c r="O332" s="55" t="n">
        <v>616</v>
      </c>
      <c r="P332" s="53" t="n">
        <f aca="false">(F332+H332+J332+L332)*O332</f>
        <v>616</v>
      </c>
      <c r="Q332" s="74" t="n">
        <f aca="false">M332*O332</f>
        <v>7207.2</v>
      </c>
      <c r="R332" s="74" t="n">
        <f aca="false">N332*O332</f>
        <v>0</v>
      </c>
    </row>
    <row r="333" customFormat="false" ht="15" hidden="false" customHeight="false" outlineLevel="0" collapsed="false">
      <c r="A333" s="53" t="n">
        <v>2</v>
      </c>
      <c r="B333" s="53" t="n">
        <v>10</v>
      </c>
      <c r="C333" s="76" t="s">
        <v>512</v>
      </c>
      <c r="D333" s="53" t="n">
        <v>2</v>
      </c>
      <c r="E333" s="73" t="n">
        <v>9.18</v>
      </c>
      <c r="F333" s="55" t="n">
        <v>1</v>
      </c>
      <c r="G333" s="73" t="n">
        <v>1.95</v>
      </c>
      <c r="H333" s="55" t="n">
        <v>1</v>
      </c>
      <c r="I333" s="73" t="n">
        <v>0.57</v>
      </c>
      <c r="J333" s="55" t="n">
        <v>1</v>
      </c>
      <c r="K333" s="20"/>
      <c r="L333" s="20"/>
      <c r="M333" s="41" t="n">
        <f aca="false">E333*F333+G333*H333+I333*J333+K333*L333</f>
        <v>11.7</v>
      </c>
      <c r="N333" s="41" t="n">
        <f aca="false">Исходные!$B$15-M333</f>
        <v>0</v>
      </c>
      <c r="O333" s="55" t="n">
        <v>6</v>
      </c>
      <c r="P333" s="53" t="n">
        <f aca="false">(F333+H333+J333+L333)*O333</f>
        <v>18</v>
      </c>
      <c r="Q333" s="74" t="n">
        <f aca="false">M333*O333</f>
        <v>70.2</v>
      </c>
      <c r="R333" s="74" t="n">
        <f aca="false">N333*O333</f>
        <v>0</v>
      </c>
    </row>
    <row r="334" customFormat="false" ht="15" hidden="false" customHeight="false" outlineLevel="0" collapsed="false">
      <c r="A334" s="53" t="n">
        <v>2</v>
      </c>
      <c r="B334" s="53" t="n">
        <v>10</v>
      </c>
      <c r="C334" s="76" t="s">
        <v>512</v>
      </c>
      <c r="D334" s="53" t="n">
        <v>3</v>
      </c>
      <c r="E334" s="73" t="n">
        <v>3.78</v>
      </c>
      <c r="F334" s="55" t="n">
        <v>2</v>
      </c>
      <c r="G334" s="73" t="n">
        <v>3</v>
      </c>
      <c r="H334" s="55" t="n">
        <v>1</v>
      </c>
      <c r="I334" s="73" t="n">
        <v>0.57</v>
      </c>
      <c r="J334" s="55" t="n">
        <v>2</v>
      </c>
      <c r="K334" s="20"/>
      <c r="L334" s="20"/>
      <c r="M334" s="41" t="n">
        <f aca="false">E334*F334+G334*H334+I334*J334+K334*L334</f>
        <v>11.7</v>
      </c>
      <c r="N334" s="41" t="n">
        <f aca="false">Исходные!$B$15-M334</f>
        <v>0</v>
      </c>
      <c r="O334" s="55" t="n">
        <v>1</v>
      </c>
      <c r="P334" s="53" t="n">
        <f aca="false">(F334+H334+J334+L334)*O334</f>
        <v>5</v>
      </c>
      <c r="Q334" s="74" t="n">
        <f aca="false">M334*O334</f>
        <v>11.7</v>
      </c>
      <c r="R334" s="74" t="n">
        <f aca="false">N334*O334</f>
        <v>0</v>
      </c>
    </row>
    <row r="335" customFormat="false" ht="15" hidden="false" customHeight="false" outlineLevel="0" collapsed="false">
      <c r="A335" s="53" t="n">
        <v>2</v>
      </c>
      <c r="B335" s="53" t="n">
        <v>10</v>
      </c>
      <c r="C335" s="76" t="s">
        <v>512</v>
      </c>
      <c r="D335" s="53" t="n">
        <v>4</v>
      </c>
      <c r="E335" s="73" t="n">
        <v>3</v>
      </c>
      <c r="F335" s="55" t="n">
        <v>2</v>
      </c>
      <c r="G335" s="73" t="n">
        <v>2.6</v>
      </c>
      <c r="H335" s="55" t="n">
        <v>2</v>
      </c>
      <c r="I335" s="73" t="n">
        <v>0.48</v>
      </c>
      <c r="J335" s="55" t="n">
        <v>1</v>
      </c>
      <c r="K335" s="20"/>
      <c r="L335" s="20"/>
      <c r="M335" s="41" t="n">
        <f aca="false">E335*F335+G335*H335+I335*J335+K335*L335</f>
        <v>11.68</v>
      </c>
      <c r="N335" s="41" t="n">
        <f aca="false">Исходные!$B$15-M335</f>
        <v>0.0199999999999996</v>
      </c>
      <c r="O335" s="55" t="n">
        <v>1</v>
      </c>
      <c r="P335" s="53" t="n">
        <f aca="false">(F335+H335+J335+L335)*O335</f>
        <v>5</v>
      </c>
      <c r="Q335" s="74" t="n">
        <f aca="false">M335*O335</f>
        <v>11.68</v>
      </c>
      <c r="R335" s="74" t="n">
        <f aca="false">N335*O335</f>
        <v>0.0199999999999996</v>
      </c>
    </row>
    <row r="336" customFormat="false" ht="15" hidden="false" customHeight="false" outlineLevel="0" collapsed="false">
      <c r="A336" s="53" t="n">
        <v>2</v>
      </c>
      <c r="B336" s="53" t="n">
        <v>10</v>
      </c>
      <c r="C336" s="76" t="s">
        <v>512</v>
      </c>
      <c r="D336" s="53" t="n">
        <v>5</v>
      </c>
      <c r="E336" s="73" t="n">
        <v>1.4</v>
      </c>
      <c r="F336" s="55" t="n">
        <v>8</v>
      </c>
      <c r="G336" s="73" t="n">
        <v>0.48</v>
      </c>
      <c r="H336" s="55" t="n">
        <v>1</v>
      </c>
      <c r="I336" s="20"/>
      <c r="J336" s="20"/>
      <c r="K336" s="20"/>
      <c r="L336" s="20"/>
      <c r="M336" s="41" t="n">
        <f aca="false">E336*F336+G336*H336+I336*J336+K336*L336</f>
        <v>11.68</v>
      </c>
      <c r="N336" s="41" t="n">
        <f aca="false">Исходные!$B$15-M336</f>
        <v>0.0199999999999996</v>
      </c>
      <c r="O336" s="55" t="n">
        <v>3</v>
      </c>
      <c r="P336" s="53" t="n">
        <f aca="false">(F336+H336+J336+L336)*O336</f>
        <v>27</v>
      </c>
      <c r="Q336" s="74" t="n">
        <f aca="false">M336*O336</f>
        <v>35.04</v>
      </c>
      <c r="R336" s="74" t="n">
        <f aca="false">N336*O336</f>
        <v>0.0599999999999987</v>
      </c>
    </row>
    <row r="337" customFormat="false" ht="15" hidden="false" customHeight="false" outlineLevel="0" collapsed="false">
      <c r="A337" s="53" t="n">
        <v>2</v>
      </c>
      <c r="B337" s="53" t="n">
        <v>10</v>
      </c>
      <c r="C337" s="76" t="s">
        <v>512</v>
      </c>
      <c r="D337" s="53" t="n">
        <v>6</v>
      </c>
      <c r="E337" s="73" t="n">
        <v>7.17</v>
      </c>
      <c r="F337" s="55" t="n">
        <v>1</v>
      </c>
      <c r="G337" s="73" t="n">
        <v>4.5</v>
      </c>
      <c r="H337" s="55" t="n">
        <v>1</v>
      </c>
      <c r="I337" s="20"/>
      <c r="J337" s="20"/>
      <c r="K337" s="20"/>
      <c r="L337" s="20"/>
      <c r="M337" s="41" t="n">
        <f aca="false">E337*F337+G337*H337+I337*J337+K337*L337</f>
        <v>11.67</v>
      </c>
      <c r="N337" s="41" t="n">
        <f aca="false">Исходные!$B$15-M337</f>
        <v>0.0299999999999994</v>
      </c>
      <c r="O337" s="55" t="n">
        <v>26</v>
      </c>
      <c r="P337" s="53" t="n">
        <f aca="false">(F337+H337+J337+L337)*O337</f>
        <v>52</v>
      </c>
      <c r="Q337" s="74" t="n">
        <f aca="false">M337*O337</f>
        <v>303.42</v>
      </c>
      <c r="R337" s="74" t="n">
        <f aca="false">N337*O337</f>
        <v>0.779999999999983</v>
      </c>
    </row>
    <row r="338" customFormat="false" ht="15" hidden="false" customHeight="false" outlineLevel="0" collapsed="false">
      <c r="A338" s="53" t="n">
        <v>2</v>
      </c>
      <c r="B338" s="53" t="n">
        <v>10</v>
      </c>
      <c r="C338" s="76" t="s">
        <v>512</v>
      </c>
      <c r="D338" s="53" t="n">
        <v>7</v>
      </c>
      <c r="E338" s="73" t="n">
        <v>9.18</v>
      </c>
      <c r="F338" s="55" t="n">
        <v>1</v>
      </c>
      <c r="G338" s="73" t="n">
        <v>2</v>
      </c>
      <c r="H338" s="55" t="n">
        <v>1</v>
      </c>
      <c r="I338" s="73" t="n">
        <v>0.48</v>
      </c>
      <c r="J338" s="55" t="n">
        <v>1</v>
      </c>
      <c r="K338" s="20"/>
      <c r="L338" s="20"/>
      <c r="M338" s="41" t="n">
        <f aca="false">E338*F338+G338*H338+I338*J338+K338*L338</f>
        <v>11.66</v>
      </c>
      <c r="N338" s="41" t="n">
        <f aca="false">Исходные!$B$15-M338</f>
        <v>0.0399999999999992</v>
      </c>
      <c r="O338" s="55" t="n">
        <v>4</v>
      </c>
      <c r="P338" s="53" t="n">
        <f aca="false">(F338+H338+J338+L338)*O338</f>
        <v>12</v>
      </c>
      <c r="Q338" s="74" t="n">
        <f aca="false">M338*O338</f>
        <v>46.64</v>
      </c>
      <c r="R338" s="74" t="n">
        <f aca="false">N338*O338</f>
        <v>0.159999999999997</v>
      </c>
    </row>
    <row r="339" customFormat="false" ht="15" hidden="false" customHeight="false" outlineLevel="0" collapsed="false">
      <c r="A339" s="53" t="n">
        <v>2</v>
      </c>
      <c r="B339" s="53" t="n">
        <v>10</v>
      </c>
      <c r="C339" s="76" t="s">
        <v>512</v>
      </c>
      <c r="D339" s="53" t="n">
        <v>8</v>
      </c>
      <c r="E339" s="73" t="n">
        <v>4.72</v>
      </c>
      <c r="F339" s="55" t="n">
        <v>2</v>
      </c>
      <c r="G339" s="73" t="n">
        <v>2.2</v>
      </c>
      <c r="H339" s="55" t="n">
        <v>1</v>
      </c>
      <c r="I339" s="20"/>
      <c r="J339" s="20"/>
      <c r="K339" s="20"/>
      <c r="L339" s="20"/>
      <c r="M339" s="41" t="n">
        <f aca="false">E339*F339+G339*H339+I339*J339+K339*L339</f>
        <v>11.64</v>
      </c>
      <c r="N339" s="41" t="n">
        <f aca="false">Исходные!$B$15-M339</f>
        <v>0.0599999999999987</v>
      </c>
      <c r="O339" s="55" t="n">
        <v>26</v>
      </c>
      <c r="P339" s="53" t="n">
        <f aca="false">(F339+H339+J339+L339)*O339</f>
        <v>78</v>
      </c>
      <c r="Q339" s="74" t="n">
        <f aca="false">M339*O339</f>
        <v>302.64</v>
      </c>
      <c r="R339" s="74" t="n">
        <f aca="false">N339*O339</f>
        <v>1.55999999999997</v>
      </c>
    </row>
    <row r="340" customFormat="false" ht="15" hidden="false" customHeight="false" outlineLevel="0" collapsed="false">
      <c r="A340" s="53" t="n">
        <v>2</v>
      </c>
      <c r="B340" s="53" t="n">
        <v>10</v>
      </c>
      <c r="C340" s="76" t="s">
        <v>512</v>
      </c>
      <c r="D340" s="53" t="n">
        <v>9</v>
      </c>
      <c r="E340" s="73" t="n">
        <v>4.32</v>
      </c>
      <c r="F340" s="55" t="n">
        <v>2</v>
      </c>
      <c r="G340" s="73" t="n">
        <v>3</v>
      </c>
      <c r="H340" s="55" t="n">
        <v>1</v>
      </c>
      <c r="I340" s="20"/>
      <c r="J340" s="20"/>
      <c r="K340" s="20"/>
      <c r="L340" s="20"/>
      <c r="M340" s="41" t="n">
        <f aca="false">E340*F340+G340*H340+I340*J340+K340*L340</f>
        <v>11.64</v>
      </c>
      <c r="N340" s="41" t="n">
        <f aca="false">Исходные!$B$15-M340</f>
        <v>0.0599999999999987</v>
      </c>
      <c r="O340" s="55" t="n">
        <v>16</v>
      </c>
      <c r="P340" s="53" t="n">
        <f aca="false">(F340+H340+J340+L340)*O340</f>
        <v>48</v>
      </c>
      <c r="Q340" s="74" t="n">
        <f aca="false">M340*O340</f>
        <v>186.24</v>
      </c>
      <c r="R340" s="74" t="n">
        <f aca="false">N340*O340</f>
        <v>0.95999999999998</v>
      </c>
    </row>
    <row r="341" customFormat="false" ht="15" hidden="false" customHeight="false" outlineLevel="0" collapsed="false">
      <c r="A341" s="53" t="n">
        <v>2</v>
      </c>
      <c r="B341" s="53" t="n">
        <v>10</v>
      </c>
      <c r="C341" s="76" t="s">
        <v>512</v>
      </c>
      <c r="D341" s="53" t="n">
        <v>10</v>
      </c>
      <c r="E341" s="73" t="n">
        <v>5.98</v>
      </c>
      <c r="F341" s="55" t="n">
        <v>1</v>
      </c>
      <c r="G341" s="73" t="n">
        <v>5.05</v>
      </c>
      <c r="H341" s="55" t="n">
        <v>1</v>
      </c>
      <c r="I341" s="73" t="n">
        <v>0.6</v>
      </c>
      <c r="J341" s="55" t="n">
        <v>1</v>
      </c>
      <c r="K341" s="20"/>
      <c r="L341" s="20"/>
      <c r="M341" s="41" t="n">
        <f aca="false">E341*F341+G341*H341+I341*J341+K341*L341</f>
        <v>11.63</v>
      </c>
      <c r="N341" s="41" t="n">
        <f aca="false">Исходные!$B$15-M341</f>
        <v>0.0699999999999985</v>
      </c>
      <c r="O341" s="55" t="n">
        <v>6</v>
      </c>
      <c r="P341" s="53" t="n">
        <f aca="false">(F341+H341+J341+L341)*O341</f>
        <v>18</v>
      </c>
      <c r="Q341" s="74" t="n">
        <f aca="false">M341*O341</f>
        <v>69.78</v>
      </c>
      <c r="R341" s="74" t="n">
        <f aca="false">N341*O341</f>
        <v>0.419999999999991</v>
      </c>
    </row>
    <row r="342" customFormat="false" ht="15" hidden="false" customHeight="false" outlineLevel="0" collapsed="false">
      <c r="A342" s="53" t="n">
        <v>2</v>
      </c>
      <c r="B342" s="53" t="n">
        <v>10</v>
      </c>
      <c r="C342" s="76" t="s">
        <v>512</v>
      </c>
      <c r="D342" s="53" t="n">
        <v>11</v>
      </c>
      <c r="E342" s="73" t="n">
        <v>11.02</v>
      </c>
      <c r="F342" s="55" t="n">
        <v>1</v>
      </c>
      <c r="G342" s="73" t="n">
        <v>0.6</v>
      </c>
      <c r="H342" s="55" t="n">
        <v>1</v>
      </c>
      <c r="I342" s="20"/>
      <c r="J342" s="20"/>
      <c r="K342" s="20"/>
      <c r="L342" s="20"/>
      <c r="M342" s="41" t="n">
        <f aca="false">E342*F342+G342*H342+I342*J342+K342*L342</f>
        <v>11.62</v>
      </c>
      <c r="N342" s="41" t="n">
        <f aca="false">Исходные!$B$15-M342</f>
        <v>0.0800000000000001</v>
      </c>
      <c r="O342" s="55" t="n">
        <v>66</v>
      </c>
      <c r="P342" s="53" t="n">
        <f aca="false">(F342+H342+J342+L342)*O342</f>
        <v>132</v>
      </c>
      <c r="Q342" s="74" t="n">
        <f aca="false">M342*O342</f>
        <v>766.92</v>
      </c>
      <c r="R342" s="74" t="n">
        <f aca="false">N342*O342</f>
        <v>5.28000000000001</v>
      </c>
    </row>
    <row r="343" customFormat="false" ht="15" hidden="false" customHeight="false" outlineLevel="0" collapsed="false">
      <c r="A343" s="53" t="n">
        <v>2</v>
      </c>
      <c r="B343" s="53" t="n">
        <v>10</v>
      </c>
      <c r="C343" s="76" t="s">
        <v>512</v>
      </c>
      <c r="D343" s="53" t="n">
        <v>12</v>
      </c>
      <c r="E343" s="73" t="n">
        <v>4.5</v>
      </c>
      <c r="F343" s="55" t="n">
        <v>2</v>
      </c>
      <c r="G343" s="73" t="n">
        <v>2.6</v>
      </c>
      <c r="H343" s="55" t="n">
        <v>1</v>
      </c>
      <c r="I343" s="20"/>
      <c r="J343" s="20"/>
      <c r="K343" s="20"/>
      <c r="L343" s="20"/>
      <c r="M343" s="41" t="n">
        <f aca="false">E343*F343+G343*H343+I343*J343+K343*L343</f>
        <v>11.6</v>
      </c>
      <c r="N343" s="41" t="n">
        <f aca="false">Исходные!$B$15-M343</f>
        <v>0.0999999999999996</v>
      </c>
      <c r="O343" s="55" t="n">
        <v>8</v>
      </c>
      <c r="P343" s="53" t="n">
        <f aca="false">(F343+H343+J343+L343)*O343</f>
        <v>24</v>
      </c>
      <c r="Q343" s="74" t="n">
        <f aca="false">M343*O343</f>
        <v>92.8</v>
      </c>
      <c r="R343" s="74" t="n">
        <f aca="false">N343*O343</f>
        <v>0.799999999999997</v>
      </c>
    </row>
    <row r="344" customFormat="false" ht="15" hidden="false" customHeight="false" outlineLevel="0" collapsed="false">
      <c r="A344" s="53" t="n">
        <v>2</v>
      </c>
      <c r="B344" s="53" t="n">
        <v>10</v>
      </c>
      <c r="C344" s="76" t="s">
        <v>512</v>
      </c>
      <c r="D344" s="53" t="n">
        <v>13</v>
      </c>
      <c r="E344" s="73" t="n">
        <v>4.3</v>
      </c>
      <c r="F344" s="55" t="n">
        <v>2</v>
      </c>
      <c r="G344" s="73" t="n">
        <v>3</v>
      </c>
      <c r="H344" s="55" t="n">
        <v>1</v>
      </c>
      <c r="I344" s="20"/>
      <c r="J344" s="20"/>
      <c r="K344" s="20"/>
      <c r="L344" s="20"/>
      <c r="M344" s="41" t="n">
        <f aca="false">E344*F344+G344*H344+I344*J344+K344*L344</f>
        <v>11.6</v>
      </c>
      <c r="N344" s="41" t="n">
        <f aca="false">Исходные!$B$15-M344</f>
        <v>0.0999999999999996</v>
      </c>
      <c r="O344" s="55" t="n">
        <v>17</v>
      </c>
      <c r="P344" s="53" t="n">
        <f aca="false">(F344+H344+J344+L344)*O344</f>
        <v>51</v>
      </c>
      <c r="Q344" s="74" t="n">
        <f aca="false">M344*O344</f>
        <v>197.2</v>
      </c>
      <c r="R344" s="74" t="n">
        <f aca="false">N344*O344</f>
        <v>1.69999999999999</v>
      </c>
    </row>
    <row r="345" customFormat="false" ht="15" hidden="false" customHeight="false" outlineLevel="0" collapsed="false">
      <c r="A345" s="53" t="n">
        <v>2</v>
      </c>
      <c r="B345" s="53" t="n">
        <v>10</v>
      </c>
      <c r="C345" s="76" t="s">
        <v>512</v>
      </c>
      <c r="D345" s="53" t="n">
        <v>14</v>
      </c>
      <c r="E345" s="73" t="n">
        <v>3</v>
      </c>
      <c r="F345" s="55" t="n">
        <v>3</v>
      </c>
      <c r="G345" s="73" t="n">
        <v>2.6</v>
      </c>
      <c r="H345" s="55" t="n">
        <v>1</v>
      </c>
      <c r="I345" s="20"/>
      <c r="J345" s="20"/>
      <c r="K345" s="20"/>
      <c r="L345" s="20"/>
      <c r="M345" s="41" t="n">
        <f aca="false">E345*F345+G345*H345+I345*J345+K345*L345</f>
        <v>11.6</v>
      </c>
      <c r="N345" s="41" t="n">
        <f aca="false">Исходные!$B$15-M345</f>
        <v>0.0999999999999996</v>
      </c>
      <c r="O345" s="55" t="n">
        <v>6</v>
      </c>
      <c r="P345" s="53" t="n">
        <f aca="false">(F345+H345+J345+L345)*O345</f>
        <v>24</v>
      </c>
      <c r="Q345" s="74" t="n">
        <f aca="false">M345*O345</f>
        <v>69.6</v>
      </c>
      <c r="R345" s="74" t="n">
        <f aca="false">N345*O345</f>
        <v>0.599999999999998</v>
      </c>
    </row>
    <row r="346" customFormat="false" ht="15" hidden="false" customHeight="false" outlineLevel="0" collapsed="false">
      <c r="A346" s="53" t="n">
        <v>2</v>
      </c>
      <c r="B346" s="53" t="n">
        <v>10</v>
      </c>
      <c r="C346" s="76" t="s">
        <v>512</v>
      </c>
      <c r="D346" s="53" t="n">
        <v>15</v>
      </c>
      <c r="E346" s="73" t="n">
        <v>2.6</v>
      </c>
      <c r="F346" s="55" t="n">
        <v>4</v>
      </c>
      <c r="G346" s="73" t="n">
        <v>1.2</v>
      </c>
      <c r="H346" s="55" t="n">
        <v>1</v>
      </c>
      <c r="I346" s="20"/>
      <c r="J346" s="20"/>
      <c r="K346" s="20"/>
      <c r="L346" s="20"/>
      <c r="M346" s="41" t="n">
        <f aca="false">E346*F346+G346*H346+I346*J346+K346*L346</f>
        <v>11.6</v>
      </c>
      <c r="N346" s="41" t="n">
        <f aca="false">Исходные!$B$15-M346</f>
        <v>0.0999999999999996</v>
      </c>
      <c r="O346" s="55" t="n">
        <v>2</v>
      </c>
      <c r="P346" s="53" t="n">
        <f aca="false">(F346+H346+J346+L346)*O346</f>
        <v>10</v>
      </c>
      <c r="Q346" s="74" t="n">
        <f aca="false">M346*O346</f>
        <v>23.2</v>
      </c>
      <c r="R346" s="74" t="n">
        <f aca="false">N346*O346</f>
        <v>0.199999999999999</v>
      </c>
    </row>
    <row r="347" customFormat="false" ht="15" hidden="false" customHeight="false" outlineLevel="0" collapsed="false">
      <c r="A347" s="53" t="n">
        <v>2</v>
      </c>
      <c r="B347" s="53" t="n">
        <v>10</v>
      </c>
      <c r="C347" s="76" t="s">
        <v>512</v>
      </c>
      <c r="D347" s="53" t="n">
        <v>16</v>
      </c>
      <c r="E347" s="73" t="n">
        <v>1.4</v>
      </c>
      <c r="F347" s="55" t="n">
        <v>4</v>
      </c>
      <c r="G347" s="73" t="n">
        <v>1.2</v>
      </c>
      <c r="H347" s="55" t="n">
        <v>5</v>
      </c>
      <c r="I347" s="20"/>
      <c r="J347" s="20"/>
      <c r="K347" s="20"/>
      <c r="L347" s="20"/>
      <c r="M347" s="41" t="n">
        <f aca="false">E347*F347+G347*H347+I347*J347+K347*L347</f>
        <v>11.6</v>
      </c>
      <c r="N347" s="41" t="n">
        <f aca="false">Исходные!$B$15-M347</f>
        <v>0.0999999999999996</v>
      </c>
      <c r="O347" s="55" t="n">
        <v>1</v>
      </c>
      <c r="P347" s="53" t="n">
        <f aca="false">(F347+H347+J347+L347)*O347</f>
        <v>9</v>
      </c>
      <c r="Q347" s="74" t="n">
        <f aca="false">M347*O347</f>
        <v>11.6</v>
      </c>
      <c r="R347" s="74" t="n">
        <f aca="false">N347*O347</f>
        <v>0.0999999999999996</v>
      </c>
    </row>
    <row r="348" customFormat="false" ht="15" hidden="false" customHeight="false" outlineLevel="0" collapsed="false">
      <c r="A348" s="53" t="n">
        <v>2</v>
      </c>
      <c r="B348" s="53" t="n">
        <v>10</v>
      </c>
      <c r="C348" s="76" t="s">
        <v>512</v>
      </c>
      <c r="D348" s="53" t="n">
        <v>17</v>
      </c>
      <c r="E348" s="73" t="n">
        <v>7.97</v>
      </c>
      <c r="F348" s="55" t="n">
        <v>1</v>
      </c>
      <c r="G348" s="73" t="n">
        <v>3.625</v>
      </c>
      <c r="H348" s="55" t="n">
        <v>1</v>
      </c>
      <c r="I348" s="20"/>
      <c r="J348" s="20"/>
      <c r="K348" s="20"/>
      <c r="L348" s="20"/>
      <c r="M348" s="41" t="n">
        <f aca="false">E348*F348+G348*H348+I348*J348+K348*L348</f>
        <v>11.595</v>
      </c>
      <c r="N348" s="41" t="n">
        <f aca="false">Исходные!$B$15-M348</f>
        <v>0.105</v>
      </c>
      <c r="O348" s="55" t="n">
        <v>20</v>
      </c>
      <c r="P348" s="53" t="n">
        <f aca="false">(F348+H348+J348+L348)*O348</f>
        <v>40</v>
      </c>
      <c r="Q348" s="74" t="n">
        <f aca="false">M348*O348</f>
        <v>231.9</v>
      </c>
      <c r="R348" s="74" t="n">
        <f aca="false">N348*O348</f>
        <v>2.10000000000001</v>
      </c>
    </row>
    <row r="349" customFormat="false" ht="15" hidden="false" customHeight="false" outlineLevel="0" collapsed="false">
      <c r="A349" s="53" t="n">
        <v>2</v>
      </c>
      <c r="B349" s="53" t="n">
        <v>10</v>
      </c>
      <c r="C349" s="76" t="s">
        <v>512</v>
      </c>
      <c r="D349" s="53" t="n">
        <v>18</v>
      </c>
      <c r="E349" s="73" t="n">
        <v>11.02</v>
      </c>
      <c r="F349" s="55" t="n">
        <v>1</v>
      </c>
      <c r="G349" s="73" t="n">
        <v>0.57</v>
      </c>
      <c r="H349" s="55" t="n">
        <v>1</v>
      </c>
      <c r="I349" s="20"/>
      <c r="J349" s="20"/>
      <c r="K349" s="20"/>
      <c r="L349" s="20"/>
      <c r="M349" s="41" t="n">
        <f aca="false">E349*F349+G349*H349+I349*J349+K349*L349</f>
        <v>11.59</v>
      </c>
      <c r="N349" s="41" t="n">
        <f aca="false">Исходные!$B$15-M349</f>
        <v>0.109999999999999</v>
      </c>
      <c r="O349" s="55" t="n">
        <v>14</v>
      </c>
      <c r="P349" s="53" t="n">
        <f aca="false">(F349+H349+J349+L349)*O349</f>
        <v>28</v>
      </c>
      <c r="Q349" s="74" t="n">
        <f aca="false">M349*O349</f>
        <v>162.26</v>
      </c>
      <c r="R349" s="74" t="n">
        <f aca="false">N349*O349</f>
        <v>1.53999999999999</v>
      </c>
    </row>
    <row r="350" customFormat="false" ht="15" hidden="false" customHeight="false" outlineLevel="0" collapsed="false">
      <c r="A350" s="53" t="n">
        <v>2</v>
      </c>
      <c r="B350" s="53" t="n">
        <v>10</v>
      </c>
      <c r="C350" s="76" t="s">
        <v>512</v>
      </c>
      <c r="D350" s="53" t="n">
        <v>19</v>
      </c>
      <c r="E350" s="73" t="n">
        <v>5.05</v>
      </c>
      <c r="F350" s="55" t="n">
        <v>2</v>
      </c>
      <c r="G350" s="73" t="n">
        <v>1.45</v>
      </c>
      <c r="H350" s="55" t="n">
        <v>1</v>
      </c>
      <c r="I350" s="20"/>
      <c r="J350" s="20"/>
      <c r="K350" s="20"/>
      <c r="L350" s="20"/>
      <c r="M350" s="41" t="n">
        <f aca="false">E350*F350+G350*H350+I350*J350+K350*L350</f>
        <v>11.55</v>
      </c>
      <c r="N350" s="41" t="n">
        <f aca="false">Исходные!$B$15-M350</f>
        <v>0.15</v>
      </c>
      <c r="O350" s="55" t="n">
        <v>6</v>
      </c>
      <c r="P350" s="53" t="n">
        <f aca="false">(F350+H350+J350+L350)*O350</f>
        <v>18</v>
      </c>
      <c r="Q350" s="74" t="n">
        <f aca="false">M350*O350</f>
        <v>69.3</v>
      </c>
      <c r="R350" s="74" t="n">
        <f aca="false">N350*O350</f>
        <v>0.900000000000002</v>
      </c>
    </row>
    <row r="351" customFormat="false" ht="15" hidden="false" customHeight="false" outlineLevel="0" collapsed="false">
      <c r="A351" s="53" t="n">
        <v>2</v>
      </c>
      <c r="B351" s="53" t="n">
        <v>10</v>
      </c>
      <c r="C351" s="76" t="s">
        <v>512</v>
      </c>
      <c r="D351" s="53" t="n">
        <v>20</v>
      </c>
      <c r="E351" s="73" t="n">
        <v>7.97</v>
      </c>
      <c r="F351" s="55" t="n">
        <v>1</v>
      </c>
      <c r="G351" s="73" t="n">
        <v>3</v>
      </c>
      <c r="H351" s="55" t="n">
        <v>1</v>
      </c>
      <c r="I351" s="73" t="n">
        <v>0.57</v>
      </c>
      <c r="J351" s="55" t="n">
        <v>1</v>
      </c>
      <c r="K351" s="20"/>
      <c r="L351" s="20"/>
      <c r="M351" s="41" t="n">
        <f aca="false">E351*F351+G351*H351+I351*J351+K351*L351</f>
        <v>11.54</v>
      </c>
      <c r="N351" s="41" t="n">
        <f aca="false">Исходные!$B$15-M351</f>
        <v>0.16</v>
      </c>
      <c r="O351" s="55" t="n">
        <v>8</v>
      </c>
      <c r="P351" s="53" t="n">
        <f aca="false">(F351+H351+J351+L351)*O351</f>
        <v>24</v>
      </c>
      <c r="Q351" s="74" t="n">
        <f aca="false">M351*O351</f>
        <v>92.32</v>
      </c>
      <c r="R351" s="74" t="n">
        <f aca="false">N351*O351</f>
        <v>1.28</v>
      </c>
    </row>
    <row r="352" customFormat="false" ht="15" hidden="false" customHeight="false" outlineLevel="0" collapsed="false">
      <c r="A352" s="53" t="n">
        <v>2</v>
      </c>
      <c r="B352" s="53" t="n">
        <v>10</v>
      </c>
      <c r="C352" s="76" t="s">
        <v>512</v>
      </c>
      <c r="D352" s="53" t="n">
        <v>21</v>
      </c>
      <c r="E352" s="73" t="n">
        <v>7.95</v>
      </c>
      <c r="F352" s="55" t="n">
        <v>1</v>
      </c>
      <c r="G352" s="73" t="n">
        <v>3</v>
      </c>
      <c r="H352" s="55" t="n">
        <v>1</v>
      </c>
      <c r="I352" s="73" t="n">
        <v>0.57</v>
      </c>
      <c r="J352" s="55" t="n">
        <v>1</v>
      </c>
      <c r="K352" s="20"/>
      <c r="L352" s="20"/>
      <c r="M352" s="41" t="n">
        <f aca="false">E352*F352+G352*H352+I352*J352+K352*L352</f>
        <v>11.52</v>
      </c>
      <c r="N352" s="41" t="n">
        <f aca="false">Исходные!$B$15-M352</f>
        <v>0.18</v>
      </c>
      <c r="O352" s="55" t="n">
        <v>18</v>
      </c>
      <c r="P352" s="53" t="n">
        <f aca="false">(F352+H352+J352+L352)*O352</f>
        <v>54</v>
      </c>
      <c r="Q352" s="74" t="n">
        <f aca="false">M352*O352</f>
        <v>207.36</v>
      </c>
      <c r="R352" s="74" t="n">
        <f aca="false">N352*O352</f>
        <v>3.24</v>
      </c>
    </row>
    <row r="353" customFormat="false" ht="15" hidden="false" customHeight="false" outlineLevel="0" collapsed="false">
      <c r="A353" s="53" t="n">
        <v>2</v>
      </c>
      <c r="B353" s="53" t="n">
        <v>10</v>
      </c>
      <c r="C353" s="76" t="s">
        <v>512</v>
      </c>
      <c r="D353" s="53" t="n">
        <v>22</v>
      </c>
      <c r="E353" s="73" t="n">
        <v>9.3</v>
      </c>
      <c r="F353" s="55" t="n">
        <v>1</v>
      </c>
      <c r="G353" s="73" t="n">
        <v>2.2</v>
      </c>
      <c r="H353" s="55" t="n">
        <v>1</v>
      </c>
      <c r="I353" s="20"/>
      <c r="J353" s="20"/>
      <c r="K353" s="20"/>
      <c r="L353" s="20"/>
      <c r="M353" s="41" t="n">
        <f aca="false">E353*F353+G353*H353+I353*J353+K353*L353</f>
        <v>11.5</v>
      </c>
      <c r="N353" s="41" t="n">
        <f aca="false">Исходные!$B$15-M353</f>
        <v>0.199999999999999</v>
      </c>
      <c r="O353" s="55" t="n">
        <v>71</v>
      </c>
      <c r="P353" s="53" t="n">
        <f aca="false">(F353+H353+J353+L353)*O353</f>
        <v>142</v>
      </c>
      <c r="Q353" s="74" t="n">
        <f aca="false">M353*O353</f>
        <v>816.5</v>
      </c>
      <c r="R353" s="74" t="n">
        <f aca="false">N353*O353</f>
        <v>14.2</v>
      </c>
    </row>
    <row r="354" customFormat="false" ht="15" hidden="false" customHeight="false" outlineLevel="0" collapsed="false">
      <c r="A354" s="53" t="n">
        <v>2</v>
      </c>
      <c r="B354" s="53" t="n">
        <v>10</v>
      </c>
      <c r="C354" s="76" t="s">
        <v>512</v>
      </c>
      <c r="D354" s="53" t="n">
        <v>23</v>
      </c>
      <c r="E354" s="73" t="n">
        <v>5.05</v>
      </c>
      <c r="F354" s="55" t="n">
        <v>2</v>
      </c>
      <c r="G354" s="73" t="n">
        <v>1.4</v>
      </c>
      <c r="H354" s="55" t="n">
        <v>1</v>
      </c>
      <c r="I354" s="20"/>
      <c r="J354" s="20"/>
      <c r="K354" s="20"/>
      <c r="L354" s="20"/>
      <c r="M354" s="41" t="n">
        <f aca="false">E354*F354+G354*H354+I354*J354+K354*L354</f>
        <v>11.5</v>
      </c>
      <c r="N354" s="41" t="n">
        <f aca="false">Исходные!$B$15-M354</f>
        <v>0.199999999999999</v>
      </c>
      <c r="O354" s="55" t="n">
        <v>2</v>
      </c>
      <c r="P354" s="53" t="n">
        <f aca="false">(F354+H354+J354+L354)*O354</f>
        <v>6</v>
      </c>
      <c r="Q354" s="74" t="n">
        <f aca="false">M354*O354</f>
        <v>23</v>
      </c>
      <c r="R354" s="74" t="n">
        <f aca="false">N354*O354</f>
        <v>0.399999999999999</v>
      </c>
    </row>
    <row r="355" customFormat="false" ht="15" hidden="false" customHeight="false" outlineLevel="0" collapsed="false">
      <c r="A355" s="53" t="n">
        <v>2</v>
      </c>
      <c r="B355" s="53" t="n">
        <v>10</v>
      </c>
      <c r="C355" s="76" t="s">
        <v>512</v>
      </c>
      <c r="D355" s="53" t="n">
        <v>24</v>
      </c>
      <c r="E355" s="73" t="n">
        <v>1.19</v>
      </c>
      <c r="F355" s="55" t="n">
        <v>2</v>
      </c>
      <c r="G355" s="73" t="n">
        <v>0.57</v>
      </c>
      <c r="H355" s="55" t="n">
        <v>16</v>
      </c>
      <c r="I355" s="20"/>
      <c r="J355" s="20"/>
      <c r="K355" s="20"/>
      <c r="L355" s="20"/>
      <c r="M355" s="41" t="n">
        <f aca="false">E355*F355+G355*H355+I355*J355+K355*L355</f>
        <v>11.5</v>
      </c>
      <c r="N355" s="41" t="n">
        <f aca="false">Исходные!$B$15-M355</f>
        <v>0.199999999999999</v>
      </c>
      <c r="O355" s="55" t="n">
        <v>1</v>
      </c>
      <c r="P355" s="53" t="n">
        <f aca="false">(F355+H355+J355+L355)*O355</f>
        <v>18</v>
      </c>
      <c r="Q355" s="74" t="n">
        <f aca="false">M355*O355</f>
        <v>11.5</v>
      </c>
      <c r="R355" s="74" t="n">
        <f aca="false">N355*O355</f>
        <v>0.199999999999999</v>
      </c>
    </row>
    <row r="356" customFormat="false" ht="15" hidden="false" customHeight="false" outlineLevel="0" collapsed="false">
      <c r="A356" s="53" t="n">
        <v>2</v>
      </c>
      <c r="B356" s="53" t="n">
        <v>10</v>
      </c>
      <c r="C356" s="76" t="s">
        <v>512</v>
      </c>
      <c r="D356" s="53" t="n">
        <v>25</v>
      </c>
      <c r="E356" s="73" t="n">
        <v>7.71</v>
      </c>
      <c r="F356" s="55" t="n">
        <v>1</v>
      </c>
      <c r="G356" s="73" t="n">
        <v>3.78</v>
      </c>
      <c r="H356" s="55" t="n">
        <v>1</v>
      </c>
      <c r="I356" s="20"/>
      <c r="J356" s="20"/>
      <c r="K356" s="20"/>
      <c r="L356" s="20"/>
      <c r="M356" s="41" t="n">
        <f aca="false">E356*F356+G356*H356+I356*J356+K356*L356</f>
        <v>11.49</v>
      </c>
      <c r="N356" s="41" t="n">
        <f aca="false">Исходные!$B$15-M356</f>
        <v>0.209999999999999</v>
      </c>
      <c r="O356" s="55" t="n">
        <v>4</v>
      </c>
      <c r="P356" s="53" t="n">
        <f aca="false">(F356+H356+J356+L356)*O356</f>
        <v>8</v>
      </c>
      <c r="Q356" s="74" t="n">
        <f aca="false">M356*O356</f>
        <v>45.96</v>
      </c>
      <c r="R356" s="74" t="n">
        <f aca="false">N356*O356</f>
        <v>0.839999999999996</v>
      </c>
    </row>
    <row r="357" customFormat="false" ht="15" hidden="false" customHeight="false" outlineLevel="0" collapsed="false">
      <c r="A357" s="53" t="n">
        <v>2</v>
      </c>
      <c r="B357" s="53" t="n">
        <v>10</v>
      </c>
      <c r="C357" s="76" t="s">
        <v>512</v>
      </c>
      <c r="D357" s="53" t="n">
        <v>26</v>
      </c>
      <c r="E357" s="73" t="n">
        <v>10.9</v>
      </c>
      <c r="F357" s="55" t="n">
        <v>1</v>
      </c>
      <c r="G357" s="73" t="n">
        <v>0.57</v>
      </c>
      <c r="H357" s="55" t="n">
        <v>1</v>
      </c>
      <c r="I357" s="20"/>
      <c r="J357" s="20"/>
      <c r="K357" s="20"/>
      <c r="L357" s="20"/>
      <c r="M357" s="41" t="n">
        <f aca="false">E357*F357+G357*H357+I357*J357+K357*L357</f>
        <v>11.47</v>
      </c>
      <c r="N357" s="41" t="n">
        <f aca="false">Исходные!$B$15-M357</f>
        <v>0.229999999999999</v>
      </c>
      <c r="O357" s="55" t="n">
        <v>2</v>
      </c>
      <c r="P357" s="53" t="n">
        <f aca="false">(F357+H357+J357+L357)*O357</f>
        <v>4</v>
      </c>
      <c r="Q357" s="74" t="n">
        <f aca="false">M357*O357</f>
        <v>22.94</v>
      </c>
      <c r="R357" s="74" t="n">
        <f aca="false">N357*O357</f>
        <v>0.459999999999997</v>
      </c>
    </row>
    <row r="358" customFormat="false" ht="15" hidden="false" customHeight="false" outlineLevel="0" collapsed="false">
      <c r="A358" s="53" t="n">
        <v>2</v>
      </c>
      <c r="B358" s="53" t="n">
        <v>10</v>
      </c>
      <c r="C358" s="76" t="s">
        <v>512</v>
      </c>
      <c r="D358" s="53" t="n">
        <v>27</v>
      </c>
      <c r="E358" s="73" t="n">
        <v>0.57</v>
      </c>
      <c r="F358" s="55" t="n">
        <v>20</v>
      </c>
      <c r="G358" s="20"/>
      <c r="H358" s="20"/>
      <c r="I358" s="20"/>
      <c r="J358" s="20"/>
      <c r="K358" s="20"/>
      <c r="L358" s="20"/>
      <c r="M358" s="41" t="n">
        <f aca="false">E358*F358+G358*H358+I358*J358+K358*L358</f>
        <v>11.4</v>
      </c>
      <c r="N358" s="41" t="n">
        <f aca="false">Исходные!$B$15-M358</f>
        <v>0.300000000000001</v>
      </c>
      <c r="O358" s="55" t="n">
        <v>63</v>
      </c>
      <c r="P358" s="53" t="n">
        <f aca="false">(F358+H358+J358+L358)*O358</f>
        <v>1260</v>
      </c>
      <c r="Q358" s="74" t="n">
        <f aca="false">M358*O358</f>
        <v>718.2</v>
      </c>
      <c r="R358" s="74" t="n">
        <f aca="false">N358*O358</f>
        <v>18.9</v>
      </c>
    </row>
    <row r="359" customFormat="false" ht="15" hidden="false" customHeight="false" outlineLevel="0" collapsed="false">
      <c r="A359" s="53" t="n">
        <v>2</v>
      </c>
      <c r="B359" s="53" t="n">
        <v>10</v>
      </c>
      <c r="C359" s="76" t="s">
        <v>512</v>
      </c>
      <c r="D359" s="53" t="n">
        <v>28</v>
      </c>
      <c r="E359" s="73" t="n">
        <v>1.2</v>
      </c>
      <c r="F359" s="55" t="n">
        <v>9</v>
      </c>
      <c r="G359" s="73" t="n">
        <v>0.57</v>
      </c>
      <c r="H359" s="55" t="n">
        <v>1</v>
      </c>
      <c r="I359" s="20"/>
      <c r="J359" s="20"/>
      <c r="K359" s="20"/>
      <c r="L359" s="20"/>
      <c r="M359" s="41" t="n">
        <f aca="false">E359*F359+G359*H359+I359*J359+K359*L359</f>
        <v>11.37</v>
      </c>
      <c r="N359" s="41" t="n">
        <f aca="false">Исходные!$B$15-M359</f>
        <v>0.33</v>
      </c>
      <c r="O359" s="55" t="n">
        <v>17</v>
      </c>
      <c r="P359" s="53" t="n">
        <f aca="false">(F359+H359+J359+L359)*O359</f>
        <v>170</v>
      </c>
      <c r="Q359" s="74" t="n">
        <f aca="false">M359*O359</f>
        <v>193.29</v>
      </c>
      <c r="R359" s="74" t="n">
        <f aca="false">N359*O359</f>
        <v>5.61</v>
      </c>
    </row>
    <row r="360" customFormat="false" ht="15" hidden="false" customHeight="false" outlineLevel="0" collapsed="false">
      <c r="A360" s="53" t="n">
        <v>2</v>
      </c>
      <c r="B360" s="53" t="n">
        <v>10</v>
      </c>
      <c r="C360" s="76" t="s">
        <v>512</v>
      </c>
      <c r="D360" s="53" t="n">
        <v>29</v>
      </c>
      <c r="E360" s="73" t="n">
        <v>10.77</v>
      </c>
      <c r="F360" s="55" t="n">
        <v>1</v>
      </c>
      <c r="G360" s="73" t="n">
        <v>0.57</v>
      </c>
      <c r="H360" s="55" t="n">
        <v>1</v>
      </c>
      <c r="I360" s="20"/>
      <c r="J360" s="20"/>
      <c r="K360" s="20"/>
      <c r="L360" s="20"/>
      <c r="M360" s="41" t="n">
        <f aca="false">E360*F360+G360*H360+I360*J360+K360*L360</f>
        <v>11.34</v>
      </c>
      <c r="N360" s="41" t="n">
        <f aca="false">Исходные!$B$15-M360</f>
        <v>0.359999999999999</v>
      </c>
      <c r="O360" s="55" t="n">
        <v>2</v>
      </c>
      <c r="P360" s="53" t="n">
        <f aca="false">(F360+H360+J360+L360)*O360</f>
        <v>4</v>
      </c>
      <c r="Q360" s="74" t="n">
        <f aca="false">M360*O360</f>
        <v>22.68</v>
      </c>
      <c r="R360" s="74" t="n">
        <f aca="false">N360*O360</f>
        <v>0.719999999999999</v>
      </c>
    </row>
    <row r="361" customFormat="false" ht="15" hidden="false" customHeight="false" outlineLevel="0" collapsed="false">
      <c r="A361" s="53" t="n">
        <v>2</v>
      </c>
      <c r="B361" s="53" t="n">
        <v>10</v>
      </c>
      <c r="C361" s="76" t="s">
        <v>512</v>
      </c>
      <c r="D361" s="53" t="n">
        <v>30</v>
      </c>
      <c r="E361" s="73" t="n">
        <v>3.78</v>
      </c>
      <c r="F361" s="55" t="n">
        <v>3</v>
      </c>
      <c r="G361" s="20"/>
      <c r="H361" s="20"/>
      <c r="I361" s="20"/>
      <c r="J361" s="20"/>
      <c r="K361" s="20"/>
      <c r="L361" s="20"/>
      <c r="M361" s="41" t="n">
        <f aca="false">E361*F361+G361*H361+I361*J361+K361*L361</f>
        <v>11.34</v>
      </c>
      <c r="N361" s="41" t="n">
        <f aca="false">Исходные!$B$15-M361</f>
        <v>0.359999999999999</v>
      </c>
      <c r="O361" s="55" t="n">
        <v>4</v>
      </c>
      <c r="P361" s="53" t="n">
        <f aca="false">(F361+H361+J361+L361)*O361</f>
        <v>12</v>
      </c>
      <c r="Q361" s="74" t="n">
        <f aca="false">M361*O361</f>
        <v>45.36</v>
      </c>
      <c r="R361" s="74" t="n">
        <f aca="false">N361*O361</f>
        <v>1.44</v>
      </c>
    </row>
    <row r="362" customFormat="false" ht="15" hidden="false" customHeight="false" outlineLevel="0" collapsed="false">
      <c r="A362" s="53" t="n">
        <v>2</v>
      </c>
      <c r="B362" s="53" t="n">
        <v>10</v>
      </c>
      <c r="C362" s="76" t="s">
        <v>512</v>
      </c>
      <c r="D362" s="53" t="n">
        <v>31</v>
      </c>
      <c r="E362" s="73" t="n">
        <v>1.2</v>
      </c>
      <c r="F362" s="55" t="n">
        <v>6</v>
      </c>
      <c r="G362" s="73" t="n">
        <v>1.19</v>
      </c>
      <c r="H362" s="55" t="n">
        <v>3</v>
      </c>
      <c r="I362" s="73" t="n">
        <v>0.57</v>
      </c>
      <c r="J362" s="55" t="n">
        <v>1</v>
      </c>
      <c r="K362" s="20"/>
      <c r="L362" s="20"/>
      <c r="M362" s="41" t="n">
        <f aca="false">E362*F362+G362*H362+I362*J362+K362*L362</f>
        <v>11.34</v>
      </c>
      <c r="N362" s="41" t="n">
        <f aca="false">Исходные!$B$15-M362</f>
        <v>0.359999999999999</v>
      </c>
      <c r="O362" s="55" t="n">
        <v>1</v>
      </c>
      <c r="P362" s="53" t="n">
        <f aca="false">(F362+H362+J362+L362)*O362</f>
        <v>10</v>
      </c>
      <c r="Q362" s="74" t="n">
        <f aca="false">M362*O362</f>
        <v>11.34</v>
      </c>
      <c r="R362" s="74" t="n">
        <f aca="false">N362*O362</f>
        <v>0.359999999999999</v>
      </c>
    </row>
    <row r="363" customFormat="false" ht="15" hidden="false" customHeight="false" outlineLevel="0" collapsed="false">
      <c r="A363" s="53" t="n">
        <v>2</v>
      </c>
      <c r="B363" s="53" t="n">
        <v>10</v>
      </c>
      <c r="C363" s="76" t="s">
        <v>512</v>
      </c>
      <c r="D363" s="53" t="n">
        <v>32</v>
      </c>
      <c r="E363" s="73" t="n">
        <v>9.3</v>
      </c>
      <c r="F363" s="55" t="n">
        <v>1</v>
      </c>
      <c r="G363" s="73" t="n">
        <v>2</v>
      </c>
      <c r="H363" s="55" t="n">
        <v>1</v>
      </c>
      <c r="I363" s="20"/>
      <c r="J363" s="20"/>
      <c r="K363" s="20"/>
      <c r="L363" s="20"/>
      <c r="M363" s="41" t="n">
        <f aca="false">E363*F363+G363*H363+I363*J363+K363*L363</f>
        <v>11.3</v>
      </c>
      <c r="N363" s="41" t="n">
        <f aca="false">Исходные!$B$15-M363</f>
        <v>0.399999999999999</v>
      </c>
      <c r="O363" s="55" t="n">
        <v>11</v>
      </c>
      <c r="P363" s="53" t="n">
        <f aca="false">(F363+H363+J363+L363)*O363</f>
        <v>22</v>
      </c>
      <c r="Q363" s="74" t="n">
        <f aca="false">M363*O363</f>
        <v>124.3</v>
      </c>
      <c r="R363" s="74" t="n">
        <f aca="false">N363*O363</f>
        <v>4.39999999999998</v>
      </c>
    </row>
    <row r="364" customFormat="false" ht="15" hidden="false" customHeight="false" outlineLevel="0" collapsed="false">
      <c r="A364" s="53" t="n">
        <v>2</v>
      </c>
      <c r="B364" s="53" t="n">
        <v>10</v>
      </c>
      <c r="C364" s="76" t="s">
        <v>512</v>
      </c>
      <c r="D364" s="53" t="n">
        <v>33</v>
      </c>
      <c r="E364" s="73" t="n">
        <v>4.15</v>
      </c>
      <c r="F364" s="55" t="n">
        <v>2</v>
      </c>
      <c r="G364" s="73" t="n">
        <v>3</v>
      </c>
      <c r="H364" s="55" t="n">
        <v>1</v>
      </c>
      <c r="I364" s="20"/>
      <c r="J364" s="20"/>
      <c r="K364" s="20"/>
      <c r="L364" s="20"/>
      <c r="M364" s="41" t="n">
        <f aca="false">E364*F364+G364*H364+I364*J364+K364*L364</f>
        <v>11.3</v>
      </c>
      <c r="N364" s="41" t="n">
        <f aca="false">Исходные!$B$15-M364</f>
        <v>0.399999999999999</v>
      </c>
      <c r="O364" s="55" t="n">
        <v>18</v>
      </c>
      <c r="P364" s="53" t="n">
        <f aca="false">(F364+H364+J364+L364)*O364</f>
        <v>54</v>
      </c>
      <c r="Q364" s="74" t="n">
        <f aca="false">M364*O364</f>
        <v>203.4</v>
      </c>
      <c r="R364" s="74" t="n">
        <f aca="false">N364*O364</f>
        <v>7.19999999999997</v>
      </c>
    </row>
    <row r="365" customFormat="false" ht="15" hidden="false" customHeight="false" outlineLevel="0" collapsed="false">
      <c r="A365" s="53" t="n">
        <v>2</v>
      </c>
      <c r="B365" s="53" t="n">
        <v>10</v>
      </c>
      <c r="C365" s="76" t="s">
        <v>512</v>
      </c>
      <c r="D365" s="53" t="n">
        <v>34</v>
      </c>
      <c r="E365" s="73" t="n">
        <v>1.19</v>
      </c>
      <c r="F365" s="55" t="n">
        <v>9</v>
      </c>
      <c r="G365" s="73" t="n">
        <v>0.57</v>
      </c>
      <c r="H365" s="55" t="n">
        <v>1</v>
      </c>
      <c r="I365" s="20"/>
      <c r="J365" s="20"/>
      <c r="K365" s="20"/>
      <c r="L365" s="20"/>
      <c r="M365" s="41" t="n">
        <f aca="false">E365*F365+G365*H365+I365*J365+K365*L365</f>
        <v>11.28</v>
      </c>
      <c r="N365" s="41" t="n">
        <f aca="false">Исходные!$B$15-M365</f>
        <v>0.42</v>
      </c>
      <c r="O365" s="55" t="n">
        <v>19</v>
      </c>
      <c r="P365" s="53" t="n">
        <f aca="false">(F365+H365+J365+L365)*O365</f>
        <v>190</v>
      </c>
      <c r="Q365" s="74" t="n">
        <f aca="false">M365*O365</f>
        <v>214.32</v>
      </c>
      <c r="R365" s="74" t="n">
        <f aca="false">N365*O365</f>
        <v>7.98</v>
      </c>
    </row>
    <row r="366" customFormat="false" ht="15" hidden="false" customHeight="false" outlineLevel="0" collapsed="false">
      <c r="A366" s="53" t="n">
        <v>2</v>
      </c>
      <c r="B366" s="53" t="n">
        <v>10</v>
      </c>
      <c r="C366" s="76" t="s">
        <v>512</v>
      </c>
      <c r="D366" s="53" t="n">
        <v>35</v>
      </c>
      <c r="E366" s="73" t="n">
        <v>9.18</v>
      </c>
      <c r="F366" s="55" t="n">
        <v>1</v>
      </c>
      <c r="G366" s="73" t="n">
        <v>2</v>
      </c>
      <c r="H366" s="55" t="n">
        <v>1</v>
      </c>
      <c r="I366" s="20"/>
      <c r="J366" s="20"/>
      <c r="K366" s="20"/>
      <c r="L366" s="20"/>
      <c r="M366" s="41" t="n">
        <f aca="false">E366*F366+G366*H366+I366*J366+K366*L366</f>
        <v>11.18</v>
      </c>
      <c r="N366" s="41" t="n">
        <f aca="false">Исходные!$B$15-M366</f>
        <v>0.52</v>
      </c>
      <c r="O366" s="55" t="n">
        <v>10</v>
      </c>
      <c r="P366" s="53" t="n">
        <f aca="false">(F366+H366+J366+L366)*O366</f>
        <v>20</v>
      </c>
      <c r="Q366" s="74" t="n">
        <f aca="false">M366*O366</f>
        <v>111.8</v>
      </c>
      <c r="R366" s="74" t="n">
        <f aca="false">N366*O366</f>
        <v>5.2</v>
      </c>
    </row>
    <row r="367" customFormat="false" ht="15" hidden="false" customHeight="false" outlineLevel="0" collapsed="false">
      <c r="A367" s="53" t="n">
        <v>2</v>
      </c>
      <c r="B367" s="53" t="n">
        <v>10</v>
      </c>
      <c r="C367" s="76" t="s">
        <v>512</v>
      </c>
      <c r="D367" s="53" t="n">
        <v>36</v>
      </c>
      <c r="E367" s="73" t="n">
        <v>9.18</v>
      </c>
      <c r="F367" s="55" t="n">
        <v>1</v>
      </c>
      <c r="G367" s="73" t="n">
        <v>1.4</v>
      </c>
      <c r="H367" s="55" t="n">
        <v>1</v>
      </c>
      <c r="I367" s="73" t="n">
        <v>0.57</v>
      </c>
      <c r="J367" s="55" t="n">
        <v>1</v>
      </c>
      <c r="K367" s="20"/>
      <c r="L367" s="20"/>
      <c r="M367" s="41" t="n">
        <f aca="false">E367*F367+G367*H367+I367*J367+K367*L367</f>
        <v>11.15</v>
      </c>
      <c r="N367" s="41" t="n">
        <f aca="false">Исходные!$B$15-M367</f>
        <v>0.549999999999999</v>
      </c>
      <c r="O367" s="55" t="n">
        <v>32</v>
      </c>
      <c r="P367" s="53" t="n">
        <f aca="false">(F367+H367+J367+L367)*O367</f>
        <v>96</v>
      </c>
      <c r="Q367" s="74" t="n">
        <f aca="false">M367*O367</f>
        <v>356.8</v>
      </c>
      <c r="R367" s="74" t="n">
        <f aca="false">N367*O367</f>
        <v>17.6</v>
      </c>
    </row>
    <row r="368" customFormat="false" ht="15" hidden="false" customHeight="false" outlineLevel="0" collapsed="false">
      <c r="A368" s="53" t="n">
        <v>2</v>
      </c>
      <c r="B368" s="53" t="n">
        <v>10</v>
      </c>
      <c r="C368" s="76" t="s">
        <v>512</v>
      </c>
      <c r="D368" s="53" t="n">
        <v>37</v>
      </c>
      <c r="E368" s="73" t="n">
        <v>0.57</v>
      </c>
      <c r="F368" s="55" t="n">
        <v>3</v>
      </c>
      <c r="G368" s="20"/>
      <c r="H368" s="20"/>
      <c r="I368" s="20"/>
      <c r="J368" s="20"/>
      <c r="K368" s="20"/>
      <c r="L368" s="20"/>
      <c r="M368" s="41" t="n">
        <f aca="false">E368*F368+G368*H368+I368*J368+K368*L368</f>
        <v>1.71</v>
      </c>
      <c r="N368" s="41" t="n">
        <f aca="false">Исходные!$B$15-M368</f>
        <v>9.99</v>
      </c>
      <c r="O368" s="55" t="n">
        <v>1</v>
      </c>
      <c r="P368" s="53" t="n">
        <f aca="false">(F368+H368+J368+L368)*O368</f>
        <v>3</v>
      </c>
      <c r="Q368" s="74" t="n">
        <f aca="false">M368*O368</f>
        <v>1.71</v>
      </c>
      <c r="R368" s="74" t="n">
        <f aca="false">N368*O368</f>
        <v>9.99</v>
      </c>
    </row>
    <row r="369" customFormat="false" ht="15" hidden="false" customHeight="false" outlineLevel="0" collapsed="false">
      <c r="A369" s="53" t="n">
        <v>2</v>
      </c>
      <c r="B369" s="53" t="n">
        <v>16</v>
      </c>
      <c r="C369" s="76" t="s">
        <v>546</v>
      </c>
      <c r="D369" s="53" t="n">
        <v>1</v>
      </c>
      <c r="E369" s="73" t="n">
        <v>0.42</v>
      </c>
      <c r="F369" s="55" t="n">
        <v>2</v>
      </c>
      <c r="G369" s="20"/>
      <c r="H369" s="20"/>
      <c r="I369" s="20"/>
      <c r="J369" s="20"/>
      <c r="K369" s="20"/>
      <c r="L369" s="20"/>
      <c r="M369" s="41" t="n">
        <f aca="false">E369*F369+G369*H369+I369*J369+K369*L369</f>
        <v>0.84</v>
      </c>
      <c r="N369" s="41" t="n">
        <f aca="false">Исходные!$B$15-M369</f>
        <v>10.86</v>
      </c>
      <c r="O369" s="55" t="n">
        <v>1</v>
      </c>
      <c r="P369" s="53" t="n">
        <f aca="false">(F369+H369+J369+L369)*O369</f>
        <v>2</v>
      </c>
      <c r="Q369" s="74" t="n">
        <f aca="false">M369*O369</f>
        <v>0.84</v>
      </c>
      <c r="R369" s="74" t="n">
        <f aca="false">N369*O369</f>
        <v>10.86</v>
      </c>
    </row>
    <row r="370" customFormat="false" ht="15" hidden="false" customHeight="false" outlineLevel="0" collapsed="false">
      <c r="A370" s="53" t="n">
        <v>2</v>
      </c>
      <c r="B370" s="53" t="n">
        <v>10</v>
      </c>
      <c r="C370" s="76" t="s">
        <v>546</v>
      </c>
      <c r="D370" s="53" t="n">
        <v>1</v>
      </c>
      <c r="E370" s="73" t="n">
        <v>2.06</v>
      </c>
      <c r="F370" s="55" t="n">
        <v>1</v>
      </c>
      <c r="G370" s="73" t="n">
        <v>1.6</v>
      </c>
      <c r="H370" s="55" t="n">
        <v>6</v>
      </c>
      <c r="I370" s="20"/>
      <c r="J370" s="20"/>
      <c r="K370" s="20"/>
      <c r="L370" s="20"/>
      <c r="M370" s="41" t="n">
        <f aca="false">E370*F370+G370*H370+I370*J370+K370*L370</f>
        <v>11.66</v>
      </c>
      <c r="N370" s="41" t="n">
        <f aca="false">Исходные!$B$15-M370</f>
        <v>0.0399999999999974</v>
      </c>
      <c r="O370" s="55" t="n">
        <v>1</v>
      </c>
      <c r="P370" s="53" t="n">
        <f aca="false">(F370+H370+J370+L370)*O370</f>
        <v>7</v>
      </c>
      <c r="Q370" s="74" t="n">
        <f aca="false">M370*O370</f>
        <v>11.66</v>
      </c>
      <c r="R370" s="74" t="n">
        <f aca="false">N370*O370</f>
        <v>0.0399999999999974</v>
      </c>
    </row>
    <row r="371" customFormat="false" ht="15" hidden="false" customHeight="false" outlineLevel="0" collapsed="false">
      <c r="A371" s="53" t="n">
        <v>2</v>
      </c>
      <c r="B371" s="53" t="n">
        <v>10</v>
      </c>
      <c r="C371" s="76" t="s">
        <v>546</v>
      </c>
      <c r="D371" s="53" t="n">
        <v>2</v>
      </c>
      <c r="E371" s="73" t="n">
        <v>2.06</v>
      </c>
      <c r="F371" s="55" t="n">
        <v>5</v>
      </c>
      <c r="G371" s="73" t="n">
        <v>1.33</v>
      </c>
      <c r="H371" s="55" t="n">
        <v>1</v>
      </c>
      <c r="I371" s="20"/>
      <c r="J371" s="20"/>
      <c r="K371" s="20"/>
      <c r="L371" s="20"/>
      <c r="M371" s="41" t="n">
        <f aca="false">E371*F371+G371*H371+I371*J371+K371*L371</f>
        <v>11.63</v>
      </c>
      <c r="N371" s="41" t="n">
        <f aca="false">Исходные!$B$15-M371</f>
        <v>0.0699999999999985</v>
      </c>
      <c r="O371" s="55" t="n">
        <v>144</v>
      </c>
      <c r="P371" s="53" t="n">
        <f aca="false">(F371+H371+J371+L371)*O371</f>
        <v>864</v>
      </c>
      <c r="Q371" s="74" t="n">
        <f aca="false">M371*O371</f>
        <v>1674.72</v>
      </c>
      <c r="R371" s="74" t="n">
        <f aca="false">N371*O371</f>
        <v>10.0799999999998</v>
      </c>
    </row>
    <row r="372" customFormat="false" ht="15" hidden="false" customHeight="false" outlineLevel="0" collapsed="false">
      <c r="A372" s="53" t="n">
        <v>2</v>
      </c>
      <c r="B372" s="53" t="n">
        <v>10</v>
      </c>
      <c r="C372" s="76" t="s">
        <v>546</v>
      </c>
      <c r="D372" s="53" t="n">
        <v>3</v>
      </c>
      <c r="E372" s="73" t="n">
        <v>1.6</v>
      </c>
      <c r="F372" s="55" t="n">
        <v>7</v>
      </c>
      <c r="G372" s="73" t="n">
        <v>0.42</v>
      </c>
      <c r="H372" s="55" t="n">
        <v>1</v>
      </c>
      <c r="I372" s="20"/>
      <c r="J372" s="20"/>
      <c r="K372" s="20"/>
      <c r="L372" s="20"/>
      <c r="M372" s="41" t="n">
        <f aca="false">E372*F372+G372*H372+I372*J372+K372*L372</f>
        <v>11.62</v>
      </c>
      <c r="N372" s="41" t="n">
        <f aca="false">Исходные!$B$15-M372</f>
        <v>0.0799999999999983</v>
      </c>
      <c r="O372" s="55" t="n">
        <v>49</v>
      </c>
      <c r="P372" s="53" t="n">
        <f aca="false">(F372+H372+J372+L372)*O372</f>
        <v>392</v>
      </c>
      <c r="Q372" s="74" t="n">
        <f aca="false">M372*O372</f>
        <v>569.38</v>
      </c>
      <c r="R372" s="74" t="n">
        <f aca="false">N372*O372</f>
        <v>3.91999999999992</v>
      </c>
    </row>
    <row r="373" customFormat="false" ht="15" hidden="false" customHeight="false" outlineLevel="0" collapsed="false">
      <c r="A373" s="53" t="n">
        <v>2</v>
      </c>
      <c r="B373" s="53" t="n">
        <v>10</v>
      </c>
      <c r="C373" s="76" t="s">
        <v>546</v>
      </c>
      <c r="D373" s="53" t="n">
        <v>4</v>
      </c>
      <c r="E373" s="73" t="n">
        <v>0.7</v>
      </c>
      <c r="F373" s="55" t="n">
        <v>16</v>
      </c>
      <c r="G373" s="73" t="n">
        <v>0.42</v>
      </c>
      <c r="H373" s="55" t="n">
        <v>1</v>
      </c>
      <c r="I373" s="20"/>
      <c r="J373" s="20"/>
      <c r="K373" s="20"/>
      <c r="L373" s="20"/>
      <c r="M373" s="41" t="n">
        <f aca="false">E373*F373+G373*H373+I373*J373+K373*L373</f>
        <v>11.62</v>
      </c>
      <c r="N373" s="41" t="n">
        <f aca="false">Исходные!$B$15-M373</f>
        <v>0.0800000000000001</v>
      </c>
      <c r="O373" s="55" t="n">
        <v>7</v>
      </c>
      <c r="P373" s="53" t="n">
        <f aca="false">(F373+H373+J373+L373)*O373</f>
        <v>119</v>
      </c>
      <c r="Q373" s="74" t="n">
        <f aca="false">M373*O373</f>
        <v>81.34</v>
      </c>
      <c r="R373" s="74" t="n">
        <f aca="false">N373*O373</f>
        <v>0.560000000000001</v>
      </c>
    </row>
    <row r="374" customFormat="false" ht="15" hidden="false" customHeight="false" outlineLevel="0" collapsed="false">
      <c r="A374" s="53" t="n">
        <v>2</v>
      </c>
      <c r="B374" s="53" t="n">
        <v>10</v>
      </c>
      <c r="C374" s="76" t="s">
        <v>546</v>
      </c>
      <c r="D374" s="53" t="n">
        <v>5</v>
      </c>
      <c r="E374" s="73" t="n">
        <v>0.7</v>
      </c>
      <c r="F374" s="55" t="n">
        <v>3</v>
      </c>
      <c r="G374" s="73" t="n">
        <v>0.52</v>
      </c>
      <c r="H374" s="55" t="n">
        <v>18</v>
      </c>
      <c r="I374" s="20"/>
      <c r="J374" s="20"/>
      <c r="K374" s="20"/>
      <c r="L374" s="20"/>
      <c r="M374" s="41" t="n">
        <f aca="false">E374*F374+G374*H374+I374*J374+K374*L374</f>
        <v>11.46</v>
      </c>
      <c r="N374" s="41" t="n">
        <f aca="false">Исходные!$B$15-M374</f>
        <v>0.24</v>
      </c>
      <c r="O374" s="55" t="n">
        <v>1</v>
      </c>
      <c r="P374" s="53" t="n">
        <f aca="false">(F374+H374+J374+L374)*O374</f>
        <v>21</v>
      </c>
      <c r="Q374" s="74" t="n">
        <f aca="false">M374*O374</f>
        <v>11.46</v>
      </c>
      <c r="R374" s="74" t="n">
        <f aca="false">N374*O374</f>
        <v>0.24</v>
      </c>
    </row>
    <row r="375" customFormat="false" ht="15" hidden="false" customHeight="false" outlineLevel="0" collapsed="false">
      <c r="A375" s="53" t="n">
        <v>2</v>
      </c>
      <c r="B375" s="53" t="n">
        <v>10</v>
      </c>
      <c r="C375" s="76" t="s">
        <v>546</v>
      </c>
      <c r="D375" s="53" t="n">
        <v>6</v>
      </c>
      <c r="E375" s="73" t="n">
        <v>0.52</v>
      </c>
      <c r="F375" s="55" t="n">
        <v>22</v>
      </c>
      <c r="G375" s="20"/>
      <c r="H375" s="20"/>
      <c r="I375" s="20"/>
      <c r="J375" s="20"/>
      <c r="K375" s="20"/>
      <c r="L375" s="20"/>
      <c r="M375" s="41" t="n">
        <f aca="false">E375*F375+G375*H375+I375*J375+K375*L375</f>
        <v>11.44</v>
      </c>
      <c r="N375" s="41" t="n">
        <f aca="false">Исходные!$B$15-M375</f>
        <v>0.259999999999998</v>
      </c>
      <c r="O375" s="55" t="n">
        <v>7</v>
      </c>
      <c r="P375" s="53" t="n">
        <f aca="false">(F375+H375+J375+L375)*O375</f>
        <v>154</v>
      </c>
      <c r="Q375" s="74" t="n">
        <f aca="false">M375*O375</f>
        <v>80.08</v>
      </c>
      <c r="R375" s="74" t="n">
        <f aca="false">N375*O375</f>
        <v>1.81999999999999</v>
      </c>
    </row>
    <row r="376" customFormat="false" ht="15" hidden="false" customHeight="false" outlineLevel="0" collapsed="false">
      <c r="A376" s="53" t="n">
        <v>2</v>
      </c>
      <c r="B376" s="53" t="n">
        <v>10</v>
      </c>
      <c r="C376" s="76" t="s">
        <v>546</v>
      </c>
      <c r="D376" s="53" t="n">
        <v>7</v>
      </c>
      <c r="E376" s="73" t="n">
        <v>1.33</v>
      </c>
      <c r="F376" s="55" t="n">
        <v>8</v>
      </c>
      <c r="G376" s="73" t="n">
        <v>0.7</v>
      </c>
      <c r="H376" s="55" t="n">
        <v>1</v>
      </c>
      <c r="I376" s="20"/>
      <c r="J376" s="20"/>
      <c r="K376" s="20"/>
      <c r="L376" s="20"/>
      <c r="M376" s="41" t="n">
        <f aca="false">E376*F376+G376*H376+I376*J376+K376*L376</f>
        <v>11.34</v>
      </c>
      <c r="N376" s="41" t="n">
        <f aca="false">Исходные!$B$15-M376</f>
        <v>0.359999999999999</v>
      </c>
      <c r="O376" s="55" t="n">
        <v>4</v>
      </c>
      <c r="P376" s="53" t="n">
        <f aca="false">(F376+H376+J376+L376)*O376</f>
        <v>36</v>
      </c>
      <c r="Q376" s="74" t="n">
        <f aca="false">M376*O376</f>
        <v>45.36</v>
      </c>
      <c r="R376" s="74" t="n">
        <f aca="false">N376*O376</f>
        <v>1.44</v>
      </c>
    </row>
    <row r="377" customFormat="false" ht="15" hidden="false" customHeight="false" outlineLevel="0" collapsed="false">
      <c r="A377" s="53" t="n">
        <v>2</v>
      </c>
      <c r="B377" s="53" t="n">
        <v>10</v>
      </c>
      <c r="C377" s="76" t="s">
        <v>546</v>
      </c>
      <c r="D377" s="53" t="n">
        <v>8</v>
      </c>
      <c r="E377" s="73" t="n">
        <v>0.42</v>
      </c>
      <c r="F377" s="55" t="n">
        <v>27</v>
      </c>
      <c r="G377" s="20"/>
      <c r="H377" s="20"/>
      <c r="I377" s="20"/>
      <c r="J377" s="20"/>
      <c r="K377" s="20"/>
      <c r="L377" s="20"/>
      <c r="M377" s="41" t="n">
        <f aca="false">E377*F377+G377*H377+I377*J377+K377*L377</f>
        <v>11.34</v>
      </c>
      <c r="N377" s="41" t="n">
        <f aca="false">Исходные!$B$15-M377</f>
        <v>0.359999999999999</v>
      </c>
      <c r="O377" s="55" t="n">
        <v>28</v>
      </c>
      <c r="P377" s="53" t="n">
        <f aca="false">(F377+H377+J377+L377)*O377</f>
        <v>756</v>
      </c>
      <c r="Q377" s="74" t="n">
        <f aca="false">M377*O377</f>
        <v>317.52</v>
      </c>
      <c r="R377" s="74" t="n">
        <f aca="false">N377*O377</f>
        <v>10.08</v>
      </c>
    </row>
    <row r="378" customFormat="false" ht="15" hidden="false" customHeight="false" outlineLevel="0" collapsed="false">
      <c r="A378" s="53" t="n">
        <v>2</v>
      </c>
      <c r="B378" s="53" t="n">
        <v>10</v>
      </c>
      <c r="C378" s="76" t="s">
        <v>546</v>
      </c>
      <c r="D378" s="53" t="n">
        <v>9</v>
      </c>
      <c r="E378" s="73" t="n">
        <v>0.52</v>
      </c>
      <c r="F378" s="55" t="n">
        <v>4</v>
      </c>
      <c r="G378" s="73" t="n">
        <v>0.42</v>
      </c>
      <c r="H378" s="55" t="n">
        <v>22</v>
      </c>
      <c r="I378" s="20"/>
      <c r="J378" s="20"/>
      <c r="K378" s="20"/>
      <c r="L378" s="20"/>
      <c r="M378" s="41" t="n">
        <f aca="false">E378*F378+G378*H378+I378*J378+K378*L378</f>
        <v>11.32</v>
      </c>
      <c r="N378" s="41" t="n">
        <f aca="false">Исходные!$B$15-M378</f>
        <v>0.379999999999999</v>
      </c>
      <c r="O378" s="55" t="n">
        <v>1</v>
      </c>
      <c r="P378" s="53" t="n">
        <f aca="false">(F378+H378+J378+L378)*O378</f>
        <v>26</v>
      </c>
      <c r="Q378" s="74" t="n">
        <f aca="false">M378*O378</f>
        <v>11.32</v>
      </c>
      <c r="R378" s="74" t="n">
        <f aca="false">N378*O378</f>
        <v>0.379999999999999</v>
      </c>
    </row>
    <row r="379" customFormat="false" ht="15" hidden="false" customHeight="false" outlineLevel="0" collapsed="false">
      <c r="A379" s="53" t="n">
        <v>2</v>
      </c>
      <c r="B379" s="53" t="n">
        <v>10</v>
      </c>
      <c r="C379" s="76" t="s">
        <v>546</v>
      </c>
      <c r="D379" s="53" t="n">
        <v>10</v>
      </c>
      <c r="E379" s="73" t="n">
        <v>0.42</v>
      </c>
      <c r="F379" s="55" t="n">
        <v>13</v>
      </c>
      <c r="G379" s="20"/>
      <c r="H379" s="20"/>
      <c r="I379" s="20"/>
      <c r="J379" s="20"/>
      <c r="K379" s="20"/>
      <c r="L379" s="20"/>
      <c r="M379" s="41" t="n">
        <f aca="false">E379*F379+G379*H379+I379*J379+K379*L379</f>
        <v>5.46</v>
      </c>
      <c r="N379" s="41" t="n">
        <f aca="false">Исходные!$B$15-M379</f>
        <v>6.24</v>
      </c>
      <c r="O379" s="55" t="n">
        <v>1</v>
      </c>
      <c r="P379" s="53" t="n">
        <f aca="false">(F379+H379+J379+L379)*O379</f>
        <v>13</v>
      </c>
      <c r="Q379" s="74" t="n">
        <f aca="false">M379*O379</f>
        <v>5.46</v>
      </c>
      <c r="R379" s="74" t="n">
        <f aca="false">N379*O379</f>
        <v>6.24</v>
      </c>
    </row>
    <row r="380" customFormat="false" ht="15" hidden="false" customHeight="false" outlineLevel="0" collapsed="false">
      <c r="A380" s="53" t="n">
        <v>2</v>
      </c>
      <c r="B380" s="53" t="n">
        <v>8</v>
      </c>
      <c r="C380" s="76" t="s">
        <v>546</v>
      </c>
      <c r="D380" s="53" t="n">
        <v>1</v>
      </c>
      <c r="E380" s="73" t="n">
        <v>1.24</v>
      </c>
      <c r="F380" s="55" t="n">
        <v>9</v>
      </c>
      <c r="G380" s="73" t="n">
        <v>0.53</v>
      </c>
      <c r="H380" s="55" t="n">
        <v>1</v>
      </c>
      <c r="I380" s="20"/>
      <c r="J380" s="20"/>
      <c r="K380" s="20"/>
      <c r="L380" s="20"/>
      <c r="M380" s="41" t="n">
        <f aca="false">E380*F380+G380*H380+I380*J380+K380*L380</f>
        <v>11.69</v>
      </c>
      <c r="N380" s="41" t="n">
        <f aca="false">Исходные!$B$15-M380</f>
        <v>0.00999999999999979</v>
      </c>
      <c r="O380" s="55" t="n">
        <v>87</v>
      </c>
      <c r="P380" s="53" t="n">
        <f aca="false">(F380+H380+J380+L380)*O380</f>
        <v>870</v>
      </c>
      <c r="Q380" s="74" t="n">
        <f aca="false">M380*O380</f>
        <v>1017.03</v>
      </c>
      <c r="R380" s="74" t="n">
        <f aca="false">N380*O380</f>
        <v>0.869999999999982</v>
      </c>
    </row>
    <row r="381" customFormat="false" ht="15" hidden="false" customHeight="false" outlineLevel="0" collapsed="false">
      <c r="A381" s="53" t="n">
        <v>2</v>
      </c>
      <c r="B381" s="53" t="n">
        <v>8</v>
      </c>
      <c r="C381" s="76" t="s">
        <v>546</v>
      </c>
      <c r="D381" s="53" t="n">
        <v>2</v>
      </c>
      <c r="E381" s="73" t="n">
        <v>0.75</v>
      </c>
      <c r="F381" s="55" t="n">
        <v>15</v>
      </c>
      <c r="G381" s="73" t="n">
        <v>0.22</v>
      </c>
      <c r="H381" s="55" t="n">
        <v>2</v>
      </c>
      <c r="I381" s="20"/>
      <c r="J381" s="20"/>
      <c r="K381" s="20"/>
      <c r="L381" s="20"/>
      <c r="M381" s="41" t="n">
        <f aca="false">E381*F381+G381*H381+I381*J381+K381*L381</f>
        <v>11.69</v>
      </c>
      <c r="N381" s="41" t="n">
        <f aca="false">Исходные!$B$15-M381</f>
        <v>0.00999999999999979</v>
      </c>
      <c r="O381" s="55" t="n">
        <v>48</v>
      </c>
      <c r="P381" s="53" t="n">
        <f aca="false">(F381+H381+J381+L381)*O381</f>
        <v>816</v>
      </c>
      <c r="Q381" s="74" t="n">
        <f aca="false">M381*O381</f>
        <v>561.12</v>
      </c>
      <c r="R381" s="74" t="n">
        <f aca="false">N381*O381</f>
        <v>0.47999999999999</v>
      </c>
    </row>
    <row r="382" customFormat="false" ht="15" hidden="false" customHeight="false" outlineLevel="0" collapsed="false">
      <c r="A382" s="53" t="n">
        <v>2</v>
      </c>
      <c r="B382" s="53" t="n">
        <v>8</v>
      </c>
      <c r="C382" s="76" t="s">
        <v>546</v>
      </c>
      <c r="D382" s="53" t="n">
        <v>3</v>
      </c>
      <c r="E382" s="73" t="n">
        <v>1.04</v>
      </c>
      <c r="F382" s="55" t="n">
        <v>10</v>
      </c>
      <c r="G382" s="73" t="n">
        <v>0.75</v>
      </c>
      <c r="H382" s="55" t="n">
        <v>1</v>
      </c>
      <c r="I382" s="73" t="n">
        <v>0.53</v>
      </c>
      <c r="J382" s="55" t="n">
        <v>1</v>
      </c>
      <c r="K382" s="20"/>
      <c r="L382" s="20"/>
      <c r="M382" s="41" t="n">
        <f aca="false">E382*F382+G382*H382+I382*J382+K382*L382</f>
        <v>11.68</v>
      </c>
      <c r="N382" s="41" t="n">
        <f aca="false">Исходные!$B$15-M382</f>
        <v>0.0199999999999996</v>
      </c>
      <c r="O382" s="55" t="n">
        <v>1</v>
      </c>
      <c r="P382" s="53" t="n">
        <f aca="false">(F382+H382+J382+L382)*O382</f>
        <v>12</v>
      </c>
      <c r="Q382" s="74" t="n">
        <f aca="false">M382*O382</f>
        <v>11.68</v>
      </c>
      <c r="R382" s="74" t="n">
        <f aca="false">N382*O382</f>
        <v>0.0199999999999996</v>
      </c>
    </row>
    <row r="383" customFormat="false" ht="15" hidden="false" customHeight="false" outlineLevel="0" collapsed="false">
      <c r="A383" s="53" t="n">
        <v>2</v>
      </c>
      <c r="B383" s="53" t="n">
        <v>8</v>
      </c>
      <c r="C383" s="76" t="s">
        <v>546</v>
      </c>
      <c r="D383" s="53" t="n">
        <v>4</v>
      </c>
      <c r="E383" s="73" t="n">
        <v>1.04</v>
      </c>
      <c r="F383" s="55" t="n">
        <v>11</v>
      </c>
      <c r="G383" s="73" t="n">
        <v>0.22</v>
      </c>
      <c r="H383" s="55" t="n">
        <v>1</v>
      </c>
      <c r="I383" s="20"/>
      <c r="J383" s="20"/>
      <c r="K383" s="20"/>
      <c r="L383" s="20"/>
      <c r="M383" s="41" t="n">
        <f aca="false">E383*F383+G383*H383+I383*J383+K383*L383</f>
        <v>11.66</v>
      </c>
      <c r="N383" s="41" t="n">
        <f aca="false">Исходные!$B$15-M383</f>
        <v>0.0399999999999974</v>
      </c>
      <c r="O383" s="55" t="n">
        <v>11</v>
      </c>
      <c r="P383" s="53" t="n">
        <f aca="false">(F383+H383+J383+L383)*O383</f>
        <v>132</v>
      </c>
      <c r="Q383" s="74" t="n">
        <f aca="false">M383*O383</f>
        <v>128.26</v>
      </c>
      <c r="R383" s="74" t="n">
        <f aca="false">N383*O383</f>
        <v>0.439999999999971</v>
      </c>
    </row>
    <row r="384" customFormat="false" ht="15" hidden="false" customHeight="false" outlineLevel="0" collapsed="false">
      <c r="A384" s="53" t="n">
        <v>2</v>
      </c>
      <c r="B384" s="53" t="n">
        <v>8</v>
      </c>
      <c r="C384" s="76" t="s">
        <v>546</v>
      </c>
      <c r="D384" s="53" t="n">
        <v>5</v>
      </c>
      <c r="E384" s="73" t="n">
        <v>0.53</v>
      </c>
      <c r="F384" s="55" t="n">
        <v>22</v>
      </c>
      <c r="G384" s="20"/>
      <c r="H384" s="20"/>
      <c r="I384" s="20"/>
      <c r="J384" s="20"/>
      <c r="K384" s="20"/>
      <c r="L384" s="20"/>
      <c r="M384" s="41" t="n">
        <f aca="false">E384*F384+G384*H384+I384*J384+K384*L384</f>
        <v>11.66</v>
      </c>
      <c r="N384" s="41" t="n">
        <f aca="false">Исходные!$B$15-M384</f>
        <v>0.0399999999999992</v>
      </c>
      <c r="O384" s="55" t="n">
        <v>8</v>
      </c>
      <c r="P384" s="53" t="n">
        <f aca="false">(F384+H384+J384+L384)*O384</f>
        <v>176</v>
      </c>
      <c r="Q384" s="74" t="n">
        <f aca="false">M384*O384</f>
        <v>93.28</v>
      </c>
      <c r="R384" s="74" t="n">
        <f aca="false">N384*O384</f>
        <v>0.319999999999993</v>
      </c>
    </row>
    <row r="385" customFormat="false" ht="15" hidden="false" customHeight="false" outlineLevel="0" collapsed="false">
      <c r="A385" s="53" t="n">
        <v>2</v>
      </c>
      <c r="B385" s="53" t="n">
        <v>8</v>
      </c>
      <c r="C385" s="76" t="s">
        <v>546</v>
      </c>
      <c r="D385" s="53" t="n">
        <v>6</v>
      </c>
      <c r="E385" s="73" t="n">
        <v>0.22</v>
      </c>
      <c r="F385" s="55" t="n">
        <v>53</v>
      </c>
      <c r="G385" s="20"/>
      <c r="H385" s="20"/>
      <c r="I385" s="20"/>
      <c r="J385" s="20"/>
      <c r="K385" s="20"/>
      <c r="L385" s="20"/>
      <c r="M385" s="41" t="n">
        <f aca="false">E385*F385+G385*H385+I385*J385+K385*L385</f>
        <v>11.66</v>
      </c>
      <c r="N385" s="41" t="n">
        <f aca="false">Исходные!$B$15-M385</f>
        <v>0.0399999999999992</v>
      </c>
      <c r="O385" s="55" t="n">
        <v>9</v>
      </c>
      <c r="P385" s="53" t="n">
        <f aca="false">(F385+H385+J385+L385)*O385</f>
        <v>477</v>
      </c>
      <c r="Q385" s="74" t="n">
        <f aca="false">M385*O385</f>
        <v>104.94</v>
      </c>
      <c r="R385" s="74" t="n">
        <f aca="false">N385*O385</f>
        <v>0.359999999999992</v>
      </c>
    </row>
    <row r="386" customFormat="false" ht="15" hidden="false" customHeight="false" outlineLevel="0" collapsed="false">
      <c r="A386" s="53" t="n">
        <v>2</v>
      </c>
      <c r="B386" s="53" t="n">
        <v>8</v>
      </c>
      <c r="C386" s="76" t="s">
        <v>546</v>
      </c>
      <c r="D386" s="53" t="n">
        <v>7</v>
      </c>
      <c r="E386" s="73" t="n">
        <v>1.24</v>
      </c>
      <c r="F386" s="55" t="n">
        <v>3</v>
      </c>
      <c r="G386" s="73" t="n">
        <v>1.16</v>
      </c>
      <c r="H386" s="55" t="n">
        <v>6</v>
      </c>
      <c r="I386" s="73" t="n">
        <v>0.75</v>
      </c>
      <c r="J386" s="55" t="n">
        <v>1</v>
      </c>
      <c r="K386" s="73" t="n">
        <v>0.22</v>
      </c>
      <c r="L386" s="55" t="n">
        <v>1</v>
      </c>
      <c r="M386" s="41" t="n">
        <f aca="false">E386*F386+G386*H386+I386*J386+K386*L386</f>
        <v>11.65</v>
      </c>
      <c r="N386" s="41" t="n">
        <f aca="false">Исходные!$B$15-M386</f>
        <v>0.0499999999999989</v>
      </c>
      <c r="O386" s="55" t="n">
        <v>1</v>
      </c>
      <c r="P386" s="53" t="n">
        <f aca="false">(F386+H386+J386+L386)*O386</f>
        <v>11</v>
      </c>
      <c r="Q386" s="74" t="n">
        <f aca="false">M386*O386</f>
        <v>11.65</v>
      </c>
      <c r="R386" s="74" t="n">
        <f aca="false">N386*O386</f>
        <v>0.0499999999999989</v>
      </c>
    </row>
    <row r="387" customFormat="false" ht="15" hidden="false" customHeight="false" outlineLevel="0" collapsed="false">
      <c r="A387" s="53" t="n">
        <v>2</v>
      </c>
      <c r="B387" s="53" t="n">
        <v>8</v>
      </c>
      <c r="C387" s="76" t="s">
        <v>546</v>
      </c>
      <c r="D387" s="53" t="n">
        <v>8</v>
      </c>
      <c r="E387" s="73" t="n">
        <v>2.44</v>
      </c>
      <c r="F387" s="55" t="n">
        <v>4</v>
      </c>
      <c r="G387" s="73" t="n">
        <v>1.44</v>
      </c>
      <c r="H387" s="55" t="n">
        <v>1</v>
      </c>
      <c r="I387" s="73" t="n">
        <v>0.22</v>
      </c>
      <c r="J387" s="55" t="n">
        <v>2</v>
      </c>
      <c r="K387" s="20"/>
      <c r="L387" s="20"/>
      <c r="M387" s="41" t="n">
        <f aca="false">E387*F387+G387*H387+I387*J387+K387*L387</f>
        <v>11.64</v>
      </c>
      <c r="N387" s="41" t="n">
        <f aca="false">Исходные!$B$15-M387</f>
        <v>0.0600000000000005</v>
      </c>
      <c r="O387" s="55" t="n">
        <v>44</v>
      </c>
      <c r="P387" s="53" t="n">
        <f aca="false">(F387+H387+J387+L387)*O387</f>
        <v>308</v>
      </c>
      <c r="Q387" s="74" t="n">
        <f aca="false">M387*O387</f>
        <v>512.16</v>
      </c>
      <c r="R387" s="74" t="n">
        <f aca="false">N387*O387</f>
        <v>2.64000000000002</v>
      </c>
    </row>
    <row r="388" customFormat="false" ht="15" hidden="false" customHeight="false" outlineLevel="0" collapsed="false">
      <c r="A388" s="53" t="n">
        <v>2</v>
      </c>
      <c r="B388" s="53" t="n">
        <v>8</v>
      </c>
      <c r="C388" s="76" t="s">
        <v>546</v>
      </c>
      <c r="D388" s="53" t="n">
        <v>9</v>
      </c>
      <c r="E388" s="73" t="n">
        <v>1.14</v>
      </c>
      <c r="F388" s="55" t="n">
        <v>8</v>
      </c>
      <c r="G388" s="73" t="n">
        <v>1.04</v>
      </c>
      <c r="H388" s="55" t="n">
        <v>2</v>
      </c>
      <c r="I388" s="73" t="n">
        <v>0.22</v>
      </c>
      <c r="J388" s="55" t="n">
        <v>2</v>
      </c>
      <c r="K388" s="20"/>
      <c r="L388" s="20"/>
      <c r="M388" s="41" t="n">
        <f aca="false">E388*F388+G388*H388+I388*J388+K388*L388</f>
        <v>11.64</v>
      </c>
      <c r="N388" s="41" t="n">
        <f aca="false">Исходные!$B$15-M388</f>
        <v>0.0600000000000005</v>
      </c>
      <c r="O388" s="55" t="n">
        <v>1</v>
      </c>
      <c r="P388" s="53" t="n">
        <f aca="false">(F388+H388+J388+L388)*O388</f>
        <v>12</v>
      </c>
      <c r="Q388" s="74" t="n">
        <f aca="false">M388*O388</f>
        <v>11.64</v>
      </c>
      <c r="R388" s="74" t="n">
        <f aca="false">N388*O388</f>
        <v>0.0600000000000005</v>
      </c>
    </row>
    <row r="389" customFormat="false" ht="15" hidden="false" customHeight="false" outlineLevel="0" collapsed="false">
      <c r="A389" s="53" t="n">
        <v>2</v>
      </c>
      <c r="B389" s="53" t="n">
        <v>8</v>
      </c>
      <c r="C389" s="76" t="s">
        <v>546</v>
      </c>
      <c r="D389" s="53" t="n">
        <v>10</v>
      </c>
      <c r="E389" s="73" t="n">
        <v>1.14</v>
      </c>
      <c r="F389" s="55" t="n">
        <v>10</v>
      </c>
      <c r="G389" s="73" t="n">
        <v>0.22</v>
      </c>
      <c r="H389" s="55" t="n">
        <v>1</v>
      </c>
      <c r="I389" s="20"/>
      <c r="J389" s="20"/>
      <c r="K389" s="20"/>
      <c r="L389" s="20"/>
      <c r="M389" s="41" t="n">
        <f aca="false">E389*F389+G389*H389+I389*J389+K389*L389</f>
        <v>11.62</v>
      </c>
      <c r="N389" s="41" t="n">
        <f aca="false">Исходные!$B$15-M389</f>
        <v>0.0800000000000001</v>
      </c>
      <c r="O389" s="55" t="n">
        <v>26</v>
      </c>
      <c r="P389" s="53" t="n">
        <f aca="false">(F389+H389+J389+L389)*O389</f>
        <v>286</v>
      </c>
      <c r="Q389" s="74" t="n">
        <f aca="false">M389*O389</f>
        <v>302.12</v>
      </c>
      <c r="R389" s="74" t="n">
        <f aca="false">N389*O389</f>
        <v>2.08</v>
      </c>
    </row>
    <row r="390" customFormat="false" ht="15" hidden="false" customHeight="false" outlineLevel="0" collapsed="false">
      <c r="A390" s="53" t="n">
        <v>2</v>
      </c>
      <c r="B390" s="53" t="n">
        <v>8</v>
      </c>
      <c r="C390" s="76" t="s">
        <v>546</v>
      </c>
      <c r="D390" s="53" t="n">
        <v>11</v>
      </c>
      <c r="E390" s="73" t="n">
        <v>0.75</v>
      </c>
      <c r="F390" s="55" t="n">
        <v>9</v>
      </c>
      <c r="G390" s="73" t="n">
        <v>0.58</v>
      </c>
      <c r="H390" s="55" t="n">
        <v>8</v>
      </c>
      <c r="I390" s="73" t="n">
        <v>0.22</v>
      </c>
      <c r="J390" s="55" t="n">
        <v>1</v>
      </c>
      <c r="K390" s="20"/>
      <c r="L390" s="20"/>
      <c r="M390" s="41" t="n">
        <f aca="false">E390*F390+G390*H390+I390*J390+K390*L390</f>
        <v>11.61</v>
      </c>
      <c r="N390" s="41" t="n">
        <f aca="false">Исходные!$B$15-M390</f>
        <v>0.0899999999999981</v>
      </c>
      <c r="O390" s="55" t="n">
        <v>1</v>
      </c>
      <c r="P390" s="53" t="n">
        <f aca="false">(F390+H390+J390+L390)*O390</f>
        <v>18</v>
      </c>
      <c r="Q390" s="74" t="n">
        <f aca="false">M390*O390</f>
        <v>11.61</v>
      </c>
      <c r="R390" s="74" t="n">
        <f aca="false">N390*O390</f>
        <v>0.0899999999999981</v>
      </c>
    </row>
    <row r="391" customFormat="false" ht="15" hidden="false" customHeight="false" outlineLevel="0" collapsed="false">
      <c r="A391" s="53" t="n">
        <v>2</v>
      </c>
      <c r="B391" s="53" t="n">
        <v>8</v>
      </c>
      <c r="C391" s="76" t="s">
        <v>546</v>
      </c>
      <c r="D391" s="53" t="n">
        <v>12</v>
      </c>
      <c r="E391" s="73" t="n">
        <v>1.16</v>
      </c>
      <c r="F391" s="55" t="n">
        <v>10</v>
      </c>
      <c r="G391" s="20"/>
      <c r="H391" s="20"/>
      <c r="I391" s="20"/>
      <c r="J391" s="20"/>
      <c r="K391" s="20"/>
      <c r="L391" s="20"/>
      <c r="M391" s="41" t="n">
        <f aca="false">E391*F391+G391*H391+I391*J391+K391*L391</f>
        <v>11.6</v>
      </c>
      <c r="N391" s="41" t="n">
        <f aca="false">Исходные!$B$15-M391</f>
        <v>0.0999999999999996</v>
      </c>
      <c r="O391" s="55" t="n">
        <v>1</v>
      </c>
      <c r="P391" s="53" t="n">
        <f aca="false">(F391+H391+J391+L391)*O391</f>
        <v>10</v>
      </c>
      <c r="Q391" s="74" t="n">
        <f aca="false">M391*O391</f>
        <v>11.6</v>
      </c>
      <c r="R391" s="74" t="n">
        <f aca="false">N391*O391</f>
        <v>0.0999999999999996</v>
      </c>
    </row>
    <row r="392" customFormat="false" ht="15" hidden="false" customHeight="false" outlineLevel="0" collapsed="false">
      <c r="A392" s="53" t="n">
        <v>2</v>
      </c>
      <c r="B392" s="53" t="n">
        <v>8</v>
      </c>
      <c r="C392" s="76" t="s">
        <v>546</v>
      </c>
      <c r="D392" s="53" t="n">
        <v>13</v>
      </c>
      <c r="E392" s="73" t="n">
        <v>0.58</v>
      </c>
      <c r="F392" s="55" t="n">
        <v>20</v>
      </c>
      <c r="G392" s="20"/>
      <c r="H392" s="20"/>
      <c r="I392" s="20"/>
      <c r="J392" s="20"/>
      <c r="K392" s="20"/>
      <c r="L392" s="20"/>
      <c r="M392" s="41" t="n">
        <f aca="false">E392*F392+G392*H392+I392*J392+K392*L392</f>
        <v>11.6</v>
      </c>
      <c r="N392" s="41" t="n">
        <f aca="false">Исходные!$B$15-M392</f>
        <v>0.0999999999999996</v>
      </c>
      <c r="O392" s="55" t="n">
        <v>26</v>
      </c>
      <c r="P392" s="53" t="n">
        <f aca="false">(F392+H392+J392+L392)*O392</f>
        <v>520</v>
      </c>
      <c r="Q392" s="74" t="n">
        <f aca="false">M392*O392</f>
        <v>301.6</v>
      </c>
      <c r="R392" s="74" t="n">
        <f aca="false">N392*O392</f>
        <v>2.59999999999999</v>
      </c>
    </row>
    <row r="393" customFormat="false" ht="15" hidden="false" customHeight="false" outlineLevel="0" collapsed="false">
      <c r="A393" s="53" t="n">
        <v>2</v>
      </c>
      <c r="B393" s="53" t="n">
        <v>8</v>
      </c>
      <c r="C393" s="76" t="s">
        <v>546</v>
      </c>
      <c r="D393" s="53" t="n">
        <v>14</v>
      </c>
      <c r="E393" s="73" t="n">
        <v>0.53</v>
      </c>
      <c r="F393" s="55" t="n">
        <v>4</v>
      </c>
      <c r="G393" s="73" t="n">
        <v>0.22</v>
      </c>
      <c r="H393" s="55" t="n">
        <v>43</v>
      </c>
      <c r="I393" s="20"/>
      <c r="J393" s="20"/>
      <c r="K393" s="20"/>
      <c r="L393" s="20"/>
      <c r="M393" s="41" t="n">
        <f aca="false">E393*F393+G393*H393+I393*J393+K393*L393</f>
        <v>11.58</v>
      </c>
      <c r="N393" s="41" t="n">
        <f aca="false">Исходные!$B$15-M393</f>
        <v>0.119999999999997</v>
      </c>
      <c r="O393" s="55" t="n">
        <v>1</v>
      </c>
      <c r="P393" s="53" t="n">
        <f aca="false">(F393+H393+J393+L393)*O393</f>
        <v>47</v>
      </c>
      <c r="Q393" s="74" t="n">
        <f aca="false">M393*O393</f>
        <v>11.58</v>
      </c>
      <c r="R393" s="74" t="n">
        <f aca="false">N393*O393</f>
        <v>0.119999999999997</v>
      </c>
    </row>
    <row r="394" customFormat="false" ht="15" hidden="false" customHeight="false" outlineLevel="0" collapsed="false">
      <c r="A394" s="53" t="n">
        <v>2</v>
      </c>
      <c r="B394" s="53" t="n">
        <v>8</v>
      </c>
      <c r="C394" s="76" t="s">
        <v>546</v>
      </c>
      <c r="D394" s="53" t="n">
        <v>15</v>
      </c>
      <c r="E394" s="73" t="n">
        <v>2.44</v>
      </c>
      <c r="F394" s="55" t="n">
        <v>4</v>
      </c>
      <c r="G394" s="73" t="n">
        <v>1.24</v>
      </c>
      <c r="H394" s="55" t="n">
        <v>1</v>
      </c>
      <c r="I394" s="73" t="n">
        <v>0.58</v>
      </c>
      <c r="J394" s="55" t="n">
        <v>1</v>
      </c>
      <c r="K394" s="20"/>
      <c r="L394" s="20"/>
      <c r="M394" s="41" t="n">
        <f aca="false">E394*F394+G394*H394+I394*J394+K394*L394</f>
        <v>11.58</v>
      </c>
      <c r="N394" s="41" t="n">
        <f aca="false">Исходные!$B$15-M394</f>
        <v>0.119999999999999</v>
      </c>
      <c r="O394" s="55" t="n">
        <v>48</v>
      </c>
      <c r="P394" s="53" t="n">
        <f aca="false">(F394+H394+J394+L394)*O394</f>
        <v>288</v>
      </c>
      <c r="Q394" s="74" t="n">
        <f aca="false">M394*O394</f>
        <v>555.84</v>
      </c>
      <c r="R394" s="74" t="n">
        <f aca="false">N394*O394</f>
        <v>5.75999999999996</v>
      </c>
    </row>
    <row r="395" customFormat="false" ht="15" hidden="false" customHeight="false" outlineLevel="0" collapsed="false">
      <c r="A395" s="53" t="n">
        <v>2</v>
      </c>
      <c r="B395" s="53" t="n">
        <v>8</v>
      </c>
      <c r="C395" s="76" t="s">
        <v>546</v>
      </c>
      <c r="D395" s="53" t="n">
        <v>16</v>
      </c>
      <c r="E395" s="73" t="n">
        <v>2.06</v>
      </c>
      <c r="F395" s="55" t="n">
        <v>5</v>
      </c>
      <c r="G395" s="73" t="n">
        <v>1.28</v>
      </c>
      <c r="H395" s="55" t="n">
        <v>1</v>
      </c>
      <c r="I395" s="20"/>
      <c r="J395" s="20"/>
      <c r="K395" s="20"/>
      <c r="L395" s="20"/>
      <c r="M395" s="41" t="n">
        <f aca="false">E395*F395+G395*H395+I395*J395+K395*L395</f>
        <v>11.58</v>
      </c>
      <c r="N395" s="41" t="n">
        <f aca="false">Исходные!$B$15-M395</f>
        <v>0.119999999999999</v>
      </c>
      <c r="O395" s="55" t="n">
        <v>14</v>
      </c>
      <c r="P395" s="53" t="n">
        <f aca="false">(F395+H395+J395+L395)*O395</f>
        <v>84</v>
      </c>
      <c r="Q395" s="74" t="n">
        <f aca="false">M395*O395</f>
        <v>162.12</v>
      </c>
      <c r="R395" s="74" t="n">
        <f aca="false">N395*O395</f>
        <v>1.67999999999999</v>
      </c>
    </row>
    <row r="396" customFormat="false" ht="15" hidden="false" customHeight="false" outlineLevel="0" collapsed="false">
      <c r="A396" s="53" t="n">
        <v>2</v>
      </c>
      <c r="B396" s="53" t="n">
        <v>8</v>
      </c>
      <c r="C396" s="76" t="s">
        <v>546</v>
      </c>
      <c r="D396" s="53" t="n">
        <v>17</v>
      </c>
      <c r="E396" s="73" t="n">
        <v>1.96</v>
      </c>
      <c r="F396" s="55" t="n">
        <v>5</v>
      </c>
      <c r="G396" s="73" t="n">
        <v>1.56</v>
      </c>
      <c r="H396" s="55" t="n">
        <v>1</v>
      </c>
      <c r="I396" s="73" t="n">
        <v>0.22</v>
      </c>
      <c r="J396" s="55" t="n">
        <v>1</v>
      </c>
      <c r="K396" s="20"/>
      <c r="L396" s="20"/>
      <c r="M396" s="41" t="n">
        <f aca="false">E396*F396+G396*H396+I396*J396+K396*L396</f>
        <v>11.58</v>
      </c>
      <c r="N396" s="41" t="n">
        <f aca="false">Исходные!$B$15-M396</f>
        <v>0.119999999999997</v>
      </c>
      <c r="O396" s="55" t="n">
        <v>48</v>
      </c>
      <c r="P396" s="53" t="n">
        <f aca="false">(F396+H396+J396+L396)*O396</f>
        <v>336</v>
      </c>
      <c r="Q396" s="74" t="n">
        <f aca="false">M396*O396</f>
        <v>555.84</v>
      </c>
      <c r="R396" s="74" t="n">
        <f aca="false">N396*O396</f>
        <v>5.75999999999988</v>
      </c>
    </row>
    <row r="397" customFormat="false" ht="15" hidden="false" customHeight="false" outlineLevel="0" collapsed="false">
      <c r="A397" s="53" t="n">
        <v>2</v>
      </c>
      <c r="B397" s="53" t="n">
        <v>8</v>
      </c>
      <c r="C397" s="76" t="s">
        <v>546</v>
      </c>
      <c r="D397" s="53" t="n">
        <v>18</v>
      </c>
      <c r="E397" s="73" t="n">
        <v>0.58</v>
      </c>
      <c r="F397" s="55" t="n">
        <v>9</v>
      </c>
      <c r="G397" s="73" t="n">
        <v>0.53</v>
      </c>
      <c r="H397" s="55" t="n">
        <v>12</v>
      </c>
      <c r="I397" s="20"/>
      <c r="J397" s="20"/>
      <c r="K397" s="20"/>
      <c r="L397" s="20"/>
      <c r="M397" s="41" t="n">
        <f aca="false">E397*F397+G397*H397+I397*J397+K397*L397</f>
        <v>11.58</v>
      </c>
      <c r="N397" s="41" t="n">
        <f aca="false">Исходные!$B$15-M397</f>
        <v>0.119999999999999</v>
      </c>
      <c r="O397" s="55" t="n">
        <v>1</v>
      </c>
      <c r="P397" s="53" t="n">
        <f aca="false">(F397+H397+J397+L397)*O397</f>
        <v>21</v>
      </c>
      <c r="Q397" s="74" t="n">
        <f aca="false">M397*O397</f>
        <v>11.58</v>
      </c>
      <c r="R397" s="74" t="n">
        <f aca="false">N397*O397</f>
        <v>0.119999999999999</v>
      </c>
    </row>
    <row r="398" customFormat="false" ht="15" hidden="false" customHeight="false" outlineLevel="0" collapsed="false">
      <c r="A398" s="53" t="n">
        <v>2</v>
      </c>
      <c r="B398" s="53" t="n">
        <v>8</v>
      </c>
      <c r="C398" s="76" t="s">
        <v>546</v>
      </c>
      <c r="D398" s="53" t="n">
        <v>19</v>
      </c>
      <c r="E398" s="73" t="n">
        <v>1.96</v>
      </c>
      <c r="F398" s="55" t="n">
        <v>5</v>
      </c>
      <c r="G398" s="73" t="n">
        <v>1.76</v>
      </c>
      <c r="H398" s="55" t="n">
        <v>1</v>
      </c>
      <c r="I398" s="20"/>
      <c r="J398" s="20"/>
      <c r="K398" s="20"/>
      <c r="L398" s="20"/>
      <c r="M398" s="41" t="n">
        <f aca="false">E398*F398+G398*H398+I398*J398+K398*L398</f>
        <v>11.56</v>
      </c>
      <c r="N398" s="41" t="n">
        <f aca="false">Исходные!$B$15-M398</f>
        <v>0.139999999999999</v>
      </c>
      <c r="O398" s="55" t="n">
        <v>80</v>
      </c>
      <c r="P398" s="53" t="n">
        <f aca="false">(F398+H398+J398+L398)*O398</f>
        <v>480</v>
      </c>
      <c r="Q398" s="74" t="n">
        <f aca="false">M398*O398</f>
        <v>924.8</v>
      </c>
      <c r="R398" s="74" t="n">
        <f aca="false">N398*O398</f>
        <v>11.1999999999999</v>
      </c>
    </row>
    <row r="399" customFormat="false" ht="15" hidden="false" customHeight="false" outlineLevel="0" collapsed="false">
      <c r="A399" s="53" t="n">
        <v>2</v>
      </c>
      <c r="B399" s="53" t="n">
        <v>8</v>
      </c>
      <c r="C399" s="76" t="s">
        <v>546</v>
      </c>
      <c r="D399" s="53" t="n">
        <v>20</v>
      </c>
      <c r="E399" s="73" t="n">
        <v>2.06</v>
      </c>
      <c r="F399" s="55" t="n">
        <v>5</v>
      </c>
      <c r="G399" s="73" t="n">
        <v>1.24</v>
      </c>
      <c r="H399" s="55" t="n">
        <v>1</v>
      </c>
      <c r="I399" s="20"/>
      <c r="J399" s="20"/>
      <c r="K399" s="20"/>
      <c r="L399" s="20"/>
      <c r="M399" s="41" t="n">
        <f aca="false">E399*F399+G399*H399+I399*J399+K399*L399</f>
        <v>11.54</v>
      </c>
      <c r="N399" s="41" t="n">
        <f aca="false">Исходные!$B$15-M399</f>
        <v>0.159999999999998</v>
      </c>
      <c r="O399" s="55" t="n">
        <v>135</v>
      </c>
      <c r="P399" s="53" t="n">
        <f aca="false">(F399+H399+J399+L399)*O399</f>
        <v>810</v>
      </c>
      <c r="Q399" s="74" t="n">
        <f aca="false">M399*O399</f>
        <v>1557.9</v>
      </c>
      <c r="R399" s="74" t="n">
        <f aca="false">N399*O399</f>
        <v>21.5999999999998</v>
      </c>
    </row>
    <row r="400" customFormat="false" ht="15" hidden="false" customHeight="false" outlineLevel="0" collapsed="false">
      <c r="A400" s="53" t="n">
        <v>2</v>
      </c>
      <c r="B400" s="53" t="n">
        <v>8</v>
      </c>
      <c r="C400" s="76" t="s">
        <v>546</v>
      </c>
      <c r="D400" s="53" t="n">
        <v>21</v>
      </c>
      <c r="E400" s="73" t="n">
        <v>2.44</v>
      </c>
      <c r="F400" s="55" t="n">
        <v>4</v>
      </c>
      <c r="G400" s="73" t="n">
        <v>1.56</v>
      </c>
      <c r="H400" s="55" t="n">
        <v>1</v>
      </c>
      <c r="I400" s="73" t="n">
        <v>0.22</v>
      </c>
      <c r="J400" s="55" t="n">
        <v>1</v>
      </c>
      <c r="K400" s="20"/>
      <c r="L400" s="20"/>
      <c r="M400" s="41" t="n">
        <f aca="false">E400*F400+G400*H400+I400*J400+K400*L400</f>
        <v>11.54</v>
      </c>
      <c r="N400" s="41" t="n">
        <f aca="false">Исходные!$B$15-M400</f>
        <v>0.159999999999998</v>
      </c>
      <c r="O400" s="55" t="n">
        <v>48</v>
      </c>
      <c r="P400" s="53" t="n">
        <f aca="false">(F400+H400+J400+L400)*O400</f>
        <v>288</v>
      </c>
      <c r="Q400" s="74" t="n">
        <f aca="false">M400*O400</f>
        <v>553.92</v>
      </c>
      <c r="R400" s="74" t="n">
        <f aca="false">N400*O400</f>
        <v>7.67999999999992</v>
      </c>
    </row>
    <row r="401" customFormat="false" ht="15" hidden="false" customHeight="false" outlineLevel="0" collapsed="false">
      <c r="A401" s="53" t="n">
        <v>2</v>
      </c>
      <c r="B401" s="53" t="n">
        <v>8</v>
      </c>
      <c r="C401" s="76" t="s">
        <v>546</v>
      </c>
      <c r="D401" s="53" t="n">
        <v>22</v>
      </c>
      <c r="E401" s="73" t="n">
        <v>1.16</v>
      </c>
      <c r="F401" s="55" t="n">
        <v>6</v>
      </c>
      <c r="G401" s="73" t="n">
        <v>1.14</v>
      </c>
      <c r="H401" s="55" t="n">
        <v>4</v>
      </c>
      <c r="I401" s="20"/>
      <c r="J401" s="20"/>
      <c r="K401" s="20"/>
      <c r="L401" s="20"/>
      <c r="M401" s="41" t="n">
        <f aca="false">E401*F401+G401*H401+I401*J401+K401*L401</f>
        <v>11.52</v>
      </c>
      <c r="N401" s="41" t="n">
        <f aca="false">Исходные!$B$15-M401</f>
        <v>0.18</v>
      </c>
      <c r="O401" s="55" t="n">
        <v>1</v>
      </c>
      <c r="P401" s="53" t="n">
        <f aca="false">(F401+H401+J401+L401)*O401</f>
        <v>10</v>
      </c>
      <c r="Q401" s="74" t="n">
        <f aca="false">M401*O401</f>
        <v>11.52</v>
      </c>
      <c r="R401" s="74" t="n">
        <f aca="false">N401*O401</f>
        <v>0.18</v>
      </c>
    </row>
    <row r="402" customFormat="false" ht="15" hidden="false" customHeight="false" outlineLevel="0" collapsed="false">
      <c r="A402" s="53" t="n">
        <v>2</v>
      </c>
      <c r="B402" s="53" t="n">
        <v>8</v>
      </c>
      <c r="C402" s="76" t="s">
        <v>546</v>
      </c>
      <c r="D402" s="53" t="n">
        <v>23</v>
      </c>
      <c r="E402" s="73" t="n">
        <v>0.22</v>
      </c>
      <c r="F402" s="55" t="n">
        <v>6</v>
      </c>
      <c r="G402" s="20"/>
      <c r="H402" s="20"/>
      <c r="I402" s="20"/>
      <c r="J402" s="20"/>
      <c r="K402" s="20"/>
      <c r="L402" s="20"/>
      <c r="M402" s="41" t="n">
        <f aca="false">E402*F402+G402*H402+I402*J402+K402*L402</f>
        <v>1.32</v>
      </c>
      <c r="N402" s="41" t="n">
        <f aca="false">Исходные!$B$15-M402</f>
        <v>10.38</v>
      </c>
      <c r="O402" s="55" t="n">
        <v>1</v>
      </c>
      <c r="P402" s="53" t="n">
        <f aca="false">(F402+H402+J402+L402)*O402</f>
        <v>6</v>
      </c>
      <c r="Q402" s="74" t="n">
        <f aca="false">M402*O402</f>
        <v>1.32</v>
      </c>
      <c r="R402" s="74" t="n">
        <f aca="false">N402*O402</f>
        <v>10.38</v>
      </c>
    </row>
    <row r="403" customFormat="false" ht="15" hidden="false" customHeight="false" outlineLevel="0" collapsed="false">
      <c r="A403" s="53" t="n">
        <v>2</v>
      </c>
      <c r="B403" s="53" t="n">
        <v>6</v>
      </c>
      <c r="C403" s="76" t="s">
        <v>546</v>
      </c>
      <c r="D403" s="53" t="n">
        <v>1</v>
      </c>
      <c r="E403" s="73" t="n">
        <v>0.28</v>
      </c>
      <c r="F403" s="55" t="n">
        <v>41</v>
      </c>
      <c r="G403" s="20"/>
      <c r="H403" s="20"/>
      <c r="I403" s="20"/>
      <c r="J403" s="20"/>
      <c r="K403" s="20"/>
      <c r="L403" s="20"/>
      <c r="M403" s="41" t="n">
        <f aca="false">E403*F403+G403*H403+I403*J403+K403*L403</f>
        <v>11.48</v>
      </c>
      <c r="N403" s="41" t="n">
        <f aca="false">Исходные!$B$15-M403</f>
        <v>0.219999999999999</v>
      </c>
      <c r="O403" s="55" t="n">
        <v>2</v>
      </c>
      <c r="P403" s="53" t="n">
        <f aca="false">(F403+H403+J403+L403)*O403</f>
        <v>82</v>
      </c>
      <c r="Q403" s="74" t="n">
        <f aca="false">M403*O403</f>
        <v>22.96</v>
      </c>
      <c r="R403" s="74" t="n">
        <f aca="false">N403*O403</f>
        <v>0.439999999999998</v>
      </c>
    </row>
    <row r="404" customFormat="false" ht="15" hidden="false" customHeight="false" outlineLevel="0" collapsed="false">
      <c r="A404" s="53" t="n">
        <v>2</v>
      </c>
      <c r="B404" s="53" t="n">
        <v>6</v>
      </c>
      <c r="C404" s="76" t="s">
        <v>546</v>
      </c>
      <c r="D404" s="53" t="n">
        <v>2</v>
      </c>
      <c r="E404" s="73" t="n">
        <v>0.28</v>
      </c>
      <c r="F404" s="55" t="n">
        <v>22</v>
      </c>
      <c r="G404" s="20"/>
      <c r="H404" s="20"/>
      <c r="I404" s="20"/>
      <c r="J404" s="20"/>
      <c r="K404" s="20"/>
      <c r="L404" s="20"/>
      <c r="M404" s="41" t="n">
        <f aca="false">E404*F404+G404*H404+I404*J404+K404*L404</f>
        <v>6.16</v>
      </c>
      <c r="N404" s="41" t="n">
        <f aca="false">Исходные!$B$15-M404</f>
        <v>5.54</v>
      </c>
      <c r="O404" s="55" t="n">
        <v>1</v>
      </c>
      <c r="P404" s="53" t="n">
        <f aca="false">(F404+H404+J404+L404)*O404</f>
        <v>22</v>
      </c>
      <c r="Q404" s="74" t="n">
        <f aca="false">M404*O404</f>
        <v>6.16</v>
      </c>
      <c r="R404" s="74" t="n">
        <f aca="false">N404*O404</f>
        <v>5.54</v>
      </c>
    </row>
    <row r="405" customFormat="false" ht="15" hidden="false" customHeight="false" outlineLevel="0" collapsed="false">
      <c r="A405" s="53" t="n">
        <v>3</v>
      </c>
      <c r="B405" s="53" t="n">
        <v>32</v>
      </c>
      <c r="C405" s="76" t="s">
        <v>512</v>
      </c>
      <c r="D405" s="53" t="n">
        <v>1</v>
      </c>
      <c r="E405" s="73" t="n">
        <v>7.85</v>
      </c>
      <c r="F405" s="55" t="n">
        <v>1</v>
      </c>
      <c r="G405" s="73" t="n">
        <v>3.7</v>
      </c>
      <c r="H405" s="55" t="n">
        <v>1</v>
      </c>
      <c r="I405" s="20"/>
      <c r="J405" s="20"/>
      <c r="K405" s="20"/>
      <c r="L405" s="20"/>
      <c r="M405" s="41" t="n">
        <f aca="false">E405*F405+G405*H405+I405*J405+K405*L405</f>
        <v>11.55</v>
      </c>
      <c r="N405" s="41" t="n">
        <f aca="false">Исходные!$B$15-M405</f>
        <v>0.149999999999999</v>
      </c>
      <c r="O405" s="55" t="n">
        <v>2</v>
      </c>
      <c r="P405" s="53" t="n">
        <f aca="false">(F405+H405+J405+L405)*O405</f>
        <v>4</v>
      </c>
      <c r="Q405" s="74" t="n">
        <f aca="false">M405*O405</f>
        <v>23.1</v>
      </c>
      <c r="R405" s="74" t="n">
        <f aca="false">N405*O405</f>
        <v>0.299999999999997</v>
      </c>
    </row>
    <row r="406" customFormat="false" ht="15" hidden="false" customHeight="false" outlineLevel="0" collapsed="false">
      <c r="A406" s="53" t="n">
        <v>3</v>
      </c>
      <c r="B406" s="53" t="n">
        <v>32</v>
      </c>
      <c r="C406" s="76" t="s">
        <v>512</v>
      </c>
      <c r="D406" s="53" t="n">
        <v>2</v>
      </c>
      <c r="E406" s="73" t="n">
        <v>4.7</v>
      </c>
      <c r="F406" s="55" t="n">
        <v>2</v>
      </c>
      <c r="G406" s="73" t="n">
        <v>2.05</v>
      </c>
      <c r="H406" s="55" t="n">
        <v>1</v>
      </c>
      <c r="I406" s="20"/>
      <c r="J406" s="20"/>
      <c r="K406" s="20"/>
      <c r="L406" s="20"/>
      <c r="M406" s="41" t="n">
        <f aca="false">E406*F406+G406*H406+I406*J406+K406*L406</f>
        <v>11.45</v>
      </c>
      <c r="N406" s="41" t="n">
        <f aca="false">Исходные!$B$15-M406</f>
        <v>0.25</v>
      </c>
      <c r="O406" s="55" t="n">
        <v>1</v>
      </c>
      <c r="P406" s="53" t="n">
        <f aca="false">(F406+H406+J406+L406)*O406</f>
        <v>3</v>
      </c>
      <c r="Q406" s="74" t="n">
        <f aca="false">M406*O406</f>
        <v>11.45</v>
      </c>
      <c r="R406" s="74" t="n">
        <f aca="false">N406*O406</f>
        <v>0.25</v>
      </c>
    </row>
    <row r="407" customFormat="false" ht="15" hidden="false" customHeight="false" outlineLevel="0" collapsed="false">
      <c r="A407" s="53" t="n">
        <v>3</v>
      </c>
      <c r="B407" s="53" t="n">
        <v>32</v>
      </c>
      <c r="C407" s="76" t="s">
        <v>512</v>
      </c>
      <c r="D407" s="53" t="n">
        <v>3</v>
      </c>
      <c r="E407" s="73" t="n">
        <v>4.3</v>
      </c>
      <c r="F407" s="55" t="n">
        <v>2</v>
      </c>
      <c r="G407" s="73" t="n">
        <v>2.85</v>
      </c>
      <c r="H407" s="55" t="n">
        <v>1</v>
      </c>
      <c r="I407" s="20"/>
      <c r="J407" s="20"/>
      <c r="K407" s="20"/>
      <c r="L407" s="20"/>
      <c r="M407" s="41" t="n">
        <f aca="false">E407*F407+G407*H407+I407*J407+K407*L407</f>
        <v>11.45</v>
      </c>
      <c r="N407" s="41" t="n">
        <f aca="false">Исходные!$B$15-M407</f>
        <v>0.25</v>
      </c>
      <c r="O407" s="55" t="n">
        <v>1</v>
      </c>
      <c r="P407" s="53" t="n">
        <f aca="false">(F407+H407+J407+L407)*O407</f>
        <v>3</v>
      </c>
      <c r="Q407" s="74" t="n">
        <f aca="false">M407*O407</f>
        <v>11.45</v>
      </c>
      <c r="R407" s="74" t="n">
        <f aca="false">N407*O407</f>
        <v>0.25</v>
      </c>
    </row>
    <row r="408" customFormat="false" ht="15" hidden="false" customHeight="false" outlineLevel="0" collapsed="false">
      <c r="A408" s="53" t="n">
        <v>3</v>
      </c>
      <c r="B408" s="53" t="n">
        <v>32</v>
      </c>
      <c r="C408" s="76" t="s">
        <v>512</v>
      </c>
      <c r="D408" s="53" t="n">
        <v>4</v>
      </c>
      <c r="E408" s="73" t="n">
        <v>7.5</v>
      </c>
      <c r="F408" s="55" t="n">
        <v>1</v>
      </c>
      <c r="G408" s="73" t="n">
        <v>3.6</v>
      </c>
      <c r="H408" s="55" t="n">
        <v>1</v>
      </c>
      <c r="I408" s="20"/>
      <c r="J408" s="20"/>
      <c r="K408" s="20"/>
      <c r="L408" s="20"/>
      <c r="M408" s="41" t="n">
        <f aca="false">E408*F408+G408*H408+I408*J408+K408*L408</f>
        <v>11.1</v>
      </c>
      <c r="N408" s="41" t="n">
        <f aca="false">Исходные!$B$15-M408</f>
        <v>0.6</v>
      </c>
      <c r="O408" s="55" t="n">
        <v>2</v>
      </c>
      <c r="P408" s="53" t="n">
        <f aca="false">(F408+H408+J408+L408)*O408</f>
        <v>4</v>
      </c>
      <c r="Q408" s="74" t="n">
        <f aca="false">M408*O408</f>
        <v>22.2</v>
      </c>
      <c r="R408" s="74" t="n">
        <f aca="false">N408*O408</f>
        <v>1.2</v>
      </c>
    </row>
    <row r="409" customFormat="false" ht="15" hidden="false" customHeight="false" outlineLevel="0" collapsed="false">
      <c r="A409" s="53" t="n">
        <v>3</v>
      </c>
      <c r="B409" s="53" t="n">
        <v>32</v>
      </c>
      <c r="C409" s="76" t="s">
        <v>512</v>
      </c>
      <c r="D409" s="53" t="n">
        <v>5</v>
      </c>
      <c r="E409" s="73" t="n">
        <v>4.5</v>
      </c>
      <c r="F409" s="55" t="n">
        <v>2</v>
      </c>
      <c r="G409" s="73" t="n">
        <v>2.05</v>
      </c>
      <c r="H409" s="55" t="n">
        <v>1</v>
      </c>
      <c r="I409" s="20"/>
      <c r="J409" s="20"/>
      <c r="K409" s="20"/>
      <c r="L409" s="20"/>
      <c r="M409" s="41" t="n">
        <f aca="false">E409*F409+G409*H409+I409*J409+K409*L409</f>
        <v>11.05</v>
      </c>
      <c r="N409" s="41" t="n">
        <f aca="false">Исходные!$B$15-M409</f>
        <v>0.649999999999999</v>
      </c>
      <c r="O409" s="55" t="n">
        <v>1</v>
      </c>
      <c r="P409" s="53" t="n">
        <f aca="false">(F409+H409+J409+L409)*O409</f>
        <v>3</v>
      </c>
      <c r="Q409" s="74" t="n">
        <f aca="false">M409*O409</f>
        <v>11.05</v>
      </c>
      <c r="R409" s="74" t="n">
        <f aca="false">N409*O409</f>
        <v>0.649999999999999</v>
      </c>
    </row>
    <row r="410" customFormat="false" ht="15" hidden="false" customHeight="false" outlineLevel="0" collapsed="false">
      <c r="A410" s="53" t="n">
        <v>3</v>
      </c>
      <c r="B410" s="53" t="n">
        <v>32</v>
      </c>
      <c r="C410" s="76" t="s">
        <v>512</v>
      </c>
      <c r="D410" s="53" t="n">
        <v>6</v>
      </c>
      <c r="E410" s="73" t="n">
        <v>3.6</v>
      </c>
      <c r="F410" s="55" t="n">
        <v>3</v>
      </c>
      <c r="G410" s="20"/>
      <c r="H410" s="20"/>
      <c r="I410" s="20"/>
      <c r="J410" s="20"/>
      <c r="K410" s="20"/>
      <c r="L410" s="20"/>
      <c r="M410" s="41" t="n">
        <f aca="false">E410*F410+G410*H410+I410*J410+K410*L410</f>
        <v>10.8</v>
      </c>
      <c r="N410" s="41" t="n">
        <f aca="false">Исходные!$B$15-M410</f>
        <v>0.899999999999999</v>
      </c>
      <c r="O410" s="55" t="n">
        <v>16</v>
      </c>
      <c r="P410" s="53" t="n">
        <f aca="false">(F410+H410+J410+L410)*O410</f>
        <v>48</v>
      </c>
      <c r="Q410" s="74" t="n">
        <f aca="false">M410*O410</f>
        <v>172.8</v>
      </c>
      <c r="R410" s="74" t="n">
        <f aca="false">N410*O410</f>
        <v>14.4</v>
      </c>
    </row>
    <row r="411" customFormat="false" ht="15" hidden="false" customHeight="false" outlineLevel="0" collapsed="false">
      <c r="A411" s="53" t="n">
        <v>3</v>
      </c>
      <c r="B411" s="53" t="n">
        <v>32</v>
      </c>
      <c r="C411" s="76" t="s">
        <v>512</v>
      </c>
      <c r="D411" s="53" t="n">
        <v>7</v>
      </c>
      <c r="E411" s="73" t="n">
        <v>2.85</v>
      </c>
      <c r="F411" s="55" t="n">
        <v>3</v>
      </c>
      <c r="G411" s="20"/>
      <c r="H411" s="20"/>
      <c r="I411" s="20"/>
      <c r="J411" s="20"/>
      <c r="K411" s="20"/>
      <c r="L411" s="20"/>
      <c r="M411" s="41" t="n">
        <f aca="false">E411*F411+G411*H411+I411*J411+K411*L411</f>
        <v>8.55</v>
      </c>
      <c r="N411" s="41" t="n">
        <f aca="false">Исходные!$B$15-M411</f>
        <v>3.15</v>
      </c>
      <c r="O411" s="55" t="n">
        <v>1</v>
      </c>
      <c r="P411" s="53" t="n">
        <f aca="false">(F411+H411+J411+L411)*O411</f>
        <v>3</v>
      </c>
      <c r="Q411" s="74" t="n">
        <f aca="false">M411*O411</f>
        <v>8.55</v>
      </c>
      <c r="R411" s="74" t="n">
        <f aca="false">N411*O411</f>
        <v>3.15</v>
      </c>
    </row>
    <row r="412" customFormat="false" ht="15" hidden="false" customHeight="false" outlineLevel="0" collapsed="false">
      <c r="A412" s="53" t="n">
        <v>3</v>
      </c>
      <c r="B412" s="53" t="n">
        <v>28</v>
      </c>
      <c r="C412" s="76" t="s">
        <v>512</v>
      </c>
      <c r="D412" s="53" t="n">
        <v>1</v>
      </c>
      <c r="E412" s="73" t="n">
        <v>11.7</v>
      </c>
      <c r="F412" s="55" t="n">
        <v>1</v>
      </c>
      <c r="G412" s="20"/>
      <c r="H412" s="20"/>
      <c r="I412" s="20"/>
      <c r="J412" s="20"/>
      <c r="K412" s="20"/>
      <c r="L412" s="20"/>
      <c r="M412" s="41" t="n">
        <f aca="false">E412*F412+G412*H412+I412*J412+K412*L412</f>
        <v>11.7</v>
      </c>
      <c r="N412" s="41" t="n">
        <f aca="false">Исходные!$B$15-M412</f>
        <v>0</v>
      </c>
      <c r="O412" s="55" t="n">
        <v>52</v>
      </c>
      <c r="P412" s="53" t="n">
        <f aca="false">(F412+H412+J412+L412)*O412</f>
        <v>52</v>
      </c>
      <c r="Q412" s="74" t="n">
        <f aca="false">M412*O412</f>
        <v>608.4</v>
      </c>
      <c r="R412" s="74" t="n">
        <f aca="false">N412*O412</f>
        <v>0</v>
      </c>
    </row>
    <row r="413" customFormat="false" ht="15" hidden="false" customHeight="false" outlineLevel="0" collapsed="false">
      <c r="A413" s="53" t="n">
        <v>3</v>
      </c>
      <c r="B413" s="53" t="n">
        <v>28</v>
      </c>
      <c r="C413" s="76" t="s">
        <v>512</v>
      </c>
      <c r="D413" s="53" t="n">
        <v>2</v>
      </c>
      <c r="E413" s="73" t="n">
        <v>3.3</v>
      </c>
      <c r="F413" s="55" t="n">
        <v>2</v>
      </c>
      <c r="G413" s="73" t="n">
        <v>3</v>
      </c>
      <c r="H413" s="55" t="n">
        <v>1</v>
      </c>
      <c r="I413" s="73" t="n">
        <v>2.1</v>
      </c>
      <c r="J413" s="55" t="n">
        <v>1</v>
      </c>
      <c r="K413" s="20"/>
      <c r="L413" s="20"/>
      <c r="M413" s="41" t="n">
        <f aca="false">E413*F413+G413*H413+I413*J413+K413*L413</f>
        <v>11.7</v>
      </c>
      <c r="N413" s="41" t="n">
        <f aca="false">Исходные!$B$15-M413</f>
        <v>0</v>
      </c>
      <c r="O413" s="55" t="n">
        <v>1</v>
      </c>
      <c r="P413" s="53" t="n">
        <f aca="false">(F413+H413+J413+L413)*O413</f>
        <v>4</v>
      </c>
      <c r="Q413" s="74" t="n">
        <f aca="false">M413*O413</f>
        <v>11.7</v>
      </c>
      <c r="R413" s="74" t="n">
        <f aca="false">N413*O413</f>
        <v>0</v>
      </c>
    </row>
    <row r="414" customFormat="false" ht="15" hidden="false" customHeight="false" outlineLevel="0" collapsed="false">
      <c r="A414" s="53" t="n">
        <v>3</v>
      </c>
      <c r="B414" s="53" t="n">
        <v>28</v>
      </c>
      <c r="C414" s="76" t="s">
        <v>512</v>
      </c>
      <c r="D414" s="53" t="n">
        <v>3</v>
      </c>
      <c r="E414" s="73" t="n">
        <v>7.85</v>
      </c>
      <c r="F414" s="55" t="n">
        <v>1</v>
      </c>
      <c r="G414" s="73" t="n">
        <v>3.8</v>
      </c>
      <c r="H414" s="55" t="n">
        <v>1</v>
      </c>
      <c r="I414" s="20"/>
      <c r="J414" s="20"/>
      <c r="K414" s="20"/>
      <c r="L414" s="20"/>
      <c r="M414" s="41" t="n">
        <f aca="false">E414*F414+G414*H414+I414*J414+K414*L414</f>
        <v>11.65</v>
      </c>
      <c r="N414" s="41" t="n">
        <f aca="false">Исходные!$B$15-M414</f>
        <v>0.0500000000000007</v>
      </c>
      <c r="O414" s="55" t="n">
        <v>2</v>
      </c>
      <c r="P414" s="53" t="n">
        <f aca="false">(F414+H414+J414+L414)*O414</f>
        <v>4</v>
      </c>
      <c r="Q414" s="74" t="n">
        <f aca="false">M414*O414</f>
        <v>23.3</v>
      </c>
      <c r="R414" s="74" t="n">
        <f aca="false">N414*O414</f>
        <v>0.100000000000001</v>
      </c>
    </row>
    <row r="415" customFormat="false" ht="15" hidden="false" customHeight="false" outlineLevel="0" collapsed="false">
      <c r="A415" s="53" t="n">
        <v>3</v>
      </c>
      <c r="B415" s="53" t="n">
        <v>28</v>
      </c>
      <c r="C415" s="76" t="s">
        <v>512</v>
      </c>
      <c r="D415" s="53" t="n">
        <v>4</v>
      </c>
      <c r="E415" s="73" t="n">
        <v>4.7</v>
      </c>
      <c r="F415" s="55" t="n">
        <v>2</v>
      </c>
      <c r="G415" s="73" t="n">
        <v>2.1</v>
      </c>
      <c r="H415" s="55" t="n">
        <v>1</v>
      </c>
      <c r="I415" s="20"/>
      <c r="J415" s="20"/>
      <c r="K415" s="20"/>
      <c r="L415" s="20"/>
      <c r="M415" s="41" t="n">
        <f aca="false">E415*F415+G415*H415+I415*J415+K415*L415</f>
        <v>11.5</v>
      </c>
      <c r="N415" s="41" t="n">
        <f aca="false">Исходные!$B$15-M415</f>
        <v>0.199999999999999</v>
      </c>
      <c r="O415" s="55" t="n">
        <v>1</v>
      </c>
      <c r="P415" s="53" t="n">
        <f aca="false">(F415+H415+J415+L415)*O415</f>
        <v>3</v>
      </c>
      <c r="Q415" s="74" t="n">
        <f aca="false">M415*O415</f>
        <v>11.5</v>
      </c>
      <c r="R415" s="74" t="n">
        <f aca="false">N415*O415</f>
        <v>0.199999999999999</v>
      </c>
    </row>
    <row r="416" customFormat="false" ht="15" hidden="false" customHeight="false" outlineLevel="0" collapsed="false">
      <c r="A416" s="53" t="n">
        <v>3</v>
      </c>
      <c r="B416" s="53" t="n">
        <v>28</v>
      </c>
      <c r="C416" s="76" t="s">
        <v>512</v>
      </c>
      <c r="D416" s="53" t="n">
        <v>5</v>
      </c>
      <c r="E416" s="73" t="n">
        <v>3.8</v>
      </c>
      <c r="F416" s="55" t="n">
        <v>3</v>
      </c>
      <c r="G416" s="20"/>
      <c r="H416" s="20"/>
      <c r="I416" s="20"/>
      <c r="J416" s="20"/>
      <c r="K416" s="20"/>
      <c r="L416" s="20"/>
      <c r="M416" s="41" t="n">
        <f aca="false">E416*F416+G416*H416+I416*J416+K416*L416</f>
        <v>11.4</v>
      </c>
      <c r="N416" s="41" t="n">
        <f aca="false">Исходные!$B$15-M416</f>
        <v>0.300000000000001</v>
      </c>
      <c r="O416" s="55" t="n">
        <v>2</v>
      </c>
      <c r="P416" s="53" t="n">
        <f aca="false">(F416+H416+J416+L416)*O416</f>
        <v>6</v>
      </c>
      <c r="Q416" s="74" t="n">
        <f aca="false">M416*O416</f>
        <v>22.8</v>
      </c>
      <c r="R416" s="74" t="n">
        <f aca="false">N416*O416</f>
        <v>0.600000000000001</v>
      </c>
    </row>
    <row r="417" customFormat="false" ht="15" hidden="false" customHeight="false" outlineLevel="0" collapsed="false">
      <c r="A417" s="53" t="n">
        <v>3</v>
      </c>
      <c r="B417" s="53" t="n">
        <v>28</v>
      </c>
      <c r="C417" s="76" t="s">
        <v>512</v>
      </c>
      <c r="D417" s="53" t="n">
        <v>6</v>
      </c>
      <c r="E417" s="73" t="n">
        <v>3.8</v>
      </c>
      <c r="F417" s="55" t="n">
        <v>2</v>
      </c>
      <c r="G417" s="73" t="n">
        <v>3.7</v>
      </c>
      <c r="H417" s="55" t="n">
        <v>1</v>
      </c>
      <c r="I417" s="20"/>
      <c r="J417" s="20"/>
      <c r="K417" s="20"/>
      <c r="L417" s="20"/>
      <c r="M417" s="41" t="n">
        <f aca="false">E417*F417+G417*H417+I417*J417+K417*L417</f>
        <v>11.3</v>
      </c>
      <c r="N417" s="41" t="n">
        <f aca="false">Исходные!$B$15-M417</f>
        <v>0.399999999999999</v>
      </c>
      <c r="O417" s="55" t="n">
        <v>1</v>
      </c>
      <c r="P417" s="53" t="n">
        <f aca="false">(F417+H417+J417+L417)*O417</f>
        <v>3</v>
      </c>
      <c r="Q417" s="74" t="n">
        <f aca="false">M417*O417</f>
        <v>11.3</v>
      </c>
      <c r="R417" s="74" t="n">
        <f aca="false">N417*O417</f>
        <v>0.399999999999999</v>
      </c>
    </row>
    <row r="418" customFormat="false" ht="15" hidden="false" customHeight="false" outlineLevel="0" collapsed="false">
      <c r="A418" s="53" t="n">
        <v>3</v>
      </c>
      <c r="B418" s="53" t="n">
        <v>28</v>
      </c>
      <c r="C418" s="76" t="s">
        <v>512</v>
      </c>
      <c r="D418" s="53" t="n">
        <v>7</v>
      </c>
      <c r="E418" s="73" t="n">
        <v>3</v>
      </c>
      <c r="F418" s="55" t="n">
        <v>1</v>
      </c>
      <c r="G418" s="73" t="n">
        <v>2.05</v>
      </c>
      <c r="H418" s="55" t="n">
        <v>4</v>
      </c>
      <c r="I418" s="20"/>
      <c r="J418" s="20"/>
      <c r="K418" s="20"/>
      <c r="L418" s="20"/>
      <c r="M418" s="41" t="n">
        <f aca="false">E418*F418+G418*H418+I418*J418+K418*L418</f>
        <v>11.2</v>
      </c>
      <c r="N418" s="41" t="n">
        <f aca="false">Исходные!$B$15-M418</f>
        <v>0.5</v>
      </c>
      <c r="O418" s="55" t="n">
        <v>1</v>
      </c>
      <c r="P418" s="53" t="n">
        <f aca="false">(F418+H418+J418+L418)*O418</f>
        <v>5</v>
      </c>
      <c r="Q418" s="74" t="n">
        <f aca="false">M418*O418</f>
        <v>11.2</v>
      </c>
      <c r="R418" s="74" t="n">
        <f aca="false">N418*O418</f>
        <v>0.5</v>
      </c>
    </row>
    <row r="419" customFormat="false" ht="15" hidden="false" customHeight="false" outlineLevel="0" collapsed="false">
      <c r="A419" s="53" t="n">
        <v>3</v>
      </c>
      <c r="B419" s="53" t="n">
        <v>28</v>
      </c>
      <c r="C419" s="76" t="s">
        <v>512</v>
      </c>
      <c r="D419" s="53" t="n">
        <v>8</v>
      </c>
      <c r="E419" s="73" t="n">
        <v>3.7</v>
      </c>
      <c r="F419" s="55" t="n">
        <v>3</v>
      </c>
      <c r="G419" s="20"/>
      <c r="H419" s="20"/>
      <c r="I419" s="20"/>
      <c r="J419" s="20"/>
      <c r="K419" s="20"/>
      <c r="L419" s="20"/>
      <c r="M419" s="41" t="n">
        <f aca="false">E419*F419+G419*H419+I419*J419+K419*L419</f>
        <v>11.1</v>
      </c>
      <c r="N419" s="41" t="n">
        <f aca="false">Исходные!$B$15-M419</f>
        <v>0.599999999999998</v>
      </c>
      <c r="O419" s="55" t="n">
        <v>1</v>
      </c>
      <c r="P419" s="53" t="n">
        <f aca="false">(F419+H419+J419+L419)*O419</f>
        <v>3</v>
      </c>
      <c r="Q419" s="74" t="n">
        <f aca="false">M419*O419</f>
        <v>11.1</v>
      </c>
      <c r="R419" s="74" t="n">
        <f aca="false">N419*O419</f>
        <v>0.599999999999998</v>
      </c>
    </row>
    <row r="420" customFormat="false" ht="15" hidden="false" customHeight="false" outlineLevel="0" collapsed="false">
      <c r="A420" s="53" t="n">
        <v>3</v>
      </c>
      <c r="B420" s="53" t="n">
        <v>28</v>
      </c>
      <c r="C420" s="76" t="s">
        <v>512</v>
      </c>
      <c r="D420" s="53" t="n">
        <v>9</v>
      </c>
      <c r="E420" s="73" t="n">
        <v>5.5</v>
      </c>
      <c r="F420" s="55" t="n">
        <v>2</v>
      </c>
      <c r="G420" s="20"/>
      <c r="H420" s="20"/>
      <c r="I420" s="20"/>
      <c r="J420" s="20"/>
      <c r="K420" s="20"/>
      <c r="L420" s="20"/>
      <c r="M420" s="41" t="n">
        <f aca="false">E420*F420+G420*H420+I420*J420+K420*L420</f>
        <v>11</v>
      </c>
      <c r="N420" s="41" t="n">
        <f aca="false">Исходные!$B$15-M420</f>
        <v>0.699999999999999</v>
      </c>
      <c r="O420" s="55" t="n">
        <v>1</v>
      </c>
      <c r="P420" s="53" t="n">
        <f aca="false">(F420+H420+J420+L420)*O420</f>
        <v>2</v>
      </c>
      <c r="Q420" s="74" t="n">
        <f aca="false">M420*O420</f>
        <v>11</v>
      </c>
      <c r="R420" s="74" t="n">
        <f aca="false">N420*O420</f>
        <v>0.699999999999999</v>
      </c>
    </row>
    <row r="421" customFormat="false" ht="15" hidden="false" customHeight="false" outlineLevel="0" collapsed="false">
      <c r="A421" s="53" t="n">
        <v>3</v>
      </c>
      <c r="B421" s="53" t="n">
        <v>28</v>
      </c>
      <c r="C421" s="76" t="s">
        <v>512</v>
      </c>
      <c r="D421" s="53" t="n">
        <v>10</v>
      </c>
      <c r="E421" s="73" t="n">
        <v>3.7</v>
      </c>
      <c r="F421" s="55" t="n">
        <v>2</v>
      </c>
      <c r="G421" s="73" t="n">
        <v>3.6</v>
      </c>
      <c r="H421" s="55" t="n">
        <v>1</v>
      </c>
      <c r="I421" s="20"/>
      <c r="J421" s="20"/>
      <c r="K421" s="20"/>
      <c r="L421" s="20"/>
      <c r="M421" s="41" t="n">
        <f aca="false">E421*F421+G421*H421+I421*J421+K421*L421</f>
        <v>11</v>
      </c>
      <c r="N421" s="41" t="n">
        <f aca="false">Исходные!$B$15-M421</f>
        <v>0.699999999999999</v>
      </c>
      <c r="O421" s="55" t="n">
        <v>1</v>
      </c>
      <c r="P421" s="53" t="n">
        <f aca="false">(F421+H421+J421+L421)*O421</f>
        <v>3</v>
      </c>
      <c r="Q421" s="74" t="n">
        <f aca="false">M421*O421</f>
        <v>11</v>
      </c>
      <c r="R421" s="74" t="n">
        <f aca="false">N421*O421</f>
        <v>0.699999999999999</v>
      </c>
    </row>
    <row r="422" customFormat="false" ht="15" hidden="false" customHeight="false" outlineLevel="0" collapsed="false">
      <c r="A422" s="53" t="n">
        <v>3</v>
      </c>
      <c r="B422" s="53" t="n">
        <v>28</v>
      </c>
      <c r="C422" s="76" t="s">
        <v>512</v>
      </c>
      <c r="D422" s="53" t="n">
        <v>11</v>
      </c>
      <c r="E422" s="73" t="n">
        <v>8.8</v>
      </c>
      <c r="F422" s="55" t="n">
        <v>1</v>
      </c>
      <c r="G422" s="73" t="n">
        <v>2.1</v>
      </c>
      <c r="H422" s="55" t="n">
        <v>1</v>
      </c>
      <c r="I422" s="20"/>
      <c r="J422" s="20"/>
      <c r="K422" s="20"/>
      <c r="L422" s="20"/>
      <c r="M422" s="41" t="n">
        <f aca="false">E422*F422+G422*H422+I422*J422+K422*L422</f>
        <v>10.9</v>
      </c>
      <c r="N422" s="41" t="n">
        <f aca="false">Исходные!$B$15-M422</f>
        <v>0.799999999999999</v>
      </c>
      <c r="O422" s="55" t="n">
        <v>14</v>
      </c>
      <c r="P422" s="53" t="n">
        <f aca="false">(F422+H422+J422+L422)*O422</f>
        <v>28</v>
      </c>
      <c r="Q422" s="74" t="n">
        <f aca="false">M422*O422</f>
        <v>152.6</v>
      </c>
      <c r="R422" s="74" t="n">
        <f aca="false">N422*O422</f>
        <v>11.2</v>
      </c>
    </row>
    <row r="423" customFormat="false" ht="15" hidden="false" customHeight="false" outlineLevel="0" collapsed="false">
      <c r="A423" s="53" t="n">
        <v>3</v>
      </c>
      <c r="B423" s="53" t="n">
        <v>28</v>
      </c>
      <c r="C423" s="76" t="s">
        <v>512</v>
      </c>
      <c r="D423" s="53" t="n">
        <v>12</v>
      </c>
      <c r="E423" s="73" t="n">
        <v>8.8</v>
      </c>
      <c r="F423" s="55" t="n">
        <v>1</v>
      </c>
      <c r="G423" s="73" t="n">
        <v>2.05</v>
      </c>
      <c r="H423" s="55" t="n">
        <v>1</v>
      </c>
      <c r="I423" s="20"/>
      <c r="J423" s="20"/>
      <c r="K423" s="20"/>
      <c r="L423" s="20"/>
      <c r="M423" s="41" t="n">
        <f aca="false">E423*F423+G423*H423+I423*J423+K423*L423</f>
        <v>10.85</v>
      </c>
      <c r="N423" s="41" t="n">
        <f aca="false">Исходные!$B$15-M423</f>
        <v>0.849999999999998</v>
      </c>
      <c r="O423" s="55" t="n">
        <v>6</v>
      </c>
      <c r="P423" s="53" t="n">
        <f aca="false">(F423+H423+J423+L423)*O423</f>
        <v>12</v>
      </c>
      <c r="Q423" s="74" t="n">
        <f aca="false">M423*O423</f>
        <v>65.1</v>
      </c>
      <c r="R423" s="74" t="n">
        <f aca="false">N423*O423</f>
        <v>5.09999999999999</v>
      </c>
    </row>
    <row r="424" customFormat="false" ht="15" hidden="false" customHeight="false" outlineLevel="0" collapsed="false">
      <c r="A424" s="53" t="n">
        <v>3</v>
      </c>
      <c r="B424" s="53" t="n">
        <v>28</v>
      </c>
      <c r="C424" s="76" t="s">
        <v>512</v>
      </c>
      <c r="D424" s="53" t="n">
        <v>13</v>
      </c>
      <c r="E424" s="73" t="n">
        <v>3.6</v>
      </c>
      <c r="F424" s="55" t="n">
        <v>3</v>
      </c>
      <c r="G424" s="20"/>
      <c r="H424" s="20"/>
      <c r="I424" s="20"/>
      <c r="J424" s="20"/>
      <c r="K424" s="20"/>
      <c r="L424" s="20"/>
      <c r="M424" s="41" t="n">
        <f aca="false">E424*F424+G424*H424+I424*J424+K424*L424</f>
        <v>10.8</v>
      </c>
      <c r="N424" s="41" t="n">
        <f aca="false">Исходные!$B$15-M424</f>
        <v>0.899999999999999</v>
      </c>
      <c r="O424" s="55" t="n">
        <v>12</v>
      </c>
      <c r="P424" s="53" t="n">
        <f aca="false">(F424+H424+J424+L424)*O424</f>
        <v>36</v>
      </c>
      <c r="Q424" s="74" t="n">
        <f aca="false">M424*O424</f>
        <v>129.6</v>
      </c>
      <c r="R424" s="74" t="n">
        <f aca="false">N424*O424</f>
        <v>10.8</v>
      </c>
    </row>
    <row r="425" customFormat="false" ht="15" hidden="false" customHeight="false" outlineLevel="0" collapsed="false">
      <c r="A425" s="53" t="n">
        <v>3</v>
      </c>
      <c r="B425" s="53" t="n">
        <v>28</v>
      </c>
      <c r="C425" s="76" t="s">
        <v>512</v>
      </c>
      <c r="D425" s="53" t="n">
        <v>14</v>
      </c>
      <c r="E425" s="73" t="n">
        <v>3.6</v>
      </c>
      <c r="F425" s="55" t="n">
        <v>1</v>
      </c>
      <c r="G425" s="73" t="n">
        <v>3.4</v>
      </c>
      <c r="H425" s="55" t="n">
        <v>2</v>
      </c>
      <c r="I425" s="20"/>
      <c r="J425" s="20"/>
      <c r="K425" s="20"/>
      <c r="L425" s="20"/>
      <c r="M425" s="41" t="n">
        <f aca="false">E425*F425+G425*H425+I425*J425+K425*L425</f>
        <v>10.4</v>
      </c>
      <c r="N425" s="41" t="n">
        <f aca="false">Исходные!$B$15-M425</f>
        <v>1.3</v>
      </c>
      <c r="O425" s="55" t="n">
        <v>1</v>
      </c>
      <c r="P425" s="53" t="n">
        <f aca="false">(F425+H425+J425+L425)*O425</f>
        <v>3</v>
      </c>
      <c r="Q425" s="74" t="n">
        <f aca="false">M425*O425</f>
        <v>10.4</v>
      </c>
      <c r="R425" s="74" t="n">
        <f aca="false">N425*O425</f>
        <v>1.3</v>
      </c>
    </row>
    <row r="426" customFormat="false" ht="15" hidden="false" customHeight="false" outlineLevel="0" collapsed="false">
      <c r="A426" s="53" t="n">
        <v>3</v>
      </c>
      <c r="B426" s="53" t="n">
        <v>25</v>
      </c>
      <c r="C426" s="76" t="s">
        <v>512</v>
      </c>
      <c r="D426" s="53" t="n">
        <v>1</v>
      </c>
      <c r="E426" s="73" t="n">
        <v>11.7</v>
      </c>
      <c r="F426" s="55" t="n">
        <v>1</v>
      </c>
      <c r="G426" s="20"/>
      <c r="H426" s="20"/>
      <c r="I426" s="20"/>
      <c r="J426" s="20"/>
      <c r="K426" s="20"/>
      <c r="L426" s="20"/>
      <c r="M426" s="41" t="n">
        <f aca="false">E426*F426+G426*H426+I426*J426+K426*L426</f>
        <v>11.7</v>
      </c>
      <c r="N426" s="41" t="n">
        <f aca="false">Исходные!$B$15-M426</f>
        <v>0</v>
      </c>
      <c r="O426" s="55" t="n">
        <v>40</v>
      </c>
      <c r="P426" s="53" t="n">
        <f aca="false">(F426+H426+J426+L426)*O426</f>
        <v>40</v>
      </c>
      <c r="Q426" s="74" t="n">
        <f aca="false">M426*O426</f>
        <v>468</v>
      </c>
      <c r="R426" s="74" t="n">
        <f aca="false">N426*O426</f>
        <v>0</v>
      </c>
    </row>
    <row r="427" customFormat="false" ht="15" hidden="false" customHeight="false" outlineLevel="0" collapsed="false">
      <c r="A427" s="53" t="n">
        <v>3</v>
      </c>
      <c r="B427" s="53" t="n">
        <v>25</v>
      </c>
      <c r="C427" s="76" t="s">
        <v>512</v>
      </c>
      <c r="D427" s="53" t="n">
        <v>2</v>
      </c>
      <c r="E427" s="73" t="n">
        <v>6.2</v>
      </c>
      <c r="F427" s="55" t="n">
        <v>1</v>
      </c>
      <c r="G427" s="73" t="n">
        <v>5.5</v>
      </c>
      <c r="H427" s="55" t="n">
        <v>1</v>
      </c>
      <c r="I427" s="20"/>
      <c r="J427" s="20"/>
      <c r="K427" s="20"/>
      <c r="L427" s="20"/>
      <c r="M427" s="41" t="n">
        <f aca="false">E427*F427+G427*H427+I427*J427+K427*L427</f>
        <v>11.7</v>
      </c>
      <c r="N427" s="41" t="n">
        <f aca="false">Исходные!$B$15-M427</f>
        <v>0</v>
      </c>
      <c r="O427" s="55" t="n">
        <v>2</v>
      </c>
      <c r="P427" s="53" t="n">
        <f aca="false">(F427+H427+J427+L427)*O427</f>
        <v>4</v>
      </c>
      <c r="Q427" s="74" t="n">
        <f aca="false">M427*O427</f>
        <v>23.4</v>
      </c>
      <c r="R427" s="74" t="n">
        <f aca="false">N427*O427</f>
        <v>0</v>
      </c>
    </row>
    <row r="428" customFormat="false" ht="15" hidden="false" customHeight="false" outlineLevel="0" collapsed="false">
      <c r="A428" s="53" t="n">
        <v>3</v>
      </c>
      <c r="B428" s="53" t="n">
        <v>25</v>
      </c>
      <c r="C428" s="76" t="s">
        <v>512</v>
      </c>
      <c r="D428" s="53" t="n">
        <v>3</v>
      </c>
      <c r="E428" s="73" t="n">
        <v>2</v>
      </c>
      <c r="F428" s="55" t="n">
        <v>4</v>
      </c>
      <c r="G428" s="73" t="n">
        <v>1.85</v>
      </c>
      <c r="H428" s="55" t="n">
        <v>2</v>
      </c>
      <c r="I428" s="20"/>
      <c r="J428" s="20"/>
      <c r="K428" s="20"/>
      <c r="L428" s="20"/>
      <c r="M428" s="41" t="n">
        <f aca="false">E428*F428+G428*H428+I428*J428+K428*L428</f>
        <v>11.7</v>
      </c>
      <c r="N428" s="41" t="n">
        <f aca="false">Исходные!$B$15-M428</f>
        <v>0</v>
      </c>
      <c r="O428" s="55" t="n">
        <v>1</v>
      </c>
      <c r="P428" s="53" t="n">
        <f aca="false">(F428+H428+J428+L428)*O428</f>
        <v>6</v>
      </c>
      <c r="Q428" s="74" t="n">
        <f aca="false">M428*O428</f>
        <v>11.7</v>
      </c>
      <c r="R428" s="74" t="n">
        <f aca="false">N428*O428</f>
        <v>0</v>
      </c>
    </row>
    <row r="429" customFormat="false" ht="15" hidden="false" customHeight="false" outlineLevel="0" collapsed="false">
      <c r="A429" s="53" t="n">
        <v>3</v>
      </c>
      <c r="B429" s="53" t="n">
        <v>25</v>
      </c>
      <c r="C429" s="76" t="s">
        <v>512</v>
      </c>
      <c r="D429" s="53" t="n">
        <v>4</v>
      </c>
      <c r="E429" s="73" t="n">
        <v>3.365</v>
      </c>
      <c r="F429" s="55" t="n">
        <v>1</v>
      </c>
      <c r="G429" s="73" t="n">
        <v>3.065</v>
      </c>
      <c r="H429" s="55" t="n">
        <v>2</v>
      </c>
      <c r="I429" s="73" t="n">
        <v>2.2</v>
      </c>
      <c r="J429" s="55" t="n">
        <v>1</v>
      </c>
      <c r="K429" s="20"/>
      <c r="L429" s="20"/>
      <c r="M429" s="41" t="n">
        <f aca="false">E429*F429+G429*H429+I429*J429+K429*L429</f>
        <v>11.695</v>
      </c>
      <c r="N429" s="41" t="n">
        <f aca="false">Исходные!$B$15-M429</f>
        <v>0.00499999999999901</v>
      </c>
      <c r="O429" s="55" t="n">
        <v>1</v>
      </c>
      <c r="P429" s="53" t="n">
        <f aca="false">(F429+H429+J429+L429)*O429</f>
        <v>4</v>
      </c>
      <c r="Q429" s="74" t="n">
        <f aca="false">M429*O429</f>
        <v>11.695</v>
      </c>
      <c r="R429" s="74" t="n">
        <f aca="false">N429*O429</f>
        <v>0.00499999999999901</v>
      </c>
    </row>
    <row r="430" customFormat="false" ht="15" hidden="false" customHeight="false" outlineLevel="0" collapsed="false">
      <c r="A430" s="53" t="n">
        <v>3</v>
      </c>
      <c r="B430" s="53" t="n">
        <v>25</v>
      </c>
      <c r="C430" s="76" t="s">
        <v>512</v>
      </c>
      <c r="D430" s="53" t="n">
        <v>5</v>
      </c>
      <c r="E430" s="73" t="n">
        <v>3.065</v>
      </c>
      <c r="F430" s="55" t="n">
        <v>1</v>
      </c>
      <c r="G430" s="73" t="n">
        <v>2.2</v>
      </c>
      <c r="H430" s="55" t="n">
        <v>3</v>
      </c>
      <c r="I430" s="73" t="n">
        <v>2</v>
      </c>
      <c r="J430" s="55" t="n">
        <v>1</v>
      </c>
      <c r="K430" s="20"/>
      <c r="L430" s="20"/>
      <c r="M430" s="41" t="n">
        <f aca="false">E430*F430+G430*H430+I430*J430+K430*L430</f>
        <v>11.665</v>
      </c>
      <c r="N430" s="41" t="n">
        <f aca="false">Исходные!$B$15-M430</f>
        <v>0.0349999999999984</v>
      </c>
      <c r="O430" s="55" t="n">
        <v>1</v>
      </c>
      <c r="P430" s="53" t="n">
        <f aca="false">(F430+H430+J430+L430)*O430</f>
        <v>5</v>
      </c>
      <c r="Q430" s="74" t="n">
        <f aca="false">M430*O430</f>
        <v>11.665</v>
      </c>
      <c r="R430" s="74" t="n">
        <f aca="false">N430*O430</f>
        <v>0.0349999999999984</v>
      </c>
    </row>
    <row r="431" customFormat="false" ht="15" hidden="false" customHeight="false" outlineLevel="0" collapsed="false">
      <c r="A431" s="53" t="n">
        <v>3</v>
      </c>
      <c r="B431" s="53" t="n">
        <v>25</v>
      </c>
      <c r="C431" s="76" t="s">
        <v>512</v>
      </c>
      <c r="D431" s="53" t="n">
        <v>6</v>
      </c>
      <c r="E431" s="73" t="n">
        <v>4.3</v>
      </c>
      <c r="F431" s="55" t="n">
        <v>2</v>
      </c>
      <c r="G431" s="73" t="n">
        <v>3.065</v>
      </c>
      <c r="H431" s="55" t="n">
        <v>1</v>
      </c>
      <c r="I431" s="20"/>
      <c r="J431" s="20"/>
      <c r="K431" s="20"/>
      <c r="L431" s="20"/>
      <c r="M431" s="41" t="n">
        <f aca="false">E431*F431+G431*H431+I431*J431+K431*L431</f>
        <v>11.665</v>
      </c>
      <c r="N431" s="41" t="n">
        <f aca="false">Исходные!$B$15-M431</f>
        <v>0.0350000000000001</v>
      </c>
      <c r="O431" s="55" t="n">
        <v>1</v>
      </c>
      <c r="P431" s="53" t="n">
        <f aca="false">(F431+H431+J431+L431)*O431</f>
        <v>3</v>
      </c>
      <c r="Q431" s="74" t="n">
        <f aca="false">M431*O431</f>
        <v>11.665</v>
      </c>
      <c r="R431" s="74" t="n">
        <f aca="false">N431*O431</f>
        <v>0.0350000000000001</v>
      </c>
    </row>
    <row r="432" customFormat="false" ht="15" hidden="false" customHeight="false" outlineLevel="0" collapsed="false">
      <c r="A432" s="53" t="n">
        <v>3</v>
      </c>
      <c r="B432" s="53" t="n">
        <v>25</v>
      </c>
      <c r="C432" s="76" t="s">
        <v>512</v>
      </c>
      <c r="D432" s="53" t="n">
        <v>7</v>
      </c>
      <c r="E432" s="73" t="n">
        <v>3.8</v>
      </c>
      <c r="F432" s="55" t="n">
        <v>3</v>
      </c>
      <c r="G432" s="73" t="n">
        <v>0.2</v>
      </c>
      <c r="H432" s="55" t="n">
        <v>1</v>
      </c>
      <c r="I432" s="20"/>
      <c r="J432" s="20"/>
      <c r="K432" s="20"/>
      <c r="L432" s="20"/>
      <c r="M432" s="41" t="n">
        <f aca="false">E432*F432+G432*H432+I432*J432+K432*L432</f>
        <v>11.6</v>
      </c>
      <c r="N432" s="41" t="n">
        <f aca="false">Исходные!$B$15-M432</f>
        <v>0.100000000000001</v>
      </c>
      <c r="O432" s="55" t="n">
        <v>2</v>
      </c>
      <c r="P432" s="53" t="n">
        <f aca="false">(F432+H432+J432+L432)*O432</f>
        <v>8</v>
      </c>
      <c r="Q432" s="74" t="n">
        <f aca="false">M432*O432</f>
        <v>23.2</v>
      </c>
      <c r="R432" s="74" t="n">
        <f aca="false">N432*O432</f>
        <v>0.200000000000003</v>
      </c>
    </row>
    <row r="433" customFormat="false" ht="15" hidden="false" customHeight="false" outlineLevel="0" collapsed="false">
      <c r="A433" s="53" t="n">
        <v>3</v>
      </c>
      <c r="B433" s="53" t="n">
        <v>25</v>
      </c>
      <c r="C433" s="76" t="s">
        <v>512</v>
      </c>
      <c r="D433" s="53" t="n">
        <v>8</v>
      </c>
      <c r="E433" s="73" t="n">
        <v>3.785</v>
      </c>
      <c r="F433" s="55" t="n">
        <v>3</v>
      </c>
      <c r="G433" s="73" t="n">
        <v>0.2</v>
      </c>
      <c r="H433" s="55" t="n">
        <v>1</v>
      </c>
      <c r="I433" s="20"/>
      <c r="J433" s="20"/>
      <c r="K433" s="20"/>
      <c r="L433" s="20"/>
      <c r="M433" s="41" t="n">
        <f aca="false">E433*F433+G433*H433+I433*J433+K433*L433</f>
        <v>11.555</v>
      </c>
      <c r="N433" s="41" t="n">
        <f aca="false">Исходные!$B$15-M433</f>
        <v>0.145</v>
      </c>
      <c r="O433" s="55" t="n">
        <v>1</v>
      </c>
      <c r="P433" s="53" t="n">
        <f aca="false">(F433+H433+J433+L433)*O433</f>
        <v>4</v>
      </c>
      <c r="Q433" s="74" t="n">
        <f aca="false">M433*O433</f>
        <v>11.555</v>
      </c>
      <c r="R433" s="74" t="n">
        <f aca="false">N433*O433</f>
        <v>0.145</v>
      </c>
    </row>
    <row r="434" customFormat="false" ht="15" hidden="false" customHeight="false" outlineLevel="0" collapsed="false">
      <c r="A434" s="53" t="n">
        <v>3</v>
      </c>
      <c r="B434" s="53" t="n">
        <v>25</v>
      </c>
      <c r="C434" s="76" t="s">
        <v>512</v>
      </c>
      <c r="D434" s="53" t="n">
        <v>9</v>
      </c>
      <c r="E434" s="73" t="n">
        <v>3.785</v>
      </c>
      <c r="F434" s="55" t="n">
        <v>1</v>
      </c>
      <c r="G434" s="73" t="n">
        <v>3.7</v>
      </c>
      <c r="H434" s="55" t="n">
        <v>2</v>
      </c>
      <c r="I434" s="73" t="n">
        <v>0.2</v>
      </c>
      <c r="J434" s="55" t="n">
        <v>1</v>
      </c>
      <c r="K434" s="20"/>
      <c r="L434" s="20"/>
      <c r="M434" s="41" t="n">
        <f aca="false">E434*F434+G434*H434+I434*J434+K434*L434</f>
        <v>11.385</v>
      </c>
      <c r="N434" s="41" t="n">
        <f aca="false">Исходные!$B$15-M434</f>
        <v>0.315</v>
      </c>
      <c r="O434" s="55" t="n">
        <v>1</v>
      </c>
      <c r="P434" s="53" t="n">
        <f aca="false">(F434+H434+J434+L434)*O434</f>
        <v>4</v>
      </c>
      <c r="Q434" s="74" t="n">
        <f aca="false">M434*O434</f>
        <v>11.385</v>
      </c>
      <c r="R434" s="74" t="n">
        <f aca="false">N434*O434</f>
        <v>0.315</v>
      </c>
    </row>
    <row r="435" customFormat="false" ht="15" hidden="false" customHeight="false" outlineLevel="0" collapsed="false">
      <c r="A435" s="53" t="n">
        <v>3</v>
      </c>
      <c r="B435" s="53" t="n">
        <v>25</v>
      </c>
      <c r="C435" s="76" t="s">
        <v>512</v>
      </c>
      <c r="D435" s="53" t="n">
        <v>10</v>
      </c>
      <c r="E435" s="73" t="n">
        <v>8.7</v>
      </c>
      <c r="F435" s="55" t="n">
        <v>1</v>
      </c>
      <c r="G435" s="73" t="n">
        <v>2.4</v>
      </c>
      <c r="H435" s="55" t="n">
        <v>1</v>
      </c>
      <c r="I435" s="20"/>
      <c r="J435" s="20"/>
      <c r="K435" s="20"/>
      <c r="L435" s="20"/>
      <c r="M435" s="41" t="n">
        <f aca="false">E435*F435+G435*H435+I435*J435+K435*L435</f>
        <v>11.1</v>
      </c>
      <c r="N435" s="41" t="n">
        <f aca="false">Исходные!$B$15-M435</f>
        <v>0.6</v>
      </c>
      <c r="O435" s="55" t="n">
        <v>4</v>
      </c>
      <c r="P435" s="53" t="n">
        <f aca="false">(F435+H435+J435+L435)*O435</f>
        <v>8</v>
      </c>
      <c r="Q435" s="74" t="n">
        <f aca="false">M435*O435</f>
        <v>44.4</v>
      </c>
      <c r="R435" s="74" t="n">
        <f aca="false">N435*O435</f>
        <v>2.4</v>
      </c>
    </row>
    <row r="436" customFormat="false" ht="15" hidden="false" customHeight="false" outlineLevel="0" collapsed="false">
      <c r="A436" s="53" t="n">
        <v>3</v>
      </c>
      <c r="B436" s="53" t="n">
        <v>25</v>
      </c>
      <c r="C436" s="76" t="s">
        <v>512</v>
      </c>
      <c r="D436" s="53" t="n">
        <v>11</v>
      </c>
      <c r="E436" s="73" t="n">
        <v>8.7</v>
      </c>
      <c r="F436" s="55" t="n">
        <v>1</v>
      </c>
      <c r="G436" s="73" t="n">
        <v>2.21</v>
      </c>
      <c r="H436" s="55" t="n">
        <v>1</v>
      </c>
      <c r="I436" s="20"/>
      <c r="J436" s="20"/>
      <c r="K436" s="20"/>
      <c r="L436" s="20"/>
      <c r="M436" s="41" t="n">
        <f aca="false">E436*F436+G436*H436+I436*J436+K436*L436</f>
        <v>10.91</v>
      </c>
      <c r="N436" s="41" t="n">
        <f aca="false">Исходные!$B$15-M436</f>
        <v>0.789999999999999</v>
      </c>
      <c r="O436" s="55" t="n">
        <v>4</v>
      </c>
      <c r="P436" s="53" t="n">
        <f aca="false">(F436+H436+J436+L436)*O436</f>
        <v>8</v>
      </c>
      <c r="Q436" s="74" t="n">
        <f aca="false">M436*O436</f>
        <v>43.64</v>
      </c>
      <c r="R436" s="74" t="n">
        <f aca="false">N436*O436</f>
        <v>3.16</v>
      </c>
    </row>
    <row r="437" customFormat="false" ht="15" hidden="false" customHeight="false" outlineLevel="0" collapsed="false">
      <c r="A437" s="53" t="n">
        <v>3</v>
      </c>
      <c r="B437" s="53" t="n">
        <v>25</v>
      </c>
      <c r="C437" s="76" t="s">
        <v>512</v>
      </c>
      <c r="D437" s="53" t="n">
        <v>12</v>
      </c>
      <c r="E437" s="73" t="n">
        <v>8.7</v>
      </c>
      <c r="F437" s="55" t="n">
        <v>1</v>
      </c>
      <c r="G437" s="73" t="n">
        <v>2.2</v>
      </c>
      <c r="H437" s="55" t="n">
        <v>1</v>
      </c>
      <c r="I437" s="20"/>
      <c r="J437" s="20"/>
      <c r="K437" s="20"/>
      <c r="L437" s="20"/>
      <c r="M437" s="41" t="n">
        <f aca="false">E437*F437+G437*H437+I437*J437+K437*L437</f>
        <v>10.9</v>
      </c>
      <c r="N437" s="41" t="n">
        <f aca="false">Исходные!$B$15-M437</f>
        <v>0.800000000000001</v>
      </c>
      <c r="O437" s="55" t="n">
        <v>4</v>
      </c>
      <c r="P437" s="53" t="n">
        <f aca="false">(F437+H437+J437+L437)*O437</f>
        <v>8</v>
      </c>
      <c r="Q437" s="74" t="n">
        <f aca="false">M437*O437</f>
        <v>43.6</v>
      </c>
      <c r="R437" s="74" t="n">
        <f aca="false">N437*O437</f>
        <v>3.2</v>
      </c>
    </row>
    <row r="438" customFormat="false" ht="15" hidden="false" customHeight="false" outlineLevel="0" collapsed="false">
      <c r="A438" s="53" t="n">
        <v>3</v>
      </c>
      <c r="B438" s="53" t="n">
        <v>25</v>
      </c>
      <c r="C438" s="76" t="s">
        <v>512</v>
      </c>
      <c r="D438" s="53" t="n">
        <v>13</v>
      </c>
      <c r="E438" s="73" t="n">
        <v>3.6</v>
      </c>
      <c r="F438" s="55" t="n">
        <v>3</v>
      </c>
      <c r="G438" s="20"/>
      <c r="H438" s="20"/>
      <c r="I438" s="20"/>
      <c r="J438" s="20"/>
      <c r="K438" s="20"/>
      <c r="L438" s="20"/>
      <c r="M438" s="41" t="n">
        <f aca="false">E438*F438+G438*H438+I438*J438+K438*L438</f>
        <v>10.8</v>
      </c>
      <c r="N438" s="41" t="n">
        <f aca="false">Исходные!$B$15-M438</f>
        <v>0.899999999999999</v>
      </c>
      <c r="O438" s="55" t="n">
        <v>10</v>
      </c>
      <c r="P438" s="53" t="n">
        <f aca="false">(F438+H438+J438+L438)*O438</f>
        <v>30</v>
      </c>
      <c r="Q438" s="74" t="n">
        <f aca="false">M438*O438</f>
        <v>108</v>
      </c>
      <c r="R438" s="74" t="n">
        <f aca="false">N438*O438</f>
        <v>8.99999999999999</v>
      </c>
    </row>
    <row r="439" customFormat="false" ht="15" hidden="false" customHeight="false" outlineLevel="0" collapsed="false">
      <c r="A439" s="53" t="n">
        <v>3</v>
      </c>
      <c r="B439" s="53" t="n">
        <v>25</v>
      </c>
      <c r="C439" s="76" t="s">
        <v>512</v>
      </c>
      <c r="D439" s="53" t="n">
        <v>14</v>
      </c>
      <c r="E439" s="73" t="n">
        <v>10.5</v>
      </c>
      <c r="F439" s="55" t="n">
        <v>1</v>
      </c>
      <c r="G439" s="20"/>
      <c r="H439" s="20"/>
      <c r="I439" s="20"/>
      <c r="J439" s="20"/>
      <c r="K439" s="20"/>
      <c r="L439" s="20"/>
      <c r="M439" s="41" t="n">
        <f aca="false">E439*F439+G439*H439+I439*J439+K439*L439</f>
        <v>10.5</v>
      </c>
      <c r="N439" s="41" t="n">
        <f aca="false">Исходные!$B$15-M439</f>
        <v>1.2</v>
      </c>
      <c r="O439" s="55" t="n">
        <v>2</v>
      </c>
      <c r="P439" s="53" t="n">
        <f aca="false">(F439+H439+J439+L439)*O439</f>
        <v>2</v>
      </c>
      <c r="Q439" s="74" t="n">
        <f aca="false">M439*O439</f>
        <v>21</v>
      </c>
      <c r="R439" s="74" t="n">
        <f aca="false">N439*O439</f>
        <v>2.4</v>
      </c>
    </row>
    <row r="440" customFormat="false" ht="15" hidden="false" customHeight="false" outlineLevel="0" collapsed="false">
      <c r="A440" s="53" t="n">
        <v>3</v>
      </c>
      <c r="B440" s="53" t="n">
        <v>25</v>
      </c>
      <c r="C440" s="76" t="s">
        <v>512</v>
      </c>
      <c r="D440" s="53" t="n">
        <v>15</v>
      </c>
      <c r="E440" s="73" t="n">
        <v>2.05</v>
      </c>
      <c r="F440" s="55" t="n">
        <v>5</v>
      </c>
      <c r="G440" s="20"/>
      <c r="H440" s="20"/>
      <c r="I440" s="20"/>
      <c r="J440" s="20"/>
      <c r="K440" s="20"/>
      <c r="L440" s="20"/>
      <c r="M440" s="41" t="n">
        <f aca="false">E440*F440+G440*H440+I440*J440+K440*L440</f>
        <v>10.25</v>
      </c>
      <c r="N440" s="41" t="n">
        <f aca="false">Исходные!$B$15-M440</f>
        <v>1.45</v>
      </c>
      <c r="O440" s="55" t="n">
        <v>2</v>
      </c>
      <c r="P440" s="53" t="n">
        <f aca="false">(F440+H440+J440+L440)*O440</f>
        <v>10</v>
      </c>
      <c r="Q440" s="74" t="n">
        <f aca="false">M440*O440</f>
        <v>20.5</v>
      </c>
      <c r="R440" s="74" t="n">
        <f aca="false">N440*O440</f>
        <v>2.9</v>
      </c>
    </row>
    <row r="441" customFormat="false" ht="15" hidden="false" customHeight="false" outlineLevel="0" collapsed="false">
      <c r="A441" s="53" t="n">
        <v>3</v>
      </c>
      <c r="B441" s="53" t="n">
        <v>25</v>
      </c>
      <c r="C441" s="76" t="s">
        <v>512</v>
      </c>
      <c r="D441" s="53" t="n">
        <v>16</v>
      </c>
      <c r="E441" s="73" t="n">
        <v>2.05</v>
      </c>
      <c r="F441" s="55" t="n">
        <v>2</v>
      </c>
      <c r="G441" s="73" t="n">
        <v>2</v>
      </c>
      <c r="H441" s="55" t="n">
        <v>3</v>
      </c>
      <c r="I441" s="20"/>
      <c r="J441" s="20"/>
      <c r="K441" s="20"/>
      <c r="L441" s="20"/>
      <c r="M441" s="41" t="n">
        <f aca="false">E441*F441+G441*H441+I441*J441+K441*L441</f>
        <v>10.1</v>
      </c>
      <c r="N441" s="41" t="n">
        <f aca="false">Исходные!$B$15-M441</f>
        <v>1.6</v>
      </c>
      <c r="O441" s="55" t="n">
        <v>1</v>
      </c>
      <c r="P441" s="53" t="n">
        <f aca="false">(F441+H441+J441+L441)*O441</f>
        <v>5</v>
      </c>
      <c r="Q441" s="74" t="n">
        <f aca="false">M441*O441</f>
        <v>10.1</v>
      </c>
      <c r="R441" s="74" t="n">
        <f aca="false">N441*O441</f>
        <v>1.6</v>
      </c>
    </row>
    <row r="442" customFormat="false" ht="15" hidden="false" customHeight="false" outlineLevel="0" collapsed="false">
      <c r="A442" s="53" t="n">
        <v>3</v>
      </c>
      <c r="B442" s="53" t="n">
        <v>25</v>
      </c>
      <c r="C442" s="76" t="s">
        <v>512</v>
      </c>
      <c r="D442" s="53" t="n">
        <v>17</v>
      </c>
      <c r="E442" s="73" t="n">
        <v>3.365</v>
      </c>
      <c r="F442" s="55" t="n">
        <v>3</v>
      </c>
      <c r="G442" s="20"/>
      <c r="H442" s="20"/>
      <c r="I442" s="20"/>
      <c r="J442" s="20"/>
      <c r="K442" s="20"/>
      <c r="L442" s="20"/>
      <c r="M442" s="41" t="n">
        <f aca="false">E442*F442+G442*H442+I442*J442+K442*L442</f>
        <v>10.095</v>
      </c>
      <c r="N442" s="41" t="n">
        <f aca="false">Исходные!$B$15-M442</f>
        <v>1.605</v>
      </c>
      <c r="O442" s="55" t="n">
        <v>1</v>
      </c>
      <c r="P442" s="53" t="n">
        <f aca="false">(F442+H442+J442+L442)*O442</f>
        <v>3</v>
      </c>
      <c r="Q442" s="74" t="n">
        <f aca="false">M442*O442</f>
        <v>10.095</v>
      </c>
      <c r="R442" s="74" t="n">
        <f aca="false">N442*O442</f>
        <v>1.605</v>
      </c>
    </row>
    <row r="443" customFormat="false" ht="15" hidden="false" customHeight="false" outlineLevel="0" collapsed="false">
      <c r="A443" s="53" t="n">
        <v>3</v>
      </c>
      <c r="B443" s="53" t="n">
        <v>22</v>
      </c>
      <c r="C443" s="76" t="s">
        <v>512</v>
      </c>
      <c r="D443" s="53" t="n">
        <v>1</v>
      </c>
      <c r="E443" s="73" t="n">
        <v>2.4</v>
      </c>
      <c r="F443" s="55" t="n">
        <v>1</v>
      </c>
      <c r="G443" s="73" t="n">
        <v>2.375</v>
      </c>
      <c r="H443" s="55" t="n">
        <v>3</v>
      </c>
      <c r="I443" s="73" t="n">
        <v>2.175</v>
      </c>
      <c r="J443" s="55" t="n">
        <v>1</v>
      </c>
      <c r="K443" s="20"/>
      <c r="L443" s="20"/>
      <c r="M443" s="41" t="n">
        <f aca="false">E443*F443+G443*H443+I443*J443+K443*L443</f>
        <v>11.7</v>
      </c>
      <c r="N443" s="41" t="n">
        <f aca="false">Исходные!$B$15-M443</f>
        <v>0</v>
      </c>
      <c r="O443" s="55" t="n">
        <v>1</v>
      </c>
      <c r="P443" s="53" t="n">
        <f aca="false">(F443+H443+J443+L443)*O443</f>
        <v>5</v>
      </c>
      <c r="Q443" s="74" t="n">
        <f aca="false">M443*O443</f>
        <v>11.7</v>
      </c>
      <c r="R443" s="74" t="n">
        <f aca="false">N443*O443</f>
        <v>0</v>
      </c>
    </row>
    <row r="444" customFormat="false" ht="15" hidden="false" customHeight="false" outlineLevel="0" collapsed="false">
      <c r="A444" s="53" t="n">
        <v>3</v>
      </c>
      <c r="B444" s="53" t="n">
        <v>22</v>
      </c>
      <c r="C444" s="76" t="s">
        <v>512</v>
      </c>
      <c r="D444" s="53" t="n">
        <v>2</v>
      </c>
      <c r="E444" s="73" t="n">
        <v>7.95</v>
      </c>
      <c r="F444" s="55" t="n">
        <v>1</v>
      </c>
      <c r="G444" s="73" t="n">
        <v>3.6</v>
      </c>
      <c r="H444" s="55" t="n">
        <v>1</v>
      </c>
      <c r="I444" s="20"/>
      <c r="J444" s="20"/>
      <c r="K444" s="20"/>
      <c r="L444" s="20"/>
      <c r="M444" s="41" t="n">
        <f aca="false">E444*F444+G444*H444+I444*J444+K444*L444</f>
        <v>11.55</v>
      </c>
      <c r="N444" s="41" t="n">
        <f aca="false">Исходные!$B$15-M444</f>
        <v>0.149999999999999</v>
      </c>
      <c r="O444" s="55" t="n">
        <v>4</v>
      </c>
      <c r="P444" s="53" t="n">
        <f aca="false">(F444+H444+J444+L444)*O444</f>
        <v>8</v>
      </c>
      <c r="Q444" s="74" t="n">
        <f aca="false">M444*O444</f>
        <v>46.2</v>
      </c>
      <c r="R444" s="74" t="n">
        <f aca="false">N444*O444</f>
        <v>0.599999999999994</v>
      </c>
    </row>
    <row r="445" customFormat="false" ht="15" hidden="false" customHeight="false" outlineLevel="0" collapsed="false">
      <c r="A445" s="53" t="n">
        <v>3</v>
      </c>
      <c r="B445" s="53" t="n">
        <v>22</v>
      </c>
      <c r="C445" s="76" t="s">
        <v>512</v>
      </c>
      <c r="D445" s="53" t="n">
        <v>3</v>
      </c>
      <c r="E445" s="73" t="n">
        <v>4.15</v>
      </c>
      <c r="F445" s="55" t="n">
        <v>2</v>
      </c>
      <c r="G445" s="73" t="n">
        <v>3.2</v>
      </c>
      <c r="H445" s="55" t="n">
        <v>1</v>
      </c>
      <c r="I445" s="20"/>
      <c r="J445" s="20"/>
      <c r="K445" s="20"/>
      <c r="L445" s="20"/>
      <c r="M445" s="41" t="n">
        <f aca="false">E445*F445+G445*H445+I445*J445+K445*L445</f>
        <v>11.5</v>
      </c>
      <c r="N445" s="41" t="n">
        <f aca="false">Исходные!$B$15-M445</f>
        <v>0.199999999999999</v>
      </c>
      <c r="O445" s="55" t="n">
        <v>4</v>
      </c>
      <c r="P445" s="53" t="n">
        <f aca="false">(F445+H445+J445+L445)*O445</f>
        <v>12</v>
      </c>
      <c r="Q445" s="74" t="n">
        <f aca="false">M445*O445</f>
        <v>46</v>
      </c>
      <c r="R445" s="74" t="n">
        <f aca="false">N445*O445</f>
        <v>0.799999999999997</v>
      </c>
    </row>
    <row r="446" customFormat="false" ht="15" hidden="false" customHeight="false" outlineLevel="0" collapsed="false">
      <c r="A446" s="53" t="n">
        <v>3</v>
      </c>
      <c r="B446" s="53" t="n">
        <v>22</v>
      </c>
      <c r="C446" s="76" t="s">
        <v>512</v>
      </c>
      <c r="D446" s="53" t="n">
        <v>4</v>
      </c>
      <c r="E446" s="73" t="n">
        <v>3.775</v>
      </c>
      <c r="F446" s="55" t="n">
        <v>3</v>
      </c>
      <c r="G446" s="20"/>
      <c r="H446" s="20"/>
      <c r="I446" s="20"/>
      <c r="J446" s="20"/>
      <c r="K446" s="20"/>
      <c r="L446" s="20"/>
      <c r="M446" s="41" t="n">
        <f aca="false">E446*F446+G446*H446+I446*J446+K446*L446</f>
        <v>11.325</v>
      </c>
      <c r="N446" s="41" t="n">
        <f aca="false">Исходные!$B$15-M446</f>
        <v>0.375</v>
      </c>
      <c r="O446" s="55" t="n">
        <v>1</v>
      </c>
      <c r="P446" s="53" t="n">
        <f aca="false">(F446+H446+J446+L446)*O446</f>
        <v>3</v>
      </c>
      <c r="Q446" s="74" t="n">
        <f aca="false">M446*O446</f>
        <v>11.325</v>
      </c>
      <c r="R446" s="74" t="n">
        <f aca="false">N446*O446</f>
        <v>0.375</v>
      </c>
    </row>
    <row r="447" customFormat="false" ht="15" hidden="false" customHeight="false" outlineLevel="0" collapsed="false">
      <c r="A447" s="53" t="n">
        <v>3</v>
      </c>
      <c r="B447" s="53" t="n">
        <v>22</v>
      </c>
      <c r="C447" s="76" t="s">
        <v>512</v>
      </c>
      <c r="D447" s="53" t="n">
        <v>5</v>
      </c>
      <c r="E447" s="73" t="n">
        <v>2.375</v>
      </c>
      <c r="F447" s="55" t="n">
        <v>1</v>
      </c>
      <c r="G447" s="73" t="n">
        <v>2.175</v>
      </c>
      <c r="H447" s="55" t="n">
        <v>4</v>
      </c>
      <c r="I447" s="20"/>
      <c r="J447" s="20"/>
      <c r="K447" s="20"/>
      <c r="L447" s="20"/>
      <c r="M447" s="41" t="n">
        <f aca="false">E447*F447+G447*H447+I447*J447+K447*L447</f>
        <v>11.075</v>
      </c>
      <c r="N447" s="41" t="n">
        <f aca="false">Исходные!$B$15-M447</f>
        <v>0.625</v>
      </c>
      <c r="O447" s="55" t="n">
        <v>1</v>
      </c>
      <c r="P447" s="53" t="n">
        <f aca="false">(F447+H447+J447+L447)*O447</f>
        <v>5</v>
      </c>
      <c r="Q447" s="74" t="n">
        <f aca="false">M447*O447</f>
        <v>11.075</v>
      </c>
      <c r="R447" s="74" t="n">
        <f aca="false">N447*O447</f>
        <v>0.625</v>
      </c>
    </row>
    <row r="448" customFormat="false" ht="15" hidden="false" customHeight="false" outlineLevel="0" collapsed="false">
      <c r="A448" s="53" t="n">
        <v>3</v>
      </c>
      <c r="B448" s="53" t="n">
        <v>22</v>
      </c>
      <c r="C448" s="76" t="s">
        <v>512</v>
      </c>
      <c r="D448" s="53" t="n">
        <v>6</v>
      </c>
      <c r="E448" s="73" t="n">
        <v>5.5</v>
      </c>
      <c r="F448" s="55" t="n">
        <v>2</v>
      </c>
      <c r="G448" s="20"/>
      <c r="H448" s="20"/>
      <c r="I448" s="20"/>
      <c r="J448" s="20"/>
      <c r="K448" s="20"/>
      <c r="L448" s="20"/>
      <c r="M448" s="41" t="n">
        <f aca="false">E448*F448+G448*H448+I448*J448+K448*L448</f>
        <v>11</v>
      </c>
      <c r="N448" s="41" t="n">
        <f aca="false">Исходные!$B$15-M448</f>
        <v>0.699999999999999</v>
      </c>
      <c r="O448" s="55" t="n">
        <v>1</v>
      </c>
      <c r="P448" s="53" t="n">
        <f aca="false">(F448+H448+J448+L448)*O448</f>
        <v>2</v>
      </c>
      <c r="Q448" s="74" t="n">
        <f aca="false">M448*O448</f>
        <v>11</v>
      </c>
      <c r="R448" s="74" t="n">
        <f aca="false">N448*O448</f>
        <v>0.699999999999999</v>
      </c>
    </row>
    <row r="449" customFormat="false" ht="15" hidden="false" customHeight="false" outlineLevel="0" collapsed="false">
      <c r="A449" s="53" t="n">
        <v>3</v>
      </c>
      <c r="B449" s="53" t="n">
        <v>22</v>
      </c>
      <c r="C449" s="76" t="s">
        <v>512</v>
      </c>
      <c r="D449" s="53" t="n">
        <v>7</v>
      </c>
      <c r="E449" s="73" t="n">
        <v>3.775</v>
      </c>
      <c r="F449" s="55" t="n">
        <v>1</v>
      </c>
      <c r="G449" s="73" t="n">
        <v>3.6</v>
      </c>
      <c r="H449" s="55" t="n">
        <v>2</v>
      </c>
      <c r="I449" s="20"/>
      <c r="J449" s="20"/>
      <c r="K449" s="20"/>
      <c r="L449" s="20"/>
      <c r="M449" s="41" t="n">
        <f aca="false">E449*F449+G449*H449+I449*J449+K449*L449</f>
        <v>10.975</v>
      </c>
      <c r="N449" s="41" t="n">
        <f aca="false">Исходные!$B$15-M449</f>
        <v>0.725</v>
      </c>
      <c r="O449" s="55" t="n">
        <v>1</v>
      </c>
      <c r="P449" s="53" t="n">
        <f aca="false">(F449+H449+J449+L449)*O449</f>
        <v>3</v>
      </c>
      <c r="Q449" s="74" t="n">
        <f aca="false">M449*O449</f>
        <v>10.975</v>
      </c>
      <c r="R449" s="74" t="n">
        <f aca="false">N449*O449</f>
        <v>0.725</v>
      </c>
    </row>
    <row r="450" customFormat="false" ht="15" hidden="false" customHeight="false" outlineLevel="0" collapsed="false">
      <c r="A450" s="53" t="n">
        <v>3</v>
      </c>
      <c r="B450" s="53" t="n">
        <v>22</v>
      </c>
      <c r="C450" s="76" t="s">
        <v>512</v>
      </c>
      <c r="D450" s="53" t="n">
        <v>8</v>
      </c>
      <c r="E450" s="73" t="n">
        <v>2.175</v>
      </c>
      <c r="F450" s="55" t="n">
        <v>5</v>
      </c>
      <c r="G450" s="20"/>
      <c r="H450" s="20"/>
      <c r="I450" s="20"/>
      <c r="J450" s="20"/>
      <c r="K450" s="20"/>
      <c r="L450" s="20"/>
      <c r="M450" s="41" t="n">
        <f aca="false">E450*F450+G450*H450+I450*J450+K450*L450</f>
        <v>10.875</v>
      </c>
      <c r="N450" s="41" t="n">
        <f aca="false">Исходные!$B$15-M450</f>
        <v>0.824999999999999</v>
      </c>
      <c r="O450" s="55" t="n">
        <v>2</v>
      </c>
      <c r="P450" s="53" t="n">
        <f aca="false">(F450+H450+J450+L450)*O450</f>
        <v>10</v>
      </c>
      <c r="Q450" s="74" t="n">
        <f aca="false">M450*O450</f>
        <v>21.75</v>
      </c>
      <c r="R450" s="74" t="n">
        <f aca="false">N450*O450</f>
        <v>1.65</v>
      </c>
    </row>
    <row r="451" customFormat="false" ht="15" hidden="false" customHeight="false" outlineLevel="0" collapsed="false">
      <c r="A451" s="53" t="n">
        <v>3</v>
      </c>
      <c r="B451" s="53" t="n">
        <v>22</v>
      </c>
      <c r="C451" s="76" t="s">
        <v>512</v>
      </c>
      <c r="D451" s="53" t="n">
        <v>9</v>
      </c>
      <c r="E451" s="73" t="n">
        <v>3.6</v>
      </c>
      <c r="F451" s="55" t="n">
        <v>3</v>
      </c>
      <c r="G451" s="20"/>
      <c r="H451" s="20"/>
      <c r="I451" s="20"/>
      <c r="J451" s="20"/>
      <c r="K451" s="20"/>
      <c r="L451" s="20"/>
      <c r="M451" s="41" t="n">
        <f aca="false">E451*F451+G451*H451+I451*J451+K451*L451</f>
        <v>10.8</v>
      </c>
      <c r="N451" s="41" t="n">
        <f aca="false">Исходные!$B$15-M451</f>
        <v>0.899999999999999</v>
      </c>
      <c r="O451" s="55" t="n">
        <v>10</v>
      </c>
      <c r="P451" s="53" t="n">
        <f aca="false">(F451+H451+J451+L451)*O451</f>
        <v>30</v>
      </c>
      <c r="Q451" s="74" t="n">
        <f aca="false">M451*O451</f>
        <v>108</v>
      </c>
      <c r="R451" s="74" t="n">
        <f aca="false">N451*O451</f>
        <v>8.99999999999999</v>
      </c>
    </row>
    <row r="452" customFormat="false" ht="15" hidden="false" customHeight="false" outlineLevel="0" collapsed="false">
      <c r="A452" s="53" t="n">
        <v>3</v>
      </c>
      <c r="B452" s="53" t="n">
        <v>22</v>
      </c>
      <c r="C452" s="76" t="s">
        <v>512</v>
      </c>
      <c r="D452" s="53" t="n">
        <v>10</v>
      </c>
      <c r="E452" s="73" t="n">
        <v>2.175</v>
      </c>
      <c r="F452" s="55" t="n">
        <v>1</v>
      </c>
      <c r="G452" s="73" t="n">
        <v>2.15</v>
      </c>
      <c r="H452" s="55" t="n">
        <v>4</v>
      </c>
      <c r="I452" s="20"/>
      <c r="J452" s="20"/>
      <c r="K452" s="20"/>
      <c r="L452" s="20"/>
      <c r="M452" s="41" t="n">
        <f aca="false">E452*F452+G452*H452+I452*J452+K452*L452</f>
        <v>10.775</v>
      </c>
      <c r="N452" s="41" t="n">
        <f aca="false">Исходные!$B$15-M452</f>
        <v>0.925000000000001</v>
      </c>
      <c r="O452" s="55" t="n">
        <v>1</v>
      </c>
      <c r="P452" s="53" t="n">
        <f aca="false">(F452+H452+J452+L452)*O452</f>
        <v>5</v>
      </c>
      <c r="Q452" s="74" t="n">
        <f aca="false">M452*O452</f>
        <v>10.775</v>
      </c>
      <c r="R452" s="74" t="n">
        <f aca="false">N452*O452</f>
        <v>0.925000000000001</v>
      </c>
    </row>
    <row r="453" customFormat="false" ht="15" hidden="false" customHeight="false" outlineLevel="0" collapsed="false">
      <c r="A453" s="53" t="n">
        <v>3</v>
      </c>
      <c r="B453" s="53" t="n">
        <v>22</v>
      </c>
      <c r="C453" s="76" t="s">
        <v>512</v>
      </c>
      <c r="D453" s="53" t="n">
        <v>11</v>
      </c>
      <c r="E453" s="73" t="n">
        <v>2.15</v>
      </c>
      <c r="F453" s="55" t="n">
        <v>5</v>
      </c>
      <c r="G453" s="20"/>
      <c r="H453" s="20"/>
      <c r="I453" s="20"/>
      <c r="J453" s="20"/>
      <c r="K453" s="20"/>
      <c r="L453" s="20"/>
      <c r="M453" s="41" t="n">
        <f aca="false">E453*F453+G453*H453+I453*J453+K453*L453</f>
        <v>10.75</v>
      </c>
      <c r="N453" s="41" t="n">
        <f aca="false">Исходные!$B$15-M453</f>
        <v>0.949999999999999</v>
      </c>
      <c r="O453" s="55" t="n">
        <v>2</v>
      </c>
      <c r="P453" s="53" t="n">
        <f aca="false">(F453+H453+J453+L453)*O453</f>
        <v>10</v>
      </c>
      <c r="Q453" s="74" t="n">
        <f aca="false">M453*O453</f>
        <v>21.5</v>
      </c>
      <c r="R453" s="74" t="n">
        <f aca="false">N453*O453</f>
        <v>1.9</v>
      </c>
    </row>
    <row r="454" customFormat="false" ht="15" hidden="false" customHeight="false" outlineLevel="0" collapsed="false">
      <c r="A454" s="53" t="n">
        <v>3</v>
      </c>
      <c r="B454" s="53" t="n">
        <v>22</v>
      </c>
      <c r="C454" s="76" t="s">
        <v>512</v>
      </c>
      <c r="D454" s="53" t="n">
        <v>12</v>
      </c>
      <c r="E454" s="73" t="n">
        <v>2.15</v>
      </c>
      <c r="F454" s="55" t="n">
        <v>2</v>
      </c>
      <c r="G454" s="73" t="n">
        <v>2.05</v>
      </c>
      <c r="H454" s="55" t="n">
        <v>2</v>
      </c>
      <c r="I454" s="20"/>
      <c r="J454" s="20"/>
      <c r="K454" s="20"/>
      <c r="L454" s="20"/>
      <c r="M454" s="41" t="n">
        <f aca="false">E454*F454+G454*H454+I454*J454+K454*L454</f>
        <v>8.4</v>
      </c>
      <c r="N454" s="41" t="n">
        <f aca="false">Исходные!$B$15-M454</f>
        <v>3.3</v>
      </c>
      <c r="O454" s="55" t="n">
        <v>1</v>
      </c>
      <c r="P454" s="53" t="n">
        <f aca="false">(F454+H454+J454+L454)*O454</f>
        <v>4</v>
      </c>
      <c r="Q454" s="74" t="n">
        <f aca="false">M454*O454</f>
        <v>8.4</v>
      </c>
      <c r="R454" s="74" t="n">
        <f aca="false">N454*O454</f>
        <v>3.3</v>
      </c>
    </row>
    <row r="455" customFormat="false" ht="15" hidden="false" customHeight="false" outlineLevel="0" collapsed="false">
      <c r="A455" s="53" t="n">
        <v>3</v>
      </c>
      <c r="B455" s="53" t="n">
        <v>20</v>
      </c>
      <c r="C455" s="76" t="s">
        <v>512</v>
      </c>
      <c r="D455" s="53" t="n">
        <v>1</v>
      </c>
      <c r="E455" s="73" t="n">
        <v>4.1</v>
      </c>
      <c r="F455" s="55" t="n">
        <v>2</v>
      </c>
      <c r="G455" s="73" t="n">
        <v>3.325</v>
      </c>
      <c r="H455" s="55" t="n">
        <v>1</v>
      </c>
      <c r="I455" s="20"/>
      <c r="J455" s="20"/>
      <c r="K455" s="20"/>
      <c r="L455" s="20"/>
      <c r="M455" s="41" t="n">
        <f aca="false">E455*F455+G455*H455+I455*J455+K455*L455</f>
        <v>11.525</v>
      </c>
      <c r="N455" s="41" t="n">
        <f aca="false">Исходные!$B$15-M455</f>
        <v>0.175000000000001</v>
      </c>
      <c r="O455" s="55" t="n">
        <v>2</v>
      </c>
      <c r="P455" s="53" t="n">
        <f aca="false">(F455+H455+J455+L455)*O455</f>
        <v>6</v>
      </c>
      <c r="Q455" s="74" t="n">
        <f aca="false">M455*O455</f>
        <v>23.05</v>
      </c>
      <c r="R455" s="74" t="n">
        <f aca="false">N455*O455</f>
        <v>0.350000000000001</v>
      </c>
    </row>
    <row r="456" customFormat="false" ht="15" hidden="false" customHeight="false" outlineLevel="0" collapsed="false">
      <c r="A456" s="53" t="n">
        <v>3</v>
      </c>
      <c r="B456" s="53" t="n">
        <v>20</v>
      </c>
      <c r="C456" s="76" t="s">
        <v>512</v>
      </c>
      <c r="D456" s="53" t="n">
        <v>2</v>
      </c>
      <c r="E456" s="73" t="n">
        <v>3.05</v>
      </c>
      <c r="F456" s="55" t="n">
        <v>3</v>
      </c>
      <c r="G456" s="73" t="n">
        <v>2.3</v>
      </c>
      <c r="H456" s="55" t="n">
        <v>1</v>
      </c>
      <c r="I456" s="20"/>
      <c r="J456" s="20"/>
      <c r="K456" s="20"/>
      <c r="L456" s="20"/>
      <c r="M456" s="41" t="n">
        <f aca="false">E456*F456+G456*H456+I456*J456+K456*L456</f>
        <v>11.45</v>
      </c>
      <c r="N456" s="41" t="n">
        <f aca="false">Исходные!$B$15-M456</f>
        <v>0.25</v>
      </c>
      <c r="O456" s="55" t="n">
        <v>1</v>
      </c>
      <c r="P456" s="53" t="n">
        <f aca="false">(F456+H456+J456+L456)*O456</f>
        <v>4</v>
      </c>
      <c r="Q456" s="74" t="n">
        <f aca="false">M456*O456</f>
        <v>11.45</v>
      </c>
      <c r="R456" s="74" t="n">
        <f aca="false">N456*O456</f>
        <v>0.25</v>
      </c>
    </row>
    <row r="457" customFormat="false" ht="15" hidden="false" customHeight="false" outlineLevel="0" collapsed="false">
      <c r="A457" s="53" t="n">
        <v>3</v>
      </c>
      <c r="B457" s="53" t="n">
        <v>20</v>
      </c>
      <c r="C457" s="76" t="s">
        <v>512</v>
      </c>
      <c r="D457" s="53" t="n">
        <v>3</v>
      </c>
      <c r="E457" s="73" t="n">
        <v>3.785</v>
      </c>
      <c r="F457" s="55" t="n">
        <v>3</v>
      </c>
      <c r="G457" s="20"/>
      <c r="H457" s="20"/>
      <c r="I457" s="20"/>
      <c r="J457" s="20"/>
      <c r="K457" s="20"/>
      <c r="L457" s="20"/>
      <c r="M457" s="41" t="n">
        <f aca="false">E457*F457+G457*H457+I457*J457+K457*L457</f>
        <v>11.355</v>
      </c>
      <c r="N457" s="41" t="n">
        <f aca="false">Исходные!$B$15-M457</f>
        <v>0.344999999999999</v>
      </c>
      <c r="O457" s="55" t="n">
        <v>1</v>
      </c>
      <c r="P457" s="53" t="n">
        <f aca="false">(F457+H457+J457+L457)*O457</f>
        <v>3</v>
      </c>
      <c r="Q457" s="74" t="n">
        <f aca="false">M457*O457</f>
        <v>11.355</v>
      </c>
      <c r="R457" s="74" t="n">
        <f aca="false">N457*O457</f>
        <v>0.344999999999999</v>
      </c>
    </row>
    <row r="458" customFormat="false" ht="15" hidden="false" customHeight="false" outlineLevel="0" collapsed="false">
      <c r="A458" s="53" t="n">
        <v>3</v>
      </c>
      <c r="B458" s="53" t="n">
        <v>20</v>
      </c>
      <c r="C458" s="76" t="s">
        <v>512</v>
      </c>
      <c r="D458" s="53" t="n">
        <v>4</v>
      </c>
      <c r="E458" s="73" t="n">
        <v>3.785</v>
      </c>
      <c r="F458" s="55" t="n">
        <v>1</v>
      </c>
      <c r="G458" s="73" t="n">
        <v>3.78</v>
      </c>
      <c r="H458" s="55" t="n">
        <v>2</v>
      </c>
      <c r="I458" s="20"/>
      <c r="J458" s="20"/>
      <c r="K458" s="20"/>
      <c r="L458" s="20"/>
      <c r="M458" s="41" t="n">
        <f aca="false">E458*F458+G458*H458+I458*J458+K458*L458</f>
        <v>11.345</v>
      </c>
      <c r="N458" s="41" t="n">
        <f aca="false">Исходные!$B$15-M458</f>
        <v>0.355</v>
      </c>
      <c r="O458" s="55" t="n">
        <v>1</v>
      </c>
      <c r="P458" s="53" t="n">
        <f aca="false">(F458+H458+J458+L458)*O458</f>
        <v>3</v>
      </c>
      <c r="Q458" s="74" t="n">
        <f aca="false">M458*O458</f>
        <v>11.345</v>
      </c>
      <c r="R458" s="74" t="n">
        <f aca="false">N458*O458</f>
        <v>0.355</v>
      </c>
    </row>
    <row r="459" customFormat="false" ht="15" hidden="false" customHeight="false" outlineLevel="0" collapsed="false">
      <c r="A459" s="53" t="n">
        <v>3</v>
      </c>
      <c r="B459" s="53" t="n">
        <v>20</v>
      </c>
      <c r="C459" s="76" t="s">
        <v>512</v>
      </c>
      <c r="D459" s="53" t="n">
        <v>5</v>
      </c>
      <c r="E459" s="73" t="n">
        <v>3</v>
      </c>
      <c r="F459" s="55" t="n">
        <v>3</v>
      </c>
      <c r="G459" s="73" t="n">
        <v>2.3</v>
      </c>
      <c r="H459" s="55" t="n">
        <v>1</v>
      </c>
      <c r="I459" s="20"/>
      <c r="J459" s="20"/>
      <c r="K459" s="20"/>
      <c r="L459" s="20"/>
      <c r="M459" s="41" t="n">
        <f aca="false">E459*F459+G459*H459+I459*J459+K459*L459</f>
        <v>11.3</v>
      </c>
      <c r="N459" s="41" t="n">
        <f aca="false">Исходные!$B$15-M459</f>
        <v>0.399999999999999</v>
      </c>
      <c r="O459" s="55" t="n">
        <v>1</v>
      </c>
      <c r="P459" s="53" t="n">
        <f aca="false">(F459+H459+J459+L459)*O459</f>
        <v>4</v>
      </c>
      <c r="Q459" s="74" t="n">
        <f aca="false">M459*O459</f>
        <v>11.3</v>
      </c>
      <c r="R459" s="74" t="n">
        <f aca="false">N459*O459</f>
        <v>0.399999999999999</v>
      </c>
    </row>
    <row r="460" customFormat="false" ht="15" hidden="false" customHeight="false" outlineLevel="0" collapsed="false">
      <c r="A460" s="53" t="n">
        <v>3</v>
      </c>
      <c r="B460" s="53" t="n">
        <v>20</v>
      </c>
      <c r="C460" s="76" t="s">
        <v>512</v>
      </c>
      <c r="D460" s="53" t="n">
        <v>6</v>
      </c>
      <c r="E460" s="73" t="n">
        <v>3.78</v>
      </c>
      <c r="F460" s="55" t="n">
        <v>2</v>
      </c>
      <c r="G460" s="73" t="n">
        <v>3.7</v>
      </c>
      <c r="H460" s="55" t="n">
        <v>1</v>
      </c>
      <c r="I460" s="20"/>
      <c r="J460" s="20"/>
      <c r="K460" s="20"/>
      <c r="L460" s="20"/>
      <c r="M460" s="41" t="n">
        <f aca="false">E460*F460+G460*H460+I460*J460+K460*L460</f>
        <v>11.26</v>
      </c>
      <c r="N460" s="41" t="n">
        <f aca="false">Исходные!$B$15-M460</f>
        <v>0.44</v>
      </c>
      <c r="O460" s="55" t="n">
        <v>1</v>
      </c>
      <c r="P460" s="53" t="n">
        <f aca="false">(F460+H460+J460+L460)*O460</f>
        <v>3</v>
      </c>
      <c r="Q460" s="74" t="n">
        <f aca="false">M460*O460</f>
        <v>11.26</v>
      </c>
      <c r="R460" s="74" t="n">
        <f aca="false">N460*O460</f>
        <v>0.44</v>
      </c>
    </row>
    <row r="461" customFormat="false" ht="15" hidden="false" customHeight="false" outlineLevel="0" collapsed="false">
      <c r="A461" s="53" t="n">
        <v>3</v>
      </c>
      <c r="B461" s="53" t="n">
        <v>20</v>
      </c>
      <c r="C461" s="76" t="s">
        <v>512</v>
      </c>
      <c r="D461" s="53" t="n">
        <v>7</v>
      </c>
      <c r="E461" s="73" t="n">
        <v>3.7</v>
      </c>
      <c r="F461" s="55" t="n">
        <v>1</v>
      </c>
      <c r="G461" s="73" t="n">
        <v>3.6</v>
      </c>
      <c r="H461" s="55" t="n">
        <v>2</v>
      </c>
      <c r="I461" s="20"/>
      <c r="J461" s="20"/>
      <c r="K461" s="20"/>
      <c r="L461" s="20"/>
      <c r="M461" s="41" t="n">
        <f aca="false">E461*F461+G461*H461+I461*J461+K461*L461</f>
        <v>10.9</v>
      </c>
      <c r="N461" s="41" t="n">
        <f aca="false">Исходные!$B$15-M461</f>
        <v>0.799999999999999</v>
      </c>
      <c r="O461" s="55" t="n">
        <v>1</v>
      </c>
      <c r="P461" s="53" t="n">
        <f aca="false">(F461+H461+J461+L461)*O461</f>
        <v>3</v>
      </c>
      <c r="Q461" s="74" t="n">
        <f aca="false">M461*O461</f>
        <v>10.9</v>
      </c>
      <c r="R461" s="74" t="n">
        <f aca="false">N461*O461</f>
        <v>0.799999999999999</v>
      </c>
    </row>
    <row r="462" customFormat="false" ht="15" hidden="false" customHeight="false" outlineLevel="0" collapsed="false">
      <c r="A462" s="53" t="n">
        <v>3</v>
      </c>
      <c r="B462" s="53" t="n">
        <v>20</v>
      </c>
      <c r="C462" s="76" t="s">
        <v>512</v>
      </c>
      <c r="D462" s="53" t="n">
        <v>8</v>
      </c>
      <c r="E462" s="73" t="n">
        <v>3.6</v>
      </c>
      <c r="F462" s="55" t="n">
        <v>3</v>
      </c>
      <c r="G462" s="20"/>
      <c r="H462" s="20"/>
      <c r="I462" s="20"/>
      <c r="J462" s="20"/>
      <c r="K462" s="20"/>
      <c r="L462" s="20"/>
      <c r="M462" s="41" t="n">
        <f aca="false">E462*F462+G462*H462+I462*J462+K462*L462</f>
        <v>10.8</v>
      </c>
      <c r="N462" s="41" t="n">
        <f aca="false">Исходные!$B$15-M462</f>
        <v>0.899999999999999</v>
      </c>
      <c r="O462" s="55" t="n">
        <v>52</v>
      </c>
      <c r="P462" s="53" t="n">
        <f aca="false">(F462+H462+J462+L462)*O462</f>
        <v>156</v>
      </c>
      <c r="Q462" s="74" t="n">
        <f aca="false">M462*O462</f>
        <v>561.6</v>
      </c>
      <c r="R462" s="74" t="n">
        <f aca="false">N462*O462</f>
        <v>46.7999999999999</v>
      </c>
    </row>
    <row r="463" customFormat="false" ht="15" hidden="false" customHeight="false" outlineLevel="0" collapsed="false">
      <c r="A463" s="53" t="n">
        <v>3</v>
      </c>
      <c r="B463" s="53" t="n">
        <v>20</v>
      </c>
      <c r="C463" s="76" t="s">
        <v>512</v>
      </c>
      <c r="D463" s="53" t="n">
        <v>9</v>
      </c>
      <c r="E463" s="73" t="n">
        <v>3.6</v>
      </c>
      <c r="F463" s="55" t="n">
        <v>2</v>
      </c>
      <c r="G463" s="73" t="n">
        <v>3.59</v>
      </c>
      <c r="H463" s="55" t="n">
        <v>1</v>
      </c>
      <c r="I463" s="20"/>
      <c r="J463" s="20"/>
      <c r="K463" s="20"/>
      <c r="L463" s="20"/>
      <c r="M463" s="41" t="n">
        <f aca="false">E463*F463+G463*H463+I463*J463+K463*L463</f>
        <v>10.79</v>
      </c>
      <c r="N463" s="41" t="n">
        <f aca="false">Исходные!$B$15-M463</f>
        <v>0.91</v>
      </c>
      <c r="O463" s="55" t="n">
        <v>1</v>
      </c>
      <c r="P463" s="53" t="n">
        <f aca="false">(F463+H463+J463+L463)*O463</f>
        <v>3</v>
      </c>
      <c r="Q463" s="74" t="n">
        <f aca="false">M463*O463</f>
        <v>10.79</v>
      </c>
      <c r="R463" s="74" t="n">
        <f aca="false">N463*O463</f>
        <v>0.91</v>
      </c>
    </row>
    <row r="464" customFormat="false" ht="15" hidden="false" customHeight="false" outlineLevel="0" collapsed="false">
      <c r="A464" s="53" t="n">
        <v>3</v>
      </c>
      <c r="B464" s="53" t="n">
        <v>20</v>
      </c>
      <c r="C464" s="76" t="s">
        <v>512</v>
      </c>
      <c r="D464" s="53" t="n">
        <v>10</v>
      </c>
      <c r="E464" s="73" t="n">
        <v>3.59</v>
      </c>
      <c r="F464" s="55" t="n">
        <v>3</v>
      </c>
      <c r="G464" s="20"/>
      <c r="H464" s="20"/>
      <c r="I464" s="20"/>
      <c r="J464" s="20"/>
      <c r="K464" s="20"/>
      <c r="L464" s="20"/>
      <c r="M464" s="41" t="n">
        <f aca="false">E464*F464+G464*H464+I464*J464+K464*L464</f>
        <v>10.77</v>
      </c>
      <c r="N464" s="41" t="n">
        <f aca="false">Исходные!$B$15-M464</f>
        <v>0.93</v>
      </c>
      <c r="O464" s="55" t="n">
        <v>1</v>
      </c>
      <c r="P464" s="53" t="n">
        <f aca="false">(F464+H464+J464+L464)*O464</f>
        <v>3</v>
      </c>
      <c r="Q464" s="74" t="n">
        <f aca="false">M464*O464</f>
        <v>10.77</v>
      </c>
      <c r="R464" s="74" t="n">
        <f aca="false">N464*O464</f>
        <v>0.93</v>
      </c>
    </row>
    <row r="465" customFormat="false" ht="15" hidden="false" customHeight="false" outlineLevel="0" collapsed="false">
      <c r="A465" s="53" t="n">
        <v>3</v>
      </c>
      <c r="B465" s="53" t="n">
        <v>20</v>
      </c>
      <c r="C465" s="76" t="s">
        <v>512</v>
      </c>
      <c r="D465" s="53" t="n">
        <v>11</v>
      </c>
      <c r="E465" s="73" t="n">
        <v>3.325</v>
      </c>
      <c r="F465" s="55" t="n">
        <v>2</v>
      </c>
      <c r="G465" s="73" t="n">
        <v>3.05</v>
      </c>
      <c r="H465" s="55" t="n">
        <v>1</v>
      </c>
      <c r="I465" s="20"/>
      <c r="J465" s="20"/>
      <c r="K465" s="20"/>
      <c r="L465" s="20"/>
      <c r="M465" s="41" t="n">
        <f aca="false">E465*F465+G465*H465+I465*J465+K465*L465</f>
        <v>9.7</v>
      </c>
      <c r="N465" s="41" t="n">
        <f aca="false">Исходные!$B$15-M465</f>
        <v>2</v>
      </c>
      <c r="O465" s="55" t="n">
        <v>1</v>
      </c>
      <c r="P465" s="53" t="n">
        <f aca="false">(F465+H465+J465+L465)*O465</f>
        <v>3</v>
      </c>
      <c r="Q465" s="74" t="n">
        <f aca="false">M465*O465</f>
        <v>9.7</v>
      </c>
      <c r="R465" s="74" t="n">
        <f aca="false">N465*O465</f>
        <v>2</v>
      </c>
    </row>
    <row r="466" customFormat="false" ht="15" hidden="false" customHeight="false" outlineLevel="0" collapsed="false">
      <c r="A466" s="53" t="n">
        <v>3</v>
      </c>
      <c r="B466" s="53" t="n">
        <v>20</v>
      </c>
      <c r="C466" s="76" t="s">
        <v>512</v>
      </c>
      <c r="D466" s="53" t="n">
        <v>12</v>
      </c>
      <c r="E466" s="73" t="n">
        <v>3</v>
      </c>
      <c r="F466" s="55" t="n">
        <v>3</v>
      </c>
      <c r="G466" s="20"/>
      <c r="H466" s="20"/>
      <c r="I466" s="20"/>
      <c r="J466" s="20"/>
      <c r="K466" s="20"/>
      <c r="L466" s="20"/>
      <c r="M466" s="41" t="n">
        <f aca="false">E466*F466+G466*H466+I466*J466+K466*L466</f>
        <v>9</v>
      </c>
      <c r="N466" s="41" t="n">
        <f aca="false">Исходные!$B$15-M466</f>
        <v>2.7</v>
      </c>
      <c r="O466" s="55" t="n">
        <v>2</v>
      </c>
      <c r="P466" s="53" t="n">
        <f aca="false">(F466+H466+J466+L466)*O466</f>
        <v>6</v>
      </c>
      <c r="Q466" s="74" t="n">
        <f aca="false">M466*O466</f>
        <v>18</v>
      </c>
      <c r="R466" s="74" t="n">
        <f aca="false">N466*O466</f>
        <v>5.4</v>
      </c>
    </row>
    <row r="467" customFormat="false" ht="15" hidden="false" customHeight="false" outlineLevel="0" collapsed="false">
      <c r="A467" s="53" t="n">
        <v>3</v>
      </c>
      <c r="B467" s="53" t="n">
        <v>20</v>
      </c>
      <c r="C467" s="76" t="s">
        <v>512</v>
      </c>
      <c r="D467" s="53" t="n">
        <v>13</v>
      </c>
      <c r="E467" s="73" t="n">
        <v>3</v>
      </c>
      <c r="F467" s="55" t="n">
        <v>1</v>
      </c>
      <c r="G467" s="73" t="n">
        <v>2.85</v>
      </c>
      <c r="H467" s="55" t="n">
        <v>2</v>
      </c>
      <c r="I467" s="20"/>
      <c r="J467" s="20"/>
      <c r="K467" s="20"/>
      <c r="L467" s="20"/>
      <c r="M467" s="41" t="n">
        <f aca="false">E467*F467+G467*H467+I467*J467+K467*L467</f>
        <v>8.7</v>
      </c>
      <c r="N467" s="41" t="n">
        <f aca="false">Исходные!$B$15-M467</f>
        <v>3</v>
      </c>
      <c r="O467" s="55" t="n">
        <v>1</v>
      </c>
      <c r="P467" s="53" t="n">
        <f aca="false">(F467+H467+J467+L467)*O467</f>
        <v>3</v>
      </c>
      <c r="Q467" s="74" t="n">
        <f aca="false">M467*O467</f>
        <v>8.7</v>
      </c>
      <c r="R467" s="74" t="n">
        <f aca="false">N467*O467</f>
        <v>3</v>
      </c>
    </row>
    <row r="468" customFormat="false" ht="15" hidden="false" customHeight="false" outlineLevel="0" collapsed="false">
      <c r="A468" s="53" t="n">
        <v>3</v>
      </c>
      <c r="B468" s="53" t="n">
        <v>18</v>
      </c>
      <c r="C468" s="76" t="s">
        <v>512</v>
      </c>
      <c r="D468" s="53" t="n">
        <v>1</v>
      </c>
      <c r="E468" s="73" t="n">
        <v>11.7</v>
      </c>
      <c r="F468" s="55" t="n">
        <v>1</v>
      </c>
      <c r="G468" s="20"/>
      <c r="H468" s="20"/>
      <c r="I468" s="20"/>
      <c r="J468" s="20"/>
      <c r="K468" s="20"/>
      <c r="L468" s="20"/>
      <c r="M468" s="41" t="n">
        <f aca="false">E468*F468+G468*H468+I468*J468+K468*L468</f>
        <v>11.7</v>
      </c>
      <c r="N468" s="41" t="n">
        <f aca="false">Исходные!$B$15-M468</f>
        <v>0</v>
      </c>
      <c r="O468" s="55" t="n">
        <v>26</v>
      </c>
      <c r="P468" s="53" t="n">
        <f aca="false">(F468+H468+J468+L468)*O468</f>
        <v>26</v>
      </c>
      <c r="Q468" s="74" t="n">
        <f aca="false">M468*O468</f>
        <v>304.2</v>
      </c>
      <c r="R468" s="74" t="n">
        <f aca="false">N468*O468</f>
        <v>0</v>
      </c>
    </row>
    <row r="469" customFormat="false" ht="15" hidden="false" customHeight="false" outlineLevel="0" collapsed="false">
      <c r="A469" s="53" t="n">
        <v>3</v>
      </c>
      <c r="B469" s="53" t="n">
        <v>18</v>
      </c>
      <c r="C469" s="76" t="s">
        <v>512</v>
      </c>
      <c r="D469" s="53" t="n">
        <v>2</v>
      </c>
      <c r="E469" s="73" t="n">
        <v>6.109</v>
      </c>
      <c r="F469" s="55" t="n">
        <v>1</v>
      </c>
      <c r="G469" s="73" t="n">
        <v>3.744</v>
      </c>
      <c r="H469" s="55" t="n">
        <v>1</v>
      </c>
      <c r="I469" s="73" t="n">
        <v>1.7</v>
      </c>
      <c r="J469" s="55" t="n">
        <v>1</v>
      </c>
      <c r="K469" s="20"/>
      <c r="L469" s="20"/>
      <c r="M469" s="41" t="n">
        <f aca="false">E469*F469+G469*H469+I469*J469+K469*L469</f>
        <v>11.553</v>
      </c>
      <c r="N469" s="41" t="n">
        <f aca="false">Исходные!$B$15-M469</f>
        <v>0.147</v>
      </c>
      <c r="O469" s="55" t="n">
        <v>1</v>
      </c>
      <c r="P469" s="53" t="n">
        <f aca="false">(F469+H469+J469+L469)*O469</f>
        <v>3</v>
      </c>
      <c r="Q469" s="74" t="n">
        <f aca="false">M469*O469</f>
        <v>11.553</v>
      </c>
      <c r="R469" s="74" t="n">
        <f aca="false">N469*O469</f>
        <v>0.147</v>
      </c>
    </row>
    <row r="470" customFormat="false" ht="15" hidden="false" customHeight="false" outlineLevel="0" collapsed="false">
      <c r="A470" s="53" t="n">
        <v>3</v>
      </c>
      <c r="B470" s="53" t="n">
        <v>18</v>
      </c>
      <c r="C470" s="76" t="s">
        <v>512</v>
      </c>
      <c r="D470" s="53" t="n">
        <v>3</v>
      </c>
      <c r="E470" s="73" t="n">
        <v>6.109</v>
      </c>
      <c r="F470" s="55" t="n">
        <v>1</v>
      </c>
      <c r="G470" s="73" t="n">
        <v>3</v>
      </c>
      <c r="H470" s="55" t="n">
        <v>1</v>
      </c>
      <c r="I470" s="73" t="n">
        <v>2.388</v>
      </c>
      <c r="J470" s="55" t="n">
        <v>1</v>
      </c>
      <c r="K470" s="20"/>
      <c r="L470" s="20"/>
      <c r="M470" s="41" t="n">
        <f aca="false">E470*F470+G470*H470+I470*J470+K470*L470</f>
        <v>11.497</v>
      </c>
      <c r="N470" s="41" t="n">
        <f aca="false">Исходные!$B$15-M470</f>
        <v>0.202999999999999</v>
      </c>
      <c r="O470" s="55" t="n">
        <v>1</v>
      </c>
      <c r="P470" s="53" t="n">
        <f aca="false">(F470+H470+J470+L470)*O470</f>
        <v>3</v>
      </c>
      <c r="Q470" s="74" t="n">
        <f aca="false">M470*O470</f>
        <v>11.497</v>
      </c>
      <c r="R470" s="74" t="n">
        <f aca="false">N470*O470</f>
        <v>0.202999999999999</v>
      </c>
    </row>
    <row r="471" customFormat="false" ht="15" hidden="false" customHeight="false" outlineLevel="0" collapsed="false">
      <c r="A471" s="53" t="n">
        <v>3</v>
      </c>
      <c r="B471" s="53" t="n">
        <v>18</v>
      </c>
      <c r="C471" s="76" t="s">
        <v>512</v>
      </c>
      <c r="D471" s="53" t="n">
        <v>4</v>
      </c>
      <c r="E471" s="73" t="n">
        <v>8.944</v>
      </c>
      <c r="F471" s="55" t="n">
        <v>1</v>
      </c>
      <c r="G471" s="73" t="n">
        <v>2.388</v>
      </c>
      <c r="H471" s="55" t="n">
        <v>1</v>
      </c>
      <c r="I471" s="20"/>
      <c r="J471" s="20"/>
      <c r="K471" s="20"/>
      <c r="L471" s="20"/>
      <c r="M471" s="41" t="n">
        <f aca="false">E471*F471+G471*H471+I471*J471+K471*L471</f>
        <v>11.332</v>
      </c>
      <c r="N471" s="41" t="n">
        <f aca="false">Исходные!$B$15-M471</f>
        <v>0.367999999999999</v>
      </c>
      <c r="O471" s="55" t="n">
        <v>7</v>
      </c>
      <c r="P471" s="53" t="n">
        <f aca="false">(F471+H471+J471+L471)*O471</f>
        <v>14</v>
      </c>
      <c r="Q471" s="74" t="n">
        <f aca="false">M471*O471</f>
        <v>79.324</v>
      </c>
      <c r="R471" s="74" t="n">
        <f aca="false">N471*O471</f>
        <v>2.57599999999999</v>
      </c>
    </row>
    <row r="472" customFormat="false" ht="15" hidden="false" customHeight="false" outlineLevel="0" collapsed="false">
      <c r="A472" s="53" t="n">
        <v>3</v>
      </c>
      <c r="B472" s="53" t="n">
        <v>18</v>
      </c>
      <c r="C472" s="76" t="s">
        <v>512</v>
      </c>
      <c r="D472" s="53" t="n">
        <v>5</v>
      </c>
      <c r="E472" s="73" t="n">
        <v>6.109</v>
      </c>
      <c r="F472" s="55" t="n">
        <v>1</v>
      </c>
      <c r="G472" s="73" t="n">
        <v>4.95</v>
      </c>
      <c r="H472" s="55" t="n">
        <v>1</v>
      </c>
      <c r="I472" s="20"/>
      <c r="J472" s="20"/>
      <c r="K472" s="20"/>
      <c r="L472" s="20"/>
      <c r="M472" s="41" t="n">
        <f aca="false">E472*F472+G472*H472+I472*J472+K472*L472</f>
        <v>11.059</v>
      </c>
      <c r="N472" s="41" t="n">
        <f aca="false">Исходные!$B$15-M472</f>
        <v>0.640999999999998</v>
      </c>
      <c r="O472" s="55" t="n">
        <v>2</v>
      </c>
      <c r="P472" s="53" t="n">
        <f aca="false">(F472+H472+J472+L472)*O472</f>
        <v>4</v>
      </c>
      <c r="Q472" s="74" t="n">
        <f aca="false">M472*O472</f>
        <v>22.118</v>
      </c>
      <c r="R472" s="74" t="n">
        <f aca="false">N472*O472</f>
        <v>1.282</v>
      </c>
    </row>
    <row r="473" customFormat="false" ht="15" hidden="false" customHeight="false" outlineLevel="0" collapsed="false">
      <c r="A473" s="53" t="n">
        <v>3</v>
      </c>
      <c r="B473" s="53" t="n">
        <v>18</v>
      </c>
      <c r="C473" s="76" t="s">
        <v>512</v>
      </c>
      <c r="D473" s="53" t="n">
        <v>6</v>
      </c>
      <c r="E473" s="73" t="n">
        <v>6.109</v>
      </c>
      <c r="F473" s="55" t="n">
        <v>1</v>
      </c>
      <c r="G473" s="73" t="n">
        <v>3.744</v>
      </c>
      <c r="H473" s="55" t="n">
        <v>1</v>
      </c>
      <c r="I473" s="73" t="n">
        <v>1.2</v>
      </c>
      <c r="J473" s="55" t="n">
        <v>1</v>
      </c>
      <c r="K473" s="20"/>
      <c r="L473" s="20"/>
      <c r="M473" s="41" t="n">
        <f aca="false">E473*F473+G473*H473+I473*J473+K473*L473</f>
        <v>11.053</v>
      </c>
      <c r="N473" s="41" t="n">
        <f aca="false">Исходные!$B$15-M473</f>
        <v>0.647</v>
      </c>
      <c r="O473" s="55" t="n">
        <v>20</v>
      </c>
      <c r="P473" s="53" t="n">
        <f aca="false">(F473+H473+J473+L473)*O473</f>
        <v>60</v>
      </c>
      <c r="Q473" s="74" t="n">
        <f aca="false">M473*O473</f>
        <v>221.06</v>
      </c>
      <c r="R473" s="74" t="n">
        <f aca="false">N473*O473</f>
        <v>12.94</v>
      </c>
    </row>
    <row r="474" customFormat="false" ht="15" hidden="false" customHeight="false" outlineLevel="0" collapsed="false">
      <c r="A474" s="53" t="n">
        <v>3</v>
      </c>
      <c r="B474" s="53" t="n">
        <v>18</v>
      </c>
      <c r="C474" s="76" t="s">
        <v>512</v>
      </c>
      <c r="D474" s="53" t="n">
        <v>7</v>
      </c>
      <c r="E474" s="73" t="n">
        <v>6.109</v>
      </c>
      <c r="F474" s="55" t="n">
        <v>1</v>
      </c>
      <c r="G474" s="73" t="n">
        <v>3.744</v>
      </c>
      <c r="H474" s="55" t="n">
        <v>1</v>
      </c>
      <c r="I474" s="20"/>
      <c r="J474" s="20"/>
      <c r="K474" s="20"/>
      <c r="L474" s="20"/>
      <c r="M474" s="41" t="n">
        <f aca="false">E474*F474+G474*H474+I474*J474+K474*L474</f>
        <v>9.853</v>
      </c>
      <c r="N474" s="41" t="n">
        <f aca="false">Исходные!$B$15-M474</f>
        <v>1.847</v>
      </c>
      <c r="O474" s="55" t="n">
        <v>1</v>
      </c>
      <c r="P474" s="53" t="n">
        <f aca="false">(F474+H474+J474+L474)*O474</f>
        <v>2</v>
      </c>
      <c r="Q474" s="74" t="n">
        <f aca="false">M474*O474</f>
        <v>9.853</v>
      </c>
      <c r="R474" s="74" t="n">
        <f aca="false">N474*O474</f>
        <v>1.847</v>
      </c>
    </row>
    <row r="475" customFormat="false" ht="15" hidden="false" customHeight="false" outlineLevel="0" collapsed="false">
      <c r="A475" s="53" t="n">
        <v>3</v>
      </c>
      <c r="B475" s="53" t="n">
        <v>18</v>
      </c>
      <c r="C475" s="76" t="s">
        <v>512</v>
      </c>
      <c r="D475" s="53" t="n">
        <v>8</v>
      </c>
      <c r="E475" s="73" t="n">
        <v>8.944</v>
      </c>
      <c r="F475" s="55" t="n">
        <v>1</v>
      </c>
      <c r="G475" s="20"/>
      <c r="H475" s="20"/>
      <c r="I475" s="20"/>
      <c r="J475" s="20"/>
      <c r="K475" s="20"/>
      <c r="L475" s="20"/>
      <c r="M475" s="41" t="n">
        <f aca="false">E475*F475+G475*H475+I475*J475+K475*L475</f>
        <v>8.944</v>
      </c>
      <c r="N475" s="41" t="n">
        <f aca="false">Исходные!$B$15-M475</f>
        <v>2.756</v>
      </c>
      <c r="O475" s="55" t="n">
        <v>3</v>
      </c>
      <c r="P475" s="53" t="n">
        <f aca="false">(F475+H475+J475+L475)*O475</f>
        <v>3</v>
      </c>
      <c r="Q475" s="74" t="n">
        <f aca="false">M475*O475</f>
        <v>26.832</v>
      </c>
      <c r="R475" s="74" t="n">
        <f aca="false">N475*O475</f>
        <v>8.268</v>
      </c>
    </row>
    <row r="476" customFormat="false" ht="15" hidden="false" customHeight="false" outlineLevel="0" collapsed="false">
      <c r="A476" s="53" t="n">
        <v>3</v>
      </c>
      <c r="B476" s="53" t="n">
        <v>18</v>
      </c>
      <c r="C476" s="76" t="s">
        <v>512</v>
      </c>
      <c r="D476" s="53" t="n">
        <v>9</v>
      </c>
      <c r="E476" s="73" t="n">
        <v>6.109</v>
      </c>
      <c r="F476" s="55" t="n">
        <v>1</v>
      </c>
      <c r="G476" s="20"/>
      <c r="H476" s="20"/>
      <c r="I476" s="20"/>
      <c r="J476" s="20"/>
      <c r="K476" s="20"/>
      <c r="L476" s="20"/>
      <c r="M476" s="41" t="n">
        <f aca="false">E476*F476+G476*H476+I476*J476+K476*L476</f>
        <v>6.109</v>
      </c>
      <c r="N476" s="41" t="n">
        <f aca="false">Исходные!$B$15-M476</f>
        <v>5.591</v>
      </c>
      <c r="O476" s="55" t="n">
        <v>11</v>
      </c>
      <c r="P476" s="53" t="n">
        <f aca="false">(F476+H476+J476+L476)*O476</f>
        <v>11</v>
      </c>
      <c r="Q476" s="74" t="n">
        <f aca="false">M476*O476</f>
        <v>67.199</v>
      </c>
      <c r="R476" s="74" t="n">
        <f aca="false">N476*O476</f>
        <v>61.501</v>
      </c>
    </row>
    <row r="477" customFormat="false" ht="15" hidden="false" customHeight="false" outlineLevel="0" collapsed="false">
      <c r="A477" s="53" t="n">
        <v>3</v>
      </c>
      <c r="B477" s="53" t="n">
        <v>16</v>
      </c>
      <c r="C477" s="76" t="s">
        <v>512</v>
      </c>
      <c r="D477" s="53" t="n">
        <v>1</v>
      </c>
      <c r="E477" s="73" t="n">
        <v>11.7</v>
      </c>
      <c r="F477" s="55" t="n">
        <v>1</v>
      </c>
      <c r="G477" s="20"/>
      <c r="H477" s="20"/>
      <c r="I477" s="20"/>
      <c r="J477" s="20"/>
      <c r="K477" s="20"/>
      <c r="L477" s="20"/>
      <c r="M477" s="41" t="n">
        <f aca="false">E477*F477+G477*H477+I477*J477+K477*L477</f>
        <v>11.7</v>
      </c>
      <c r="N477" s="41" t="n">
        <f aca="false">Исходные!$B$15-M477</f>
        <v>0</v>
      </c>
      <c r="O477" s="55" t="n">
        <v>26</v>
      </c>
      <c r="P477" s="53" t="n">
        <f aca="false">(F477+H477+J477+L477)*O477</f>
        <v>26</v>
      </c>
      <c r="Q477" s="74" t="n">
        <f aca="false">M477*O477</f>
        <v>304.2</v>
      </c>
      <c r="R477" s="74" t="n">
        <f aca="false">N477*O477</f>
        <v>0</v>
      </c>
    </row>
    <row r="478" customFormat="false" ht="15" hidden="false" customHeight="false" outlineLevel="0" collapsed="false">
      <c r="A478" s="53" t="n">
        <v>3</v>
      </c>
      <c r="B478" s="53" t="n">
        <v>16</v>
      </c>
      <c r="C478" s="76" t="s">
        <v>512</v>
      </c>
      <c r="D478" s="53" t="n">
        <v>2</v>
      </c>
      <c r="E478" s="73" t="n">
        <v>3.3</v>
      </c>
      <c r="F478" s="55" t="n">
        <v>1</v>
      </c>
      <c r="G478" s="73" t="n">
        <v>3</v>
      </c>
      <c r="H478" s="55" t="n">
        <v>2</v>
      </c>
      <c r="I478" s="73" t="n">
        <v>2.356</v>
      </c>
      <c r="J478" s="55" t="n">
        <v>1</v>
      </c>
      <c r="K478" s="20"/>
      <c r="L478" s="20"/>
      <c r="M478" s="41" t="n">
        <f aca="false">E478*F478+G478*H478+I478*J478+K478*L478</f>
        <v>11.656</v>
      </c>
      <c r="N478" s="41" t="n">
        <f aca="false">Исходные!$B$15-M478</f>
        <v>0.0439999999999987</v>
      </c>
      <c r="O478" s="55" t="n">
        <v>1</v>
      </c>
      <c r="P478" s="53" t="n">
        <f aca="false">(F478+H478+J478+L478)*O478</f>
        <v>4</v>
      </c>
      <c r="Q478" s="74" t="n">
        <f aca="false">M478*O478</f>
        <v>11.656</v>
      </c>
      <c r="R478" s="74" t="n">
        <f aca="false">N478*O478</f>
        <v>0.0439999999999987</v>
      </c>
    </row>
    <row r="479" customFormat="false" ht="15" hidden="false" customHeight="false" outlineLevel="0" collapsed="false">
      <c r="A479" s="53" t="n">
        <v>3</v>
      </c>
      <c r="B479" s="53" t="n">
        <v>16</v>
      </c>
      <c r="C479" s="76" t="s">
        <v>512</v>
      </c>
      <c r="D479" s="53" t="n">
        <v>3</v>
      </c>
      <c r="E479" s="73" t="n">
        <v>2.9</v>
      </c>
      <c r="F479" s="55" t="n">
        <v>4</v>
      </c>
      <c r="G479" s="20"/>
      <c r="H479" s="20"/>
      <c r="I479" s="20"/>
      <c r="J479" s="20"/>
      <c r="K479" s="20"/>
      <c r="L479" s="20"/>
      <c r="M479" s="41" t="n">
        <f aca="false">E479*F479+G479*H479+I479*J479+K479*L479</f>
        <v>11.6</v>
      </c>
      <c r="N479" s="41" t="n">
        <f aca="false">Исходные!$B$15-M479</f>
        <v>0.0999999999999996</v>
      </c>
      <c r="O479" s="55" t="n">
        <v>2</v>
      </c>
      <c r="P479" s="53" t="n">
        <f aca="false">(F479+H479+J479+L479)*O479</f>
        <v>8</v>
      </c>
      <c r="Q479" s="74" t="n">
        <f aca="false">M479*O479</f>
        <v>23.2</v>
      </c>
      <c r="R479" s="74" t="n">
        <f aca="false">N479*O479</f>
        <v>0.199999999999999</v>
      </c>
    </row>
    <row r="480" customFormat="false" ht="15" hidden="false" customHeight="false" outlineLevel="0" collapsed="false">
      <c r="A480" s="53" t="n">
        <v>3</v>
      </c>
      <c r="B480" s="53" t="n">
        <v>16</v>
      </c>
      <c r="C480" s="76" t="s">
        <v>512</v>
      </c>
      <c r="D480" s="53" t="n">
        <v>4</v>
      </c>
      <c r="E480" s="73" t="n">
        <v>8.928</v>
      </c>
      <c r="F480" s="55" t="n">
        <v>1</v>
      </c>
      <c r="G480" s="73" t="n">
        <v>2.356</v>
      </c>
      <c r="H480" s="55" t="n">
        <v>1</v>
      </c>
      <c r="I480" s="20"/>
      <c r="J480" s="20"/>
      <c r="K480" s="20"/>
      <c r="L480" s="20"/>
      <c r="M480" s="41" t="n">
        <f aca="false">E480*F480+G480*H480+I480*J480+K480*L480</f>
        <v>11.284</v>
      </c>
      <c r="N480" s="41" t="n">
        <f aca="false">Исходные!$B$15-M480</f>
        <v>0.415999999999999</v>
      </c>
      <c r="O480" s="55" t="n">
        <v>7</v>
      </c>
      <c r="P480" s="53" t="n">
        <f aca="false">(F480+H480+J480+L480)*O480</f>
        <v>14</v>
      </c>
      <c r="Q480" s="74" t="n">
        <f aca="false">M480*O480</f>
        <v>78.988</v>
      </c>
      <c r="R480" s="74" t="n">
        <f aca="false">N480*O480</f>
        <v>2.91199999999999</v>
      </c>
    </row>
    <row r="481" customFormat="false" ht="15" hidden="false" customHeight="false" outlineLevel="0" collapsed="false">
      <c r="A481" s="53" t="n">
        <v>3</v>
      </c>
      <c r="B481" s="53" t="n">
        <v>16</v>
      </c>
      <c r="C481" s="76" t="s">
        <v>512</v>
      </c>
      <c r="D481" s="53" t="n">
        <v>5</v>
      </c>
      <c r="E481" s="73" t="n">
        <v>1.6</v>
      </c>
      <c r="F481" s="55" t="n">
        <v>7</v>
      </c>
      <c r="G481" s="20"/>
      <c r="H481" s="20"/>
      <c r="I481" s="20"/>
      <c r="J481" s="20"/>
      <c r="K481" s="20"/>
      <c r="L481" s="20"/>
      <c r="M481" s="41" t="n">
        <f aca="false">E481*F481+G481*H481+I481*J481+K481*L481</f>
        <v>11.2</v>
      </c>
      <c r="N481" s="41" t="n">
        <f aca="false">Исходные!$B$15-M481</f>
        <v>0.499999999999998</v>
      </c>
      <c r="O481" s="55" t="n">
        <v>2</v>
      </c>
      <c r="P481" s="53" t="n">
        <f aca="false">(F481+H481+J481+L481)*O481</f>
        <v>14</v>
      </c>
      <c r="Q481" s="74" t="n">
        <f aca="false">M481*O481</f>
        <v>22.4</v>
      </c>
      <c r="R481" s="74" t="n">
        <f aca="false">N481*O481</f>
        <v>0.999999999999996</v>
      </c>
    </row>
    <row r="482" customFormat="false" ht="15" hidden="false" customHeight="false" outlineLevel="0" collapsed="false">
      <c r="A482" s="53" t="n">
        <v>3</v>
      </c>
      <c r="B482" s="53" t="n">
        <v>16</v>
      </c>
      <c r="C482" s="76" t="s">
        <v>512</v>
      </c>
      <c r="D482" s="53" t="n">
        <v>6</v>
      </c>
      <c r="E482" s="73" t="n">
        <v>3.728</v>
      </c>
      <c r="F482" s="55" t="n">
        <v>3</v>
      </c>
      <c r="G482" s="20"/>
      <c r="H482" s="20"/>
      <c r="I482" s="20"/>
      <c r="J482" s="20"/>
      <c r="K482" s="20"/>
      <c r="L482" s="20"/>
      <c r="M482" s="41" t="n">
        <f aca="false">E482*F482+G482*H482+I482*J482+K482*L482</f>
        <v>11.184</v>
      </c>
      <c r="N482" s="41" t="n">
        <f aca="false">Исходные!$B$15-M482</f>
        <v>0.515999999999998</v>
      </c>
      <c r="O482" s="55" t="n">
        <v>2</v>
      </c>
      <c r="P482" s="53" t="n">
        <f aca="false">(F482+H482+J482+L482)*O482</f>
        <v>6</v>
      </c>
      <c r="Q482" s="74" t="n">
        <f aca="false">M482*O482</f>
        <v>22.368</v>
      </c>
      <c r="R482" s="74" t="n">
        <f aca="false">N482*O482</f>
        <v>1.032</v>
      </c>
    </row>
    <row r="483" customFormat="false" ht="15" hidden="false" customHeight="false" outlineLevel="0" collapsed="false">
      <c r="A483" s="53" t="n">
        <v>3</v>
      </c>
      <c r="B483" s="53" t="n">
        <v>16</v>
      </c>
      <c r="C483" s="76" t="s">
        <v>512</v>
      </c>
      <c r="D483" s="53" t="n">
        <v>7</v>
      </c>
      <c r="E483" s="73" t="n">
        <v>8.928</v>
      </c>
      <c r="F483" s="55" t="n">
        <v>1</v>
      </c>
      <c r="G483" s="73" t="n">
        <v>1.85</v>
      </c>
      <c r="H483" s="55" t="n">
        <v>1</v>
      </c>
      <c r="I483" s="20"/>
      <c r="J483" s="20"/>
      <c r="K483" s="20"/>
      <c r="L483" s="20"/>
      <c r="M483" s="41" t="n">
        <f aca="false">E483*F483+G483*H483+I483*J483+K483*L483</f>
        <v>10.778</v>
      </c>
      <c r="N483" s="41" t="n">
        <f aca="false">Исходные!$B$15-M483</f>
        <v>0.921999999999999</v>
      </c>
      <c r="O483" s="55" t="n">
        <v>2</v>
      </c>
      <c r="P483" s="53" t="n">
        <f aca="false">(F483+H483+J483+L483)*O483</f>
        <v>4</v>
      </c>
      <c r="Q483" s="74" t="n">
        <f aca="false">M483*O483</f>
        <v>21.556</v>
      </c>
      <c r="R483" s="74" t="n">
        <f aca="false">N483*O483</f>
        <v>1.844</v>
      </c>
    </row>
    <row r="484" customFormat="false" ht="15" hidden="false" customHeight="false" outlineLevel="0" collapsed="false">
      <c r="A484" s="53" t="n">
        <v>3</v>
      </c>
      <c r="B484" s="53" t="n">
        <v>16</v>
      </c>
      <c r="C484" s="76" t="s">
        <v>512</v>
      </c>
      <c r="D484" s="53" t="n">
        <v>8</v>
      </c>
      <c r="E484" s="73" t="n">
        <v>8.928</v>
      </c>
      <c r="F484" s="55" t="n">
        <v>1</v>
      </c>
      <c r="G484" s="73" t="n">
        <v>1.6</v>
      </c>
      <c r="H484" s="55" t="n">
        <v>1</v>
      </c>
      <c r="I484" s="20"/>
      <c r="J484" s="20"/>
      <c r="K484" s="20"/>
      <c r="L484" s="20"/>
      <c r="M484" s="41" t="n">
        <f aca="false">E484*F484+G484*H484+I484*J484+K484*L484</f>
        <v>10.528</v>
      </c>
      <c r="N484" s="41" t="n">
        <f aca="false">Исходные!$B$15-M484</f>
        <v>1.172</v>
      </c>
      <c r="O484" s="55" t="n">
        <v>1</v>
      </c>
      <c r="P484" s="53" t="n">
        <f aca="false">(F484+H484+J484+L484)*O484</f>
        <v>2</v>
      </c>
      <c r="Q484" s="74" t="n">
        <f aca="false">M484*O484</f>
        <v>10.528</v>
      </c>
      <c r="R484" s="74" t="n">
        <f aca="false">N484*O484</f>
        <v>1.172</v>
      </c>
    </row>
    <row r="485" customFormat="false" ht="15" hidden="false" customHeight="false" outlineLevel="0" collapsed="false">
      <c r="A485" s="53" t="n">
        <v>3</v>
      </c>
      <c r="B485" s="53" t="n">
        <v>16</v>
      </c>
      <c r="C485" s="76" t="s">
        <v>512</v>
      </c>
      <c r="D485" s="53" t="n">
        <v>9</v>
      </c>
      <c r="E485" s="73" t="n">
        <v>3.6</v>
      </c>
      <c r="F485" s="55" t="n">
        <v>2</v>
      </c>
      <c r="G485" s="73" t="n">
        <v>3.3</v>
      </c>
      <c r="H485" s="55" t="n">
        <v>1</v>
      </c>
      <c r="I485" s="20"/>
      <c r="J485" s="20"/>
      <c r="K485" s="20"/>
      <c r="L485" s="20"/>
      <c r="M485" s="41" t="n">
        <f aca="false">E485*F485+G485*H485+I485*J485+K485*L485</f>
        <v>10.5</v>
      </c>
      <c r="N485" s="41" t="n">
        <f aca="false">Исходные!$B$15-M485</f>
        <v>1.2</v>
      </c>
      <c r="O485" s="55" t="n">
        <v>1</v>
      </c>
      <c r="P485" s="53" t="n">
        <f aca="false">(F485+H485+J485+L485)*O485</f>
        <v>3</v>
      </c>
      <c r="Q485" s="74" t="n">
        <f aca="false">M485*O485</f>
        <v>10.5</v>
      </c>
      <c r="R485" s="74" t="n">
        <f aca="false">N485*O485</f>
        <v>1.2</v>
      </c>
    </row>
    <row r="486" customFormat="false" ht="15" hidden="false" customHeight="false" outlineLevel="0" collapsed="false">
      <c r="A486" s="53" t="n">
        <v>3</v>
      </c>
      <c r="B486" s="53" t="n">
        <v>16</v>
      </c>
      <c r="C486" s="76" t="s">
        <v>512</v>
      </c>
      <c r="D486" s="53" t="n">
        <v>10</v>
      </c>
      <c r="E486" s="73" t="n">
        <v>3</v>
      </c>
      <c r="F486" s="55" t="n">
        <v>2</v>
      </c>
      <c r="G486" s="73" t="n">
        <v>2.9</v>
      </c>
      <c r="H486" s="55" t="n">
        <v>1</v>
      </c>
      <c r="I486" s="73" t="n">
        <v>1.6</v>
      </c>
      <c r="J486" s="55" t="n">
        <v>1</v>
      </c>
      <c r="K486" s="20"/>
      <c r="L486" s="20"/>
      <c r="M486" s="41" t="n">
        <f aca="false">E486*F486+G486*H486+I486*J486+K486*L486</f>
        <v>10.5</v>
      </c>
      <c r="N486" s="41" t="n">
        <f aca="false">Исходные!$B$15-M486</f>
        <v>1.2</v>
      </c>
      <c r="O486" s="55" t="n">
        <v>1</v>
      </c>
      <c r="P486" s="53" t="n">
        <f aca="false">(F486+H486+J486+L486)*O486</f>
        <v>4</v>
      </c>
      <c r="Q486" s="74" t="n">
        <f aca="false">M486*O486</f>
        <v>10.5</v>
      </c>
      <c r="R486" s="74" t="n">
        <f aca="false">N486*O486</f>
        <v>1.2</v>
      </c>
    </row>
    <row r="487" customFormat="false" ht="15" hidden="false" customHeight="false" outlineLevel="0" collapsed="false">
      <c r="A487" s="53" t="n">
        <v>3</v>
      </c>
      <c r="B487" s="53" t="n">
        <v>16</v>
      </c>
      <c r="C487" s="76" t="s">
        <v>512</v>
      </c>
      <c r="D487" s="53" t="n">
        <v>11</v>
      </c>
      <c r="E487" s="73" t="n">
        <v>2.9</v>
      </c>
      <c r="F487" s="55" t="n">
        <v>3</v>
      </c>
      <c r="G487" s="73" t="n">
        <v>1.6</v>
      </c>
      <c r="H487" s="55" t="n">
        <v>1</v>
      </c>
      <c r="I487" s="20"/>
      <c r="J487" s="20"/>
      <c r="K487" s="20"/>
      <c r="L487" s="20"/>
      <c r="M487" s="41" t="n">
        <f aca="false">E487*F487+G487*H487+I487*J487+K487*L487</f>
        <v>10.3</v>
      </c>
      <c r="N487" s="41" t="n">
        <f aca="false">Исходные!$B$15-M487</f>
        <v>1.4</v>
      </c>
      <c r="O487" s="55" t="n">
        <v>1</v>
      </c>
      <c r="P487" s="53" t="n">
        <f aca="false">(F487+H487+J487+L487)*O487</f>
        <v>4</v>
      </c>
      <c r="Q487" s="74" t="n">
        <f aca="false">M487*O487</f>
        <v>10.3</v>
      </c>
      <c r="R487" s="74" t="n">
        <f aca="false">N487*O487</f>
        <v>1.4</v>
      </c>
    </row>
    <row r="488" customFormat="false" ht="15" hidden="false" customHeight="false" outlineLevel="0" collapsed="false">
      <c r="A488" s="53" t="n">
        <v>3</v>
      </c>
      <c r="B488" s="53" t="n">
        <v>16</v>
      </c>
      <c r="C488" s="76" t="s">
        <v>512</v>
      </c>
      <c r="D488" s="53" t="n">
        <v>12</v>
      </c>
      <c r="E488" s="73" t="n">
        <v>6.5</v>
      </c>
      <c r="F488" s="55" t="n">
        <v>1</v>
      </c>
      <c r="G488" s="73" t="n">
        <v>3.728</v>
      </c>
      <c r="H488" s="55" t="n">
        <v>1</v>
      </c>
      <c r="I488" s="20"/>
      <c r="J488" s="20"/>
      <c r="K488" s="20"/>
      <c r="L488" s="20"/>
      <c r="M488" s="41" t="n">
        <f aca="false">E488*F488+G488*H488+I488*J488+K488*L488</f>
        <v>10.228</v>
      </c>
      <c r="N488" s="41" t="n">
        <f aca="false">Исходные!$B$15-M488</f>
        <v>1.472</v>
      </c>
      <c r="O488" s="55" t="n">
        <v>4</v>
      </c>
      <c r="P488" s="53" t="n">
        <f aca="false">(F488+H488+J488+L488)*O488</f>
        <v>8</v>
      </c>
      <c r="Q488" s="74" t="n">
        <f aca="false">M488*O488</f>
        <v>40.912</v>
      </c>
      <c r="R488" s="74" t="n">
        <f aca="false">N488*O488</f>
        <v>5.888</v>
      </c>
    </row>
    <row r="489" customFormat="false" ht="15" hidden="false" customHeight="false" outlineLevel="0" collapsed="false">
      <c r="A489" s="53" t="n">
        <v>3</v>
      </c>
      <c r="B489" s="53" t="n">
        <v>16</v>
      </c>
      <c r="C489" s="76" t="s">
        <v>512</v>
      </c>
      <c r="D489" s="53" t="n">
        <v>13</v>
      </c>
      <c r="E489" s="73" t="n">
        <v>1.6</v>
      </c>
      <c r="F489" s="55" t="n">
        <v>3</v>
      </c>
      <c r="G489" s="20"/>
      <c r="H489" s="20"/>
      <c r="I489" s="20"/>
      <c r="J489" s="20"/>
      <c r="K489" s="20"/>
      <c r="L489" s="20"/>
      <c r="M489" s="41" t="n">
        <f aca="false">E489*F489+G489*H489+I489*J489+K489*L489</f>
        <v>4.8</v>
      </c>
      <c r="N489" s="41" t="n">
        <f aca="false">Исходные!$B$15-M489</f>
        <v>6.9</v>
      </c>
      <c r="O489" s="55" t="n">
        <v>1</v>
      </c>
      <c r="P489" s="53" t="n">
        <f aca="false">(F489+H489+J489+L489)*O489</f>
        <v>3</v>
      </c>
      <c r="Q489" s="74" t="n">
        <f aca="false">M489*O489</f>
        <v>4.8</v>
      </c>
      <c r="R489" s="74" t="n">
        <f aca="false">N489*O489</f>
        <v>6.9</v>
      </c>
    </row>
    <row r="490" customFormat="false" ht="15" hidden="false" customHeight="false" outlineLevel="0" collapsed="false">
      <c r="A490" s="53" t="n">
        <v>3</v>
      </c>
      <c r="B490" s="53" t="n">
        <v>14</v>
      </c>
      <c r="C490" s="76" t="s">
        <v>512</v>
      </c>
      <c r="D490" s="53" t="n">
        <v>1</v>
      </c>
      <c r="E490" s="73" t="n">
        <v>11.7</v>
      </c>
      <c r="F490" s="55" t="n">
        <v>1</v>
      </c>
      <c r="G490" s="20"/>
      <c r="H490" s="20"/>
      <c r="I490" s="20"/>
      <c r="J490" s="20"/>
      <c r="K490" s="20"/>
      <c r="L490" s="20"/>
      <c r="M490" s="41" t="n">
        <f aca="false">E490*F490+G490*H490+I490*J490+K490*L490</f>
        <v>11.7</v>
      </c>
      <c r="N490" s="41" t="n">
        <f aca="false">Исходные!$B$15-M490</f>
        <v>0</v>
      </c>
      <c r="O490" s="55" t="n">
        <v>6</v>
      </c>
      <c r="P490" s="53" t="n">
        <f aca="false">(F490+H490+J490+L490)*O490</f>
        <v>6</v>
      </c>
      <c r="Q490" s="74" t="n">
        <f aca="false">M490*O490</f>
        <v>70.2</v>
      </c>
      <c r="R490" s="74" t="n">
        <f aca="false">N490*O490</f>
        <v>0</v>
      </c>
    </row>
    <row r="491" customFormat="false" ht="15" hidden="false" customHeight="false" outlineLevel="0" collapsed="false">
      <c r="A491" s="53" t="n">
        <v>3</v>
      </c>
      <c r="B491" s="53" t="n">
        <v>14</v>
      </c>
      <c r="C491" s="76" t="s">
        <v>512</v>
      </c>
      <c r="D491" s="53" t="n">
        <v>2</v>
      </c>
      <c r="E491" s="73" t="n">
        <v>4</v>
      </c>
      <c r="F491" s="55" t="n">
        <v>2</v>
      </c>
      <c r="G491" s="73" t="n">
        <v>3.7</v>
      </c>
      <c r="H491" s="55" t="n">
        <v>1</v>
      </c>
      <c r="I491" s="20"/>
      <c r="J491" s="20"/>
      <c r="K491" s="20"/>
      <c r="L491" s="20"/>
      <c r="M491" s="41" t="n">
        <f aca="false">E491*F491+G491*H491+I491*J491+K491*L491</f>
        <v>11.7</v>
      </c>
      <c r="N491" s="41" t="n">
        <f aca="false">Исходные!$B$15-M491</f>
        <v>0</v>
      </c>
      <c r="O491" s="55" t="n">
        <v>1</v>
      </c>
      <c r="P491" s="53" t="n">
        <f aca="false">(F491+H491+J491+L491)*O491</f>
        <v>3</v>
      </c>
      <c r="Q491" s="74" t="n">
        <f aca="false">M491*O491</f>
        <v>11.7</v>
      </c>
      <c r="R491" s="74" t="n">
        <f aca="false">N491*O491</f>
        <v>0</v>
      </c>
    </row>
    <row r="492" customFormat="false" ht="15" hidden="false" customHeight="false" outlineLevel="0" collapsed="false">
      <c r="A492" s="53" t="n">
        <v>3</v>
      </c>
      <c r="B492" s="53" t="n">
        <v>14</v>
      </c>
      <c r="C492" s="76" t="s">
        <v>512</v>
      </c>
      <c r="D492" s="53" t="n">
        <v>3</v>
      </c>
      <c r="E492" s="73" t="n">
        <v>1.95</v>
      </c>
      <c r="F492" s="55" t="n">
        <v>6</v>
      </c>
      <c r="G492" s="20"/>
      <c r="H492" s="20"/>
      <c r="I492" s="20"/>
      <c r="J492" s="20"/>
      <c r="K492" s="20"/>
      <c r="L492" s="20"/>
      <c r="M492" s="41" t="n">
        <f aca="false">E492*F492+G492*H492+I492*J492+K492*L492</f>
        <v>11.7</v>
      </c>
      <c r="N492" s="41" t="n">
        <f aca="false">Исходные!$B$15-M492</f>
        <v>0</v>
      </c>
      <c r="O492" s="55" t="n">
        <v>10</v>
      </c>
      <c r="P492" s="53" t="n">
        <f aca="false">(F492+H492+J492+L492)*O492</f>
        <v>60</v>
      </c>
      <c r="Q492" s="74" t="n">
        <f aca="false">M492*O492</f>
        <v>117</v>
      </c>
      <c r="R492" s="74" t="n">
        <f aca="false">N492*O492</f>
        <v>0</v>
      </c>
    </row>
    <row r="493" customFormat="false" ht="15" hidden="false" customHeight="false" outlineLevel="0" collapsed="false">
      <c r="A493" s="53" t="n">
        <v>3</v>
      </c>
      <c r="B493" s="53" t="n">
        <v>14</v>
      </c>
      <c r="C493" s="76" t="s">
        <v>512</v>
      </c>
      <c r="D493" s="53" t="n">
        <v>4</v>
      </c>
      <c r="E493" s="73" t="n">
        <v>9.355</v>
      </c>
      <c r="F493" s="55" t="n">
        <v>1</v>
      </c>
      <c r="G493" s="73" t="n">
        <v>2.25</v>
      </c>
      <c r="H493" s="55" t="n">
        <v>1</v>
      </c>
      <c r="I493" s="20"/>
      <c r="J493" s="20"/>
      <c r="K493" s="20"/>
      <c r="L493" s="20"/>
      <c r="M493" s="41" t="n">
        <f aca="false">E493*F493+G493*H493+I493*J493+K493*L493</f>
        <v>11.605</v>
      </c>
      <c r="N493" s="41" t="n">
        <f aca="false">Исходные!$B$15-M493</f>
        <v>0.0949999999999989</v>
      </c>
      <c r="O493" s="55" t="n">
        <v>2</v>
      </c>
      <c r="P493" s="53" t="n">
        <f aca="false">(F493+H493+J493+L493)*O493</f>
        <v>4</v>
      </c>
      <c r="Q493" s="74" t="n">
        <f aca="false">M493*O493</f>
        <v>23.21</v>
      </c>
      <c r="R493" s="74" t="n">
        <f aca="false">N493*O493</f>
        <v>0.189999999999998</v>
      </c>
    </row>
    <row r="494" customFormat="false" ht="15" hidden="false" customHeight="false" outlineLevel="0" collapsed="false">
      <c r="A494" s="53" t="n">
        <v>3</v>
      </c>
      <c r="B494" s="53" t="n">
        <v>14</v>
      </c>
      <c r="C494" s="76" t="s">
        <v>512</v>
      </c>
      <c r="D494" s="53" t="n">
        <v>5</v>
      </c>
      <c r="E494" s="73" t="n">
        <v>1.45</v>
      </c>
      <c r="F494" s="55" t="n">
        <v>8</v>
      </c>
      <c r="G494" s="20"/>
      <c r="H494" s="20"/>
      <c r="I494" s="20"/>
      <c r="J494" s="20"/>
      <c r="K494" s="20"/>
      <c r="L494" s="20"/>
      <c r="M494" s="41" t="n">
        <f aca="false">E494*F494+G494*H494+I494*J494+K494*L494</f>
        <v>11.6</v>
      </c>
      <c r="N494" s="41" t="n">
        <f aca="false">Исходные!$B$15-M494</f>
        <v>0.0999999999999996</v>
      </c>
      <c r="O494" s="55" t="n">
        <v>14</v>
      </c>
      <c r="P494" s="53" t="n">
        <f aca="false">(F494+H494+J494+L494)*O494</f>
        <v>112</v>
      </c>
      <c r="Q494" s="74" t="n">
        <f aca="false">M494*O494</f>
        <v>162.4</v>
      </c>
      <c r="R494" s="74" t="n">
        <f aca="false">N494*O494</f>
        <v>1.4</v>
      </c>
    </row>
    <row r="495" customFormat="false" ht="15" hidden="false" customHeight="false" outlineLevel="0" collapsed="false">
      <c r="A495" s="53" t="n">
        <v>3</v>
      </c>
      <c r="B495" s="53" t="n">
        <v>14</v>
      </c>
      <c r="C495" s="76" t="s">
        <v>512</v>
      </c>
      <c r="D495" s="53" t="n">
        <v>6</v>
      </c>
      <c r="E495" s="73" t="n">
        <v>3.515</v>
      </c>
      <c r="F495" s="55" t="n">
        <v>1</v>
      </c>
      <c r="G495" s="73" t="n">
        <v>3.4</v>
      </c>
      <c r="H495" s="55" t="n">
        <v>2</v>
      </c>
      <c r="I495" s="73" t="n">
        <v>1.25</v>
      </c>
      <c r="J495" s="55" t="n">
        <v>1</v>
      </c>
      <c r="K495" s="20"/>
      <c r="L495" s="20"/>
      <c r="M495" s="41" t="n">
        <f aca="false">E495*F495+G495*H495+I495*J495+K495*L495</f>
        <v>11.565</v>
      </c>
      <c r="N495" s="41" t="n">
        <f aca="false">Исходные!$B$15-M495</f>
        <v>0.135</v>
      </c>
      <c r="O495" s="55" t="n">
        <v>1</v>
      </c>
      <c r="P495" s="53" t="n">
        <f aca="false">(F495+H495+J495+L495)*O495</f>
        <v>4</v>
      </c>
      <c r="Q495" s="74" t="n">
        <f aca="false">M495*O495</f>
        <v>11.565</v>
      </c>
      <c r="R495" s="74" t="n">
        <f aca="false">N495*O495</f>
        <v>0.135</v>
      </c>
    </row>
    <row r="496" customFormat="false" ht="15" hidden="false" customHeight="false" outlineLevel="0" collapsed="false">
      <c r="A496" s="53" t="n">
        <v>3</v>
      </c>
      <c r="B496" s="53" t="n">
        <v>14</v>
      </c>
      <c r="C496" s="76" t="s">
        <v>512</v>
      </c>
      <c r="D496" s="53" t="n">
        <v>7</v>
      </c>
      <c r="E496" s="73" t="n">
        <v>3.9</v>
      </c>
      <c r="F496" s="55" t="n">
        <v>2</v>
      </c>
      <c r="G496" s="73" t="n">
        <v>3.712</v>
      </c>
      <c r="H496" s="55" t="n">
        <v>1</v>
      </c>
      <c r="I496" s="20"/>
      <c r="J496" s="20"/>
      <c r="K496" s="20"/>
      <c r="L496" s="20"/>
      <c r="M496" s="41" t="n">
        <f aca="false">E496*F496+G496*H496+I496*J496+K496*L496</f>
        <v>11.512</v>
      </c>
      <c r="N496" s="41" t="n">
        <f aca="false">Исходные!$B$15-M496</f>
        <v>0.187999999999999</v>
      </c>
      <c r="O496" s="55" t="n">
        <v>1</v>
      </c>
      <c r="P496" s="53" t="n">
        <f aca="false">(F496+H496+J496+L496)*O496</f>
        <v>3</v>
      </c>
      <c r="Q496" s="74" t="n">
        <f aca="false">M496*O496</f>
        <v>11.512</v>
      </c>
      <c r="R496" s="74" t="n">
        <f aca="false">N496*O496</f>
        <v>0.187999999999999</v>
      </c>
    </row>
    <row r="497" customFormat="false" ht="15" hidden="false" customHeight="false" outlineLevel="0" collapsed="false">
      <c r="A497" s="53" t="n">
        <v>3</v>
      </c>
      <c r="B497" s="53" t="n">
        <v>14</v>
      </c>
      <c r="C497" s="76" t="s">
        <v>512</v>
      </c>
      <c r="D497" s="53" t="n">
        <v>8</v>
      </c>
      <c r="E497" s="73" t="n">
        <v>9.1</v>
      </c>
      <c r="F497" s="55" t="n">
        <v>1</v>
      </c>
      <c r="G497" s="73" t="n">
        <v>2.4</v>
      </c>
      <c r="H497" s="55" t="n">
        <v>1</v>
      </c>
      <c r="I497" s="20"/>
      <c r="J497" s="20"/>
      <c r="K497" s="20"/>
      <c r="L497" s="20"/>
      <c r="M497" s="41" t="n">
        <f aca="false">E497*F497+G497*H497+I497*J497+K497*L497</f>
        <v>11.5</v>
      </c>
      <c r="N497" s="41" t="n">
        <f aca="false">Исходные!$B$15-M497</f>
        <v>0.199999999999999</v>
      </c>
      <c r="O497" s="55" t="n">
        <v>2</v>
      </c>
      <c r="P497" s="53" t="n">
        <f aca="false">(F497+H497+J497+L497)*O497</f>
        <v>4</v>
      </c>
      <c r="Q497" s="74" t="n">
        <f aca="false">M497*O497</f>
        <v>23</v>
      </c>
      <c r="R497" s="74" t="n">
        <f aca="false">N497*O497</f>
        <v>0.399999999999999</v>
      </c>
    </row>
    <row r="498" customFormat="false" ht="15" hidden="false" customHeight="false" outlineLevel="0" collapsed="false">
      <c r="A498" s="53" t="n">
        <v>3</v>
      </c>
      <c r="B498" s="53" t="n">
        <v>14</v>
      </c>
      <c r="C498" s="76" t="s">
        <v>512</v>
      </c>
      <c r="D498" s="53" t="n">
        <v>9</v>
      </c>
      <c r="E498" s="73" t="n">
        <v>9.1</v>
      </c>
      <c r="F498" s="55" t="n">
        <v>1</v>
      </c>
      <c r="G498" s="73" t="n">
        <v>2.25</v>
      </c>
      <c r="H498" s="55" t="n">
        <v>1</v>
      </c>
      <c r="I498" s="20"/>
      <c r="J498" s="20"/>
      <c r="K498" s="20"/>
      <c r="L498" s="20"/>
      <c r="M498" s="41" t="n">
        <f aca="false">E498*F498+G498*H498+I498*J498+K498*L498</f>
        <v>11.35</v>
      </c>
      <c r="N498" s="41" t="n">
        <f aca="false">Исходные!$B$15-M498</f>
        <v>0.35</v>
      </c>
      <c r="O498" s="55" t="n">
        <v>2</v>
      </c>
      <c r="P498" s="53" t="n">
        <f aca="false">(F498+H498+J498+L498)*O498</f>
        <v>4</v>
      </c>
      <c r="Q498" s="74" t="n">
        <f aca="false">M498*O498</f>
        <v>22.7</v>
      </c>
      <c r="R498" s="74" t="n">
        <f aca="false">N498*O498</f>
        <v>0.699999999999999</v>
      </c>
    </row>
    <row r="499" customFormat="false" ht="15" hidden="false" customHeight="false" outlineLevel="0" collapsed="false">
      <c r="A499" s="53" t="n">
        <v>3</v>
      </c>
      <c r="B499" s="53" t="n">
        <v>14</v>
      </c>
      <c r="C499" s="76" t="s">
        <v>512</v>
      </c>
      <c r="D499" s="53" t="n">
        <v>10</v>
      </c>
      <c r="E499" s="73" t="n">
        <v>4.2</v>
      </c>
      <c r="F499" s="55" t="n">
        <v>2</v>
      </c>
      <c r="G499" s="73" t="n">
        <v>2.85</v>
      </c>
      <c r="H499" s="55" t="n">
        <v>1</v>
      </c>
      <c r="I499" s="20"/>
      <c r="J499" s="20"/>
      <c r="K499" s="20"/>
      <c r="L499" s="20"/>
      <c r="M499" s="41" t="n">
        <f aca="false">E499*F499+G499*H499+I499*J499+K499*L499</f>
        <v>11.25</v>
      </c>
      <c r="N499" s="41" t="n">
        <f aca="false">Исходные!$B$15-M499</f>
        <v>0.449999999999999</v>
      </c>
      <c r="O499" s="55" t="n">
        <v>2</v>
      </c>
      <c r="P499" s="53" t="n">
        <f aca="false">(F499+H499+J499+L499)*O499</f>
        <v>6</v>
      </c>
      <c r="Q499" s="74" t="n">
        <f aca="false">M499*O499</f>
        <v>22.5</v>
      </c>
      <c r="R499" s="74" t="n">
        <f aca="false">N499*O499</f>
        <v>0.899999999999999</v>
      </c>
    </row>
    <row r="500" customFormat="false" ht="15" hidden="false" customHeight="false" outlineLevel="0" collapsed="false">
      <c r="A500" s="53" t="n">
        <v>3</v>
      </c>
      <c r="B500" s="53" t="n">
        <v>14</v>
      </c>
      <c r="C500" s="76" t="s">
        <v>512</v>
      </c>
      <c r="D500" s="53" t="n">
        <v>11</v>
      </c>
      <c r="E500" s="73" t="n">
        <v>2.25</v>
      </c>
      <c r="F500" s="55" t="n">
        <v>5</v>
      </c>
      <c r="G500" s="20"/>
      <c r="H500" s="20"/>
      <c r="I500" s="20"/>
      <c r="J500" s="20"/>
      <c r="K500" s="20"/>
      <c r="L500" s="20"/>
      <c r="M500" s="41" t="n">
        <f aca="false">E500*F500+G500*H500+I500*J500+K500*L500</f>
        <v>11.25</v>
      </c>
      <c r="N500" s="41" t="n">
        <f aca="false">Исходные!$B$15-M500</f>
        <v>0.449999999999999</v>
      </c>
      <c r="O500" s="55" t="n">
        <v>12</v>
      </c>
      <c r="P500" s="53" t="n">
        <f aca="false">(F500+H500+J500+L500)*O500</f>
        <v>60</v>
      </c>
      <c r="Q500" s="74" t="n">
        <f aca="false">M500*O500</f>
        <v>135</v>
      </c>
      <c r="R500" s="74" t="n">
        <f aca="false">N500*O500</f>
        <v>5.39999999999999</v>
      </c>
    </row>
    <row r="501" customFormat="false" ht="15" hidden="false" customHeight="false" outlineLevel="0" collapsed="false">
      <c r="A501" s="53" t="n">
        <v>3</v>
      </c>
      <c r="B501" s="53" t="n">
        <v>14</v>
      </c>
      <c r="C501" s="76" t="s">
        <v>512</v>
      </c>
      <c r="D501" s="53" t="n">
        <v>12</v>
      </c>
      <c r="E501" s="73" t="n">
        <v>1.25</v>
      </c>
      <c r="F501" s="55" t="n">
        <v>9</v>
      </c>
      <c r="G501" s="20"/>
      <c r="H501" s="20"/>
      <c r="I501" s="20"/>
      <c r="J501" s="20"/>
      <c r="K501" s="20"/>
      <c r="L501" s="20"/>
      <c r="M501" s="41" t="n">
        <f aca="false">E501*F501+G501*H501+I501*J501+K501*L501</f>
        <v>11.25</v>
      </c>
      <c r="N501" s="41" t="n">
        <f aca="false">Исходные!$B$15-M501</f>
        <v>0.449999999999999</v>
      </c>
      <c r="O501" s="55" t="n">
        <v>3</v>
      </c>
      <c r="P501" s="53" t="n">
        <f aca="false">(F501+H501+J501+L501)*O501</f>
        <v>27</v>
      </c>
      <c r="Q501" s="74" t="n">
        <f aca="false">M501*O501</f>
        <v>33.75</v>
      </c>
      <c r="R501" s="74" t="n">
        <f aca="false">N501*O501</f>
        <v>1.35</v>
      </c>
    </row>
    <row r="502" customFormat="false" ht="15" hidden="false" customHeight="false" outlineLevel="0" collapsed="false">
      <c r="A502" s="53" t="n">
        <v>3</v>
      </c>
      <c r="B502" s="53" t="n">
        <v>14</v>
      </c>
      <c r="C502" s="76" t="s">
        <v>512</v>
      </c>
      <c r="D502" s="53" t="n">
        <v>13</v>
      </c>
      <c r="E502" s="73" t="n">
        <v>3.712</v>
      </c>
      <c r="F502" s="55" t="n">
        <v>3</v>
      </c>
      <c r="G502" s="20"/>
      <c r="H502" s="20"/>
      <c r="I502" s="20"/>
      <c r="J502" s="20"/>
      <c r="K502" s="20"/>
      <c r="L502" s="20"/>
      <c r="M502" s="41" t="n">
        <f aca="false">E502*F502+G502*H502+I502*J502+K502*L502</f>
        <v>11.136</v>
      </c>
      <c r="N502" s="41" t="n">
        <f aca="false">Исходные!$B$15-M502</f>
        <v>0.563999999999998</v>
      </c>
      <c r="O502" s="55" t="n">
        <v>11</v>
      </c>
      <c r="P502" s="53" t="n">
        <f aca="false">(F502+H502+J502+L502)*O502</f>
        <v>33</v>
      </c>
      <c r="Q502" s="74" t="n">
        <f aca="false">M502*O502</f>
        <v>122.496</v>
      </c>
      <c r="R502" s="74" t="n">
        <f aca="false">N502*O502</f>
        <v>6.20399999999998</v>
      </c>
    </row>
    <row r="503" customFormat="false" ht="15" hidden="false" customHeight="false" outlineLevel="0" collapsed="false">
      <c r="A503" s="53" t="n">
        <v>3</v>
      </c>
      <c r="B503" s="53" t="n">
        <v>14</v>
      </c>
      <c r="C503" s="76" t="s">
        <v>512</v>
      </c>
      <c r="D503" s="53" t="n">
        <v>14</v>
      </c>
      <c r="E503" s="73" t="n">
        <v>3.7</v>
      </c>
      <c r="F503" s="55" t="n">
        <v>3</v>
      </c>
      <c r="G503" s="20"/>
      <c r="H503" s="20"/>
      <c r="I503" s="20"/>
      <c r="J503" s="20"/>
      <c r="K503" s="20"/>
      <c r="L503" s="20"/>
      <c r="M503" s="41" t="n">
        <f aca="false">E503*F503+G503*H503+I503*J503+K503*L503</f>
        <v>11.1</v>
      </c>
      <c r="N503" s="41" t="n">
        <f aca="false">Исходные!$B$15-M503</f>
        <v>0.599999999999998</v>
      </c>
      <c r="O503" s="55" t="n">
        <v>1</v>
      </c>
      <c r="P503" s="53" t="n">
        <f aca="false">(F503+H503+J503+L503)*O503</f>
        <v>3</v>
      </c>
      <c r="Q503" s="74" t="n">
        <f aca="false">M503*O503</f>
        <v>11.1</v>
      </c>
      <c r="R503" s="74" t="n">
        <f aca="false">N503*O503</f>
        <v>0.599999999999998</v>
      </c>
    </row>
    <row r="504" customFormat="false" ht="15" hidden="false" customHeight="false" outlineLevel="0" collapsed="false">
      <c r="A504" s="53" t="n">
        <v>3</v>
      </c>
      <c r="B504" s="53" t="n">
        <v>14</v>
      </c>
      <c r="C504" s="76" t="s">
        <v>512</v>
      </c>
      <c r="D504" s="53" t="n">
        <v>15</v>
      </c>
      <c r="E504" s="73" t="n">
        <v>3.7</v>
      </c>
      <c r="F504" s="55" t="n">
        <v>2</v>
      </c>
      <c r="G504" s="73" t="n">
        <v>3.515</v>
      </c>
      <c r="H504" s="55" t="n">
        <v>1</v>
      </c>
      <c r="I504" s="20"/>
      <c r="J504" s="20"/>
      <c r="K504" s="20"/>
      <c r="L504" s="20"/>
      <c r="M504" s="41" t="n">
        <f aca="false">E504*F504+G504*H504+I504*J504+K504*L504</f>
        <v>10.915</v>
      </c>
      <c r="N504" s="41" t="n">
        <f aca="false">Исходные!$B$15-M504</f>
        <v>0.784999999999998</v>
      </c>
      <c r="O504" s="55" t="n">
        <v>1</v>
      </c>
      <c r="P504" s="53" t="n">
        <f aca="false">(F504+H504+J504+L504)*O504</f>
        <v>3</v>
      </c>
      <c r="Q504" s="74" t="n">
        <f aca="false">M504*O504</f>
        <v>10.915</v>
      </c>
      <c r="R504" s="74" t="n">
        <f aca="false">N504*O504</f>
        <v>0.784999999999998</v>
      </c>
    </row>
    <row r="505" customFormat="false" ht="15" hidden="false" customHeight="false" outlineLevel="0" collapsed="false">
      <c r="A505" s="53" t="n">
        <v>3</v>
      </c>
      <c r="B505" s="53" t="n">
        <v>14</v>
      </c>
      <c r="C505" s="76" t="s">
        <v>512</v>
      </c>
      <c r="D505" s="53" t="n">
        <v>16</v>
      </c>
      <c r="E505" s="73" t="n">
        <v>2.7</v>
      </c>
      <c r="F505" s="55" t="n">
        <v>4</v>
      </c>
      <c r="G505" s="20"/>
      <c r="H505" s="20"/>
      <c r="I505" s="20"/>
      <c r="J505" s="20"/>
      <c r="K505" s="20"/>
      <c r="L505" s="20"/>
      <c r="M505" s="41" t="n">
        <f aca="false">E505*F505+G505*H505+I505*J505+K505*L505</f>
        <v>10.8</v>
      </c>
      <c r="N505" s="41" t="n">
        <f aca="false">Исходные!$B$15-M505</f>
        <v>0.899999999999999</v>
      </c>
      <c r="O505" s="55" t="n">
        <v>1</v>
      </c>
      <c r="P505" s="53" t="n">
        <f aca="false">(F505+H505+J505+L505)*O505</f>
        <v>4</v>
      </c>
      <c r="Q505" s="74" t="n">
        <f aca="false">M505*O505</f>
        <v>10.8</v>
      </c>
      <c r="R505" s="74" t="n">
        <f aca="false">N505*O505</f>
        <v>0.899999999999999</v>
      </c>
    </row>
    <row r="506" customFormat="false" ht="15" hidden="false" customHeight="false" outlineLevel="0" collapsed="false">
      <c r="A506" s="53" t="n">
        <v>3</v>
      </c>
      <c r="B506" s="53" t="n">
        <v>14</v>
      </c>
      <c r="C506" s="76" t="s">
        <v>512</v>
      </c>
      <c r="D506" s="53" t="n">
        <v>17</v>
      </c>
      <c r="E506" s="73" t="n">
        <v>1.95</v>
      </c>
      <c r="F506" s="55" t="n">
        <v>4</v>
      </c>
      <c r="G506" s="73" t="n">
        <v>1.45</v>
      </c>
      <c r="H506" s="55" t="n">
        <v>2</v>
      </c>
      <c r="I506" s="20"/>
      <c r="J506" s="20"/>
      <c r="K506" s="20"/>
      <c r="L506" s="20"/>
      <c r="M506" s="41" t="n">
        <f aca="false">E506*F506+G506*H506+I506*J506+K506*L506</f>
        <v>10.7</v>
      </c>
      <c r="N506" s="41" t="n">
        <f aca="false">Исходные!$B$15-M506</f>
        <v>1</v>
      </c>
      <c r="O506" s="55" t="n">
        <v>1</v>
      </c>
      <c r="P506" s="53" t="n">
        <f aca="false">(F506+H506+J506+L506)*O506</f>
        <v>6</v>
      </c>
      <c r="Q506" s="74" t="n">
        <f aca="false">M506*O506</f>
        <v>10.7</v>
      </c>
      <c r="R506" s="74" t="n">
        <f aca="false">N506*O506</f>
        <v>1</v>
      </c>
    </row>
    <row r="507" customFormat="false" ht="15" hidden="false" customHeight="false" outlineLevel="0" collapsed="false">
      <c r="A507" s="53" t="n">
        <v>3</v>
      </c>
      <c r="B507" s="53" t="n">
        <v>14</v>
      </c>
      <c r="C507" s="76" t="s">
        <v>512</v>
      </c>
      <c r="D507" s="53" t="n">
        <v>18</v>
      </c>
      <c r="E507" s="73" t="n">
        <v>1.25</v>
      </c>
      <c r="F507" s="55" t="n">
        <v>4</v>
      </c>
      <c r="G507" s="20"/>
      <c r="H507" s="20"/>
      <c r="I507" s="20"/>
      <c r="J507" s="20"/>
      <c r="K507" s="20"/>
      <c r="L507" s="20"/>
      <c r="M507" s="41" t="n">
        <f aca="false">E507*F507+G507*H507+I507*J507+K507*L507</f>
        <v>5</v>
      </c>
      <c r="N507" s="41" t="n">
        <f aca="false">Исходные!$B$15-M507</f>
        <v>6.7</v>
      </c>
      <c r="O507" s="55" t="n">
        <v>1</v>
      </c>
      <c r="P507" s="53" t="n">
        <f aca="false">(F507+H507+J507+L507)*O507</f>
        <v>4</v>
      </c>
      <c r="Q507" s="74" t="n">
        <f aca="false">M507*O507</f>
        <v>5</v>
      </c>
      <c r="R507" s="74" t="n">
        <f aca="false">N507*O507</f>
        <v>6.7</v>
      </c>
    </row>
    <row r="508" customFormat="false" ht="15" hidden="false" customHeight="false" outlineLevel="0" collapsed="false">
      <c r="A508" s="53" t="n">
        <v>3</v>
      </c>
      <c r="B508" s="53" t="n">
        <v>12</v>
      </c>
      <c r="C508" s="76" t="s">
        <v>512</v>
      </c>
      <c r="D508" s="53" t="n">
        <v>1</v>
      </c>
      <c r="E508" s="73" t="n">
        <v>11.7</v>
      </c>
      <c r="F508" s="55" t="n">
        <v>1</v>
      </c>
      <c r="G508" s="20"/>
      <c r="H508" s="20"/>
      <c r="I508" s="20"/>
      <c r="J508" s="20"/>
      <c r="K508" s="20"/>
      <c r="L508" s="20"/>
      <c r="M508" s="41" t="n">
        <f aca="false">E508*F508+G508*H508+I508*J508+K508*L508</f>
        <v>11.7</v>
      </c>
      <c r="N508" s="41" t="n">
        <f aca="false">Исходные!$B$15-M508</f>
        <v>0</v>
      </c>
      <c r="O508" s="55" t="n">
        <v>8</v>
      </c>
      <c r="P508" s="53" t="n">
        <f aca="false">(F508+H508+J508+L508)*O508</f>
        <v>8</v>
      </c>
      <c r="Q508" s="74" t="n">
        <f aca="false">M508*O508</f>
        <v>93.6</v>
      </c>
      <c r="R508" s="74" t="n">
        <f aca="false">N508*O508</f>
        <v>0</v>
      </c>
    </row>
    <row r="509" customFormat="false" ht="15" hidden="false" customHeight="false" outlineLevel="0" collapsed="false">
      <c r="A509" s="53" t="n">
        <v>3</v>
      </c>
      <c r="B509" s="53" t="n">
        <v>12</v>
      </c>
      <c r="C509" s="76" t="s">
        <v>512</v>
      </c>
      <c r="D509" s="53" t="n">
        <v>2</v>
      </c>
      <c r="E509" s="73" t="n">
        <v>2.05</v>
      </c>
      <c r="F509" s="55" t="n">
        <v>5</v>
      </c>
      <c r="G509" s="73" t="n">
        <v>1.45</v>
      </c>
      <c r="H509" s="55" t="n">
        <v>1</v>
      </c>
      <c r="I509" s="20"/>
      <c r="J509" s="20"/>
      <c r="K509" s="20"/>
      <c r="L509" s="20"/>
      <c r="M509" s="41" t="n">
        <f aca="false">E509*F509+G509*H509+I509*J509+K509*L509</f>
        <v>11.7</v>
      </c>
      <c r="N509" s="41" t="n">
        <f aca="false">Исходные!$B$15-M509</f>
        <v>0</v>
      </c>
      <c r="O509" s="55" t="n">
        <v>1</v>
      </c>
      <c r="P509" s="53" t="n">
        <f aca="false">(F509+H509+J509+L509)*O509</f>
        <v>6</v>
      </c>
      <c r="Q509" s="74" t="n">
        <f aca="false">M509*O509</f>
        <v>11.7</v>
      </c>
      <c r="R509" s="74" t="n">
        <f aca="false">N509*O509</f>
        <v>0</v>
      </c>
    </row>
    <row r="510" customFormat="false" ht="15" hidden="false" customHeight="false" outlineLevel="0" collapsed="false">
      <c r="A510" s="53" t="n">
        <v>3</v>
      </c>
      <c r="B510" s="53" t="n">
        <v>12</v>
      </c>
      <c r="C510" s="76" t="s">
        <v>512</v>
      </c>
      <c r="D510" s="53" t="n">
        <v>3</v>
      </c>
      <c r="E510" s="73" t="n">
        <v>3.4</v>
      </c>
      <c r="F510" s="55" t="n">
        <v>3</v>
      </c>
      <c r="G510" s="73" t="n">
        <v>1.45</v>
      </c>
      <c r="H510" s="55" t="n">
        <v>1</v>
      </c>
      <c r="I510" s="20"/>
      <c r="J510" s="20"/>
      <c r="K510" s="20"/>
      <c r="L510" s="20"/>
      <c r="M510" s="41" t="n">
        <f aca="false">E510*F510+G510*H510+I510*J510+K510*L510</f>
        <v>11.65</v>
      </c>
      <c r="N510" s="41" t="n">
        <f aca="false">Исходные!$B$15-M510</f>
        <v>0.0500000000000007</v>
      </c>
      <c r="O510" s="55" t="n">
        <v>1</v>
      </c>
      <c r="P510" s="53" t="n">
        <f aca="false">(F510+H510+J510+L510)*O510</f>
        <v>4</v>
      </c>
      <c r="Q510" s="74" t="n">
        <f aca="false">M510*O510</f>
        <v>11.65</v>
      </c>
      <c r="R510" s="74" t="n">
        <f aca="false">N510*O510</f>
        <v>0.0500000000000007</v>
      </c>
    </row>
    <row r="511" customFormat="false" ht="15" hidden="false" customHeight="false" outlineLevel="0" collapsed="false">
      <c r="A511" s="53" t="n">
        <v>3</v>
      </c>
      <c r="B511" s="53" t="n">
        <v>12</v>
      </c>
      <c r="C511" s="76" t="s">
        <v>512</v>
      </c>
      <c r="D511" s="53" t="n">
        <v>4</v>
      </c>
      <c r="E511" s="73" t="n">
        <v>2.4</v>
      </c>
      <c r="F511" s="55" t="n">
        <v>1</v>
      </c>
      <c r="G511" s="73" t="n">
        <v>2.3</v>
      </c>
      <c r="H511" s="55" t="n">
        <v>4</v>
      </c>
      <c r="I511" s="20"/>
      <c r="J511" s="20"/>
      <c r="K511" s="20"/>
      <c r="L511" s="20"/>
      <c r="M511" s="41" t="n">
        <f aca="false">E511*F511+G511*H511+I511*J511+K511*L511</f>
        <v>11.6</v>
      </c>
      <c r="N511" s="41" t="n">
        <f aca="false">Исходные!$B$15-M511</f>
        <v>0.0999999999999996</v>
      </c>
      <c r="O511" s="55" t="n">
        <v>1</v>
      </c>
      <c r="P511" s="53" t="n">
        <f aca="false">(F511+H511+J511+L511)*O511</f>
        <v>5</v>
      </c>
      <c r="Q511" s="74" t="n">
        <f aca="false">M511*O511</f>
        <v>11.6</v>
      </c>
      <c r="R511" s="74" t="n">
        <f aca="false">N511*O511</f>
        <v>0.0999999999999996</v>
      </c>
    </row>
    <row r="512" customFormat="false" ht="15" hidden="false" customHeight="false" outlineLevel="0" collapsed="false">
      <c r="A512" s="53" t="n">
        <v>3</v>
      </c>
      <c r="B512" s="53" t="n">
        <v>12</v>
      </c>
      <c r="C512" s="76" t="s">
        <v>512</v>
      </c>
      <c r="D512" s="53" t="n">
        <v>5</v>
      </c>
      <c r="E512" s="73" t="n">
        <v>2.05</v>
      </c>
      <c r="F512" s="55" t="n">
        <v>4</v>
      </c>
      <c r="G512" s="73" t="n">
        <v>1.95</v>
      </c>
      <c r="H512" s="55" t="n">
        <v>1</v>
      </c>
      <c r="I512" s="73" t="n">
        <v>1.45</v>
      </c>
      <c r="J512" s="55" t="n">
        <v>1</v>
      </c>
      <c r="K512" s="20"/>
      <c r="L512" s="20"/>
      <c r="M512" s="41" t="n">
        <f aca="false">E512*F512+G512*H512+I512*J512+K512*L512</f>
        <v>11.6</v>
      </c>
      <c r="N512" s="41" t="n">
        <f aca="false">Исходные!$B$15-M512</f>
        <v>0.100000000000001</v>
      </c>
      <c r="O512" s="55" t="n">
        <v>1</v>
      </c>
      <c r="P512" s="53" t="n">
        <f aca="false">(F512+H512+J512+L512)*O512</f>
        <v>6</v>
      </c>
      <c r="Q512" s="74" t="n">
        <f aca="false">M512*O512</f>
        <v>11.6</v>
      </c>
      <c r="R512" s="74" t="n">
        <f aca="false">N512*O512</f>
        <v>0.100000000000001</v>
      </c>
    </row>
    <row r="513" customFormat="false" ht="15" hidden="false" customHeight="false" outlineLevel="0" collapsed="false">
      <c r="A513" s="53" t="n">
        <v>3</v>
      </c>
      <c r="B513" s="53" t="n">
        <v>12</v>
      </c>
      <c r="C513" s="76" t="s">
        <v>512</v>
      </c>
      <c r="D513" s="53" t="n">
        <v>6</v>
      </c>
      <c r="E513" s="73" t="n">
        <v>3.8</v>
      </c>
      <c r="F513" s="55" t="n">
        <v>3</v>
      </c>
      <c r="G513" s="20"/>
      <c r="H513" s="20"/>
      <c r="I513" s="20"/>
      <c r="J513" s="20"/>
      <c r="K513" s="20"/>
      <c r="L513" s="20"/>
      <c r="M513" s="41" t="n">
        <f aca="false">E513*F513+G513*H513+I513*J513+K513*L513</f>
        <v>11.4</v>
      </c>
      <c r="N513" s="41" t="n">
        <f aca="false">Исходные!$B$15-M513</f>
        <v>0.300000000000001</v>
      </c>
      <c r="O513" s="55" t="n">
        <v>2</v>
      </c>
      <c r="P513" s="53" t="n">
        <f aca="false">(F513+H513+J513+L513)*O513</f>
        <v>6</v>
      </c>
      <c r="Q513" s="74" t="n">
        <f aca="false">M513*O513</f>
        <v>22.8</v>
      </c>
      <c r="R513" s="74" t="n">
        <f aca="false">N513*O513</f>
        <v>0.600000000000001</v>
      </c>
    </row>
    <row r="514" customFormat="false" ht="15" hidden="false" customHeight="false" outlineLevel="0" collapsed="false">
      <c r="A514" s="53" t="n">
        <v>3</v>
      </c>
      <c r="B514" s="53" t="n">
        <v>12</v>
      </c>
      <c r="C514" s="76" t="s">
        <v>512</v>
      </c>
      <c r="D514" s="53" t="n">
        <v>7</v>
      </c>
      <c r="E514" s="73" t="n">
        <v>1.45</v>
      </c>
      <c r="F514" s="55" t="n">
        <v>2</v>
      </c>
      <c r="G514" s="73" t="n">
        <v>1.4</v>
      </c>
      <c r="H514" s="55" t="n">
        <v>6</v>
      </c>
      <c r="I514" s="20"/>
      <c r="J514" s="20"/>
      <c r="K514" s="20"/>
      <c r="L514" s="20"/>
      <c r="M514" s="41" t="n">
        <f aca="false">E514*F514+G514*H514+I514*J514+K514*L514</f>
        <v>11.3</v>
      </c>
      <c r="N514" s="41" t="n">
        <f aca="false">Исходные!$B$15-M514</f>
        <v>0.4</v>
      </c>
      <c r="O514" s="55" t="n">
        <v>1</v>
      </c>
      <c r="P514" s="53" t="n">
        <f aca="false">(F514+H514+J514+L514)*O514</f>
        <v>8</v>
      </c>
      <c r="Q514" s="74" t="n">
        <f aca="false">M514*O514</f>
        <v>11.3</v>
      </c>
      <c r="R514" s="74" t="n">
        <f aca="false">N514*O514</f>
        <v>0.4</v>
      </c>
    </row>
    <row r="515" customFormat="false" ht="15" hidden="false" customHeight="false" outlineLevel="0" collapsed="false">
      <c r="A515" s="53" t="n">
        <v>3</v>
      </c>
      <c r="B515" s="53" t="n">
        <v>12</v>
      </c>
      <c r="C515" s="76" t="s">
        <v>512</v>
      </c>
      <c r="D515" s="53" t="n">
        <v>8</v>
      </c>
      <c r="E515" s="73" t="n">
        <v>1.25</v>
      </c>
      <c r="F515" s="55" t="n">
        <v>9</v>
      </c>
      <c r="G515" s="20"/>
      <c r="H515" s="20"/>
      <c r="I515" s="20"/>
      <c r="J515" s="20"/>
      <c r="K515" s="20"/>
      <c r="L515" s="20"/>
      <c r="M515" s="41" t="n">
        <f aca="false">E515*F515+G515*H515+I515*J515+K515*L515</f>
        <v>11.25</v>
      </c>
      <c r="N515" s="41" t="n">
        <f aca="false">Исходные!$B$15-M515</f>
        <v>0.449999999999999</v>
      </c>
      <c r="O515" s="55" t="n">
        <v>4</v>
      </c>
      <c r="P515" s="53" t="n">
        <f aca="false">(F515+H515+J515+L515)*O515</f>
        <v>36</v>
      </c>
      <c r="Q515" s="74" t="n">
        <f aca="false">M515*O515</f>
        <v>45</v>
      </c>
      <c r="R515" s="74" t="n">
        <f aca="false">N515*O515</f>
        <v>1.8</v>
      </c>
    </row>
    <row r="516" customFormat="false" ht="15" hidden="false" customHeight="false" outlineLevel="0" collapsed="false">
      <c r="A516" s="53" t="n">
        <v>3</v>
      </c>
      <c r="B516" s="53" t="n">
        <v>12</v>
      </c>
      <c r="C516" s="76" t="s">
        <v>512</v>
      </c>
      <c r="D516" s="53" t="n">
        <v>9</v>
      </c>
      <c r="E516" s="73" t="n">
        <v>3.8</v>
      </c>
      <c r="F516" s="55" t="n">
        <v>2</v>
      </c>
      <c r="G516" s="73" t="n">
        <v>3.6</v>
      </c>
      <c r="H516" s="55" t="n">
        <v>1</v>
      </c>
      <c r="I516" s="20"/>
      <c r="J516" s="20"/>
      <c r="K516" s="20"/>
      <c r="L516" s="20"/>
      <c r="M516" s="41" t="n">
        <f aca="false">E516*F516+G516*H516+I516*J516+K516*L516</f>
        <v>11.2</v>
      </c>
      <c r="N516" s="41" t="n">
        <f aca="false">Исходные!$B$15-M516</f>
        <v>0.5</v>
      </c>
      <c r="O516" s="55" t="n">
        <v>1</v>
      </c>
      <c r="P516" s="53" t="n">
        <f aca="false">(F516+H516+J516+L516)*O516</f>
        <v>3</v>
      </c>
      <c r="Q516" s="74" t="n">
        <f aca="false">M516*O516</f>
        <v>11.2</v>
      </c>
      <c r="R516" s="74" t="n">
        <f aca="false">N516*O516</f>
        <v>0.5</v>
      </c>
    </row>
    <row r="517" customFormat="false" ht="15" hidden="false" customHeight="false" outlineLevel="0" collapsed="false">
      <c r="A517" s="53" t="n">
        <v>3</v>
      </c>
      <c r="B517" s="53" t="n">
        <v>12</v>
      </c>
      <c r="C517" s="76" t="s">
        <v>512</v>
      </c>
      <c r="D517" s="53" t="n">
        <v>10</v>
      </c>
      <c r="E517" s="73" t="n">
        <v>1.95</v>
      </c>
      <c r="F517" s="55" t="n">
        <v>5</v>
      </c>
      <c r="G517" s="73" t="n">
        <v>1.45</v>
      </c>
      <c r="H517" s="55" t="n">
        <v>1</v>
      </c>
      <c r="I517" s="20"/>
      <c r="J517" s="20"/>
      <c r="K517" s="20"/>
      <c r="L517" s="20"/>
      <c r="M517" s="41" t="n">
        <f aca="false">E517*F517+G517*H517+I517*J517+K517*L517</f>
        <v>11.2</v>
      </c>
      <c r="N517" s="41" t="n">
        <f aca="false">Исходные!$B$15-M517</f>
        <v>0.5</v>
      </c>
      <c r="O517" s="55" t="n">
        <v>1</v>
      </c>
      <c r="P517" s="53" t="n">
        <f aca="false">(F517+H517+J517+L517)*O517</f>
        <v>6</v>
      </c>
      <c r="Q517" s="74" t="n">
        <f aca="false">M517*O517</f>
        <v>11.2</v>
      </c>
      <c r="R517" s="74" t="n">
        <f aca="false">N517*O517</f>
        <v>0.5</v>
      </c>
    </row>
    <row r="518" customFormat="false" ht="15" hidden="false" customHeight="false" outlineLevel="0" collapsed="false">
      <c r="A518" s="53" t="n">
        <v>3</v>
      </c>
      <c r="B518" s="53" t="n">
        <v>12</v>
      </c>
      <c r="C518" s="76" t="s">
        <v>512</v>
      </c>
      <c r="D518" s="53" t="n">
        <v>11</v>
      </c>
      <c r="E518" s="73" t="n">
        <v>5.5</v>
      </c>
      <c r="F518" s="55" t="n">
        <v>2</v>
      </c>
      <c r="G518" s="20"/>
      <c r="H518" s="20"/>
      <c r="I518" s="20"/>
      <c r="J518" s="20"/>
      <c r="K518" s="20"/>
      <c r="L518" s="20"/>
      <c r="M518" s="41" t="n">
        <f aca="false">E518*F518+G518*H518+I518*J518+K518*L518</f>
        <v>11</v>
      </c>
      <c r="N518" s="41" t="n">
        <f aca="false">Исходные!$B$15-M518</f>
        <v>0.699999999999999</v>
      </c>
      <c r="O518" s="55" t="n">
        <v>1</v>
      </c>
      <c r="P518" s="53" t="n">
        <f aca="false">(F518+H518+J518+L518)*O518</f>
        <v>2</v>
      </c>
      <c r="Q518" s="74" t="n">
        <f aca="false">M518*O518</f>
        <v>11</v>
      </c>
      <c r="R518" s="74" t="n">
        <f aca="false">N518*O518</f>
        <v>0.699999999999999</v>
      </c>
    </row>
    <row r="519" customFormat="false" ht="15" hidden="false" customHeight="false" outlineLevel="0" collapsed="false">
      <c r="A519" s="53" t="n">
        <v>3</v>
      </c>
      <c r="B519" s="53" t="n">
        <v>12</v>
      </c>
      <c r="C519" s="76" t="s">
        <v>512</v>
      </c>
      <c r="D519" s="53" t="n">
        <v>12</v>
      </c>
      <c r="E519" s="73" t="n">
        <v>2.2</v>
      </c>
      <c r="F519" s="55" t="n">
        <v>5</v>
      </c>
      <c r="G519" s="20"/>
      <c r="H519" s="20"/>
      <c r="I519" s="20"/>
      <c r="J519" s="20"/>
      <c r="K519" s="20"/>
      <c r="L519" s="20"/>
      <c r="M519" s="41" t="n">
        <f aca="false">E519*F519+G519*H519+I519*J519+K519*L519</f>
        <v>11</v>
      </c>
      <c r="N519" s="41" t="n">
        <f aca="false">Исходные!$B$15-M519</f>
        <v>0.699999999999999</v>
      </c>
      <c r="O519" s="55" t="n">
        <v>2</v>
      </c>
      <c r="P519" s="53" t="n">
        <f aca="false">(F519+H519+J519+L519)*O519</f>
        <v>10</v>
      </c>
      <c r="Q519" s="74" t="n">
        <f aca="false">M519*O519</f>
        <v>22</v>
      </c>
      <c r="R519" s="74" t="n">
        <f aca="false">N519*O519</f>
        <v>1.4</v>
      </c>
    </row>
    <row r="520" customFormat="false" ht="15" hidden="false" customHeight="false" outlineLevel="0" collapsed="false">
      <c r="A520" s="53" t="n">
        <v>3</v>
      </c>
      <c r="B520" s="53" t="n">
        <v>12</v>
      </c>
      <c r="C520" s="76" t="s">
        <v>512</v>
      </c>
      <c r="D520" s="53" t="n">
        <v>13</v>
      </c>
      <c r="E520" s="73" t="n">
        <v>5.496</v>
      </c>
      <c r="F520" s="55" t="n">
        <v>2</v>
      </c>
      <c r="G520" s="20"/>
      <c r="H520" s="20"/>
      <c r="I520" s="20"/>
      <c r="J520" s="20"/>
      <c r="K520" s="20"/>
      <c r="L520" s="20"/>
      <c r="M520" s="41" t="n">
        <f aca="false">E520*F520+G520*H520+I520*J520+K520*L520</f>
        <v>10.992</v>
      </c>
      <c r="N520" s="41" t="n">
        <f aca="false">Исходные!$B$15-M520</f>
        <v>0.707999999999998</v>
      </c>
      <c r="O520" s="55" t="n">
        <v>4</v>
      </c>
      <c r="P520" s="53" t="n">
        <f aca="false">(F520+H520+J520+L520)*O520</f>
        <v>8</v>
      </c>
      <c r="Q520" s="74" t="n">
        <f aca="false">M520*O520</f>
        <v>43.968</v>
      </c>
      <c r="R520" s="74" t="n">
        <f aca="false">N520*O520</f>
        <v>2.83199999999999</v>
      </c>
    </row>
    <row r="521" customFormat="false" ht="15" hidden="false" customHeight="false" outlineLevel="0" collapsed="false">
      <c r="A521" s="53" t="n">
        <v>3</v>
      </c>
      <c r="B521" s="53" t="n">
        <v>12</v>
      </c>
      <c r="C521" s="76" t="s">
        <v>512</v>
      </c>
      <c r="D521" s="53" t="n">
        <v>14</v>
      </c>
      <c r="E521" s="73" t="n">
        <v>1.4</v>
      </c>
      <c r="F521" s="55" t="n">
        <v>6</v>
      </c>
      <c r="G521" s="73" t="n">
        <v>1.25</v>
      </c>
      <c r="H521" s="55" t="n">
        <v>2</v>
      </c>
      <c r="I521" s="20"/>
      <c r="J521" s="20"/>
      <c r="K521" s="20"/>
      <c r="L521" s="20"/>
      <c r="M521" s="41" t="n">
        <f aca="false">E521*F521+G521*H521+I521*J521+K521*L521</f>
        <v>10.9</v>
      </c>
      <c r="N521" s="41" t="n">
        <f aca="false">Исходные!$B$15-M521</f>
        <v>0.800000000000001</v>
      </c>
      <c r="O521" s="55" t="n">
        <v>1</v>
      </c>
      <c r="P521" s="53" t="n">
        <f aca="false">(F521+H521+J521+L521)*O521</f>
        <v>8</v>
      </c>
      <c r="Q521" s="74" t="n">
        <f aca="false">M521*O521</f>
        <v>10.9</v>
      </c>
      <c r="R521" s="74" t="n">
        <f aca="false">N521*O521</f>
        <v>0.800000000000001</v>
      </c>
    </row>
    <row r="522" customFormat="false" ht="15" hidden="false" customHeight="false" outlineLevel="0" collapsed="false">
      <c r="A522" s="53" t="n">
        <v>3</v>
      </c>
      <c r="B522" s="53" t="n">
        <v>12</v>
      </c>
      <c r="C522" s="76" t="s">
        <v>512</v>
      </c>
      <c r="D522" s="53" t="n">
        <v>15</v>
      </c>
      <c r="E522" s="73" t="n">
        <v>3.6</v>
      </c>
      <c r="F522" s="55" t="n">
        <v>3</v>
      </c>
      <c r="G522" s="20"/>
      <c r="H522" s="20"/>
      <c r="I522" s="20"/>
      <c r="J522" s="20"/>
      <c r="K522" s="20"/>
      <c r="L522" s="20"/>
      <c r="M522" s="41" t="n">
        <f aca="false">E522*F522+G522*H522+I522*J522+K522*L522</f>
        <v>10.8</v>
      </c>
      <c r="N522" s="41" t="n">
        <f aca="false">Исходные!$B$15-M522</f>
        <v>0.899999999999999</v>
      </c>
      <c r="O522" s="55" t="n">
        <v>1</v>
      </c>
      <c r="P522" s="53" t="n">
        <f aca="false">(F522+H522+J522+L522)*O522</f>
        <v>3</v>
      </c>
      <c r="Q522" s="74" t="n">
        <f aca="false">M522*O522</f>
        <v>10.8</v>
      </c>
      <c r="R522" s="74" t="n">
        <f aca="false">N522*O522</f>
        <v>0.899999999999999</v>
      </c>
    </row>
    <row r="523" customFormat="false" ht="15" hidden="false" customHeight="false" outlineLevel="0" collapsed="false">
      <c r="A523" s="53" t="n">
        <v>3</v>
      </c>
      <c r="B523" s="53" t="n">
        <v>12</v>
      </c>
      <c r="C523" s="76" t="s">
        <v>512</v>
      </c>
      <c r="D523" s="53" t="n">
        <v>16</v>
      </c>
      <c r="E523" s="73" t="n">
        <v>1.2</v>
      </c>
      <c r="F523" s="55" t="n">
        <v>9</v>
      </c>
      <c r="G523" s="20"/>
      <c r="H523" s="20"/>
      <c r="I523" s="20"/>
      <c r="J523" s="20"/>
      <c r="K523" s="20"/>
      <c r="L523" s="20"/>
      <c r="M523" s="41" t="n">
        <f aca="false">E523*F523+G523*H523+I523*J523+K523*L523</f>
        <v>10.8</v>
      </c>
      <c r="N523" s="41" t="n">
        <f aca="false">Исходные!$B$15-M523</f>
        <v>0.9</v>
      </c>
      <c r="O523" s="55" t="n">
        <v>1</v>
      </c>
      <c r="P523" s="53" t="n">
        <f aca="false">(F523+H523+J523+L523)*O523</f>
        <v>9</v>
      </c>
      <c r="Q523" s="74" t="n">
        <f aca="false">M523*O523</f>
        <v>10.8</v>
      </c>
      <c r="R523" s="74" t="n">
        <f aca="false">N523*O523</f>
        <v>0.9</v>
      </c>
    </row>
    <row r="524" customFormat="false" ht="15" hidden="false" customHeight="false" outlineLevel="0" collapsed="false">
      <c r="A524" s="53" t="n">
        <v>3</v>
      </c>
      <c r="B524" s="53" t="n">
        <v>12</v>
      </c>
      <c r="C524" s="76" t="s">
        <v>512</v>
      </c>
      <c r="D524" s="53" t="n">
        <v>17</v>
      </c>
      <c r="E524" s="73" t="n">
        <v>10.6</v>
      </c>
      <c r="F524" s="55" t="n">
        <v>1</v>
      </c>
      <c r="G524" s="20"/>
      <c r="H524" s="20"/>
      <c r="I524" s="20"/>
      <c r="J524" s="20"/>
      <c r="K524" s="20"/>
      <c r="L524" s="20"/>
      <c r="M524" s="41" t="n">
        <f aca="false">E524*F524+G524*H524+I524*J524+K524*L524</f>
        <v>10.6</v>
      </c>
      <c r="N524" s="41" t="n">
        <f aca="false">Исходные!$B$15-M524</f>
        <v>1.1</v>
      </c>
      <c r="O524" s="55" t="n">
        <v>4</v>
      </c>
      <c r="P524" s="53" t="n">
        <f aca="false">(F524+H524+J524+L524)*O524</f>
        <v>4</v>
      </c>
      <c r="Q524" s="74" t="n">
        <f aca="false">M524*O524</f>
        <v>42.4</v>
      </c>
      <c r="R524" s="74" t="n">
        <f aca="false">N524*O524</f>
        <v>4.4</v>
      </c>
    </row>
    <row r="525" customFormat="false" ht="15" hidden="false" customHeight="false" outlineLevel="0" collapsed="false">
      <c r="A525" s="53" t="n">
        <v>3</v>
      </c>
      <c r="B525" s="53" t="n">
        <v>12</v>
      </c>
      <c r="C525" s="76" t="s">
        <v>512</v>
      </c>
      <c r="D525" s="53" t="n">
        <v>18</v>
      </c>
      <c r="E525" s="73" t="n">
        <v>3.4</v>
      </c>
      <c r="F525" s="55" t="n">
        <v>1</v>
      </c>
      <c r="G525" s="73" t="n">
        <v>2.4</v>
      </c>
      <c r="H525" s="55" t="n">
        <v>3</v>
      </c>
      <c r="I525" s="20"/>
      <c r="J525" s="20"/>
      <c r="K525" s="20"/>
      <c r="L525" s="20"/>
      <c r="M525" s="41" t="n">
        <f aca="false">E525*F525+G525*H525+I525*J525+K525*L525</f>
        <v>10.6</v>
      </c>
      <c r="N525" s="41" t="n">
        <f aca="false">Исходные!$B$15-M525</f>
        <v>1.1</v>
      </c>
      <c r="O525" s="55" t="n">
        <v>1</v>
      </c>
      <c r="P525" s="53" t="n">
        <f aca="false">(F525+H525+J525+L525)*O525</f>
        <v>4</v>
      </c>
      <c r="Q525" s="74" t="n">
        <f aca="false">M525*O525</f>
        <v>10.6</v>
      </c>
      <c r="R525" s="74" t="n">
        <f aca="false">N525*O525</f>
        <v>1.1</v>
      </c>
    </row>
    <row r="526" customFormat="false" ht="15" hidden="false" customHeight="false" outlineLevel="0" collapsed="false">
      <c r="A526" s="53" t="n">
        <v>3</v>
      </c>
      <c r="B526" s="53" t="n">
        <v>12</v>
      </c>
      <c r="C526" s="76" t="s">
        <v>512</v>
      </c>
      <c r="D526" s="53" t="n">
        <v>19</v>
      </c>
      <c r="E526" s="73" t="n">
        <v>2.2</v>
      </c>
      <c r="F526" s="55" t="n">
        <v>2</v>
      </c>
      <c r="G526" s="73" t="n">
        <v>2.05</v>
      </c>
      <c r="H526" s="55" t="n">
        <v>3</v>
      </c>
      <c r="I526" s="20"/>
      <c r="J526" s="20"/>
      <c r="K526" s="20"/>
      <c r="L526" s="20"/>
      <c r="M526" s="41" t="n">
        <f aca="false">E526*F526+G526*H526+I526*J526+K526*L526</f>
        <v>10.55</v>
      </c>
      <c r="N526" s="41" t="n">
        <f aca="false">Исходные!$B$15-M526</f>
        <v>1.15</v>
      </c>
      <c r="O526" s="55" t="n">
        <v>1</v>
      </c>
      <c r="P526" s="53" t="n">
        <f aca="false">(F526+H526+J526+L526)*O526</f>
        <v>5</v>
      </c>
      <c r="Q526" s="74" t="n">
        <f aca="false">M526*O526</f>
        <v>10.55</v>
      </c>
      <c r="R526" s="74" t="n">
        <f aca="false">N526*O526</f>
        <v>1.15</v>
      </c>
    </row>
    <row r="527" customFormat="false" ht="15" hidden="false" customHeight="false" outlineLevel="0" collapsed="false">
      <c r="A527" s="53" t="n">
        <v>3</v>
      </c>
      <c r="B527" s="53" t="n">
        <v>12</v>
      </c>
      <c r="C527" s="76" t="s">
        <v>512</v>
      </c>
      <c r="D527" s="53" t="n">
        <v>20</v>
      </c>
      <c r="E527" s="73" t="n">
        <v>1.2</v>
      </c>
      <c r="F527" s="55" t="n">
        <v>3</v>
      </c>
      <c r="G527" s="20"/>
      <c r="H527" s="20"/>
      <c r="I527" s="20"/>
      <c r="J527" s="20"/>
      <c r="K527" s="20"/>
      <c r="L527" s="20"/>
      <c r="M527" s="41" t="n">
        <f aca="false">E527*F527+G527*H527+I527*J527+K527*L527</f>
        <v>3.6</v>
      </c>
      <c r="N527" s="41" t="n">
        <f aca="false">Исходные!$B$15-M527</f>
        <v>8.1</v>
      </c>
      <c r="O527" s="55" t="n">
        <v>1</v>
      </c>
      <c r="P527" s="53" t="n">
        <f aca="false">(F527+H527+J527+L527)*O527</f>
        <v>3</v>
      </c>
      <c r="Q527" s="74" t="n">
        <f aca="false">M527*O527</f>
        <v>3.6</v>
      </c>
      <c r="R527" s="74" t="n">
        <f aca="false">N527*O527</f>
        <v>8.1</v>
      </c>
    </row>
    <row r="528" customFormat="false" ht="15" hidden="false" customHeight="false" outlineLevel="0" collapsed="false">
      <c r="A528" s="53" t="n">
        <v>3</v>
      </c>
      <c r="B528" s="53" t="n">
        <v>10</v>
      </c>
      <c r="C528" s="76" t="s">
        <v>512</v>
      </c>
      <c r="D528" s="53" t="n">
        <v>1</v>
      </c>
      <c r="E528" s="73" t="n">
        <v>11.7</v>
      </c>
      <c r="F528" s="55" t="n">
        <v>1</v>
      </c>
      <c r="G528" s="20"/>
      <c r="H528" s="20"/>
      <c r="I528" s="20"/>
      <c r="J528" s="20"/>
      <c r="K528" s="20"/>
      <c r="L528" s="20"/>
      <c r="M528" s="41" t="n">
        <f aca="false">E528*F528+G528*H528+I528*J528+K528*L528</f>
        <v>11.7</v>
      </c>
      <c r="N528" s="41" t="n">
        <f aca="false">Исходные!$B$15-M528</f>
        <v>0</v>
      </c>
      <c r="O528" s="55" t="n">
        <v>616</v>
      </c>
      <c r="P528" s="53" t="n">
        <f aca="false">(F528+H528+J528+L528)*O528</f>
        <v>616</v>
      </c>
      <c r="Q528" s="74" t="n">
        <f aca="false">M528*O528</f>
        <v>7207.2</v>
      </c>
      <c r="R528" s="74" t="n">
        <f aca="false">N528*O528</f>
        <v>0</v>
      </c>
    </row>
    <row r="529" customFormat="false" ht="15" hidden="false" customHeight="false" outlineLevel="0" collapsed="false">
      <c r="A529" s="53" t="n">
        <v>3</v>
      </c>
      <c r="B529" s="53" t="n">
        <v>10</v>
      </c>
      <c r="C529" s="76" t="s">
        <v>512</v>
      </c>
      <c r="D529" s="53" t="n">
        <v>2</v>
      </c>
      <c r="E529" s="73" t="n">
        <v>9.18</v>
      </c>
      <c r="F529" s="55" t="n">
        <v>1</v>
      </c>
      <c r="G529" s="73" t="n">
        <v>1.95</v>
      </c>
      <c r="H529" s="55" t="n">
        <v>1</v>
      </c>
      <c r="I529" s="73" t="n">
        <v>0.57</v>
      </c>
      <c r="J529" s="55" t="n">
        <v>1</v>
      </c>
      <c r="K529" s="20"/>
      <c r="L529" s="20"/>
      <c r="M529" s="41" t="n">
        <f aca="false">E529*F529+G529*H529+I529*J529+K529*L529</f>
        <v>11.7</v>
      </c>
      <c r="N529" s="41" t="n">
        <f aca="false">Исходные!$B$15-M529</f>
        <v>0</v>
      </c>
      <c r="O529" s="55" t="n">
        <v>12</v>
      </c>
      <c r="P529" s="53" t="n">
        <f aca="false">(F529+H529+J529+L529)*O529</f>
        <v>36</v>
      </c>
      <c r="Q529" s="74" t="n">
        <f aca="false">M529*O529</f>
        <v>140.4</v>
      </c>
      <c r="R529" s="74" t="n">
        <f aca="false">N529*O529</f>
        <v>0</v>
      </c>
    </row>
    <row r="530" customFormat="false" ht="15" hidden="false" customHeight="false" outlineLevel="0" collapsed="false">
      <c r="A530" s="53" t="n">
        <v>3</v>
      </c>
      <c r="B530" s="53" t="n">
        <v>10</v>
      </c>
      <c r="C530" s="76" t="s">
        <v>512</v>
      </c>
      <c r="D530" s="53" t="n">
        <v>3</v>
      </c>
      <c r="E530" s="73" t="n">
        <v>3.78</v>
      </c>
      <c r="F530" s="55" t="n">
        <v>2</v>
      </c>
      <c r="G530" s="73" t="n">
        <v>3</v>
      </c>
      <c r="H530" s="55" t="n">
        <v>1</v>
      </c>
      <c r="I530" s="73" t="n">
        <v>0.57</v>
      </c>
      <c r="J530" s="55" t="n">
        <v>2</v>
      </c>
      <c r="K530" s="20"/>
      <c r="L530" s="20"/>
      <c r="M530" s="41" t="n">
        <f aca="false">E530*F530+G530*H530+I530*J530+K530*L530</f>
        <v>11.7</v>
      </c>
      <c r="N530" s="41" t="n">
        <f aca="false">Исходные!$B$15-M530</f>
        <v>0</v>
      </c>
      <c r="O530" s="55" t="n">
        <v>1</v>
      </c>
      <c r="P530" s="53" t="n">
        <f aca="false">(F530+H530+J530+L530)*O530</f>
        <v>5</v>
      </c>
      <c r="Q530" s="74" t="n">
        <f aca="false">M530*O530</f>
        <v>11.7</v>
      </c>
      <c r="R530" s="74" t="n">
        <f aca="false">N530*O530</f>
        <v>0</v>
      </c>
    </row>
    <row r="531" customFormat="false" ht="15" hidden="false" customHeight="false" outlineLevel="0" collapsed="false">
      <c r="A531" s="53" t="n">
        <v>3</v>
      </c>
      <c r="B531" s="53" t="n">
        <v>10</v>
      </c>
      <c r="C531" s="76" t="s">
        <v>512</v>
      </c>
      <c r="D531" s="53" t="n">
        <v>4</v>
      </c>
      <c r="E531" s="73" t="n">
        <v>9.18</v>
      </c>
      <c r="F531" s="55" t="n">
        <v>1</v>
      </c>
      <c r="G531" s="73" t="n">
        <v>1.45</v>
      </c>
      <c r="H531" s="55" t="n">
        <v>1</v>
      </c>
      <c r="I531" s="73" t="n">
        <v>0.57</v>
      </c>
      <c r="J531" s="55" t="n">
        <v>1</v>
      </c>
      <c r="K531" s="73" t="n">
        <v>0.48</v>
      </c>
      <c r="L531" s="55" t="n">
        <v>1</v>
      </c>
      <c r="M531" s="41" t="n">
        <f aca="false">E531*F531+G531*H531+I531*J531+K531*L531</f>
        <v>11.68</v>
      </c>
      <c r="N531" s="41" t="n">
        <f aca="false">Исходные!$B$15-M531</f>
        <v>0.0199999999999996</v>
      </c>
      <c r="O531" s="55" t="n">
        <v>3</v>
      </c>
      <c r="P531" s="53" t="n">
        <f aca="false">(F531+H531+J531+L531)*O531</f>
        <v>12</v>
      </c>
      <c r="Q531" s="74" t="n">
        <f aca="false">M531*O531</f>
        <v>35.04</v>
      </c>
      <c r="R531" s="74" t="n">
        <f aca="false">N531*O531</f>
        <v>0.0599999999999987</v>
      </c>
    </row>
    <row r="532" customFormat="false" ht="15" hidden="false" customHeight="false" outlineLevel="0" collapsed="false">
      <c r="A532" s="53" t="n">
        <v>3</v>
      </c>
      <c r="B532" s="53" t="n">
        <v>10</v>
      </c>
      <c r="C532" s="76" t="s">
        <v>512</v>
      </c>
      <c r="D532" s="53" t="n">
        <v>5</v>
      </c>
      <c r="E532" s="73" t="n">
        <v>1.4</v>
      </c>
      <c r="F532" s="55" t="n">
        <v>8</v>
      </c>
      <c r="G532" s="73" t="n">
        <v>0.48</v>
      </c>
      <c r="H532" s="55" t="n">
        <v>1</v>
      </c>
      <c r="I532" s="20"/>
      <c r="J532" s="20"/>
      <c r="K532" s="20"/>
      <c r="L532" s="20"/>
      <c r="M532" s="41" t="n">
        <f aca="false">E532*F532+G532*H532+I532*J532+K532*L532</f>
        <v>11.68</v>
      </c>
      <c r="N532" s="41" t="n">
        <f aca="false">Исходные!$B$15-M532</f>
        <v>0.0199999999999996</v>
      </c>
      <c r="O532" s="55" t="n">
        <v>5</v>
      </c>
      <c r="P532" s="53" t="n">
        <f aca="false">(F532+H532+J532+L532)*O532</f>
        <v>45</v>
      </c>
      <c r="Q532" s="74" t="n">
        <f aca="false">M532*O532</f>
        <v>58.4</v>
      </c>
      <c r="R532" s="74" t="n">
        <f aca="false">N532*O532</f>
        <v>0.0999999999999979</v>
      </c>
    </row>
    <row r="533" customFormat="false" ht="15" hidden="false" customHeight="false" outlineLevel="0" collapsed="false">
      <c r="A533" s="53" t="n">
        <v>3</v>
      </c>
      <c r="B533" s="53" t="n">
        <v>10</v>
      </c>
      <c r="C533" s="76" t="s">
        <v>512</v>
      </c>
      <c r="D533" s="53" t="n">
        <v>6</v>
      </c>
      <c r="E533" s="73" t="n">
        <v>7.17</v>
      </c>
      <c r="F533" s="55" t="n">
        <v>1</v>
      </c>
      <c r="G533" s="73" t="n">
        <v>4.5</v>
      </c>
      <c r="H533" s="55" t="n">
        <v>1</v>
      </c>
      <c r="I533" s="20"/>
      <c r="J533" s="20"/>
      <c r="K533" s="20"/>
      <c r="L533" s="20"/>
      <c r="M533" s="41" t="n">
        <f aca="false">E533*F533+G533*H533+I533*J533+K533*L533</f>
        <v>11.67</v>
      </c>
      <c r="N533" s="41" t="n">
        <f aca="false">Исходные!$B$15-M533</f>
        <v>0.0299999999999994</v>
      </c>
      <c r="O533" s="55" t="n">
        <v>26</v>
      </c>
      <c r="P533" s="53" t="n">
        <f aca="false">(F533+H533+J533+L533)*O533</f>
        <v>52</v>
      </c>
      <c r="Q533" s="74" t="n">
        <f aca="false">M533*O533</f>
        <v>303.42</v>
      </c>
      <c r="R533" s="74" t="n">
        <f aca="false">N533*O533</f>
        <v>0.779999999999983</v>
      </c>
    </row>
    <row r="534" customFormat="false" ht="15" hidden="false" customHeight="false" outlineLevel="0" collapsed="false">
      <c r="A534" s="53" t="n">
        <v>3</v>
      </c>
      <c r="B534" s="53" t="n">
        <v>10</v>
      </c>
      <c r="C534" s="76" t="s">
        <v>512</v>
      </c>
      <c r="D534" s="53" t="n">
        <v>7</v>
      </c>
      <c r="E534" s="73" t="n">
        <v>2.6</v>
      </c>
      <c r="F534" s="55" t="n">
        <v>4</v>
      </c>
      <c r="G534" s="73" t="n">
        <v>1.25</v>
      </c>
      <c r="H534" s="55" t="n">
        <v>1</v>
      </c>
      <c r="I534" s="20"/>
      <c r="J534" s="20"/>
      <c r="K534" s="20"/>
      <c r="L534" s="20"/>
      <c r="M534" s="41" t="n">
        <f aca="false">E534*F534+G534*H534+I534*J534+K534*L534</f>
        <v>11.65</v>
      </c>
      <c r="N534" s="41" t="n">
        <f aca="false">Исходные!$B$15-M534</f>
        <v>0.0499999999999989</v>
      </c>
      <c r="O534" s="55" t="n">
        <v>2</v>
      </c>
      <c r="P534" s="53" t="n">
        <f aca="false">(F534+H534+J534+L534)*O534</f>
        <v>10</v>
      </c>
      <c r="Q534" s="74" t="n">
        <f aca="false">M534*O534</f>
        <v>23.3</v>
      </c>
      <c r="R534" s="74" t="n">
        <f aca="false">N534*O534</f>
        <v>0.0999999999999979</v>
      </c>
    </row>
    <row r="535" customFormat="false" ht="15" hidden="false" customHeight="false" outlineLevel="0" collapsed="false">
      <c r="A535" s="53" t="n">
        <v>3</v>
      </c>
      <c r="B535" s="53" t="n">
        <v>10</v>
      </c>
      <c r="C535" s="76" t="s">
        <v>512</v>
      </c>
      <c r="D535" s="53" t="n">
        <v>8</v>
      </c>
      <c r="E535" s="73" t="n">
        <v>4.72</v>
      </c>
      <c r="F535" s="55" t="n">
        <v>2</v>
      </c>
      <c r="G535" s="73" t="n">
        <v>2.2</v>
      </c>
      <c r="H535" s="55" t="n">
        <v>1</v>
      </c>
      <c r="I535" s="20"/>
      <c r="J535" s="20"/>
      <c r="K535" s="20"/>
      <c r="L535" s="20"/>
      <c r="M535" s="41" t="n">
        <f aca="false">E535*F535+G535*H535+I535*J535+K535*L535</f>
        <v>11.64</v>
      </c>
      <c r="N535" s="41" t="n">
        <f aca="false">Исходные!$B$15-M535</f>
        <v>0.0599999999999987</v>
      </c>
      <c r="O535" s="55" t="n">
        <v>26</v>
      </c>
      <c r="P535" s="53" t="n">
        <f aca="false">(F535+H535+J535+L535)*O535</f>
        <v>78</v>
      </c>
      <c r="Q535" s="74" t="n">
        <f aca="false">M535*O535</f>
        <v>302.64</v>
      </c>
      <c r="R535" s="74" t="n">
        <f aca="false">N535*O535</f>
        <v>1.55999999999997</v>
      </c>
    </row>
    <row r="536" customFormat="false" ht="15" hidden="false" customHeight="false" outlineLevel="0" collapsed="false">
      <c r="A536" s="53" t="n">
        <v>3</v>
      </c>
      <c r="B536" s="53" t="n">
        <v>10</v>
      </c>
      <c r="C536" s="76" t="s">
        <v>512</v>
      </c>
      <c r="D536" s="53" t="n">
        <v>9</v>
      </c>
      <c r="E536" s="73" t="n">
        <v>4.32</v>
      </c>
      <c r="F536" s="55" t="n">
        <v>2</v>
      </c>
      <c r="G536" s="73" t="n">
        <v>3</v>
      </c>
      <c r="H536" s="55" t="n">
        <v>1</v>
      </c>
      <c r="I536" s="20"/>
      <c r="J536" s="20"/>
      <c r="K536" s="20"/>
      <c r="L536" s="20"/>
      <c r="M536" s="41" t="n">
        <f aca="false">E536*F536+G536*H536+I536*J536+K536*L536</f>
        <v>11.64</v>
      </c>
      <c r="N536" s="41" t="n">
        <f aca="false">Исходные!$B$15-M536</f>
        <v>0.0599999999999987</v>
      </c>
      <c r="O536" s="55" t="n">
        <v>16</v>
      </c>
      <c r="P536" s="53" t="n">
        <f aca="false">(F536+H536+J536+L536)*O536</f>
        <v>48</v>
      </c>
      <c r="Q536" s="74" t="n">
        <f aca="false">M536*O536</f>
        <v>186.24</v>
      </c>
      <c r="R536" s="74" t="n">
        <f aca="false">N536*O536</f>
        <v>0.95999999999998</v>
      </c>
    </row>
    <row r="537" customFormat="false" ht="15" hidden="false" customHeight="false" outlineLevel="0" collapsed="false">
      <c r="A537" s="53" t="n">
        <v>3</v>
      </c>
      <c r="B537" s="53" t="n">
        <v>10</v>
      </c>
      <c r="C537" s="76" t="s">
        <v>512</v>
      </c>
      <c r="D537" s="53" t="n">
        <v>10</v>
      </c>
      <c r="E537" s="73" t="n">
        <v>5.98</v>
      </c>
      <c r="F537" s="55" t="n">
        <v>1</v>
      </c>
      <c r="G537" s="73" t="n">
        <v>5.05</v>
      </c>
      <c r="H537" s="55" t="n">
        <v>1</v>
      </c>
      <c r="I537" s="73" t="n">
        <v>0.6</v>
      </c>
      <c r="J537" s="55" t="n">
        <v>1</v>
      </c>
      <c r="K537" s="20"/>
      <c r="L537" s="20"/>
      <c r="M537" s="41" t="n">
        <f aca="false">E537*F537+G537*H537+I537*J537+K537*L537</f>
        <v>11.63</v>
      </c>
      <c r="N537" s="41" t="n">
        <f aca="false">Исходные!$B$15-M537</f>
        <v>0.0699999999999985</v>
      </c>
      <c r="O537" s="55" t="n">
        <v>6</v>
      </c>
      <c r="P537" s="53" t="n">
        <f aca="false">(F537+H537+J537+L537)*O537</f>
        <v>18</v>
      </c>
      <c r="Q537" s="74" t="n">
        <f aca="false">M537*O537</f>
        <v>69.78</v>
      </c>
      <c r="R537" s="74" t="n">
        <f aca="false">N537*O537</f>
        <v>0.419999999999991</v>
      </c>
    </row>
    <row r="538" customFormat="false" ht="15" hidden="false" customHeight="false" outlineLevel="0" collapsed="false">
      <c r="A538" s="53" t="n">
        <v>3</v>
      </c>
      <c r="B538" s="53" t="n">
        <v>10</v>
      </c>
      <c r="C538" s="76" t="s">
        <v>512</v>
      </c>
      <c r="D538" s="53" t="n">
        <v>11</v>
      </c>
      <c r="E538" s="73" t="n">
        <v>11.02</v>
      </c>
      <c r="F538" s="55" t="n">
        <v>1</v>
      </c>
      <c r="G538" s="73" t="n">
        <v>0.6</v>
      </c>
      <c r="H538" s="55" t="n">
        <v>1</v>
      </c>
      <c r="I538" s="20"/>
      <c r="J538" s="20"/>
      <c r="K538" s="20"/>
      <c r="L538" s="20"/>
      <c r="M538" s="41" t="n">
        <f aca="false">E538*F538+G538*H538+I538*J538+K538*L538</f>
        <v>11.62</v>
      </c>
      <c r="N538" s="41" t="n">
        <f aca="false">Исходные!$B$15-M538</f>
        <v>0.0800000000000001</v>
      </c>
      <c r="O538" s="55" t="n">
        <v>66</v>
      </c>
      <c r="P538" s="53" t="n">
        <f aca="false">(F538+H538+J538+L538)*O538</f>
        <v>132</v>
      </c>
      <c r="Q538" s="74" t="n">
        <f aca="false">M538*O538</f>
        <v>766.92</v>
      </c>
      <c r="R538" s="74" t="n">
        <f aca="false">N538*O538</f>
        <v>5.28000000000001</v>
      </c>
    </row>
    <row r="539" customFormat="false" ht="15" hidden="false" customHeight="false" outlineLevel="0" collapsed="false">
      <c r="A539" s="53" t="n">
        <v>3</v>
      </c>
      <c r="B539" s="53" t="n">
        <v>10</v>
      </c>
      <c r="C539" s="76" t="s">
        <v>512</v>
      </c>
      <c r="D539" s="53" t="n">
        <v>12</v>
      </c>
      <c r="E539" s="73" t="n">
        <v>4.5</v>
      </c>
      <c r="F539" s="55" t="n">
        <v>2</v>
      </c>
      <c r="G539" s="73" t="n">
        <v>2.6</v>
      </c>
      <c r="H539" s="55" t="n">
        <v>1</v>
      </c>
      <c r="I539" s="20"/>
      <c r="J539" s="20"/>
      <c r="K539" s="20"/>
      <c r="L539" s="20"/>
      <c r="M539" s="41" t="n">
        <f aca="false">E539*F539+G539*H539+I539*J539+K539*L539</f>
        <v>11.6</v>
      </c>
      <c r="N539" s="41" t="n">
        <f aca="false">Исходные!$B$15-M539</f>
        <v>0.0999999999999996</v>
      </c>
      <c r="O539" s="55" t="n">
        <v>8</v>
      </c>
      <c r="P539" s="53" t="n">
        <f aca="false">(F539+H539+J539+L539)*O539</f>
        <v>24</v>
      </c>
      <c r="Q539" s="74" t="n">
        <f aca="false">M539*O539</f>
        <v>92.8</v>
      </c>
      <c r="R539" s="74" t="n">
        <f aca="false">N539*O539</f>
        <v>0.799999999999997</v>
      </c>
    </row>
    <row r="540" customFormat="false" ht="15" hidden="false" customHeight="false" outlineLevel="0" collapsed="false">
      <c r="A540" s="53" t="n">
        <v>3</v>
      </c>
      <c r="B540" s="53" t="n">
        <v>10</v>
      </c>
      <c r="C540" s="76" t="s">
        <v>512</v>
      </c>
      <c r="D540" s="53" t="n">
        <v>13</v>
      </c>
      <c r="E540" s="73" t="n">
        <v>4.3</v>
      </c>
      <c r="F540" s="55" t="n">
        <v>2</v>
      </c>
      <c r="G540" s="73" t="n">
        <v>3</v>
      </c>
      <c r="H540" s="55" t="n">
        <v>1</v>
      </c>
      <c r="I540" s="20"/>
      <c r="J540" s="20"/>
      <c r="K540" s="20"/>
      <c r="L540" s="20"/>
      <c r="M540" s="41" t="n">
        <f aca="false">E540*F540+G540*H540+I540*J540+K540*L540</f>
        <v>11.6</v>
      </c>
      <c r="N540" s="41" t="n">
        <f aca="false">Исходные!$B$15-M540</f>
        <v>0.0999999999999996</v>
      </c>
      <c r="O540" s="55" t="n">
        <v>17</v>
      </c>
      <c r="P540" s="53" t="n">
        <f aca="false">(F540+H540+J540+L540)*O540</f>
        <v>51</v>
      </c>
      <c r="Q540" s="74" t="n">
        <f aca="false">M540*O540</f>
        <v>197.2</v>
      </c>
      <c r="R540" s="74" t="n">
        <f aca="false">N540*O540</f>
        <v>1.69999999999999</v>
      </c>
    </row>
    <row r="541" customFormat="false" ht="15" hidden="false" customHeight="false" outlineLevel="0" collapsed="false">
      <c r="A541" s="53" t="n">
        <v>3</v>
      </c>
      <c r="B541" s="53" t="n">
        <v>10</v>
      </c>
      <c r="C541" s="76" t="s">
        <v>512</v>
      </c>
      <c r="D541" s="53" t="n">
        <v>14</v>
      </c>
      <c r="E541" s="73" t="n">
        <v>3</v>
      </c>
      <c r="F541" s="55" t="n">
        <v>3</v>
      </c>
      <c r="G541" s="73" t="n">
        <v>2.6</v>
      </c>
      <c r="H541" s="55" t="n">
        <v>1</v>
      </c>
      <c r="I541" s="20"/>
      <c r="J541" s="20"/>
      <c r="K541" s="20"/>
      <c r="L541" s="20"/>
      <c r="M541" s="41" t="n">
        <f aca="false">E541*F541+G541*H541+I541*J541+K541*L541</f>
        <v>11.6</v>
      </c>
      <c r="N541" s="41" t="n">
        <f aca="false">Исходные!$B$15-M541</f>
        <v>0.0999999999999996</v>
      </c>
      <c r="O541" s="55" t="n">
        <v>6</v>
      </c>
      <c r="P541" s="53" t="n">
        <f aca="false">(F541+H541+J541+L541)*O541</f>
        <v>24</v>
      </c>
      <c r="Q541" s="74" t="n">
        <f aca="false">M541*O541</f>
        <v>69.6</v>
      </c>
      <c r="R541" s="74" t="n">
        <f aca="false">N541*O541</f>
        <v>0.599999999999998</v>
      </c>
    </row>
    <row r="542" customFormat="false" ht="15" hidden="false" customHeight="false" outlineLevel="0" collapsed="false">
      <c r="A542" s="53" t="n">
        <v>3</v>
      </c>
      <c r="B542" s="53" t="n">
        <v>10</v>
      </c>
      <c r="C542" s="76" t="s">
        <v>512</v>
      </c>
      <c r="D542" s="53" t="n">
        <v>15</v>
      </c>
      <c r="E542" s="73" t="n">
        <v>7.97</v>
      </c>
      <c r="F542" s="55" t="n">
        <v>1</v>
      </c>
      <c r="G542" s="73" t="n">
        <v>3.625</v>
      </c>
      <c r="H542" s="55" t="n">
        <v>1</v>
      </c>
      <c r="I542" s="20"/>
      <c r="J542" s="20"/>
      <c r="K542" s="20"/>
      <c r="L542" s="20"/>
      <c r="M542" s="41" t="n">
        <f aca="false">E542*F542+G542*H542+I542*J542+K542*L542</f>
        <v>11.595</v>
      </c>
      <c r="N542" s="41" t="n">
        <f aca="false">Исходные!$B$15-M542</f>
        <v>0.105</v>
      </c>
      <c r="O542" s="55" t="n">
        <v>20</v>
      </c>
      <c r="P542" s="53" t="n">
        <f aca="false">(F542+H542+J542+L542)*O542</f>
        <v>40</v>
      </c>
      <c r="Q542" s="74" t="n">
        <f aca="false">M542*O542</f>
        <v>231.9</v>
      </c>
      <c r="R542" s="74" t="n">
        <f aca="false">N542*O542</f>
        <v>2.10000000000001</v>
      </c>
    </row>
    <row r="543" customFormat="false" ht="15" hidden="false" customHeight="false" outlineLevel="0" collapsed="false">
      <c r="A543" s="53" t="n">
        <v>3</v>
      </c>
      <c r="B543" s="53" t="n">
        <v>10</v>
      </c>
      <c r="C543" s="76" t="s">
        <v>512</v>
      </c>
      <c r="D543" s="53" t="n">
        <v>16</v>
      </c>
      <c r="E543" s="73" t="n">
        <v>11.02</v>
      </c>
      <c r="F543" s="55" t="n">
        <v>1</v>
      </c>
      <c r="G543" s="73" t="n">
        <v>0.57</v>
      </c>
      <c r="H543" s="55" t="n">
        <v>1</v>
      </c>
      <c r="I543" s="20"/>
      <c r="J543" s="20"/>
      <c r="K543" s="20"/>
      <c r="L543" s="20"/>
      <c r="M543" s="41" t="n">
        <f aca="false">E543*F543+G543*H543+I543*J543+K543*L543</f>
        <v>11.59</v>
      </c>
      <c r="N543" s="41" t="n">
        <f aca="false">Исходные!$B$15-M543</f>
        <v>0.109999999999999</v>
      </c>
      <c r="O543" s="55" t="n">
        <v>14</v>
      </c>
      <c r="P543" s="53" t="n">
        <f aca="false">(F543+H543+J543+L543)*O543</f>
        <v>28</v>
      </c>
      <c r="Q543" s="74" t="n">
        <f aca="false">M543*O543</f>
        <v>162.26</v>
      </c>
      <c r="R543" s="74" t="n">
        <f aca="false">N543*O543</f>
        <v>1.53999999999999</v>
      </c>
    </row>
    <row r="544" customFormat="false" ht="15" hidden="false" customHeight="false" outlineLevel="0" collapsed="false">
      <c r="A544" s="53" t="n">
        <v>3</v>
      </c>
      <c r="B544" s="53" t="n">
        <v>10</v>
      </c>
      <c r="C544" s="76" t="s">
        <v>512</v>
      </c>
      <c r="D544" s="53" t="n">
        <v>17</v>
      </c>
      <c r="E544" s="73" t="n">
        <v>5.05</v>
      </c>
      <c r="F544" s="55" t="n">
        <v>2</v>
      </c>
      <c r="G544" s="73" t="n">
        <v>1.45</v>
      </c>
      <c r="H544" s="55" t="n">
        <v>1</v>
      </c>
      <c r="I544" s="20"/>
      <c r="J544" s="20"/>
      <c r="K544" s="20"/>
      <c r="L544" s="20"/>
      <c r="M544" s="41" t="n">
        <f aca="false">E544*F544+G544*H544+I544*J544+K544*L544</f>
        <v>11.55</v>
      </c>
      <c r="N544" s="41" t="n">
        <f aca="false">Исходные!$B$15-M544</f>
        <v>0.15</v>
      </c>
      <c r="O544" s="55" t="n">
        <v>8</v>
      </c>
      <c r="P544" s="53" t="n">
        <f aca="false">(F544+H544+J544+L544)*O544</f>
        <v>24</v>
      </c>
      <c r="Q544" s="74" t="n">
        <f aca="false">M544*O544</f>
        <v>92.4</v>
      </c>
      <c r="R544" s="74" t="n">
        <f aca="false">N544*O544</f>
        <v>1.2</v>
      </c>
    </row>
    <row r="545" customFormat="false" ht="15" hidden="false" customHeight="false" outlineLevel="0" collapsed="false">
      <c r="A545" s="53" t="n">
        <v>3</v>
      </c>
      <c r="B545" s="53" t="n">
        <v>10</v>
      </c>
      <c r="C545" s="76" t="s">
        <v>512</v>
      </c>
      <c r="D545" s="53" t="n">
        <v>18</v>
      </c>
      <c r="E545" s="73" t="n">
        <v>7.97</v>
      </c>
      <c r="F545" s="55" t="n">
        <v>1</v>
      </c>
      <c r="G545" s="73" t="n">
        <v>3</v>
      </c>
      <c r="H545" s="55" t="n">
        <v>1</v>
      </c>
      <c r="I545" s="73" t="n">
        <v>0.57</v>
      </c>
      <c r="J545" s="55" t="n">
        <v>1</v>
      </c>
      <c r="K545" s="20"/>
      <c r="L545" s="20"/>
      <c r="M545" s="41" t="n">
        <f aca="false">E545*F545+G545*H545+I545*J545+K545*L545</f>
        <v>11.54</v>
      </c>
      <c r="N545" s="41" t="n">
        <f aca="false">Исходные!$B$15-M545</f>
        <v>0.16</v>
      </c>
      <c r="O545" s="55" t="n">
        <v>8</v>
      </c>
      <c r="P545" s="53" t="n">
        <f aca="false">(F545+H545+J545+L545)*O545</f>
        <v>24</v>
      </c>
      <c r="Q545" s="74" t="n">
        <f aca="false">M545*O545</f>
        <v>92.32</v>
      </c>
      <c r="R545" s="74" t="n">
        <f aca="false">N545*O545</f>
        <v>1.28</v>
      </c>
    </row>
    <row r="546" customFormat="false" ht="15" hidden="false" customHeight="false" outlineLevel="0" collapsed="false">
      <c r="A546" s="53" t="n">
        <v>3</v>
      </c>
      <c r="B546" s="53" t="n">
        <v>10</v>
      </c>
      <c r="C546" s="76" t="s">
        <v>512</v>
      </c>
      <c r="D546" s="53" t="n">
        <v>19</v>
      </c>
      <c r="E546" s="73" t="n">
        <v>7.95</v>
      </c>
      <c r="F546" s="55" t="n">
        <v>1</v>
      </c>
      <c r="G546" s="73" t="n">
        <v>3</v>
      </c>
      <c r="H546" s="55" t="n">
        <v>1</v>
      </c>
      <c r="I546" s="73" t="n">
        <v>0.57</v>
      </c>
      <c r="J546" s="55" t="n">
        <v>1</v>
      </c>
      <c r="K546" s="20"/>
      <c r="L546" s="20"/>
      <c r="M546" s="41" t="n">
        <f aca="false">E546*F546+G546*H546+I546*J546+K546*L546</f>
        <v>11.52</v>
      </c>
      <c r="N546" s="41" t="n">
        <f aca="false">Исходные!$B$15-M546</f>
        <v>0.18</v>
      </c>
      <c r="O546" s="55" t="n">
        <v>18</v>
      </c>
      <c r="P546" s="53" t="n">
        <f aca="false">(F546+H546+J546+L546)*O546</f>
        <v>54</v>
      </c>
      <c r="Q546" s="74" t="n">
        <f aca="false">M546*O546</f>
        <v>207.36</v>
      </c>
      <c r="R546" s="74" t="n">
        <f aca="false">N546*O546</f>
        <v>3.24</v>
      </c>
    </row>
    <row r="547" customFormat="false" ht="15" hidden="false" customHeight="false" outlineLevel="0" collapsed="false">
      <c r="A547" s="53" t="n">
        <v>3</v>
      </c>
      <c r="B547" s="53" t="n">
        <v>10</v>
      </c>
      <c r="C547" s="76" t="s">
        <v>512</v>
      </c>
      <c r="D547" s="53" t="n">
        <v>20</v>
      </c>
      <c r="E547" s="73" t="n">
        <v>9.3</v>
      </c>
      <c r="F547" s="55" t="n">
        <v>1</v>
      </c>
      <c r="G547" s="73" t="n">
        <v>2.2</v>
      </c>
      <c r="H547" s="55" t="n">
        <v>1</v>
      </c>
      <c r="I547" s="20"/>
      <c r="J547" s="20"/>
      <c r="K547" s="20"/>
      <c r="L547" s="20"/>
      <c r="M547" s="41" t="n">
        <f aca="false">E547*F547+G547*H547+I547*J547+K547*L547</f>
        <v>11.5</v>
      </c>
      <c r="N547" s="41" t="n">
        <f aca="false">Исходные!$B$15-M547</f>
        <v>0.199999999999999</v>
      </c>
      <c r="O547" s="55" t="n">
        <v>71</v>
      </c>
      <c r="P547" s="53" t="n">
        <f aca="false">(F547+H547+J547+L547)*O547</f>
        <v>142</v>
      </c>
      <c r="Q547" s="74" t="n">
        <f aca="false">M547*O547</f>
        <v>816.5</v>
      </c>
      <c r="R547" s="74" t="n">
        <f aca="false">N547*O547</f>
        <v>14.2</v>
      </c>
    </row>
    <row r="548" customFormat="false" ht="15" hidden="false" customHeight="false" outlineLevel="0" collapsed="false">
      <c r="A548" s="53" t="n">
        <v>3</v>
      </c>
      <c r="B548" s="53" t="n">
        <v>10</v>
      </c>
      <c r="C548" s="76" t="s">
        <v>512</v>
      </c>
      <c r="D548" s="53" t="n">
        <v>21</v>
      </c>
      <c r="E548" s="73" t="n">
        <v>7.71</v>
      </c>
      <c r="F548" s="55" t="n">
        <v>1</v>
      </c>
      <c r="G548" s="73" t="n">
        <v>3.78</v>
      </c>
      <c r="H548" s="55" t="n">
        <v>1</v>
      </c>
      <c r="I548" s="20"/>
      <c r="J548" s="20"/>
      <c r="K548" s="20"/>
      <c r="L548" s="20"/>
      <c r="M548" s="41" t="n">
        <f aca="false">E548*F548+G548*H548+I548*J548+K548*L548</f>
        <v>11.49</v>
      </c>
      <c r="N548" s="41" t="n">
        <f aca="false">Исходные!$B$15-M548</f>
        <v>0.209999999999999</v>
      </c>
      <c r="O548" s="55" t="n">
        <v>4</v>
      </c>
      <c r="P548" s="53" t="n">
        <f aca="false">(F548+H548+J548+L548)*O548</f>
        <v>8</v>
      </c>
      <c r="Q548" s="74" t="n">
        <f aca="false">M548*O548</f>
        <v>45.96</v>
      </c>
      <c r="R548" s="74" t="n">
        <f aca="false">N548*O548</f>
        <v>0.839999999999996</v>
      </c>
    </row>
    <row r="549" customFormat="false" ht="15" hidden="false" customHeight="false" outlineLevel="0" collapsed="false">
      <c r="A549" s="53" t="n">
        <v>3</v>
      </c>
      <c r="B549" s="53" t="n">
        <v>10</v>
      </c>
      <c r="C549" s="76" t="s">
        <v>512</v>
      </c>
      <c r="D549" s="53" t="n">
        <v>22</v>
      </c>
      <c r="E549" s="73" t="n">
        <v>10.9</v>
      </c>
      <c r="F549" s="55" t="n">
        <v>1</v>
      </c>
      <c r="G549" s="73" t="n">
        <v>0.57</v>
      </c>
      <c r="H549" s="55" t="n">
        <v>1</v>
      </c>
      <c r="I549" s="20"/>
      <c r="J549" s="20"/>
      <c r="K549" s="20"/>
      <c r="L549" s="20"/>
      <c r="M549" s="41" t="n">
        <f aca="false">E549*F549+G549*H549+I549*J549+K549*L549</f>
        <v>11.47</v>
      </c>
      <c r="N549" s="41" t="n">
        <f aca="false">Исходные!$B$15-M549</f>
        <v>0.229999999999999</v>
      </c>
      <c r="O549" s="55" t="n">
        <v>2</v>
      </c>
      <c r="P549" s="53" t="n">
        <f aca="false">(F549+H549+J549+L549)*O549</f>
        <v>4</v>
      </c>
      <c r="Q549" s="74" t="n">
        <f aca="false">M549*O549</f>
        <v>22.94</v>
      </c>
      <c r="R549" s="74" t="n">
        <f aca="false">N549*O549</f>
        <v>0.459999999999997</v>
      </c>
    </row>
    <row r="550" customFormat="false" ht="15" hidden="false" customHeight="false" outlineLevel="0" collapsed="false">
      <c r="A550" s="53" t="n">
        <v>3</v>
      </c>
      <c r="B550" s="53" t="n">
        <v>10</v>
      </c>
      <c r="C550" s="76" t="s">
        <v>512</v>
      </c>
      <c r="D550" s="53" t="n">
        <v>23</v>
      </c>
      <c r="E550" s="73" t="n">
        <v>1.19</v>
      </c>
      <c r="F550" s="55" t="n">
        <v>1</v>
      </c>
      <c r="G550" s="73" t="n">
        <v>0.57</v>
      </c>
      <c r="H550" s="55" t="n">
        <v>18</v>
      </c>
      <c r="I550" s="20"/>
      <c r="J550" s="20"/>
      <c r="K550" s="20"/>
      <c r="L550" s="20"/>
      <c r="M550" s="41" t="n">
        <f aca="false">E550*F550+G550*H550+I550*J550+K550*L550</f>
        <v>11.45</v>
      </c>
      <c r="N550" s="41" t="n">
        <f aca="false">Исходные!$B$15-M550</f>
        <v>0.25</v>
      </c>
      <c r="O550" s="55" t="n">
        <v>1</v>
      </c>
      <c r="P550" s="53" t="n">
        <f aca="false">(F550+H550+J550+L550)*O550</f>
        <v>19</v>
      </c>
      <c r="Q550" s="74" t="n">
        <f aca="false">M550*O550</f>
        <v>11.45</v>
      </c>
      <c r="R550" s="74" t="n">
        <f aca="false">N550*O550</f>
        <v>0.25</v>
      </c>
    </row>
    <row r="551" customFormat="false" ht="15" hidden="false" customHeight="false" outlineLevel="0" collapsed="false">
      <c r="A551" s="53" t="n">
        <v>3</v>
      </c>
      <c r="B551" s="53" t="n">
        <v>10</v>
      </c>
      <c r="C551" s="76" t="s">
        <v>512</v>
      </c>
      <c r="D551" s="53" t="n">
        <v>24</v>
      </c>
      <c r="E551" s="73" t="n">
        <v>1.25</v>
      </c>
      <c r="F551" s="55" t="n">
        <v>1</v>
      </c>
      <c r="G551" s="73" t="n">
        <v>1.2</v>
      </c>
      <c r="H551" s="55" t="n">
        <v>8</v>
      </c>
      <c r="I551" s="73" t="n">
        <v>0.57</v>
      </c>
      <c r="J551" s="55" t="n">
        <v>1</v>
      </c>
      <c r="K551" s="20"/>
      <c r="L551" s="20"/>
      <c r="M551" s="41" t="n">
        <f aca="false">E551*F551+G551*H551+I551*J551+K551*L551</f>
        <v>11.42</v>
      </c>
      <c r="N551" s="41" t="n">
        <f aca="false">Исходные!$B$15-M551</f>
        <v>0.279999999999999</v>
      </c>
      <c r="O551" s="55" t="n">
        <v>1</v>
      </c>
      <c r="P551" s="53" t="n">
        <f aca="false">(F551+H551+J551+L551)*O551</f>
        <v>10</v>
      </c>
      <c r="Q551" s="74" t="n">
        <f aca="false">M551*O551</f>
        <v>11.42</v>
      </c>
      <c r="R551" s="74" t="n">
        <f aca="false">N551*O551</f>
        <v>0.279999999999999</v>
      </c>
    </row>
    <row r="552" customFormat="false" ht="15" hidden="false" customHeight="false" outlineLevel="0" collapsed="false">
      <c r="A552" s="53" t="n">
        <v>3</v>
      </c>
      <c r="B552" s="53" t="n">
        <v>10</v>
      </c>
      <c r="C552" s="76" t="s">
        <v>512</v>
      </c>
      <c r="D552" s="53" t="n">
        <v>25</v>
      </c>
      <c r="E552" s="73" t="n">
        <v>0.57</v>
      </c>
      <c r="F552" s="55" t="n">
        <v>20</v>
      </c>
      <c r="G552" s="20"/>
      <c r="H552" s="20"/>
      <c r="I552" s="20"/>
      <c r="J552" s="20"/>
      <c r="K552" s="20"/>
      <c r="L552" s="20"/>
      <c r="M552" s="41" t="n">
        <f aca="false">E552*F552+G552*H552+I552*J552+K552*L552</f>
        <v>11.4</v>
      </c>
      <c r="N552" s="41" t="n">
        <f aca="false">Исходные!$B$15-M552</f>
        <v>0.300000000000001</v>
      </c>
      <c r="O552" s="55" t="n">
        <v>63</v>
      </c>
      <c r="P552" s="53" t="n">
        <f aca="false">(F552+H552+J552+L552)*O552</f>
        <v>1260</v>
      </c>
      <c r="Q552" s="74" t="n">
        <f aca="false">M552*O552</f>
        <v>718.2</v>
      </c>
      <c r="R552" s="74" t="n">
        <f aca="false">N552*O552</f>
        <v>18.9</v>
      </c>
    </row>
    <row r="553" customFormat="false" ht="15" hidden="false" customHeight="false" outlineLevel="0" collapsed="false">
      <c r="A553" s="53" t="n">
        <v>3</v>
      </c>
      <c r="B553" s="53" t="n">
        <v>10</v>
      </c>
      <c r="C553" s="76" t="s">
        <v>512</v>
      </c>
      <c r="D553" s="53" t="n">
        <v>26</v>
      </c>
      <c r="E553" s="73" t="n">
        <v>1.2</v>
      </c>
      <c r="F553" s="55" t="n">
        <v>9</v>
      </c>
      <c r="G553" s="73" t="n">
        <v>0.57</v>
      </c>
      <c r="H553" s="55" t="n">
        <v>1</v>
      </c>
      <c r="I553" s="20"/>
      <c r="J553" s="20"/>
      <c r="K553" s="20"/>
      <c r="L553" s="20"/>
      <c r="M553" s="41" t="n">
        <f aca="false">E553*F553+G553*H553+I553*J553+K553*L553</f>
        <v>11.37</v>
      </c>
      <c r="N553" s="41" t="n">
        <f aca="false">Исходные!$B$15-M553</f>
        <v>0.33</v>
      </c>
      <c r="O553" s="55" t="n">
        <v>17</v>
      </c>
      <c r="P553" s="53" t="n">
        <f aca="false">(F553+H553+J553+L553)*O553</f>
        <v>170</v>
      </c>
      <c r="Q553" s="74" t="n">
        <f aca="false">M553*O553</f>
        <v>193.29</v>
      </c>
      <c r="R553" s="74" t="n">
        <f aca="false">N553*O553</f>
        <v>5.61</v>
      </c>
    </row>
    <row r="554" customFormat="false" ht="15" hidden="false" customHeight="false" outlineLevel="0" collapsed="false">
      <c r="A554" s="53" t="n">
        <v>3</v>
      </c>
      <c r="B554" s="53" t="n">
        <v>10</v>
      </c>
      <c r="C554" s="76" t="s">
        <v>512</v>
      </c>
      <c r="D554" s="53" t="n">
        <v>27</v>
      </c>
      <c r="E554" s="73" t="n">
        <v>10.77</v>
      </c>
      <c r="F554" s="55" t="n">
        <v>1</v>
      </c>
      <c r="G554" s="73" t="n">
        <v>0.57</v>
      </c>
      <c r="H554" s="55" t="n">
        <v>1</v>
      </c>
      <c r="I554" s="20"/>
      <c r="J554" s="20"/>
      <c r="K554" s="20"/>
      <c r="L554" s="20"/>
      <c r="M554" s="41" t="n">
        <f aca="false">E554*F554+G554*H554+I554*J554+K554*L554</f>
        <v>11.34</v>
      </c>
      <c r="N554" s="41" t="n">
        <f aca="false">Исходные!$B$15-M554</f>
        <v>0.359999999999999</v>
      </c>
      <c r="O554" s="55" t="n">
        <v>2</v>
      </c>
      <c r="P554" s="53" t="n">
        <f aca="false">(F554+H554+J554+L554)*O554</f>
        <v>4</v>
      </c>
      <c r="Q554" s="74" t="n">
        <f aca="false">M554*O554</f>
        <v>22.68</v>
      </c>
      <c r="R554" s="74" t="n">
        <f aca="false">N554*O554</f>
        <v>0.719999999999999</v>
      </c>
    </row>
    <row r="555" customFormat="false" ht="15" hidden="false" customHeight="false" outlineLevel="0" collapsed="false">
      <c r="A555" s="53" t="n">
        <v>3</v>
      </c>
      <c r="B555" s="53" t="n">
        <v>10</v>
      </c>
      <c r="C555" s="76" t="s">
        <v>512</v>
      </c>
      <c r="D555" s="53" t="n">
        <v>28</v>
      </c>
      <c r="E555" s="73" t="n">
        <v>3.78</v>
      </c>
      <c r="F555" s="55" t="n">
        <v>3</v>
      </c>
      <c r="G555" s="20"/>
      <c r="H555" s="20"/>
      <c r="I555" s="20"/>
      <c r="J555" s="20"/>
      <c r="K555" s="20"/>
      <c r="L555" s="20"/>
      <c r="M555" s="41" t="n">
        <f aca="false">E555*F555+G555*H555+I555*J555+K555*L555</f>
        <v>11.34</v>
      </c>
      <c r="N555" s="41" t="n">
        <f aca="false">Исходные!$B$15-M555</f>
        <v>0.359999999999999</v>
      </c>
      <c r="O555" s="55" t="n">
        <v>4</v>
      </c>
      <c r="P555" s="53" t="n">
        <f aca="false">(F555+H555+J555+L555)*O555</f>
        <v>12</v>
      </c>
      <c r="Q555" s="74" t="n">
        <f aca="false">M555*O555</f>
        <v>45.36</v>
      </c>
      <c r="R555" s="74" t="n">
        <f aca="false">N555*O555</f>
        <v>1.44</v>
      </c>
    </row>
    <row r="556" customFormat="false" ht="15" hidden="false" customHeight="false" outlineLevel="0" collapsed="false">
      <c r="A556" s="53" t="n">
        <v>3</v>
      </c>
      <c r="B556" s="53" t="n">
        <v>10</v>
      </c>
      <c r="C556" s="76" t="s">
        <v>512</v>
      </c>
      <c r="D556" s="53" t="n">
        <v>29</v>
      </c>
      <c r="E556" s="73" t="n">
        <v>1.2</v>
      </c>
      <c r="F556" s="55" t="n">
        <v>5</v>
      </c>
      <c r="G556" s="73" t="n">
        <v>1.19</v>
      </c>
      <c r="H556" s="55" t="n">
        <v>4</v>
      </c>
      <c r="I556" s="73" t="n">
        <v>0.57</v>
      </c>
      <c r="J556" s="55" t="n">
        <v>1</v>
      </c>
      <c r="K556" s="20"/>
      <c r="L556" s="20"/>
      <c r="M556" s="41" t="n">
        <f aca="false">E556*F556+G556*H556+I556*J556+K556*L556</f>
        <v>11.33</v>
      </c>
      <c r="N556" s="41" t="n">
        <f aca="false">Исходные!$B$15-M556</f>
        <v>0.369999999999999</v>
      </c>
      <c r="O556" s="55" t="n">
        <v>1</v>
      </c>
      <c r="P556" s="53" t="n">
        <f aca="false">(F556+H556+J556+L556)*O556</f>
        <v>10</v>
      </c>
      <c r="Q556" s="74" t="n">
        <f aca="false">M556*O556</f>
        <v>11.33</v>
      </c>
      <c r="R556" s="74" t="n">
        <f aca="false">N556*O556</f>
        <v>0.369999999999999</v>
      </c>
    </row>
    <row r="557" customFormat="false" ht="15" hidden="false" customHeight="false" outlineLevel="0" collapsed="false">
      <c r="A557" s="53" t="n">
        <v>3</v>
      </c>
      <c r="B557" s="53" t="n">
        <v>10</v>
      </c>
      <c r="C557" s="76" t="s">
        <v>512</v>
      </c>
      <c r="D557" s="53" t="n">
        <v>30</v>
      </c>
      <c r="E557" s="73" t="n">
        <v>9.3</v>
      </c>
      <c r="F557" s="55" t="n">
        <v>1</v>
      </c>
      <c r="G557" s="73" t="n">
        <v>2</v>
      </c>
      <c r="H557" s="55" t="n">
        <v>1</v>
      </c>
      <c r="I557" s="20"/>
      <c r="J557" s="20"/>
      <c r="K557" s="20"/>
      <c r="L557" s="20"/>
      <c r="M557" s="41" t="n">
        <f aca="false">E557*F557+G557*H557+I557*J557+K557*L557</f>
        <v>11.3</v>
      </c>
      <c r="N557" s="41" t="n">
        <f aca="false">Исходные!$B$15-M557</f>
        <v>0.399999999999999</v>
      </c>
      <c r="O557" s="55" t="n">
        <v>11</v>
      </c>
      <c r="P557" s="53" t="n">
        <f aca="false">(F557+H557+J557+L557)*O557</f>
        <v>22</v>
      </c>
      <c r="Q557" s="74" t="n">
        <f aca="false">M557*O557</f>
        <v>124.3</v>
      </c>
      <c r="R557" s="74" t="n">
        <f aca="false">N557*O557</f>
        <v>4.39999999999998</v>
      </c>
    </row>
    <row r="558" customFormat="false" ht="15" hidden="false" customHeight="false" outlineLevel="0" collapsed="false">
      <c r="A558" s="53" t="n">
        <v>3</v>
      </c>
      <c r="B558" s="53" t="n">
        <v>10</v>
      </c>
      <c r="C558" s="76" t="s">
        <v>512</v>
      </c>
      <c r="D558" s="53" t="n">
        <v>31</v>
      </c>
      <c r="E558" s="73" t="n">
        <v>4.15</v>
      </c>
      <c r="F558" s="55" t="n">
        <v>2</v>
      </c>
      <c r="G558" s="73" t="n">
        <v>3</v>
      </c>
      <c r="H558" s="55" t="n">
        <v>1</v>
      </c>
      <c r="I558" s="20"/>
      <c r="J558" s="20"/>
      <c r="K558" s="20"/>
      <c r="L558" s="20"/>
      <c r="M558" s="41" t="n">
        <f aca="false">E558*F558+G558*H558+I558*J558+K558*L558</f>
        <v>11.3</v>
      </c>
      <c r="N558" s="41" t="n">
        <f aca="false">Исходные!$B$15-M558</f>
        <v>0.399999999999999</v>
      </c>
      <c r="O558" s="55" t="n">
        <v>18</v>
      </c>
      <c r="P558" s="53" t="n">
        <f aca="false">(F558+H558+J558+L558)*O558</f>
        <v>54</v>
      </c>
      <c r="Q558" s="74" t="n">
        <f aca="false">M558*O558</f>
        <v>203.4</v>
      </c>
      <c r="R558" s="74" t="n">
        <f aca="false">N558*O558</f>
        <v>7.19999999999997</v>
      </c>
    </row>
    <row r="559" customFormat="false" ht="15" hidden="false" customHeight="false" outlineLevel="0" collapsed="false">
      <c r="A559" s="53" t="n">
        <v>3</v>
      </c>
      <c r="B559" s="53" t="n">
        <v>10</v>
      </c>
      <c r="C559" s="76" t="s">
        <v>512</v>
      </c>
      <c r="D559" s="53" t="n">
        <v>32</v>
      </c>
      <c r="E559" s="73" t="n">
        <v>1.19</v>
      </c>
      <c r="F559" s="55" t="n">
        <v>9</v>
      </c>
      <c r="G559" s="73" t="n">
        <v>0.57</v>
      </c>
      <c r="H559" s="55" t="n">
        <v>1</v>
      </c>
      <c r="I559" s="20"/>
      <c r="J559" s="20"/>
      <c r="K559" s="20"/>
      <c r="L559" s="20"/>
      <c r="M559" s="41" t="n">
        <f aca="false">E559*F559+G559*H559+I559*J559+K559*L559</f>
        <v>11.28</v>
      </c>
      <c r="N559" s="41" t="n">
        <f aca="false">Исходные!$B$15-M559</f>
        <v>0.42</v>
      </c>
      <c r="O559" s="55" t="n">
        <v>19</v>
      </c>
      <c r="P559" s="53" t="n">
        <f aca="false">(F559+H559+J559+L559)*O559</f>
        <v>190</v>
      </c>
      <c r="Q559" s="74" t="n">
        <f aca="false">M559*O559</f>
        <v>214.32</v>
      </c>
      <c r="R559" s="74" t="n">
        <f aca="false">N559*O559</f>
        <v>7.98</v>
      </c>
    </row>
    <row r="560" customFormat="false" ht="15" hidden="false" customHeight="false" outlineLevel="0" collapsed="false">
      <c r="A560" s="53" t="n">
        <v>3</v>
      </c>
      <c r="B560" s="53" t="n">
        <v>10</v>
      </c>
      <c r="C560" s="76" t="s">
        <v>512</v>
      </c>
      <c r="D560" s="53" t="n">
        <v>33</v>
      </c>
      <c r="E560" s="73" t="n">
        <v>1.25</v>
      </c>
      <c r="F560" s="55" t="n">
        <v>9</v>
      </c>
      <c r="G560" s="20"/>
      <c r="H560" s="20"/>
      <c r="I560" s="20"/>
      <c r="J560" s="20"/>
      <c r="K560" s="20"/>
      <c r="L560" s="20"/>
      <c r="M560" s="41" t="n">
        <f aca="false">E560*F560+G560*H560+I560*J560+K560*L560</f>
        <v>11.25</v>
      </c>
      <c r="N560" s="41" t="n">
        <f aca="false">Исходные!$B$15-M560</f>
        <v>0.449999999999999</v>
      </c>
      <c r="O560" s="55" t="n">
        <v>1</v>
      </c>
      <c r="P560" s="53" t="n">
        <f aca="false">(F560+H560+J560+L560)*O560</f>
        <v>9</v>
      </c>
      <c r="Q560" s="74" t="n">
        <f aca="false">M560*O560</f>
        <v>11.25</v>
      </c>
      <c r="R560" s="74" t="n">
        <f aca="false">N560*O560</f>
        <v>0.449999999999999</v>
      </c>
    </row>
    <row r="561" customFormat="false" ht="15" hidden="false" customHeight="false" outlineLevel="0" collapsed="false">
      <c r="A561" s="53" t="n">
        <v>3</v>
      </c>
      <c r="B561" s="53" t="n">
        <v>10</v>
      </c>
      <c r="C561" s="76" t="s">
        <v>512</v>
      </c>
      <c r="D561" s="53" t="n">
        <v>34</v>
      </c>
      <c r="E561" s="73" t="n">
        <v>9.18</v>
      </c>
      <c r="F561" s="55" t="n">
        <v>1</v>
      </c>
      <c r="G561" s="73" t="n">
        <v>1.45</v>
      </c>
      <c r="H561" s="55" t="n">
        <v>1</v>
      </c>
      <c r="I561" s="73" t="n">
        <v>0.57</v>
      </c>
      <c r="J561" s="55" t="n">
        <v>1</v>
      </c>
      <c r="K561" s="20"/>
      <c r="L561" s="20"/>
      <c r="M561" s="41" t="n">
        <f aca="false">E561*F561+G561*H561+I561*J561+K561*L561</f>
        <v>11.2</v>
      </c>
      <c r="N561" s="41" t="n">
        <f aca="false">Исходные!$B$15-M561</f>
        <v>0.5</v>
      </c>
      <c r="O561" s="55" t="n">
        <v>1</v>
      </c>
      <c r="P561" s="53" t="n">
        <f aca="false">(F561+H561+J561+L561)*O561</f>
        <v>3</v>
      </c>
      <c r="Q561" s="74" t="n">
        <f aca="false">M561*O561</f>
        <v>11.2</v>
      </c>
      <c r="R561" s="74" t="n">
        <f aca="false">N561*O561</f>
        <v>0.5</v>
      </c>
    </row>
    <row r="562" customFormat="false" ht="15" hidden="false" customHeight="false" outlineLevel="0" collapsed="false">
      <c r="A562" s="53" t="n">
        <v>3</v>
      </c>
      <c r="B562" s="53" t="n">
        <v>10</v>
      </c>
      <c r="C562" s="76" t="s">
        <v>512</v>
      </c>
      <c r="D562" s="53" t="n">
        <v>35</v>
      </c>
      <c r="E562" s="73" t="n">
        <v>3</v>
      </c>
      <c r="F562" s="55" t="n">
        <v>2</v>
      </c>
      <c r="G562" s="73" t="n">
        <v>2.6</v>
      </c>
      <c r="H562" s="55" t="n">
        <v>2</v>
      </c>
      <c r="I562" s="20"/>
      <c r="J562" s="20"/>
      <c r="K562" s="20"/>
      <c r="L562" s="20"/>
      <c r="M562" s="41" t="n">
        <f aca="false">E562*F562+G562*H562+I562*J562+K562*L562</f>
        <v>11.2</v>
      </c>
      <c r="N562" s="41" t="n">
        <f aca="false">Исходные!$B$15-M562</f>
        <v>0.5</v>
      </c>
      <c r="O562" s="55" t="n">
        <v>1</v>
      </c>
      <c r="P562" s="53" t="n">
        <f aca="false">(F562+H562+J562+L562)*O562</f>
        <v>4</v>
      </c>
      <c r="Q562" s="74" t="n">
        <f aca="false">M562*O562</f>
        <v>11.2</v>
      </c>
      <c r="R562" s="74" t="n">
        <f aca="false">N562*O562</f>
        <v>0.5</v>
      </c>
    </row>
    <row r="563" customFormat="false" ht="15" hidden="false" customHeight="false" outlineLevel="0" collapsed="false">
      <c r="A563" s="53" t="n">
        <v>3</v>
      </c>
      <c r="B563" s="53" t="n">
        <v>10</v>
      </c>
      <c r="C563" s="76" t="s">
        <v>512</v>
      </c>
      <c r="D563" s="53" t="n">
        <v>36</v>
      </c>
      <c r="E563" s="73" t="n">
        <v>9.18</v>
      </c>
      <c r="F563" s="55" t="n">
        <v>1</v>
      </c>
      <c r="G563" s="73" t="n">
        <v>2</v>
      </c>
      <c r="H563" s="55" t="n">
        <v>1</v>
      </c>
      <c r="I563" s="20"/>
      <c r="J563" s="20"/>
      <c r="K563" s="20"/>
      <c r="L563" s="20"/>
      <c r="M563" s="41" t="n">
        <f aca="false">E563*F563+G563*H563+I563*J563+K563*L563</f>
        <v>11.18</v>
      </c>
      <c r="N563" s="41" t="n">
        <f aca="false">Исходные!$B$15-M563</f>
        <v>0.52</v>
      </c>
      <c r="O563" s="55" t="n">
        <v>14</v>
      </c>
      <c r="P563" s="53" t="n">
        <f aca="false">(F563+H563+J563+L563)*O563</f>
        <v>28</v>
      </c>
      <c r="Q563" s="74" t="n">
        <f aca="false">M563*O563</f>
        <v>156.52</v>
      </c>
      <c r="R563" s="74" t="n">
        <f aca="false">N563*O563</f>
        <v>7.27999999999999</v>
      </c>
    </row>
    <row r="564" customFormat="false" ht="15" hidden="false" customHeight="false" outlineLevel="0" collapsed="false">
      <c r="A564" s="53" t="n">
        <v>3</v>
      </c>
      <c r="B564" s="53" t="n">
        <v>10</v>
      </c>
      <c r="C564" s="76" t="s">
        <v>512</v>
      </c>
      <c r="D564" s="53" t="n">
        <v>37</v>
      </c>
      <c r="E564" s="73" t="n">
        <v>9.18</v>
      </c>
      <c r="F564" s="55" t="n">
        <v>1</v>
      </c>
      <c r="G564" s="73" t="n">
        <v>1.4</v>
      </c>
      <c r="H564" s="55" t="n">
        <v>1</v>
      </c>
      <c r="I564" s="73" t="n">
        <v>0.57</v>
      </c>
      <c r="J564" s="55" t="n">
        <v>1</v>
      </c>
      <c r="K564" s="20"/>
      <c r="L564" s="20"/>
      <c r="M564" s="41" t="n">
        <f aca="false">E564*F564+G564*H564+I564*J564+K564*L564</f>
        <v>11.15</v>
      </c>
      <c r="N564" s="41" t="n">
        <f aca="false">Исходные!$B$15-M564</f>
        <v>0.549999999999999</v>
      </c>
      <c r="O564" s="55" t="n">
        <v>22</v>
      </c>
      <c r="P564" s="53" t="n">
        <f aca="false">(F564+H564+J564+L564)*O564</f>
        <v>66</v>
      </c>
      <c r="Q564" s="74" t="n">
        <f aca="false">M564*O564</f>
        <v>245.3</v>
      </c>
      <c r="R564" s="74" t="n">
        <f aca="false">N564*O564</f>
        <v>12.1</v>
      </c>
    </row>
    <row r="565" customFormat="false" ht="15" hidden="false" customHeight="false" outlineLevel="0" collapsed="false">
      <c r="A565" s="53" t="n">
        <v>3</v>
      </c>
      <c r="B565" s="53" t="n">
        <v>16</v>
      </c>
      <c r="C565" s="76" t="s">
        <v>546</v>
      </c>
      <c r="D565" s="53" t="n">
        <v>1</v>
      </c>
      <c r="E565" s="73" t="n">
        <v>0.42</v>
      </c>
      <c r="F565" s="55" t="n">
        <v>2</v>
      </c>
      <c r="G565" s="20"/>
      <c r="H565" s="20"/>
      <c r="I565" s="20"/>
      <c r="J565" s="20"/>
      <c r="K565" s="20"/>
      <c r="L565" s="20"/>
      <c r="M565" s="41" t="n">
        <f aca="false">E565*F565+G565*H565+I565*J565+K565*L565</f>
        <v>0.84</v>
      </c>
      <c r="N565" s="41" t="n">
        <f aca="false">Исходные!$B$15-M565</f>
        <v>10.86</v>
      </c>
      <c r="O565" s="55" t="n">
        <v>1</v>
      </c>
      <c r="P565" s="53" t="n">
        <f aca="false">(F565+H565+J565+L565)*O565</f>
        <v>2</v>
      </c>
      <c r="Q565" s="74" t="n">
        <f aca="false">M565*O565</f>
        <v>0.84</v>
      </c>
      <c r="R565" s="74" t="n">
        <f aca="false">N565*O565</f>
        <v>10.86</v>
      </c>
    </row>
    <row r="566" customFormat="false" ht="15" hidden="false" customHeight="false" outlineLevel="0" collapsed="false">
      <c r="A566" s="53" t="n">
        <v>3</v>
      </c>
      <c r="B566" s="53" t="n">
        <v>10</v>
      </c>
      <c r="C566" s="76" t="s">
        <v>546</v>
      </c>
      <c r="D566" s="53" t="n">
        <v>1</v>
      </c>
      <c r="E566" s="73" t="n">
        <v>0.52</v>
      </c>
      <c r="F566" s="55" t="n">
        <v>20</v>
      </c>
      <c r="G566" s="73" t="n">
        <v>0.42</v>
      </c>
      <c r="H566" s="55" t="n">
        <v>3</v>
      </c>
      <c r="I566" s="20"/>
      <c r="J566" s="20"/>
      <c r="K566" s="20"/>
      <c r="L566" s="20"/>
      <c r="M566" s="41" t="n">
        <f aca="false">E566*F566+G566*H566+I566*J566+K566*L566</f>
        <v>11.66</v>
      </c>
      <c r="N566" s="41" t="n">
        <f aca="false">Исходные!$B$15-M566</f>
        <v>0.0399999999999992</v>
      </c>
      <c r="O566" s="55" t="n">
        <v>1</v>
      </c>
      <c r="P566" s="53" t="n">
        <f aca="false">(F566+H566+J566+L566)*O566</f>
        <v>23</v>
      </c>
      <c r="Q566" s="74" t="n">
        <f aca="false">M566*O566</f>
        <v>11.66</v>
      </c>
      <c r="R566" s="74" t="n">
        <f aca="false">N566*O566</f>
        <v>0.0399999999999992</v>
      </c>
    </row>
    <row r="567" customFormat="false" ht="15" hidden="false" customHeight="false" outlineLevel="0" collapsed="false">
      <c r="A567" s="53" t="n">
        <v>3</v>
      </c>
      <c r="B567" s="53" t="n">
        <v>10</v>
      </c>
      <c r="C567" s="76" t="s">
        <v>546</v>
      </c>
      <c r="D567" s="53" t="n">
        <v>2</v>
      </c>
      <c r="E567" s="73" t="n">
        <v>2.06</v>
      </c>
      <c r="F567" s="55" t="n">
        <v>5</v>
      </c>
      <c r="G567" s="73" t="n">
        <v>1.33</v>
      </c>
      <c r="H567" s="55" t="n">
        <v>1</v>
      </c>
      <c r="I567" s="20"/>
      <c r="J567" s="20"/>
      <c r="K567" s="20"/>
      <c r="L567" s="20"/>
      <c r="M567" s="41" t="n">
        <f aca="false">E567*F567+G567*H567+I567*J567+K567*L567</f>
        <v>11.63</v>
      </c>
      <c r="N567" s="41" t="n">
        <f aca="false">Исходные!$B$15-M567</f>
        <v>0.0699999999999985</v>
      </c>
      <c r="O567" s="55" t="n">
        <v>135</v>
      </c>
      <c r="P567" s="53" t="n">
        <f aca="false">(F567+H567+J567+L567)*O567</f>
        <v>810</v>
      </c>
      <c r="Q567" s="74" t="n">
        <f aca="false">M567*O567</f>
        <v>1570.05</v>
      </c>
      <c r="R567" s="74" t="n">
        <f aca="false">N567*O567</f>
        <v>9.4499999999998</v>
      </c>
    </row>
    <row r="568" customFormat="false" ht="15" hidden="false" customHeight="false" outlineLevel="0" collapsed="false">
      <c r="A568" s="53" t="n">
        <v>3</v>
      </c>
      <c r="B568" s="53" t="n">
        <v>10</v>
      </c>
      <c r="C568" s="76" t="s">
        <v>546</v>
      </c>
      <c r="D568" s="53" t="n">
        <v>3</v>
      </c>
      <c r="E568" s="73" t="n">
        <v>1.6</v>
      </c>
      <c r="F568" s="55" t="n">
        <v>7</v>
      </c>
      <c r="G568" s="73" t="n">
        <v>0.42</v>
      </c>
      <c r="H568" s="55" t="n">
        <v>1</v>
      </c>
      <c r="I568" s="20"/>
      <c r="J568" s="20"/>
      <c r="K568" s="20"/>
      <c r="L568" s="20"/>
      <c r="M568" s="41" t="n">
        <f aca="false">E568*F568+G568*H568+I568*J568+K568*L568</f>
        <v>11.62</v>
      </c>
      <c r="N568" s="41" t="n">
        <f aca="false">Исходные!$B$15-M568</f>
        <v>0.0799999999999983</v>
      </c>
      <c r="O568" s="55" t="n">
        <v>49</v>
      </c>
      <c r="P568" s="53" t="n">
        <f aca="false">(F568+H568+J568+L568)*O568</f>
        <v>392</v>
      </c>
      <c r="Q568" s="74" t="n">
        <f aca="false">M568*O568</f>
        <v>569.38</v>
      </c>
      <c r="R568" s="74" t="n">
        <f aca="false">N568*O568</f>
        <v>3.91999999999992</v>
      </c>
    </row>
    <row r="569" customFormat="false" ht="15" hidden="false" customHeight="false" outlineLevel="0" collapsed="false">
      <c r="A569" s="53" t="n">
        <v>3</v>
      </c>
      <c r="B569" s="53" t="n">
        <v>10</v>
      </c>
      <c r="C569" s="76" t="s">
        <v>546</v>
      </c>
      <c r="D569" s="53" t="n">
        <v>4</v>
      </c>
      <c r="E569" s="73" t="n">
        <v>0.7</v>
      </c>
      <c r="F569" s="55" t="n">
        <v>16</v>
      </c>
      <c r="G569" s="73" t="n">
        <v>0.42</v>
      </c>
      <c r="H569" s="55" t="n">
        <v>1</v>
      </c>
      <c r="I569" s="20"/>
      <c r="J569" s="20"/>
      <c r="K569" s="20"/>
      <c r="L569" s="20"/>
      <c r="M569" s="41" t="n">
        <f aca="false">E569*F569+G569*H569+I569*J569+K569*L569</f>
        <v>11.62</v>
      </c>
      <c r="N569" s="41" t="n">
        <f aca="false">Исходные!$B$15-M569</f>
        <v>0.0800000000000001</v>
      </c>
      <c r="O569" s="55" t="n">
        <v>6</v>
      </c>
      <c r="P569" s="53" t="n">
        <f aca="false">(F569+H569+J569+L569)*O569</f>
        <v>102</v>
      </c>
      <c r="Q569" s="74" t="n">
        <f aca="false">M569*O569</f>
        <v>69.72</v>
      </c>
      <c r="R569" s="74" t="n">
        <f aca="false">N569*O569</f>
        <v>0.48</v>
      </c>
    </row>
    <row r="570" customFormat="false" ht="15" hidden="false" customHeight="false" outlineLevel="0" collapsed="false">
      <c r="A570" s="53" t="n">
        <v>3</v>
      </c>
      <c r="B570" s="53" t="n">
        <v>10</v>
      </c>
      <c r="C570" s="76" t="s">
        <v>546</v>
      </c>
      <c r="D570" s="53" t="n">
        <v>5</v>
      </c>
      <c r="E570" s="73" t="n">
        <v>0.7</v>
      </c>
      <c r="F570" s="55" t="n">
        <v>15</v>
      </c>
      <c r="G570" s="73" t="n">
        <v>0.52</v>
      </c>
      <c r="H570" s="55" t="n">
        <v>2</v>
      </c>
      <c r="I570" s="20"/>
      <c r="J570" s="20"/>
      <c r="K570" s="20"/>
      <c r="L570" s="20"/>
      <c r="M570" s="41" t="n">
        <f aca="false">E570*F570+G570*H570+I570*J570+K570*L570</f>
        <v>11.54</v>
      </c>
      <c r="N570" s="41" t="n">
        <f aca="false">Исходные!$B$15-M570</f>
        <v>0.16</v>
      </c>
      <c r="O570" s="55" t="n">
        <v>1</v>
      </c>
      <c r="P570" s="53" t="n">
        <f aca="false">(F570+H570+J570+L570)*O570</f>
        <v>17</v>
      </c>
      <c r="Q570" s="74" t="n">
        <f aca="false">M570*O570</f>
        <v>11.54</v>
      </c>
      <c r="R570" s="74" t="n">
        <f aca="false">N570*O570</f>
        <v>0.16</v>
      </c>
    </row>
    <row r="571" customFormat="false" ht="15" hidden="false" customHeight="false" outlineLevel="0" collapsed="false">
      <c r="A571" s="53" t="n">
        <v>3</v>
      </c>
      <c r="B571" s="53" t="n">
        <v>10</v>
      </c>
      <c r="C571" s="76" t="s">
        <v>546</v>
      </c>
      <c r="D571" s="53" t="n">
        <v>6</v>
      </c>
      <c r="E571" s="73" t="n">
        <v>0.52</v>
      </c>
      <c r="F571" s="55" t="n">
        <v>22</v>
      </c>
      <c r="G571" s="20"/>
      <c r="H571" s="20"/>
      <c r="I571" s="20"/>
      <c r="J571" s="20"/>
      <c r="K571" s="20"/>
      <c r="L571" s="20"/>
      <c r="M571" s="41" t="n">
        <f aca="false">E571*F571+G571*H571+I571*J571+K571*L571</f>
        <v>11.44</v>
      </c>
      <c r="N571" s="41" t="n">
        <f aca="false">Исходные!$B$15-M571</f>
        <v>0.259999999999998</v>
      </c>
      <c r="O571" s="55" t="n">
        <v>7</v>
      </c>
      <c r="P571" s="53" t="n">
        <f aca="false">(F571+H571+J571+L571)*O571</f>
        <v>154</v>
      </c>
      <c r="Q571" s="74" t="n">
        <f aca="false">M571*O571</f>
        <v>80.08</v>
      </c>
      <c r="R571" s="74" t="n">
        <f aca="false">N571*O571</f>
        <v>1.81999999999999</v>
      </c>
    </row>
    <row r="572" customFormat="false" ht="15" hidden="false" customHeight="false" outlineLevel="0" collapsed="false">
      <c r="A572" s="53" t="n">
        <v>3</v>
      </c>
      <c r="B572" s="53" t="n">
        <v>10</v>
      </c>
      <c r="C572" s="76" t="s">
        <v>546</v>
      </c>
      <c r="D572" s="53" t="n">
        <v>7</v>
      </c>
      <c r="E572" s="73" t="n">
        <v>1.33</v>
      </c>
      <c r="F572" s="55" t="n">
        <v>7</v>
      </c>
      <c r="G572" s="73" t="n">
        <v>0.7</v>
      </c>
      <c r="H572" s="55" t="n">
        <v>3</v>
      </c>
      <c r="I572" s="20"/>
      <c r="J572" s="20"/>
      <c r="K572" s="20"/>
      <c r="L572" s="20"/>
      <c r="M572" s="41" t="n">
        <f aca="false">E572*F572+G572*H572+I572*J572+K572*L572</f>
        <v>11.41</v>
      </c>
      <c r="N572" s="41" t="n">
        <f aca="false">Исходные!$B$15-M572</f>
        <v>0.289999999999999</v>
      </c>
      <c r="O572" s="55" t="n">
        <v>1</v>
      </c>
      <c r="P572" s="53" t="n">
        <f aca="false">(F572+H572+J572+L572)*O572</f>
        <v>10</v>
      </c>
      <c r="Q572" s="74" t="n">
        <f aca="false">M572*O572</f>
        <v>11.41</v>
      </c>
      <c r="R572" s="74" t="n">
        <f aca="false">N572*O572</f>
        <v>0.289999999999999</v>
      </c>
    </row>
    <row r="573" customFormat="false" ht="15" hidden="false" customHeight="false" outlineLevel="0" collapsed="false">
      <c r="A573" s="53" t="n">
        <v>3</v>
      </c>
      <c r="B573" s="53" t="n">
        <v>10</v>
      </c>
      <c r="C573" s="76" t="s">
        <v>546</v>
      </c>
      <c r="D573" s="53" t="n">
        <v>8</v>
      </c>
      <c r="E573" s="73" t="n">
        <v>1.6</v>
      </c>
      <c r="F573" s="55" t="n">
        <v>5</v>
      </c>
      <c r="G573" s="73" t="n">
        <v>1.33</v>
      </c>
      <c r="H573" s="55" t="n">
        <v>2</v>
      </c>
      <c r="I573" s="73" t="n">
        <v>0.7</v>
      </c>
      <c r="J573" s="55" t="n">
        <v>1</v>
      </c>
      <c r="K573" s="20"/>
      <c r="L573" s="20"/>
      <c r="M573" s="41" t="n">
        <f aca="false">E573*F573+G573*H573+I573*J573+K573*L573</f>
        <v>11.36</v>
      </c>
      <c r="N573" s="41" t="n">
        <f aca="false">Исходные!$B$15-M573</f>
        <v>0.34</v>
      </c>
      <c r="O573" s="55" t="n">
        <v>1</v>
      </c>
      <c r="P573" s="53" t="n">
        <f aca="false">(F573+H573+J573+L573)*O573</f>
        <v>8</v>
      </c>
      <c r="Q573" s="74" t="n">
        <f aca="false">M573*O573</f>
        <v>11.36</v>
      </c>
      <c r="R573" s="74" t="n">
        <f aca="false">N573*O573</f>
        <v>0.34</v>
      </c>
    </row>
    <row r="574" customFormat="false" ht="15" hidden="false" customHeight="false" outlineLevel="0" collapsed="false">
      <c r="A574" s="53" t="n">
        <v>3</v>
      </c>
      <c r="B574" s="53" t="n">
        <v>10</v>
      </c>
      <c r="C574" s="76" t="s">
        <v>546</v>
      </c>
      <c r="D574" s="53" t="n">
        <v>9</v>
      </c>
      <c r="E574" s="73" t="n">
        <v>1.33</v>
      </c>
      <c r="F574" s="55" t="n">
        <v>8</v>
      </c>
      <c r="G574" s="73" t="n">
        <v>0.7</v>
      </c>
      <c r="H574" s="55" t="n">
        <v>1</v>
      </c>
      <c r="I574" s="20"/>
      <c r="J574" s="20"/>
      <c r="K574" s="20"/>
      <c r="L574" s="20"/>
      <c r="M574" s="41" t="n">
        <f aca="false">E574*F574+G574*H574+I574*J574+K574*L574</f>
        <v>11.34</v>
      </c>
      <c r="N574" s="41" t="n">
        <f aca="false">Исходные!$B$15-M574</f>
        <v>0.359999999999999</v>
      </c>
      <c r="O574" s="55" t="n">
        <v>4</v>
      </c>
      <c r="P574" s="53" t="n">
        <f aca="false">(F574+H574+J574+L574)*O574</f>
        <v>36</v>
      </c>
      <c r="Q574" s="74" t="n">
        <f aca="false">M574*O574</f>
        <v>45.36</v>
      </c>
      <c r="R574" s="74" t="n">
        <f aca="false">N574*O574</f>
        <v>1.44</v>
      </c>
    </row>
    <row r="575" customFormat="false" ht="15" hidden="false" customHeight="false" outlineLevel="0" collapsed="false">
      <c r="A575" s="53" t="n">
        <v>3</v>
      </c>
      <c r="B575" s="53" t="n">
        <v>10</v>
      </c>
      <c r="C575" s="76" t="s">
        <v>546</v>
      </c>
      <c r="D575" s="53" t="n">
        <v>10</v>
      </c>
      <c r="E575" s="73" t="n">
        <v>0.42</v>
      </c>
      <c r="F575" s="55" t="n">
        <v>27</v>
      </c>
      <c r="G575" s="20"/>
      <c r="H575" s="20"/>
      <c r="I575" s="20"/>
      <c r="J575" s="20"/>
      <c r="K575" s="20"/>
      <c r="L575" s="20"/>
      <c r="M575" s="41" t="n">
        <f aca="false">E575*F575+G575*H575+I575*J575+K575*L575</f>
        <v>11.34</v>
      </c>
      <c r="N575" s="41" t="n">
        <f aca="false">Исходные!$B$15-M575</f>
        <v>0.359999999999999</v>
      </c>
      <c r="O575" s="55" t="n">
        <v>29</v>
      </c>
      <c r="P575" s="53" t="n">
        <f aca="false">(F575+H575+J575+L575)*O575</f>
        <v>783</v>
      </c>
      <c r="Q575" s="74" t="n">
        <f aca="false">M575*O575</f>
        <v>328.86</v>
      </c>
      <c r="R575" s="74" t="n">
        <f aca="false">N575*O575</f>
        <v>10.44</v>
      </c>
    </row>
    <row r="576" customFormat="false" ht="15" hidden="false" customHeight="false" outlineLevel="0" collapsed="false">
      <c r="A576" s="53" t="n">
        <v>3</v>
      </c>
      <c r="B576" s="53" t="n">
        <v>10</v>
      </c>
      <c r="C576" s="76" t="s">
        <v>546</v>
      </c>
      <c r="D576" s="53" t="n">
        <v>11</v>
      </c>
      <c r="E576" s="73" t="n">
        <v>0.42</v>
      </c>
      <c r="F576" s="55" t="n">
        <v>6</v>
      </c>
      <c r="G576" s="20"/>
      <c r="H576" s="20"/>
      <c r="I576" s="20"/>
      <c r="J576" s="20"/>
      <c r="K576" s="20"/>
      <c r="L576" s="20"/>
      <c r="M576" s="41" t="n">
        <f aca="false">E576*F576+G576*H576+I576*J576+K576*L576</f>
        <v>2.52</v>
      </c>
      <c r="N576" s="41" t="n">
        <f aca="false">Исходные!$B$15-M576</f>
        <v>9.18</v>
      </c>
      <c r="O576" s="55" t="n">
        <v>1</v>
      </c>
      <c r="P576" s="53" t="n">
        <f aca="false">(F576+H576+J576+L576)*O576</f>
        <v>6</v>
      </c>
      <c r="Q576" s="74" t="n">
        <f aca="false">M576*O576</f>
        <v>2.52</v>
      </c>
      <c r="R576" s="74" t="n">
        <f aca="false">N576*O576</f>
        <v>9.18</v>
      </c>
    </row>
    <row r="577" customFormat="false" ht="15" hidden="false" customHeight="false" outlineLevel="0" collapsed="false">
      <c r="A577" s="53" t="n">
        <v>3</v>
      </c>
      <c r="B577" s="53" t="n">
        <v>8</v>
      </c>
      <c r="C577" s="76" t="s">
        <v>546</v>
      </c>
      <c r="D577" s="53" t="n">
        <v>1</v>
      </c>
      <c r="E577" s="73" t="n">
        <v>1.24</v>
      </c>
      <c r="F577" s="55" t="n">
        <v>9</v>
      </c>
      <c r="G577" s="73" t="n">
        <v>0.53</v>
      </c>
      <c r="H577" s="55" t="n">
        <v>1</v>
      </c>
      <c r="I577" s="20"/>
      <c r="J577" s="20"/>
      <c r="K577" s="20"/>
      <c r="L577" s="20"/>
      <c r="M577" s="41" t="n">
        <f aca="false">E577*F577+G577*H577+I577*J577+K577*L577</f>
        <v>11.69</v>
      </c>
      <c r="N577" s="41" t="n">
        <f aca="false">Исходные!$B$15-M577</f>
        <v>0.00999999999999979</v>
      </c>
      <c r="O577" s="55" t="n">
        <v>85</v>
      </c>
      <c r="P577" s="53" t="n">
        <f aca="false">(F577+H577+J577+L577)*O577</f>
        <v>850</v>
      </c>
      <c r="Q577" s="74" t="n">
        <f aca="false">M577*O577</f>
        <v>993.65</v>
      </c>
      <c r="R577" s="74" t="n">
        <f aca="false">N577*O577</f>
        <v>0.849999999999982</v>
      </c>
    </row>
    <row r="578" customFormat="false" ht="15" hidden="false" customHeight="false" outlineLevel="0" collapsed="false">
      <c r="A578" s="53" t="n">
        <v>3</v>
      </c>
      <c r="B578" s="53" t="n">
        <v>8</v>
      </c>
      <c r="C578" s="76" t="s">
        <v>546</v>
      </c>
      <c r="D578" s="53" t="n">
        <v>2</v>
      </c>
      <c r="E578" s="73" t="n">
        <v>0.75</v>
      </c>
      <c r="F578" s="55" t="n">
        <v>15</v>
      </c>
      <c r="G578" s="73" t="n">
        <v>0.22</v>
      </c>
      <c r="H578" s="55" t="n">
        <v>2</v>
      </c>
      <c r="I578" s="20"/>
      <c r="J578" s="20"/>
      <c r="K578" s="20"/>
      <c r="L578" s="20"/>
      <c r="M578" s="41" t="n">
        <f aca="false">E578*F578+G578*H578+I578*J578+K578*L578</f>
        <v>11.69</v>
      </c>
      <c r="N578" s="41" t="n">
        <f aca="false">Исходные!$B$15-M578</f>
        <v>0.00999999999999979</v>
      </c>
      <c r="O578" s="55" t="n">
        <v>48</v>
      </c>
      <c r="P578" s="53" t="n">
        <f aca="false">(F578+H578+J578+L578)*O578</f>
        <v>816</v>
      </c>
      <c r="Q578" s="74" t="n">
        <f aca="false">M578*O578</f>
        <v>561.12</v>
      </c>
      <c r="R578" s="74" t="n">
        <f aca="false">N578*O578</f>
        <v>0.47999999999999</v>
      </c>
    </row>
    <row r="579" customFormat="false" ht="15" hidden="false" customHeight="false" outlineLevel="0" collapsed="false">
      <c r="A579" s="53" t="n">
        <v>3</v>
      </c>
      <c r="B579" s="53" t="n">
        <v>8</v>
      </c>
      <c r="C579" s="76" t="s">
        <v>546</v>
      </c>
      <c r="D579" s="53" t="n">
        <v>3</v>
      </c>
      <c r="E579" s="73" t="n">
        <v>0.58</v>
      </c>
      <c r="F579" s="55" t="n">
        <v>13</v>
      </c>
      <c r="G579" s="73" t="n">
        <v>0.53</v>
      </c>
      <c r="H579" s="55" t="n">
        <v>7</v>
      </c>
      <c r="I579" s="73" t="n">
        <v>0.22</v>
      </c>
      <c r="J579" s="55" t="n">
        <v>2</v>
      </c>
      <c r="K579" s="20"/>
      <c r="L579" s="20"/>
      <c r="M579" s="41" t="n">
        <f aca="false">E579*F579+G579*H579+I579*J579+K579*L579</f>
        <v>11.69</v>
      </c>
      <c r="N579" s="41" t="n">
        <f aca="false">Исходные!$B$15-M579</f>
        <v>0.00999999999999979</v>
      </c>
      <c r="O579" s="55" t="n">
        <v>1</v>
      </c>
      <c r="P579" s="53" t="n">
        <f aca="false">(F579+H579+J579+L579)*O579</f>
        <v>22</v>
      </c>
      <c r="Q579" s="74" t="n">
        <f aca="false">M579*O579</f>
        <v>11.69</v>
      </c>
      <c r="R579" s="74" t="n">
        <f aca="false">N579*O579</f>
        <v>0.00999999999999979</v>
      </c>
    </row>
    <row r="580" customFormat="false" ht="15" hidden="false" customHeight="false" outlineLevel="0" collapsed="false">
      <c r="A580" s="53" t="n">
        <v>3</v>
      </c>
      <c r="B580" s="53" t="n">
        <v>8</v>
      </c>
      <c r="C580" s="76" t="s">
        <v>546</v>
      </c>
      <c r="D580" s="53" t="n">
        <v>4</v>
      </c>
      <c r="E580" s="73" t="n">
        <v>1.96</v>
      </c>
      <c r="F580" s="55" t="n">
        <v>1</v>
      </c>
      <c r="G580" s="73" t="n">
        <v>1.24</v>
      </c>
      <c r="H580" s="55" t="n">
        <v>7</v>
      </c>
      <c r="I580" s="73" t="n">
        <v>1.04</v>
      </c>
      <c r="J580" s="55" t="n">
        <v>1</v>
      </c>
      <c r="K580" s="20"/>
      <c r="L580" s="20"/>
      <c r="M580" s="41" t="n">
        <f aca="false">E580*F580+G580*H580+I580*J580+K580*L580</f>
        <v>11.68</v>
      </c>
      <c r="N580" s="41" t="n">
        <f aca="false">Исходные!$B$15-M580</f>
        <v>0.0199999999999996</v>
      </c>
      <c r="O580" s="55" t="n">
        <v>1</v>
      </c>
      <c r="P580" s="53" t="n">
        <f aca="false">(F580+H580+J580+L580)*O580</f>
        <v>9</v>
      </c>
      <c r="Q580" s="74" t="n">
        <f aca="false">M580*O580</f>
        <v>11.68</v>
      </c>
      <c r="R580" s="74" t="n">
        <f aca="false">N580*O580</f>
        <v>0.0199999999999996</v>
      </c>
    </row>
    <row r="581" customFormat="false" ht="15" hidden="false" customHeight="false" outlineLevel="0" collapsed="false">
      <c r="A581" s="53" t="n">
        <v>3</v>
      </c>
      <c r="B581" s="53" t="n">
        <v>8</v>
      </c>
      <c r="C581" s="76" t="s">
        <v>546</v>
      </c>
      <c r="D581" s="53" t="n">
        <v>5</v>
      </c>
      <c r="E581" s="73" t="n">
        <v>1.04</v>
      </c>
      <c r="F581" s="55" t="n">
        <v>11</v>
      </c>
      <c r="G581" s="73" t="n">
        <v>0.22</v>
      </c>
      <c r="H581" s="55" t="n">
        <v>1</v>
      </c>
      <c r="I581" s="20"/>
      <c r="J581" s="20"/>
      <c r="K581" s="20"/>
      <c r="L581" s="20"/>
      <c r="M581" s="41" t="n">
        <f aca="false">E581*F581+G581*H581+I581*J581+K581*L581</f>
        <v>11.66</v>
      </c>
      <c r="N581" s="41" t="n">
        <f aca="false">Исходные!$B$15-M581</f>
        <v>0.0399999999999974</v>
      </c>
      <c r="O581" s="55" t="n">
        <v>12</v>
      </c>
      <c r="P581" s="53" t="n">
        <f aca="false">(F581+H581+J581+L581)*O581</f>
        <v>144</v>
      </c>
      <c r="Q581" s="74" t="n">
        <f aca="false">M581*O581</f>
        <v>139.92</v>
      </c>
      <c r="R581" s="74" t="n">
        <f aca="false">N581*O581</f>
        <v>0.479999999999968</v>
      </c>
    </row>
    <row r="582" customFormat="false" ht="15" hidden="false" customHeight="false" outlineLevel="0" collapsed="false">
      <c r="A582" s="53" t="n">
        <v>3</v>
      </c>
      <c r="B582" s="53" t="n">
        <v>8</v>
      </c>
      <c r="C582" s="76" t="s">
        <v>546</v>
      </c>
      <c r="D582" s="53" t="n">
        <v>6</v>
      </c>
      <c r="E582" s="73" t="n">
        <v>2.06</v>
      </c>
      <c r="F582" s="55" t="n">
        <v>1</v>
      </c>
      <c r="G582" s="73" t="n">
        <v>1.96</v>
      </c>
      <c r="H582" s="55" t="n">
        <v>4</v>
      </c>
      <c r="I582" s="73" t="n">
        <v>1.76</v>
      </c>
      <c r="J582" s="55" t="n">
        <v>1</v>
      </c>
      <c r="K582" s="20"/>
      <c r="L582" s="20"/>
      <c r="M582" s="41" t="n">
        <f aca="false">E582*F582+G582*H582+I582*J582+K582*L582</f>
        <v>11.66</v>
      </c>
      <c r="N582" s="41" t="n">
        <f aca="false">Исходные!$B$15-M582</f>
        <v>0.0399999999999992</v>
      </c>
      <c r="O582" s="55" t="n">
        <v>1</v>
      </c>
      <c r="P582" s="53" t="n">
        <f aca="false">(F582+H582+J582+L582)*O582</f>
        <v>6</v>
      </c>
      <c r="Q582" s="74" t="n">
        <f aca="false">M582*O582</f>
        <v>11.66</v>
      </c>
      <c r="R582" s="74" t="n">
        <f aca="false">N582*O582</f>
        <v>0.0399999999999992</v>
      </c>
    </row>
    <row r="583" customFormat="false" ht="15" hidden="false" customHeight="false" outlineLevel="0" collapsed="false">
      <c r="A583" s="53" t="n">
        <v>3</v>
      </c>
      <c r="B583" s="53" t="n">
        <v>8</v>
      </c>
      <c r="C583" s="76" t="s">
        <v>546</v>
      </c>
      <c r="D583" s="53" t="n">
        <v>7</v>
      </c>
      <c r="E583" s="73" t="n">
        <v>0.53</v>
      </c>
      <c r="F583" s="55" t="n">
        <v>22</v>
      </c>
      <c r="G583" s="20"/>
      <c r="H583" s="20"/>
      <c r="I583" s="20"/>
      <c r="J583" s="20"/>
      <c r="K583" s="20"/>
      <c r="L583" s="20"/>
      <c r="M583" s="41" t="n">
        <f aca="false">E583*F583+G583*H583+I583*J583+K583*L583</f>
        <v>11.66</v>
      </c>
      <c r="N583" s="41" t="n">
        <f aca="false">Исходные!$B$15-M583</f>
        <v>0.0399999999999992</v>
      </c>
      <c r="O583" s="55" t="n">
        <v>8</v>
      </c>
      <c r="P583" s="53" t="n">
        <f aca="false">(F583+H583+J583+L583)*O583</f>
        <v>176</v>
      </c>
      <c r="Q583" s="74" t="n">
        <f aca="false">M583*O583</f>
        <v>93.28</v>
      </c>
      <c r="R583" s="74" t="n">
        <f aca="false">N583*O583</f>
        <v>0.319999999999993</v>
      </c>
    </row>
    <row r="584" customFormat="false" ht="15" hidden="false" customHeight="false" outlineLevel="0" collapsed="false">
      <c r="A584" s="53" t="n">
        <v>3</v>
      </c>
      <c r="B584" s="53" t="n">
        <v>8</v>
      </c>
      <c r="C584" s="76" t="s">
        <v>546</v>
      </c>
      <c r="D584" s="53" t="n">
        <v>8</v>
      </c>
      <c r="E584" s="73" t="n">
        <v>0.22</v>
      </c>
      <c r="F584" s="55" t="n">
        <v>53</v>
      </c>
      <c r="G584" s="20"/>
      <c r="H584" s="20"/>
      <c r="I584" s="20"/>
      <c r="J584" s="20"/>
      <c r="K584" s="20"/>
      <c r="L584" s="20"/>
      <c r="M584" s="41" t="n">
        <f aca="false">E584*F584+G584*H584+I584*J584+K584*L584</f>
        <v>11.66</v>
      </c>
      <c r="N584" s="41" t="n">
        <f aca="false">Исходные!$B$15-M584</f>
        <v>0.0399999999999992</v>
      </c>
      <c r="O584" s="55" t="n">
        <v>9</v>
      </c>
      <c r="P584" s="53" t="n">
        <f aca="false">(F584+H584+J584+L584)*O584</f>
        <v>477</v>
      </c>
      <c r="Q584" s="74" t="n">
        <f aca="false">M584*O584</f>
        <v>104.94</v>
      </c>
      <c r="R584" s="74" t="n">
        <f aca="false">N584*O584</f>
        <v>0.359999999999992</v>
      </c>
    </row>
    <row r="585" customFormat="false" ht="15" hidden="false" customHeight="false" outlineLevel="0" collapsed="false">
      <c r="A585" s="53" t="n">
        <v>3</v>
      </c>
      <c r="B585" s="53" t="n">
        <v>8</v>
      </c>
      <c r="C585" s="76" t="s">
        <v>546</v>
      </c>
      <c r="D585" s="53" t="n">
        <v>9</v>
      </c>
      <c r="E585" s="73" t="n">
        <v>2.44</v>
      </c>
      <c r="F585" s="55" t="n">
        <v>4</v>
      </c>
      <c r="G585" s="73" t="n">
        <v>1.44</v>
      </c>
      <c r="H585" s="55" t="n">
        <v>1</v>
      </c>
      <c r="I585" s="73" t="n">
        <v>0.22</v>
      </c>
      <c r="J585" s="55" t="n">
        <v>2</v>
      </c>
      <c r="K585" s="20"/>
      <c r="L585" s="20"/>
      <c r="M585" s="41" t="n">
        <f aca="false">E585*F585+G585*H585+I585*J585+K585*L585</f>
        <v>11.64</v>
      </c>
      <c r="N585" s="41" t="n">
        <f aca="false">Исходные!$B$15-M585</f>
        <v>0.0600000000000005</v>
      </c>
      <c r="O585" s="55" t="n">
        <v>44</v>
      </c>
      <c r="P585" s="53" t="n">
        <f aca="false">(F585+H585+J585+L585)*O585</f>
        <v>308</v>
      </c>
      <c r="Q585" s="74" t="n">
        <f aca="false">M585*O585</f>
        <v>512.16</v>
      </c>
      <c r="R585" s="74" t="n">
        <f aca="false">N585*O585</f>
        <v>2.64000000000002</v>
      </c>
    </row>
    <row r="586" customFormat="false" ht="15" hidden="false" customHeight="false" outlineLevel="0" collapsed="false">
      <c r="A586" s="53" t="n">
        <v>3</v>
      </c>
      <c r="B586" s="53" t="n">
        <v>8</v>
      </c>
      <c r="C586" s="76" t="s">
        <v>546</v>
      </c>
      <c r="D586" s="53" t="n">
        <v>10</v>
      </c>
      <c r="E586" s="73" t="n">
        <v>0.53</v>
      </c>
      <c r="F586" s="55" t="n">
        <v>12</v>
      </c>
      <c r="G586" s="73" t="n">
        <v>0.22</v>
      </c>
      <c r="H586" s="55" t="n">
        <v>24</v>
      </c>
      <c r="I586" s="20"/>
      <c r="J586" s="20"/>
      <c r="K586" s="20"/>
      <c r="L586" s="20"/>
      <c r="M586" s="41" t="n">
        <f aca="false">E586*F586+G586*H586+I586*J586+K586*L586</f>
        <v>11.64</v>
      </c>
      <c r="N586" s="41" t="n">
        <f aca="false">Исходные!$B$15-M586</f>
        <v>0.0599999999999987</v>
      </c>
      <c r="O586" s="55" t="n">
        <v>1</v>
      </c>
      <c r="P586" s="53" t="n">
        <f aca="false">(F586+H586+J586+L586)*O586</f>
        <v>36</v>
      </c>
      <c r="Q586" s="74" t="n">
        <f aca="false">M586*O586</f>
        <v>11.64</v>
      </c>
      <c r="R586" s="74" t="n">
        <f aca="false">N586*O586</f>
        <v>0.0599999999999987</v>
      </c>
    </row>
    <row r="587" customFormat="false" ht="15" hidden="false" customHeight="false" outlineLevel="0" collapsed="false">
      <c r="A587" s="53" t="n">
        <v>3</v>
      </c>
      <c r="B587" s="53" t="n">
        <v>8</v>
      </c>
      <c r="C587" s="76" t="s">
        <v>546</v>
      </c>
      <c r="D587" s="53" t="n">
        <v>11</v>
      </c>
      <c r="E587" s="73" t="n">
        <v>1.14</v>
      </c>
      <c r="F587" s="55" t="n">
        <v>10</v>
      </c>
      <c r="G587" s="73" t="n">
        <v>0.22</v>
      </c>
      <c r="H587" s="55" t="n">
        <v>1</v>
      </c>
      <c r="I587" s="20"/>
      <c r="J587" s="20"/>
      <c r="K587" s="20"/>
      <c r="L587" s="20"/>
      <c r="M587" s="41" t="n">
        <f aca="false">E587*F587+G587*H587+I587*J587+K587*L587</f>
        <v>11.62</v>
      </c>
      <c r="N587" s="41" t="n">
        <f aca="false">Исходные!$B$15-M587</f>
        <v>0.0800000000000001</v>
      </c>
      <c r="O587" s="55" t="n">
        <v>27</v>
      </c>
      <c r="P587" s="53" t="n">
        <f aca="false">(F587+H587+J587+L587)*O587</f>
        <v>297</v>
      </c>
      <c r="Q587" s="74" t="n">
        <f aca="false">M587*O587</f>
        <v>313.74</v>
      </c>
      <c r="R587" s="74" t="n">
        <f aca="false">N587*O587</f>
        <v>2.16</v>
      </c>
    </row>
    <row r="588" customFormat="false" ht="15" hidden="false" customHeight="false" outlineLevel="0" collapsed="false">
      <c r="A588" s="53" t="n">
        <v>3</v>
      </c>
      <c r="B588" s="53" t="n">
        <v>8</v>
      </c>
      <c r="C588" s="76" t="s">
        <v>546</v>
      </c>
      <c r="D588" s="53" t="n">
        <v>12</v>
      </c>
      <c r="E588" s="73" t="n">
        <v>1.16</v>
      </c>
      <c r="F588" s="55" t="n">
        <v>10</v>
      </c>
      <c r="G588" s="20"/>
      <c r="H588" s="20"/>
      <c r="I588" s="20"/>
      <c r="J588" s="20"/>
      <c r="K588" s="20"/>
      <c r="L588" s="20"/>
      <c r="M588" s="41" t="n">
        <f aca="false">E588*F588+G588*H588+I588*J588+K588*L588</f>
        <v>11.6</v>
      </c>
      <c r="N588" s="41" t="n">
        <f aca="false">Исходные!$B$15-M588</f>
        <v>0.0999999999999996</v>
      </c>
      <c r="O588" s="55" t="n">
        <v>1</v>
      </c>
      <c r="P588" s="53" t="n">
        <f aca="false">(F588+H588+J588+L588)*O588</f>
        <v>10</v>
      </c>
      <c r="Q588" s="74" t="n">
        <f aca="false">M588*O588</f>
        <v>11.6</v>
      </c>
      <c r="R588" s="74" t="n">
        <f aca="false">N588*O588</f>
        <v>0.0999999999999996</v>
      </c>
    </row>
    <row r="589" customFormat="false" ht="15" hidden="false" customHeight="false" outlineLevel="0" collapsed="false">
      <c r="A589" s="53" t="n">
        <v>3</v>
      </c>
      <c r="B589" s="53" t="n">
        <v>8</v>
      </c>
      <c r="C589" s="76" t="s">
        <v>546</v>
      </c>
      <c r="D589" s="53" t="n">
        <v>13</v>
      </c>
      <c r="E589" s="73" t="n">
        <v>0.58</v>
      </c>
      <c r="F589" s="55" t="n">
        <v>20</v>
      </c>
      <c r="G589" s="20"/>
      <c r="H589" s="20"/>
      <c r="I589" s="20"/>
      <c r="J589" s="20"/>
      <c r="K589" s="20"/>
      <c r="L589" s="20"/>
      <c r="M589" s="41" t="n">
        <f aca="false">E589*F589+G589*H589+I589*J589+K589*L589</f>
        <v>11.6</v>
      </c>
      <c r="N589" s="41" t="n">
        <f aca="false">Исходные!$B$15-M589</f>
        <v>0.0999999999999996</v>
      </c>
      <c r="O589" s="55" t="n">
        <v>26</v>
      </c>
      <c r="P589" s="53" t="n">
        <f aca="false">(F589+H589+J589+L589)*O589</f>
        <v>520</v>
      </c>
      <c r="Q589" s="74" t="n">
        <f aca="false">M589*O589</f>
        <v>301.6</v>
      </c>
      <c r="R589" s="74" t="n">
        <f aca="false">N589*O589</f>
        <v>2.59999999999999</v>
      </c>
    </row>
    <row r="590" customFormat="false" ht="15" hidden="false" customHeight="false" outlineLevel="0" collapsed="false">
      <c r="A590" s="53" t="n">
        <v>3</v>
      </c>
      <c r="B590" s="53" t="n">
        <v>8</v>
      </c>
      <c r="C590" s="76" t="s">
        <v>546</v>
      </c>
      <c r="D590" s="53" t="n">
        <v>14</v>
      </c>
      <c r="E590" s="73" t="n">
        <v>1.24</v>
      </c>
      <c r="F590" s="55" t="n">
        <v>5</v>
      </c>
      <c r="G590" s="73" t="n">
        <v>1.16</v>
      </c>
      <c r="H590" s="55" t="n">
        <v>4</v>
      </c>
      <c r="I590" s="73" t="n">
        <v>0.75</v>
      </c>
      <c r="J590" s="55" t="n">
        <v>1</v>
      </c>
      <c r="K590" s="20"/>
      <c r="L590" s="20"/>
      <c r="M590" s="41" t="n">
        <f aca="false">E590*F590+G590*H590+I590*J590+K590*L590</f>
        <v>11.59</v>
      </c>
      <c r="N590" s="41" t="n">
        <f aca="false">Исходные!$B$15-M590</f>
        <v>0.109999999999999</v>
      </c>
      <c r="O590" s="55" t="n">
        <v>1</v>
      </c>
      <c r="P590" s="53" t="n">
        <f aca="false">(F590+H590+J590+L590)*O590</f>
        <v>10</v>
      </c>
      <c r="Q590" s="74" t="n">
        <f aca="false">M590*O590</f>
        <v>11.59</v>
      </c>
      <c r="R590" s="74" t="n">
        <f aca="false">N590*O590</f>
        <v>0.109999999999999</v>
      </c>
    </row>
    <row r="591" customFormat="false" ht="15" hidden="false" customHeight="false" outlineLevel="0" collapsed="false">
      <c r="A591" s="53" t="n">
        <v>3</v>
      </c>
      <c r="B591" s="53" t="n">
        <v>8</v>
      </c>
      <c r="C591" s="76" t="s">
        <v>546</v>
      </c>
      <c r="D591" s="53" t="n">
        <v>15</v>
      </c>
      <c r="E591" s="73" t="n">
        <v>2.44</v>
      </c>
      <c r="F591" s="55" t="n">
        <v>4</v>
      </c>
      <c r="G591" s="73" t="n">
        <v>1.24</v>
      </c>
      <c r="H591" s="55" t="n">
        <v>1</v>
      </c>
      <c r="I591" s="73" t="n">
        <v>0.58</v>
      </c>
      <c r="J591" s="55" t="n">
        <v>1</v>
      </c>
      <c r="K591" s="20"/>
      <c r="L591" s="20"/>
      <c r="M591" s="41" t="n">
        <f aca="false">E591*F591+G591*H591+I591*J591+K591*L591</f>
        <v>11.58</v>
      </c>
      <c r="N591" s="41" t="n">
        <f aca="false">Исходные!$B$15-M591</f>
        <v>0.119999999999999</v>
      </c>
      <c r="O591" s="55" t="n">
        <v>48</v>
      </c>
      <c r="P591" s="53" t="n">
        <f aca="false">(F591+H591+J591+L591)*O591</f>
        <v>288</v>
      </c>
      <c r="Q591" s="74" t="n">
        <f aca="false">M591*O591</f>
        <v>555.84</v>
      </c>
      <c r="R591" s="74" t="n">
        <f aca="false">N591*O591</f>
        <v>5.75999999999996</v>
      </c>
    </row>
    <row r="592" customFormat="false" ht="15" hidden="false" customHeight="false" outlineLevel="0" collapsed="false">
      <c r="A592" s="53" t="n">
        <v>3</v>
      </c>
      <c r="B592" s="53" t="n">
        <v>8</v>
      </c>
      <c r="C592" s="76" t="s">
        <v>546</v>
      </c>
      <c r="D592" s="53" t="n">
        <v>16</v>
      </c>
      <c r="E592" s="73" t="n">
        <v>2.06</v>
      </c>
      <c r="F592" s="55" t="n">
        <v>5</v>
      </c>
      <c r="G592" s="73" t="n">
        <v>1.28</v>
      </c>
      <c r="H592" s="55" t="n">
        <v>1</v>
      </c>
      <c r="I592" s="20"/>
      <c r="J592" s="20"/>
      <c r="K592" s="20"/>
      <c r="L592" s="20"/>
      <c r="M592" s="41" t="n">
        <f aca="false">E592*F592+G592*H592+I592*J592+K592*L592</f>
        <v>11.58</v>
      </c>
      <c r="N592" s="41" t="n">
        <f aca="false">Исходные!$B$15-M592</f>
        <v>0.119999999999999</v>
      </c>
      <c r="O592" s="55" t="n">
        <v>14</v>
      </c>
      <c r="P592" s="53" t="n">
        <f aca="false">(F592+H592+J592+L592)*O592</f>
        <v>84</v>
      </c>
      <c r="Q592" s="74" t="n">
        <f aca="false">M592*O592</f>
        <v>162.12</v>
      </c>
      <c r="R592" s="74" t="n">
        <f aca="false">N592*O592</f>
        <v>1.67999999999999</v>
      </c>
    </row>
    <row r="593" customFormat="false" ht="15" hidden="false" customHeight="false" outlineLevel="0" collapsed="false">
      <c r="A593" s="53" t="n">
        <v>3</v>
      </c>
      <c r="B593" s="53" t="n">
        <v>8</v>
      </c>
      <c r="C593" s="76" t="s">
        <v>546</v>
      </c>
      <c r="D593" s="53" t="n">
        <v>17</v>
      </c>
      <c r="E593" s="73" t="n">
        <v>1.96</v>
      </c>
      <c r="F593" s="55" t="n">
        <v>5</v>
      </c>
      <c r="G593" s="73" t="n">
        <v>1.56</v>
      </c>
      <c r="H593" s="55" t="n">
        <v>1</v>
      </c>
      <c r="I593" s="73" t="n">
        <v>0.22</v>
      </c>
      <c r="J593" s="55" t="n">
        <v>1</v>
      </c>
      <c r="K593" s="20"/>
      <c r="L593" s="20"/>
      <c r="M593" s="41" t="n">
        <f aca="false">E593*F593+G593*H593+I593*J593+K593*L593</f>
        <v>11.58</v>
      </c>
      <c r="N593" s="41" t="n">
        <f aca="false">Исходные!$B$15-M593</f>
        <v>0.119999999999997</v>
      </c>
      <c r="O593" s="55" t="n">
        <v>48</v>
      </c>
      <c r="P593" s="53" t="n">
        <f aca="false">(F593+H593+J593+L593)*O593</f>
        <v>336</v>
      </c>
      <c r="Q593" s="74" t="n">
        <f aca="false">M593*O593</f>
        <v>555.84</v>
      </c>
      <c r="R593" s="74" t="n">
        <f aca="false">N593*O593</f>
        <v>5.75999999999988</v>
      </c>
    </row>
    <row r="594" customFormat="false" ht="15" hidden="false" customHeight="false" outlineLevel="0" collapsed="false">
      <c r="A594" s="53" t="n">
        <v>3</v>
      </c>
      <c r="B594" s="53" t="n">
        <v>8</v>
      </c>
      <c r="C594" s="76" t="s">
        <v>546</v>
      </c>
      <c r="D594" s="53" t="n">
        <v>18</v>
      </c>
      <c r="E594" s="73" t="n">
        <v>1.96</v>
      </c>
      <c r="F594" s="55" t="n">
        <v>5</v>
      </c>
      <c r="G594" s="73" t="n">
        <v>1.76</v>
      </c>
      <c r="H594" s="55" t="n">
        <v>1</v>
      </c>
      <c r="I594" s="20"/>
      <c r="J594" s="20"/>
      <c r="K594" s="20"/>
      <c r="L594" s="20"/>
      <c r="M594" s="41" t="n">
        <f aca="false">E594*F594+G594*H594+I594*J594+K594*L594</f>
        <v>11.56</v>
      </c>
      <c r="N594" s="41" t="n">
        <f aca="false">Исходные!$B$15-M594</f>
        <v>0.139999999999999</v>
      </c>
      <c r="O594" s="55" t="n">
        <v>79</v>
      </c>
      <c r="P594" s="53" t="n">
        <f aca="false">(F594+H594+J594+L594)*O594</f>
        <v>474</v>
      </c>
      <c r="Q594" s="74" t="n">
        <f aca="false">M594*O594</f>
        <v>913.24</v>
      </c>
      <c r="R594" s="74" t="n">
        <f aca="false">N594*O594</f>
        <v>11.0599999999999</v>
      </c>
    </row>
    <row r="595" customFormat="false" ht="15" hidden="false" customHeight="false" outlineLevel="0" collapsed="false">
      <c r="A595" s="53" t="n">
        <v>3</v>
      </c>
      <c r="B595" s="53" t="n">
        <v>8</v>
      </c>
      <c r="C595" s="76" t="s">
        <v>546</v>
      </c>
      <c r="D595" s="53" t="n">
        <v>19</v>
      </c>
      <c r="E595" s="73" t="n">
        <v>1.16</v>
      </c>
      <c r="F595" s="55" t="n">
        <v>8</v>
      </c>
      <c r="G595" s="73" t="n">
        <v>1.14</v>
      </c>
      <c r="H595" s="55" t="n">
        <v>2</v>
      </c>
      <c r="I595" s="20"/>
      <c r="J595" s="20"/>
      <c r="K595" s="20"/>
      <c r="L595" s="20"/>
      <c r="M595" s="41" t="n">
        <f aca="false">E595*F595+G595*H595+I595*J595+K595*L595</f>
        <v>11.56</v>
      </c>
      <c r="N595" s="41" t="n">
        <f aca="false">Исходные!$B$15-M595</f>
        <v>0.140000000000001</v>
      </c>
      <c r="O595" s="55" t="n">
        <v>1</v>
      </c>
      <c r="P595" s="53" t="n">
        <f aca="false">(F595+H595+J595+L595)*O595</f>
        <v>10</v>
      </c>
      <c r="Q595" s="74" t="n">
        <f aca="false">M595*O595</f>
        <v>11.56</v>
      </c>
      <c r="R595" s="74" t="n">
        <f aca="false">N595*O595</f>
        <v>0.140000000000001</v>
      </c>
    </row>
    <row r="596" customFormat="false" ht="15" hidden="false" customHeight="false" outlineLevel="0" collapsed="false">
      <c r="A596" s="53" t="n">
        <v>3</v>
      </c>
      <c r="B596" s="53" t="n">
        <v>8</v>
      </c>
      <c r="C596" s="76" t="s">
        <v>546</v>
      </c>
      <c r="D596" s="53" t="n">
        <v>20</v>
      </c>
      <c r="E596" s="73" t="n">
        <v>2.06</v>
      </c>
      <c r="F596" s="55" t="n">
        <v>5</v>
      </c>
      <c r="G596" s="73" t="n">
        <v>1.24</v>
      </c>
      <c r="H596" s="55" t="n">
        <v>1</v>
      </c>
      <c r="I596" s="20"/>
      <c r="J596" s="20"/>
      <c r="K596" s="20"/>
      <c r="L596" s="20"/>
      <c r="M596" s="41" t="n">
        <f aca="false">E596*F596+G596*H596+I596*J596+K596*L596</f>
        <v>11.54</v>
      </c>
      <c r="N596" s="41" t="n">
        <f aca="false">Исходные!$B$15-M596</f>
        <v>0.159999999999998</v>
      </c>
      <c r="O596" s="55" t="n">
        <v>144</v>
      </c>
      <c r="P596" s="53" t="n">
        <f aca="false">(F596+H596+J596+L596)*O596</f>
        <v>864</v>
      </c>
      <c r="Q596" s="74" t="n">
        <f aca="false">M596*O596</f>
        <v>1661.76</v>
      </c>
      <c r="R596" s="74" t="n">
        <f aca="false">N596*O596</f>
        <v>23.0399999999998</v>
      </c>
    </row>
    <row r="597" customFormat="false" ht="15" hidden="false" customHeight="false" outlineLevel="0" collapsed="false">
      <c r="A597" s="53" t="n">
        <v>3</v>
      </c>
      <c r="B597" s="53" t="n">
        <v>8</v>
      </c>
      <c r="C597" s="76" t="s">
        <v>546</v>
      </c>
      <c r="D597" s="53" t="n">
        <v>21</v>
      </c>
      <c r="E597" s="73" t="n">
        <v>2.44</v>
      </c>
      <c r="F597" s="55" t="n">
        <v>4</v>
      </c>
      <c r="G597" s="73" t="n">
        <v>1.56</v>
      </c>
      <c r="H597" s="55" t="n">
        <v>1</v>
      </c>
      <c r="I597" s="73" t="n">
        <v>0.22</v>
      </c>
      <c r="J597" s="55" t="n">
        <v>1</v>
      </c>
      <c r="K597" s="20"/>
      <c r="L597" s="20"/>
      <c r="M597" s="41" t="n">
        <f aca="false">E597*F597+G597*H597+I597*J597+K597*L597</f>
        <v>11.54</v>
      </c>
      <c r="N597" s="41" t="n">
        <f aca="false">Исходные!$B$15-M597</f>
        <v>0.159999999999998</v>
      </c>
      <c r="O597" s="55" t="n">
        <v>48</v>
      </c>
      <c r="P597" s="53" t="n">
        <f aca="false">(F597+H597+J597+L597)*O597</f>
        <v>288</v>
      </c>
      <c r="Q597" s="74" t="n">
        <f aca="false">M597*O597</f>
        <v>553.92</v>
      </c>
      <c r="R597" s="74" t="n">
        <f aca="false">N597*O597</f>
        <v>7.67999999999992</v>
      </c>
    </row>
    <row r="598" customFormat="false" ht="15" hidden="false" customHeight="false" outlineLevel="0" collapsed="false">
      <c r="A598" s="53" t="n">
        <v>3</v>
      </c>
      <c r="B598" s="53" t="n">
        <v>8</v>
      </c>
      <c r="C598" s="76" t="s">
        <v>546</v>
      </c>
      <c r="D598" s="53" t="n">
        <v>22</v>
      </c>
      <c r="E598" s="73" t="n">
        <v>0.75</v>
      </c>
      <c r="F598" s="55" t="n">
        <v>12</v>
      </c>
      <c r="G598" s="73" t="n">
        <v>0.58</v>
      </c>
      <c r="H598" s="55" t="n">
        <v>4</v>
      </c>
      <c r="I598" s="73" t="n">
        <v>0.22</v>
      </c>
      <c r="J598" s="55" t="n">
        <v>1</v>
      </c>
      <c r="K598" s="20"/>
      <c r="L598" s="20"/>
      <c r="M598" s="41" t="n">
        <f aca="false">E598*F598+G598*H598+I598*J598+K598*L598</f>
        <v>11.54</v>
      </c>
      <c r="N598" s="41" t="n">
        <f aca="false">Исходные!$B$15-M598</f>
        <v>0.159999999999998</v>
      </c>
      <c r="O598" s="55" t="n">
        <v>1</v>
      </c>
      <c r="P598" s="53" t="n">
        <f aca="false">(F598+H598+J598+L598)*O598</f>
        <v>17</v>
      </c>
      <c r="Q598" s="74" t="n">
        <f aca="false">M598*O598</f>
        <v>11.54</v>
      </c>
      <c r="R598" s="74" t="n">
        <f aca="false">N598*O598</f>
        <v>0.159999999999998</v>
      </c>
    </row>
    <row r="599" customFormat="false" ht="15" hidden="false" customHeight="false" outlineLevel="0" collapsed="false">
      <c r="A599" s="53" t="n">
        <v>3</v>
      </c>
      <c r="B599" s="53" t="n">
        <v>8</v>
      </c>
      <c r="C599" s="76" t="s">
        <v>546</v>
      </c>
      <c r="D599" s="53" t="n">
        <v>23</v>
      </c>
      <c r="E599" s="73" t="n">
        <v>0.22</v>
      </c>
      <c r="F599" s="55" t="n">
        <v>24</v>
      </c>
      <c r="G599" s="20"/>
      <c r="H599" s="20"/>
      <c r="I599" s="20"/>
      <c r="J599" s="20"/>
      <c r="K599" s="20"/>
      <c r="L599" s="20"/>
      <c r="M599" s="41" t="n">
        <f aca="false">E599*F599+G599*H599+I599*J599+K599*L599</f>
        <v>5.28</v>
      </c>
      <c r="N599" s="41" t="n">
        <f aca="false">Исходные!$B$15-M599</f>
        <v>6.42</v>
      </c>
      <c r="O599" s="55" t="n">
        <v>1</v>
      </c>
      <c r="P599" s="53" t="n">
        <f aca="false">(F599+H599+J599+L599)*O599</f>
        <v>24</v>
      </c>
      <c r="Q599" s="74" t="n">
        <f aca="false">M599*O599</f>
        <v>5.28</v>
      </c>
      <c r="R599" s="74" t="n">
        <f aca="false">N599*O599</f>
        <v>6.42</v>
      </c>
    </row>
    <row r="600" customFormat="false" ht="15" hidden="false" customHeight="false" outlineLevel="0" collapsed="false">
      <c r="A600" s="53" t="n">
        <v>3</v>
      </c>
      <c r="B600" s="53" t="n">
        <v>6</v>
      </c>
      <c r="C600" s="76" t="s">
        <v>546</v>
      </c>
      <c r="D600" s="53" t="n">
        <v>1</v>
      </c>
      <c r="E600" s="73" t="n">
        <v>0.28</v>
      </c>
      <c r="F600" s="55" t="n">
        <v>41</v>
      </c>
      <c r="G600" s="20"/>
      <c r="H600" s="20"/>
      <c r="I600" s="20"/>
      <c r="J600" s="20"/>
      <c r="K600" s="20"/>
      <c r="L600" s="20"/>
      <c r="M600" s="41" t="n">
        <f aca="false">E600*F600+G600*H600+I600*J600+K600*L600</f>
        <v>11.48</v>
      </c>
      <c r="N600" s="41" t="n">
        <f aca="false">Исходные!$B$15-M600</f>
        <v>0.219999999999999</v>
      </c>
      <c r="O600" s="55" t="n">
        <v>2</v>
      </c>
      <c r="P600" s="53" t="n">
        <f aca="false">(F600+H600+J600+L600)*O600</f>
        <v>82</v>
      </c>
      <c r="Q600" s="74" t="n">
        <f aca="false">M600*O600</f>
        <v>22.96</v>
      </c>
      <c r="R600" s="74" t="n">
        <f aca="false">N600*O600</f>
        <v>0.439999999999998</v>
      </c>
    </row>
    <row r="601" customFormat="false" ht="15" hidden="false" customHeight="false" outlineLevel="0" collapsed="false">
      <c r="A601" s="53" t="n">
        <v>3</v>
      </c>
      <c r="B601" s="53" t="n">
        <v>6</v>
      </c>
      <c r="C601" s="76" t="s">
        <v>546</v>
      </c>
      <c r="D601" s="53" t="n">
        <v>2</v>
      </c>
      <c r="E601" s="73" t="n">
        <v>0.28</v>
      </c>
      <c r="F601" s="55" t="n">
        <v>22</v>
      </c>
      <c r="G601" s="20"/>
      <c r="H601" s="20"/>
      <c r="I601" s="20"/>
      <c r="J601" s="20"/>
      <c r="K601" s="20"/>
      <c r="L601" s="20"/>
      <c r="M601" s="41" t="n">
        <f aca="false">E601*F601+G601*H601+I601*J601+K601*L601</f>
        <v>6.16</v>
      </c>
      <c r="N601" s="41" t="n">
        <f aca="false">Исходные!$B$15-M601</f>
        <v>5.54</v>
      </c>
      <c r="O601" s="55" t="n">
        <v>1</v>
      </c>
      <c r="P601" s="53" t="n">
        <f aca="false">(F601+H601+J601+L601)*O601</f>
        <v>22</v>
      </c>
      <c r="Q601" s="74" t="n">
        <f aca="false">M601*O601</f>
        <v>6.16</v>
      </c>
      <c r="R601" s="74" t="n">
        <f aca="false">N601*O601</f>
        <v>5.54</v>
      </c>
    </row>
    <row r="602" customFormat="false" ht="15" hidden="false" customHeight="false" outlineLevel="0" collapsed="false">
      <c r="A602" s="53" t="n">
        <v>4</v>
      </c>
      <c r="B602" s="53" t="n">
        <v>32</v>
      </c>
      <c r="C602" s="76" t="s">
        <v>512</v>
      </c>
      <c r="D602" s="53" t="n">
        <v>1</v>
      </c>
      <c r="E602" s="73" t="n">
        <v>3.6</v>
      </c>
      <c r="F602" s="55" t="n">
        <v>1</v>
      </c>
      <c r="G602" s="73" t="n">
        <v>2.85</v>
      </c>
      <c r="H602" s="55" t="n">
        <v>2</v>
      </c>
      <c r="I602" s="73" t="n">
        <v>2.4</v>
      </c>
      <c r="J602" s="55" t="n">
        <v>1</v>
      </c>
      <c r="K602" s="20"/>
      <c r="L602" s="20"/>
      <c r="M602" s="41" t="n">
        <f aca="false">E602*F602+G602*H602+I602*J602+K602*L602</f>
        <v>11.7</v>
      </c>
      <c r="N602" s="41" t="n">
        <f aca="false">Исходные!$B$15-M602</f>
        <v>0</v>
      </c>
      <c r="O602" s="55" t="n">
        <v>1</v>
      </c>
      <c r="P602" s="53" t="n">
        <f aca="false">(F602+H602+J602+L602)*O602</f>
        <v>4</v>
      </c>
      <c r="Q602" s="74" t="n">
        <f aca="false">M602*O602</f>
        <v>11.7</v>
      </c>
      <c r="R602" s="74" t="n">
        <f aca="false">N602*O602</f>
        <v>0</v>
      </c>
    </row>
    <row r="603" customFormat="false" ht="15" hidden="false" customHeight="false" outlineLevel="0" collapsed="false">
      <c r="A603" s="53" t="n">
        <v>4</v>
      </c>
      <c r="B603" s="53" t="n">
        <v>32</v>
      </c>
      <c r="C603" s="76" t="s">
        <v>512</v>
      </c>
      <c r="D603" s="53" t="n">
        <v>2</v>
      </c>
      <c r="E603" s="73" t="n">
        <v>7.5</v>
      </c>
      <c r="F603" s="55" t="n">
        <v>1</v>
      </c>
      <c r="G603" s="73" t="n">
        <v>3.7</v>
      </c>
      <c r="H603" s="55" t="n">
        <v>1</v>
      </c>
      <c r="I603" s="20"/>
      <c r="J603" s="20"/>
      <c r="K603" s="20"/>
      <c r="L603" s="20"/>
      <c r="M603" s="41" t="n">
        <f aca="false">E603*F603+G603*H603+I603*J603+K603*L603</f>
        <v>11.2</v>
      </c>
      <c r="N603" s="41" t="n">
        <f aca="false">Исходные!$B$15-M603</f>
        <v>0.5</v>
      </c>
      <c r="O603" s="55" t="n">
        <v>2</v>
      </c>
      <c r="P603" s="53" t="n">
        <f aca="false">(F603+H603+J603+L603)*O603</f>
        <v>4</v>
      </c>
      <c r="Q603" s="74" t="n">
        <f aca="false">M603*O603</f>
        <v>22.4</v>
      </c>
      <c r="R603" s="74" t="n">
        <f aca="false">N603*O603</f>
        <v>1</v>
      </c>
    </row>
    <row r="604" customFormat="false" ht="15" hidden="false" customHeight="false" outlineLevel="0" collapsed="false">
      <c r="A604" s="53" t="n">
        <v>4</v>
      </c>
      <c r="B604" s="53" t="n">
        <v>32</v>
      </c>
      <c r="C604" s="76" t="s">
        <v>512</v>
      </c>
      <c r="D604" s="53" t="n">
        <v>3</v>
      </c>
      <c r="E604" s="73" t="n">
        <v>5.5</v>
      </c>
      <c r="F604" s="55" t="n">
        <v>2</v>
      </c>
      <c r="G604" s="20"/>
      <c r="H604" s="20"/>
      <c r="I604" s="20"/>
      <c r="J604" s="20"/>
      <c r="K604" s="20"/>
      <c r="L604" s="20"/>
      <c r="M604" s="41" t="n">
        <f aca="false">E604*F604+G604*H604+I604*J604+K604*L604</f>
        <v>11</v>
      </c>
      <c r="N604" s="41" t="n">
        <f aca="false">Исходные!$B$15-M604</f>
        <v>0.699999999999999</v>
      </c>
      <c r="O604" s="55" t="n">
        <v>1</v>
      </c>
      <c r="P604" s="53" t="n">
        <f aca="false">(F604+H604+J604+L604)*O604</f>
        <v>2</v>
      </c>
      <c r="Q604" s="74" t="n">
        <f aca="false">M604*O604</f>
        <v>11</v>
      </c>
      <c r="R604" s="74" t="n">
        <f aca="false">N604*O604</f>
        <v>0.699999999999999</v>
      </c>
    </row>
    <row r="605" customFormat="false" ht="15" hidden="false" customHeight="false" outlineLevel="0" collapsed="false">
      <c r="A605" s="53" t="n">
        <v>4</v>
      </c>
      <c r="B605" s="53" t="n">
        <v>32</v>
      </c>
      <c r="C605" s="76" t="s">
        <v>512</v>
      </c>
      <c r="D605" s="53" t="n">
        <v>4</v>
      </c>
      <c r="E605" s="73" t="n">
        <v>3.6</v>
      </c>
      <c r="F605" s="55" t="n">
        <v>3</v>
      </c>
      <c r="G605" s="20"/>
      <c r="H605" s="20"/>
      <c r="I605" s="20"/>
      <c r="J605" s="20"/>
      <c r="K605" s="20"/>
      <c r="L605" s="20"/>
      <c r="M605" s="41" t="n">
        <f aca="false">E605*F605+G605*H605+I605*J605+K605*L605</f>
        <v>10.8</v>
      </c>
      <c r="N605" s="41" t="n">
        <f aca="false">Исходные!$B$15-M605</f>
        <v>0.899999999999999</v>
      </c>
      <c r="O605" s="55" t="n">
        <v>15</v>
      </c>
      <c r="P605" s="53" t="n">
        <f aca="false">(F605+H605+J605+L605)*O605</f>
        <v>45</v>
      </c>
      <c r="Q605" s="74" t="n">
        <f aca="false">M605*O605</f>
        <v>162</v>
      </c>
      <c r="R605" s="74" t="n">
        <f aca="false">N605*O605</f>
        <v>13.5</v>
      </c>
    </row>
    <row r="606" customFormat="false" ht="15" hidden="false" customHeight="false" outlineLevel="0" collapsed="false">
      <c r="A606" s="53" t="n">
        <v>4</v>
      </c>
      <c r="B606" s="53" t="n">
        <v>32</v>
      </c>
      <c r="C606" s="76" t="s">
        <v>512</v>
      </c>
      <c r="D606" s="53" t="n">
        <v>5</v>
      </c>
      <c r="E606" s="73" t="n">
        <v>2.4</v>
      </c>
      <c r="F606" s="55" t="n">
        <v>1</v>
      </c>
      <c r="G606" s="73" t="n">
        <v>2.05</v>
      </c>
      <c r="H606" s="55" t="n">
        <v>2</v>
      </c>
      <c r="I606" s="20"/>
      <c r="J606" s="20"/>
      <c r="K606" s="20"/>
      <c r="L606" s="20"/>
      <c r="M606" s="41" t="n">
        <f aca="false">E606*F606+G606*H606+I606*J606+K606*L606</f>
        <v>6.5</v>
      </c>
      <c r="N606" s="41" t="n">
        <f aca="false">Исходные!$B$15-M606</f>
        <v>5.2</v>
      </c>
      <c r="O606" s="55" t="n">
        <v>1</v>
      </c>
      <c r="P606" s="53" t="n">
        <f aca="false">(F606+H606+J606+L606)*O606</f>
        <v>3</v>
      </c>
      <c r="Q606" s="74" t="n">
        <f aca="false">M606*O606</f>
        <v>6.5</v>
      </c>
      <c r="R606" s="74" t="n">
        <f aca="false">N606*O606</f>
        <v>5.2</v>
      </c>
    </row>
    <row r="607" customFormat="false" ht="15" hidden="false" customHeight="false" outlineLevel="0" collapsed="false">
      <c r="A607" s="53" t="n">
        <v>4</v>
      </c>
      <c r="B607" s="53" t="n">
        <v>28</v>
      </c>
      <c r="C607" s="76" t="s">
        <v>512</v>
      </c>
      <c r="D607" s="53" t="n">
        <v>1</v>
      </c>
      <c r="E607" s="73" t="n">
        <v>11.7</v>
      </c>
      <c r="F607" s="55" t="n">
        <v>1</v>
      </c>
      <c r="G607" s="20"/>
      <c r="H607" s="20"/>
      <c r="I607" s="20"/>
      <c r="J607" s="20"/>
      <c r="K607" s="20"/>
      <c r="L607" s="20"/>
      <c r="M607" s="41" t="n">
        <f aca="false">E607*F607+G607*H607+I607*J607+K607*L607</f>
        <v>11.7</v>
      </c>
      <c r="N607" s="41" t="n">
        <f aca="false">Исходные!$B$15-M607</f>
        <v>0</v>
      </c>
      <c r="O607" s="55" t="n">
        <v>52</v>
      </c>
      <c r="P607" s="53" t="n">
        <f aca="false">(F607+H607+J607+L607)*O607</f>
        <v>52</v>
      </c>
      <c r="Q607" s="74" t="n">
        <f aca="false">M607*O607</f>
        <v>608.4</v>
      </c>
      <c r="R607" s="74" t="n">
        <f aca="false">N607*O607</f>
        <v>0</v>
      </c>
    </row>
    <row r="608" customFormat="false" ht="15" hidden="false" customHeight="false" outlineLevel="0" collapsed="false">
      <c r="A608" s="53" t="n">
        <v>4</v>
      </c>
      <c r="B608" s="53" t="n">
        <v>28</v>
      </c>
      <c r="C608" s="76" t="s">
        <v>512</v>
      </c>
      <c r="D608" s="53" t="n">
        <v>2</v>
      </c>
      <c r="E608" s="73" t="n">
        <v>8.8</v>
      </c>
      <c r="F608" s="55" t="n">
        <v>1</v>
      </c>
      <c r="G608" s="73" t="n">
        <v>2.85</v>
      </c>
      <c r="H608" s="55" t="n">
        <v>1</v>
      </c>
      <c r="I608" s="20"/>
      <c r="J608" s="20"/>
      <c r="K608" s="20"/>
      <c r="L608" s="20"/>
      <c r="M608" s="41" t="n">
        <f aca="false">E608*F608+G608*H608+I608*J608+K608*L608</f>
        <v>11.65</v>
      </c>
      <c r="N608" s="41" t="n">
        <f aca="false">Исходные!$B$15-M608</f>
        <v>0.0499999999999989</v>
      </c>
      <c r="O608" s="55" t="n">
        <v>2</v>
      </c>
      <c r="P608" s="53" t="n">
        <f aca="false">(F608+H608+J608+L608)*O608</f>
        <v>4</v>
      </c>
      <c r="Q608" s="74" t="n">
        <f aca="false">M608*O608</f>
        <v>23.3</v>
      </c>
      <c r="R608" s="74" t="n">
        <f aca="false">N608*O608</f>
        <v>0.0999999999999979</v>
      </c>
    </row>
    <row r="609" customFormat="false" ht="15" hidden="false" customHeight="false" outlineLevel="0" collapsed="false">
      <c r="A609" s="53" t="n">
        <v>4</v>
      </c>
      <c r="B609" s="53" t="n">
        <v>28</v>
      </c>
      <c r="C609" s="76" t="s">
        <v>512</v>
      </c>
      <c r="D609" s="53" t="n">
        <v>3</v>
      </c>
      <c r="E609" s="73" t="n">
        <v>7.85</v>
      </c>
      <c r="F609" s="55" t="n">
        <v>1</v>
      </c>
      <c r="G609" s="73" t="n">
        <v>3.8</v>
      </c>
      <c r="H609" s="55" t="n">
        <v>1</v>
      </c>
      <c r="I609" s="20"/>
      <c r="J609" s="20"/>
      <c r="K609" s="20"/>
      <c r="L609" s="20"/>
      <c r="M609" s="41" t="n">
        <f aca="false">E609*F609+G609*H609+I609*J609+K609*L609</f>
        <v>11.65</v>
      </c>
      <c r="N609" s="41" t="n">
        <f aca="false">Исходные!$B$15-M609</f>
        <v>0.0500000000000007</v>
      </c>
      <c r="O609" s="55" t="n">
        <v>2</v>
      </c>
      <c r="P609" s="53" t="n">
        <f aca="false">(F609+H609+J609+L609)*O609</f>
        <v>4</v>
      </c>
      <c r="Q609" s="74" t="n">
        <f aca="false">M609*O609</f>
        <v>23.3</v>
      </c>
      <c r="R609" s="74" t="n">
        <f aca="false">N609*O609</f>
        <v>0.100000000000001</v>
      </c>
    </row>
    <row r="610" customFormat="false" ht="15" hidden="false" customHeight="false" outlineLevel="0" collapsed="false">
      <c r="A610" s="53" t="n">
        <v>4</v>
      </c>
      <c r="B610" s="53" t="n">
        <v>28</v>
      </c>
      <c r="C610" s="76" t="s">
        <v>512</v>
      </c>
      <c r="D610" s="53" t="n">
        <v>4</v>
      </c>
      <c r="E610" s="73" t="n">
        <v>4.7</v>
      </c>
      <c r="F610" s="55" t="n">
        <v>2</v>
      </c>
      <c r="G610" s="73" t="n">
        <v>2.1</v>
      </c>
      <c r="H610" s="55" t="n">
        <v>1</v>
      </c>
      <c r="I610" s="20"/>
      <c r="J610" s="20"/>
      <c r="K610" s="20"/>
      <c r="L610" s="20"/>
      <c r="M610" s="41" t="n">
        <f aca="false">E610*F610+G610*H610+I610*J610+K610*L610</f>
        <v>11.5</v>
      </c>
      <c r="N610" s="41" t="n">
        <f aca="false">Исходные!$B$15-M610</f>
        <v>0.199999999999999</v>
      </c>
      <c r="O610" s="55" t="n">
        <v>1</v>
      </c>
      <c r="P610" s="53" t="n">
        <f aca="false">(F610+H610+J610+L610)*O610</f>
        <v>3</v>
      </c>
      <c r="Q610" s="74" t="n">
        <f aca="false">M610*O610</f>
        <v>11.5</v>
      </c>
      <c r="R610" s="74" t="n">
        <f aca="false">N610*O610</f>
        <v>0.199999999999999</v>
      </c>
    </row>
    <row r="611" customFormat="false" ht="15" hidden="false" customHeight="false" outlineLevel="0" collapsed="false">
      <c r="A611" s="53" t="n">
        <v>4</v>
      </c>
      <c r="B611" s="53" t="n">
        <v>28</v>
      </c>
      <c r="C611" s="76" t="s">
        <v>512</v>
      </c>
      <c r="D611" s="53" t="n">
        <v>5</v>
      </c>
      <c r="E611" s="73" t="n">
        <v>3.8</v>
      </c>
      <c r="F611" s="55" t="n">
        <v>3</v>
      </c>
      <c r="G611" s="20"/>
      <c r="H611" s="20"/>
      <c r="I611" s="20"/>
      <c r="J611" s="20"/>
      <c r="K611" s="20"/>
      <c r="L611" s="20"/>
      <c r="M611" s="41" t="n">
        <f aca="false">E611*F611+G611*H611+I611*J611+K611*L611</f>
        <v>11.4</v>
      </c>
      <c r="N611" s="41" t="n">
        <f aca="false">Исходные!$B$15-M611</f>
        <v>0.300000000000001</v>
      </c>
      <c r="O611" s="55" t="n">
        <v>4</v>
      </c>
      <c r="P611" s="53" t="n">
        <f aca="false">(F611+H611+J611+L611)*O611</f>
        <v>12</v>
      </c>
      <c r="Q611" s="74" t="n">
        <f aca="false">M611*O611</f>
        <v>45.6</v>
      </c>
      <c r="R611" s="74" t="n">
        <f aca="false">N611*O611</f>
        <v>1.2</v>
      </c>
    </row>
    <row r="612" customFormat="false" ht="15" hidden="false" customHeight="false" outlineLevel="0" collapsed="false">
      <c r="A612" s="53" t="n">
        <v>4</v>
      </c>
      <c r="B612" s="53" t="n">
        <v>28</v>
      </c>
      <c r="C612" s="76" t="s">
        <v>512</v>
      </c>
      <c r="D612" s="53" t="n">
        <v>6</v>
      </c>
      <c r="E612" s="73" t="n">
        <v>3.7</v>
      </c>
      <c r="F612" s="55" t="n">
        <v>3</v>
      </c>
      <c r="G612" s="20"/>
      <c r="H612" s="20"/>
      <c r="I612" s="20"/>
      <c r="J612" s="20"/>
      <c r="K612" s="20"/>
      <c r="L612" s="20"/>
      <c r="M612" s="41" t="n">
        <f aca="false">E612*F612+G612*H612+I612*J612+K612*L612</f>
        <v>11.1</v>
      </c>
      <c r="N612" s="41" t="n">
        <f aca="false">Исходные!$B$15-M612</f>
        <v>0.599999999999998</v>
      </c>
      <c r="O612" s="55" t="n">
        <v>2</v>
      </c>
      <c r="P612" s="53" t="n">
        <f aca="false">(F612+H612+J612+L612)*O612</f>
        <v>6</v>
      </c>
      <c r="Q612" s="74" t="n">
        <f aca="false">M612*O612</f>
        <v>22.2</v>
      </c>
      <c r="R612" s="74" t="n">
        <f aca="false">N612*O612</f>
        <v>1.2</v>
      </c>
    </row>
    <row r="613" customFormat="false" ht="15" hidden="false" customHeight="false" outlineLevel="0" collapsed="false">
      <c r="A613" s="53" t="n">
        <v>4</v>
      </c>
      <c r="B613" s="53" t="n">
        <v>28</v>
      </c>
      <c r="C613" s="76" t="s">
        <v>512</v>
      </c>
      <c r="D613" s="53" t="n">
        <v>7</v>
      </c>
      <c r="E613" s="73" t="n">
        <v>4.5</v>
      </c>
      <c r="F613" s="55" t="n">
        <v>2</v>
      </c>
      <c r="G613" s="73" t="n">
        <v>2.1</v>
      </c>
      <c r="H613" s="55" t="n">
        <v>1</v>
      </c>
      <c r="I613" s="20"/>
      <c r="J613" s="20"/>
      <c r="K613" s="20"/>
      <c r="L613" s="20"/>
      <c r="M613" s="41" t="n">
        <f aca="false">E613*F613+G613*H613+I613*J613+K613*L613</f>
        <v>11.1</v>
      </c>
      <c r="N613" s="41" t="n">
        <f aca="false">Исходные!$B$15-M613</f>
        <v>0.6</v>
      </c>
      <c r="O613" s="55" t="n">
        <v>1</v>
      </c>
      <c r="P613" s="53" t="n">
        <f aca="false">(F613+H613+J613+L613)*O613</f>
        <v>3</v>
      </c>
      <c r="Q613" s="74" t="n">
        <f aca="false">M613*O613</f>
        <v>11.1</v>
      </c>
      <c r="R613" s="74" t="n">
        <f aca="false">N613*O613</f>
        <v>0.6</v>
      </c>
    </row>
    <row r="614" customFormat="false" ht="15" hidden="false" customHeight="false" outlineLevel="0" collapsed="false">
      <c r="A614" s="53" t="n">
        <v>4</v>
      </c>
      <c r="B614" s="53" t="n">
        <v>28</v>
      </c>
      <c r="C614" s="76" t="s">
        <v>512</v>
      </c>
      <c r="D614" s="53" t="n">
        <v>8</v>
      </c>
      <c r="E614" s="73" t="n">
        <v>8.8</v>
      </c>
      <c r="F614" s="55" t="n">
        <v>1</v>
      </c>
      <c r="G614" s="73" t="n">
        <v>2.1</v>
      </c>
      <c r="H614" s="55" t="n">
        <v>1</v>
      </c>
      <c r="I614" s="20"/>
      <c r="J614" s="20"/>
      <c r="K614" s="20"/>
      <c r="L614" s="20"/>
      <c r="M614" s="41" t="n">
        <f aca="false">E614*F614+G614*H614+I614*J614+K614*L614</f>
        <v>10.9</v>
      </c>
      <c r="N614" s="41" t="n">
        <f aca="false">Исходные!$B$15-M614</f>
        <v>0.799999999999999</v>
      </c>
      <c r="O614" s="55" t="n">
        <v>14</v>
      </c>
      <c r="P614" s="53" t="n">
        <f aca="false">(F614+H614+J614+L614)*O614</f>
        <v>28</v>
      </c>
      <c r="Q614" s="74" t="n">
        <f aca="false">M614*O614</f>
        <v>152.6</v>
      </c>
      <c r="R614" s="74" t="n">
        <f aca="false">N614*O614</f>
        <v>11.2</v>
      </c>
    </row>
    <row r="615" customFormat="false" ht="15" hidden="false" customHeight="false" outlineLevel="0" collapsed="false">
      <c r="A615" s="53" t="n">
        <v>4</v>
      </c>
      <c r="B615" s="53" t="n">
        <v>28</v>
      </c>
      <c r="C615" s="76" t="s">
        <v>512</v>
      </c>
      <c r="D615" s="53" t="n">
        <v>9</v>
      </c>
      <c r="E615" s="73" t="n">
        <v>8.8</v>
      </c>
      <c r="F615" s="55" t="n">
        <v>1</v>
      </c>
      <c r="G615" s="73" t="n">
        <v>2.05</v>
      </c>
      <c r="H615" s="55" t="n">
        <v>1</v>
      </c>
      <c r="I615" s="20"/>
      <c r="J615" s="20"/>
      <c r="K615" s="20"/>
      <c r="L615" s="20"/>
      <c r="M615" s="41" t="n">
        <f aca="false">E615*F615+G615*H615+I615*J615+K615*L615</f>
        <v>10.85</v>
      </c>
      <c r="N615" s="41" t="n">
        <f aca="false">Исходные!$B$15-M615</f>
        <v>0.849999999999998</v>
      </c>
      <c r="O615" s="55" t="n">
        <v>4</v>
      </c>
      <c r="P615" s="53" t="n">
        <f aca="false">(F615+H615+J615+L615)*O615</f>
        <v>8</v>
      </c>
      <c r="Q615" s="74" t="n">
        <f aca="false">M615*O615</f>
        <v>43.4</v>
      </c>
      <c r="R615" s="74" t="n">
        <f aca="false">N615*O615</f>
        <v>3.39999999999999</v>
      </c>
    </row>
    <row r="616" customFormat="false" ht="15" hidden="false" customHeight="false" outlineLevel="0" collapsed="false">
      <c r="A616" s="53" t="n">
        <v>4</v>
      </c>
      <c r="B616" s="53" t="n">
        <v>28</v>
      </c>
      <c r="C616" s="76" t="s">
        <v>512</v>
      </c>
      <c r="D616" s="53" t="n">
        <v>10</v>
      </c>
      <c r="E616" s="73" t="n">
        <v>3.6</v>
      </c>
      <c r="F616" s="55" t="n">
        <v>3</v>
      </c>
      <c r="G616" s="20"/>
      <c r="H616" s="20"/>
      <c r="I616" s="20"/>
      <c r="J616" s="20"/>
      <c r="K616" s="20"/>
      <c r="L616" s="20"/>
      <c r="M616" s="41" t="n">
        <f aca="false">E616*F616+G616*H616+I616*J616+K616*L616</f>
        <v>10.8</v>
      </c>
      <c r="N616" s="41" t="n">
        <f aca="false">Исходные!$B$15-M616</f>
        <v>0.899999999999999</v>
      </c>
      <c r="O616" s="55" t="n">
        <v>13</v>
      </c>
      <c r="P616" s="53" t="n">
        <f aca="false">(F616+H616+J616+L616)*O616</f>
        <v>39</v>
      </c>
      <c r="Q616" s="74" t="n">
        <f aca="false">M616*O616</f>
        <v>140.4</v>
      </c>
      <c r="R616" s="74" t="n">
        <f aca="false">N616*O616</f>
        <v>11.7</v>
      </c>
    </row>
    <row r="617" customFormat="false" ht="15" hidden="false" customHeight="false" outlineLevel="0" collapsed="false">
      <c r="A617" s="53" t="n">
        <v>4</v>
      </c>
      <c r="B617" s="53" t="n">
        <v>28</v>
      </c>
      <c r="C617" s="76" t="s">
        <v>512</v>
      </c>
      <c r="D617" s="53" t="n">
        <v>11</v>
      </c>
      <c r="E617" s="73" t="n">
        <v>3.6</v>
      </c>
      <c r="F617" s="55" t="n">
        <v>1</v>
      </c>
      <c r="G617" s="73" t="n">
        <v>3.4</v>
      </c>
      <c r="H617" s="55" t="n">
        <v>2</v>
      </c>
      <c r="I617" s="20"/>
      <c r="J617" s="20"/>
      <c r="K617" s="20"/>
      <c r="L617" s="20"/>
      <c r="M617" s="41" t="n">
        <f aca="false">E617*F617+G617*H617+I617*J617+K617*L617</f>
        <v>10.4</v>
      </c>
      <c r="N617" s="41" t="n">
        <f aca="false">Исходные!$B$15-M617</f>
        <v>1.3</v>
      </c>
      <c r="O617" s="55" t="n">
        <v>1</v>
      </c>
      <c r="P617" s="53" t="n">
        <f aca="false">(F617+H617+J617+L617)*O617</f>
        <v>3</v>
      </c>
      <c r="Q617" s="74" t="n">
        <f aca="false">M617*O617</f>
        <v>10.4</v>
      </c>
      <c r="R617" s="74" t="n">
        <f aca="false">N617*O617</f>
        <v>1.3</v>
      </c>
    </row>
    <row r="618" customFormat="false" ht="15" hidden="false" customHeight="false" outlineLevel="0" collapsed="false">
      <c r="A618" s="53" t="n">
        <v>4</v>
      </c>
      <c r="B618" s="53" t="n">
        <v>28</v>
      </c>
      <c r="C618" s="76" t="s">
        <v>512</v>
      </c>
      <c r="D618" s="53" t="n">
        <v>12</v>
      </c>
      <c r="E618" s="73" t="n">
        <v>3</v>
      </c>
      <c r="F618" s="55" t="n">
        <v>2</v>
      </c>
      <c r="G618" s="73" t="n">
        <v>2.05</v>
      </c>
      <c r="H618" s="55" t="n">
        <v>2</v>
      </c>
      <c r="I618" s="20"/>
      <c r="J618" s="20"/>
      <c r="K618" s="20"/>
      <c r="L618" s="20"/>
      <c r="M618" s="41" t="n">
        <f aca="false">E618*F618+G618*H618+I618*J618+K618*L618</f>
        <v>10.1</v>
      </c>
      <c r="N618" s="41" t="n">
        <f aca="false">Исходные!$B$15-M618</f>
        <v>1.6</v>
      </c>
      <c r="O618" s="55" t="n">
        <v>1</v>
      </c>
      <c r="P618" s="53" t="n">
        <f aca="false">(F618+H618+J618+L618)*O618</f>
        <v>4</v>
      </c>
      <c r="Q618" s="74" t="n">
        <f aca="false">M618*O618</f>
        <v>10.1</v>
      </c>
      <c r="R618" s="74" t="n">
        <f aca="false">N618*O618</f>
        <v>1.6</v>
      </c>
    </row>
    <row r="619" customFormat="false" ht="15" hidden="false" customHeight="false" outlineLevel="0" collapsed="false">
      <c r="A619" s="53" t="n">
        <v>4</v>
      </c>
      <c r="B619" s="53" t="n">
        <v>28</v>
      </c>
      <c r="C619" s="76" t="s">
        <v>512</v>
      </c>
      <c r="D619" s="53" t="n">
        <v>13</v>
      </c>
      <c r="E619" s="73" t="n">
        <v>2.05</v>
      </c>
      <c r="F619" s="55" t="n">
        <v>4</v>
      </c>
      <c r="G619" s="20"/>
      <c r="H619" s="20"/>
      <c r="I619" s="20"/>
      <c r="J619" s="20"/>
      <c r="K619" s="20"/>
      <c r="L619" s="20"/>
      <c r="M619" s="41" t="n">
        <f aca="false">E619*F619+G619*H619+I619*J619+K619*L619</f>
        <v>8.2</v>
      </c>
      <c r="N619" s="41" t="n">
        <f aca="false">Исходные!$B$15-M619</f>
        <v>3.5</v>
      </c>
      <c r="O619" s="55" t="n">
        <v>1</v>
      </c>
      <c r="P619" s="53" t="n">
        <f aca="false">(F619+H619+J619+L619)*O619</f>
        <v>4</v>
      </c>
      <c r="Q619" s="74" t="n">
        <f aca="false">M619*O619</f>
        <v>8.2</v>
      </c>
      <c r="R619" s="74" t="n">
        <f aca="false">N619*O619</f>
        <v>3.5</v>
      </c>
    </row>
    <row r="620" customFormat="false" ht="15" hidden="false" customHeight="false" outlineLevel="0" collapsed="false">
      <c r="A620" s="53" t="n">
        <v>4</v>
      </c>
      <c r="B620" s="53" t="n">
        <v>25</v>
      </c>
      <c r="C620" s="76" t="s">
        <v>512</v>
      </c>
      <c r="D620" s="53" t="n">
        <v>1</v>
      </c>
      <c r="E620" s="73" t="n">
        <v>11.7</v>
      </c>
      <c r="F620" s="55" t="n">
        <v>1</v>
      </c>
      <c r="G620" s="20"/>
      <c r="H620" s="20"/>
      <c r="I620" s="20"/>
      <c r="J620" s="20"/>
      <c r="K620" s="20"/>
      <c r="L620" s="20"/>
      <c r="M620" s="41" t="n">
        <f aca="false">E620*F620+G620*H620+I620*J620+K620*L620</f>
        <v>11.7</v>
      </c>
      <c r="N620" s="41" t="n">
        <f aca="false">Исходные!$B$15-M620</f>
        <v>0</v>
      </c>
      <c r="O620" s="55" t="n">
        <v>42</v>
      </c>
      <c r="P620" s="53" t="n">
        <f aca="false">(F620+H620+J620+L620)*O620</f>
        <v>42</v>
      </c>
      <c r="Q620" s="74" t="n">
        <f aca="false">M620*O620</f>
        <v>491.4</v>
      </c>
      <c r="R620" s="74" t="n">
        <f aca="false">N620*O620</f>
        <v>0</v>
      </c>
    </row>
    <row r="621" customFormat="false" ht="15" hidden="false" customHeight="false" outlineLevel="0" collapsed="false">
      <c r="A621" s="53" t="n">
        <v>4</v>
      </c>
      <c r="B621" s="53" t="n">
        <v>25</v>
      </c>
      <c r="C621" s="76" t="s">
        <v>512</v>
      </c>
      <c r="D621" s="53" t="n">
        <v>2</v>
      </c>
      <c r="E621" s="73" t="n">
        <v>3.3</v>
      </c>
      <c r="F621" s="55" t="n">
        <v>1</v>
      </c>
      <c r="G621" s="73" t="n">
        <v>3.065</v>
      </c>
      <c r="H621" s="55" t="n">
        <v>2</v>
      </c>
      <c r="I621" s="73" t="n">
        <v>2.21</v>
      </c>
      <c r="J621" s="55" t="n">
        <v>1</v>
      </c>
      <c r="K621" s="20"/>
      <c r="L621" s="20"/>
      <c r="M621" s="41" t="n">
        <f aca="false">E621*F621+G621*H621+I621*J621+K621*L621</f>
        <v>11.64</v>
      </c>
      <c r="N621" s="41" t="n">
        <f aca="false">Исходные!$B$15-M621</f>
        <v>0.0599999999999987</v>
      </c>
      <c r="O621" s="55" t="n">
        <v>1</v>
      </c>
      <c r="P621" s="53" t="n">
        <f aca="false">(F621+H621+J621+L621)*O621</f>
        <v>4</v>
      </c>
      <c r="Q621" s="74" t="n">
        <f aca="false">M621*O621</f>
        <v>11.64</v>
      </c>
      <c r="R621" s="74" t="n">
        <f aca="false">N621*O621</f>
        <v>0.0599999999999987</v>
      </c>
    </row>
    <row r="622" customFormat="false" ht="15" hidden="false" customHeight="false" outlineLevel="0" collapsed="false">
      <c r="A622" s="53" t="n">
        <v>4</v>
      </c>
      <c r="B622" s="53" t="n">
        <v>25</v>
      </c>
      <c r="C622" s="76" t="s">
        <v>512</v>
      </c>
      <c r="D622" s="53" t="n">
        <v>3</v>
      </c>
      <c r="E622" s="73" t="n">
        <v>3.065</v>
      </c>
      <c r="F622" s="55" t="n">
        <v>2</v>
      </c>
      <c r="G622" s="73" t="n">
        <v>2</v>
      </c>
      <c r="H622" s="55" t="n">
        <v>2</v>
      </c>
      <c r="I622" s="73" t="n">
        <v>1.5</v>
      </c>
      <c r="J622" s="55" t="n">
        <v>1</v>
      </c>
      <c r="K622" s="20"/>
      <c r="L622" s="20"/>
      <c r="M622" s="41" t="n">
        <f aca="false">E622*F622+G622*H622+I622*J622+K622*L622</f>
        <v>11.63</v>
      </c>
      <c r="N622" s="41" t="n">
        <f aca="false">Исходные!$B$15-M622</f>
        <v>0.0700000000000003</v>
      </c>
      <c r="O622" s="55" t="n">
        <v>1</v>
      </c>
      <c r="P622" s="53" t="n">
        <f aca="false">(F622+H622+J622+L622)*O622</f>
        <v>5</v>
      </c>
      <c r="Q622" s="74" t="n">
        <f aca="false">M622*O622</f>
        <v>11.63</v>
      </c>
      <c r="R622" s="74" t="n">
        <f aca="false">N622*O622</f>
        <v>0.0700000000000003</v>
      </c>
    </row>
    <row r="623" customFormat="false" ht="15" hidden="false" customHeight="false" outlineLevel="0" collapsed="false">
      <c r="A623" s="53" t="n">
        <v>4</v>
      </c>
      <c r="B623" s="53" t="n">
        <v>25</v>
      </c>
      <c r="C623" s="76" t="s">
        <v>512</v>
      </c>
      <c r="D623" s="53" t="n">
        <v>4</v>
      </c>
      <c r="E623" s="73" t="n">
        <v>3.8</v>
      </c>
      <c r="F623" s="55" t="n">
        <v>2</v>
      </c>
      <c r="G623" s="73" t="n">
        <v>3.785</v>
      </c>
      <c r="H623" s="55" t="n">
        <v>1</v>
      </c>
      <c r="I623" s="73" t="n">
        <v>0.2</v>
      </c>
      <c r="J623" s="55" t="n">
        <v>1</v>
      </c>
      <c r="K623" s="20"/>
      <c r="L623" s="20"/>
      <c r="M623" s="41" t="n">
        <f aca="false">E623*F623+G623*H623+I623*J623+K623*L623</f>
        <v>11.585</v>
      </c>
      <c r="N623" s="41" t="n">
        <f aca="false">Исходные!$B$15-M623</f>
        <v>0.115</v>
      </c>
      <c r="O623" s="55" t="n">
        <v>1</v>
      </c>
      <c r="P623" s="53" t="n">
        <f aca="false">(F623+H623+J623+L623)*O623</f>
        <v>4</v>
      </c>
      <c r="Q623" s="74" t="n">
        <f aca="false">M623*O623</f>
        <v>11.585</v>
      </c>
      <c r="R623" s="74" t="n">
        <f aca="false">N623*O623</f>
        <v>0.115</v>
      </c>
    </row>
    <row r="624" customFormat="false" ht="15" hidden="false" customHeight="false" outlineLevel="0" collapsed="false">
      <c r="A624" s="53" t="n">
        <v>4</v>
      </c>
      <c r="B624" s="53" t="n">
        <v>25</v>
      </c>
      <c r="C624" s="76" t="s">
        <v>512</v>
      </c>
      <c r="D624" s="53" t="n">
        <v>5</v>
      </c>
      <c r="E624" s="73" t="n">
        <v>3.785</v>
      </c>
      <c r="F624" s="55" t="n">
        <v>3</v>
      </c>
      <c r="G624" s="73" t="n">
        <v>0.2</v>
      </c>
      <c r="H624" s="55" t="n">
        <v>1</v>
      </c>
      <c r="I624" s="20"/>
      <c r="J624" s="20"/>
      <c r="K624" s="20"/>
      <c r="L624" s="20"/>
      <c r="M624" s="41" t="n">
        <f aca="false">E624*F624+G624*H624+I624*J624+K624*L624</f>
        <v>11.555</v>
      </c>
      <c r="N624" s="41" t="n">
        <f aca="false">Исходные!$B$15-M624</f>
        <v>0.145</v>
      </c>
      <c r="O624" s="55" t="n">
        <v>1</v>
      </c>
      <c r="P624" s="53" t="n">
        <f aca="false">(F624+H624+J624+L624)*O624</f>
        <v>4</v>
      </c>
      <c r="Q624" s="74" t="n">
        <f aca="false">M624*O624</f>
        <v>11.555</v>
      </c>
      <c r="R624" s="74" t="n">
        <f aca="false">N624*O624</f>
        <v>0.145</v>
      </c>
    </row>
    <row r="625" customFormat="false" ht="15" hidden="false" customHeight="false" outlineLevel="0" collapsed="false">
      <c r="A625" s="53" t="n">
        <v>4</v>
      </c>
      <c r="B625" s="53" t="n">
        <v>25</v>
      </c>
      <c r="C625" s="76" t="s">
        <v>512</v>
      </c>
      <c r="D625" s="53" t="n">
        <v>6</v>
      </c>
      <c r="E625" s="73" t="n">
        <v>3.365</v>
      </c>
      <c r="F625" s="55" t="n">
        <v>2</v>
      </c>
      <c r="G625" s="73" t="n">
        <v>3.3</v>
      </c>
      <c r="H625" s="55" t="n">
        <v>1</v>
      </c>
      <c r="I625" s="73" t="n">
        <v>1.5</v>
      </c>
      <c r="J625" s="55" t="n">
        <v>1</v>
      </c>
      <c r="K625" s="20"/>
      <c r="L625" s="20"/>
      <c r="M625" s="41" t="n">
        <f aca="false">E625*F625+G625*H625+I625*J625+K625*L625</f>
        <v>11.53</v>
      </c>
      <c r="N625" s="41" t="n">
        <f aca="false">Исходные!$B$15-M625</f>
        <v>0.169999999999998</v>
      </c>
      <c r="O625" s="55" t="n">
        <v>1</v>
      </c>
      <c r="P625" s="53" t="n">
        <f aca="false">(F625+H625+J625+L625)*O625</f>
        <v>4</v>
      </c>
      <c r="Q625" s="74" t="n">
        <f aca="false">M625*O625</f>
        <v>11.53</v>
      </c>
      <c r="R625" s="74" t="n">
        <f aca="false">N625*O625</f>
        <v>0.169999999999998</v>
      </c>
    </row>
    <row r="626" customFormat="false" ht="15" hidden="false" customHeight="false" outlineLevel="0" collapsed="false">
      <c r="A626" s="53" t="n">
        <v>4</v>
      </c>
      <c r="B626" s="53" t="n">
        <v>25</v>
      </c>
      <c r="C626" s="76" t="s">
        <v>512</v>
      </c>
      <c r="D626" s="53" t="n">
        <v>7</v>
      </c>
      <c r="E626" s="73" t="n">
        <v>3.7</v>
      </c>
      <c r="F626" s="55" t="n">
        <v>2</v>
      </c>
      <c r="G626" s="73" t="n">
        <v>3.6</v>
      </c>
      <c r="H626" s="55" t="n">
        <v>1</v>
      </c>
      <c r="I626" s="73" t="n">
        <v>0.2</v>
      </c>
      <c r="J626" s="55" t="n">
        <v>2</v>
      </c>
      <c r="K626" s="20"/>
      <c r="L626" s="20"/>
      <c r="M626" s="41" t="n">
        <f aca="false">E626*F626+G626*H626+I626*J626+K626*L626</f>
        <v>11.4</v>
      </c>
      <c r="N626" s="41" t="n">
        <f aca="false">Исходные!$B$15-M626</f>
        <v>0.299999999999999</v>
      </c>
      <c r="O626" s="55" t="n">
        <v>1</v>
      </c>
      <c r="P626" s="53" t="n">
        <f aca="false">(F626+H626+J626+L626)*O626</f>
        <v>5</v>
      </c>
      <c r="Q626" s="74" t="n">
        <f aca="false">M626*O626</f>
        <v>11.4</v>
      </c>
      <c r="R626" s="74" t="n">
        <f aca="false">N626*O626</f>
        <v>0.299999999999999</v>
      </c>
    </row>
    <row r="627" customFormat="false" ht="15" hidden="false" customHeight="false" outlineLevel="0" collapsed="false">
      <c r="A627" s="53" t="n">
        <v>4</v>
      </c>
      <c r="B627" s="53" t="n">
        <v>25</v>
      </c>
      <c r="C627" s="76" t="s">
        <v>512</v>
      </c>
      <c r="D627" s="53" t="n">
        <v>8</v>
      </c>
      <c r="E627" s="73" t="n">
        <v>8.7</v>
      </c>
      <c r="F627" s="55" t="n">
        <v>1</v>
      </c>
      <c r="G627" s="73" t="n">
        <v>2.21</v>
      </c>
      <c r="H627" s="55" t="n">
        <v>1</v>
      </c>
      <c r="I627" s="20"/>
      <c r="J627" s="20"/>
      <c r="K627" s="20"/>
      <c r="L627" s="20"/>
      <c r="M627" s="41" t="n">
        <f aca="false">E627*F627+G627*H627+I627*J627+K627*L627</f>
        <v>10.91</v>
      </c>
      <c r="N627" s="41" t="n">
        <f aca="false">Исходные!$B$15-M627</f>
        <v>0.789999999999999</v>
      </c>
      <c r="O627" s="55" t="n">
        <v>3</v>
      </c>
      <c r="P627" s="53" t="n">
        <f aca="false">(F627+H627+J627+L627)*O627</f>
        <v>6</v>
      </c>
      <c r="Q627" s="74" t="n">
        <f aca="false">M627*O627</f>
        <v>32.73</v>
      </c>
      <c r="R627" s="74" t="n">
        <f aca="false">N627*O627</f>
        <v>2.37</v>
      </c>
    </row>
    <row r="628" customFormat="false" ht="15" hidden="false" customHeight="false" outlineLevel="0" collapsed="false">
      <c r="A628" s="53" t="n">
        <v>4</v>
      </c>
      <c r="B628" s="53" t="n">
        <v>25</v>
      </c>
      <c r="C628" s="76" t="s">
        <v>512</v>
      </c>
      <c r="D628" s="53" t="n">
        <v>9</v>
      </c>
      <c r="E628" s="73" t="n">
        <v>8.7</v>
      </c>
      <c r="F628" s="55" t="n">
        <v>1</v>
      </c>
      <c r="G628" s="73" t="n">
        <v>2.2</v>
      </c>
      <c r="H628" s="55" t="n">
        <v>1</v>
      </c>
      <c r="I628" s="20"/>
      <c r="J628" s="20"/>
      <c r="K628" s="20"/>
      <c r="L628" s="20"/>
      <c r="M628" s="41" t="n">
        <f aca="false">E628*F628+G628*H628+I628*J628+K628*L628</f>
        <v>10.9</v>
      </c>
      <c r="N628" s="41" t="n">
        <f aca="false">Исходные!$B$15-M628</f>
        <v>0.800000000000001</v>
      </c>
      <c r="O628" s="55" t="n">
        <v>8</v>
      </c>
      <c r="P628" s="53" t="n">
        <f aca="false">(F628+H628+J628+L628)*O628</f>
        <v>16</v>
      </c>
      <c r="Q628" s="74" t="n">
        <f aca="false">M628*O628</f>
        <v>87.2</v>
      </c>
      <c r="R628" s="74" t="n">
        <f aca="false">N628*O628</f>
        <v>6.40000000000001</v>
      </c>
    </row>
    <row r="629" customFormat="false" ht="15" hidden="false" customHeight="false" outlineLevel="0" collapsed="false">
      <c r="A629" s="53" t="n">
        <v>4</v>
      </c>
      <c r="B629" s="53" t="n">
        <v>25</v>
      </c>
      <c r="C629" s="76" t="s">
        <v>512</v>
      </c>
      <c r="D629" s="53" t="n">
        <v>10</v>
      </c>
      <c r="E629" s="73" t="n">
        <v>3.6</v>
      </c>
      <c r="F629" s="55" t="n">
        <v>3</v>
      </c>
      <c r="G629" s="20"/>
      <c r="H629" s="20"/>
      <c r="I629" s="20"/>
      <c r="J629" s="20"/>
      <c r="K629" s="20"/>
      <c r="L629" s="20"/>
      <c r="M629" s="41" t="n">
        <f aca="false">E629*F629+G629*H629+I629*J629+K629*L629</f>
        <v>10.8</v>
      </c>
      <c r="N629" s="41" t="n">
        <f aca="false">Исходные!$B$15-M629</f>
        <v>0.899999999999999</v>
      </c>
      <c r="O629" s="55" t="n">
        <v>4</v>
      </c>
      <c r="P629" s="53" t="n">
        <f aca="false">(F629+H629+J629+L629)*O629</f>
        <v>12</v>
      </c>
      <c r="Q629" s="74" t="n">
        <f aca="false">M629*O629</f>
        <v>43.2</v>
      </c>
      <c r="R629" s="74" t="n">
        <f aca="false">N629*O629</f>
        <v>3.59999999999999</v>
      </c>
    </row>
    <row r="630" customFormat="false" ht="15" hidden="false" customHeight="false" outlineLevel="0" collapsed="false">
      <c r="A630" s="53" t="n">
        <v>4</v>
      </c>
      <c r="B630" s="53" t="n">
        <v>25</v>
      </c>
      <c r="C630" s="76" t="s">
        <v>512</v>
      </c>
      <c r="D630" s="53" t="n">
        <v>11</v>
      </c>
      <c r="E630" s="73" t="n">
        <v>8.7</v>
      </c>
      <c r="F630" s="55" t="n">
        <v>1</v>
      </c>
      <c r="G630" s="73" t="n">
        <v>2</v>
      </c>
      <c r="H630" s="55" t="n">
        <v>1</v>
      </c>
      <c r="I630" s="20"/>
      <c r="J630" s="20"/>
      <c r="K630" s="20"/>
      <c r="L630" s="20"/>
      <c r="M630" s="41" t="n">
        <f aca="false">E630*F630+G630*H630+I630*J630+K630*L630</f>
        <v>10.7</v>
      </c>
      <c r="N630" s="41" t="n">
        <f aca="false">Исходные!$B$15-M630</f>
        <v>1</v>
      </c>
      <c r="O630" s="55" t="n">
        <v>1</v>
      </c>
      <c r="P630" s="53" t="n">
        <f aca="false">(F630+H630+J630+L630)*O630</f>
        <v>2</v>
      </c>
      <c r="Q630" s="74" t="n">
        <f aca="false">M630*O630</f>
        <v>10.7</v>
      </c>
      <c r="R630" s="74" t="n">
        <f aca="false">N630*O630</f>
        <v>1</v>
      </c>
    </row>
    <row r="631" customFormat="false" ht="15" hidden="false" customHeight="false" outlineLevel="0" collapsed="false">
      <c r="A631" s="53" t="n">
        <v>4</v>
      </c>
      <c r="B631" s="53" t="n">
        <v>25</v>
      </c>
      <c r="C631" s="76" t="s">
        <v>512</v>
      </c>
      <c r="D631" s="53" t="n">
        <v>12</v>
      </c>
      <c r="E631" s="73" t="n">
        <v>6.2</v>
      </c>
      <c r="F631" s="55" t="n">
        <v>1</v>
      </c>
      <c r="G631" s="73" t="n">
        <v>4.3</v>
      </c>
      <c r="H631" s="55" t="n">
        <v>1</v>
      </c>
      <c r="I631" s="20"/>
      <c r="J631" s="20"/>
      <c r="K631" s="20"/>
      <c r="L631" s="20"/>
      <c r="M631" s="41" t="n">
        <f aca="false">E631*F631+G631*H631+I631*J631+K631*L631</f>
        <v>10.5</v>
      </c>
      <c r="N631" s="41" t="n">
        <f aca="false">Исходные!$B$15-M631</f>
        <v>1.2</v>
      </c>
      <c r="O631" s="55" t="n">
        <v>2</v>
      </c>
      <c r="P631" s="53" t="n">
        <f aca="false">(F631+H631+J631+L631)*O631</f>
        <v>4</v>
      </c>
      <c r="Q631" s="74" t="n">
        <f aca="false">M631*O631</f>
        <v>21</v>
      </c>
      <c r="R631" s="74" t="n">
        <f aca="false">N631*O631</f>
        <v>2.4</v>
      </c>
    </row>
    <row r="632" customFormat="false" ht="15" hidden="false" customHeight="false" outlineLevel="0" collapsed="false">
      <c r="A632" s="53" t="n">
        <v>4</v>
      </c>
      <c r="B632" s="53" t="n">
        <v>25</v>
      </c>
      <c r="C632" s="76" t="s">
        <v>512</v>
      </c>
      <c r="D632" s="53" t="n">
        <v>13</v>
      </c>
      <c r="E632" s="73" t="n">
        <v>3.6</v>
      </c>
      <c r="F632" s="55" t="n">
        <v>1</v>
      </c>
      <c r="G632" s="73" t="n">
        <v>3.365</v>
      </c>
      <c r="H632" s="55" t="n">
        <v>2</v>
      </c>
      <c r="I632" s="20"/>
      <c r="J632" s="20"/>
      <c r="K632" s="20"/>
      <c r="L632" s="20"/>
      <c r="M632" s="41" t="n">
        <f aca="false">E632*F632+G632*H632+I632*J632+K632*L632</f>
        <v>10.33</v>
      </c>
      <c r="N632" s="41" t="n">
        <f aca="false">Исходные!$B$15-M632</f>
        <v>1.37</v>
      </c>
      <c r="O632" s="55" t="n">
        <v>1</v>
      </c>
      <c r="P632" s="53" t="n">
        <f aca="false">(F632+H632+J632+L632)*O632</f>
        <v>3</v>
      </c>
      <c r="Q632" s="74" t="n">
        <f aca="false">M632*O632</f>
        <v>10.33</v>
      </c>
      <c r="R632" s="74" t="n">
        <f aca="false">N632*O632</f>
        <v>1.37</v>
      </c>
    </row>
    <row r="633" customFormat="false" ht="15" hidden="false" customHeight="false" outlineLevel="0" collapsed="false">
      <c r="A633" s="53" t="n">
        <v>4</v>
      </c>
      <c r="B633" s="53" t="n">
        <v>25</v>
      </c>
      <c r="C633" s="76" t="s">
        <v>512</v>
      </c>
      <c r="D633" s="53" t="n">
        <v>14</v>
      </c>
      <c r="E633" s="73" t="n">
        <v>2</v>
      </c>
      <c r="F633" s="55" t="n">
        <v>5</v>
      </c>
      <c r="G633" s="20"/>
      <c r="H633" s="20"/>
      <c r="I633" s="20"/>
      <c r="J633" s="20"/>
      <c r="K633" s="20"/>
      <c r="L633" s="20"/>
      <c r="M633" s="41" t="n">
        <f aca="false">E633*F633+G633*H633+I633*J633+K633*L633</f>
        <v>10</v>
      </c>
      <c r="N633" s="41" t="n">
        <f aca="false">Исходные!$B$15-M633</f>
        <v>1.7</v>
      </c>
      <c r="O633" s="55" t="n">
        <v>1</v>
      </c>
      <c r="P633" s="53" t="n">
        <f aca="false">(F633+H633+J633+L633)*O633</f>
        <v>5</v>
      </c>
      <c r="Q633" s="74" t="n">
        <f aca="false">M633*O633</f>
        <v>10</v>
      </c>
      <c r="R633" s="74" t="n">
        <f aca="false">N633*O633</f>
        <v>1.7</v>
      </c>
    </row>
    <row r="634" customFormat="false" ht="15" hidden="false" customHeight="false" outlineLevel="0" collapsed="false">
      <c r="A634" s="53" t="n">
        <v>4</v>
      </c>
      <c r="B634" s="53" t="n">
        <v>22</v>
      </c>
      <c r="C634" s="76" t="s">
        <v>512</v>
      </c>
      <c r="D634" s="53" t="n">
        <v>1</v>
      </c>
      <c r="E634" s="73" t="n">
        <v>2.375</v>
      </c>
      <c r="F634" s="55" t="n">
        <v>4</v>
      </c>
      <c r="G634" s="73" t="n">
        <v>2.175</v>
      </c>
      <c r="H634" s="55" t="n">
        <v>1</v>
      </c>
      <c r="I634" s="20"/>
      <c r="J634" s="20"/>
      <c r="K634" s="20"/>
      <c r="L634" s="20"/>
      <c r="M634" s="41" t="n">
        <f aca="false">E634*F634+G634*H634+I634*J634+K634*L634</f>
        <v>11.675</v>
      </c>
      <c r="N634" s="41" t="n">
        <f aca="false">Исходные!$B$15-M634</f>
        <v>0.0249999999999986</v>
      </c>
      <c r="O634" s="55" t="n">
        <v>1</v>
      </c>
      <c r="P634" s="53" t="n">
        <f aca="false">(F634+H634+J634+L634)*O634</f>
        <v>5</v>
      </c>
      <c r="Q634" s="74" t="n">
        <f aca="false">M634*O634</f>
        <v>11.675</v>
      </c>
      <c r="R634" s="74" t="n">
        <f aca="false">N634*O634</f>
        <v>0.0249999999999986</v>
      </c>
    </row>
    <row r="635" customFormat="false" ht="15" hidden="false" customHeight="false" outlineLevel="0" collapsed="false">
      <c r="A635" s="53" t="n">
        <v>4</v>
      </c>
      <c r="B635" s="53" t="n">
        <v>22</v>
      </c>
      <c r="C635" s="76" t="s">
        <v>512</v>
      </c>
      <c r="D635" s="53" t="n">
        <v>2</v>
      </c>
      <c r="E635" s="73" t="n">
        <v>7.95</v>
      </c>
      <c r="F635" s="55" t="n">
        <v>1</v>
      </c>
      <c r="G635" s="73" t="n">
        <v>3.6</v>
      </c>
      <c r="H635" s="55" t="n">
        <v>1</v>
      </c>
      <c r="I635" s="20"/>
      <c r="J635" s="20"/>
      <c r="K635" s="20"/>
      <c r="L635" s="20"/>
      <c r="M635" s="41" t="n">
        <f aca="false">E635*F635+G635*H635+I635*J635+K635*L635</f>
        <v>11.55</v>
      </c>
      <c r="N635" s="41" t="n">
        <f aca="false">Исходные!$B$15-M635</f>
        <v>0.149999999999999</v>
      </c>
      <c r="O635" s="55" t="n">
        <v>4</v>
      </c>
      <c r="P635" s="53" t="n">
        <f aca="false">(F635+H635+J635+L635)*O635</f>
        <v>8</v>
      </c>
      <c r="Q635" s="74" t="n">
        <f aca="false">M635*O635</f>
        <v>46.2</v>
      </c>
      <c r="R635" s="74" t="n">
        <f aca="false">N635*O635</f>
        <v>0.599999999999994</v>
      </c>
    </row>
    <row r="636" customFormat="false" ht="15" hidden="false" customHeight="false" outlineLevel="0" collapsed="false">
      <c r="A636" s="53" t="n">
        <v>4</v>
      </c>
      <c r="B636" s="53" t="n">
        <v>22</v>
      </c>
      <c r="C636" s="76" t="s">
        <v>512</v>
      </c>
      <c r="D636" s="53" t="n">
        <v>3</v>
      </c>
      <c r="E636" s="73" t="n">
        <v>4.15</v>
      </c>
      <c r="F636" s="55" t="n">
        <v>2</v>
      </c>
      <c r="G636" s="73" t="n">
        <v>3.2</v>
      </c>
      <c r="H636" s="55" t="n">
        <v>1</v>
      </c>
      <c r="I636" s="20"/>
      <c r="J636" s="20"/>
      <c r="K636" s="20"/>
      <c r="L636" s="20"/>
      <c r="M636" s="41" t="n">
        <f aca="false">E636*F636+G636*H636+I636*J636+K636*L636</f>
        <v>11.5</v>
      </c>
      <c r="N636" s="41" t="n">
        <f aca="false">Исходные!$B$15-M636</f>
        <v>0.199999999999999</v>
      </c>
      <c r="O636" s="55" t="n">
        <v>4</v>
      </c>
      <c r="P636" s="53" t="n">
        <f aca="false">(F636+H636+J636+L636)*O636</f>
        <v>12</v>
      </c>
      <c r="Q636" s="74" t="n">
        <f aca="false">M636*O636</f>
        <v>46</v>
      </c>
      <c r="R636" s="74" t="n">
        <f aca="false">N636*O636</f>
        <v>0.799999999999997</v>
      </c>
    </row>
    <row r="637" customFormat="false" ht="15" hidden="false" customHeight="false" outlineLevel="0" collapsed="false">
      <c r="A637" s="53" t="n">
        <v>4</v>
      </c>
      <c r="B637" s="53" t="n">
        <v>22</v>
      </c>
      <c r="C637" s="76" t="s">
        <v>512</v>
      </c>
      <c r="D637" s="53" t="n">
        <v>4</v>
      </c>
      <c r="E637" s="73" t="n">
        <v>3.775</v>
      </c>
      <c r="F637" s="55" t="n">
        <v>3</v>
      </c>
      <c r="G637" s="20"/>
      <c r="H637" s="20"/>
      <c r="I637" s="20"/>
      <c r="J637" s="20"/>
      <c r="K637" s="20"/>
      <c r="L637" s="20"/>
      <c r="M637" s="41" t="n">
        <f aca="false">E637*F637+G637*H637+I637*J637+K637*L637</f>
        <v>11.325</v>
      </c>
      <c r="N637" s="41" t="n">
        <f aca="false">Исходные!$B$15-M637</f>
        <v>0.375</v>
      </c>
      <c r="O637" s="55" t="n">
        <v>1</v>
      </c>
      <c r="P637" s="53" t="n">
        <f aca="false">(F637+H637+J637+L637)*O637</f>
        <v>3</v>
      </c>
      <c r="Q637" s="74" t="n">
        <f aca="false">M637*O637</f>
        <v>11.325</v>
      </c>
      <c r="R637" s="74" t="n">
        <f aca="false">N637*O637</f>
        <v>0.375</v>
      </c>
    </row>
    <row r="638" customFormat="false" ht="15" hidden="false" customHeight="false" outlineLevel="0" collapsed="false">
      <c r="A638" s="53" t="n">
        <v>4</v>
      </c>
      <c r="B638" s="53" t="n">
        <v>22</v>
      </c>
      <c r="C638" s="76" t="s">
        <v>512</v>
      </c>
      <c r="D638" s="53" t="n">
        <v>5</v>
      </c>
      <c r="E638" s="73" t="n">
        <v>3.775</v>
      </c>
      <c r="F638" s="55" t="n">
        <v>1</v>
      </c>
      <c r="G638" s="73" t="n">
        <v>3.6</v>
      </c>
      <c r="H638" s="55" t="n">
        <v>2</v>
      </c>
      <c r="I638" s="20"/>
      <c r="J638" s="20"/>
      <c r="K638" s="20"/>
      <c r="L638" s="20"/>
      <c r="M638" s="41" t="n">
        <f aca="false">E638*F638+G638*H638+I638*J638+K638*L638</f>
        <v>10.975</v>
      </c>
      <c r="N638" s="41" t="n">
        <f aca="false">Исходные!$B$15-M638</f>
        <v>0.725</v>
      </c>
      <c r="O638" s="55" t="n">
        <v>1</v>
      </c>
      <c r="P638" s="53" t="n">
        <f aca="false">(F638+H638+J638+L638)*O638</f>
        <v>3</v>
      </c>
      <c r="Q638" s="74" t="n">
        <f aca="false">M638*O638</f>
        <v>10.975</v>
      </c>
      <c r="R638" s="74" t="n">
        <f aca="false">N638*O638</f>
        <v>0.725</v>
      </c>
    </row>
    <row r="639" customFormat="false" ht="15" hidden="false" customHeight="false" outlineLevel="0" collapsed="false">
      <c r="A639" s="53" t="n">
        <v>4</v>
      </c>
      <c r="B639" s="53" t="n">
        <v>22</v>
      </c>
      <c r="C639" s="76" t="s">
        <v>512</v>
      </c>
      <c r="D639" s="53" t="n">
        <v>6</v>
      </c>
      <c r="E639" s="73" t="n">
        <v>2.175</v>
      </c>
      <c r="F639" s="55" t="n">
        <v>5</v>
      </c>
      <c r="G639" s="20"/>
      <c r="H639" s="20"/>
      <c r="I639" s="20"/>
      <c r="J639" s="20"/>
      <c r="K639" s="20"/>
      <c r="L639" s="20"/>
      <c r="M639" s="41" t="n">
        <f aca="false">E639*F639+G639*H639+I639*J639+K639*L639</f>
        <v>10.875</v>
      </c>
      <c r="N639" s="41" t="n">
        <f aca="false">Исходные!$B$15-M639</f>
        <v>0.824999999999999</v>
      </c>
      <c r="O639" s="55" t="n">
        <v>3</v>
      </c>
      <c r="P639" s="53" t="n">
        <f aca="false">(F639+H639+J639+L639)*O639</f>
        <v>15</v>
      </c>
      <c r="Q639" s="74" t="n">
        <f aca="false">M639*O639</f>
        <v>32.625</v>
      </c>
      <c r="R639" s="74" t="n">
        <f aca="false">N639*O639</f>
        <v>2.475</v>
      </c>
    </row>
    <row r="640" customFormat="false" ht="15" hidden="false" customHeight="false" outlineLevel="0" collapsed="false">
      <c r="A640" s="53" t="n">
        <v>4</v>
      </c>
      <c r="B640" s="53" t="n">
        <v>22</v>
      </c>
      <c r="C640" s="76" t="s">
        <v>512</v>
      </c>
      <c r="D640" s="53" t="n">
        <v>7</v>
      </c>
      <c r="E640" s="73" t="n">
        <v>3.6</v>
      </c>
      <c r="F640" s="55" t="n">
        <v>3</v>
      </c>
      <c r="G640" s="20"/>
      <c r="H640" s="20"/>
      <c r="I640" s="20"/>
      <c r="J640" s="20"/>
      <c r="K640" s="20"/>
      <c r="L640" s="20"/>
      <c r="M640" s="41" t="n">
        <f aca="false">E640*F640+G640*H640+I640*J640+K640*L640</f>
        <v>10.8</v>
      </c>
      <c r="N640" s="41" t="n">
        <f aca="false">Исходные!$B$15-M640</f>
        <v>0.899999999999999</v>
      </c>
      <c r="O640" s="55" t="n">
        <v>16</v>
      </c>
      <c r="P640" s="53" t="n">
        <f aca="false">(F640+H640+J640+L640)*O640</f>
        <v>48</v>
      </c>
      <c r="Q640" s="74" t="n">
        <f aca="false">M640*O640</f>
        <v>172.8</v>
      </c>
      <c r="R640" s="74" t="n">
        <f aca="false">N640*O640</f>
        <v>14.4</v>
      </c>
    </row>
    <row r="641" customFormat="false" ht="15" hidden="false" customHeight="false" outlineLevel="0" collapsed="false">
      <c r="A641" s="53" t="n">
        <v>4</v>
      </c>
      <c r="B641" s="53" t="n">
        <v>22</v>
      </c>
      <c r="C641" s="76" t="s">
        <v>512</v>
      </c>
      <c r="D641" s="53" t="n">
        <v>8</v>
      </c>
      <c r="E641" s="73" t="n">
        <v>2.15</v>
      </c>
      <c r="F641" s="55" t="n">
        <v>5</v>
      </c>
      <c r="G641" s="20"/>
      <c r="H641" s="20"/>
      <c r="I641" s="20"/>
      <c r="J641" s="20"/>
      <c r="K641" s="20"/>
      <c r="L641" s="20"/>
      <c r="M641" s="41" t="n">
        <f aca="false">E641*F641+G641*H641+I641*J641+K641*L641</f>
        <v>10.75</v>
      </c>
      <c r="N641" s="41" t="n">
        <f aca="false">Исходные!$B$15-M641</f>
        <v>0.949999999999999</v>
      </c>
      <c r="O641" s="55" t="n">
        <v>3</v>
      </c>
      <c r="P641" s="53" t="n">
        <f aca="false">(F641+H641+J641+L641)*O641</f>
        <v>15</v>
      </c>
      <c r="Q641" s="74" t="n">
        <f aca="false">M641*O641</f>
        <v>32.25</v>
      </c>
      <c r="R641" s="74" t="n">
        <f aca="false">N641*O641</f>
        <v>2.85</v>
      </c>
    </row>
    <row r="642" customFormat="false" ht="15" hidden="false" customHeight="false" outlineLevel="0" collapsed="false">
      <c r="A642" s="53" t="n">
        <v>4</v>
      </c>
      <c r="B642" s="53" t="n">
        <v>22</v>
      </c>
      <c r="C642" s="76" t="s">
        <v>512</v>
      </c>
      <c r="D642" s="53" t="n">
        <v>9</v>
      </c>
      <c r="E642" s="73" t="n">
        <v>2.15</v>
      </c>
      <c r="F642" s="55" t="n">
        <v>1</v>
      </c>
      <c r="G642" s="20"/>
      <c r="H642" s="20"/>
      <c r="I642" s="20"/>
      <c r="J642" s="20"/>
      <c r="K642" s="20"/>
      <c r="L642" s="20"/>
      <c r="M642" s="41" t="n">
        <f aca="false">E642*F642+G642*H642+I642*J642+K642*L642</f>
        <v>2.15</v>
      </c>
      <c r="N642" s="41" t="n">
        <f aca="false">Исходные!$B$15-M642</f>
        <v>9.55</v>
      </c>
      <c r="O642" s="55" t="n">
        <v>1</v>
      </c>
      <c r="P642" s="53" t="n">
        <f aca="false">(F642+H642+J642+L642)*O642</f>
        <v>1</v>
      </c>
      <c r="Q642" s="74" t="n">
        <f aca="false">M642*O642</f>
        <v>2.15</v>
      </c>
      <c r="R642" s="74" t="n">
        <f aca="false">N642*O642</f>
        <v>9.55</v>
      </c>
    </row>
    <row r="643" customFormat="false" ht="15" hidden="false" customHeight="false" outlineLevel="0" collapsed="false">
      <c r="A643" s="53" t="n">
        <v>4</v>
      </c>
      <c r="B643" s="53" t="n">
        <v>20</v>
      </c>
      <c r="C643" s="76" t="s">
        <v>512</v>
      </c>
      <c r="D643" s="53" t="n">
        <v>1</v>
      </c>
      <c r="E643" s="73" t="n">
        <v>3.325</v>
      </c>
      <c r="F643" s="55" t="n">
        <v>2</v>
      </c>
      <c r="G643" s="73" t="n">
        <v>3.05</v>
      </c>
      <c r="H643" s="55" t="n">
        <v>1</v>
      </c>
      <c r="I643" s="73" t="n">
        <v>1.85</v>
      </c>
      <c r="J643" s="55" t="n">
        <v>1</v>
      </c>
      <c r="K643" s="20"/>
      <c r="L643" s="20"/>
      <c r="M643" s="41" t="n">
        <f aca="false">E643*F643+G643*H643+I643*J643+K643*L643</f>
        <v>11.55</v>
      </c>
      <c r="N643" s="41" t="n">
        <f aca="false">Исходные!$B$15-M643</f>
        <v>0.15</v>
      </c>
      <c r="O643" s="55" t="n">
        <v>1</v>
      </c>
      <c r="P643" s="53" t="n">
        <f aca="false">(F643+H643+J643+L643)*O643</f>
        <v>4</v>
      </c>
      <c r="Q643" s="74" t="n">
        <f aca="false">M643*O643</f>
        <v>11.55</v>
      </c>
      <c r="R643" s="74" t="n">
        <f aca="false">N643*O643</f>
        <v>0.15</v>
      </c>
    </row>
    <row r="644" customFormat="false" ht="15" hidden="false" customHeight="false" outlineLevel="0" collapsed="false">
      <c r="A644" s="53" t="n">
        <v>4</v>
      </c>
      <c r="B644" s="53" t="n">
        <v>20</v>
      </c>
      <c r="C644" s="76" t="s">
        <v>512</v>
      </c>
      <c r="D644" s="53" t="n">
        <v>2</v>
      </c>
      <c r="E644" s="73" t="n">
        <v>4.1</v>
      </c>
      <c r="F644" s="55" t="n">
        <v>2</v>
      </c>
      <c r="G644" s="73" t="n">
        <v>3.325</v>
      </c>
      <c r="H644" s="55" t="n">
        <v>1</v>
      </c>
      <c r="I644" s="20"/>
      <c r="J644" s="20"/>
      <c r="K644" s="20"/>
      <c r="L644" s="20"/>
      <c r="M644" s="41" t="n">
        <f aca="false">E644*F644+G644*H644+I644*J644+K644*L644</f>
        <v>11.525</v>
      </c>
      <c r="N644" s="41" t="n">
        <f aca="false">Исходные!$B$15-M644</f>
        <v>0.175000000000001</v>
      </c>
      <c r="O644" s="55" t="n">
        <v>2</v>
      </c>
      <c r="P644" s="53" t="n">
        <f aca="false">(F644+H644+J644+L644)*O644</f>
        <v>6</v>
      </c>
      <c r="Q644" s="74" t="n">
        <f aca="false">M644*O644</f>
        <v>23.05</v>
      </c>
      <c r="R644" s="74" t="n">
        <f aca="false">N644*O644</f>
        <v>0.350000000000001</v>
      </c>
    </row>
    <row r="645" customFormat="false" ht="15" hidden="false" customHeight="false" outlineLevel="0" collapsed="false">
      <c r="A645" s="53" t="n">
        <v>4</v>
      </c>
      <c r="B645" s="53" t="n">
        <v>20</v>
      </c>
      <c r="C645" s="76" t="s">
        <v>512</v>
      </c>
      <c r="D645" s="53" t="n">
        <v>3</v>
      </c>
      <c r="E645" s="73" t="n">
        <v>4.7</v>
      </c>
      <c r="F645" s="55" t="n">
        <v>2</v>
      </c>
      <c r="G645" s="73" t="n">
        <v>2.05</v>
      </c>
      <c r="H645" s="55" t="n">
        <v>1</v>
      </c>
      <c r="I645" s="20"/>
      <c r="J645" s="20"/>
      <c r="K645" s="20"/>
      <c r="L645" s="20"/>
      <c r="M645" s="41" t="n">
        <f aca="false">E645*F645+G645*H645+I645*J645+K645*L645</f>
        <v>11.45</v>
      </c>
      <c r="N645" s="41" t="n">
        <f aca="false">Исходные!$B$15-M645</f>
        <v>0.25</v>
      </c>
      <c r="O645" s="55" t="n">
        <v>1</v>
      </c>
      <c r="P645" s="53" t="n">
        <f aca="false">(F645+H645+J645+L645)*O645</f>
        <v>3</v>
      </c>
      <c r="Q645" s="74" t="n">
        <f aca="false">M645*O645</f>
        <v>11.45</v>
      </c>
      <c r="R645" s="74" t="n">
        <f aca="false">N645*O645</f>
        <v>0.25</v>
      </c>
    </row>
    <row r="646" customFormat="false" ht="15" hidden="false" customHeight="false" outlineLevel="0" collapsed="false">
      <c r="A646" s="53" t="n">
        <v>4</v>
      </c>
      <c r="B646" s="53" t="n">
        <v>20</v>
      </c>
      <c r="C646" s="76" t="s">
        <v>512</v>
      </c>
      <c r="D646" s="53" t="n">
        <v>4</v>
      </c>
      <c r="E646" s="73" t="n">
        <v>3.785</v>
      </c>
      <c r="F646" s="55" t="n">
        <v>3</v>
      </c>
      <c r="G646" s="20"/>
      <c r="H646" s="20"/>
      <c r="I646" s="20"/>
      <c r="J646" s="20"/>
      <c r="K646" s="20"/>
      <c r="L646" s="20"/>
      <c r="M646" s="41" t="n">
        <f aca="false">E646*F646+G646*H646+I646*J646+K646*L646</f>
        <v>11.355</v>
      </c>
      <c r="N646" s="41" t="n">
        <f aca="false">Исходные!$B$15-M646</f>
        <v>0.344999999999999</v>
      </c>
      <c r="O646" s="55" t="n">
        <v>1</v>
      </c>
      <c r="P646" s="53" t="n">
        <f aca="false">(F646+H646+J646+L646)*O646</f>
        <v>3</v>
      </c>
      <c r="Q646" s="74" t="n">
        <f aca="false">M646*O646</f>
        <v>11.355</v>
      </c>
      <c r="R646" s="74" t="n">
        <f aca="false">N646*O646</f>
        <v>0.344999999999999</v>
      </c>
    </row>
    <row r="647" customFormat="false" ht="15" hidden="false" customHeight="false" outlineLevel="0" collapsed="false">
      <c r="A647" s="53" t="n">
        <v>4</v>
      </c>
      <c r="B647" s="53" t="n">
        <v>20</v>
      </c>
      <c r="C647" s="76" t="s">
        <v>512</v>
      </c>
      <c r="D647" s="53" t="n">
        <v>5</v>
      </c>
      <c r="E647" s="73" t="n">
        <v>3.785</v>
      </c>
      <c r="F647" s="55" t="n">
        <v>1</v>
      </c>
      <c r="G647" s="73" t="n">
        <v>3.78</v>
      </c>
      <c r="H647" s="55" t="n">
        <v>2</v>
      </c>
      <c r="I647" s="20"/>
      <c r="J647" s="20"/>
      <c r="K647" s="20"/>
      <c r="L647" s="20"/>
      <c r="M647" s="41" t="n">
        <f aca="false">E647*F647+G647*H647+I647*J647+K647*L647</f>
        <v>11.345</v>
      </c>
      <c r="N647" s="41" t="n">
        <f aca="false">Исходные!$B$15-M647</f>
        <v>0.355</v>
      </c>
      <c r="O647" s="55" t="n">
        <v>1</v>
      </c>
      <c r="P647" s="53" t="n">
        <f aca="false">(F647+H647+J647+L647)*O647</f>
        <v>3</v>
      </c>
      <c r="Q647" s="74" t="n">
        <f aca="false">M647*O647</f>
        <v>11.345</v>
      </c>
      <c r="R647" s="74" t="n">
        <f aca="false">N647*O647</f>
        <v>0.355</v>
      </c>
    </row>
    <row r="648" customFormat="false" ht="15" hidden="false" customHeight="false" outlineLevel="0" collapsed="false">
      <c r="A648" s="53" t="n">
        <v>4</v>
      </c>
      <c r="B648" s="53" t="n">
        <v>20</v>
      </c>
      <c r="C648" s="76" t="s">
        <v>512</v>
      </c>
      <c r="D648" s="53" t="n">
        <v>6</v>
      </c>
      <c r="E648" s="73" t="n">
        <v>3.78</v>
      </c>
      <c r="F648" s="55" t="n">
        <v>2</v>
      </c>
      <c r="G648" s="73" t="n">
        <v>3.7</v>
      </c>
      <c r="H648" s="55" t="n">
        <v>1</v>
      </c>
      <c r="I648" s="20"/>
      <c r="J648" s="20"/>
      <c r="K648" s="20"/>
      <c r="L648" s="20"/>
      <c r="M648" s="41" t="n">
        <f aca="false">E648*F648+G648*H648+I648*J648+K648*L648</f>
        <v>11.26</v>
      </c>
      <c r="N648" s="41" t="n">
        <f aca="false">Исходные!$B$15-M648</f>
        <v>0.44</v>
      </c>
      <c r="O648" s="55" t="n">
        <v>1</v>
      </c>
      <c r="P648" s="53" t="n">
        <f aca="false">(F648+H648+J648+L648)*O648</f>
        <v>3</v>
      </c>
      <c r="Q648" s="74" t="n">
        <f aca="false">M648*O648</f>
        <v>11.26</v>
      </c>
      <c r="R648" s="74" t="n">
        <f aca="false">N648*O648</f>
        <v>0.44</v>
      </c>
    </row>
    <row r="649" customFormat="false" ht="15" hidden="false" customHeight="false" outlineLevel="0" collapsed="false">
      <c r="A649" s="53" t="n">
        <v>4</v>
      </c>
      <c r="B649" s="53" t="n">
        <v>20</v>
      </c>
      <c r="C649" s="76" t="s">
        <v>512</v>
      </c>
      <c r="D649" s="53" t="n">
        <v>7</v>
      </c>
      <c r="E649" s="73" t="n">
        <v>3.05</v>
      </c>
      <c r="F649" s="55" t="n">
        <v>3</v>
      </c>
      <c r="G649" s="73" t="n">
        <v>2.05</v>
      </c>
      <c r="H649" s="55" t="n">
        <v>1</v>
      </c>
      <c r="I649" s="20"/>
      <c r="J649" s="20"/>
      <c r="K649" s="20"/>
      <c r="L649" s="20"/>
      <c r="M649" s="41" t="n">
        <f aca="false">E649*F649+G649*H649+I649*J649+K649*L649</f>
        <v>11.2</v>
      </c>
      <c r="N649" s="41" t="n">
        <f aca="false">Исходные!$B$15-M649</f>
        <v>0.5</v>
      </c>
      <c r="O649" s="55" t="n">
        <v>1</v>
      </c>
      <c r="P649" s="53" t="n">
        <f aca="false">(F649+H649+J649+L649)*O649</f>
        <v>4</v>
      </c>
      <c r="Q649" s="74" t="n">
        <f aca="false">M649*O649</f>
        <v>11.2</v>
      </c>
      <c r="R649" s="74" t="n">
        <f aca="false">N649*O649</f>
        <v>0.5</v>
      </c>
    </row>
    <row r="650" customFormat="false" ht="15" hidden="false" customHeight="false" outlineLevel="0" collapsed="false">
      <c r="A650" s="53" t="n">
        <v>4</v>
      </c>
      <c r="B650" s="53" t="n">
        <v>20</v>
      </c>
      <c r="C650" s="76" t="s">
        <v>512</v>
      </c>
      <c r="D650" s="53" t="n">
        <v>8</v>
      </c>
      <c r="E650" s="73" t="n">
        <v>3.7</v>
      </c>
      <c r="F650" s="55" t="n">
        <v>1</v>
      </c>
      <c r="G650" s="73" t="n">
        <v>3.6</v>
      </c>
      <c r="H650" s="55" t="n">
        <v>2</v>
      </c>
      <c r="I650" s="20"/>
      <c r="J650" s="20"/>
      <c r="K650" s="20"/>
      <c r="L650" s="20"/>
      <c r="M650" s="41" t="n">
        <f aca="false">E650*F650+G650*H650+I650*J650+K650*L650</f>
        <v>10.9</v>
      </c>
      <c r="N650" s="41" t="n">
        <f aca="false">Исходные!$B$15-M650</f>
        <v>0.799999999999999</v>
      </c>
      <c r="O650" s="55" t="n">
        <v>1</v>
      </c>
      <c r="P650" s="53" t="n">
        <f aca="false">(F650+H650+J650+L650)*O650</f>
        <v>3</v>
      </c>
      <c r="Q650" s="74" t="n">
        <f aca="false">M650*O650</f>
        <v>10.9</v>
      </c>
      <c r="R650" s="74" t="n">
        <f aca="false">N650*O650</f>
        <v>0.799999999999999</v>
      </c>
    </row>
    <row r="651" customFormat="false" ht="15" hidden="false" customHeight="false" outlineLevel="0" collapsed="false">
      <c r="A651" s="53" t="n">
        <v>4</v>
      </c>
      <c r="B651" s="53" t="n">
        <v>20</v>
      </c>
      <c r="C651" s="76" t="s">
        <v>512</v>
      </c>
      <c r="D651" s="53" t="n">
        <v>9</v>
      </c>
      <c r="E651" s="73" t="n">
        <v>3</v>
      </c>
      <c r="F651" s="55" t="n">
        <v>3</v>
      </c>
      <c r="G651" s="73" t="n">
        <v>1.85</v>
      </c>
      <c r="H651" s="55" t="n">
        <v>1</v>
      </c>
      <c r="I651" s="20"/>
      <c r="J651" s="20"/>
      <c r="K651" s="20"/>
      <c r="L651" s="20"/>
      <c r="M651" s="41" t="n">
        <f aca="false">E651*F651+G651*H651+I651*J651+K651*L651</f>
        <v>10.85</v>
      </c>
      <c r="N651" s="41" t="n">
        <f aca="false">Исходные!$B$15-M651</f>
        <v>0.85</v>
      </c>
      <c r="O651" s="55" t="n">
        <v>1</v>
      </c>
      <c r="P651" s="53" t="n">
        <f aca="false">(F651+H651+J651+L651)*O651</f>
        <v>4</v>
      </c>
      <c r="Q651" s="74" t="n">
        <f aca="false">M651*O651</f>
        <v>10.85</v>
      </c>
      <c r="R651" s="74" t="n">
        <f aca="false">N651*O651</f>
        <v>0.85</v>
      </c>
    </row>
    <row r="652" customFormat="false" ht="15" hidden="false" customHeight="false" outlineLevel="0" collapsed="false">
      <c r="A652" s="53" t="n">
        <v>4</v>
      </c>
      <c r="B652" s="53" t="n">
        <v>20</v>
      </c>
      <c r="C652" s="76" t="s">
        <v>512</v>
      </c>
      <c r="D652" s="53" t="n">
        <v>10</v>
      </c>
      <c r="E652" s="73" t="n">
        <v>3.6</v>
      </c>
      <c r="F652" s="55" t="n">
        <v>3</v>
      </c>
      <c r="G652" s="20"/>
      <c r="H652" s="20"/>
      <c r="I652" s="20"/>
      <c r="J652" s="20"/>
      <c r="K652" s="20"/>
      <c r="L652" s="20"/>
      <c r="M652" s="41" t="n">
        <f aca="false">E652*F652+G652*H652+I652*J652+K652*L652</f>
        <v>10.8</v>
      </c>
      <c r="N652" s="41" t="n">
        <f aca="false">Исходные!$B$15-M652</f>
        <v>0.899999999999999</v>
      </c>
      <c r="O652" s="55" t="n">
        <v>52</v>
      </c>
      <c r="P652" s="53" t="n">
        <f aca="false">(F652+H652+J652+L652)*O652</f>
        <v>156</v>
      </c>
      <c r="Q652" s="74" t="n">
        <f aca="false">M652*O652</f>
        <v>561.6</v>
      </c>
      <c r="R652" s="74" t="n">
        <f aca="false">N652*O652</f>
        <v>46.7999999999999</v>
      </c>
    </row>
    <row r="653" customFormat="false" ht="15" hidden="false" customHeight="false" outlineLevel="0" collapsed="false">
      <c r="A653" s="53" t="n">
        <v>4</v>
      </c>
      <c r="B653" s="53" t="n">
        <v>20</v>
      </c>
      <c r="C653" s="76" t="s">
        <v>512</v>
      </c>
      <c r="D653" s="53" t="n">
        <v>11</v>
      </c>
      <c r="E653" s="73" t="n">
        <v>3.6</v>
      </c>
      <c r="F653" s="55" t="n">
        <v>2</v>
      </c>
      <c r="G653" s="73" t="n">
        <v>3.59</v>
      </c>
      <c r="H653" s="55" t="n">
        <v>1</v>
      </c>
      <c r="I653" s="20"/>
      <c r="J653" s="20"/>
      <c r="K653" s="20"/>
      <c r="L653" s="20"/>
      <c r="M653" s="41" t="n">
        <f aca="false">E653*F653+G653*H653+I653*J653+K653*L653</f>
        <v>10.79</v>
      </c>
      <c r="N653" s="41" t="n">
        <f aca="false">Исходные!$B$15-M653</f>
        <v>0.91</v>
      </c>
      <c r="O653" s="55" t="n">
        <v>1</v>
      </c>
      <c r="P653" s="53" t="n">
        <f aca="false">(F653+H653+J653+L653)*O653</f>
        <v>3</v>
      </c>
      <c r="Q653" s="74" t="n">
        <f aca="false">M653*O653</f>
        <v>10.79</v>
      </c>
      <c r="R653" s="74" t="n">
        <f aca="false">N653*O653</f>
        <v>0.91</v>
      </c>
    </row>
    <row r="654" customFormat="false" ht="15" hidden="false" customHeight="false" outlineLevel="0" collapsed="false">
      <c r="A654" s="53" t="n">
        <v>4</v>
      </c>
      <c r="B654" s="53" t="n">
        <v>20</v>
      </c>
      <c r="C654" s="76" t="s">
        <v>512</v>
      </c>
      <c r="D654" s="53" t="n">
        <v>12</v>
      </c>
      <c r="E654" s="73" t="n">
        <v>3.59</v>
      </c>
      <c r="F654" s="55" t="n">
        <v>3</v>
      </c>
      <c r="G654" s="20"/>
      <c r="H654" s="20"/>
      <c r="I654" s="20"/>
      <c r="J654" s="20"/>
      <c r="K654" s="20"/>
      <c r="L654" s="20"/>
      <c r="M654" s="41" t="n">
        <f aca="false">E654*F654+G654*H654+I654*J654+K654*L654</f>
        <v>10.77</v>
      </c>
      <c r="N654" s="41" t="n">
        <f aca="false">Исходные!$B$15-M654</f>
        <v>0.93</v>
      </c>
      <c r="O654" s="55" t="n">
        <v>1</v>
      </c>
      <c r="P654" s="53" t="n">
        <f aca="false">(F654+H654+J654+L654)*O654</f>
        <v>3</v>
      </c>
      <c r="Q654" s="74" t="n">
        <f aca="false">M654*O654</f>
        <v>10.77</v>
      </c>
      <c r="R654" s="74" t="n">
        <f aca="false">N654*O654</f>
        <v>0.93</v>
      </c>
    </row>
    <row r="655" customFormat="false" ht="15" hidden="false" customHeight="false" outlineLevel="0" collapsed="false">
      <c r="A655" s="53" t="n">
        <v>4</v>
      </c>
      <c r="B655" s="53" t="n">
        <v>20</v>
      </c>
      <c r="C655" s="76" t="s">
        <v>512</v>
      </c>
      <c r="D655" s="53" t="n">
        <v>13</v>
      </c>
      <c r="E655" s="73" t="n">
        <v>3</v>
      </c>
      <c r="F655" s="55" t="n">
        <v>3</v>
      </c>
      <c r="G655" s="20"/>
      <c r="H655" s="20"/>
      <c r="I655" s="20"/>
      <c r="J655" s="20"/>
      <c r="K655" s="20"/>
      <c r="L655" s="20"/>
      <c r="M655" s="41" t="n">
        <f aca="false">E655*F655+G655*H655+I655*J655+K655*L655</f>
        <v>9</v>
      </c>
      <c r="N655" s="41" t="n">
        <f aca="false">Исходные!$B$15-M655</f>
        <v>2.7</v>
      </c>
      <c r="O655" s="55" t="n">
        <v>2</v>
      </c>
      <c r="P655" s="53" t="n">
        <f aca="false">(F655+H655+J655+L655)*O655</f>
        <v>6</v>
      </c>
      <c r="Q655" s="74" t="n">
        <f aca="false">M655*O655</f>
        <v>18</v>
      </c>
      <c r="R655" s="74" t="n">
        <f aca="false">N655*O655</f>
        <v>5.4</v>
      </c>
    </row>
    <row r="656" customFormat="false" ht="15" hidden="false" customHeight="false" outlineLevel="0" collapsed="false">
      <c r="A656" s="53" t="n">
        <v>4</v>
      </c>
      <c r="B656" s="53" t="n">
        <v>20</v>
      </c>
      <c r="C656" s="76" t="s">
        <v>512</v>
      </c>
      <c r="D656" s="53" t="n">
        <v>14</v>
      </c>
      <c r="E656" s="73" t="n">
        <v>3</v>
      </c>
      <c r="F656" s="55" t="n">
        <v>1</v>
      </c>
      <c r="G656" s="20"/>
      <c r="H656" s="20"/>
      <c r="I656" s="20"/>
      <c r="J656" s="20"/>
      <c r="K656" s="20"/>
      <c r="L656" s="20"/>
      <c r="M656" s="41" t="n">
        <f aca="false">E656*F656+G656*H656+I656*J656+K656*L656</f>
        <v>3</v>
      </c>
      <c r="N656" s="41" t="n">
        <f aca="false">Исходные!$B$15-M656</f>
        <v>8.7</v>
      </c>
      <c r="O656" s="55" t="n">
        <v>1</v>
      </c>
      <c r="P656" s="53" t="n">
        <f aca="false">(F656+H656+J656+L656)*O656</f>
        <v>1</v>
      </c>
      <c r="Q656" s="74" t="n">
        <f aca="false">M656*O656</f>
        <v>3</v>
      </c>
      <c r="R656" s="74" t="n">
        <f aca="false">N656*O656</f>
        <v>8.7</v>
      </c>
    </row>
    <row r="657" customFormat="false" ht="15" hidden="false" customHeight="false" outlineLevel="0" collapsed="false">
      <c r="A657" s="53" t="n">
        <v>4</v>
      </c>
      <c r="B657" s="53" t="n">
        <v>18</v>
      </c>
      <c r="C657" s="76" t="s">
        <v>512</v>
      </c>
      <c r="D657" s="53" t="n">
        <v>1</v>
      </c>
      <c r="E657" s="73" t="n">
        <v>11.7</v>
      </c>
      <c r="F657" s="55" t="n">
        <v>1</v>
      </c>
      <c r="G657" s="20"/>
      <c r="H657" s="20"/>
      <c r="I657" s="20"/>
      <c r="J657" s="20"/>
      <c r="K657" s="20"/>
      <c r="L657" s="20"/>
      <c r="M657" s="41" t="n">
        <f aca="false">E657*F657+G657*H657+I657*J657+K657*L657</f>
        <v>11.7</v>
      </c>
      <c r="N657" s="41" t="n">
        <f aca="false">Исходные!$B$15-M657</f>
        <v>0</v>
      </c>
      <c r="O657" s="55" t="n">
        <v>26</v>
      </c>
      <c r="P657" s="53" t="n">
        <f aca="false">(F657+H657+J657+L657)*O657</f>
        <v>26</v>
      </c>
      <c r="Q657" s="74" t="n">
        <f aca="false">M657*O657</f>
        <v>304.2</v>
      </c>
      <c r="R657" s="74" t="n">
        <f aca="false">N657*O657</f>
        <v>0</v>
      </c>
    </row>
    <row r="658" customFormat="false" ht="15" hidden="false" customHeight="false" outlineLevel="0" collapsed="false">
      <c r="A658" s="53" t="n">
        <v>4</v>
      </c>
      <c r="B658" s="53" t="n">
        <v>18</v>
      </c>
      <c r="C658" s="76" t="s">
        <v>512</v>
      </c>
      <c r="D658" s="53" t="n">
        <v>2</v>
      </c>
      <c r="E658" s="73" t="n">
        <v>6.109</v>
      </c>
      <c r="F658" s="55" t="n">
        <v>1</v>
      </c>
      <c r="G658" s="73" t="n">
        <v>3</v>
      </c>
      <c r="H658" s="55" t="n">
        <v>1</v>
      </c>
      <c r="I658" s="73" t="n">
        <v>2.5</v>
      </c>
      <c r="J658" s="55" t="n">
        <v>1</v>
      </c>
      <c r="K658" s="20"/>
      <c r="L658" s="20"/>
      <c r="M658" s="41" t="n">
        <f aca="false">E658*F658+G658*H658+I658*J658+K658*L658</f>
        <v>11.609</v>
      </c>
      <c r="N658" s="41" t="n">
        <f aca="false">Исходные!$B$15-M658</f>
        <v>0.0909999999999993</v>
      </c>
      <c r="O658" s="55" t="n">
        <v>1</v>
      </c>
      <c r="P658" s="53" t="n">
        <f aca="false">(F658+H658+J658+L658)*O658</f>
        <v>3</v>
      </c>
      <c r="Q658" s="74" t="n">
        <f aca="false">M658*O658</f>
        <v>11.609</v>
      </c>
      <c r="R658" s="74" t="n">
        <f aca="false">N658*O658</f>
        <v>0.0909999999999993</v>
      </c>
    </row>
    <row r="659" customFormat="false" ht="15" hidden="false" customHeight="false" outlineLevel="0" collapsed="false">
      <c r="A659" s="53" t="n">
        <v>4</v>
      </c>
      <c r="B659" s="53" t="n">
        <v>18</v>
      </c>
      <c r="C659" s="76" t="s">
        <v>512</v>
      </c>
      <c r="D659" s="53" t="n">
        <v>3</v>
      </c>
      <c r="E659" s="73" t="n">
        <v>7.85</v>
      </c>
      <c r="F659" s="55" t="n">
        <v>1</v>
      </c>
      <c r="G659" s="73" t="n">
        <v>3.744</v>
      </c>
      <c r="H659" s="55" t="n">
        <v>1</v>
      </c>
      <c r="I659" s="20"/>
      <c r="J659" s="20"/>
      <c r="K659" s="20"/>
      <c r="L659" s="20"/>
      <c r="M659" s="41" t="n">
        <f aca="false">E659*F659+G659*H659+I659*J659+K659*L659</f>
        <v>11.594</v>
      </c>
      <c r="N659" s="41" t="n">
        <f aca="false">Исходные!$B$15-M659</f>
        <v>0.106</v>
      </c>
      <c r="O659" s="55" t="n">
        <v>2</v>
      </c>
      <c r="P659" s="53" t="n">
        <f aca="false">(F659+H659+J659+L659)*O659</f>
        <v>4</v>
      </c>
      <c r="Q659" s="74" t="n">
        <f aca="false">M659*O659</f>
        <v>23.188</v>
      </c>
      <c r="R659" s="74" t="n">
        <f aca="false">N659*O659</f>
        <v>0.212</v>
      </c>
    </row>
    <row r="660" customFormat="false" ht="15" hidden="false" customHeight="false" outlineLevel="0" collapsed="false">
      <c r="A660" s="53" t="n">
        <v>4</v>
      </c>
      <c r="B660" s="53" t="n">
        <v>18</v>
      </c>
      <c r="C660" s="76" t="s">
        <v>512</v>
      </c>
      <c r="D660" s="53" t="n">
        <v>4</v>
      </c>
      <c r="E660" s="73" t="n">
        <v>6.109</v>
      </c>
      <c r="F660" s="55" t="n">
        <v>1</v>
      </c>
      <c r="G660" s="73" t="n">
        <v>3.744</v>
      </c>
      <c r="H660" s="55" t="n">
        <v>1</v>
      </c>
      <c r="I660" s="73" t="n">
        <v>1.7</v>
      </c>
      <c r="J660" s="55" t="n">
        <v>1</v>
      </c>
      <c r="K660" s="20"/>
      <c r="L660" s="20"/>
      <c r="M660" s="41" t="n">
        <f aca="false">E660*F660+G660*H660+I660*J660+K660*L660</f>
        <v>11.553</v>
      </c>
      <c r="N660" s="41" t="n">
        <f aca="false">Исходные!$B$15-M660</f>
        <v>0.147</v>
      </c>
      <c r="O660" s="55" t="n">
        <v>1</v>
      </c>
      <c r="P660" s="53" t="n">
        <f aca="false">(F660+H660+J660+L660)*O660</f>
        <v>3</v>
      </c>
      <c r="Q660" s="74" t="n">
        <f aca="false">M660*O660</f>
        <v>11.553</v>
      </c>
      <c r="R660" s="74" t="n">
        <f aca="false">N660*O660</f>
        <v>0.147</v>
      </c>
    </row>
    <row r="661" customFormat="false" ht="15" hidden="false" customHeight="false" outlineLevel="0" collapsed="false">
      <c r="A661" s="53" t="n">
        <v>4</v>
      </c>
      <c r="B661" s="53" t="n">
        <v>18</v>
      </c>
      <c r="C661" s="76" t="s">
        <v>512</v>
      </c>
      <c r="D661" s="53" t="n">
        <v>5</v>
      </c>
      <c r="E661" s="73" t="n">
        <v>8.944</v>
      </c>
      <c r="F661" s="55" t="n">
        <v>1</v>
      </c>
      <c r="G661" s="73" t="n">
        <v>2.5</v>
      </c>
      <c r="H661" s="55" t="n">
        <v>1</v>
      </c>
      <c r="I661" s="20"/>
      <c r="J661" s="20"/>
      <c r="K661" s="20"/>
      <c r="L661" s="20"/>
      <c r="M661" s="41" t="n">
        <f aca="false">E661*F661+G661*H661+I661*J661+K661*L661</f>
        <v>11.444</v>
      </c>
      <c r="N661" s="41" t="n">
        <f aca="false">Исходные!$B$15-M661</f>
        <v>0.255999999999998</v>
      </c>
      <c r="O661" s="55" t="n">
        <v>1</v>
      </c>
      <c r="P661" s="53" t="n">
        <f aca="false">(F661+H661+J661+L661)*O661</f>
        <v>2</v>
      </c>
      <c r="Q661" s="74" t="n">
        <f aca="false">M661*O661</f>
        <v>11.444</v>
      </c>
      <c r="R661" s="74" t="n">
        <f aca="false">N661*O661</f>
        <v>0.255999999999998</v>
      </c>
    </row>
    <row r="662" customFormat="false" ht="15" hidden="false" customHeight="false" outlineLevel="0" collapsed="false">
      <c r="A662" s="53" t="n">
        <v>4</v>
      </c>
      <c r="B662" s="53" t="n">
        <v>18</v>
      </c>
      <c r="C662" s="76" t="s">
        <v>512</v>
      </c>
      <c r="D662" s="53" t="n">
        <v>6</v>
      </c>
      <c r="E662" s="73" t="n">
        <v>6.109</v>
      </c>
      <c r="F662" s="55" t="n">
        <v>1</v>
      </c>
      <c r="G662" s="73" t="n">
        <v>2.05</v>
      </c>
      <c r="H662" s="55" t="n">
        <v>2</v>
      </c>
      <c r="I662" s="73" t="n">
        <v>1.2</v>
      </c>
      <c r="J662" s="55" t="n">
        <v>1</v>
      </c>
      <c r="K662" s="20"/>
      <c r="L662" s="20"/>
      <c r="M662" s="41" t="n">
        <f aca="false">E662*F662+G662*H662+I662*J662+K662*L662</f>
        <v>11.409</v>
      </c>
      <c r="N662" s="41" t="n">
        <f aca="false">Исходные!$B$15-M662</f>
        <v>0.291</v>
      </c>
      <c r="O662" s="55" t="n">
        <v>1</v>
      </c>
      <c r="P662" s="53" t="n">
        <f aca="false">(F662+H662+J662+L662)*O662</f>
        <v>4</v>
      </c>
      <c r="Q662" s="74" t="n">
        <f aca="false">M662*O662</f>
        <v>11.409</v>
      </c>
      <c r="R662" s="74" t="n">
        <f aca="false">N662*O662</f>
        <v>0.291</v>
      </c>
    </row>
    <row r="663" customFormat="false" ht="15" hidden="false" customHeight="false" outlineLevel="0" collapsed="false">
      <c r="A663" s="53" t="n">
        <v>4</v>
      </c>
      <c r="B663" s="53" t="n">
        <v>18</v>
      </c>
      <c r="C663" s="76" t="s">
        <v>512</v>
      </c>
      <c r="D663" s="53" t="n">
        <v>7</v>
      </c>
      <c r="E663" s="73" t="n">
        <v>8.944</v>
      </c>
      <c r="F663" s="55" t="n">
        <v>1</v>
      </c>
      <c r="G663" s="73" t="n">
        <v>2.388</v>
      </c>
      <c r="H663" s="55" t="n">
        <v>1</v>
      </c>
      <c r="I663" s="20"/>
      <c r="J663" s="20"/>
      <c r="K663" s="20"/>
      <c r="L663" s="20"/>
      <c r="M663" s="41" t="n">
        <f aca="false">E663*F663+G663*H663+I663*J663+K663*L663</f>
        <v>11.332</v>
      </c>
      <c r="N663" s="41" t="n">
        <f aca="false">Исходные!$B$15-M663</f>
        <v>0.367999999999999</v>
      </c>
      <c r="O663" s="55" t="n">
        <v>8</v>
      </c>
      <c r="P663" s="53" t="n">
        <f aca="false">(F663+H663+J663+L663)*O663</f>
        <v>16</v>
      </c>
      <c r="Q663" s="74" t="n">
        <f aca="false">M663*O663</f>
        <v>90.656</v>
      </c>
      <c r="R663" s="74" t="n">
        <f aca="false">N663*O663</f>
        <v>2.94399999999999</v>
      </c>
    </row>
    <row r="664" customFormat="false" ht="15" hidden="false" customHeight="false" outlineLevel="0" collapsed="false">
      <c r="A664" s="53" t="n">
        <v>4</v>
      </c>
      <c r="B664" s="53" t="n">
        <v>18</v>
      </c>
      <c r="C664" s="76" t="s">
        <v>512</v>
      </c>
      <c r="D664" s="53" t="n">
        <v>8</v>
      </c>
      <c r="E664" s="73" t="n">
        <v>6.109</v>
      </c>
      <c r="F664" s="55" t="n">
        <v>1</v>
      </c>
      <c r="G664" s="73" t="n">
        <v>4.95</v>
      </c>
      <c r="H664" s="55" t="n">
        <v>1</v>
      </c>
      <c r="I664" s="20"/>
      <c r="J664" s="20"/>
      <c r="K664" s="20"/>
      <c r="L664" s="20"/>
      <c r="M664" s="41" t="n">
        <f aca="false">E664*F664+G664*H664+I664*J664+K664*L664</f>
        <v>11.059</v>
      </c>
      <c r="N664" s="41" t="n">
        <f aca="false">Исходные!$B$15-M664</f>
        <v>0.640999999999998</v>
      </c>
      <c r="O664" s="55" t="n">
        <v>2</v>
      </c>
      <c r="P664" s="53" t="n">
        <f aca="false">(F664+H664+J664+L664)*O664</f>
        <v>4</v>
      </c>
      <c r="Q664" s="74" t="n">
        <f aca="false">M664*O664</f>
        <v>22.118</v>
      </c>
      <c r="R664" s="74" t="n">
        <f aca="false">N664*O664</f>
        <v>1.282</v>
      </c>
    </row>
    <row r="665" customFormat="false" ht="15" hidden="false" customHeight="false" outlineLevel="0" collapsed="false">
      <c r="A665" s="53" t="n">
        <v>4</v>
      </c>
      <c r="B665" s="53" t="n">
        <v>18</v>
      </c>
      <c r="C665" s="76" t="s">
        <v>512</v>
      </c>
      <c r="D665" s="53" t="n">
        <v>9</v>
      </c>
      <c r="E665" s="73" t="n">
        <v>6.109</v>
      </c>
      <c r="F665" s="55" t="n">
        <v>1</v>
      </c>
      <c r="G665" s="73" t="n">
        <v>3.744</v>
      </c>
      <c r="H665" s="55" t="n">
        <v>1</v>
      </c>
      <c r="I665" s="73" t="n">
        <v>1.2</v>
      </c>
      <c r="J665" s="55" t="n">
        <v>1</v>
      </c>
      <c r="K665" s="20"/>
      <c r="L665" s="20"/>
      <c r="M665" s="41" t="n">
        <f aca="false">E665*F665+G665*H665+I665*J665+K665*L665</f>
        <v>11.053</v>
      </c>
      <c r="N665" s="41" t="n">
        <f aca="false">Исходные!$B$15-M665</f>
        <v>0.647</v>
      </c>
      <c r="O665" s="55" t="n">
        <v>5</v>
      </c>
      <c r="P665" s="53" t="n">
        <f aca="false">(F665+H665+J665+L665)*O665</f>
        <v>15</v>
      </c>
      <c r="Q665" s="74" t="n">
        <f aca="false">M665*O665</f>
        <v>55.265</v>
      </c>
      <c r="R665" s="74" t="n">
        <f aca="false">N665*O665</f>
        <v>3.235</v>
      </c>
    </row>
    <row r="666" customFormat="false" ht="15" hidden="false" customHeight="false" outlineLevel="0" collapsed="false">
      <c r="A666" s="53" t="n">
        <v>4</v>
      </c>
      <c r="B666" s="53" t="n">
        <v>18</v>
      </c>
      <c r="C666" s="76" t="s">
        <v>512</v>
      </c>
      <c r="D666" s="53" t="n">
        <v>10</v>
      </c>
      <c r="E666" s="73" t="n">
        <v>8.944</v>
      </c>
      <c r="F666" s="55" t="n">
        <v>1</v>
      </c>
      <c r="G666" s="73" t="n">
        <v>2.05</v>
      </c>
      <c r="H666" s="55" t="n">
        <v>1</v>
      </c>
      <c r="I666" s="20"/>
      <c r="J666" s="20"/>
      <c r="K666" s="20"/>
      <c r="L666" s="20"/>
      <c r="M666" s="41" t="n">
        <f aca="false">E666*F666+G666*H666+I666*J666+K666*L666</f>
        <v>10.994</v>
      </c>
      <c r="N666" s="41" t="n">
        <f aca="false">Исходные!$B$15-M666</f>
        <v>0.706</v>
      </c>
      <c r="O666" s="55" t="n">
        <v>1</v>
      </c>
      <c r="P666" s="53" t="n">
        <f aca="false">(F666+H666+J666+L666)*O666</f>
        <v>2</v>
      </c>
      <c r="Q666" s="74" t="n">
        <f aca="false">M666*O666</f>
        <v>10.994</v>
      </c>
      <c r="R666" s="74" t="n">
        <f aca="false">N666*O666</f>
        <v>0.706</v>
      </c>
    </row>
    <row r="667" customFormat="false" ht="15" hidden="false" customHeight="false" outlineLevel="0" collapsed="false">
      <c r="A667" s="53" t="n">
        <v>4</v>
      </c>
      <c r="B667" s="53" t="n">
        <v>18</v>
      </c>
      <c r="C667" s="76" t="s">
        <v>512</v>
      </c>
      <c r="D667" s="53" t="n">
        <v>11</v>
      </c>
      <c r="E667" s="73" t="n">
        <v>6.109</v>
      </c>
      <c r="F667" s="55" t="n">
        <v>1</v>
      </c>
      <c r="G667" s="73" t="n">
        <v>1.2</v>
      </c>
      <c r="H667" s="55" t="n">
        <v>4</v>
      </c>
      <c r="I667" s="20"/>
      <c r="J667" s="20"/>
      <c r="K667" s="20"/>
      <c r="L667" s="20"/>
      <c r="M667" s="41" t="n">
        <f aca="false">E667*F667+G667*H667+I667*J667+K667*L667</f>
        <v>10.909</v>
      </c>
      <c r="N667" s="41" t="n">
        <f aca="false">Исходные!$B$15-M667</f>
        <v>0.791</v>
      </c>
      <c r="O667" s="55" t="n">
        <v>3</v>
      </c>
      <c r="P667" s="53" t="n">
        <f aca="false">(F667+H667+J667+L667)*O667</f>
        <v>15</v>
      </c>
      <c r="Q667" s="74" t="n">
        <f aca="false">M667*O667</f>
        <v>32.727</v>
      </c>
      <c r="R667" s="74" t="n">
        <f aca="false">N667*O667</f>
        <v>2.373</v>
      </c>
    </row>
    <row r="668" customFormat="false" ht="15" hidden="false" customHeight="false" outlineLevel="0" collapsed="false">
      <c r="A668" s="53" t="n">
        <v>4</v>
      </c>
      <c r="B668" s="53" t="n">
        <v>18</v>
      </c>
      <c r="C668" s="76" t="s">
        <v>512</v>
      </c>
      <c r="D668" s="53" t="n">
        <v>12</v>
      </c>
      <c r="E668" s="73" t="n">
        <v>6.109</v>
      </c>
      <c r="F668" s="55" t="n">
        <v>1</v>
      </c>
      <c r="G668" s="73" t="n">
        <v>2.05</v>
      </c>
      <c r="H668" s="55" t="n">
        <v>1</v>
      </c>
      <c r="I668" s="73" t="n">
        <v>1.2</v>
      </c>
      <c r="J668" s="55" t="n">
        <v>2</v>
      </c>
      <c r="K668" s="20"/>
      <c r="L668" s="20"/>
      <c r="M668" s="41" t="n">
        <f aca="false">E668*F668+G668*H668+I668*J668+K668*L668</f>
        <v>10.559</v>
      </c>
      <c r="N668" s="41" t="n">
        <f aca="false">Исходные!$B$15-M668</f>
        <v>1.141</v>
      </c>
      <c r="O668" s="55" t="n">
        <v>1</v>
      </c>
      <c r="P668" s="53" t="n">
        <f aca="false">(F668+H668+J668+L668)*O668</f>
        <v>4</v>
      </c>
      <c r="Q668" s="74" t="n">
        <f aca="false">M668*O668</f>
        <v>10.559</v>
      </c>
      <c r="R668" s="74" t="n">
        <f aca="false">N668*O668</f>
        <v>1.141</v>
      </c>
    </row>
    <row r="669" customFormat="false" ht="15" hidden="false" customHeight="false" outlineLevel="0" collapsed="false">
      <c r="A669" s="53" t="n">
        <v>4</v>
      </c>
      <c r="B669" s="53" t="n">
        <v>18</v>
      </c>
      <c r="C669" s="76" t="s">
        <v>512</v>
      </c>
      <c r="D669" s="53" t="n">
        <v>13</v>
      </c>
      <c r="E669" s="73" t="n">
        <v>6.109</v>
      </c>
      <c r="F669" s="55" t="n">
        <v>1</v>
      </c>
      <c r="G669" s="20"/>
      <c r="H669" s="20"/>
      <c r="I669" s="20"/>
      <c r="J669" s="20"/>
      <c r="K669" s="20"/>
      <c r="L669" s="20"/>
      <c r="M669" s="41" t="n">
        <f aca="false">E669*F669+G669*H669+I669*J669+K669*L669</f>
        <v>6.109</v>
      </c>
      <c r="N669" s="41" t="n">
        <f aca="false">Исходные!$B$15-M669</f>
        <v>5.591</v>
      </c>
      <c r="O669" s="55" t="n">
        <v>22</v>
      </c>
      <c r="P669" s="53" t="n">
        <f aca="false">(F669+H669+J669+L669)*O669</f>
        <v>22</v>
      </c>
      <c r="Q669" s="74" t="n">
        <f aca="false">M669*O669</f>
        <v>134.398</v>
      </c>
      <c r="R669" s="74" t="n">
        <f aca="false">N669*O669</f>
        <v>123.002</v>
      </c>
    </row>
    <row r="670" customFormat="false" ht="15" hidden="false" customHeight="false" outlineLevel="0" collapsed="false">
      <c r="A670" s="53" t="n">
        <v>4</v>
      </c>
      <c r="B670" s="53" t="n">
        <v>16</v>
      </c>
      <c r="C670" s="76" t="s">
        <v>512</v>
      </c>
      <c r="D670" s="53" t="n">
        <v>1</v>
      </c>
      <c r="E670" s="73" t="n">
        <v>11.7</v>
      </c>
      <c r="F670" s="55" t="n">
        <v>1</v>
      </c>
      <c r="G670" s="20"/>
      <c r="H670" s="20"/>
      <c r="I670" s="20"/>
      <c r="J670" s="20"/>
      <c r="K670" s="20"/>
      <c r="L670" s="20"/>
      <c r="M670" s="41" t="n">
        <f aca="false">E670*F670+G670*H670+I670*J670+K670*L670</f>
        <v>11.7</v>
      </c>
      <c r="N670" s="41" t="n">
        <f aca="false">Исходные!$B$15-M670</f>
        <v>0</v>
      </c>
      <c r="O670" s="55" t="n">
        <v>26</v>
      </c>
      <c r="P670" s="53" t="n">
        <f aca="false">(F670+H670+J670+L670)*O670</f>
        <v>26</v>
      </c>
      <c r="Q670" s="74" t="n">
        <f aca="false">M670*O670</f>
        <v>304.2</v>
      </c>
      <c r="R670" s="74" t="n">
        <f aca="false">N670*O670</f>
        <v>0</v>
      </c>
    </row>
    <row r="671" customFormat="false" ht="15" hidden="false" customHeight="false" outlineLevel="0" collapsed="false">
      <c r="A671" s="53" t="n">
        <v>4</v>
      </c>
      <c r="B671" s="53" t="n">
        <v>16</v>
      </c>
      <c r="C671" s="76" t="s">
        <v>512</v>
      </c>
      <c r="D671" s="53" t="n">
        <v>2</v>
      </c>
      <c r="E671" s="73" t="n">
        <v>2.05</v>
      </c>
      <c r="F671" s="55" t="n">
        <v>1</v>
      </c>
      <c r="G671" s="73" t="n">
        <v>1.6</v>
      </c>
      <c r="H671" s="55" t="n">
        <v>6</v>
      </c>
      <c r="I671" s="20"/>
      <c r="J671" s="20"/>
      <c r="K671" s="20"/>
      <c r="L671" s="20"/>
      <c r="M671" s="41" t="n">
        <f aca="false">E671*F671+G671*H671+I671*J671+K671*L671</f>
        <v>11.65</v>
      </c>
      <c r="N671" s="41" t="n">
        <f aca="false">Исходные!$B$15-M671</f>
        <v>0.0499999999999972</v>
      </c>
      <c r="O671" s="55" t="n">
        <v>1</v>
      </c>
      <c r="P671" s="53" t="n">
        <f aca="false">(F671+H671+J671+L671)*O671</f>
        <v>7</v>
      </c>
      <c r="Q671" s="74" t="n">
        <f aca="false">M671*O671</f>
        <v>11.65</v>
      </c>
      <c r="R671" s="74" t="n">
        <f aca="false">N671*O671</f>
        <v>0.0499999999999972</v>
      </c>
    </row>
    <row r="672" customFormat="false" ht="15" hidden="false" customHeight="false" outlineLevel="0" collapsed="false">
      <c r="A672" s="53" t="n">
        <v>4</v>
      </c>
      <c r="B672" s="53" t="n">
        <v>16</v>
      </c>
      <c r="C672" s="76" t="s">
        <v>512</v>
      </c>
      <c r="D672" s="53" t="n">
        <v>3</v>
      </c>
      <c r="E672" s="73" t="n">
        <v>2.9</v>
      </c>
      <c r="F672" s="55" t="n">
        <v>4</v>
      </c>
      <c r="G672" s="20"/>
      <c r="H672" s="20"/>
      <c r="I672" s="20"/>
      <c r="J672" s="20"/>
      <c r="K672" s="20"/>
      <c r="L672" s="20"/>
      <c r="M672" s="41" t="n">
        <f aca="false">E672*F672+G672*H672+I672*J672+K672*L672</f>
        <v>11.6</v>
      </c>
      <c r="N672" s="41" t="n">
        <f aca="false">Исходные!$B$15-M672</f>
        <v>0.0999999999999996</v>
      </c>
      <c r="O672" s="55" t="n">
        <v>2</v>
      </c>
      <c r="P672" s="53" t="n">
        <f aca="false">(F672+H672+J672+L672)*O672</f>
        <v>8</v>
      </c>
      <c r="Q672" s="74" t="n">
        <f aca="false">M672*O672</f>
        <v>23.2</v>
      </c>
      <c r="R672" s="74" t="n">
        <f aca="false">N672*O672</f>
        <v>0.199999999999999</v>
      </c>
    </row>
    <row r="673" customFormat="false" ht="15" hidden="false" customHeight="false" outlineLevel="0" collapsed="false">
      <c r="A673" s="53" t="n">
        <v>4</v>
      </c>
      <c r="B673" s="53" t="n">
        <v>16</v>
      </c>
      <c r="C673" s="76" t="s">
        <v>512</v>
      </c>
      <c r="D673" s="53" t="n">
        <v>4</v>
      </c>
      <c r="E673" s="73" t="n">
        <v>2.9</v>
      </c>
      <c r="F673" s="55" t="n">
        <v>2</v>
      </c>
      <c r="G673" s="73" t="n">
        <v>2.05</v>
      </c>
      <c r="H673" s="55" t="n">
        <v>2</v>
      </c>
      <c r="I673" s="73" t="n">
        <v>1.6</v>
      </c>
      <c r="J673" s="55" t="n">
        <v>1</v>
      </c>
      <c r="K673" s="20"/>
      <c r="L673" s="20"/>
      <c r="M673" s="41" t="n">
        <f aca="false">E673*F673+G673*H673+I673*J673+K673*L673</f>
        <v>11.5</v>
      </c>
      <c r="N673" s="41" t="n">
        <f aca="false">Исходные!$B$15-M673</f>
        <v>0.200000000000001</v>
      </c>
      <c r="O673" s="55" t="n">
        <v>1</v>
      </c>
      <c r="P673" s="53" t="n">
        <f aca="false">(F673+H673+J673+L673)*O673</f>
        <v>5</v>
      </c>
      <c r="Q673" s="74" t="n">
        <f aca="false">M673*O673</f>
        <v>11.5</v>
      </c>
      <c r="R673" s="74" t="n">
        <f aca="false">N673*O673</f>
        <v>0.200000000000001</v>
      </c>
    </row>
    <row r="674" customFormat="false" ht="15" hidden="false" customHeight="false" outlineLevel="0" collapsed="false">
      <c r="A674" s="53" t="n">
        <v>4</v>
      </c>
      <c r="B674" s="53" t="n">
        <v>16</v>
      </c>
      <c r="C674" s="76" t="s">
        <v>512</v>
      </c>
      <c r="D674" s="53" t="n">
        <v>5</v>
      </c>
      <c r="E674" s="73" t="n">
        <v>3</v>
      </c>
      <c r="F674" s="55" t="n">
        <v>3</v>
      </c>
      <c r="G674" s="73" t="n">
        <v>2.356</v>
      </c>
      <c r="H674" s="55" t="n">
        <v>1</v>
      </c>
      <c r="I674" s="20"/>
      <c r="J674" s="20"/>
      <c r="K674" s="20"/>
      <c r="L674" s="20"/>
      <c r="M674" s="41" t="n">
        <f aca="false">E674*F674+G674*H674+I674*J674+K674*L674</f>
        <v>11.356</v>
      </c>
      <c r="N674" s="41" t="n">
        <f aca="false">Исходные!$B$15-M674</f>
        <v>0.343999999999999</v>
      </c>
      <c r="O674" s="55" t="n">
        <v>1</v>
      </c>
      <c r="P674" s="53" t="n">
        <f aca="false">(F674+H674+J674+L674)*O674</f>
        <v>4</v>
      </c>
      <c r="Q674" s="74" t="n">
        <f aca="false">M674*O674</f>
        <v>11.356</v>
      </c>
      <c r="R674" s="74" t="n">
        <f aca="false">N674*O674</f>
        <v>0.343999999999999</v>
      </c>
    </row>
    <row r="675" customFormat="false" ht="15" hidden="false" customHeight="false" outlineLevel="0" collapsed="false">
      <c r="A675" s="53" t="n">
        <v>4</v>
      </c>
      <c r="B675" s="53" t="n">
        <v>16</v>
      </c>
      <c r="C675" s="76" t="s">
        <v>512</v>
      </c>
      <c r="D675" s="53" t="n">
        <v>6</v>
      </c>
      <c r="E675" s="73" t="n">
        <v>8.928</v>
      </c>
      <c r="F675" s="55" t="n">
        <v>1</v>
      </c>
      <c r="G675" s="73" t="n">
        <v>2.356</v>
      </c>
      <c r="H675" s="55" t="n">
        <v>1</v>
      </c>
      <c r="I675" s="20"/>
      <c r="J675" s="20"/>
      <c r="K675" s="20"/>
      <c r="L675" s="20"/>
      <c r="M675" s="41" t="n">
        <f aca="false">E675*F675+G675*H675+I675*J675+K675*L675</f>
        <v>11.284</v>
      </c>
      <c r="N675" s="41" t="n">
        <f aca="false">Исходные!$B$15-M675</f>
        <v>0.415999999999999</v>
      </c>
      <c r="O675" s="55" t="n">
        <v>7</v>
      </c>
      <c r="P675" s="53" t="n">
        <f aca="false">(F675+H675+J675+L675)*O675</f>
        <v>14</v>
      </c>
      <c r="Q675" s="74" t="n">
        <f aca="false">M675*O675</f>
        <v>78.988</v>
      </c>
      <c r="R675" s="74" t="n">
        <f aca="false">N675*O675</f>
        <v>2.91199999999999</v>
      </c>
    </row>
    <row r="676" customFormat="false" ht="15" hidden="false" customHeight="false" outlineLevel="0" collapsed="false">
      <c r="A676" s="53" t="n">
        <v>4</v>
      </c>
      <c r="B676" s="53" t="n">
        <v>16</v>
      </c>
      <c r="C676" s="76" t="s">
        <v>512</v>
      </c>
      <c r="D676" s="53" t="n">
        <v>7</v>
      </c>
      <c r="E676" s="73" t="n">
        <v>1.6</v>
      </c>
      <c r="F676" s="55" t="n">
        <v>7</v>
      </c>
      <c r="G676" s="20"/>
      <c r="H676" s="20"/>
      <c r="I676" s="20"/>
      <c r="J676" s="20"/>
      <c r="K676" s="20"/>
      <c r="L676" s="20"/>
      <c r="M676" s="41" t="n">
        <f aca="false">E676*F676+G676*H676+I676*J676+K676*L676</f>
        <v>11.2</v>
      </c>
      <c r="N676" s="41" t="n">
        <f aca="false">Исходные!$B$15-M676</f>
        <v>0.499999999999998</v>
      </c>
      <c r="O676" s="55" t="n">
        <v>1</v>
      </c>
      <c r="P676" s="53" t="n">
        <f aca="false">(F676+H676+J676+L676)*O676</f>
        <v>7</v>
      </c>
      <c r="Q676" s="74" t="n">
        <f aca="false">M676*O676</f>
        <v>11.2</v>
      </c>
      <c r="R676" s="74" t="n">
        <f aca="false">N676*O676</f>
        <v>0.499999999999998</v>
      </c>
    </row>
    <row r="677" customFormat="false" ht="15" hidden="false" customHeight="false" outlineLevel="0" collapsed="false">
      <c r="A677" s="53" t="n">
        <v>4</v>
      </c>
      <c r="B677" s="53" t="n">
        <v>16</v>
      </c>
      <c r="C677" s="76" t="s">
        <v>512</v>
      </c>
      <c r="D677" s="53" t="n">
        <v>8</v>
      </c>
      <c r="E677" s="73" t="n">
        <v>3.728</v>
      </c>
      <c r="F677" s="55" t="n">
        <v>3</v>
      </c>
      <c r="G677" s="20"/>
      <c r="H677" s="20"/>
      <c r="I677" s="20"/>
      <c r="J677" s="20"/>
      <c r="K677" s="20"/>
      <c r="L677" s="20"/>
      <c r="M677" s="41" t="n">
        <f aca="false">E677*F677+G677*H677+I677*J677+K677*L677</f>
        <v>11.184</v>
      </c>
      <c r="N677" s="41" t="n">
        <f aca="false">Исходные!$B$15-M677</f>
        <v>0.515999999999998</v>
      </c>
      <c r="O677" s="55" t="n">
        <v>4</v>
      </c>
      <c r="P677" s="53" t="n">
        <f aca="false">(F677+H677+J677+L677)*O677</f>
        <v>12</v>
      </c>
      <c r="Q677" s="74" t="n">
        <f aca="false">M677*O677</f>
        <v>44.736</v>
      </c>
      <c r="R677" s="74" t="n">
        <f aca="false">N677*O677</f>
        <v>2.06399999999999</v>
      </c>
    </row>
    <row r="678" customFormat="false" ht="15" hidden="false" customHeight="false" outlineLevel="0" collapsed="false">
      <c r="A678" s="53" t="n">
        <v>4</v>
      </c>
      <c r="B678" s="53" t="n">
        <v>16</v>
      </c>
      <c r="C678" s="76" t="s">
        <v>512</v>
      </c>
      <c r="D678" s="53" t="n">
        <v>9</v>
      </c>
      <c r="E678" s="73" t="n">
        <v>5.5</v>
      </c>
      <c r="F678" s="55" t="n">
        <v>2</v>
      </c>
      <c r="G678" s="20"/>
      <c r="H678" s="20"/>
      <c r="I678" s="20"/>
      <c r="J678" s="20"/>
      <c r="K678" s="20"/>
      <c r="L678" s="20"/>
      <c r="M678" s="41" t="n">
        <f aca="false">E678*F678+G678*H678+I678*J678+K678*L678</f>
        <v>11</v>
      </c>
      <c r="N678" s="41" t="n">
        <f aca="false">Исходные!$B$15-M678</f>
        <v>0.699999999999999</v>
      </c>
      <c r="O678" s="55" t="n">
        <v>1</v>
      </c>
      <c r="P678" s="53" t="n">
        <f aca="false">(F678+H678+J678+L678)*O678</f>
        <v>2</v>
      </c>
      <c r="Q678" s="74" t="n">
        <f aca="false">M678*O678</f>
        <v>11</v>
      </c>
      <c r="R678" s="74" t="n">
        <f aca="false">N678*O678</f>
        <v>0.699999999999999</v>
      </c>
    </row>
    <row r="679" customFormat="false" ht="15" hidden="false" customHeight="false" outlineLevel="0" collapsed="false">
      <c r="A679" s="53" t="n">
        <v>4</v>
      </c>
      <c r="B679" s="53" t="n">
        <v>16</v>
      </c>
      <c r="C679" s="76" t="s">
        <v>512</v>
      </c>
      <c r="D679" s="53" t="n">
        <v>10</v>
      </c>
      <c r="E679" s="73" t="n">
        <v>8.928</v>
      </c>
      <c r="F679" s="55" t="n">
        <v>1</v>
      </c>
      <c r="G679" s="73" t="n">
        <v>2.05</v>
      </c>
      <c r="H679" s="55" t="n">
        <v>1</v>
      </c>
      <c r="I679" s="20"/>
      <c r="J679" s="20"/>
      <c r="K679" s="20"/>
      <c r="L679" s="20"/>
      <c r="M679" s="41" t="n">
        <f aca="false">E679*F679+G679*H679+I679*J679+K679*L679</f>
        <v>10.978</v>
      </c>
      <c r="N679" s="41" t="n">
        <f aca="false">Исходные!$B$15-M679</f>
        <v>0.721999999999998</v>
      </c>
      <c r="O679" s="55" t="n">
        <v>3</v>
      </c>
      <c r="P679" s="53" t="n">
        <f aca="false">(F679+H679+J679+L679)*O679</f>
        <v>6</v>
      </c>
      <c r="Q679" s="74" t="n">
        <f aca="false">M679*O679</f>
        <v>32.934</v>
      </c>
      <c r="R679" s="74" t="n">
        <f aca="false">N679*O679</f>
        <v>2.16599999999999</v>
      </c>
    </row>
    <row r="680" customFormat="false" ht="15" hidden="false" customHeight="false" outlineLevel="0" collapsed="false">
      <c r="A680" s="53" t="n">
        <v>4</v>
      </c>
      <c r="B680" s="53" t="n">
        <v>16</v>
      </c>
      <c r="C680" s="76" t="s">
        <v>512</v>
      </c>
      <c r="D680" s="53" t="n">
        <v>11</v>
      </c>
      <c r="E680" s="73" t="n">
        <v>6.5</v>
      </c>
      <c r="F680" s="55" t="n">
        <v>1</v>
      </c>
      <c r="G680" s="73" t="n">
        <v>3.728</v>
      </c>
      <c r="H680" s="55" t="n">
        <v>1</v>
      </c>
      <c r="I680" s="20"/>
      <c r="J680" s="20"/>
      <c r="K680" s="20"/>
      <c r="L680" s="20"/>
      <c r="M680" s="41" t="n">
        <f aca="false">E680*F680+G680*H680+I680*J680+K680*L680</f>
        <v>10.228</v>
      </c>
      <c r="N680" s="41" t="n">
        <f aca="false">Исходные!$B$15-M680</f>
        <v>1.472</v>
      </c>
      <c r="O680" s="55" t="n">
        <v>4</v>
      </c>
      <c r="P680" s="53" t="n">
        <f aca="false">(F680+H680+J680+L680)*O680</f>
        <v>8</v>
      </c>
      <c r="Q680" s="74" t="n">
        <f aca="false">M680*O680</f>
        <v>40.912</v>
      </c>
      <c r="R680" s="74" t="n">
        <f aca="false">N680*O680</f>
        <v>5.888</v>
      </c>
    </row>
    <row r="681" customFormat="false" ht="15" hidden="false" customHeight="false" outlineLevel="0" collapsed="false">
      <c r="A681" s="53" t="n">
        <v>4</v>
      </c>
      <c r="B681" s="53" t="n">
        <v>16</v>
      </c>
      <c r="C681" s="76" t="s">
        <v>512</v>
      </c>
      <c r="D681" s="53" t="n">
        <v>12</v>
      </c>
      <c r="E681" s="73" t="n">
        <v>3.6</v>
      </c>
      <c r="F681" s="55" t="n">
        <v>2</v>
      </c>
      <c r="G681" s="73" t="n">
        <v>3</v>
      </c>
      <c r="H681" s="55" t="n">
        <v>1</v>
      </c>
      <c r="I681" s="20"/>
      <c r="J681" s="20"/>
      <c r="K681" s="20"/>
      <c r="L681" s="20"/>
      <c r="M681" s="41" t="n">
        <f aca="false">E681*F681+G681*H681+I681*J681+K681*L681</f>
        <v>10.2</v>
      </c>
      <c r="N681" s="41" t="n">
        <f aca="false">Исходные!$B$15-M681</f>
        <v>1.5</v>
      </c>
      <c r="O681" s="55" t="n">
        <v>1</v>
      </c>
      <c r="P681" s="53" t="n">
        <f aca="false">(F681+H681+J681+L681)*O681</f>
        <v>3</v>
      </c>
      <c r="Q681" s="74" t="n">
        <f aca="false">M681*O681</f>
        <v>10.2</v>
      </c>
      <c r="R681" s="74" t="n">
        <f aca="false">N681*O681</f>
        <v>1.5</v>
      </c>
    </row>
    <row r="682" customFormat="false" ht="15" hidden="false" customHeight="false" outlineLevel="0" collapsed="false">
      <c r="A682" s="53" t="n">
        <v>4</v>
      </c>
      <c r="B682" s="53" t="n">
        <v>16</v>
      </c>
      <c r="C682" s="76" t="s">
        <v>512</v>
      </c>
      <c r="D682" s="53" t="n">
        <v>13</v>
      </c>
      <c r="E682" s="73" t="n">
        <v>1.6</v>
      </c>
      <c r="F682" s="55" t="n">
        <v>6</v>
      </c>
      <c r="G682" s="20"/>
      <c r="H682" s="20"/>
      <c r="I682" s="20"/>
      <c r="J682" s="20"/>
      <c r="K682" s="20"/>
      <c r="L682" s="20"/>
      <c r="M682" s="41" t="n">
        <f aca="false">E682*F682+G682*H682+I682*J682+K682*L682</f>
        <v>9.6</v>
      </c>
      <c r="N682" s="41" t="n">
        <f aca="false">Исходные!$B$15-M682</f>
        <v>2.1</v>
      </c>
      <c r="O682" s="55" t="n">
        <v>1</v>
      </c>
      <c r="P682" s="53" t="n">
        <f aca="false">(F682+H682+J682+L682)*O682</f>
        <v>6</v>
      </c>
      <c r="Q682" s="74" t="n">
        <f aca="false">M682*O682</f>
        <v>9.6</v>
      </c>
      <c r="R682" s="74" t="n">
        <f aca="false">N682*O682</f>
        <v>2.1</v>
      </c>
    </row>
    <row r="683" customFormat="false" ht="15" hidden="false" customHeight="false" outlineLevel="0" collapsed="false">
      <c r="A683" s="53" t="n">
        <v>4</v>
      </c>
      <c r="B683" s="53" t="n">
        <v>14</v>
      </c>
      <c r="C683" s="76" t="s">
        <v>512</v>
      </c>
      <c r="D683" s="53" t="n">
        <v>1</v>
      </c>
      <c r="E683" s="73" t="n">
        <v>11.7</v>
      </c>
      <c r="F683" s="55" t="n">
        <v>1</v>
      </c>
      <c r="G683" s="20"/>
      <c r="H683" s="20"/>
      <c r="I683" s="20"/>
      <c r="J683" s="20"/>
      <c r="K683" s="20"/>
      <c r="L683" s="20"/>
      <c r="M683" s="41" t="n">
        <f aca="false">E683*F683+G683*H683+I683*J683+K683*L683</f>
        <v>11.7</v>
      </c>
      <c r="N683" s="41" t="n">
        <f aca="false">Исходные!$B$15-M683</f>
        <v>0</v>
      </c>
      <c r="O683" s="55" t="n">
        <v>6</v>
      </c>
      <c r="P683" s="53" t="n">
        <f aca="false">(F683+H683+J683+L683)*O683</f>
        <v>6</v>
      </c>
      <c r="Q683" s="74" t="n">
        <f aca="false">M683*O683</f>
        <v>70.2</v>
      </c>
      <c r="R683" s="74" t="n">
        <f aca="false">N683*O683</f>
        <v>0</v>
      </c>
    </row>
    <row r="684" customFormat="false" ht="15" hidden="false" customHeight="false" outlineLevel="0" collapsed="false">
      <c r="A684" s="53" t="n">
        <v>4</v>
      </c>
      <c r="B684" s="53" t="n">
        <v>14</v>
      </c>
      <c r="C684" s="76" t="s">
        <v>512</v>
      </c>
      <c r="D684" s="53" t="n">
        <v>2</v>
      </c>
      <c r="E684" s="73" t="n">
        <v>4.5</v>
      </c>
      <c r="F684" s="55" t="n">
        <v>2</v>
      </c>
      <c r="G684" s="73" t="n">
        <v>2.7</v>
      </c>
      <c r="H684" s="55" t="n">
        <v>1</v>
      </c>
      <c r="I684" s="20"/>
      <c r="J684" s="20"/>
      <c r="K684" s="20"/>
      <c r="L684" s="20"/>
      <c r="M684" s="41" t="n">
        <f aca="false">E684*F684+G684*H684+I684*J684+K684*L684</f>
        <v>11.7</v>
      </c>
      <c r="N684" s="41" t="n">
        <f aca="false">Исходные!$B$15-M684</f>
        <v>0</v>
      </c>
      <c r="O684" s="55" t="n">
        <v>2</v>
      </c>
      <c r="P684" s="53" t="n">
        <f aca="false">(F684+H684+J684+L684)*O684</f>
        <v>6</v>
      </c>
      <c r="Q684" s="74" t="n">
        <f aca="false">M684*O684</f>
        <v>23.4</v>
      </c>
      <c r="R684" s="74" t="n">
        <f aca="false">N684*O684</f>
        <v>0</v>
      </c>
    </row>
    <row r="685" customFormat="false" ht="15" hidden="false" customHeight="false" outlineLevel="0" collapsed="false">
      <c r="A685" s="53" t="n">
        <v>4</v>
      </c>
      <c r="B685" s="53" t="n">
        <v>14</v>
      </c>
      <c r="C685" s="76" t="s">
        <v>512</v>
      </c>
      <c r="D685" s="53" t="n">
        <v>3</v>
      </c>
      <c r="E685" s="73" t="n">
        <v>4</v>
      </c>
      <c r="F685" s="55" t="n">
        <v>2</v>
      </c>
      <c r="G685" s="73" t="n">
        <v>3.7</v>
      </c>
      <c r="H685" s="55" t="n">
        <v>1</v>
      </c>
      <c r="I685" s="20"/>
      <c r="J685" s="20"/>
      <c r="K685" s="20"/>
      <c r="L685" s="20"/>
      <c r="M685" s="41" t="n">
        <f aca="false">E685*F685+G685*H685+I685*J685+K685*L685</f>
        <v>11.7</v>
      </c>
      <c r="N685" s="41" t="n">
        <f aca="false">Исходные!$B$15-M685</f>
        <v>0</v>
      </c>
      <c r="O685" s="55" t="n">
        <v>1</v>
      </c>
      <c r="P685" s="53" t="n">
        <f aca="false">(F685+H685+J685+L685)*O685</f>
        <v>3</v>
      </c>
      <c r="Q685" s="74" t="n">
        <f aca="false">M685*O685</f>
        <v>11.7</v>
      </c>
      <c r="R685" s="74" t="n">
        <f aca="false">N685*O685</f>
        <v>0</v>
      </c>
    </row>
    <row r="686" customFormat="false" ht="15" hidden="false" customHeight="false" outlineLevel="0" collapsed="false">
      <c r="A686" s="53" t="n">
        <v>4</v>
      </c>
      <c r="B686" s="53" t="n">
        <v>14</v>
      </c>
      <c r="C686" s="76" t="s">
        <v>512</v>
      </c>
      <c r="D686" s="53" t="n">
        <v>4</v>
      </c>
      <c r="E686" s="73" t="n">
        <v>1.95</v>
      </c>
      <c r="F686" s="55" t="n">
        <v>6</v>
      </c>
      <c r="G686" s="20"/>
      <c r="H686" s="20"/>
      <c r="I686" s="20"/>
      <c r="J686" s="20"/>
      <c r="K686" s="20"/>
      <c r="L686" s="20"/>
      <c r="M686" s="41" t="n">
        <f aca="false">E686*F686+G686*H686+I686*J686+K686*L686</f>
        <v>11.7</v>
      </c>
      <c r="N686" s="41" t="n">
        <f aca="false">Исходные!$B$15-M686</f>
        <v>0</v>
      </c>
      <c r="O686" s="55" t="n">
        <v>4</v>
      </c>
      <c r="P686" s="53" t="n">
        <f aca="false">(F686+H686+J686+L686)*O686</f>
        <v>24</v>
      </c>
      <c r="Q686" s="74" t="n">
        <f aca="false">M686*O686</f>
        <v>46.8</v>
      </c>
      <c r="R686" s="74" t="n">
        <f aca="false">N686*O686</f>
        <v>0</v>
      </c>
    </row>
    <row r="687" customFormat="false" ht="15" hidden="false" customHeight="false" outlineLevel="0" collapsed="false">
      <c r="A687" s="53" t="n">
        <v>4</v>
      </c>
      <c r="B687" s="53" t="n">
        <v>14</v>
      </c>
      <c r="C687" s="76" t="s">
        <v>512</v>
      </c>
      <c r="D687" s="53" t="n">
        <v>5</v>
      </c>
      <c r="E687" s="73" t="n">
        <v>3.9</v>
      </c>
      <c r="F687" s="55" t="n">
        <v>2</v>
      </c>
      <c r="G687" s="73" t="n">
        <v>3.712</v>
      </c>
      <c r="H687" s="55" t="n">
        <v>1</v>
      </c>
      <c r="I687" s="20"/>
      <c r="J687" s="20"/>
      <c r="K687" s="20"/>
      <c r="L687" s="20"/>
      <c r="M687" s="41" t="n">
        <f aca="false">E687*F687+G687*H687+I687*J687+K687*L687</f>
        <v>11.512</v>
      </c>
      <c r="N687" s="41" t="n">
        <f aca="false">Исходные!$B$15-M687</f>
        <v>0.187999999999999</v>
      </c>
      <c r="O687" s="55" t="n">
        <v>1</v>
      </c>
      <c r="P687" s="53" t="n">
        <f aca="false">(F687+H687+J687+L687)*O687</f>
        <v>3</v>
      </c>
      <c r="Q687" s="74" t="n">
        <f aca="false">M687*O687</f>
        <v>11.512</v>
      </c>
      <c r="R687" s="74" t="n">
        <f aca="false">N687*O687</f>
        <v>0.187999999999999</v>
      </c>
    </row>
    <row r="688" customFormat="false" ht="15" hidden="false" customHeight="false" outlineLevel="0" collapsed="false">
      <c r="A688" s="53" t="n">
        <v>4</v>
      </c>
      <c r="B688" s="53" t="n">
        <v>14</v>
      </c>
      <c r="C688" s="76" t="s">
        <v>512</v>
      </c>
      <c r="D688" s="53" t="n">
        <v>6</v>
      </c>
      <c r="E688" s="73" t="n">
        <v>9.1</v>
      </c>
      <c r="F688" s="55" t="n">
        <v>1</v>
      </c>
      <c r="G688" s="73" t="n">
        <v>2.4</v>
      </c>
      <c r="H688" s="55" t="n">
        <v>1</v>
      </c>
      <c r="I688" s="20"/>
      <c r="J688" s="20"/>
      <c r="K688" s="20"/>
      <c r="L688" s="20"/>
      <c r="M688" s="41" t="n">
        <f aca="false">E688*F688+G688*H688+I688*J688+K688*L688</f>
        <v>11.5</v>
      </c>
      <c r="N688" s="41" t="n">
        <f aca="false">Исходные!$B$15-M688</f>
        <v>0.199999999999999</v>
      </c>
      <c r="O688" s="55" t="n">
        <v>2</v>
      </c>
      <c r="P688" s="53" t="n">
        <f aca="false">(F688+H688+J688+L688)*O688</f>
        <v>4</v>
      </c>
      <c r="Q688" s="74" t="n">
        <f aca="false">M688*O688</f>
        <v>23</v>
      </c>
      <c r="R688" s="74" t="n">
        <f aca="false">N688*O688</f>
        <v>0.399999999999999</v>
      </c>
    </row>
    <row r="689" customFormat="false" ht="15" hidden="false" customHeight="false" outlineLevel="0" collapsed="false">
      <c r="A689" s="53" t="n">
        <v>4</v>
      </c>
      <c r="B689" s="53" t="n">
        <v>14</v>
      </c>
      <c r="C689" s="76" t="s">
        <v>512</v>
      </c>
      <c r="D689" s="53" t="n">
        <v>7</v>
      </c>
      <c r="E689" s="73" t="n">
        <v>9.355</v>
      </c>
      <c r="F689" s="55" t="n">
        <v>1</v>
      </c>
      <c r="G689" s="73" t="n">
        <v>1.95</v>
      </c>
      <c r="H689" s="55" t="n">
        <v>1</v>
      </c>
      <c r="I689" s="20"/>
      <c r="J689" s="20"/>
      <c r="K689" s="20"/>
      <c r="L689" s="20"/>
      <c r="M689" s="41" t="n">
        <f aca="false">E689*F689+G689*H689+I689*J689+K689*L689</f>
        <v>11.305</v>
      </c>
      <c r="N689" s="41" t="n">
        <f aca="false">Исходные!$B$15-M689</f>
        <v>0.395</v>
      </c>
      <c r="O689" s="55" t="n">
        <v>2</v>
      </c>
      <c r="P689" s="53" t="n">
        <f aca="false">(F689+H689+J689+L689)*O689</f>
        <v>4</v>
      </c>
      <c r="Q689" s="74" t="n">
        <f aca="false">M689*O689</f>
        <v>22.61</v>
      </c>
      <c r="R689" s="74" t="n">
        <f aca="false">N689*O689</f>
        <v>0.789999999999999</v>
      </c>
    </row>
    <row r="690" customFormat="false" ht="15" hidden="false" customHeight="false" outlineLevel="0" collapsed="false">
      <c r="A690" s="53" t="n">
        <v>4</v>
      </c>
      <c r="B690" s="53" t="n">
        <v>14</v>
      </c>
      <c r="C690" s="76" t="s">
        <v>512</v>
      </c>
      <c r="D690" s="53" t="n">
        <v>8</v>
      </c>
      <c r="E690" s="73" t="n">
        <v>4.2</v>
      </c>
      <c r="F690" s="55" t="n">
        <v>2</v>
      </c>
      <c r="G690" s="73" t="n">
        <v>2.85</v>
      </c>
      <c r="H690" s="55" t="n">
        <v>1</v>
      </c>
      <c r="I690" s="20"/>
      <c r="J690" s="20"/>
      <c r="K690" s="20"/>
      <c r="L690" s="20"/>
      <c r="M690" s="41" t="n">
        <f aca="false">E690*F690+G690*H690+I690*J690+K690*L690</f>
        <v>11.25</v>
      </c>
      <c r="N690" s="41" t="n">
        <f aca="false">Исходные!$B$15-M690</f>
        <v>0.449999999999999</v>
      </c>
      <c r="O690" s="55" t="n">
        <v>2</v>
      </c>
      <c r="P690" s="53" t="n">
        <f aca="false">(F690+H690+J690+L690)*O690</f>
        <v>6</v>
      </c>
      <c r="Q690" s="74" t="n">
        <f aca="false">M690*O690</f>
        <v>22.5</v>
      </c>
      <c r="R690" s="74" t="n">
        <f aca="false">N690*O690</f>
        <v>0.899999999999999</v>
      </c>
    </row>
    <row r="691" customFormat="false" ht="15" hidden="false" customHeight="false" outlineLevel="0" collapsed="false">
      <c r="A691" s="53" t="n">
        <v>4</v>
      </c>
      <c r="B691" s="53" t="n">
        <v>14</v>
      </c>
      <c r="C691" s="76" t="s">
        <v>512</v>
      </c>
      <c r="D691" s="53" t="n">
        <v>9</v>
      </c>
      <c r="E691" s="73" t="n">
        <v>1.95</v>
      </c>
      <c r="F691" s="55" t="n">
        <v>2</v>
      </c>
      <c r="G691" s="73" t="n">
        <v>1.45</v>
      </c>
      <c r="H691" s="55" t="n">
        <v>5</v>
      </c>
      <c r="I691" s="20"/>
      <c r="J691" s="20"/>
      <c r="K691" s="20"/>
      <c r="L691" s="20"/>
      <c r="M691" s="41" t="n">
        <f aca="false">E691*F691+G691*H691+I691*J691+K691*L691</f>
        <v>11.15</v>
      </c>
      <c r="N691" s="41" t="n">
        <f aca="false">Исходные!$B$15-M691</f>
        <v>0.549999999999999</v>
      </c>
      <c r="O691" s="55" t="n">
        <v>1</v>
      </c>
      <c r="P691" s="53" t="n">
        <f aca="false">(F691+H691+J691+L691)*O691</f>
        <v>7</v>
      </c>
      <c r="Q691" s="74" t="n">
        <f aca="false">M691*O691</f>
        <v>11.15</v>
      </c>
      <c r="R691" s="74" t="n">
        <f aca="false">N691*O691</f>
        <v>0.549999999999999</v>
      </c>
    </row>
    <row r="692" customFormat="false" ht="15" hidden="false" customHeight="false" outlineLevel="0" collapsed="false">
      <c r="A692" s="53" t="n">
        <v>4</v>
      </c>
      <c r="B692" s="53" t="n">
        <v>14</v>
      </c>
      <c r="C692" s="76" t="s">
        <v>512</v>
      </c>
      <c r="D692" s="53" t="n">
        <v>10</v>
      </c>
      <c r="E692" s="73" t="n">
        <v>3.712</v>
      </c>
      <c r="F692" s="55" t="n">
        <v>3</v>
      </c>
      <c r="G692" s="20"/>
      <c r="H692" s="20"/>
      <c r="I692" s="20"/>
      <c r="J692" s="20"/>
      <c r="K692" s="20"/>
      <c r="L692" s="20"/>
      <c r="M692" s="41" t="n">
        <f aca="false">E692*F692+G692*H692+I692*J692+K692*L692</f>
        <v>11.136</v>
      </c>
      <c r="N692" s="41" t="n">
        <f aca="false">Исходные!$B$15-M692</f>
        <v>0.563999999999998</v>
      </c>
      <c r="O692" s="55" t="n">
        <v>13</v>
      </c>
      <c r="P692" s="53" t="n">
        <f aca="false">(F692+H692+J692+L692)*O692</f>
        <v>39</v>
      </c>
      <c r="Q692" s="74" t="n">
        <f aca="false">M692*O692</f>
        <v>144.768</v>
      </c>
      <c r="R692" s="74" t="n">
        <f aca="false">N692*O692</f>
        <v>7.33199999999998</v>
      </c>
    </row>
    <row r="693" customFormat="false" ht="15" hidden="false" customHeight="false" outlineLevel="0" collapsed="false">
      <c r="A693" s="53" t="n">
        <v>4</v>
      </c>
      <c r="B693" s="53" t="n">
        <v>14</v>
      </c>
      <c r="C693" s="76" t="s">
        <v>512</v>
      </c>
      <c r="D693" s="53" t="n">
        <v>11</v>
      </c>
      <c r="E693" s="73" t="n">
        <v>3.712</v>
      </c>
      <c r="F693" s="55" t="n">
        <v>2</v>
      </c>
      <c r="G693" s="73" t="n">
        <v>3.7</v>
      </c>
      <c r="H693" s="55" t="n">
        <v>1</v>
      </c>
      <c r="I693" s="20"/>
      <c r="J693" s="20"/>
      <c r="K693" s="20"/>
      <c r="L693" s="20"/>
      <c r="M693" s="41" t="n">
        <f aca="false">E693*F693+G693*H693+I693*J693+K693*L693</f>
        <v>11.124</v>
      </c>
      <c r="N693" s="41" t="n">
        <f aca="false">Исходные!$B$15-M693</f>
        <v>0.575999999999999</v>
      </c>
      <c r="O693" s="55" t="n">
        <v>1</v>
      </c>
      <c r="P693" s="53" t="n">
        <f aca="false">(F693+H693+J693+L693)*O693</f>
        <v>3</v>
      </c>
      <c r="Q693" s="74" t="n">
        <f aca="false">M693*O693</f>
        <v>11.124</v>
      </c>
      <c r="R693" s="74" t="n">
        <f aca="false">N693*O693</f>
        <v>0.575999999999999</v>
      </c>
    </row>
    <row r="694" customFormat="false" ht="15" hidden="false" customHeight="false" outlineLevel="0" collapsed="false">
      <c r="A694" s="53" t="n">
        <v>4</v>
      </c>
      <c r="B694" s="53" t="n">
        <v>14</v>
      </c>
      <c r="C694" s="76" t="s">
        <v>512</v>
      </c>
      <c r="D694" s="53" t="n">
        <v>12</v>
      </c>
      <c r="E694" s="73" t="n">
        <v>3.7</v>
      </c>
      <c r="F694" s="55" t="n">
        <v>3</v>
      </c>
      <c r="G694" s="20"/>
      <c r="H694" s="20"/>
      <c r="I694" s="20"/>
      <c r="J694" s="20"/>
      <c r="K694" s="20"/>
      <c r="L694" s="20"/>
      <c r="M694" s="41" t="n">
        <f aca="false">E694*F694+G694*H694+I694*J694+K694*L694</f>
        <v>11.1</v>
      </c>
      <c r="N694" s="41" t="n">
        <f aca="false">Исходные!$B$15-M694</f>
        <v>0.599999999999998</v>
      </c>
      <c r="O694" s="55" t="n">
        <v>1</v>
      </c>
      <c r="P694" s="53" t="n">
        <f aca="false">(F694+H694+J694+L694)*O694</f>
        <v>3</v>
      </c>
      <c r="Q694" s="74" t="n">
        <f aca="false">M694*O694</f>
        <v>11.1</v>
      </c>
      <c r="R694" s="74" t="n">
        <f aca="false">N694*O694</f>
        <v>0.599999999999998</v>
      </c>
    </row>
    <row r="695" customFormat="false" ht="15" hidden="false" customHeight="false" outlineLevel="0" collapsed="false">
      <c r="A695" s="53" t="n">
        <v>4</v>
      </c>
      <c r="B695" s="53" t="n">
        <v>14</v>
      </c>
      <c r="C695" s="76" t="s">
        <v>512</v>
      </c>
      <c r="D695" s="53" t="n">
        <v>13</v>
      </c>
      <c r="E695" s="73" t="n">
        <v>9.1</v>
      </c>
      <c r="F695" s="55" t="n">
        <v>1</v>
      </c>
      <c r="G695" s="73" t="n">
        <v>1.95</v>
      </c>
      <c r="H695" s="55" t="n">
        <v>1</v>
      </c>
      <c r="I695" s="20"/>
      <c r="J695" s="20"/>
      <c r="K695" s="20"/>
      <c r="L695" s="20"/>
      <c r="M695" s="41" t="n">
        <f aca="false">E695*F695+G695*H695+I695*J695+K695*L695</f>
        <v>11.05</v>
      </c>
      <c r="N695" s="41" t="n">
        <f aca="false">Исходные!$B$15-M695</f>
        <v>0.65</v>
      </c>
      <c r="O695" s="55" t="n">
        <v>2</v>
      </c>
      <c r="P695" s="53" t="n">
        <f aca="false">(F695+H695+J695+L695)*O695</f>
        <v>4</v>
      </c>
      <c r="Q695" s="74" t="n">
        <f aca="false">M695*O695</f>
        <v>22.1</v>
      </c>
      <c r="R695" s="74" t="n">
        <f aca="false">N695*O695</f>
        <v>1.3</v>
      </c>
    </row>
    <row r="696" customFormat="false" ht="15" hidden="false" customHeight="false" outlineLevel="0" collapsed="false">
      <c r="A696" s="53" t="n">
        <v>4</v>
      </c>
      <c r="B696" s="53" t="n">
        <v>14</v>
      </c>
      <c r="C696" s="76" t="s">
        <v>512</v>
      </c>
      <c r="D696" s="53" t="n">
        <v>14</v>
      </c>
      <c r="E696" s="73" t="n">
        <v>3.7</v>
      </c>
      <c r="F696" s="55" t="n">
        <v>1</v>
      </c>
      <c r="G696" s="73" t="n">
        <v>3.515</v>
      </c>
      <c r="H696" s="55" t="n">
        <v>2</v>
      </c>
      <c r="I696" s="20"/>
      <c r="J696" s="20"/>
      <c r="K696" s="20"/>
      <c r="L696" s="20"/>
      <c r="M696" s="41" t="n">
        <f aca="false">E696*F696+G696*H696+I696*J696+K696*L696</f>
        <v>10.73</v>
      </c>
      <c r="N696" s="41" t="n">
        <f aca="false">Исходные!$B$15-M696</f>
        <v>0.969999999999999</v>
      </c>
      <c r="O696" s="55" t="n">
        <v>1</v>
      </c>
      <c r="P696" s="53" t="n">
        <f aca="false">(F696+H696+J696+L696)*O696</f>
        <v>3</v>
      </c>
      <c r="Q696" s="74" t="n">
        <f aca="false">M696*O696</f>
        <v>10.73</v>
      </c>
      <c r="R696" s="74" t="n">
        <f aca="false">N696*O696</f>
        <v>0.969999999999999</v>
      </c>
    </row>
    <row r="697" customFormat="false" ht="15" hidden="false" customHeight="false" outlineLevel="0" collapsed="false">
      <c r="A697" s="53" t="n">
        <v>4</v>
      </c>
      <c r="B697" s="53" t="n">
        <v>14</v>
      </c>
      <c r="C697" s="76" t="s">
        <v>512</v>
      </c>
      <c r="D697" s="53" t="n">
        <v>15</v>
      </c>
      <c r="E697" s="73" t="n">
        <v>3.4</v>
      </c>
      <c r="F697" s="55" t="n">
        <v>2</v>
      </c>
      <c r="G697" s="73" t="n">
        <v>1.95</v>
      </c>
      <c r="H697" s="55" t="n">
        <v>2</v>
      </c>
      <c r="I697" s="20"/>
      <c r="J697" s="20"/>
      <c r="K697" s="20"/>
      <c r="L697" s="20"/>
      <c r="M697" s="41" t="n">
        <f aca="false">E697*F697+G697*H697+I697*J697+K697*L697</f>
        <v>10.7</v>
      </c>
      <c r="N697" s="41" t="n">
        <f aca="false">Исходные!$B$15-M697</f>
        <v>1</v>
      </c>
      <c r="O697" s="55" t="n">
        <v>1</v>
      </c>
      <c r="P697" s="53" t="n">
        <f aca="false">(F697+H697+J697+L697)*O697</f>
        <v>4</v>
      </c>
      <c r="Q697" s="74" t="n">
        <f aca="false">M697*O697</f>
        <v>10.7</v>
      </c>
      <c r="R697" s="74" t="n">
        <f aca="false">N697*O697</f>
        <v>1</v>
      </c>
    </row>
    <row r="698" customFormat="false" ht="15" hidden="false" customHeight="false" outlineLevel="0" collapsed="false">
      <c r="A698" s="53" t="n">
        <v>4</v>
      </c>
      <c r="B698" s="53" t="n">
        <v>14</v>
      </c>
      <c r="C698" s="76" t="s">
        <v>512</v>
      </c>
      <c r="D698" s="53" t="n">
        <v>16</v>
      </c>
      <c r="E698" s="73" t="n">
        <v>10.6</v>
      </c>
      <c r="F698" s="55" t="n">
        <v>1</v>
      </c>
      <c r="G698" s="20"/>
      <c r="H698" s="20"/>
      <c r="I698" s="20"/>
      <c r="J698" s="20"/>
      <c r="K698" s="20"/>
      <c r="L698" s="20"/>
      <c r="M698" s="41" t="n">
        <f aca="false">E698*F698+G698*H698+I698*J698+K698*L698</f>
        <v>10.6</v>
      </c>
      <c r="N698" s="41" t="n">
        <f aca="false">Исходные!$B$15-M698</f>
        <v>1.1</v>
      </c>
      <c r="O698" s="55" t="n">
        <v>2</v>
      </c>
      <c r="P698" s="53" t="n">
        <f aca="false">(F698+H698+J698+L698)*O698</f>
        <v>2</v>
      </c>
      <c r="Q698" s="74" t="n">
        <f aca="false">M698*O698</f>
        <v>21.2</v>
      </c>
      <c r="R698" s="74" t="n">
        <f aca="false">N698*O698</f>
        <v>2.2</v>
      </c>
    </row>
    <row r="699" customFormat="false" ht="15" hidden="false" customHeight="false" outlineLevel="0" collapsed="false">
      <c r="A699" s="53" t="n">
        <v>4</v>
      </c>
      <c r="B699" s="53" t="n">
        <v>14</v>
      </c>
      <c r="C699" s="76" t="s">
        <v>512</v>
      </c>
      <c r="D699" s="53" t="n">
        <v>17</v>
      </c>
      <c r="E699" s="73" t="n">
        <v>1.45</v>
      </c>
      <c r="F699" s="55" t="n">
        <v>1</v>
      </c>
      <c r="G699" s="73" t="n">
        <v>1.2</v>
      </c>
      <c r="H699" s="55" t="n">
        <v>6</v>
      </c>
      <c r="I699" s="20"/>
      <c r="J699" s="20"/>
      <c r="K699" s="20"/>
      <c r="L699" s="20"/>
      <c r="M699" s="41" t="n">
        <f aca="false">E699*F699+G699*H699+I699*J699+K699*L699</f>
        <v>8.65</v>
      </c>
      <c r="N699" s="41" t="n">
        <f aca="false">Исходные!$B$15-M699</f>
        <v>3.05</v>
      </c>
      <c r="O699" s="55" t="n">
        <v>1</v>
      </c>
      <c r="P699" s="53" t="n">
        <f aca="false">(F699+H699+J699+L699)*O699</f>
        <v>7</v>
      </c>
      <c r="Q699" s="74" t="n">
        <f aca="false">M699*O699</f>
        <v>8.65</v>
      </c>
      <c r="R699" s="74" t="n">
        <f aca="false">N699*O699</f>
        <v>3.05</v>
      </c>
    </row>
    <row r="700" customFormat="false" ht="15" hidden="false" customHeight="false" outlineLevel="0" collapsed="false">
      <c r="A700" s="53" t="n">
        <v>4</v>
      </c>
      <c r="B700" s="53" t="n">
        <v>12</v>
      </c>
      <c r="C700" s="76" t="s">
        <v>512</v>
      </c>
      <c r="D700" s="53" t="n">
        <v>1</v>
      </c>
      <c r="E700" s="73" t="n">
        <v>11.7</v>
      </c>
      <c r="F700" s="55" t="n">
        <v>1</v>
      </c>
      <c r="G700" s="20"/>
      <c r="H700" s="20"/>
      <c r="I700" s="20"/>
      <c r="J700" s="20"/>
      <c r="K700" s="20"/>
      <c r="L700" s="20"/>
      <c r="M700" s="41" t="n">
        <f aca="false">E700*F700+G700*H700+I700*J700+K700*L700</f>
        <v>11.7</v>
      </c>
      <c r="N700" s="41" t="n">
        <f aca="false">Исходные!$B$15-M700</f>
        <v>0</v>
      </c>
      <c r="O700" s="55" t="n">
        <v>8</v>
      </c>
      <c r="P700" s="53" t="n">
        <f aca="false">(F700+H700+J700+L700)*O700</f>
        <v>8</v>
      </c>
      <c r="Q700" s="74" t="n">
        <f aca="false">M700*O700</f>
        <v>93.6</v>
      </c>
      <c r="R700" s="74" t="n">
        <f aca="false">N700*O700</f>
        <v>0</v>
      </c>
    </row>
    <row r="701" customFormat="false" ht="15" hidden="false" customHeight="false" outlineLevel="0" collapsed="false">
      <c r="A701" s="53" t="n">
        <v>4</v>
      </c>
      <c r="B701" s="53" t="n">
        <v>12</v>
      </c>
      <c r="C701" s="76" t="s">
        <v>512</v>
      </c>
      <c r="D701" s="53" t="n">
        <v>2</v>
      </c>
      <c r="E701" s="73" t="n">
        <v>2.05</v>
      </c>
      <c r="F701" s="55" t="n">
        <v>5</v>
      </c>
      <c r="G701" s="73" t="n">
        <v>1.45</v>
      </c>
      <c r="H701" s="55" t="n">
        <v>1</v>
      </c>
      <c r="I701" s="20"/>
      <c r="J701" s="20"/>
      <c r="K701" s="20"/>
      <c r="L701" s="20"/>
      <c r="M701" s="41" t="n">
        <f aca="false">E701*F701+G701*H701+I701*J701+K701*L701</f>
        <v>11.7</v>
      </c>
      <c r="N701" s="41" t="n">
        <f aca="false">Исходные!$B$15-M701</f>
        <v>0</v>
      </c>
      <c r="O701" s="55" t="n">
        <v>1</v>
      </c>
      <c r="P701" s="53" t="n">
        <f aca="false">(F701+H701+J701+L701)*O701</f>
        <v>6</v>
      </c>
      <c r="Q701" s="74" t="n">
        <f aca="false">M701*O701</f>
        <v>11.7</v>
      </c>
      <c r="R701" s="74" t="n">
        <f aca="false">N701*O701</f>
        <v>0</v>
      </c>
    </row>
    <row r="702" customFormat="false" ht="15" hidden="false" customHeight="false" outlineLevel="0" collapsed="false">
      <c r="A702" s="53" t="n">
        <v>4</v>
      </c>
      <c r="B702" s="53" t="n">
        <v>12</v>
      </c>
      <c r="C702" s="76" t="s">
        <v>512</v>
      </c>
      <c r="D702" s="53" t="n">
        <v>3</v>
      </c>
      <c r="E702" s="73" t="n">
        <v>3.4</v>
      </c>
      <c r="F702" s="55" t="n">
        <v>3</v>
      </c>
      <c r="G702" s="73" t="n">
        <v>1.45</v>
      </c>
      <c r="H702" s="55" t="n">
        <v>1</v>
      </c>
      <c r="I702" s="20"/>
      <c r="J702" s="20"/>
      <c r="K702" s="20"/>
      <c r="L702" s="20"/>
      <c r="M702" s="41" t="n">
        <f aca="false">E702*F702+G702*H702+I702*J702+K702*L702</f>
        <v>11.65</v>
      </c>
      <c r="N702" s="41" t="n">
        <f aca="false">Исходные!$B$15-M702</f>
        <v>0.0500000000000007</v>
      </c>
      <c r="O702" s="55" t="n">
        <v>1</v>
      </c>
      <c r="P702" s="53" t="n">
        <f aca="false">(F702+H702+J702+L702)*O702</f>
        <v>4</v>
      </c>
      <c r="Q702" s="74" t="n">
        <f aca="false">M702*O702</f>
        <v>11.65</v>
      </c>
      <c r="R702" s="74" t="n">
        <f aca="false">N702*O702</f>
        <v>0.0500000000000007</v>
      </c>
    </row>
    <row r="703" customFormat="false" ht="15" hidden="false" customHeight="false" outlineLevel="0" collapsed="false">
      <c r="A703" s="53" t="n">
        <v>4</v>
      </c>
      <c r="B703" s="53" t="n">
        <v>12</v>
      </c>
      <c r="C703" s="76" t="s">
        <v>512</v>
      </c>
      <c r="D703" s="53" t="n">
        <v>4</v>
      </c>
      <c r="E703" s="73" t="n">
        <v>2.4</v>
      </c>
      <c r="F703" s="55" t="n">
        <v>4</v>
      </c>
      <c r="G703" s="73" t="n">
        <v>2.05</v>
      </c>
      <c r="H703" s="55" t="n">
        <v>1</v>
      </c>
      <c r="I703" s="20"/>
      <c r="J703" s="20"/>
      <c r="K703" s="20"/>
      <c r="L703" s="20"/>
      <c r="M703" s="41" t="n">
        <f aca="false">E703*F703+G703*H703+I703*J703+K703*L703</f>
        <v>11.65</v>
      </c>
      <c r="N703" s="41" t="n">
        <f aca="false">Исходные!$B$15-M703</f>
        <v>0.0500000000000007</v>
      </c>
      <c r="O703" s="55" t="n">
        <v>1</v>
      </c>
      <c r="P703" s="53" t="n">
        <f aca="false">(F703+H703+J703+L703)*O703</f>
        <v>5</v>
      </c>
      <c r="Q703" s="74" t="n">
        <f aca="false">M703*O703</f>
        <v>11.65</v>
      </c>
      <c r="R703" s="74" t="n">
        <f aca="false">N703*O703</f>
        <v>0.0500000000000007</v>
      </c>
    </row>
    <row r="704" customFormat="false" ht="15" hidden="false" customHeight="false" outlineLevel="0" collapsed="false">
      <c r="A704" s="53" t="n">
        <v>4</v>
      </c>
      <c r="B704" s="53" t="n">
        <v>12</v>
      </c>
      <c r="C704" s="76" t="s">
        <v>512</v>
      </c>
      <c r="D704" s="53" t="n">
        <v>5</v>
      </c>
      <c r="E704" s="73" t="n">
        <v>1.45</v>
      </c>
      <c r="F704" s="55" t="n">
        <v>8</v>
      </c>
      <c r="G704" s="20"/>
      <c r="H704" s="20"/>
      <c r="I704" s="20"/>
      <c r="J704" s="20"/>
      <c r="K704" s="20"/>
      <c r="L704" s="20"/>
      <c r="M704" s="41" t="n">
        <f aca="false">E704*F704+G704*H704+I704*J704+K704*L704</f>
        <v>11.6</v>
      </c>
      <c r="N704" s="41" t="n">
        <f aca="false">Исходные!$B$15-M704</f>
        <v>0.0999999999999996</v>
      </c>
      <c r="O704" s="55" t="n">
        <v>8</v>
      </c>
      <c r="P704" s="53" t="n">
        <f aca="false">(F704+H704+J704+L704)*O704</f>
        <v>64</v>
      </c>
      <c r="Q704" s="74" t="n">
        <f aca="false">M704*O704</f>
        <v>92.8</v>
      </c>
      <c r="R704" s="74" t="n">
        <f aca="false">N704*O704</f>
        <v>0.799999999999997</v>
      </c>
    </row>
    <row r="705" customFormat="false" ht="15" hidden="false" customHeight="false" outlineLevel="0" collapsed="false">
      <c r="A705" s="53" t="n">
        <v>4</v>
      </c>
      <c r="B705" s="53" t="n">
        <v>12</v>
      </c>
      <c r="C705" s="76" t="s">
        <v>512</v>
      </c>
      <c r="D705" s="53" t="n">
        <v>6</v>
      </c>
      <c r="E705" s="73" t="n">
        <v>2.3</v>
      </c>
      <c r="F705" s="55" t="n">
        <v>4</v>
      </c>
      <c r="G705" s="73" t="n">
        <v>2.25</v>
      </c>
      <c r="H705" s="55" t="n">
        <v>1</v>
      </c>
      <c r="I705" s="20"/>
      <c r="J705" s="20"/>
      <c r="K705" s="20"/>
      <c r="L705" s="20"/>
      <c r="M705" s="41" t="n">
        <f aca="false">E705*F705+G705*H705+I705*J705+K705*L705</f>
        <v>11.45</v>
      </c>
      <c r="N705" s="41" t="n">
        <f aca="false">Исходные!$B$15-M705</f>
        <v>0.25</v>
      </c>
      <c r="O705" s="55" t="n">
        <v>1</v>
      </c>
      <c r="P705" s="53" t="n">
        <f aca="false">(F705+H705+J705+L705)*O705</f>
        <v>5</v>
      </c>
      <c r="Q705" s="74" t="n">
        <f aca="false">M705*O705</f>
        <v>11.45</v>
      </c>
      <c r="R705" s="74" t="n">
        <f aca="false">N705*O705</f>
        <v>0.25</v>
      </c>
    </row>
    <row r="706" customFormat="false" ht="15" hidden="false" customHeight="false" outlineLevel="0" collapsed="false">
      <c r="A706" s="53" t="n">
        <v>4</v>
      </c>
      <c r="B706" s="53" t="n">
        <v>12</v>
      </c>
      <c r="C706" s="76" t="s">
        <v>512</v>
      </c>
      <c r="D706" s="53" t="n">
        <v>7</v>
      </c>
      <c r="E706" s="73" t="n">
        <v>3.8</v>
      </c>
      <c r="F706" s="55" t="n">
        <v>3</v>
      </c>
      <c r="G706" s="20"/>
      <c r="H706" s="20"/>
      <c r="I706" s="20"/>
      <c r="J706" s="20"/>
      <c r="K706" s="20"/>
      <c r="L706" s="20"/>
      <c r="M706" s="41" t="n">
        <f aca="false">E706*F706+G706*H706+I706*J706+K706*L706</f>
        <v>11.4</v>
      </c>
      <c r="N706" s="41" t="n">
        <f aca="false">Исходные!$B$15-M706</f>
        <v>0.300000000000001</v>
      </c>
      <c r="O706" s="55" t="n">
        <v>5</v>
      </c>
      <c r="P706" s="53" t="n">
        <f aca="false">(F706+H706+J706+L706)*O706</f>
        <v>15</v>
      </c>
      <c r="Q706" s="74" t="n">
        <f aca="false">M706*O706</f>
        <v>57</v>
      </c>
      <c r="R706" s="74" t="n">
        <f aca="false">N706*O706</f>
        <v>1.5</v>
      </c>
    </row>
    <row r="707" customFormat="false" ht="15" hidden="false" customHeight="false" outlineLevel="0" collapsed="false">
      <c r="A707" s="53" t="n">
        <v>4</v>
      </c>
      <c r="B707" s="53" t="n">
        <v>12</v>
      </c>
      <c r="C707" s="76" t="s">
        <v>512</v>
      </c>
      <c r="D707" s="53" t="n">
        <v>8</v>
      </c>
      <c r="E707" s="73" t="n">
        <v>1.45</v>
      </c>
      <c r="F707" s="55" t="n">
        <v>2</v>
      </c>
      <c r="G707" s="73" t="n">
        <v>1.4</v>
      </c>
      <c r="H707" s="55" t="n">
        <v>6</v>
      </c>
      <c r="I707" s="20"/>
      <c r="J707" s="20"/>
      <c r="K707" s="20"/>
      <c r="L707" s="20"/>
      <c r="M707" s="41" t="n">
        <f aca="false">E707*F707+G707*H707+I707*J707+K707*L707</f>
        <v>11.3</v>
      </c>
      <c r="N707" s="41" t="n">
        <f aca="false">Исходные!$B$15-M707</f>
        <v>0.4</v>
      </c>
      <c r="O707" s="55" t="n">
        <v>1</v>
      </c>
      <c r="P707" s="53" t="n">
        <f aca="false">(F707+H707+J707+L707)*O707</f>
        <v>8</v>
      </c>
      <c r="Q707" s="74" t="n">
        <f aca="false">M707*O707</f>
        <v>11.3</v>
      </c>
      <c r="R707" s="74" t="n">
        <f aca="false">N707*O707</f>
        <v>0.4</v>
      </c>
    </row>
    <row r="708" customFormat="false" ht="15" hidden="false" customHeight="false" outlineLevel="0" collapsed="false">
      <c r="A708" s="53" t="n">
        <v>4</v>
      </c>
      <c r="B708" s="53" t="n">
        <v>12</v>
      </c>
      <c r="C708" s="76" t="s">
        <v>512</v>
      </c>
      <c r="D708" s="53" t="n">
        <v>9</v>
      </c>
      <c r="E708" s="73" t="n">
        <v>2.25</v>
      </c>
      <c r="F708" s="55" t="n">
        <v>5</v>
      </c>
      <c r="G708" s="20"/>
      <c r="H708" s="20"/>
      <c r="I708" s="20"/>
      <c r="J708" s="20"/>
      <c r="K708" s="20"/>
      <c r="L708" s="20"/>
      <c r="M708" s="41" t="n">
        <f aca="false">E708*F708+G708*H708+I708*J708+K708*L708</f>
        <v>11.25</v>
      </c>
      <c r="N708" s="41" t="n">
        <f aca="false">Исходные!$B$15-M708</f>
        <v>0.449999999999999</v>
      </c>
      <c r="O708" s="55" t="n">
        <v>6</v>
      </c>
      <c r="P708" s="53" t="n">
        <f aca="false">(F708+H708+J708+L708)*O708</f>
        <v>30</v>
      </c>
      <c r="Q708" s="74" t="n">
        <f aca="false">M708*O708</f>
        <v>67.5</v>
      </c>
      <c r="R708" s="74" t="n">
        <f aca="false">N708*O708</f>
        <v>2.7</v>
      </c>
    </row>
    <row r="709" customFormat="false" ht="15" hidden="false" customHeight="false" outlineLevel="0" collapsed="false">
      <c r="A709" s="53" t="n">
        <v>4</v>
      </c>
      <c r="B709" s="53" t="n">
        <v>12</v>
      </c>
      <c r="C709" s="76" t="s">
        <v>512</v>
      </c>
      <c r="D709" s="53" t="n">
        <v>10</v>
      </c>
      <c r="E709" s="73" t="n">
        <v>2.05</v>
      </c>
      <c r="F709" s="55" t="n">
        <v>4</v>
      </c>
      <c r="G709" s="73" t="n">
        <v>1.45</v>
      </c>
      <c r="H709" s="55" t="n">
        <v>2</v>
      </c>
      <c r="I709" s="20"/>
      <c r="J709" s="20"/>
      <c r="K709" s="20"/>
      <c r="L709" s="20"/>
      <c r="M709" s="41" t="n">
        <f aca="false">E709*F709+G709*H709+I709*J709+K709*L709</f>
        <v>11.1</v>
      </c>
      <c r="N709" s="41" t="n">
        <f aca="false">Исходные!$B$15-M709</f>
        <v>0.6</v>
      </c>
      <c r="O709" s="55" t="n">
        <v>1</v>
      </c>
      <c r="P709" s="53" t="n">
        <f aca="false">(F709+H709+J709+L709)*O709</f>
        <v>6</v>
      </c>
      <c r="Q709" s="74" t="n">
        <f aca="false">M709*O709</f>
        <v>11.1</v>
      </c>
      <c r="R709" s="74" t="n">
        <f aca="false">N709*O709</f>
        <v>0.6</v>
      </c>
    </row>
    <row r="710" customFormat="false" ht="15" hidden="false" customHeight="false" outlineLevel="0" collapsed="false">
      <c r="A710" s="53" t="n">
        <v>4</v>
      </c>
      <c r="B710" s="53" t="n">
        <v>12</v>
      </c>
      <c r="C710" s="76" t="s">
        <v>512</v>
      </c>
      <c r="D710" s="53" t="n">
        <v>11</v>
      </c>
      <c r="E710" s="73" t="n">
        <v>2.25</v>
      </c>
      <c r="F710" s="55" t="n">
        <v>1</v>
      </c>
      <c r="G710" s="73" t="n">
        <v>2.2</v>
      </c>
      <c r="H710" s="55" t="n">
        <v>4</v>
      </c>
      <c r="I710" s="20"/>
      <c r="J710" s="20"/>
      <c r="K710" s="20"/>
      <c r="L710" s="20"/>
      <c r="M710" s="41" t="n">
        <f aca="false">E710*F710+G710*H710+I710*J710+K710*L710</f>
        <v>11.05</v>
      </c>
      <c r="N710" s="41" t="n">
        <f aca="false">Исходные!$B$15-M710</f>
        <v>0.649999999999999</v>
      </c>
      <c r="O710" s="55" t="n">
        <v>1</v>
      </c>
      <c r="P710" s="53" t="n">
        <f aca="false">(F710+H710+J710+L710)*O710</f>
        <v>5</v>
      </c>
      <c r="Q710" s="74" t="n">
        <f aca="false">M710*O710</f>
        <v>11.05</v>
      </c>
      <c r="R710" s="74" t="n">
        <f aca="false">N710*O710</f>
        <v>0.649999999999999</v>
      </c>
    </row>
    <row r="711" customFormat="false" ht="15" hidden="false" customHeight="false" outlineLevel="0" collapsed="false">
      <c r="A711" s="53" t="n">
        <v>4</v>
      </c>
      <c r="B711" s="53" t="n">
        <v>12</v>
      </c>
      <c r="C711" s="76" t="s">
        <v>512</v>
      </c>
      <c r="D711" s="53" t="n">
        <v>12</v>
      </c>
      <c r="E711" s="73" t="n">
        <v>3.8</v>
      </c>
      <c r="F711" s="55" t="n">
        <v>1</v>
      </c>
      <c r="G711" s="73" t="n">
        <v>3.6</v>
      </c>
      <c r="H711" s="55" t="n">
        <v>2</v>
      </c>
      <c r="I711" s="20"/>
      <c r="J711" s="20"/>
      <c r="K711" s="20"/>
      <c r="L711" s="20"/>
      <c r="M711" s="41" t="n">
        <f aca="false">E711*F711+G711*H711+I711*J711+K711*L711</f>
        <v>11</v>
      </c>
      <c r="N711" s="41" t="n">
        <f aca="false">Исходные!$B$15-M711</f>
        <v>0.699999999999999</v>
      </c>
      <c r="O711" s="55" t="n">
        <v>1</v>
      </c>
      <c r="P711" s="53" t="n">
        <f aca="false">(F711+H711+J711+L711)*O711</f>
        <v>3</v>
      </c>
      <c r="Q711" s="74" t="n">
        <f aca="false">M711*O711</f>
        <v>11</v>
      </c>
      <c r="R711" s="74" t="n">
        <f aca="false">N711*O711</f>
        <v>0.699999999999999</v>
      </c>
    </row>
    <row r="712" customFormat="false" ht="15" hidden="false" customHeight="false" outlineLevel="0" collapsed="false">
      <c r="A712" s="53" t="n">
        <v>4</v>
      </c>
      <c r="B712" s="53" t="n">
        <v>12</v>
      </c>
      <c r="C712" s="76" t="s">
        <v>512</v>
      </c>
      <c r="D712" s="53" t="n">
        <v>13</v>
      </c>
      <c r="E712" s="73" t="n">
        <v>2.2</v>
      </c>
      <c r="F712" s="55" t="n">
        <v>5</v>
      </c>
      <c r="G712" s="20"/>
      <c r="H712" s="20"/>
      <c r="I712" s="20"/>
      <c r="J712" s="20"/>
      <c r="K712" s="20"/>
      <c r="L712" s="20"/>
      <c r="M712" s="41" t="n">
        <f aca="false">E712*F712+G712*H712+I712*J712+K712*L712</f>
        <v>11</v>
      </c>
      <c r="N712" s="41" t="n">
        <f aca="false">Исходные!$B$15-M712</f>
        <v>0.699999999999999</v>
      </c>
      <c r="O712" s="55" t="n">
        <v>1</v>
      </c>
      <c r="P712" s="53" t="n">
        <f aca="false">(F712+H712+J712+L712)*O712</f>
        <v>5</v>
      </c>
      <c r="Q712" s="74" t="n">
        <f aca="false">M712*O712</f>
        <v>11</v>
      </c>
      <c r="R712" s="74" t="n">
        <f aca="false">N712*O712</f>
        <v>0.699999999999999</v>
      </c>
    </row>
    <row r="713" customFormat="false" ht="15" hidden="false" customHeight="false" outlineLevel="0" collapsed="false">
      <c r="A713" s="53" t="n">
        <v>4</v>
      </c>
      <c r="B713" s="53" t="n">
        <v>12</v>
      </c>
      <c r="C713" s="76" t="s">
        <v>512</v>
      </c>
      <c r="D713" s="53" t="n">
        <v>14</v>
      </c>
      <c r="E713" s="73" t="n">
        <v>5.496</v>
      </c>
      <c r="F713" s="55" t="n">
        <v>2</v>
      </c>
      <c r="G713" s="20"/>
      <c r="H713" s="20"/>
      <c r="I713" s="20"/>
      <c r="J713" s="20"/>
      <c r="K713" s="20"/>
      <c r="L713" s="20"/>
      <c r="M713" s="41" t="n">
        <f aca="false">E713*F713+G713*H713+I713*J713+K713*L713</f>
        <v>10.992</v>
      </c>
      <c r="N713" s="41" t="n">
        <f aca="false">Исходные!$B$15-M713</f>
        <v>0.707999999999998</v>
      </c>
      <c r="O713" s="55" t="n">
        <v>4</v>
      </c>
      <c r="P713" s="53" t="n">
        <f aca="false">(F713+H713+J713+L713)*O713</f>
        <v>8</v>
      </c>
      <c r="Q713" s="74" t="n">
        <f aca="false">M713*O713</f>
        <v>43.968</v>
      </c>
      <c r="R713" s="74" t="n">
        <f aca="false">N713*O713</f>
        <v>2.83199999999999</v>
      </c>
    </row>
    <row r="714" customFormat="false" ht="15" hidden="false" customHeight="false" outlineLevel="0" collapsed="false">
      <c r="A714" s="53" t="n">
        <v>4</v>
      </c>
      <c r="B714" s="53" t="n">
        <v>12</v>
      </c>
      <c r="C714" s="76" t="s">
        <v>512</v>
      </c>
      <c r="D714" s="53" t="n">
        <v>15</v>
      </c>
      <c r="E714" s="73" t="n">
        <v>1.4</v>
      </c>
      <c r="F714" s="55" t="n">
        <v>6</v>
      </c>
      <c r="G714" s="73" t="n">
        <v>1.2</v>
      </c>
      <c r="H714" s="55" t="n">
        <v>2</v>
      </c>
      <c r="I714" s="20"/>
      <c r="J714" s="20"/>
      <c r="K714" s="20"/>
      <c r="L714" s="20"/>
      <c r="M714" s="41" t="n">
        <f aca="false">E714*F714+G714*H714+I714*J714+K714*L714</f>
        <v>10.8</v>
      </c>
      <c r="N714" s="41" t="n">
        <f aca="false">Исходные!$B$15-M714</f>
        <v>0.9</v>
      </c>
      <c r="O714" s="55" t="n">
        <v>1</v>
      </c>
      <c r="P714" s="53" t="n">
        <f aca="false">(F714+H714+J714+L714)*O714</f>
        <v>8</v>
      </c>
      <c r="Q714" s="74" t="n">
        <f aca="false">M714*O714</f>
        <v>10.8</v>
      </c>
      <c r="R714" s="74" t="n">
        <f aca="false">N714*O714</f>
        <v>0.9</v>
      </c>
    </row>
    <row r="715" customFormat="false" ht="15" hidden="false" customHeight="false" outlineLevel="0" collapsed="false">
      <c r="A715" s="53" t="n">
        <v>4</v>
      </c>
      <c r="B715" s="53" t="n">
        <v>12</v>
      </c>
      <c r="C715" s="76" t="s">
        <v>512</v>
      </c>
      <c r="D715" s="53" t="n">
        <v>16</v>
      </c>
      <c r="E715" s="73" t="n">
        <v>1.2</v>
      </c>
      <c r="F715" s="55" t="n">
        <v>9</v>
      </c>
      <c r="G715" s="20"/>
      <c r="H715" s="20"/>
      <c r="I715" s="20"/>
      <c r="J715" s="20"/>
      <c r="K715" s="20"/>
      <c r="L715" s="20"/>
      <c r="M715" s="41" t="n">
        <f aca="false">E715*F715+G715*H715+I715*J715+K715*L715</f>
        <v>10.8</v>
      </c>
      <c r="N715" s="41" t="n">
        <f aca="false">Исходные!$B$15-M715</f>
        <v>0.9</v>
      </c>
      <c r="O715" s="55" t="n">
        <v>1</v>
      </c>
      <c r="P715" s="53" t="n">
        <f aca="false">(F715+H715+J715+L715)*O715</f>
        <v>9</v>
      </c>
      <c r="Q715" s="74" t="n">
        <f aca="false">M715*O715</f>
        <v>10.8</v>
      </c>
      <c r="R715" s="74" t="n">
        <f aca="false">N715*O715</f>
        <v>0.9</v>
      </c>
    </row>
    <row r="716" customFormat="false" ht="15" hidden="false" customHeight="false" outlineLevel="0" collapsed="false">
      <c r="A716" s="53" t="n">
        <v>4</v>
      </c>
      <c r="B716" s="53" t="n">
        <v>12</v>
      </c>
      <c r="C716" s="76" t="s">
        <v>512</v>
      </c>
      <c r="D716" s="53" t="n">
        <v>17</v>
      </c>
      <c r="E716" s="73" t="n">
        <v>2.2</v>
      </c>
      <c r="F716" s="55" t="n">
        <v>3</v>
      </c>
      <c r="G716" s="73" t="n">
        <v>2.05</v>
      </c>
      <c r="H716" s="55" t="n">
        <v>2</v>
      </c>
      <c r="I716" s="20"/>
      <c r="J716" s="20"/>
      <c r="K716" s="20"/>
      <c r="L716" s="20"/>
      <c r="M716" s="41" t="n">
        <f aca="false">E716*F716+G716*H716+I716*J716+K716*L716</f>
        <v>10.7</v>
      </c>
      <c r="N716" s="41" t="n">
        <f aca="false">Исходные!$B$15-M716</f>
        <v>1</v>
      </c>
      <c r="O716" s="55" t="n">
        <v>1</v>
      </c>
      <c r="P716" s="53" t="n">
        <f aca="false">(F716+H716+J716+L716)*O716</f>
        <v>5</v>
      </c>
      <c r="Q716" s="74" t="n">
        <f aca="false">M716*O716</f>
        <v>10.7</v>
      </c>
      <c r="R716" s="74" t="n">
        <f aca="false">N716*O716</f>
        <v>1</v>
      </c>
    </row>
    <row r="717" customFormat="false" ht="15" hidden="false" customHeight="false" outlineLevel="0" collapsed="false">
      <c r="A717" s="53" t="n">
        <v>4</v>
      </c>
      <c r="B717" s="53" t="n">
        <v>12</v>
      </c>
      <c r="C717" s="76" t="s">
        <v>512</v>
      </c>
      <c r="D717" s="53" t="n">
        <v>18</v>
      </c>
      <c r="E717" s="73" t="n">
        <v>3.6</v>
      </c>
      <c r="F717" s="55" t="n">
        <v>2</v>
      </c>
      <c r="G717" s="73" t="n">
        <v>3.4</v>
      </c>
      <c r="H717" s="55" t="n">
        <v>1</v>
      </c>
      <c r="I717" s="20"/>
      <c r="J717" s="20"/>
      <c r="K717" s="20"/>
      <c r="L717" s="20"/>
      <c r="M717" s="41" t="n">
        <f aca="false">E717*F717+G717*H717+I717*J717+K717*L717</f>
        <v>10.6</v>
      </c>
      <c r="N717" s="41" t="n">
        <f aca="false">Исходные!$B$15-M717</f>
        <v>1.1</v>
      </c>
      <c r="O717" s="55" t="n">
        <v>1</v>
      </c>
      <c r="P717" s="53" t="n">
        <f aca="false">(F717+H717+J717+L717)*O717</f>
        <v>3</v>
      </c>
      <c r="Q717" s="74" t="n">
        <f aca="false">M717*O717</f>
        <v>10.6</v>
      </c>
      <c r="R717" s="74" t="n">
        <f aca="false">N717*O717</f>
        <v>1.1</v>
      </c>
    </row>
    <row r="718" customFormat="false" ht="15" hidden="false" customHeight="false" outlineLevel="0" collapsed="false">
      <c r="A718" s="53" t="n">
        <v>4</v>
      </c>
      <c r="B718" s="53" t="n">
        <v>12</v>
      </c>
      <c r="C718" s="76" t="s">
        <v>512</v>
      </c>
      <c r="D718" s="53" t="n">
        <v>19</v>
      </c>
      <c r="E718" s="73" t="n">
        <v>1.2</v>
      </c>
      <c r="F718" s="55" t="n">
        <v>1</v>
      </c>
      <c r="G718" s="20"/>
      <c r="H718" s="20"/>
      <c r="I718" s="20"/>
      <c r="J718" s="20"/>
      <c r="K718" s="20"/>
      <c r="L718" s="20"/>
      <c r="M718" s="41" t="n">
        <f aca="false">E718*F718+G718*H718+I718*J718+K718*L718</f>
        <v>1.2</v>
      </c>
      <c r="N718" s="41" t="n">
        <f aca="false">Исходные!$B$15-M718</f>
        <v>10.5</v>
      </c>
      <c r="O718" s="55" t="n">
        <v>1</v>
      </c>
      <c r="P718" s="53" t="n">
        <f aca="false">(F718+H718+J718+L718)*O718</f>
        <v>1</v>
      </c>
      <c r="Q718" s="74" t="n">
        <f aca="false">M718*O718</f>
        <v>1.2</v>
      </c>
      <c r="R718" s="74" t="n">
        <f aca="false">N718*O718</f>
        <v>10.5</v>
      </c>
    </row>
    <row r="719" customFormat="false" ht="15" hidden="false" customHeight="false" outlineLevel="0" collapsed="false">
      <c r="A719" s="53" t="n">
        <v>4</v>
      </c>
      <c r="B719" s="53" t="n">
        <v>10</v>
      </c>
      <c r="C719" s="76" t="s">
        <v>512</v>
      </c>
      <c r="D719" s="53" t="n">
        <v>1</v>
      </c>
      <c r="E719" s="73" t="n">
        <v>11.7</v>
      </c>
      <c r="F719" s="55" t="n">
        <v>1</v>
      </c>
      <c r="G719" s="20"/>
      <c r="H719" s="20"/>
      <c r="I719" s="20"/>
      <c r="J719" s="20"/>
      <c r="K719" s="20"/>
      <c r="L719" s="20"/>
      <c r="M719" s="41" t="n">
        <f aca="false">E719*F719+G719*H719+I719*J719+K719*L719</f>
        <v>11.7</v>
      </c>
      <c r="N719" s="41" t="n">
        <f aca="false">Исходные!$B$15-M719</f>
        <v>0</v>
      </c>
      <c r="O719" s="55" t="n">
        <v>616</v>
      </c>
      <c r="P719" s="53" t="n">
        <f aca="false">(F719+H719+J719+L719)*O719</f>
        <v>616</v>
      </c>
      <c r="Q719" s="74" t="n">
        <f aca="false">M719*O719</f>
        <v>7207.2</v>
      </c>
      <c r="R719" s="74" t="n">
        <f aca="false">N719*O719</f>
        <v>0</v>
      </c>
    </row>
    <row r="720" customFormat="false" ht="15" hidden="false" customHeight="false" outlineLevel="0" collapsed="false">
      <c r="A720" s="53" t="n">
        <v>4</v>
      </c>
      <c r="B720" s="53" t="n">
        <v>10</v>
      </c>
      <c r="C720" s="76" t="s">
        <v>512</v>
      </c>
      <c r="D720" s="53" t="n">
        <v>2</v>
      </c>
      <c r="E720" s="73" t="n">
        <v>9.18</v>
      </c>
      <c r="F720" s="55" t="n">
        <v>1</v>
      </c>
      <c r="G720" s="73" t="n">
        <v>1.95</v>
      </c>
      <c r="H720" s="55" t="n">
        <v>1</v>
      </c>
      <c r="I720" s="73" t="n">
        <v>0.57</v>
      </c>
      <c r="J720" s="55" t="n">
        <v>1</v>
      </c>
      <c r="K720" s="20"/>
      <c r="L720" s="20"/>
      <c r="M720" s="41" t="n">
        <f aca="false">E720*F720+G720*H720+I720*J720+K720*L720</f>
        <v>11.7</v>
      </c>
      <c r="N720" s="41" t="n">
        <f aca="false">Исходные!$B$15-M720</f>
        <v>0</v>
      </c>
      <c r="O720" s="55" t="n">
        <v>6</v>
      </c>
      <c r="P720" s="53" t="n">
        <f aca="false">(F720+H720+J720+L720)*O720</f>
        <v>18</v>
      </c>
      <c r="Q720" s="74" t="n">
        <f aca="false">M720*O720</f>
        <v>70.2</v>
      </c>
      <c r="R720" s="74" t="n">
        <f aca="false">N720*O720</f>
        <v>0</v>
      </c>
    </row>
    <row r="721" customFormat="false" ht="15" hidden="false" customHeight="false" outlineLevel="0" collapsed="false">
      <c r="A721" s="53" t="n">
        <v>4</v>
      </c>
      <c r="B721" s="53" t="n">
        <v>10</v>
      </c>
      <c r="C721" s="76" t="s">
        <v>512</v>
      </c>
      <c r="D721" s="53" t="n">
        <v>3</v>
      </c>
      <c r="E721" s="73" t="n">
        <v>3.78</v>
      </c>
      <c r="F721" s="55" t="n">
        <v>2</v>
      </c>
      <c r="G721" s="73" t="n">
        <v>3</v>
      </c>
      <c r="H721" s="55" t="n">
        <v>1</v>
      </c>
      <c r="I721" s="73" t="n">
        <v>0.57</v>
      </c>
      <c r="J721" s="55" t="n">
        <v>2</v>
      </c>
      <c r="K721" s="20"/>
      <c r="L721" s="20"/>
      <c r="M721" s="41" t="n">
        <f aca="false">E721*F721+G721*H721+I721*J721+K721*L721</f>
        <v>11.7</v>
      </c>
      <c r="N721" s="41" t="n">
        <f aca="false">Исходные!$B$15-M721</f>
        <v>0</v>
      </c>
      <c r="O721" s="55" t="n">
        <v>1</v>
      </c>
      <c r="P721" s="53" t="n">
        <f aca="false">(F721+H721+J721+L721)*O721</f>
        <v>5</v>
      </c>
      <c r="Q721" s="74" t="n">
        <f aca="false">M721*O721</f>
        <v>11.7</v>
      </c>
      <c r="R721" s="74" t="n">
        <f aca="false">N721*O721</f>
        <v>0</v>
      </c>
    </row>
    <row r="722" customFormat="false" ht="15" hidden="false" customHeight="false" outlineLevel="0" collapsed="false">
      <c r="A722" s="53" t="n">
        <v>4</v>
      </c>
      <c r="B722" s="53" t="n">
        <v>10</v>
      </c>
      <c r="C722" s="76" t="s">
        <v>512</v>
      </c>
      <c r="D722" s="53" t="n">
        <v>4</v>
      </c>
      <c r="E722" s="73" t="n">
        <v>1.95</v>
      </c>
      <c r="F722" s="55" t="n">
        <v>6</v>
      </c>
      <c r="G722" s="20"/>
      <c r="H722" s="20"/>
      <c r="I722" s="20"/>
      <c r="J722" s="20"/>
      <c r="K722" s="20"/>
      <c r="L722" s="20"/>
      <c r="M722" s="41" t="n">
        <f aca="false">E722*F722+G722*H722+I722*J722+K722*L722</f>
        <v>11.7</v>
      </c>
      <c r="N722" s="41" t="n">
        <f aca="false">Исходные!$B$15-M722</f>
        <v>0</v>
      </c>
      <c r="O722" s="55" t="n">
        <v>7</v>
      </c>
      <c r="P722" s="53" t="n">
        <f aca="false">(F722+H722+J722+L722)*O722</f>
        <v>42</v>
      </c>
      <c r="Q722" s="74" t="n">
        <f aca="false">M722*O722</f>
        <v>81.9</v>
      </c>
      <c r="R722" s="74" t="n">
        <f aca="false">N722*O722</f>
        <v>0</v>
      </c>
    </row>
    <row r="723" customFormat="false" ht="15" hidden="false" customHeight="false" outlineLevel="0" collapsed="false">
      <c r="A723" s="53" t="n">
        <v>4</v>
      </c>
      <c r="B723" s="53" t="n">
        <v>10</v>
      </c>
      <c r="C723" s="76" t="s">
        <v>512</v>
      </c>
      <c r="D723" s="53" t="n">
        <v>5</v>
      </c>
      <c r="E723" s="73" t="n">
        <v>4.72</v>
      </c>
      <c r="F723" s="55" t="n">
        <v>2</v>
      </c>
      <c r="G723" s="73" t="n">
        <v>2.25</v>
      </c>
      <c r="H723" s="55" t="n">
        <v>1</v>
      </c>
      <c r="I723" s="20"/>
      <c r="J723" s="20"/>
      <c r="K723" s="20"/>
      <c r="L723" s="20"/>
      <c r="M723" s="41" t="n">
        <f aca="false">E723*F723+G723*H723+I723*J723+K723*L723</f>
        <v>11.69</v>
      </c>
      <c r="N723" s="41" t="n">
        <f aca="false">Исходные!$B$15-M723</f>
        <v>0.00999999999999979</v>
      </c>
      <c r="O723" s="55" t="n">
        <v>26</v>
      </c>
      <c r="P723" s="53" t="n">
        <f aca="false">(F723+H723+J723+L723)*O723</f>
        <v>78</v>
      </c>
      <c r="Q723" s="74" t="n">
        <f aca="false">M723*O723</f>
        <v>303.94</v>
      </c>
      <c r="R723" s="74" t="n">
        <f aca="false">N723*O723</f>
        <v>0.259999999999994</v>
      </c>
    </row>
    <row r="724" customFormat="false" ht="15" hidden="false" customHeight="false" outlineLevel="0" collapsed="false">
      <c r="A724" s="53" t="n">
        <v>4</v>
      </c>
      <c r="B724" s="53" t="n">
        <v>10</v>
      </c>
      <c r="C724" s="76" t="s">
        <v>512</v>
      </c>
      <c r="D724" s="53" t="n">
        <v>6</v>
      </c>
      <c r="E724" s="73" t="n">
        <v>3</v>
      </c>
      <c r="F724" s="55" t="n">
        <v>2</v>
      </c>
      <c r="G724" s="73" t="n">
        <v>2.6</v>
      </c>
      <c r="H724" s="55" t="n">
        <v>2</v>
      </c>
      <c r="I724" s="73" t="n">
        <v>0.48</v>
      </c>
      <c r="J724" s="55" t="n">
        <v>1</v>
      </c>
      <c r="K724" s="20"/>
      <c r="L724" s="20"/>
      <c r="M724" s="41" t="n">
        <f aca="false">E724*F724+G724*H724+I724*J724+K724*L724</f>
        <v>11.68</v>
      </c>
      <c r="N724" s="41" t="n">
        <f aca="false">Исходные!$B$15-M724</f>
        <v>0.0199999999999996</v>
      </c>
      <c r="O724" s="55" t="n">
        <v>1</v>
      </c>
      <c r="P724" s="53" t="n">
        <f aca="false">(F724+H724+J724+L724)*O724</f>
        <v>5</v>
      </c>
      <c r="Q724" s="74" t="n">
        <f aca="false">M724*O724</f>
        <v>11.68</v>
      </c>
      <c r="R724" s="74" t="n">
        <f aca="false">N724*O724</f>
        <v>0.0199999999999996</v>
      </c>
    </row>
    <row r="725" customFormat="false" ht="15" hidden="false" customHeight="false" outlineLevel="0" collapsed="false">
      <c r="A725" s="53" t="n">
        <v>4</v>
      </c>
      <c r="B725" s="53" t="n">
        <v>10</v>
      </c>
      <c r="C725" s="76" t="s">
        <v>512</v>
      </c>
      <c r="D725" s="53" t="n">
        <v>7</v>
      </c>
      <c r="E725" s="73" t="n">
        <v>1.4</v>
      </c>
      <c r="F725" s="55" t="n">
        <v>8</v>
      </c>
      <c r="G725" s="73" t="n">
        <v>0.48</v>
      </c>
      <c r="H725" s="55" t="n">
        <v>1</v>
      </c>
      <c r="I725" s="20"/>
      <c r="J725" s="20"/>
      <c r="K725" s="20"/>
      <c r="L725" s="20"/>
      <c r="M725" s="41" t="n">
        <f aca="false">E725*F725+G725*H725+I725*J725+K725*L725</f>
        <v>11.68</v>
      </c>
      <c r="N725" s="41" t="n">
        <f aca="false">Исходные!$B$15-M725</f>
        <v>0.0199999999999996</v>
      </c>
      <c r="O725" s="55" t="n">
        <v>7</v>
      </c>
      <c r="P725" s="53" t="n">
        <f aca="false">(F725+H725+J725+L725)*O725</f>
        <v>63</v>
      </c>
      <c r="Q725" s="74" t="n">
        <f aca="false">M725*O725</f>
        <v>81.76</v>
      </c>
      <c r="R725" s="74" t="n">
        <f aca="false">N725*O725</f>
        <v>0.139999999999997</v>
      </c>
    </row>
    <row r="726" customFormat="false" ht="15" hidden="false" customHeight="false" outlineLevel="0" collapsed="false">
      <c r="A726" s="53" t="n">
        <v>4</v>
      </c>
      <c r="B726" s="53" t="n">
        <v>10</v>
      </c>
      <c r="C726" s="76" t="s">
        <v>512</v>
      </c>
      <c r="D726" s="53" t="n">
        <v>8</v>
      </c>
      <c r="E726" s="73" t="n">
        <v>7.17</v>
      </c>
      <c r="F726" s="55" t="n">
        <v>1</v>
      </c>
      <c r="G726" s="73" t="n">
        <v>4.5</v>
      </c>
      <c r="H726" s="55" t="n">
        <v>1</v>
      </c>
      <c r="I726" s="20"/>
      <c r="J726" s="20"/>
      <c r="K726" s="20"/>
      <c r="L726" s="20"/>
      <c r="M726" s="41" t="n">
        <f aca="false">E726*F726+G726*H726+I726*J726+K726*L726</f>
        <v>11.67</v>
      </c>
      <c r="N726" s="41" t="n">
        <f aca="false">Исходные!$B$15-M726</f>
        <v>0.0299999999999994</v>
      </c>
      <c r="O726" s="55" t="n">
        <v>26</v>
      </c>
      <c r="P726" s="53" t="n">
        <f aca="false">(F726+H726+J726+L726)*O726</f>
        <v>52</v>
      </c>
      <c r="Q726" s="74" t="n">
        <f aca="false">M726*O726</f>
        <v>303.42</v>
      </c>
      <c r="R726" s="74" t="n">
        <f aca="false">N726*O726</f>
        <v>0.779999999999983</v>
      </c>
    </row>
    <row r="727" customFormat="false" ht="15" hidden="false" customHeight="false" outlineLevel="0" collapsed="false">
      <c r="A727" s="53" t="n">
        <v>4</v>
      </c>
      <c r="B727" s="53" t="n">
        <v>10</v>
      </c>
      <c r="C727" s="76" t="s">
        <v>512</v>
      </c>
      <c r="D727" s="53" t="n">
        <v>9</v>
      </c>
      <c r="E727" s="73" t="n">
        <v>2.6</v>
      </c>
      <c r="F727" s="55" t="n">
        <v>4</v>
      </c>
      <c r="G727" s="73" t="n">
        <v>1.25</v>
      </c>
      <c r="H727" s="55" t="n">
        <v>1</v>
      </c>
      <c r="I727" s="20"/>
      <c r="J727" s="20"/>
      <c r="K727" s="20"/>
      <c r="L727" s="20"/>
      <c r="M727" s="41" t="n">
        <f aca="false">E727*F727+G727*H727+I727*J727+K727*L727</f>
        <v>11.65</v>
      </c>
      <c r="N727" s="41" t="n">
        <f aca="false">Исходные!$B$15-M727</f>
        <v>0.0499999999999989</v>
      </c>
      <c r="O727" s="55" t="n">
        <v>2</v>
      </c>
      <c r="P727" s="53" t="n">
        <f aca="false">(F727+H727+J727+L727)*O727</f>
        <v>10</v>
      </c>
      <c r="Q727" s="74" t="n">
        <f aca="false">M727*O727</f>
        <v>23.3</v>
      </c>
      <c r="R727" s="74" t="n">
        <f aca="false">N727*O727</f>
        <v>0.0999999999999979</v>
      </c>
    </row>
    <row r="728" customFormat="false" ht="15" hidden="false" customHeight="false" outlineLevel="0" collapsed="false">
      <c r="A728" s="53" t="n">
        <v>4</v>
      </c>
      <c r="B728" s="53" t="n">
        <v>10</v>
      </c>
      <c r="C728" s="76" t="s">
        <v>512</v>
      </c>
      <c r="D728" s="53" t="n">
        <v>10</v>
      </c>
      <c r="E728" s="73" t="n">
        <v>1.25</v>
      </c>
      <c r="F728" s="55" t="n">
        <v>5</v>
      </c>
      <c r="G728" s="73" t="n">
        <v>1.2</v>
      </c>
      <c r="H728" s="55" t="n">
        <v>4</v>
      </c>
      <c r="I728" s="73" t="n">
        <v>0.6</v>
      </c>
      <c r="J728" s="55" t="n">
        <v>1</v>
      </c>
      <c r="K728" s="20"/>
      <c r="L728" s="20"/>
      <c r="M728" s="41" t="n">
        <f aca="false">E728*F728+G728*H728+I728*J728+K728*L728</f>
        <v>11.65</v>
      </c>
      <c r="N728" s="41" t="n">
        <f aca="false">Исходные!$B$15-M728</f>
        <v>0.0499999999999989</v>
      </c>
      <c r="O728" s="55" t="n">
        <v>1</v>
      </c>
      <c r="P728" s="53" t="n">
        <f aca="false">(F728+H728+J728+L728)*O728</f>
        <v>10</v>
      </c>
      <c r="Q728" s="74" t="n">
        <f aca="false">M728*O728</f>
        <v>11.65</v>
      </c>
      <c r="R728" s="74" t="n">
        <f aca="false">N728*O728</f>
        <v>0.0499999999999989</v>
      </c>
    </row>
    <row r="729" customFormat="false" ht="15" hidden="false" customHeight="false" outlineLevel="0" collapsed="false">
      <c r="A729" s="53" t="n">
        <v>4</v>
      </c>
      <c r="B729" s="53" t="n">
        <v>10</v>
      </c>
      <c r="C729" s="76" t="s">
        <v>512</v>
      </c>
      <c r="D729" s="53" t="n">
        <v>11</v>
      </c>
      <c r="E729" s="73" t="n">
        <v>4.32</v>
      </c>
      <c r="F729" s="55" t="n">
        <v>2</v>
      </c>
      <c r="G729" s="73" t="n">
        <v>3</v>
      </c>
      <c r="H729" s="55" t="n">
        <v>1</v>
      </c>
      <c r="I729" s="20"/>
      <c r="J729" s="20"/>
      <c r="K729" s="20"/>
      <c r="L729" s="20"/>
      <c r="M729" s="41" t="n">
        <f aca="false">E729*F729+G729*H729+I729*J729+K729*L729</f>
        <v>11.64</v>
      </c>
      <c r="N729" s="41" t="n">
        <f aca="false">Исходные!$B$15-M729</f>
        <v>0.0599999999999987</v>
      </c>
      <c r="O729" s="55" t="n">
        <v>16</v>
      </c>
      <c r="P729" s="53" t="n">
        <f aca="false">(F729+H729+J729+L729)*O729</f>
        <v>48</v>
      </c>
      <c r="Q729" s="74" t="n">
        <f aca="false">M729*O729</f>
        <v>186.24</v>
      </c>
      <c r="R729" s="74" t="n">
        <f aca="false">N729*O729</f>
        <v>0.95999999999998</v>
      </c>
    </row>
    <row r="730" customFormat="false" ht="15" hidden="false" customHeight="false" outlineLevel="0" collapsed="false">
      <c r="A730" s="53" t="n">
        <v>4</v>
      </c>
      <c r="B730" s="53" t="n">
        <v>10</v>
      </c>
      <c r="C730" s="76" t="s">
        <v>512</v>
      </c>
      <c r="D730" s="53" t="n">
        <v>12</v>
      </c>
      <c r="E730" s="73" t="n">
        <v>5.98</v>
      </c>
      <c r="F730" s="55" t="n">
        <v>1</v>
      </c>
      <c r="G730" s="73" t="n">
        <v>5.05</v>
      </c>
      <c r="H730" s="55" t="n">
        <v>1</v>
      </c>
      <c r="I730" s="73" t="n">
        <v>0.6</v>
      </c>
      <c r="J730" s="55" t="n">
        <v>1</v>
      </c>
      <c r="K730" s="20"/>
      <c r="L730" s="20"/>
      <c r="M730" s="41" t="n">
        <f aca="false">E730*F730+G730*H730+I730*J730+K730*L730</f>
        <v>11.63</v>
      </c>
      <c r="N730" s="41" t="n">
        <f aca="false">Исходные!$B$15-M730</f>
        <v>0.0699999999999985</v>
      </c>
      <c r="O730" s="55" t="n">
        <v>6</v>
      </c>
      <c r="P730" s="53" t="n">
        <f aca="false">(F730+H730+J730+L730)*O730</f>
        <v>18</v>
      </c>
      <c r="Q730" s="74" t="n">
        <f aca="false">M730*O730</f>
        <v>69.78</v>
      </c>
      <c r="R730" s="74" t="n">
        <f aca="false">N730*O730</f>
        <v>0.419999999999991</v>
      </c>
    </row>
    <row r="731" customFormat="false" ht="15" hidden="false" customHeight="false" outlineLevel="0" collapsed="false">
      <c r="A731" s="53" t="n">
        <v>4</v>
      </c>
      <c r="B731" s="53" t="n">
        <v>10</v>
      </c>
      <c r="C731" s="76" t="s">
        <v>512</v>
      </c>
      <c r="D731" s="53" t="n">
        <v>13</v>
      </c>
      <c r="E731" s="73" t="n">
        <v>11.02</v>
      </c>
      <c r="F731" s="55" t="n">
        <v>1</v>
      </c>
      <c r="G731" s="73" t="n">
        <v>0.6</v>
      </c>
      <c r="H731" s="55" t="n">
        <v>1</v>
      </c>
      <c r="I731" s="20"/>
      <c r="J731" s="20"/>
      <c r="K731" s="20"/>
      <c r="L731" s="20"/>
      <c r="M731" s="41" t="n">
        <f aca="false">E731*F731+G731*H731+I731*J731+K731*L731</f>
        <v>11.62</v>
      </c>
      <c r="N731" s="41" t="n">
        <f aca="false">Исходные!$B$15-M731</f>
        <v>0.0800000000000001</v>
      </c>
      <c r="O731" s="55" t="n">
        <v>65</v>
      </c>
      <c r="P731" s="53" t="n">
        <f aca="false">(F731+H731+J731+L731)*O731</f>
        <v>130</v>
      </c>
      <c r="Q731" s="74" t="n">
        <f aca="false">M731*O731</f>
        <v>755.3</v>
      </c>
      <c r="R731" s="74" t="n">
        <f aca="false">N731*O731</f>
        <v>5.20000000000001</v>
      </c>
    </row>
    <row r="732" customFormat="false" ht="15" hidden="false" customHeight="false" outlineLevel="0" collapsed="false">
      <c r="A732" s="53" t="n">
        <v>4</v>
      </c>
      <c r="B732" s="53" t="n">
        <v>10</v>
      </c>
      <c r="C732" s="76" t="s">
        <v>512</v>
      </c>
      <c r="D732" s="53" t="n">
        <v>14</v>
      </c>
      <c r="E732" s="73" t="n">
        <v>4.5</v>
      </c>
      <c r="F732" s="55" t="n">
        <v>2</v>
      </c>
      <c r="G732" s="73" t="n">
        <v>2.6</v>
      </c>
      <c r="H732" s="55" t="n">
        <v>1</v>
      </c>
      <c r="I732" s="20"/>
      <c r="J732" s="20"/>
      <c r="K732" s="20"/>
      <c r="L732" s="20"/>
      <c r="M732" s="41" t="n">
        <f aca="false">E732*F732+G732*H732+I732*J732+K732*L732</f>
        <v>11.6</v>
      </c>
      <c r="N732" s="41" t="n">
        <f aca="false">Исходные!$B$15-M732</f>
        <v>0.0999999999999996</v>
      </c>
      <c r="O732" s="55" t="n">
        <v>8</v>
      </c>
      <c r="P732" s="53" t="n">
        <f aca="false">(F732+H732+J732+L732)*O732</f>
        <v>24</v>
      </c>
      <c r="Q732" s="74" t="n">
        <f aca="false">M732*O732</f>
        <v>92.8</v>
      </c>
      <c r="R732" s="74" t="n">
        <f aca="false">N732*O732</f>
        <v>0.799999999999997</v>
      </c>
    </row>
    <row r="733" customFormat="false" ht="15" hidden="false" customHeight="false" outlineLevel="0" collapsed="false">
      <c r="A733" s="53" t="n">
        <v>4</v>
      </c>
      <c r="B733" s="53" t="n">
        <v>10</v>
      </c>
      <c r="C733" s="76" t="s">
        <v>512</v>
      </c>
      <c r="D733" s="53" t="n">
        <v>15</v>
      </c>
      <c r="E733" s="73" t="n">
        <v>4.3</v>
      </c>
      <c r="F733" s="55" t="n">
        <v>2</v>
      </c>
      <c r="G733" s="73" t="n">
        <v>3</v>
      </c>
      <c r="H733" s="55" t="n">
        <v>1</v>
      </c>
      <c r="I733" s="20"/>
      <c r="J733" s="20"/>
      <c r="K733" s="20"/>
      <c r="L733" s="20"/>
      <c r="M733" s="41" t="n">
        <f aca="false">E733*F733+G733*H733+I733*J733+K733*L733</f>
        <v>11.6</v>
      </c>
      <c r="N733" s="41" t="n">
        <f aca="false">Исходные!$B$15-M733</f>
        <v>0.0999999999999996</v>
      </c>
      <c r="O733" s="55" t="n">
        <v>17</v>
      </c>
      <c r="P733" s="53" t="n">
        <f aca="false">(F733+H733+J733+L733)*O733</f>
        <v>51</v>
      </c>
      <c r="Q733" s="74" t="n">
        <f aca="false">M733*O733</f>
        <v>197.2</v>
      </c>
      <c r="R733" s="74" t="n">
        <f aca="false">N733*O733</f>
        <v>1.69999999999999</v>
      </c>
    </row>
    <row r="734" customFormat="false" ht="15" hidden="false" customHeight="false" outlineLevel="0" collapsed="false">
      <c r="A734" s="53" t="n">
        <v>4</v>
      </c>
      <c r="B734" s="53" t="n">
        <v>10</v>
      </c>
      <c r="C734" s="76" t="s">
        <v>512</v>
      </c>
      <c r="D734" s="53" t="n">
        <v>16</v>
      </c>
      <c r="E734" s="73" t="n">
        <v>3</v>
      </c>
      <c r="F734" s="55" t="n">
        <v>3</v>
      </c>
      <c r="G734" s="73" t="n">
        <v>2.6</v>
      </c>
      <c r="H734" s="55" t="n">
        <v>1</v>
      </c>
      <c r="I734" s="20"/>
      <c r="J734" s="20"/>
      <c r="K734" s="20"/>
      <c r="L734" s="20"/>
      <c r="M734" s="41" t="n">
        <f aca="false">E734*F734+G734*H734+I734*J734+K734*L734</f>
        <v>11.6</v>
      </c>
      <c r="N734" s="41" t="n">
        <f aca="false">Исходные!$B$15-M734</f>
        <v>0.0999999999999996</v>
      </c>
      <c r="O734" s="55" t="n">
        <v>6</v>
      </c>
      <c r="P734" s="53" t="n">
        <f aca="false">(F734+H734+J734+L734)*O734</f>
        <v>24</v>
      </c>
      <c r="Q734" s="74" t="n">
        <f aca="false">M734*O734</f>
        <v>69.6</v>
      </c>
      <c r="R734" s="74" t="n">
        <f aca="false">N734*O734</f>
        <v>0.599999999999998</v>
      </c>
    </row>
    <row r="735" customFormat="false" ht="15" hidden="false" customHeight="false" outlineLevel="0" collapsed="false">
      <c r="A735" s="53" t="n">
        <v>4</v>
      </c>
      <c r="B735" s="53" t="n">
        <v>10</v>
      </c>
      <c r="C735" s="76" t="s">
        <v>512</v>
      </c>
      <c r="D735" s="53" t="n">
        <v>17</v>
      </c>
      <c r="E735" s="73" t="n">
        <v>1.45</v>
      </c>
      <c r="F735" s="55" t="n">
        <v>8</v>
      </c>
      <c r="G735" s="20"/>
      <c r="H735" s="20"/>
      <c r="I735" s="20"/>
      <c r="J735" s="20"/>
      <c r="K735" s="20"/>
      <c r="L735" s="20"/>
      <c r="M735" s="41" t="n">
        <f aca="false">E735*F735+G735*H735+I735*J735+K735*L735</f>
        <v>11.6</v>
      </c>
      <c r="N735" s="41" t="n">
        <f aca="false">Исходные!$B$15-M735</f>
        <v>0.0999999999999996</v>
      </c>
      <c r="O735" s="55" t="n">
        <v>5</v>
      </c>
      <c r="P735" s="53" t="n">
        <f aca="false">(F735+H735+J735+L735)*O735</f>
        <v>40</v>
      </c>
      <c r="Q735" s="74" t="n">
        <f aca="false">M735*O735</f>
        <v>58</v>
      </c>
      <c r="R735" s="74" t="n">
        <f aca="false">N735*O735</f>
        <v>0.499999999999998</v>
      </c>
    </row>
    <row r="736" customFormat="false" ht="15" hidden="false" customHeight="false" outlineLevel="0" collapsed="false">
      <c r="A736" s="53" t="n">
        <v>4</v>
      </c>
      <c r="B736" s="53" t="n">
        <v>10</v>
      </c>
      <c r="C736" s="76" t="s">
        <v>512</v>
      </c>
      <c r="D736" s="53" t="n">
        <v>18</v>
      </c>
      <c r="E736" s="73" t="n">
        <v>7.97</v>
      </c>
      <c r="F736" s="55" t="n">
        <v>1</v>
      </c>
      <c r="G736" s="73" t="n">
        <v>3.625</v>
      </c>
      <c r="H736" s="55" t="n">
        <v>1</v>
      </c>
      <c r="I736" s="20"/>
      <c r="J736" s="20"/>
      <c r="K736" s="20"/>
      <c r="L736" s="20"/>
      <c r="M736" s="41" t="n">
        <f aca="false">E736*F736+G736*H736+I736*J736+K736*L736</f>
        <v>11.595</v>
      </c>
      <c r="N736" s="41" t="n">
        <f aca="false">Исходные!$B$15-M736</f>
        <v>0.105</v>
      </c>
      <c r="O736" s="55" t="n">
        <v>20</v>
      </c>
      <c r="P736" s="53" t="n">
        <f aca="false">(F736+H736+J736+L736)*O736</f>
        <v>40</v>
      </c>
      <c r="Q736" s="74" t="n">
        <f aca="false">M736*O736</f>
        <v>231.9</v>
      </c>
      <c r="R736" s="74" t="n">
        <f aca="false">N736*O736</f>
        <v>2.10000000000001</v>
      </c>
    </row>
    <row r="737" customFormat="false" ht="15" hidden="false" customHeight="false" outlineLevel="0" collapsed="false">
      <c r="A737" s="53" t="n">
        <v>4</v>
      </c>
      <c r="B737" s="53" t="n">
        <v>10</v>
      </c>
      <c r="C737" s="76" t="s">
        <v>512</v>
      </c>
      <c r="D737" s="53" t="n">
        <v>19</v>
      </c>
      <c r="E737" s="73" t="n">
        <v>11.02</v>
      </c>
      <c r="F737" s="55" t="n">
        <v>1</v>
      </c>
      <c r="G737" s="73" t="n">
        <v>0.57</v>
      </c>
      <c r="H737" s="55" t="n">
        <v>1</v>
      </c>
      <c r="I737" s="20"/>
      <c r="J737" s="20"/>
      <c r="K737" s="20"/>
      <c r="L737" s="20"/>
      <c r="M737" s="41" t="n">
        <f aca="false">E737*F737+G737*H737+I737*J737+K737*L737</f>
        <v>11.59</v>
      </c>
      <c r="N737" s="41" t="n">
        <f aca="false">Исходные!$B$15-M737</f>
        <v>0.109999999999999</v>
      </c>
      <c r="O737" s="55" t="n">
        <v>15</v>
      </c>
      <c r="P737" s="53" t="n">
        <f aca="false">(F737+H737+J737+L737)*O737</f>
        <v>30</v>
      </c>
      <c r="Q737" s="74" t="n">
        <f aca="false">M737*O737</f>
        <v>173.85</v>
      </c>
      <c r="R737" s="74" t="n">
        <f aca="false">N737*O737</f>
        <v>1.64999999999999</v>
      </c>
    </row>
    <row r="738" customFormat="false" ht="15" hidden="false" customHeight="false" outlineLevel="0" collapsed="false">
      <c r="A738" s="53" t="n">
        <v>4</v>
      </c>
      <c r="B738" s="53" t="n">
        <v>10</v>
      </c>
      <c r="C738" s="76" t="s">
        <v>512</v>
      </c>
      <c r="D738" s="53" t="n">
        <v>20</v>
      </c>
      <c r="E738" s="73" t="n">
        <v>9.3</v>
      </c>
      <c r="F738" s="55" t="n">
        <v>1</v>
      </c>
      <c r="G738" s="73" t="n">
        <v>2.25</v>
      </c>
      <c r="H738" s="55" t="n">
        <v>1</v>
      </c>
      <c r="I738" s="20"/>
      <c r="J738" s="20"/>
      <c r="K738" s="20"/>
      <c r="L738" s="20"/>
      <c r="M738" s="41" t="n">
        <f aca="false">E738*F738+G738*H738+I738*J738+K738*L738</f>
        <v>11.55</v>
      </c>
      <c r="N738" s="41" t="n">
        <f aca="false">Исходные!$B$15-M738</f>
        <v>0.149999999999999</v>
      </c>
      <c r="O738" s="55" t="n">
        <v>6</v>
      </c>
      <c r="P738" s="53" t="n">
        <f aca="false">(F738+H738+J738+L738)*O738</f>
        <v>12</v>
      </c>
      <c r="Q738" s="74" t="n">
        <f aca="false">M738*O738</f>
        <v>69.3</v>
      </c>
      <c r="R738" s="74" t="n">
        <f aca="false">N738*O738</f>
        <v>0.899999999999992</v>
      </c>
    </row>
    <row r="739" customFormat="false" ht="15" hidden="false" customHeight="false" outlineLevel="0" collapsed="false">
      <c r="A739" s="53" t="n">
        <v>4</v>
      </c>
      <c r="B739" s="53" t="n">
        <v>10</v>
      </c>
      <c r="C739" s="76" t="s">
        <v>512</v>
      </c>
      <c r="D739" s="53" t="n">
        <v>21</v>
      </c>
      <c r="E739" s="73" t="n">
        <v>1.45</v>
      </c>
      <c r="F739" s="55" t="n">
        <v>7</v>
      </c>
      <c r="G739" s="73" t="n">
        <v>1.4</v>
      </c>
      <c r="H739" s="55" t="n">
        <v>1</v>
      </c>
      <c r="I739" s="20"/>
      <c r="J739" s="20"/>
      <c r="K739" s="20"/>
      <c r="L739" s="20"/>
      <c r="M739" s="41" t="n">
        <f aca="false">E739*F739+G739*H739+I739*J739+K739*L739</f>
        <v>11.55</v>
      </c>
      <c r="N739" s="41" t="n">
        <f aca="false">Исходные!$B$15-M739</f>
        <v>0.149999999999999</v>
      </c>
      <c r="O739" s="55" t="n">
        <v>1</v>
      </c>
      <c r="P739" s="53" t="n">
        <f aca="false">(F739+H739+J739+L739)*O739</f>
        <v>8</v>
      </c>
      <c r="Q739" s="74" t="n">
        <f aca="false">M739*O739</f>
        <v>11.55</v>
      </c>
      <c r="R739" s="74" t="n">
        <f aca="false">N739*O739</f>
        <v>0.149999999999999</v>
      </c>
    </row>
    <row r="740" customFormat="false" ht="15" hidden="false" customHeight="false" outlineLevel="0" collapsed="false">
      <c r="A740" s="53" t="n">
        <v>4</v>
      </c>
      <c r="B740" s="53" t="n">
        <v>10</v>
      </c>
      <c r="C740" s="76" t="s">
        <v>512</v>
      </c>
      <c r="D740" s="53" t="n">
        <v>22</v>
      </c>
      <c r="E740" s="73" t="n">
        <v>5.05</v>
      </c>
      <c r="F740" s="55" t="n">
        <v>2</v>
      </c>
      <c r="G740" s="73" t="n">
        <v>1.45</v>
      </c>
      <c r="H740" s="55" t="n">
        <v>1</v>
      </c>
      <c r="I740" s="20"/>
      <c r="J740" s="20"/>
      <c r="K740" s="20"/>
      <c r="L740" s="20"/>
      <c r="M740" s="41" t="n">
        <f aca="false">E740*F740+G740*H740+I740*J740+K740*L740</f>
        <v>11.55</v>
      </c>
      <c r="N740" s="41" t="n">
        <f aca="false">Исходные!$B$15-M740</f>
        <v>0.15</v>
      </c>
      <c r="O740" s="55" t="n">
        <v>8</v>
      </c>
      <c r="P740" s="53" t="n">
        <f aca="false">(F740+H740+J740+L740)*O740</f>
        <v>24</v>
      </c>
      <c r="Q740" s="74" t="n">
        <f aca="false">M740*O740</f>
        <v>92.4</v>
      </c>
      <c r="R740" s="74" t="n">
        <f aca="false">N740*O740</f>
        <v>1.2</v>
      </c>
    </row>
    <row r="741" customFormat="false" ht="15" hidden="false" customHeight="false" outlineLevel="0" collapsed="false">
      <c r="A741" s="53" t="n">
        <v>4</v>
      </c>
      <c r="B741" s="53" t="n">
        <v>10</v>
      </c>
      <c r="C741" s="76" t="s">
        <v>512</v>
      </c>
      <c r="D741" s="53" t="n">
        <v>23</v>
      </c>
      <c r="E741" s="73" t="n">
        <v>7.97</v>
      </c>
      <c r="F741" s="55" t="n">
        <v>1</v>
      </c>
      <c r="G741" s="73" t="n">
        <v>3</v>
      </c>
      <c r="H741" s="55" t="n">
        <v>1</v>
      </c>
      <c r="I741" s="73" t="n">
        <v>0.57</v>
      </c>
      <c r="J741" s="55" t="n">
        <v>1</v>
      </c>
      <c r="K741" s="20"/>
      <c r="L741" s="20"/>
      <c r="M741" s="41" t="n">
        <f aca="false">E741*F741+G741*H741+I741*J741+K741*L741</f>
        <v>11.54</v>
      </c>
      <c r="N741" s="41" t="n">
        <f aca="false">Исходные!$B$15-M741</f>
        <v>0.16</v>
      </c>
      <c r="O741" s="55" t="n">
        <v>8</v>
      </c>
      <c r="P741" s="53" t="n">
        <f aca="false">(F741+H741+J741+L741)*O741</f>
        <v>24</v>
      </c>
      <c r="Q741" s="74" t="n">
        <f aca="false">M741*O741</f>
        <v>92.32</v>
      </c>
      <c r="R741" s="74" t="n">
        <f aca="false">N741*O741</f>
        <v>1.28</v>
      </c>
    </row>
    <row r="742" customFormat="false" ht="15" hidden="false" customHeight="false" outlineLevel="0" collapsed="false">
      <c r="A742" s="53" t="n">
        <v>4</v>
      </c>
      <c r="B742" s="53" t="n">
        <v>10</v>
      </c>
      <c r="C742" s="76" t="s">
        <v>512</v>
      </c>
      <c r="D742" s="53" t="n">
        <v>24</v>
      </c>
      <c r="E742" s="73" t="n">
        <v>7.95</v>
      </c>
      <c r="F742" s="55" t="n">
        <v>1</v>
      </c>
      <c r="G742" s="73" t="n">
        <v>3</v>
      </c>
      <c r="H742" s="55" t="n">
        <v>1</v>
      </c>
      <c r="I742" s="73" t="n">
        <v>0.57</v>
      </c>
      <c r="J742" s="55" t="n">
        <v>1</v>
      </c>
      <c r="K742" s="20"/>
      <c r="L742" s="20"/>
      <c r="M742" s="41" t="n">
        <f aca="false">E742*F742+G742*H742+I742*J742+K742*L742</f>
        <v>11.52</v>
      </c>
      <c r="N742" s="41" t="n">
        <f aca="false">Исходные!$B$15-M742</f>
        <v>0.18</v>
      </c>
      <c r="O742" s="55" t="n">
        <v>18</v>
      </c>
      <c r="P742" s="53" t="n">
        <f aca="false">(F742+H742+J742+L742)*O742</f>
        <v>54</v>
      </c>
      <c r="Q742" s="74" t="n">
        <f aca="false">M742*O742</f>
        <v>207.36</v>
      </c>
      <c r="R742" s="74" t="n">
        <f aca="false">N742*O742</f>
        <v>3.24</v>
      </c>
    </row>
    <row r="743" customFormat="false" ht="15" hidden="false" customHeight="false" outlineLevel="0" collapsed="false">
      <c r="A743" s="53" t="n">
        <v>4</v>
      </c>
      <c r="B743" s="53" t="n">
        <v>10</v>
      </c>
      <c r="C743" s="76" t="s">
        <v>512</v>
      </c>
      <c r="D743" s="53" t="n">
        <v>25</v>
      </c>
      <c r="E743" s="73" t="n">
        <v>9.3</v>
      </c>
      <c r="F743" s="55" t="n">
        <v>1</v>
      </c>
      <c r="G743" s="73" t="n">
        <v>2.2</v>
      </c>
      <c r="H743" s="55" t="n">
        <v>1</v>
      </c>
      <c r="I743" s="20"/>
      <c r="J743" s="20"/>
      <c r="K743" s="20"/>
      <c r="L743" s="20"/>
      <c r="M743" s="41" t="n">
        <f aca="false">E743*F743+G743*H743+I743*J743+K743*L743</f>
        <v>11.5</v>
      </c>
      <c r="N743" s="41" t="n">
        <f aca="false">Исходные!$B$15-M743</f>
        <v>0.199999999999999</v>
      </c>
      <c r="O743" s="55" t="n">
        <v>76</v>
      </c>
      <c r="P743" s="53" t="n">
        <f aca="false">(F743+H743+J743+L743)*O743</f>
        <v>152</v>
      </c>
      <c r="Q743" s="74" t="n">
        <f aca="false">M743*O743</f>
        <v>874</v>
      </c>
      <c r="R743" s="74" t="n">
        <f aca="false">N743*O743</f>
        <v>15.1999999999999</v>
      </c>
    </row>
    <row r="744" customFormat="false" ht="15" hidden="false" customHeight="false" outlineLevel="0" collapsed="false">
      <c r="A744" s="53" t="n">
        <v>4</v>
      </c>
      <c r="B744" s="53" t="n">
        <v>10</v>
      </c>
      <c r="C744" s="76" t="s">
        <v>512</v>
      </c>
      <c r="D744" s="53" t="n">
        <v>26</v>
      </c>
      <c r="E744" s="73" t="n">
        <v>1.19</v>
      </c>
      <c r="F744" s="55" t="n">
        <v>2</v>
      </c>
      <c r="G744" s="73" t="n">
        <v>0.57</v>
      </c>
      <c r="H744" s="55" t="n">
        <v>16</v>
      </c>
      <c r="I744" s="20"/>
      <c r="J744" s="20"/>
      <c r="K744" s="20"/>
      <c r="L744" s="20"/>
      <c r="M744" s="41" t="n">
        <f aca="false">E744*F744+G744*H744+I744*J744+K744*L744</f>
        <v>11.5</v>
      </c>
      <c r="N744" s="41" t="n">
        <f aca="false">Исходные!$B$15-M744</f>
        <v>0.199999999999999</v>
      </c>
      <c r="O744" s="55" t="n">
        <v>1</v>
      </c>
      <c r="P744" s="53" t="n">
        <f aca="false">(F744+H744+J744+L744)*O744</f>
        <v>18</v>
      </c>
      <c r="Q744" s="74" t="n">
        <f aca="false">M744*O744</f>
        <v>11.5</v>
      </c>
      <c r="R744" s="74" t="n">
        <f aca="false">N744*O744</f>
        <v>0.199999999999999</v>
      </c>
    </row>
    <row r="745" customFormat="false" ht="15" hidden="false" customHeight="false" outlineLevel="0" collapsed="false">
      <c r="A745" s="53" t="n">
        <v>4</v>
      </c>
      <c r="B745" s="53" t="n">
        <v>10</v>
      </c>
      <c r="C745" s="76" t="s">
        <v>512</v>
      </c>
      <c r="D745" s="53" t="n">
        <v>27</v>
      </c>
      <c r="E745" s="73" t="n">
        <v>7.71</v>
      </c>
      <c r="F745" s="55" t="n">
        <v>1</v>
      </c>
      <c r="G745" s="73" t="n">
        <v>3.78</v>
      </c>
      <c r="H745" s="55" t="n">
        <v>1</v>
      </c>
      <c r="I745" s="20"/>
      <c r="J745" s="20"/>
      <c r="K745" s="20"/>
      <c r="L745" s="20"/>
      <c r="M745" s="41" t="n">
        <f aca="false">E745*F745+G745*H745+I745*J745+K745*L745</f>
        <v>11.49</v>
      </c>
      <c r="N745" s="41" t="n">
        <f aca="false">Исходные!$B$15-M745</f>
        <v>0.209999999999999</v>
      </c>
      <c r="O745" s="55" t="n">
        <v>4</v>
      </c>
      <c r="P745" s="53" t="n">
        <f aca="false">(F745+H745+J745+L745)*O745</f>
        <v>8</v>
      </c>
      <c r="Q745" s="74" t="n">
        <f aca="false">M745*O745</f>
        <v>45.96</v>
      </c>
      <c r="R745" s="74" t="n">
        <f aca="false">N745*O745</f>
        <v>0.839999999999996</v>
      </c>
    </row>
    <row r="746" customFormat="false" ht="15" hidden="false" customHeight="false" outlineLevel="0" collapsed="false">
      <c r="A746" s="53" t="n">
        <v>4</v>
      </c>
      <c r="B746" s="53" t="n">
        <v>10</v>
      </c>
      <c r="C746" s="76" t="s">
        <v>512</v>
      </c>
      <c r="D746" s="53" t="n">
        <v>28</v>
      </c>
      <c r="E746" s="73" t="n">
        <v>10.9</v>
      </c>
      <c r="F746" s="55" t="n">
        <v>1</v>
      </c>
      <c r="G746" s="73" t="n">
        <v>0.57</v>
      </c>
      <c r="H746" s="55" t="n">
        <v>1</v>
      </c>
      <c r="I746" s="20"/>
      <c r="J746" s="20"/>
      <c r="K746" s="20"/>
      <c r="L746" s="20"/>
      <c r="M746" s="41" t="n">
        <f aca="false">E746*F746+G746*H746+I746*J746+K746*L746</f>
        <v>11.47</v>
      </c>
      <c r="N746" s="41" t="n">
        <f aca="false">Исходные!$B$15-M746</f>
        <v>0.229999999999999</v>
      </c>
      <c r="O746" s="55" t="n">
        <v>2</v>
      </c>
      <c r="P746" s="53" t="n">
        <f aca="false">(F746+H746+J746+L746)*O746</f>
        <v>4</v>
      </c>
      <c r="Q746" s="74" t="n">
        <f aca="false">M746*O746</f>
        <v>22.94</v>
      </c>
      <c r="R746" s="74" t="n">
        <f aca="false">N746*O746</f>
        <v>0.459999999999997</v>
      </c>
    </row>
    <row r="747" customFormat="false" ht="15" hidden="false" customHeight="false" outlineLevel="0" collapsed="false">
      <c r="A747" s="53" t="n">
        <v>4</v>
      </c>
      <c r="B747" s="53" t="n">
        <v>10</v>
      </c>
      <c r="C747" s="76" t="s">
        <v>512</v>
      </c>
      <c r="D747" s="53" t="n">
        <v>29</v>
      </c>
      <c r="E747" s="73" t="n">
        <v>0.57</v>
      </c>
      <c r="F747" s="55" t="n">
        <v>20</v>
      </c>
      <c r="G747" s="20"/>
      <c r="H747" s="20"/>
      <c r="I747" s="20"/>
      <c r="J747" s="20"/>
      <c r="K747" s="20"/>
      <c r="L747" s="20"/>
      <c r="M747" s="41" t="n">
        <f aca="false">E747*F747+G747*H747+I747*J747+K747*L747</f>
        <v>11.4</v>
      </c>
      <c r="N747" s="41" t="n">
        <f aca="false">Исходные!$B$15-M747</f>
        <v>0.300000000000001</v>
      </c>
      <c r="O747" s="55" t="n">
        <v>64</v>
      </c>
      <c r="P747" s="53" t="n">
        <f aca="false">(F747+H747+J747+L747)*O747</f>
        <v>1280</v>
      </c>
      <c r="Q747" s="74" t="n">
        <f aca="false">M747*O747</f>
        <v>729.6</v>
      </c>
      <c r="R747" s="74" t="n">
        <f aca="false">N747*O747</f>
        <v>19.2</v>
      </c>
    </row>
    <row r="748" customFormat="false" ht="15" hidden="false" customHeight="false" outlineLevel="0" collapsed="false">
      <c r="A748" s="53" t="n">
        <v>4</v>
      </c>
      <c r="B748" s="53" t="n">
        <v>10</v>
      </c>
      <c r="C748" s="76" t="s">
        <v>512</v>
      </c>
      <c r="D748" s="53" t="n">
        <v>30</v>
      </c>
      <c r="E748" s="73" t="n">
        <v>9.18</v>
      </c>
      <c r="F748" s="55" t="n">
        <v>1</v>
      </c>
      <c r="G748" s="73" t="n">
        <v>2.2</v>
      </c>
      <c r="H748" s="55" t="n">
        <v>1</v>
      </c>
      <c r="I748" s="20"/>
      <c r="J748" s="20"/>
      <c r="K748" s="20"/>
      <c r="L748" s="20"/>
      <c r="M748" s="41" t="n">
        <f aca="false">E748*F748+G748*H748+I748*J748+K748*L748</f>
        <v>11.38</v>
      </c>
      <c r="N748" s="41" t="n">
        <f aca="false">Исходные!$B$15-M748</f>
        <v>0.32</v>
      </c>
      <c r="O748" s="55" t="n">
        <v>21</v>
      </c>
      <c r="P748" s="53" t="n">
        <f aca="false">(F748+H748+J748+L748)*O748</f>
        <v>42</v>
      </c>
      <c r="Q748" s="74" t="n">
        <f aca="false">M748*O748</f>
        <v>238.98</v>
      </c>
      <c r="R748" s="74" t="n">
        <f aca="false">N748*O748</f>
        <v>6.72000000000001</v>
      </c>
    </row>
    <row r="749" customFormat="false" ht="15" hidden="false" customHeight="false" outlineLevel="0" collapsed="false">
      <c r="A749" s="53" t="n">
        <v>4</v>
      </c>
      <c r="B749" s="53" t="n">
        <v>10</v>
      </c>
      <c r="C749" s="76" t="s">
        <v>512</v>
      </c>
      <c r="D749" s="53" t="n">
        <v>31</v>
      </c>
      <c r="E749" s="73" t="n">
        <v>1.2</v>
      </c>
      <c r="F749" s="55" t="n">
        <v>9</v>
      </c>
      <c r="G749" s="73" t="n">
        <v>0.57</v>
      </c>
      <c r="H749" s="55" t="n">
        <v>1</v>
      </c>
      <c r="I749" s="20"/>
      <c r="J749" s="20"/>
      <c r="K749" s="20"/>
      <c r="L749" s="20"/>
      <c r="M749" s="41" t="n">
        <f aca="false">E749*F749+G749*H749+I749*J749+K749*L749</f>
        <v>11.37</v>
      </c>
      <c r="N749" s="41" t="n">
        <f aca="false">Исходные!$B$15-M749</f>
        <v>0.33</v>
      </c>
      <c r="O749" s="55" t="n">
        <v>18</v>
      </c>
      <c r="P749" s="53" t="n">
        <f aca="false">(F749+H749+J749+L749)*O749</f>
        <v>180</v>
      </c>
      <c r="Q749" s="74" t="n">
        <f aca="false">M749*O749</f>
        <v>204.66</v>
      </c>
      <c r="R749" s="74" t="n">
        <f aca="false">N749*O749</f>
        <v>5.94</v>
      </c>
    </row>
    <row r="750" customFormat="false" ht="15" hidden="false" customHeight="false" outlineLevel="0" collapsed="false">
      <c r="A750" s="53" t="n">
        <v>4</v>
      </c>
      <c r="B750" s="53" t="n">
        <v>10</v>
      </c>
      <c r="C750" s="76" t="s">
        <v>512</v>
      </c>
      <c r="D750" s="53" t="n">
        <v>32</v>
      </c>
      <c r="E750" s="73" t="n">
        <v>10.77</v>
      </c>
      <c r="F750" s="55" t="n">
        <v>1</v>
      </c>
      <c r="G750" s="73" t="n">
        <v>0.57</v>
      </c>
      <c r="H750" s="55" t="n">
        <v>1</v>
      </c>
      <c r="I750" s="20"/>
      <c r="J750" s="20"/>
      <c r="K750" s="20"/>
      <c r="L750" s="20"/>
      <c r="M750" s="41" t="n">
        <f aca="false">E750*F750+G750*H750+I750*J750+K750*L750</f>
        <v>11.34</v>
      </c>
      <c r="N750" s="41" t="n">
        <f aca="false">Исходные!$B$15-M750</f>
        <v>0.359999999999999</v>
      </c>
      <c r="O750" s="55" t="n">
        <v>2</v>
      </c>
      <c r="P750" s="53" t="n">
        <f aca="false">(F750+H750+J750+L750)*O750</f>
        <v>4</v>
      </c>
      <c r="Q750" s="74" t="n">
        <f aca="false">M750*O750</f>
        <v>22.68</v>
      </c>
      <c r="R750" s="74" t="n">
        <f aca="false">N750*O750</f>
        <v>0.719999999999999</v>
      </c>
    </row>
    <row r="751" customFormat="false" ht="15" hidden="false" customHeight="false" outlineLevel="0" collapsed="false">
      <c r="A751" s="53" t="n">
        <v>4</v>
      </c>
      <c r="B751" s="53" t="n">
        <v>10</v>
      </c>
      <c r="C751" s="76" t="s">
        <v>512</v>
      </c>
      <c r="D751" s="53" t="n">
        <v>33</v>
      </c>
      <c r="E751" s="73" t="n">
        <v>3.78</v>
      </c>
      <c r="F751" s="55" t="n">
        <v>3</v>
      </c>
      <c r="G751" s="20"/>
      <c r="H751" s="20"/>
      <c r="I751" s="20"/>
      <c r="J751" s="20"/>
      <c r="K751" s="20"/>
      <c r="L751" s="20"/>
      <c r="M751" s="41" t="n">
        <f aca="false">E751*F751+G751*H751+I751*J751+K751*L751</f>
        <v>11.34</v>
      </c>
      <c r="N751" s="41" t="n">
        <f aca="false">Исходные!$B$15-M751</f>
        <v>0.359999999999999</v>
      </c>
      <c r="O751" s="55" t="n">
        <v>4</v>
      </c>
      <c r="P751" s="53" t="n">
        <f aca="false">(F751+H751+J751+L751)*O751</f>
        <v>12</v>
      </c>
      <c r="Q751" s="74" t="n">
        <f aca="false">M751*O751</f>
        <v>45.36</v>
      </c>
      <c r="R751" s="74" t="n">
        <f aca="false">N751*O751</f>
        <v>1.44</v>
      </c>
    </row>
    <row r="752" customFormat="false" ht="15" hidden="false" customHeight="false" outlineLevel="0" collapsed="false">
      <c r="A752" s="53" t="n">
        <v>4</v>
      </c>
      <c r="B752" s="53" t="n">
        <v>10</v>
      </c>
      <c r="C752" s="76" t="s">
        <v>512</v>
      </c>
      <c r="D752" s="53" t="n">
        <v>34</v>
      </c>
      <c r="E752" s="73" t="n">
        <v>1.2</v>
      </c>
      <c r="F752" s="55" t="n">
        <v>6</v>
      </c>
      <c r="G752" s="73" t="n">
        <v>1.19</v>
      </c>
      <c r="H752" s="55" t="n">
        <v>3</v>
      </c>
      <c r="I752" s="73" t="n">
        <v>0.57</v>
      </c>
      <c r="J752" s="55" t="n">
        <v>1</v>
      </c>
      <c r="K752" s="20"/>
      <c r="L752" s="20"/>
      <c r="M752" s="41" t="n">
        <f aca="false">E752*F752+G752*H752+I752*J752+K752*L752</f>
        <v>11.34</v>
      </c>
      <c r="N752" s="41" t="n">
        <f aca="false">Исходные!$B$15-M752</f>
        <v>0.359999999999999</v>
      </c>
      <c r="O752" s="55" t="n">
        <v>1</v>
      </c>
      <c r="P752" s="53" t="n">
        <f aca="false">(F752+H752+J752+L752)*O752</f>
        <v>10</v>
      </c>
      <c r="Q752" s="74" t="n">
        <f aca="false">M752*O752</f>
        <v>11.34</v>
      </c>
      <c r="R752" s="74" t="n">
        <f aca="false">N752*O752</f>
        <v>0.359999999999999</v>
      </c>
    </row>
    <row r="753" customFormat="false" ht="15" hidden="false" customHeight="false" outlineLevel="0" collapsed="false">
      <c r="A753" s="53" t="n">
        <v>4</v>
      </c>
      <c r="B753" s="53" t="n">
        <v>10</v>
      </c>
      <c r="C753" s="76" t="s">
        <v>512</v>
      </c>
      <c r="D753" s="53" t="n">
        <v>35</v>
      </c>
      <c r="E753" s="73" t="n">
        <v>1.4</v>
      </c>
      <c r="F753" s="55" t="n">
        <v>5</v>
      </c>
      <c r="G753" s="73" t="n">
        <v>1.25</v>
      </c>
      <c r="H753" s="55" t="n">
        <v>3</v>
      </c>
      <c r="I753" s="73" t="n">
        <v>0.57</v>
      </c>
      <c r="J753" s="55" t="n">
        <v>1</v>
      </c>
      <c r="K753" s="20"/>
      <c r="L753" s="20"/>
      <c r="M753" s="41" t="n">
        <f aca="false">E753*F753+G753*H753+I753*J753+K753*L753</f>
        <v>11.32</v>
      </c>
      <c r="N753" s="41" t="n">
        <f aca="false">Исходные!$B$15-M753</f>
        <v>0.379999999999999</v>
      </c>
      <c r="O753" s="55" t="n">
        <v>1</v>
      </c>
      <c r="P753" s="53" t="n">
        <f aca="false">(F753+H753+J753+L753)*O753</f>
        <v>9</v>
      </c>
      <c r="Q753" s="74" t="n">
        <f aca="false">M753*O753</f>
        <v>11.32</v>
      </c>
      <c r="R753" s="74" t="n">
        <f aca="false">N753*O753</f>
        <v>0.379999999999999</v>
      </c>
    </row>
    <row r="754" customFormat="false" ht="15" hidden="false" customHeight="false" outlineLevel="0" collapsed="false">
      <c r="A754" s="53" t="n">
        <v>4</v>
      </c>
      <c r="B754" s="53" t="n">
        <v>10</v>
      </c>
      <c r="C754" s="76" t="s">
        <v>512</v>
      </c>
      <c r="D754" s="53" t="n">
        <v>36</v>
      </c>
      <c r="E754" s="73" t="n">
        <v>4.15</v>
      </c>
      <c r="F754" s="55" t="n">
        <v>2</v>
      </c>
      <c r="G754" s="73" t="n">
        <v>3</v>
      </c>
      <c r="H754" s="55" t="n">
        <v>1</v>
      </c>
      <c r="I754" s="20"/>
      <c r="J754" s="20"/>
      <c r="K754" s="20"/>
      <c r="L754" s="20"/>
      <c r="M754" s="41" t="n">
        <f aca="false">E754*F754+G754*H754+I754*J754+K754*L754</f>
        <v>11.3</v>
      </c>
      <c r="N754" s="41" t="n">
        <f aca="false">Исходные!$B$15-M754</f>
        <v>0.399999999999999</v>
      </c>
      <c r="O754" s="55" t="n">
        <v>18</v>
      </c>
      <c r="P754" s="53" t="n">
        <f aca="false">(F754+H754+J754+L754)*O754</f>
        <v>54</v>
      </c>
      <c r="Q754" s="74" t="n">
        <f aca="false">M754*O754</f>
        <v>203.4</v>
      </c>
      <c r="R754" s="74" t="n">
        <f aca="false">N754*O754</f>
        <v>7.19999999999997</v>
      </c>
    </row>
    <row r="755" customFormat="false" ht="15" hidden="false" customHeight="false" outlineLevel="0" collapsed="false">
      <c r="A755" s="53" t="n">
        <v>4</v>
      </c>
      <c r="B755" s="53" t="n">
        <v>10</v>
      </c>
      <c r="C755" s="76" t="s">
        <v>512</v>
      </c>
      <c r="D755" s="53" t="n">
        <v>37</v>
      </c>
      <c r="E755" s="73" t="n">
        <v>1.19</v>
      </c>
      <c r="F755" s="55" t="n">
        <v>9</v>
      </c>
      <c r="G755" s="73" t="n">
        <v>0.57</v>
      </c>
      <c r="H755" s="55" t="n">
        <v>1</v>
      </c>
      <c r="I755" s="20"/>
      <c r="J755" s="20"/>
      <c r="K755" s="20"/>
      <c r="L755" s="20"/>
      <c r="M755" s="41" t="n">
        <f aca="false">E755*F755+G755*H755+I755*J755+K755*L755</f>
        <v>11.28</v>
      </c>
      <c r="N755" s="41" t="n">
        <f aca="false">Исходные!$B$15-M755</f>
        <v>0.42</v>
      </c>
      <c r="O755" s="55" t="n">
        <v>19</v>
      </c>
      <c r="P755" s="53" t="n">
        <f aca="false">(F755+H755+J755+L755)*O755</f>
        <v>190</v>
      </c>
      <c r="Q755" s="74" t="n">
        <f aca="false">M755*O755</f>
        <v>214.32</v>
      </c>
      <c r="R755" s="74" t="n">
        <f aca="false">N755*O755</f>
        <v>7.98</v>
      </c>
    </row>
    <row r="756" customFormat="false" ht="15" hidden="false" customHeight="false" outlineLevel="0" collapsed="false">
      <c r="A756" s="53" t="n">
        <v>4</v>
      </c>
      <c r="B756" s="53" t="n">
        <v>10</v>
      </c>
      <c r="C756" s="76" t="s">
        <v>512</v>
      </c>
      <c r="D756" s="53" t="n">
        <v>38</v>
      </c>
      <c r="E756" s="73" t="n">
        <v>1.25</v>
      </c>
      <c r="F756" s="55" t="n">
        <v>9</v>
      </c>
      <c r="G756" s="20"/>
      <c r="H756" s="20"/>
      <c r="I756" s="20"/>
      <c r="J756" s="20"/>
      <c r="K756" s="20"/>
      <c r="L756" s="20"/>
      <c r="M756" s="41" t="n">
        <f aca="false">E756*F756+G756*H756+I756*J756+K756*L756</f>
        <v>11.25</v>
      </c>
      <c r="N756" s="41" t="n">
        <f aca="false">Исходные!$B$15-M756</f>
        <v>0.449999999999999</v>
      </c>
      <c r="O756" s="55" t="n">
        <v>8</v>
      </c>
      <c r="P756" s="53" t="n">
        <f aca="false">(F756+H756+J756+L756)*O756</f>
        <v>72</v>
      </c>
      <c r="Q756" s="74" t="n">
        <f aca="false">M756*O756</f>
        <v>90</v>
      </c>
      <c r="R756" s="74" t="n">
        <f aca="false">N756*O756</f>
        <v>3.59999999999999</v>
      </c>
    </row>
    <row r="757" customFormat="false" ht="15" hidden="false" customHeight="false" outlineLevel="0" collapsed="false">
      <c r="A757" s="53" t="n">
        <v>4</v>
      </c>
      <c r="B757" s="53" t="n">
        <v>10</v>
      </c>
      <c r="C757" s="76" t="s">
        <v>512</v>
      </c>
      <c r="D757" s="53" t="n">
        <v>39</v>
      </c>
      <c r="E757" s="73" t="n">
        <v>9.18</v>
      </c>
      <c r="F757" s="55" t="n">
        <v>1</v>
      </c>
      <c r="G757" s="73" t="n">
        <v>2</v>
      </c>
      <c r="H757" s="55" t="n">
        <v>1</v>
      </c>
      <c r="I757" s="20"/>
      <c r="J757" s="20"/>
      <c r="K757" s="20"/>
      <c r="L757" s="20"/>
      <c r="M757" s="41" t="n">
        <f aca="false">E757*F757+G757*H757+I757*J757+K757*L757</f>
        <v>11.18</v>
      </c>
      <c r="N757" s="41" t="n">
        <f aca="false">Исходные!$B$15-M757</f>
        <v>0.52</v>
      </c>
      <c r="O757" s="55" t="n">
        <v>25</v>
      </c>
      <c r="P757" s="53" t="n">
        <f aca="false">(F757+H757+J757+L757)*O757</f>
        <v>50</v>
      </c>
      <c r="Q757" s="74" t="n">
        <f aca="false">M757*O757</f>
        <v>279.5</v>
      </c>
      <c r="R757" s="74" t="n">
        <f aca="false">N757*O757</f>
        <v>13</v>
      </c>
    </row>
    <row r="758" customFormat="false" ht="15" hidden="false" customHeight="false" outlineLevel="0" collapsed="false">
      <c r="A758" s="53" t="n">
        <v>4</v>
      </c>
      <c r="B758" s="53" t="n">
        <v>10</v>
      </c>
      <c r="C758" s="76" t="s">
        <v>512</v>
      </c>
      <c r="D758" s="53" t="n">
        <v>40</v>
      </c>
      <c r="E758" s="73" t="n">
        <v>1.95</v>
      </c>
      <c r="F758" s="55" t="n">
        <v>2</v>
      </c>
      <c r="G758" s="73" t="n">
        <v>1.45</v>
      </c>
      <c r="H758" s="55" t="n">
        <v>5</v>
      </c>
      <c r="I758" s="20"/>
      <c r="J758" s="20"/>
      <c r="K758" s="20"/>
      <c r="L758" s="20"/>
      <c r="M758" s="41" t="n">
        <f aca="false">E758*F758+G758*H758+I758*J758+K758*L758</f>
        <v>11.15</v>
      </c>
      <c r="N758" s="41" t="n">
        <f aca="false">Исходные!$B$15-M758</f>
        <v>0.549999999999999</v>
      </c>
      <c r="O758" s="55" t="n">
        <v>1</v>
      </c>
      <c r="P758" s="53" t="n">
        <f aca="false">(F758+H758+J758+L758)*O758</f>
        <v>7</v>
      </c>
      <c r="Q758" s="74" t="n">
        <f aca="false">M758*O758</f>
        <v>11.15</v>
      </c>
      <c r="R758" s="74" t="n">
        <f aca="false">N758*O758</f>
        <v>0.549999999999999</v>
      </c>
    </row>
    <row r="759" customFormat="false" ht="15" hidden="false" customHeight="false" outlineLevel="0" collapsed="false">
      <c r="A759" s="53" t="n">
        <v>4</v>
      </c>
      <c r="B759" s="53" t="n">
        <v>10</v>
      </c>
      <c r="C759" s="76" t="s">
        <v>512</v>
      </c>
      <c r="D759" s="53" t="n">
        <v>41</v>
      </c>
      <c r="E759" s="73" t="n">
        <v>0.57</v>
      </c>
      <c r="F759" s="55" t="n">
        <v>12</v>
      </c>
      <c r="G759" s="20"/>
      <c r="H759" s="20"/>
      <c r="I759" s="20"/>
      <c r="J759" s="20"/>
      <c r="K759" s="20"/>
      <c r="L759" s="20"/>
      <c r="M759" s="41" t="n">
        <f aca="false">E759*F759+G759*H759+I759*J759+K759*L759</f>
        <v>6.84</v>
      </c>
      <c r="N759" s="41" t="n">
        <f aca="false">Исходные!$B$15-M759</f>
        <v>4.86</v>
      </c>
      <c r="O759" s="55" t="n">
        <v>1</v>
      </c>
      <c r="P759" s="53" t="n">
        <f aca="false">(F759+H759+J759+L759)*O759</f>
        <v>12</v>
      </c>
      <c r="Q759" s="74" t="n">
        <f aca="false">M759*O759</f>
        <v>6.84</v>
      </c>
      <c r="R759" s="74" t="n">
        <f aca="false">N759*O759</f>
        <v>4.86</v>
      </c>
    </row>
    <row r="760" customFormat="false" ht="15" hidden="false" customHeight="false" outlineLevel="0" collapsed="false">
      <c r="A760" s="53" t="n">
        <v>4</v>
      </c>
      <c r="B760" s="53" t="n">
        <v>16</v>
      </c>
      <c r="C760" s="76" t="s">
        <v>546</v>
      </c>
      <c r="D760" s="53" t="n">
        <v>1</v>
      </c>
      <c r="E760" s="73" t="n">
        <v>0.42</v>
      </c>
      <c r="F760" s="55" t="n">
        <v>2</v>
      </c>
      <c r="G760" s="20"/>
      <c r="H760" s="20"/>
      <c r="I760" s="20"/>
      <c r="J760" s="20"/>
      <c r="K760" s="20"/>
      <c r="L760" s="20"/>
      <c r="M760" s="41" t="n">
        <f aca="false">E760*F760+G760*H760+I760*J760+K760*L760</f>
        <v>0.84</v>
      </c>
      <c r="N760" s="41" t="n">
        <f aca="false">Исходные!$B$15-M760</f>
        <v>10.86</v>
      </c>
      <c r="O760" s="55" t="n">
        <v>1</v>
      </c>
      <c r="P760" s="53" t="n">
        <f aca="false">(F760+H760+J760+L760)*O760</f>
        <v>2</v>
      </c>
      <c r="Q760" s="74" t="n">
        <f aca="false">M760*O760</f>
        <v>0.84</v>
      </c>
      <c r="R760" s="74" t="n">
        <f aca="false">N760*O760</f>
        <v>10.86</v>
      </c>
    </row>
    <row r="761" customFormat="false" ht="15" hidden="false" customHeight="false" outlineLevel="0" collapsed="false">
      <c r="A761" s="53" t="n">
        <v>4</v>
      </c>
      <c r="B761" s="53" t="n">
        <v>10</v>
      </c>
      <c r="C761" s="76" t="s">
        <v>546</v>
      </c>
      <c r="D761" s="53" t="n">
        <v>1</v>
      </c>
      <c r="E761" s="73" t="n">
        <v>0.7</v>
      </c>
      <c r="F761" s="55" t="n">
        <v>13</v>
      </c>
      <c r="G761" s="73" t="n">
        <v>0.52</v>
      </c>
      <c r="H761" s="55" t="n">
        <v>5</v>
      </c>
      <c r="I761" s="20"/>
      <c r="J761" s="20"/>
      <c r="K761" s="20"/>
      <c r="L761" s="20"/>
      <c r="M761" s="41" t="n">
        <f aca="false">E761*F761+G761*H761+I761*J761+K761*L761</f>
        <v>11.7</v>
      </c>
      <c r="N761" s="41" t="n">
        <f aca="false">Исходные!$B$15-M761</f>
        <v>0</v>
      </c>
      <c r="O761" s="55" t="n">
        <v>1</v>
      </c>
      <c r="P761" s="53" t="n">
        <f aca="false">(F761+H761+J761+L761)*O761</f>
        <v>18</v>
      </c>
      <c r="Q761" s="74" t="n">
        <f aca="false">M761*O761</f>
        <v>11.7</v>
      </c>
      <c r="R761" s="74" t="n">
        <f aca="false">N761*O761</f>
        <v>0</v>
      </c>
    </row>
    <row r="762" customFormat="false" ht="15" hidden="false" customHeight="false" outlineLevel="0" collapsed="false">
      <c r="A762" s="53" t="n">
        <v>4</v>
      </c>
      <c r="B762" s="53" t="n">
        <v>10</v>
      </c>
      <c r="C762" s="76" t="s">
        <v>546</v>
      </c>
      <c r="D762" s="53" t="n">
        <v>2</v>
      </c>
      <c r="E762" s="73" t="n">
        <v>2.06</v>
      </c>
      <c r="F762" s="55" t="n">
        <v>2</v>
      </c>
      <c r="G762" s="73" t="n">
        <v>1.6</v>
      </c>
      <c r="H762" s="55" t="n">
        <v>4</v>
      </c>
      <c r="I762" s="73" t="n">
        <v>0.7</v>
      </c>
      <c r="J762" s="55" t="n">
        <v>1</v>
      </c>
      <c r="K762" s="73" t="n">
        <v>0.42</v>
      </c>
      <c r="L762" s="55" t="n">
        <v>1</v>
      </c>
      <c r="M762" s="41" t="n">
        <f aca="false">E762*F762+G762*H762+I762*J762+K762*L762</f>
        <v>11.64</v>
      </c>
      <c r="N762" s="41" t="n">
        <f aca="false">Исходные!$B$15-M762</f>
        <v>0.0600000000000005</v>
      </c>
      <c r="O762" s="55" t="n">
        <v>1</v>
      </c>
      <c r="P762" s="53" t="n">
        <f aca="false">(F762+H762+J762+L762)*O762</f>
        <v>8</v>
      </c>
      <c r="Q762" s="74" t="n">
        <f aca="false">M762*O762</f>
        <v>11.64</v>
      </c>
      <c r="R762" s="74" t="n">
        <f aca="false">N762*O762</f>
        <v>0.0600000000000005</v>
      </c>
    </row>
    <row r="763" customFormat="false" ht="15" hidden="false" customHeight="false" outlineLevel="0" collapsed="false">
      <c r="A763" s="53" t="n">
        <v>4</v>
      </c>
      <c r="B763" s="53" t="n">
        <v>10</v>
      </c>
      <c r="C763" s="76" t="s">
        <v>546</v>
      </c>
      <c r="D763" s="53" t="n">
        <v>3</v>
      </c>
      <c r="E763" s="73" t="n">
        <v>2.06</v>
      </c>
      <c r="F763" s="55" t="n">
        <v>5</v>
      </c>
      <c r="G763" s="73" t="n">
        <v>1.33</v>
      </c>
      <c r="H763" s="55" t="n">
        <v>1</v>
      </c>
      <c r="I763" s="20"/>
      <c r="J763" s="20"/>
      <c r="K763" s="20"/>
      <c r="L763" s="20"/>
      <c r="M763" s="41" t="n">
        <f aca="false">E763*F763+G763*H763+I763*J763+K763*L763</f>
        <v>11.63</v>
      </c>
      <c r="N763" s="41" t="n">
        <f aca="false">Исходные!$B$15-M763</f>
        <v>0.0699999999999985</v>
      </c>
      <c r="O763" s="55" t="n">
        <v>128</v>
      </c>
      <c r="P763" s="53" t="n">
        <f aca="false">(F763+H763+J763+L763)*O763</f>
        <v>768</v>
      </c>
      <c r="Q763" s="74" t="n">
        <f aca="false">M763*O763</f>
        <v>1488.64</v>
      </c>
      <c r="R763" s="74" t="n">
        <f aca="false">N763*O763</f>
        <v>8.95999999999981</v>
      </c>
    </row>
    <row r="764" customFormat="false" ht="15" hidden="false" customHeight="false" outlineLevel="0" collapsed="false">
      <c r="A764" s="53" t="n">
        <v>4</v>
      </c>
      <c r="B764" s="53" t="n">
        <v>10</v>
      </c>
      <c r="C764" s="76" t="s">
        <v>546</v>
      </c>
      <c r="D764" s="53" t="n">
        <v>4</v>
      </c>
      <c r="E764" s="73" t="n">
        <v>1.6</v>
      </c>
      <c r="F764" s="55" t="n">
        <v>6</v>
      </c>
      <c r="G764" s="73" t="n">
        <v>1.33</v>
      </c>
      <c r="H764" s="55" t="n">
        <v>1</v>
      </c>
      <c r="I764" s="73" t="n">
        <v>0.7</v>
      </c>
      <c r="J764" s="55" t="n">
        <v>1</v>
      </c>
      <c r="K764" s="20"/>
      <c r="L764" s="20"/>
      <c r="M764" s="41" t="n">
        <f aca="false">E764*F764+G764*H764+I764*J764+K764*L764</f>
        <v>11.63</v>
      </c>
      <c r="N764" s="41" t="n">
        <f aca="false">Исходные!$B$15-M764</f>
        <v>0.0699999999999985</v>
      </c>
      <c r="O764" s="55" t="n">
        <v>1</v>
      </c>
      <c r="P764" s="53" t="n">
        <f aca="false">(F764+H764+J764+L764)*O764</f>
        <v>8</v>
      </c>
      <c r="Q764" s="74" t="n">
        <f aca="false">M764*O764</f>
        <v>11.63</v>
      </c>
      <c r="R764" s="74" t="n">
        <f aca="false">N764*O764</f>
        <v>0.0699999999999985</v>
      </c>
    </row>
    <row r="765" customFormat="false" ht="15" hidden="false" customHeight="false" outlineLevel="0" collapsed="false">
      <c r="A765" s="53" t="n">
        <v>4</v>
      </c>
      <c r="B765" s="53" t="n">
        <v>10</v>
      </c>
      <c r="C765" s="76" t="s">
        <v>546</v>
      </c>
      <c r="D765" s="53" t="n">
        <v>5</v>
      </c>
      <c r="E765" s="73" t="n">
        <v>1.6</v>
      </c>
      <c r="F765" s="55" t="n">
        <v>7</v>
      </c>
      <c r="G765" s="73" t="n">
        <v>0.42</v>
      </c>
      <c r="H765" s="55" t="n">
        <v>1</v>
      </c>
      <c r="I765" s="20"/>
      <c r="J765" s="20"/>
      <c r="K765" s="20"/>
      <c r="L765" s="20"/>
      <c r="M765" s="41" t="n">
        <f aca="false">E765*F765+G765*H765+I765*J765+K765*L765</f>
        <v>11.62</v>
      </c>
      <c r="N765" s="41" t="n">
        <f aca="false">Исходные!$B$15-M765</f>
        <v>0.0799999999999983</v>
      </c>
      <c r="O765" s="55" t="n">
        <v>46</v>
      </c>
      <c r="P765" s="53" t="n">
        <f aca="false">(F765+H765+J765+L765)*O765</f>
        <v>368</v>
      </c>
      <c r="Q765" s="74" t="n">
        <f aca="false">M765*O765</f>
        <v>534.52</v>
      </c>
      <c r="R765" s="74" t="n">
        <f aca="false">N765*O765</f>
        <v>3.67999999999992</v>
      </c>
    </row>
    <row r="766" customFormat="false" ht="15" hidden="false" customHeight="false" outlineLevel="0" collapsed="false">
      <c r="A766" s="53" t="n">
        <v>4</v>
      </c>
      <c r="B766" s="53" t="n">
        <v>10</v>
      </c>
      <c r="C766" s="76" t="s">
        <v>546</v>
      </c>
      <c r="D766" s="53" t="n">
        <v>6</v>
      </c>
      <c r="E766" s="73" t="n">
        <v>0.7</v>
      </c>
      <c r="F766" s="55" t="n">
        <v>16</v>
      </c>
      <c r="G766" s="73" t="n">
        <v>0.42</v>
      </c>
      <c r="H766" s="55" t="n">
        <v>1</v>
      </c>
      <c r="I766" s="20"/>
      <c r="J766" s="20"/>
      <c r="K766" s="20"/>
      <c r="L766" s="20"/>
      <c r="M766" s="41" t="n">
        <f aca="false">E766*F766+G766*H766+I766*J766+K766*L766</f>
        <v>11.62</v>
      </c>
      <c r="N766" s="41" t="n">
        <f aca="false">Исходные!$B$15-M766</f>
        <v>0.0800000000000001</v>
      </c>
      <c r="O766" s="55" t="n">
        <v>6</v>
      </c>
      <c r="P766" s="53" t="n">
        <f aca="false">(F766+H766+J766+L766)*O766</f>
        <v>102</v>
      </c>
      <c r="Q766" s="74" t="n">
        <f aca="false">M766*O766</f>
        <v>69.72</v>
      </c>
      <c r="R766" s="74" t="n">
        <f aca="false">N766*O766</f>
        <v>0.48</v>
      </c>
    </row>
    <row r="767" customFormat="false" ht="15" hidden="false" customHeight="false" outlineLevel="0" collapsed="false">
      <c r="A767" s="53" t="n">
        <v>4</v>
      </c>
      <c r="B767" s="53" t="n">
        <v>10</v>
      </c>
      <c r="C767" s="76" t="s">
        <v>546</v>
      </c>
      <c r="D767" s="53" t="n">
        <v>7</v>
      </c>
      <c r="E767" s="73" t="n">
        <v>0.52</v>
      </c>
      <c r="F767" s="55" t="n">
        <v>22</v>
      </c>
      <c r="G767" s="20"/>
      <c r="H767" s="20"/>
      <c r="I767" s="20"/>
      <c r="J767" s="20"/>
      <c r="K767" s="20"/>
      <c r="L767" s="20"/>
      <c r="M767" s="41" t="n">
        <f aca="false">E767*F767+G767*H767+I767*J767+K767*L767</f>
        <v>11.44</v>
      </c>
      <c r="N767" s="41" t="n">
        <f aca="false">Исходные!$B$15-M767</f>
        <v>0.259999999999998</v>
      </c>
      <c r="O767" s="55" t="n">
        <v>7</v>
      </c>
      <c r="P767" s="53" t="n">
        <f aca="false">(F767+H767+J767+L767)*O767</f>
        <v>154</v>
      </c>
      <c r="Q767" s="74" t="n">
        <f aca="false">M767*O767</f>
        <v>80.08</v>
      </c>
      <c r="R767" s="74" t="n">
        <f aca="false">N767*O767</f>
        <v>1.81999999999999</v>
      </c>
    </row>
    <row r="768" customFormat="false" ht="15" hidden="false" customHeight="false" outlineLevel="0" collapsed="false">
      <c r="A768" s="53" t="n">
        <v>4</v>
      </c>
      <c r="B768" s="53" t="n">
        <v>10</v>
      </c>
      <c r="C768" s="76" t="s">
        <v>546</v>
      </c>
      <c r="D768" s="53" t="n">
        <v>8</v>
      </c>
      <c r="E768" s="73" t="n">
        <v>1.33</v>
      </c>
      <c r="F768" s="55" t="n">
        <v>7</v>
      </c>
      <c r="G768" s="73" t="n">
        <v>0.7</v>
      </c>
      <c r="H768" s="55" t="n">
        <v>3</v>
      </c>
      <c r="I768" s="20"/>
      <c r="J768" s="20"/>
      <c r="K768" s="20"/>
      <c r="L768" s="20"/>
      <c r="M768" s="41" t="n">
        <f aca="false">E768*F768+G768*H768+I768*J768+K768*L768</f>
        <v>11.41</v>
      </c>
      <c r="N768" s="41" t="n">
        <f aca="false">Исходные!$B$15-M768</f>
        <v>0.289999999999999</v>
      </c>
      <c r="O768" s="55" t="n">
        <v>1</v>
      </c>
      <c r="P768" s="53" t="n">
        <f aca="false">(F768+H768+J768+L768)*O768</f>
        <v>10</v>
      </c>
      <c r="Q768" s="74" t="n">
        <f aca="false">M768*O768</f>
        <v>11.41</v>
      </c>
      <c r="R768" s="74" t="n">
        <f aca="false">N768*O768</f>
        <v>0.289999999999999</v>
      </c>
    </row>
    <row r="769" customFormat="false" ht="15" hidden="false" customHeight="false" outlineLevel="0" collapsed="false">
      <c r="A769" s="53" t="n">
        <v>4</v>
      </c>
      <c r="B769" s="53" t="n">
        <v>10</v>
      </c>
      <c r="C769" s="76" t="s">
        <v>546</v>
      </c>
      <c r="D769" s="53" t="n">
        <v>9</v>
      </c>
      <c r="E769" s="73" t="n">
        <v>0.52</v>
      </c>
      <c r="F769" s="55" t="n">
        <v>17</v>
      </c>
      <c r="G769" s="73" t="n">
        <v>0.42</v>
      </c>
      <c r="H769" s="55" t="n">
        <v>6</v>
      </c>
      <c r="I769" s="20"/>
      <c r="J769" s="20"/>
      <c r="K769" s="20"/>
      <c r="L769" s="20"/>
      <c r="M769" s="41" t="n">
        <f aca="false">E769*F769+G769*H769+I769*J769+K769*L769</f>
        <v>11.36</v>
      </c>
      <c r="N769" s="41" t="n">
        <f aca="false">Исходные!$B$15-M769</f>
        <v>0.34</v>
      </c>
      <c r="O769" s="55" t="n">
        <v>1</v>
      </c>
      <c r="P769" s="53" t="n">
        <f aca="false">(F769+H769+J769+L769)*O769</f>
        <v>23</v>
      </c>
      <c r="Q769" s="74" t="n">
        <f aca="false">M769*O769</f>
        <v>11.36</v>
      </c>
      <c r="R769" s="74" t="n">
        <f aca="false">N769*O769</f>
        <v>0.34</v>
      </c>
    </row>
    <row r="770" customFormat="false" ht="15" hidden="false" customHeight="false" outlineLevel="0" collapsed="false">
      <c r="A770" s="53" t="n">
        <v>4</v>
      </c>
      <c r="B770" s="53" t="n">
        <v>10</v>
      </c>
      <c r="C770" s="76" t="s">
        <v>546</v>
      </c>
      <c r="D770" s="53" t="n">
        <v>10</v>
      </c>
      <c r="E770" s="73" t="n">
        <v>1.33</v>
      </c>
      <c r="F770" s="55" t="n">
        <v>8</v>
      </c>
      <c r="G770" s="73" t="n">
        <v>0.7</v>
      </c>
      <c r="H770" s="55" t="n">
        <v>1</v>
      </c>
      <c r="I770" s="20"/>
      <c r="J770" s="20"/>
      <c r="K770" s="20"/>
      <c r="L770" s="20"/>
      <c r="M770" s="41" t="n">
        <f aca="false">E770*F770+G770*H770+I770*J770+K770*L770</f>
        <v>11.34</v>
      </c>
      <c r="N770" s="41" t="n">
        <f aca="false">Исходные!$B$15-M770</f>
        <v>0.359999999999999</v>
      </c>
      <c r="O770" s="55" t="n">
        <v>5</v>
      </c>
      <c r="P770" s="53" t="n">
        <f aca="false">(F770+H770+J770+L770)*O770</f>
        <v>45</v>
      </c>
      <c r="Q770" s="74" t="n">
        <f aca="false">M770*O770</f>
        <v>56.7</v>
      </c>
      <c r="R770" s="74" t="n">
        <f aca="false">N770*O770</f>
        <v>1.8</v>
      </c>
    </row>
    <row r="771" customFormat="false" ht="15" hidden="false" customHeight="false" outlineLevel="0" collapsed="false">
      <c r="A771" s="53" t="n">
        <v>4</v>
      </c>
      <c r="B771" s="53" t="n">
        <v>10</v>
      </c>
      <c r="C771" s="76" t="s">
        <v>546</v>
      </c>
      <c r="D771" s="53" t="n">
        <v>11</v>
      </c>
      <c r="E771" s="73" t="n">
        <v>0.42</v>
      </c>
      <c r="F771" s="55" t="n">
        <v>27</v>
      </c>
      <c r="G771" s="20"/>
      <c r="H771" s="20"/>
      <c r="I771" s="20"/>
      <c r="J771" s="20"/>
      <c r="K771" s="20"/>
      <c r="L771" s="20"/>
      <c r="M771" s="41" t="n">
        <f aca="false">E771*F771+G771*H771+I771*J771+K771*L771</f>
        <v>11.34</v>
      </c>
      <c r="N771" s="41" t="n">
        <f aca="false">Исходные!$B$15-M771</f>
        <v>0.359999999999999</v>
      </c>
      <c r="O771" s="55" t="n">
        <v>29</v>
      </c>
      <c r="P771" s="53" t="n">
        <f aca="false">(F771+H771+J771+L771)*O771</f>
        <v>783</v>
      </c>
      <c r="Q771" s="74" t="n">
        <f aca="false">M771*O771</f>
        <v>328.86</v>
      </c>
      <c r="R771" s="74" t="n">
        <f aca="false">N771*O771</f>
        <v>10.44</v>
      </c>
    </row>
    <row r="772" customFormat="false" ht="15" hidden="false" customHeight="false" outlineLevel="0" collapsed="false">
      <c r="A772" s="53" t="n">
        <v>4</v>
      </c>
      <c r="B772" s="53" t="n">
        <v>10</v>
      </c>
      <c r="C772" s="76" t="s">
        <v>546</v>
      </c>
      <c r="D772" s="53" t="n">
        <v>12</v>
      </c>
      <c r="E772" s="73" t="n">
        <v>0.42</v>
      </c>
      <c r="F772" s="55" t="n">
        <v>5</v>
      </c>
      <c r="G772" s="20"/>
      <c r="H772" s="20"/>
      <c r="I772" s="20"/>
      <c r="J772" s="20"/>
      <c r="K772" s="20"/>
      <c r="L772" s="20"/>
      <c r="M772" s="41" t="n">
        <f aca="false">E772*F772+G772*H772+I772*J772+K772*L772</f>
        <v>2.1</v>
      </c>
      <c r="N772" s="41" t="n">
        <f aca="false">Исходные!$B$15-M772</f>
        <v>9.6</v>
      </c>
      <c r="O772" s="55" t="n">
        <v>1</v>
      </c>
      <c r="P772" s="53" t="n">
        <f aca="false">(F772+H772+J772+L772)*O772</f>
        <v>5</v>
      </c>
      <c r="Q772" s="74" t="n">
        <f aca="false">M772*O772</f>
        <v>2.1</v>
      </c>
      <c r="R772" s="74" t="n">
        <f aca="false">N772*O772</f>
        <v>9.6</v>
      </c>
    </row>
    <row r="773" customFormat="false" ht="15" hidden="false" customHeight="false" outlineLevel="0" collapsed="false">
      <c r="A773" s="53" t="n">
        <v>4</v>
      </c>
      <c r="B773" s="53" t="n">
        <v>8</v>
      </c>
      <c r="C773" s="76" t="s">
        <v>546</v>
      </c>
      <c r="D773" s="53" t="n">
        <v>1</v>
      </c>
      <c r="E773" s="73" t="n">
        <v>0.75</v>
      </c>
      <c r="F773" s="55" t="n">
        <v>4</v>
      </c>
      <c r="G773" s="73" t="n">
        <v>0.58</v>
      </c>
      <c r="H773" s="55" t="n">
        <v>15</v>
      </c>
      <c r="I773" s="20"/>
      <c r="J773" s="20"/>
      <c r="K773" s="20"/>
      <c r="L773" s="20"/>
      <c r="M773" s="41" t="n">
        <f aca="false">E773*F773+G773*H773+I773*J773+K773*L773</f>
        <v>11.7</v>
      </c>
      <c r="N773" s="41" t="n">
        <f aca="false">Исходные!$B$15-M773</f>
        <v>0</v>
      </c>
      <c r="O773" s="55" t="n">
        <v>1</v>
      </c>
      <c r="P773" s="53" t="n">
        <f aca="false">(F773+H773+J773+L773)*O773</f>
        <v>19</v>
      </c>
      <c r="Q773" s="74" t="n">
        <f aca="false">M773*O773</f>
        <v>11.7</v>
      </c>
      <c r="R773" s="74" t="n">
        <f aca="false">N773*O773</f>
        <v>0</v>
      </c>
    </row>
    <row r="774" customFormat="false" ht="15" hidden="false" customHeight="false" outlineLevel="0" collapsed="false">
      <c r="A774" s="53" t="n">
        <v>4</v>
      </c>
      <c r="B774" s="53" t="n">
        <v>8</v>
      </c>
      <c r="C774" s="76" t="s">
        <v>546</v>
      </c>
      <c r="D774" s="53" t="n">
        <v>2</v>
      </c>
      <c r="E774" s="73" t="n">
        <v>1.24</v>
      </c>
      <c r="F774" s="55" t="n">
        <v>9</v>
      </c>
      <c r="G774" s="73" t="n">
        <v>0.53</v>
      </c>
      <c r="H774" s="55" t="n">
        <v>1</v>
      </c>
      <c r="I774" s="20"/>
      <c r="J774" s="20"/>
      <c r="K774" s="20"/>
      <c r="L774" s="20"/>
      <c r="M774" s="41" t="n">
        <f aca="false">E774*F774+G774*H774+I774*J774+K774*L774</f>
        <v>11.69</v>
      </c>
      <c r="N774" s="41" t="n">
        <f aca="false">Исходные!$B$15-M774</f>
        <v>0.00999999999999979</v>
      </c>
      <c r="O774" s="55" t="n">
        <v>85</v>
      </c>
      <c r="P774" s="53" t="n">
        <f aca="false">(F774+H774+J774+L774)*O774</f>
        <v>850</v>
      </c>
      <c r="Q774" s="74" t="n">
        <f aca="false">M774*O774</f>
        <v>993.65</v>
      </c>
      <c r="R774" s="74" t="n">
        <f aca="false">N774*O774</f>
        <v>0.849999999999982</v>
      </c>
    </row>
    <row r="775" customFormat="false" ht="15" hidden="false" customHeight="false" outlineLevel="0" collapsed="false">
      <c r="A775" s="53" t="n">
        <v>4</v>
      </c>
      <c r="B775" s="53" t="n">
        <v>8</v>
      </c>
      <c r="C775" s="76" t="s">
        <v>546</v>
      </c>
      <c r="D775" s="53" t="n">
        <v>3</v>
      </c>
      <c r="E775" s="73" t="n">
        <v>0.75</v>
      </c>
      <c r="F775" s="55" t="n">
        <v>15</v>
      </c>
      <c r="G775" s="73" t="n">
        <v>0.22</v>
      </c>
      <c r="H775" s="55" t="n">
        <v>2</v>
      </c>
      <c r="I775" s="20"/>
      <c r="J775" s="20"/>
      <c r="K775" s="20"/>
      <c r="L775" s="20"/>
      <c r="M775" s="41" t="n">
        <f aca="false">E775*F775+G775*H775+I775*J775+K775*L775</f>
        <v>11.69</v>
      </c>
      <c r="N775" s="41" t="n">
        <f aca="false">Исходные!$B$15-M775</f>
        <v>0.00999999999999979</v>
      </c>
      <c r="O775" s="55" t="n">
        <v>49</v>
      </c>
      <c r="P775" s="53" t="n">
        <f aca="false">(F775+H775+J775+L775)*O775</f>
        <v>833</v>
      </c>
      <c r="Q775" s="74" t="n">
        <f aca="false">M775*O775</f>
        <v>572.81</v>
      </c>
      <c r="R775" s="74" t="n">
        <f aca="false">N775*O775</f>
        <v>0.48999999999999</v>
      </c>
    </row>
    <row r="776" customFormat="false" ht="15" hidden="false" customHeight="false" outlineLevel="0" collapsed="false">
      <c r="A776" s="53" t="n">
        <v>4</v>
      </c>
      <c r="B776" s="53" t="n">
        <v>8</v>
      </c>
      <c r="C776" s="76" t="s">
        <v>546</v>
      </c>
      <c r="D776" s="53" t="n">
        <v>4</v>
      </c>
      <c r="E776" s="73" t="n">
        <v>1.04</v>
      </c>
      <c r="F776" s="55" t="n">
        <v>10</v>
      </c>
      <c r="G776" s="73" t="n">
        <v>0.75</v>
      </c>
      <c r="H776" s="55" t="n">
        <v>1</v>
      </c>
      <c r="I776" s="73" t="n">
        <v>0.53</v>
      </c>
      <c r="J776" s="55" t="n">
        <v>1</v>
      </c>
      <c r="K776" s="20"/>
      <c r="L776" s="20"/>
      <c r="M776" s="41" t="n">
        <f aca="false">E776*F776+G776*H776+I776*J776+K776*L776</f>
        <v>11.68</v>
      </c>
      <c r="N776" s="41" t="n">
        <f aca="false">Исходные!$B$15-M776</f>
        <v>0.0199999999999996</v>
      </c>
      <c r="O776" s="55" t="n">
        <v>1</v>
      </c>
      <c r="P776" s="53" t="n">
        <f aca="false">(F776+H776+J776+L776)*O776</f>
        <v>12</v>
      </c>
      <c r="Q776" s="74" t="n">
        <f aca="false">M776*O776</f>
        <v>11.68</v>
      </c>
      <c r="R776" s="74" t="n">
        <f aca="false">N776*O776</f>
        <v>0.0199999999999996</v>
      </c>
    </row>
    <row r="777" customFormat="false" ht="15" hidden="false" customHeight="false" outlineLevel="0" collapsed="false">
      <c r="A777" s="53" t="n">
        <v>4</v>
      </c>
      <c r="B777" s="53" t="n">
        <v>8</v>
      </c>
      <c r="C777" s="76" t="s">
        <v>546</v>
      </c>
      <c r="D777" s="53" t="n">
        <v>5</v>
      </c>
      <c r="E777" s="73" t="n">
        <v>0.58</v>
      </c>
      <c r="F777" s="55" t="n">
        <v>2</v>
      </c>
      <c r="G777" s="73" t="n">
        <v>0.53</v>
      </c>
      <c r="H777" s="55" t="n">
        <v>19</v>
      </c>
      <c r="I777" s="73" t="n">
        <v>0.22</v>
      </c>
      <c r="J777" s="55" t="n">
        <v>2</v>
      </c>
      <c r="K777" s="20"/>
      <c r="L777" s="20"/>
      <c r="M777" s="41" t="n">
        <f aca="false">E777*F777+G777*H777+I777*J777+K777*L777</f>
        <v>11.67</v>
      </c>
      <c r="N777" s="41" t="n">
        <f aca="false">Исходные!$B$15-M777</f>
        <v>0.0299999999999994</v>
      </c>
      <c r="O777" s="55" t="n">
        <v>1</v>
      </c>
      <c r="P777" s="53" t="n">
        <f aca="false">(F777+H777+J777+L777)*O777</f>
        <v>23</v>
      </c>
      <c r="Q777" s="74" t="n">
        <f aca="false">M777*O777</f>
        <v>11.67</v>
      </c>
      <c r="R777" s="74" t="n">
        <f aca="false">N777*O777</f>
        <v>0.0299999999999994</v>
      </c>
    </row>
    <row r="778" customFormat="false" ht="15" hidden="false" customHeight="false" outlineLevel="0" collapsed="false">
      <c r="A778" s="53" t="n">
        <v>4</v>
      </c>
      <c r="B778" s="53" t="n">
        <v>8</v>
      </c>
      <c r="C778" s="76" t="s">
        <v>546</v>
      </c>
      <c r="D778" s="53" t="n">
        <v>6</v>
      </c>
      <c r="E778" s="73" t="n">
        <v>1.04</v>
      </c>
      <c r="F778" s="55" t="n">
        <v>11</v>
      </c>
      <c r="G778" s="73" t="n">
        <v>0.22</v>
      </c>
      <c r="H778" s="55" t="n">
        <v>1</v>
      </c>
      <c r="I778" s="20"/>
      <c r="J778" s="20"/>
      <c r="K778" s="20"/>
      <c r="L778" s="20"/>
      <c r="M778" s="41" t="n">
        <f aca="false">E778*F778+G778*H778+I778*J778+K778*L778</f>
        <v>11.66</v>
      </c>
      <c r="N778" s="41" t="n">
        <f aca="false">Исходные!$B$15-M778</f>
        <v>0.0399999999999974</v>
      </c>
      <c r="O778" s="55" t="n">
        <v>11</v>
      </c>
      <c r="P778" s="53" t="n">
        <f aca="false">(F778+H778+J778+L778)*O778</f>
        <v>132</v>
      </c>
      <c r="Q778" s="74" t="n">
        <f aca="false">M778*O778</f>
        <v>128.26</v>
      </c>
      <c r="R778" s="74" t="n">
        <f aca="false">N778*O778</f>
        <v>0.439999999999971</v>
      </c>
    </row>
    <row r="779" customFormat="false" ht="15" hidden="false" customHeight="false" outlineLevel="0" collapsed="false">
      <c r="A779" s="53" t="n">
        <v>4</v>
      </c>
      <c r="B779" s="53" t="n">
        <v>8</v>
      </c>
      <c r="C779" s="76" t="s">
        <v>546</v>
      </c>
      <c r="D779" s="53" t="n">
        <v>7</v>
      </c>
      <c r="E779" s="73" t="n">
        <v>0.53</v>
      </c>
      <c r="F779" s="55" t="n">
        <v>22</v>
      </c>
      <c r="G779" s="20"/>
      <c r="H779" s="20"/>
      <c r="I779" s="20"/>
      <c r="J779" s="20"/>
      <c r="K779" s="20"/>
      <c r="L779" s="20"/>
      <c r="M779" s="41" t="n">
        <f aca="false">E779*F779+G779*H779+I779*J779+K779*L779</f>
        <v>11.66</v>
      </c>
      <c r="N779" s="41" t="n">
        <f aca="false">Исходные!$B$15-M779</f>
        <v>0.0399999999999992</v>
      </c>
      <c r="O779" s="55" t="n">
        <v>7</v>
      </c>
      <c r="P779" s="53" t="n">
        <f aca="false">(F779+H779+J779+L779)*O779</f>
        <v>154</v>
      </c>
      <c r="Q779" s="74" t="n">
        <f aca="false">M779*O779</f>
        <v>81.62</v>
      </c>
      <c r="R779" s="74" t="n">
        <f aca="false">N779*O779</f>
        <v>0.279999999999994</v>
      </c>
    </row>
    <row r="780" customFormat="false" ht="15" hidden="false" customHeight="false" outlineLevel="0" collapsed="false">
      <c r="A780" s="53" t="n">
        <v>4</v>
      </c>
      <c r="B780" s="53" t="n">
        <v>8</v>
      </c>
      <c r="C780" s="76" t="s">
        <v>546</v>
      </c>
      <c r="D780" s="53" t="n">
        <v>8</v>
      </c>
      <c r="E780" s="73" t="n">
        <v>0.22</v>
      </c>
      <c r="F780" s="55" t="n">
        <v>53</v>
      </c>
      <c r="G780" s="20"/>
      <c r="H780" s="20"/>
      <c r="I780" s="20"/>
      <c r="J780" s="20"/>
      <c r="K780" s="20"/>
      <c r="L780" s="20"/>
      <c r="M780" s="41" t="n">
        <f aca="false">E780*F780+G780*H780+I780*J780+K780*L780</f>
        <v>11.66</v>
      </c>
      <c r="N780" s="41" t="n">
        <f aca="false">Исходные!$B$15-M780</f>
        <v>0.0399999999999992</v>
      </c>
      <c r="O780" s="55" t="n">
        <v>9</v>
      </c>
      <c r="P780" s="53" t="n">
        <f aca="false">(F780+H780+J780+L780)*O780</f>
        <v>477</v>
      </c>
      <c r="Q780" s="74" t="n">
        <f aca="false">M780*O780</f>
        <v>104.94</v>
      </c>
      <c r="R780" s="74" t="n">
        <f aca="false">N780*O780</f>
        <v>0.359999999999992</v>
      </c>
    </row>
    <row r="781" customFormat="false" ht="15" hidden="false" customHeight="false" outlineLevel="0" collapsed="false">
      <c r="A781" s="53" t="n">
        <v>4</v>
      </c>
      <c r="B781" s="53" t="n">
        <v>8</v>
      </c>
      <c r="C781" s="76" t="s">
        <v>546</v>
      </c>
      <c r="D781" s="53" t="n">
        <v>9</v>
      </c>
      <c r="E781" s="73" t="n">
        <v>1.24</v>
      </c>
      <c r="F781" s="55" t="n">
        <v>3</v>
      </c>
      <c r="G781" s="73" t="n">
        <v>1.16</v>
      </c>
      <c r="H781" s="55" t="n">
        <v>6</v>
      </c>
      <c r="I781" s="73" t="n">
        <v>0.75</v>
      </c>
      <c r="J781" s="55" t="n">
        <v>1</v>
      </c>
      <c r="K781" s="73" t="n">
        <v>0.22</v>
      </c>
      <c r="L781" s="55" t="n">
        <v>1</v>
      </c>
      <c r="M781" s="41" t="n">
        <f aca="false">E781*F781+G781*H781+I781*J781+K781*L781</f>
        <v>11.65</v>
      </c>
      <c r="N781" s="41" t="n">
        <f aca="false">Исходные!$B$15-M781</f>
        <v>0.0499999999999989</v>
      </c>
      <c r="O781" s="55" t="n">
        <v>1</v>
      </c>
      <c r="P781" s="53" t="n">
        <f aca="false">(F781+H781+J781+L781)*O781</f>
        <v>11</v>
      </c>
      <c r="Q781" s="74" t="n">
        <f aca="false">M781*O781</f>
        <v>11.65</v>
      </c>
      <c r="R781" s="74" t="n">
        <f aca="false">N781*O781</f>
        <v>0.0499999999999989</v>
      </c>
    </row>
    <row r="782" customFormat="false" ht="15" hidden="false" customHeight="false" outlineLevel="0" collapsed="false">
      <c r="A782" s="53" t="n">
        <v>4</v>
      </c>
      <c r="B782" s="53" t="n">
        <v>8</v>
      </c>
      <c r="C782" s="76" t="s">
        <v>546</v>
      </c>
      <c r="D782" s="53" t="n">
        <v>10</v>
      </c>
      <c r="E782" s="73" t="n">
        <v>2.44</v>
      </c>
      <c r="F782" s="55" t="n">
        <v>4</v>
      </c>
      <c r="G782" s="73" t="n">
        <v>1.44</v>
      </c>
      <c r="H782" s="55" t="n">
        <v>1</v>
      </c>
      <c r="I782" s="73" t="n">
        <v>0.22</v>
      </c>
      <c r="J782" s="55" t="n">
        <v>2</v>
      </c>
      <c r="K782" s="20"/>
      <c r="L782" s="20"/>
      <c r="M782" s="41" t="n">
        <f aca="false">E782*F782+G782*H782+I782*J782+K782*L782</f>
        <v>11.64</v>
      </c>
      <c r="N782" s="41" t="n">
        <f aca="false">Исходные!$B$15-M782</f>
        <v>0.0600000000000005</v>
      </c>
      <c r="O782" s="55" t="n">
        <v>43</v>
      </c>
      <c r="P782" s="53" t="n">
        <f aca="false">(F782+H782+J782+L782)*O782</f>
        <v>301</v>
      </c>
      <c r="Q782" s="74" t="n">
        <f aca="false">M782*O782</f>
        <v>500.52</v>
      </c>
      <c r="R782" s="74" t="n">
        <f aca="false">N782*O782</f>
        <v>2.58000000000002</v>
      </c>
    </row>
    <row r="783" customFormat="false" ht="15" hidden="false" customHeight="false" outlineLevel="0" collapsed="false">
      <c r="A783" s="53" t="n">
        <v>4</v>
      </c>
      <c r="B783" s="53" t="n">
        <v>8</v>
      </c>
      <c r="C783" s="76" t="s">
        <v>546</v>
      </c>
      <c r="D783" s="53" t="n">
        <v>11</v>
      </c>
      <c r="E783" s="73" t="n">
        <v>2.06</v>
      </c>
      <c r="F783" s="55" t="n">
        <v>4</v>
      </c>
      <c r="G783" s="73" t="n">
        <v>1.96</v>
      </c>
      <c r="H783" s="55" t="n">
        <v>1</v>
      </c>
      <c r="I783" s="73" t="n">
        <v>1.44</v>
      </c>
      <c r="J783" s="55" t="n">
        <v>1</v>
      </c>
      <c r="K783" s="20"/>
      <c r="L783" s="20"/>
      <c r="M783" s="41" t="n">
        <f aca="false">E783*F783+G783*H783+I783*J783+K783*L783</f>
        <v>11.64</v>
      </c>
      <c r="N783" s="41" t="n">
        <f aca="false">Исходные!$B$15-M783</f>
        <v>0.0600000000000005</v>
      </c>
      <c r="O783" s="55" t="n">
        <v>1</v>
      </c>
      <c r="P783" s="53" t="n">
        <f aca="false">(F783+H783+J783+L783)*O783</f>
        <v>6</v>
      </c>
      <c r="Q783" s="74" t="n">
        <f aca="false">M783*O783</f>
        <v>11.64</v>
      </c>
      <c r="R783" s="74" t="n">
        <f aca="false">N783*O783</f>
        <v>0.0600000000000005</v>
      </c>
    </row>
    <row r="784" customFormat="false" ht="15" hidden="false" customHeight="false" outlineLevel="0" collapsed="false">
      <c r="A784" s="53" t="n">
        <v>4</v>
      </c>
      <c r="B784" s="53" t="n">
        <v>8</v>
      </c>
      <c r="C784" s="76" t="s">
        <v>546</v>
      </c>
      <c r="D784" s="53" t="n">
        <v>12</v>
      </c>
      <c r="E784" s="73" t="n">
        <v>1.14</v>
      </c>
      <c r="F784" s="55" t="n">
        <v>8</v>
      </c>
      <c r="G784" s="73" t="n">
        <v>1.04</v>
      </c>
      <c r="H784" s="55" t="n">
        <v>2</v>
      </c>
      <c r="I784" s="73" t="n">
        <v>0.22</v>
      </c>
      <c r="J784" s="55" t="n">
        <v>2</v>
      </c>
      <c r="K784" s="20"/>
      <c r="L784" s="20"/>
      <c r="M784" s="41" t="n">
        <f aca="false">E784*F784+G784*H784+I784*J784+K784*L784</f>
        <v>11.64</v>
      </c>
      <c r="N784" s="41" t="n">
        <f aca="false">Исходные!$B$15-M784</f>
        <v>0.0600000000000005</v>
      </c>
      <c r="O784" s="55" t="n">
        <v>1</v>
      </c>
      <c r="P784" s="53" t="n">
        <f aca="false">(F784+H784+J784+L784)*O784</f>
        <v>12</v>
      </c>
      <c r="Q784" s="74" t="n">
        <f aca="false">M784*O784</f>
        <v>11.64</v>
      </c>
      <c r="R784" s="74" t="n">
        <f aca="false">N784*O784</f>
        <v>0.0600000000000005</v>
      </c>
    </row>
    <row r="785" customFormat="false" ht="15" hidden="false" customHeight="false" outlineLevel="0" collapsed="false">
      <c r="A785" s="53" t="n">
        <v>4</v>
      </c>
      <c r="B785" s="53" t="n">
        <v>8</v>
      </c>
      <c r="C785" s="76" t="s">
        <v>546</v>
      </c>
      <c r="D785" s="53" t="n">
        <v>13</v>
      </c>
      <c r="E785" s="73" t="n">
        <v>1.14</v>
      </c>
      <c r="F785" s="55" t="n">
        <v>10</v>
      </c>
      <c r="G785" s="73" t="n">
        <v>0.22</v>
      </c>
      <c r="H785" s="55" t="n">
        <v>1</v>
      </c>
      <c r="I785" s="20"/>
      <c r="J785" s="20"/>
      <c r="K785" s="20"/>
      <c r="L785" s="20"/>
      <c r="M785" s="41" t="n">
        <f aca="false">E785*F785+G785*H785+I785*J785+K785*L785</f>
        <v>11.62</v>
      </c>
      <c r="N785" s="41" t="n">
        <f aca="false">Исходные!$B$15-M785</f>
        <v>0.0800000000000001</v>
      </c>
      <c r="O785" s="55" t="n">
        <v>26</v>
      </c>
      <c r="P785" s="53" t="n">
        <f aca="false">(F785+H785+J785+L785)*O785</f>
        <v>286</v>
      </c>
      <c r="Q785" s="74" t="n">
        <f aca="false">M785*O785</f>
        <v>302.12</v>
      </c>
      <c r="R785" s="74" t="n">
        <f aca="false">N785*O785</f>
        <v>2.08</v>
      </c>
    </row>
    <row r="786" customFormat="false" ht="15" hidden="false" customHeight="false" outlineLevel="0" collapsed="false">
      <c r="A786" s="53" t="n">
        <v>4</v>
      </c>
      <c r="B786" s="53" t="n">
        <v>8</v>
      </c>
      <c r="C786" s="76" t="s">
        <v>546</v>
      </c>
      <c r="D786" s="53" t="n">
        <v>14</v>
      </c>
      <c r="E786" s="73" t="n">
        <v>1.16</v>
      </c>
      <c r="F786" s="55" t="n">
        <v>10</v>
      </c>
      <c r="G786" s="20"/>
      <c r="H786" s="20"/>
      <c r="I786" s="20"/>
      <c r="J786" s="20"/>
      <c r="K786" s="20"/>
      <c r="L786" s="20"/>
      <c r="M786" s="41" t="n">
        <f aca="false">E786*F786+G786*H786+I786*J786+K786*L786</f>
        <v>11.6</v>
      </c>
      <c r="N786" s="41" t="n">
        <f aca="false">Исходные!$B$15-M786</f>
        <v>0.0999999999999996</v>
      </c>
      <c r="O786" s="55" t="n">
        <v>1</v>
      </c>
      <c r="P786" s="53" t="n">
        <f aca="false">(F786+H786+J786+L786)*O786</f>
        <v>10</v>
      </c>
      <c r="Q786" s="74" t="n">
        <f aca="false">M786*O786</f>
        <v>11.6</v>
      </c>
      <c r="R786" s="74" t="n">
        <f aca="false">N786*O786</f>
        <v>0.0999999999999996</v>
      </c>
    </row>
    <row r="787" customFormat="false" ht="15" hidden="false" customHeight="false" outlineLevel="0" collapsed="false">
      <c r="A787" s="53" t="n">
        <v>4</v>
      </c>
      <c r="B787" s="53" t="n">
        <v>8</v>
      </c>
      <c r="C787" s="76" t="s">
        <v>546</v>
      </c>
      <c r="D787" s="53" t="n">
        <v>15</v>
      </c>
      <c r="E787" s="73" t="n">
        <v>0.58</v>
      </c>
      <c r="F787" s="55" t="n">
        <v>20</v>
      </c>
      <c r="G787" s="20"/>
      <c r="H787" s="20"/>
      <c r="I787" s="20"/>
      <c r="J787" s="20"/>
      <c r="K787" s="20"/>
      <c r="L787" s="20"/>
      <c r="M787" s="41" t="n">
        <f aca="false">E787*F787+G787*H787+I787*J787+K787*L787</f>
        <v>11.6</v>
      </c>
      <c r="N787" s="41" t="n">
        <f aca="false">Исходные!$B$15-M787</f>
        <v>0.0999999999999996</v>
      </c>
      <c r="O787" s="55" t="n">
        <v>26</v>
      </c>
      <c r="P787" s="53" t="n">
        <f aca="false">(F787+H787+J787+L787)*O787</f>
        <v>520</v>
      </c>
      <c r="Q787" s="74" t="n">
        <f aca="false">M787*O787</f>
        <v>301.6</v>
      </c>
      <c r="R787" s="74" t="n">
        <f aca="false">N787*O787</f>
        <v>2.59999999999999</v>
      </c>
    </row>
    <row r="788" customFormat="false" ht="15" hidden="false" customHeight="false" outlineLevel="0" collapsed="false">
      <c r="A788" s="53" t="n">
        <v>4</v>
      </c>
      <c r="B788" s="53" t="n">
        <v>8</v>
      </c>
      <c r="C788" s="76" t="s">
        <v>546</v>
      </c>
      <c r="D788" s="53" t="n">
        <v>16</v>
      </c>
      <c r="E788" s="73" t="n">
        <v>2.44</v>
      </c>
      <c r="F788" s="55" t="n">
        <v>4</v>
      </c>
      <c r="G788" s="73" t="n">
        <v>1.24</v>
      </c>
      <c r="H788" s="55" t="n">
        <v>1</v>
      </c>
      <c r="I788" s="73" t="n">
        <v>0.58</v>
      </c>
      <c r="J788" s="55" t="n">
        <v>1</v>
      </c>
      <c r="K788" s="20"/>
      <c r="L788" s="20"/>
      <c r="M788" s="41" t="n">
        <f aca="false">E788*F788+G788*H788+I788*J788+K788*L788</f>
        <v>11.58</v>
      </c>
      <c r="N788" s="41" t="n">
        <f aca="false">Исходные!$B$15-M788</f>
        <v>0.119999999999999</v>
      </c>
      <c r="O788" s="55" t="n">
        <v>48</v>
      </c>
      <c r="P788" s="53" t="n">
        <f aca="false">(F788+H788+J788+L788)*O788</f>
        <v>288</v>
      </c>
      <c r="Q788" s="74" t="n">
        <f aca="false">M788*O788</f>
        <v>555.84</v>
      </c>
      <c r="R788" s="74" t="n">
        <f aca="false">N788*O788</f>
        <v>5.75999999999996</v>
      </c>
    </row>
    <row r="789" customFormat="false" ht="15" hidden="false" customHeight="false" outlineLevel="0" collapsed="false">
      <c r="A789" s="53" t="n">
        <v>4</v>
      </c>
      <c r="B789" s="53" t="n">
        <v>8</v>
      </c>
      <c r="C789" s="76" t="s">
        <v>546</v>
      </c>
      <c r="D789" s="53" t="n">
        <v>17</v>
      </c>
      <c r="E789" s="73" t="n">
        <v>2.06</v>
      </c>
      <c r="F789" s="55" t="n">
        <v>5</v>
      </c>
      <c r="G789" s="73" t="n">
        <v>1.28</v>
      </c>
      <c r="H789" s="55" t="n">
        <v>1</v>
      </c>
      <c r="I789" s="20"/>
      <c r="J789" s="20"/>
      <c r="K789" s="20"/>
      <c r="L789" s="20"/>
      <c r="M789" s="41" t="n">
        <f aca="false">E789*F789+G789*H789+I789*J789+K789*L789</f>
        <v>11.58</v>
      </c>
      <c r="N789" s="41" t="n">
        <f aca="false">Исходные!$B$15-M789</f>
        <v>0.119999999999999</v>
      </c>
      <c r="O789" s="55" t="n">
        <v>14</v>
      </c>
      <c r="P789" s="53" t="n">
        <f aca="false">(F789+H789+J789+L789)*O789</f>
        <v>84</v>
      </c>
      <c r="Q789" s="74" t="n">
        <f aca="false">M789*O789</f>
        <v>162.12</v>
      </c>
      <c r="R789" s="74" t="n">
        <f aca="false">N789*O789</f>
        <v>1.67999999999999</v>
      </c>
    </row>
    <row r="790" customFormat="false" ht="15" hidden="false" customHeight="false" outlineLevel="0" collapsed="false">
      <c r="A790" s="53" t="n">
        <v>4</v>
      </c>
      <c r="B790" s="53" t="n">
        <v>8</v>
      </c>
      <c r="C790" s="76" t="s">
        <v>546</v>
      </c>
      <c r="D790" s="53" t="n">
        <v>18</v>
      </c>
      <c r="E790" s="73" t="n">
        <v>1.96</v>
      </c>
      <c r="F790" s="55" t="n">
        <v>5</v>
      </c>
      <c r="G790" s="73" t="n">
        <v>1.56</v>
      </c>
      <c r="H790" s="55" t="n">
        <v>1</v>
      </c>
      <c r="I790" s="73" t="n">
        <v>0.22</v>
      </c>
      <c r="J790" s="55" t="n">
        <v>1</v>
      </c>
      <c r="K790" s="20"/>
      <c r="L790" s="20"/>
      <c r="M790" s="41" t="n">
        <f aca="false">E790*F790+G790*H790+I790*J790+K790*L790</f>
        <v>11.58</v>
      </c>
      <c r="N790" s="41" t="n">
        <f aca="false">Исходные!$B$15-M790</f>
        <v>0.119999999999997</v>
      </c>
      <c r="O790" s="55" t="n">
        <v>47</v>
      </c>
      <c r="P790" s="53" t="n">
        <f aca="false">(F790+H790+J790+L790)*O790</f>
        <v>329</v>
      </c>
      <c r="Q790" s="74" t="n">
        <f aca="false">M790*O790</f>
        <v>544.26</v>
      </c>
      <c r="R790" s="74" t="n">
        <f aca="false">N790*O790</f>
        <v>5.63999999999988</v>
      </c>
    </row>
    <row r="791" customFormat="false" ht="15" hidden="false" customHeight="false" outlineLevel="0" collapsed="false">
      <c r="A791" s="53" t="n">
        <v>4</v>
      </c>
      <c r="B791" s="53" t="n">
        <v>8</v>
      </c>
      <c r="C791" s="76" t="s">
        <v>546</v>
      </c>
      <c r="D791" s="53" t="n">
        <v>19</v>
      </c>
      <c r="E791" s="73" t="n">
        <v>0.53</v>
      </c>
      <c r="F791" s="55" t="n">
        <v>21</v>
      </c>
      <c r="G791" s="73" t="n">
        <v>0.22</v>
      </c>
      <c r="H791" s="55" t="n">
        <v>2</v>
      </c>
      <c r="I791" s="20"/>
      <c r="J791" s="20"/>
      <c r="K791" s="20"/>
      <c r="L791" s="20"/>
      <c r="M791" s="41" t="n">
        <f aca="false">E791*F791+G791*H791+I791*J791+K791*L791</f>
        <v>11.57</v>
      </c>
      <c r="N791" s="41" t="n">
        <f aca="false">Исходные!$B$15-M791</f>
        <v>0.129999999999999</v>
      </c>
      <c r="O791" s="55" t="n">
        <v>1</v>
      </c>
      <c r="P791" s="53" t="n">
        <f aca="false">(F791+H791+J791+L791)*O791</f>
        <v>23</v>
      </c>
      <c r="Q791" s="74" t="n">
        <f aca="false">M791*O791</f>
        <v>11.57</v>
      </c>
      <c r="R791" s="74" t="n">
        <f aca="false">N791*O791</f>
        <v>0.129999999999999</v>
      </c>
    </row>
    <row r="792" customFormat="false" ht="15" hidden="false" customHeight="false" outlineLevel="0" collapsed="false">
      <c r="A792" s="53" t="n">
        <v>4</v>
      </c>
      <c r="B792" s="53" t="n">
        <v>8</v>
      </c>
      <c r="C792" s="76" t="s">
        <v>546</v>
      </c>
      <c r="D792" s="53" t="n">
        <v>20</v>
      </c>
      <c r="E792" s="73" t="n">
        <v>1.96</v>
      </c>
      <c r="F792" s="55" t="n">
        <v>5</v>
      </c>
      <c r="G792" s="73" t="n">
        <v>1.76</v>
      </c>
      <c r="H792" s="55" t="n">
        <v>1</v>
      </c>
      <c r="I792" s="20"/>
      <c r="J792" s="20"/>
      <c r="K792" s="20"/>
      <c r="L792" s="20"/>
      <c r="M792" s="41" t="n">
        <f aca="false">E792*F792+G792*H792+I792*J792+K792*L792</f>
        <v>11.56</v>
      </c>
      <c r="N792" s="41" t="n">
        <f aca="false">Исходные!$B$15-M792</f>
        <v>0.139999999999999</v>
      </c>
      <c r="O792" s="55" t="n">
        <v>80</v>
      </c>
      <c r="P792" s="53" t="n">
        <f aca="false">(F792+H792+J792+L792)*O792</f>
        <v>480</v>
      </c>
      <c r="Q792" s="74" t="n">
        <f aca="false">M792*O792</f>
        <v>924.8</v>
      </c>
      <c r="R792" s="74" t="n">
        <f aca="false">N792*O792</f>
        <v>11.1999999999999</v>
      </c>
    </row>
    <row r="793" customFormat="false" ht="15" hidden="false" customHeight="false" outlineLevel="0" collapsed="false">
      <c r="A793" s="53" t="n">
        <v>4</v>
      </c>
      <c r="B793" s="53" t="n">
        <v>8</v>
      </c>
      <c r="C793" s="76" t="s">
        <v>546</v>
      </c>
      <c r="D793" s="53" t="n">
        <v>21</v>
      </c>
      <c r="E793" s="73" t="n">
        <v>1.96</v>
      </c>
      <c r="F793" s="55" t="n">
        <v>4</v>
      </c>
      <c r="G793" s="73" t="n">
        <v>1.24</v>
      </c>
      <c r="H793" s="55" t="n">
        <v>3</v>
      </c>
      <c r="I793" s="20"/>
      <c r="J793" s="20"/>
      <c r="K793" s="20"/>
      <c r="L793" s="20"/>
      <c r="M793" s="41" t="n">
        <f aca="false">E793*F793+G793*H793+I793*J793+K793*L793</f>
        <v>11.56</v>
      </c>
      <c r="N793" s="41" t="n">
        <f aca="false">Исходные!$B$15-M793</f>
        <v>0.140000000000001</v>
      </c>
      <c r="O793" s="55" t="n">
        <v>1</v>
      </c>
      <c r="P793" s="53" t="n">
        <f aca="false">(F793+H793+J793+L793)*O793</f>
        <v>7</v>
      </c>
      <c r="Q793" s="74" t="n">
        <f aca="false">M793*O793</f>
        <v>11.56</v>
      </c>
      <c r="R793" s="74" t="n">
        <f aca="false">N793*O793</f>
        <v>0.140000000000001</v>
      </c>
    </row>
    <row r="794" customFormat="false" ht="15" hidden="false" customHeight="false" outlineLevel="0" collapsed="false">
      <c r="A794" s="53" t="n">
        <v>4</v>
      </c>
      <c r="B794" s="53" t="n">
        <v>8</v>
      </c>
      <c r="C794" s="76" t="s">
        <v>546</v>
      </c>
      <c r="D794" s="53" t="n">
        <v>22</v>
      </c>
      <c r="E794" s="73" t="n">
        <v>2.06</v>
      </c>
      <c r="F794" s="55" t="n">
        <v>5</v>
      </c>
      <c r="G794" s="73" t="n">
        <v>1.24</v>
      </c>
      <c r="H794" s="55" t="n">
        <v>1</v>
      </c>
      <c r="I794" s="20"/>
      <c r="J794" s="20"/>
      <c r="K794" s="20"/>
      <c r="L794" s="20"/>
      <c r="M794" s="41" t="n">
        <f aca="false">E794*F794+G794*H794+I794*J794+K794*L794</f>
        <v>11.54</v>
      </c>
      <c r="N794" s="41" t="n">
        <f aca="false">Исходные!$B$15-M794</f>
        <v>0.159999999999998</v>
      </c>
      <c r="O794" s="55" t="n">
        <v>150</v>
      </c>
      <c r="P794" s="53" t="n">
        <f aca="false">(F794+H794+J794+L794)*O794</f>
        <v>900</v>
      </c>
      <c r="Q794" s="74" t="n">
        <f aca="false">M794*O794</f>
        <v>1731</v>
      </c>
      <c r="R794" s="74" t="n">
        <f aca="false">N794*O794</f>
        <v>23.9999999999998</v>
      </c>
    </row>
    <row r="795" customFormat="false" ht="15" hidden="false" customHeight="false" outlineLevel="0" collapsed="false">
      <c r="A795" s="53" t="n">
        <v>4</v>
      </c>
      <c r="B795" s="53" t="n">
        <v>8</v>
      </c>
      <c r="C795" s="76" t="s">
        <v>546</v>
      </c>
      <c r="D795" s="53" t="n">
        <v>23</v>
      </c>
      <c r="E795" s="73" t="n">
        <v>2.44</v>
      </c>
      <c r="F795" s="55" t="n">
        <v>4</v>
      </c>
      <c r="G795" s="73" t="n">
        <v>1.56</v>
      </c>
      <c r="H795" s="55" t="n">
        <v>1</v>
      </c>
      <c r="I795" s="73" t="n">
        <v>0.22</v>
      </c>
      <c r="J795" s="55" t="n">
        <v>1</v>
      </c>
      <c r="K795" s="20"/>
      <c r="L795" s="20"/>
      <c r="M795" s="41" t="n">
        <f aca="false">E795*F795+G795*H795+I795*J795+K795*L795</f>
        <v>11.54</v>
      </c>
      <c r="N795" s="41" t="n">
        <f aca="false">Исходные!$B$15-M795</f>
        <v>0.159999999999998</v>
      </c>
      <c r="O795" s="55" t="n">
        <v>49</v>
      </c>
      <c r="P795" s="53" t="n">
        <f aca="false">(F795+H795+J795+L795)*O795</f>
        <v>294</v>
      </c>
      <c r="Q795" s="74" t="n">
        <f aca="false">M795*O795</f>
        <v>565.46</v>
      </c>
      <c r="R795" s="74" t="n">
        <f aca="false">N795*O795</f>
        <v>7.83999999999992</v>
      </c>
    </row>
    <row r="796" customFormat="false" ht="15" hidden="false" customHeight="false" outlineLevel="0" collapsed="false">
      <c r="A796" s="53" t="n">
        <v>4</v>
      </c>
      <c r="B796" s="53" t="n">
        <v>8</v>
      </c>
      <c r="C796" s="76" t="s">
        <v>546</v>
      </c>
      <c r="D796" s="53" t="n">
        <v>24</v>
      </c>
      <c r="E796" s="73" t="n">
        <v>1.16</v>
      </c>
      <c r="F796" s="55" t="n">
        <v>6</v>
      </c>
      <c r="G796" s="73" t="n">
        <v>1.14</v>
      </c>
      <c r="H796" s="55" t="n">
        <v>4</v>
      </c>
      <c r="I796" s="20"/>
      <c r="J796" s="20"/>
      <c r="K796" s="20"/>
      <c r="L796" s="20"/>
      <c r="M796" s="41" t="n">
        <f aca="false">E796*F796+G796*H796+I796*J796+K796*L796</f>
        <v>11.52</v>
      </c>
      <c r="N796" s="41" t="n">
        <f aca="false">Исходные!$B$15-M796</f>
        <v>0.18</v>
      </c>
      <c r="O796" s="55" t="n">
        <v>1</v>
      </c>
      <c r="P796" s="53" t="n">
        <f aca="false">(F796+H796+J796+L796)*O796</f>
        <v>10</v>
      </c>
      <c r="Q796" s="74" t="n">
        <f aca="false">M796*O796</f>
        <v>11.52</v>
      </c>
      <c r="R796" s="74" t="n">
        <f aca="false">N796*O796</f>
        <v>0.18</v>
      </c>
    </row>
    <row r="797" customFormat="false" ht="15" hidden="false" customHeight="false" outlineLevel="0" collapsed="false">
      <c r="A797" s="53" t="n">
        <v>4</v>
      </c>
      <c r="B797" s="53" t="n">
        <v>8</v>
      </c>
      <c r="C797" s="76" t="s">
        <v>546</v>
      </c>
      <c r="D797" s="53" t="n">
        <v>25</v>
      </c>
      <c r="E797" s="73" t="n">
        <v>0.22</v>
      </c>
      <c r="F797" s="55" t="n">
        <v>46</v>
      </c>
      <c r="G797" s="20"/>
      <c r="H797" s="20"/>
      <c r="I797" s="20"/>
      <c r="J797" s="20"/>
      <c r="K797" s="20"/>
      <c r="L797" s="20"/>
      <c r="M797" s="41" t="n">
        <f aca="false">E797*F797+G797*H797+I797*J797+K797*L797</f>
        <v>10.12</v>
      </c>
      <c r="N797" s="41" t="n">
        <f aca="false">Исходные!$B$15-M797</f>
        <v>1.58</v>
      </c>
      <c r="O797" s="55" t="n">
        <v>1</v>
      </c>
      <c r="P797" s="53" t="n">
        <f aca="false">(F797+H797+J797+L797)*O797</f>
        <v>46</v>
      </c>
      <c r="Q797" s="74" t="n">
        <f aca="false">M797*O797</f>
        <v>10.12</v>
      </c>
      <c r="R797" s="74" t="n">
        <f aca="false">N797*O797</f>
        <v>1.58</v>
      </c>
    </row>
    <row r="798" customFormat="false" ht="15" hidden="false" customHeight="false" outlineLevel="0" collapsed="false">
      <c r="A798" s="53" t="n">
        <v>4</v>
      </c>
      <c r="B798" s="53" t="n">
        <v>6</v>
      </c>
      <c r="C798" s="76" t="s">
        <v>546</v>
      </c>
      <c r="D798" s="53" t="n">
        <v>1</v>
      </c>
      <c r="E798" s="73" t="n">
        <v>0.28</v>
      </c>
      <c r="F798" s="55" t="n">
        <v>41</v>
      </c>
      <c r="G798" s="20"/>
      <c r="H798" s="20"/>
      <c r="I798" s="20"/>
      <c r="J798" s="20"/>
      <c r="K798" s="20"/>
      <c r="L798" s="20"/>
      <c r="M798" s="41" t="n">
        <f aca="false">E798*F798+G798*H798+I798*J798+K798*L798</f>
        <v>11.48</v>
      </c>
      <c r="N798" s="41" t="n">
        <f aca="false">Исходные!$B$15-M798</f>
        <v>0.219999999999999</v>
      </c>
      <c r="O798" s="55" t="n">
        <v>2</v>
      </c>
      <c r="P798" s="53" t="n">
        <f aca="false">(F798+H798+J798+L798)*O798</f>
        <v>82</v>
      </c>
      <c r="Q798" s="74" t="n">
        <f aca="false">M798*O798</f>
        <v>22.96</v>
      </c>
      <c r="R798" s="74" t="n">
        <f aca="false">N798*O798</f>
        <v>0.439999999999998</v>
      </c>
    </row>
    <row r="799" customFormat="false" ht="15" hidden="false" customHeight="false" outlineLevel="0" collapsed="false">
      <c r="A799" s="53" t="n">
        <v>4</v>
      </c>
      <c r="B799" s="53" t="n">
        <v>6</v>
      </c>
      <c r="C799" s="76" t="s">
        <v>546</v>
      </c>
      <c r="D799" s="53" t="n">
        <v>2</v>
      </c>
      <c r="E799" s="73" t="n">
        <v>0.28</v>
      </c>
      <c r="F799" s="55" t="n">
        <v>22</v>
      </c>
      <c r="G799" s="20"/>
      <c r="H799" s="20"/>
      <c r="I799" s="20"/>
      <c r="J799" s="20"/>
      <c r="K799" s="20"/>
      <c r="L799" s="20"/>
      <c r="M799" s="41" t="n">
        <f aca="false">E799*F799+G799*H799+I799*J799+K799*L799</f>
        <v>6.16</v>
      </c>
      <c r="N799" s="41" t="n">
        <f aca="false">Исходные!$B$15-M799</f>
        <v>5.54</v>
      </c>
      <c r="O799" s="55" t="n">
        <v>1</v>
      </c>
      <c r="P799" s="53" t="n">
        <f aca="false">(F799+H799+J799+L799)*O799</f>
        <v>22</v>
      </c>
      <c r="Q799" s="74" t="n">
        <f aca="false">M799*O799</f>
        <v>6.16</v>
      </c>
      <c r="R799" s="74" t="n">
        <f aca="false">N799*O799</f>
        <v>5.54</v>
      </c>
    </row>
    <row r="800" customFormat="false" ht="15" hidden="false" customHeight="false" outlineLevel="0" collapsed="false">
      <c r="A800" s="53" t="n">
        <v>5</v>
      </c>
      <c r="B800" s="53" t="n">
        <v>32</v>
      </c>
      <c r="C800" s="76" t="s">
        <v>512</v>
      </c>
      <c r="D800" s="53" t="n">
        <v>1</v>
      </c>
      <c r="E800" s="73" t="n">
        <v>2.25</v>
      </c>
      <c r="F800" s="55" t="n">
        <v>5</v>
      </c>
      <c r="G800" s="20"/>
      <c r="H800" s="20"/>
      <c r="I800" s="20"/>
      <c r="J800" s="20"/>
      <c r="K800" s="20"/>
      <c r="L800" s="20"/>
      <c r="M800" s="41" t="n">
        <f aca="false">E800*F800+G800*H800+I800*J800+K800*L800</f>
        <v>11.25</v>
      </c>
      <c r="N800" s="41" t="n">
        <f aca="false">Исходные!$B$15-M800</f>
        <v>0.449999999999999</v>
      </c>
      <c r="O800" s="55" t="n">
        <v>3</v>
      </c>
      <c r="P800" s="53" t="n">
        <f aca="false">(F800+H800+J800+L800)*O800</f>
        <v>15</v>
      </c>
      <c r="Q800" s="74" t="n">
        <f aca="false">M800*O800</f>
        <v>33.75</v>
      </c>
      <c r="R800" s="74" t="n">
        <f aca="false">N800*O800</f>
        <v>1.35</v>
      </c>
    </row>
    <row r="801" customFormat="false" ht="15" hidden="false" customHeight="false" outlineLevel="0" collapsed="false">
      <c r="A801" s="53" t="n">
        <v>5</v>
      </c>
      <c r="B801" s="53" t="n">
        <v>32</v>
      </c>
      <c r="C801" s="76" t="s">
        <v>512</v>
      </c>
      <c r="D801" s="53" t="n">
        <v>2</v>
      </c>
      <c r="E801" s="73" t="n">
        <v>2.75</v>
      </c>
      <c r="F801" s="55" t="n">
        <v>4</v>
      </c>
      <c r="G801" s="20"/>
      <c r="H801" s="20"/>
      <c r="I801" s="20"/>
      <c r="J801" s="20"/>
      <c r="K801" s="20"/>
      <c r="L801" s="20"/>
      <c r="M801" s="41" t="n">
        <f aca="false">E801*F801+G801*H801+I801*J801+K801*L801</f>
        <v>11</v>
      </c>
      <c r="N801" s="41" t="n">
        <f aca="false">Исходные!$B$15-M801</f>
        <v>0.699999999999999</v>
      </c>
      <c r="O801" s="55" t="n">
        <v>4</v>
      </c>
      <c r="P801" s="53" t="n">
        <f aca="false">(F801+H801+J801+L801)*O801</f>
        <v>16</v>
      </c>
      <c r="Q801" s="74" t="n">
        <f aca="false">M801*O801</f>
        <v>44</v>
      </c>
      <c r="R801" s="74" t="n">
        <f aca="false">N801*O801</f>
        <v>2.8</v>
      </c>
    </row>
    <row r="802" customFormat="false" ht="15" hidden="false" customHeight="false" outlineLevel="0" collapsed="false">
      <c r="A802" s="53" t="n">
        <v>5</v>
      </c>
      <c r="B802" s="53" t="n">
        <v>32</v>
      </c>
      <c r="C802" s="76" t="s">
        <v>512</v>
      </c>
      <c r="D802" s="53" t="n">
        <v>3</v>
      </c>
      <c r="E802" s="73" t="n">
        <v>3.6</v>
      </c>
      <c r="F802" s="55" t="n">
        <v>3</v>
      </c>
      <c r="G802" s="20"/>
      <c r="H802" s="20"/>
      <c r="I802" s="20"/>
      <c r="J802" s="20"/>
      <c r="K802" s="20"/>
      <c r="L802" s="20"/>
      <c r="M802" s="41" t="n">
        <f aca="false">E802*F802+G802*H802+I802*J802+K802*L802</f>
        <v>10.8</v>
      </c>
      <c r="N802" s="41" t="n">
        <f aca="false">Исходные!$B$15-M802</f>
        <v>0.899999999999999</v>
      </c>
      <c r="O802" s="55" t="n">
        <v>2</v>
      </c>
      <c r="P802" s="53" t="n">
        <f aca="false">(F802+H802+J802+L802)*O802</f>
        <v>6</v>
      </c>
      <c r="Q802" s="74" t="n">
        <f aca="false">M802*O802</f>
        <v>21.6</v>
      </c>
      <c r="R802" s="74" t="n">
        <f aca="false">N802*O802</f>
        <v>1.8</v>
      </c>
    </row>
    <row r="803" customFormat="false" ht="15" hidden="false" customHeight="false" outlineLevel="0" collapsed="false">
      <c r="A803" s="53" t="n">
        <v>5</v>
      </c>
      <c r="B803" s="53" t="n">
        <v>32</v>
      </c>
      <c r="C803" s="76" t="s">
        <v>512</v>
      </c>
      <c r="D803" s="53" t="n">
        <v>4</v>
      </c>
      <c r="E803" s="73" t="n">
        <v>3.6</v>
      </c>
      <c r="F803" s="55" t="n">
        <v>2</v>
      </c>
      <c r="G803" s="73" t="n">
        <v>2.75</v>
      </c>
      <c r="H803" s="55" t="n">
        <v>1</v>
      </c>
      <c r="I803" s="20"/>
      <c r="J803" s="20"/>
      <c r="K803" s="20"/>
      <c r="L803" s="20"/>
      <c r="M803" s="41" t="n">
        <f aca="false">E803*F803+G803*H803+I803*J803+K803*L803</f>
        <v>9.95</v>
      </c>
      <c r="N803" s="41" t="n">
        <f aca="false">Исходные!$B$15-M803</f>
        <v>1.75</v>
      </c>
      <c r="O803" s="55" t="n">
        <v>1</v>
      </c>
      <c r="P803" s="53" t="n">
        <f aca="false">(F803+H803+J803+L803)*O803</f>
        <v>3</v>
      </c>
      <c r="Q803" s="74" t="n">
        <f aca="false">M803*O803</f>
        <v>9.95</v>
      </c>
      <c r="R803" s="74" t="n">
        <f aca="false">N803*O803</f>
        <v>1.75</v>
      </c>
    </row>
    <row r="804" customFormat="false" ht="15" hidden="false" customHeight="false" outlineLevel="0" collapsed="false">
      <c r="A804" s="53" t="n">
        <v>5</v>
      </c>
      <c r="B804" s="53" t="n">
        <v>32</v>
      </c>
      <c r="C804" s="76" t="s">
        <v>512</v>
      </c>
      <c r="D804" s="53" t="n">
        <v>5</v>
      </c>
      <c r="E804" s="73" t="n">
        <v>2.75</v>
      </c>
      <c r="F804" s="55" t="n">
        <v>1</v>
      </c>
      <c r="G804" s="73" t="n">
        <v>2.25</v>
      </c>
      <c r="H804" s="55" t="n">
        <v>3</v>
      </c>
      <c r="I804" s="20"/>
      <c r="J804" s="20"/>
      <c r="K804" s="20"/>
      <c r="L804" s="20"/>
      <c r="M804" s="41" t="n">
        <f aca="false">E804*F804+G804*H804+I804*J804+K804*L804</f>
        <v>9.5</v>
      </c>
      <c r="N804" s="41" t="n">
        <f aca="false">Исходные!$B$15-M804</f>
        <v>2.2</v>
      </c>
      <c r="O804" s="55" t="n">
        <v>1</v>
      </c>
      <c r="P804" s="53" t="n">
        <f aca="false">(F804+H804+J804+L804)*O804</f>
        <v>4</v>
      </c>
      <c r="Q804" s="74" t="n">
        <f aca="false">M804*O804</f>
        <v>9.5</v>
      </c>
      <c r="R804" s="74" t="n">
        <f aca="false">N804*O804</f>
        <v>2.2</v>
      </c>
    </row>
    <row r="805" customFormat="false" ht="15" hidden="false" customHeight="false" outlineLevel="0" collapsed="false">
      <c r="A805" s="53" t="n">
        <v>5</v>
      </c>
      <c r="B805" s="53" t="n">
        <v>28</v>
      </c>
      <c r="C805" s="76" t="s">
        <v>512</v>
      </c>
      <c r="D805" s="53" t="n">
        <v>1</v>
      </c>
      <c r="E805" s="73" t="n">
        <v>11.7</v>
      </c>
      <c r="F805" s="55" t="n">
        <v>1</v>
      </c>
      <c r="G805" s="20"/>
      <c r="H805" s="20"/>
      <c r="I805" s="20"/>
      <c r="J805" s="20"/>
      <c r="K805" s="20"/>
      <c r="L805" s="20"/>
      <c r="M805" s="41" t="n">
        <f aca="false">E805*F805+G805*H805+I805*J805+K805*L805</f>
        <v>11.7</v>
      </c>
      <c r="N805" s="41" t="n">
        <f aca="false">Исходные!$B$15-M805</f>
        <v>0</v>
      </c>
      <c r="O805" s="55" t="n">
        <v>52</v>
      </c>
      <c r="P805" s="53" t="n">
        <f aca="false">(F805+H805+J805+L805)*O805</f>
        <v>52</v>
      </c>
      <c r="Q805" s="74" t="n">
        <f aca="false">M805*O805</f>
        <v>608.4</v>
      </c>
      <c r="R805" s="74" t="n">
        <f aca="false">N805*O805</f>
        <v>0</v>
      </c>
    </row>
    <row r="806" customFormat="false" ht="15" hidden="false" customHeight="false" outlineLevel="0" collapsed="false">
      <c r="A806" s="53" t="n">
        <v>5</v>
      </c>
      <c r="B806" s="53" t="n">
        <v>28</v>
      </c>
      <c r="C806" s="76" t="s">
        <v>512</v>
      </c>
      <c r="D806" s="53" t="n">
        <v>2</v>
      </c>
      <c r="E806" s="73" t="n">
        <v>8.8</v>
      </c>
      <c r="F806" s="55" t="n">
        <v>1</v>
      </c>
      <c r="G806" s="73" t="n">
        <v>2.75</v>
      </c>
      <c r="H806" s="55" t="n">
        <v>1</v>
      </c>
      <c r="I806" s="20"/>
      <c r="J806" s="20"/>
      <c r="K806" s="20"/>
      <c r="L806" s="20"/>
      <c r="M806" s="41" t="n">
        <f aca="false">E806*F806+G806*H806+I806*J806+K806*L806</f>
        <v>11.55</v>
      </c>
      <c r="N806" s="41" t="n">
        <f aca="false">Исходные!$B$15-M806</f>
        <v>0.149999999999999</v>
      </c>
      <c r="O806" s="55" t="n">
        <v>18</v>
      </c>
      <c r="P806" s="53" t="n">
        <f aca="false">(F806+H806+J806+L806)*O806</f>
        <v>36</v>
      </c>
      <c r="Q806" s="74" t="n">
        <f aca="false">M806*O806</f>
        <v>207.9</v>
      </c>
      <c r="R806" s="74" t="n">
        <f aca="false">N806*O806</f>
        <v>2.69999999999997</v>
      </c>
    </row>
    <row r="807" customFormat="false" ht="15" hidden="false" customHeight="false" outlineLevel="0" collapsed="false">
      <c r="A807" s="53" t="n">
        <v>5</v>
      </c>
      <c r="B807" s="53" t="n">
        <v>28</v>
      </c>
      <c r="C807" s="76" t="s">
        <v>512</v>
      </c>
      <c r="D807" s="53" t="n">
        <v>3</v>
      </c>
      <c r="E807" s="73" t="n">
        <v>2.4</v>
      </c>
      <c r="F807" s="55" t="n">
        <v>1</v>
      </c>
      <c r="G807" s="73" t="n">
        <v>2.25</v>
      </c>
      <c r="H807" s="55" t="n">
        <v>4</v>
      </c>
      <c r="I807" s="20"/>
      <c r="J807" s="20"/>
      <c r="K807" s="20"/>
      <c r="L807" s="20"/>
      <c r="M807" s="41" t="n">
        <f aca="false">E807*F807+G807*H807+I807*J807+K807*L807</f>
        <v>11.4</v>
      </c>
      <c r="N807" s="41" t="n">
        <f aca="false">Исходные!$B$15-M807</f>
        <v>0.299999999999999</v>
      </c>
      <c r="O807" s="55" t="n">
        <v>1</v>
      </c>
      <c r="P807" s="53" t="n">
        <f aca="false">(F807+H807+J807+L807)*O807</f>
        <v>5</v>
      </c>
      <c r="Q807" s="74" t="n">
        <f aca="false">M807*O807</f>
        <v>11.4</v>
      </c>
      <c r="R807" s="74" t="n">
        <f aca="false">N807*O807</f>
        <v>0.299999999999999</v>
      </c>
    </row>
    <row r="808" customFormat="false" ht="15" hidden="false" customHeight="false" outlineLevel="0" collapsed="false">
      <c r="A808" s="53" t="n">
        <v>5</v>
      </c>
      <c r="B808" s="53" t="n">
        <v>28</v>
      </c>
      <c r="C808" s="76" t="s">
        <v>512</v>
      </c>
      <c r="D808" s="53" t="n">
        <v>4</v>
      </c>
      <c r="E808" s="73" t="n">
        <v>2.25</v>
      </c>
      <c r="F808" s="55" t="n">
        <v>5</v>
      </c>
      <c r="G808" s="20"/>
      <c r="H808" s="20"/>
      <c r="I808" s="20"/>
      <c r="J808" s="20"/>
      <c r="K808" s="20"/>
      <c r="L808" s="20"/>
      <c r="M808" s="41" t="n">
        <f aca="false">E808*F808+G808*H808+I808*J808+K808*L808</f>
        <v>11.25</v>
      </c>
      <c r="N808" s="41" t="n">
        <f aca="false">Исходные!$B$15-M808</f>
        <v>0.449999999999999</v>
      </c>
      <c r="O808" s="55" t="n">
        <v>2</v>
      </c>
      <c r="P808" s="53" t="n">
        <f aca="false">(F808+H808+J808+L808)*O808</f>
        <v>10</v>
      </c>
      <c r="Q808" s="74" t="n">
        <f aca="false">M808*O808</f>
        <v>22.5</v>
      </c>
      <c r="R808" s="74" t="n">
        <f aca="false">N808*O808</f>
        <v>0.899999999999999</v>
      </c>
    </row>
    <row r="809" customFormat="false" ht="15" hidden="false" customHeight="false" outlineLevel="0" collapsed="false">
      <c r="A809" s="53" t="n">
        <v>5</v>
      </c>
      <c r="B809" s="53" t="n">
        <v>28</v>
      </c>
      <c r="C809" s="76" t="s">
        <v>512</v>
      </c>
      <c r="D809" s="53" t="n">
        <v>5</v>
      </c>
      <c r="E809" s="73" t="n">
        <v>8.8</v>
      </c>
      <c r="F809" s="55" t="n">
        <v>1</v>
      </c>
      <c r="G809" s="73" t="n">
        <v>2.4</v>
      </c>
      <c r="H809" s="55" t="n">
        <v>1</v>
      </c>
      <c r="I809" s="20"/>
      <c r="J809" s="20"/>
      <c r="K809" s="20"/>
      <c r="L809" s="20"/>
      <c r="M809" s="41" t="n">
        <f aca="false">E809*F809+G809*H809+I809*J809+K809*L809</f>
        <v>11.2</v>
      </c>
      <c r="N809" s="41" t="n">
        <f aca="false">Исходные!$B$15-M809</f>
        <v>0.499999999999998</v>
      </c>
      <c r="O809" s="55" t="n">
        <v>2</v>
      </c>
      <c r="P809" s="53" t="n">
        <f aca="false">(F809+H809+J809+L809)*O809</f>
        <v>4</v>
      </c>
      <c r="Q809" s="74" t="n">
        <f aca="false">M809*O809</f>
        <v>22.4</v>
      </c>
      <c r="R809" s="74" t="n">
        <f aca="false">N809*O809</f>
        <v>0.999999999999996</v>
      </c>
    </row>
    <row r="810" customFormat="false" ht="15" hidden="false" customHeight="false" outlineLevel="0" collapsed="false">
      <c r="A810" s="53" t="n">
        <v>5</v>
      </c>
      <c r="B810" s="53" t="n">
        <v>28</v>
      </c>
      <c r="C810" s="76" t="s">
        <v>512</v>
      </c>
      <c r="D810" s="53" t="n">
        <v>6</v>
      </c>
      <c r="E810" s="73" t="n">
        <v>2.25</v>
      </c>
      <c r="F810" s="55" t="n">
        <v>4</v>
      </c>
      <c r="G810" s="73" t="n">
        <v>2.1</v>
      </c>
      <c r="H810" s="55" t="n">
        <v>1</v>
      </c>
      <c r="I810" s="20"/>
      <c r="J810" s="20"/>
      <c r="K810" s="20"/>
      <c r="L810" s="20"/>
      <c r="M810" s="41" t="n">
        <f aca="false">E810*F810+G810*H810+I810*J810+K810*L810</f>
        <v>11.1</v>
      </c>
      <c r="N810" s="41" t="n">
        <f aca="false">Исходные!$B$15-M810</f>
        <v>0.6</v>
      </c>
      <c r="O810" s="55" t="n">
        <v>1</v>
      </c>
      <c r="P810" s="53" t="n">
        <f aca="false">(F810+H810+J810+L810)*O810</f>
        <v>5</v>
      </c>
      <c r="Q810" s="74" t="n">
        <f aca="false">M810*O810</f>
        <v>11.1</v>
      </c>
      <c r="R810" s="74" t="n">
        <f aca="false">N810*O810</f>
        <v>0.6</v>
      </c>
    </row>
    <row r="811" customFormat="false" ht="15" hidden="false" customHeight="false" outlineLevel="0" collapsed="false">
      <c r="A811" s="53" t="n">
        <v>5</v>
      </c>
      <c r="B811" s="53" t="n">
        <v>28</v>
      </c>
      <c r="C811" s="76" t="s">
        <v>512</v>
      </c>
      <c r="D811" s="53" t="n">
        <v>7</v>
      </c>
      <c r="E811" s="73" t="n">
        <v>5.5</v>
      </c>
      <c r="F811" s="55" t="n">
        <v>2</v>
      </c>
      <c r="G811" s="20"/>
      <c r="H811" s="20"/>
      <c r="I811" s="20"/>
      <c r="J811" s="20"/>
      <c r="K811" s="20"/>
      <c r="L811" s="20"/>
      <c r="M811" s="41" t="n">
        <f aca="false">E811*F811+G811*H811+I811*J811+K811*L811</f>
        <v>11</v>
      </c>
      <c r="N811" s="41" t="n">
        <f aca="false">Исходные!$B$15-M811</f>
        <v>0.699999999999999</v>
      </c>
      <c r="O811" s="55" t="n">
        <v>1</v>
      </c>
      <c r="P811" s="53" t="n">
        <f aca="false">(F811+H811+J811+L811)*O811</f>
        <v>2</v>
      </c>
      <c r="Q811" s="74" t="n">
        <f aca="false">M811*O811</f>
        <v>11</v>
      </c>
      <c r="R811" s="74" t="n">
        <f aca="false">N811*O811</f>
        <v>0.699999999999999</v>
      </c>
    </row>
    <row r="812" customFormat="false" ht="15" hidden="false" customHeight="false" outlineLevel="0" collapsed="false">
      <c r="A812" s="53" t="n">
        <v>5</v>
      </c>
      <c r="B812" s="53" t="n">
        <v>28</v>
      </c>
      <c r="C812" s="76" t="s">
        <v>512</v>
      </c>
      <c r="D812" s="53" t="n">
        <v>8</v>
      </c>
      <c r="E812" s="73" t="n">
        <v>2.1</v>
      </c>
      <c r="F812" s="55" t="n">
        <v>5</v>
      </c>
      <c r="G812" s="20"/>
      <c r="H812" s="20"/>
      <c r="I812" s="20"/>
      <c r="J812" s="20"/>
      <c r="K812" s="20"/>
      <c r="L812" s="20"/>
      <c r="M812" s="41" t="n">
        <f aca="false">E812*F812+G812*H812+I812*J812+K812*L812</f>
        <v>10.5</v>
      </c>
      <c r="N812" s="41" t="n">
        <f aca="false">Исходные!$B$15-M812</f>
        <v>1.2</v>
      </c>
      <c r="O812" s="55" t="n">
        <v>3</v>
      </c>
      <c r="P812" s="53" t="n">
        <f aca="false">(F812+H812+J812+L812)*O812</f>
        <v>15</v>
      </c>
      <c r="Q812" s="74" t="n">
        <f aca="false">M812*O812</f>
        <v>31.5</v>
      </c>
      <c r="R812" s="74" t="n">
        <f aca="false">N812*O812</f>
        <v>3.6</v>
      </c>
    </row>
    <row r="813" customFormat="false" ht="15" hidden="false" customHeight="false" outlineLevel="0" collapsed="false">
      <c r="A813" s="53" t="n">
        <v>5</v>
      </c>
      <c r="B813" s="53" t="n">
        <v>28</v>
      </c>
      <c r="C813" s="76" t="s">
        <v>512</v>
      </c>
      <c r="D813" s="53" t="n">
        <v>9</v>
      </c>
      <c r="E813" s="73" t="n">
        <v>2.05</v>
      </c>
      <c r="F813" s="55" t="n">
        <v>2</v>
      </c>
      <c r="G813" s="20"/>
      <c r="H813" s="20"/>
      <c r="I813" s="20"/>
      <c r="J813" s="20"/>
      <c r="K813" s="20"/>
      <c r="L813" s="20"/>
      <c r="M813" s="41" t="n">
        <f aca="false">E813*F813+G813*H813+I813*J813+K813*L813</f>
        <v>4.1</v>
      </c>
      <c r="N813" s="41" t="n">
        <f aca="false">Исходные!$B$15-M813</f>
        <v>7.6</v>
      </c>
      <c r="O813" s="55" t="n">
        <v>1</v>
      </c>
      <c r="P813" s="53" t="n">
        <f aca="false">(F813+H813+J813+L813)*O813</f>
        <v>2</v>
      </c>
      <c r="Q813" s="74" t="n">
        <f aca="false">M813*O813</f>
        <v>4.1</v>
      </c>
      <c r="R813" s="74" t="n">
        <f aca="false">N813*O813</f>
        <v>7.6</v>
      </c>
    </row>
    <row r="814" customFormat="false" ht="15" hidden="false" customHeight="false" outlineLevel="0" collapsed="false">
      <c r="A814" s="53" t="n">
        <v>5</v>
      </c>
      <c r="B814" s="53" t="n">
        <v>25</v>
      </c>
      <c r="C814" s="76" t="s">
        <v>512</v>
      </c>
      <c r="D814" s="53" t="n">
        <v>1</v>
      </c>
      <c r="E814" s="73" t="n">
        <v>11.7</v>
      </c>
      <c r="F814" s="55" t="n">
        <v>1</v>
      </c>
      <c r="G814" s="20"/>
      <c r="H814" s="20"/>
      <c r="I814" s="20"/>
      <c r="J814" s="20"/>
      <c r="K814" s="20"/>
      <c r="L814" s="20"/>
      <c r="M814" s="41" t="n">
        <f aca="false">E814*F814+G814*H814+I814*J814+K814*L814</f>
        <v>11.7</v>
      </c>
      <c r="N814" s="41" t="n">
        <f aca="false">Исходные!$B$15-M814</f>
        <v>0</v>
      </c>
      <c r="O814" s="55" t="n">
        <v>40</v>
      </c>
      <c r="P814" s="53" t="n">
        <f aca="false">(F814+H814+J814+L814)*O814</f>
        <v>40</v>
      </c>
      <c r="Q814" s="74" t="n">
        <f aca="false">M814*O814</f>
        <v>468</v>
      </c>
      <c r="R814" s="74" t="n">
        <f aca="false">N814*O814</f>
        <v>0</v>
      </c>
    </row>
    <row r="815" customFormat="false" ht="15" hidden="false" customHeight="false" outlineLevel="0" collapsed="false">
      <c r="A815" s="53" t="n">
        <v>5</v>
      </c>
      <c r="B815" s="53" t="n">
        <v>25</v>
      </c>
      <c r="C815" s="76" t="s">
        <v>512</v>
      </c>
      <c r="D815" s="53" t="n">
        <v>2</v>
      </c>
      <c r="E815" s="73" t="n">
        <v>8.7</v>
      </c>
      <c r="F815" s="55" t="n">
        <v>1</v>
      </c>
      <c r="G815" s="73" t="n">
        <v>2.75</v>
      </c>
      <c r="H815" s="55" t="n">
        <v>1</v>
      </c>
      <c r="I815" s="73" t="n">
        <v>0.2</v>
      </c>
      <c r="J815" s="55" t="n">
        <v>1</v>
      </c>
      <c r="K815" s="20"/>
      <c r="L815" s="20"/>
      <c r="M815" s="41" t="n">
        <f aca="false">E815*F815+G815*H815+I815*J815+K815*L815</f>
        <v>11.65</v>
      </c>
      <c r="N815" s="41" t="n">
        <f aca="false">Исходные!$B$15-M815</f>
        <v>0.0500000000000007</v>
      </c>
      <c r="O815" s="55" t="n">
        <v>4</v>
      </c>
      <c r="P815" s="53" t="n">
        <f aca="false">(F815+H815+J815+L815)*O815</f>
        <v>12</v>
      </c>
      <c r="Q815" s="74" t="n">
        <f aca="false">M815*O815</f>
        <v>46.6</v>
      </c>
      <c r="R815" s="74" t="n">
        <f aca="false">N815*O815</f>
        <v>0.200000000000003</v>
      </c>
    </row>
    <row r="816" customFormat="false" ht="15" hidden="false" customHeight="false" outlineLevel="0" collapsed="false">
      <c r="A816" s="53" t="n">
        <v>5</v>
      </c>
      <c r="B816" s="53" t="n">
        <v>25</v>
      </c>
      <c r="C816" s="76" t="s">
        <v>512</v>
      </c>
      <c r="D816" s="53" t="n">
        <v>3</v>
      </c>
      <c r="E816" s="73" t="n">
        <v>8.7</v>
      </c>
      <c r="F816" s="55" t="n">
        <v>1</v>
      </c>
      <c r="G816" s="73" t="n">
        <v>2.85</v>
      </c>
      <c r="H816" s="55" t="n">
        <v>1</v>
      </c>
      <c r="I816" s="20"/>
      <c r="J816" s="20"/>
      <c r="K816" s="20"/>
      <c r="L816" s="20"/>
      <c r="M816" s="41" t="n">
        <f aca="false">E816*F816+G816*H816+I816*J816+K816*L816</f>
        <v>11.55</v>
      </c>
      <c r="N816" s="41" t="n">
        <f aca="false">Исходные!$B$15-M816</f>
        <v>0.15</v>
      </c>
      <c r="O816" s="55" t="n">
        <v>2</v>
      </c>
      <c r="P816" s="53" t="n">
        <f aca="false">(F816+H816+J816+L816)*O816</f>
        <v>4</v>
      </c>
      <c r="Q816" s="74" t="n">
        <f aca="false">M816*O816</f>
        <v>23.1</v>
      </c>
      <c r="R816" s="74" t="n">
        <f aca="false">N816*O816</f>
        <v>0.300000000000001</v>
      </c>
    </row>
    <row r="817" customFormat="false" ht="15" hidden="false" customHeight="false" outlineLevel="0" collapsed="false">
      <c r="A817" s="53" t="n">
        <v>5</v>
      </c>
      <c r="B817" s="53" t="n">
        <v>25</v>
      </c>
      <c r="C817" s="76" t="s">
        <v>512</v>
      </c>
      <c r="D817" s="53" t="n">
        <v>4</v>
      </c>
      <c r="E817" s="73" t="n">
        <v>8.7</v>
      </c>
      <c r="F817" s="55" t="n">
        <v>1</v>
      </c>
      <c r="G817" s="73" t="n">
        <v>2.75</v>
      </c>
      <c r="H817" s="55" t="n">
        <v>1</v>
      </c>
      <c r="I817" s="20"/>
      <c r="J817" s="20"/>
      <c r="K817" s="20"/>
      <c r="L817" s="20"/>
      <c r="M817" s="41" t="n">
        <f aca="false">E817*F817+G817*H817+I817*J817+K817*L817</f>
        <v>11.45</v>
      </c>
      <c r="N817" s="41" t="n">
        <f aca="false">Исходные!$B$15-M817</f>
        <v>0.25</v>
      </c>
      <c r="O817" s="55" t="n">
        <v>2</v>
      </c>
      <c r="P817" s="53" t="n">
        <f aca="false">(F817+H817+J817+L817)*O817</f>
        <v>4</v>
      </c>
      <c r="Q817" s="74" t="n">
        <f aca="false">M817*O817</f>
        <v>22.9</v>
      </c>
      <c r="R817" s="74" t="n">
        <f aca="false">N817*O817</f>
        <v>0.5</v>
      </c>
    </row>
    <row r="818" customFormat="false" ht="15" hidden="false" customHeight="false" outlineLevel="0" collapsed="false">
      <c r="A818" s="53" t="n">
        <v>5</v>
      </c>
      <c r="B818" s="53" t="n">
        <v>25</v>
      </c>
      <c r="C818" s="76" t="s">
        <v>512</v>
      </c>
      <c r="D818" s="53" t="n">
        <v>5</v>
      </c>
      <c r="E818" s="73" t="n">
        <v>3.065</v>
      </c>
      <c r="F818" s="55" t="n">
        <v>3</v>
      </c>
      <c r="G818" s="73" t="n">
        <v>2.25</v>
      </c>
      <c r="H818" s="55" t="n">
        <v>1</v>
      </c>
      <c r="I818" s="20"/>
      <c r="J818" s="20"/>
      <c r="K818" s="20"/>
      <c r="L818" s="20"/>
      <c r="M818" s="41" t="n">
        <f aca="false">E818*F818+G818*H818+I818*J818+K818*L818</f>
        <v>11.445</v>
      </c>
      <c r="N818" s="41" t="n">
        <f aca="false">Исходные!$B$15-M818</f>
        <v>0.254999999999999</v>
      </c>
      <c r="O818" s="55" t="n">
        <v>1</v>
      </c>
      <c r="P818" s="53" t="n">
        <f aca="false">(F818+H818+J818+L818)*O818</f>
        <v>4</v>
      </c>
      <c r="Q818" s="74" t="n">
        <f aca="false">M818*O818</f>
        <v>11.445</v>
      </c>
      <c r="R818" s="74" t="n">
        <f aca="false">N818*O818</f>
        <v>0.254999999999999</v>
      </c>
    </row>
    <row r="819" customFormat="false" ht="15" hidden="false" customHeight="false" outlineLevel="0" collapsed="false">
      <c r="A819" s="53" t="n">
        <v>5</v>
      </c>
      <c r="B819" s="53" t="n">
        <v>25</v>
      </c>
      <c r="C819" s="76" t="s">
        <v>512</v>
      </c>
      <c r="D819" s="53" t="n">
        <v>6</v>
      </c>
      <c r="E819" s="73" t="n">
        <v>3.8</v>
      </c>
      <c r="F819" s="55" t="n">
        <v>2</v>
      </c>
      <c r="G819" s="73" t="n">
        <v>3.785</v>
      </c>
      <c r="H819" s="55" t="n">
        <v>1</v>
      </c>
      <c r="I819" s="20"/>
      <c r="J819" s="20"/>
      <c r="K819" s="20"/>
      <c r="L819" s="20"/>
      <c r="M819" s="41" t="n">
        <f aca="false">E819*F819+G819*H819+I819*J819+K819*L819</f>
        <v>11.385</v>
      </c>
      <c r="N819" s="41" t="n">
        <f aca="false">Исходные!$B$15-M819</f>
        <v>0.315</v>
      </c>
      <c r="O819" s="55" t="n">
        <v>1</v>
      </c>
      <c r="P819" s="53" t="n">
        <f aca="false">(F819+H819+J819+L819)*O819</f>
        <v>3</v>
      </c>
      <c r="Q819" s="74" t="n">
        <f aca="false">M819*O819</f>
        <v>11.385</v>
      </c>
      <c r="R819" s="74" t="n">
        <f aca="false">N819*O819</f>
        <v>0.315</v>
      </c>
    </row>
    <row r="820" customFormat="false" ht="15" hidden="false" customHeight="false" outlineLevel="0" collapsed="false">
      <c r="A820" s="53" t="n">
        <v>5</v>
      </c>
      <c r="B820" s="53" t="n">
        <v>25</v>
      </c>
      <c r="C820" s="76" t="s">
        <v>512</v>
      </c>
      <c r="D820" s="53" t="n">
        <v>7</v>
      </c>
      <c r="E820" s="73" t="n">
        <v>3.785</v>
      </c>
      <c r="F820" s="55" t="n">
        <v>3</v>
      </c>
      <c r="G820" s="20"/>
      <c r="H820" s="20"/>
      <c r="I820" s="20"/>
      <c r="J820" s="20"/>
      <c r="K820" s="20"/>
      <c r="L820" s="20"/>
      <c r="M820" s="41" t="n">
        <f aca="false">E820*F820+G820*H820+I820*J820+K820*L820</f>
        <v>11.355</v>
      </c>
      <c r="N820" s="41" t="n">
        <f aca="false">Исходные!$B$15-M820</f>
        <v>0.344999999999999</v>
      </c>
      <c r="O820" s="55" t="n">
        <v>1</v>
      </c>
      <c r="P820" s="53" t="n">
        <f aca="false">(F820+H820+J820+L820)*O820</f>
        <v>3</v>
      </c>
      <c r="Q820" s="74" t="n">
        <f aca="false">M820*O820</f>
        <v>11.355</v>
      </c>
      <c r="R820" s="74" t="n">
        <f aca="false">N820*O820</f>
        <v>0.344999999999999</v>
      </c>
    </row>
    <row r="821" customFormat="false" ht="15" hidden="false" customHeight="false" outlineLevel="0" collapsed="false">
      <c r="A821" s="53" t="n">
        <v>5</v>
      </c>
      <c r="B821" s="53" t="n">
        <v>25</v>
      </c>
      <c r="C821" s="76" t="s">
        <v>512</v>
      </c>
      <c r="D821" s="53" t="n">
        <v>8</v>
      </c>
      <c r="E821" s="73" t="n">
        <v>2.25</v>
      </c>
      <c r="F821" s="55" t="n">
        <v>1</v>
      </c>
      <c r="G821" s="73" t="n">
        <v>2.21</v>
      </c>
      <c r="H821" s="55" t="n">
        <v>4</v>
      </c>
      <c r="I821" s="20"/>
      <c r="J821" s="20"/>
      <c r="K821" s="20"/>
      <c r="L821" s="20"/>
      <c r="M821" s="41" t="n">
        <f aca="false">E821*F821+G821*H821+I821*J821+K821*L821</f>
        <v>11.09</v>
      </c>
      <c r="N821" s="41" t="n">
        <f aca="false">Исходные!$B$15-M821</f>
        <v>0.609999999999999</v>
      </c>
      <c r="O821" s="55" t="n">
        <v>1</v>
      </c>
      <c r="P821" s="53" t="n">
        <f aca="false">(F821+H821+J821+L821)*O821</f>
        <v>5</v>
      </c>
      <c r="Q821" s="74" t="n">
        <f aca="false">M821*O821</f>
        <v>11.09</v>
      </c>
      <c r="R821" s="74" t="n">
        <f aca="false">N821*O821</f>
        <v>0.609999999999999</v>
      </c>
    </row>
    <row r="822" customFormat="false" ht="15" hidden="false" customHeight="false" outlineLevel="0" collapsed="false">
      <c r="A822" s="53" t="n">
        <v>5</v>
      </c>
      <c r="B822" s="53" t="n">
        <v>25</v>
      </c>
      <c r="C822" s="76" t="s">
        <v>512</v>
      </c>
      <c r="D822" s="53" t="n">
        <v>9</v>
      </c>
      <c r="E822" s="73" t="n">
        <v>3.7</v>
      </c>
      <c r="F822" s="55" t="n">
        <v>2</v>
      </c>
      <c r="G822" s="73" t="n">
        <v>3.6</v>
      </c>
      <c r="H822" s="55" t="n">
        <v>1</v>
      </c>
      <c r="I822" s="20"/>
      <c r="J822" s="20"/>
      <c r="K822" s="20"/>
      <c r="L822" s="20"/>
      <c r="M822" s="41" t="n">
        <f aca="false">E822*F822+G822*H822+I822*J822+K822*L822</f>
        <v>11</v>
      </c>
      <c r="N822" s="41" t="n">
        <f aca="false">Исходные!$B$15-M822</f>
        <v>0.699999999999999</v>
      </c>
      <c r="O822" s="55" t="n">
        <v>1</v>
      </c>
      <c r="P822" s="53" t="n">
        <f aca="false">(F822+H822+J822+L822)*O822</f>
        <v>3</v>
      </c>
      <c r="Q822" s="74" t="n">
        <f aca="false">M822*O822</f>
        <v>11</v>
      </c>
      <c r="R822" s="74" t="n">
        <f aca="false">N822*O822</f>
        <v>0.699999999999999</v>
      </c>
    </row>
    <row r="823" customFormat="false" ht="15" hidden="false" customHeight="false" outlineLevel="0" collapsed="false">
      <c r="A823" s="53" t="n">
        <v>5</v>
      </c>
      <c r="B823" s="53" t="n">
        <v>25</v>
      </c>
      <c r="C823" s="76" t="s">
        <v>512</v>
      </c>
      <c r="D823" s="53" t="n">
        <v>10</v>
      </c>
      <c r="E823" s="73" t="n">
        <v>2.2</v>
      </c>
      <c r="F823" s="55" t="n">
        <v>5</v>
      </c>
      <c r="G823" s="20"/>
      <c r="H823" s="20"/>
      <c r="I823" s="20"/>
      <c r="J823" s="20"/>
      <c r="K823" s="20"/>
      <c r="L823" s="20"/>
      <c r="M823" s="41" t="n">
        <f aca="false">E823*F823+G823*H823+I823*J823+K823*L823</f>
        <v>11</v>
      </c>
      <c r="N823" s="41" t="n">
        <f aca="false">Исходные!$B$15-M823</f>
        <v>0.699999999999999</v>
      </c>
      <c r="O823" s="55" t="n">
        <v>1</v>
      </c>
      <c r="P823" s="53" t="n">
        <f aca="false">(F823+H823+J823+L823)*O823</f>
        <v>5</v>
      </c>
      <c r="Q823" s="74" t="n">
        <f aca="false">M823*O823</f>
        <v>11</v>
      </c>
      <c r="R823" s="74" t="n">
        <f aca="false">N823*O823</f>
        <v>0.699999999999999</v>
      </c>
    </row>
    <row r="824" customFormat="false" ht="15" hidden="false" customHeight="false" outlineLevel="0" collapsed="false">
      <c r="A824" s="53" t="n">
        <v>5</v>
      </c>
      <c r="B824" s="53" t="n">
        <v>25</v>
      </c>
      <c r="C824" s="76" t="s">
        <v>512</v>
      </c>
      <c r="D824" s="53" t="n">
        <v>11</v>
      </c>
      <c r="E824" s="73" t="n">
        <v>8.7</v>
      </c>
      <c r="F824" s="55" t="n">
        <v>1</v>
      </c>
      <c r="G824" s="73" t="n">
        <v>2.25</v>
      </c>
      <c r="H824" s="55" t="n">
        <v>1</v>
      </c>
      <c r="I824" s="20"/>
      <c r="J824" s="20"/>
      <c r="K824" s="20"/>
      <c r="L824" s="20"/>
      <c r="M824" s="41" t="n">
        <f aca="false">E824*F824+G824*H824+I824*J824+K824*L824</f>
        <v>10.95</v>
      </c>
      <c r="N824" s="41" t="n">
        <f aca="false">Исходные!$B$15-M824</f>
        <v>0.75</v>
      </c>
      <c r="O824" s="55" t="n">
        <v>4</v>
      </c>
      <c r="P824" s="53" t="n">
        <f aca="false">(F824+H824+J824+L824)*O824</f>
        <v>8</v>
      </c>
      <c r="Q824" s="74" t="n">
        <f aca="false">M824*O824</f>
        <v>43.8</v>
      </c>
      <c r="R824" s="74" t="n">
        <f aca="false">N824*O824</f>
        <v>3</v>
      </c>
    </row>
    <row r="825" customFormat="false" ht="15" hidden="false" customHeight="false" outlineLevel="0" collapsed="false">
      <c r="A825" s="53" t="n">
        <v>5</v>
      </c>
      <c r="B825" s="53" t="n">
        <v>25</v>
      </c>
      <c r="C825" s="76" t="s">
        <v>512</v>
      </c>
      <c r="D825" s="53" t="n">
        <v>12</v>
      </c>
      <c r="E825" s="73" t="n">
        <v>2.2</v>
      </c>
      <c r="F825" s="55" t="n">
        <v>3</v>
      </c>
      <c r="G825" s="73" t="n">
        <v>2</v>
      </c>
      <c r="H825" s="55" t="n">
        <v>2</v>
      </c>
      <c r="I825" s="20"/>
      <c r="J825" s="20"/>
      <c r="K825" s="20"/>
      <c r="L825" s="20"/>
      <c r="M825" s="41" t="n">
        <f aca="false">E825*F825+G825*H825+I825*J825+K825*L825</f>
        <v>10.6</v>
      </c>
      <c r="N825" s="41" t="n">
        <f aca="false">Исходные!$B$15-M825</f>
        <v>1.1</v>
      </c>
      <c r="O825" s="55" t="n">
        <v>1</v>
      </c>
      <c r="P825" s="53" t="n">
        <f aca="false">(F825+H825+J825+L825)*O825</f>
        <v>5</v>
      </c>
      <c r="Q825" s="74" t="n">
        <f aca="false">M825*O825</f>
        <v>10.6</v>
      </c>
      <c r="R825" s="74" t="n">
        <f aca="false">N825*O825</f>
        <v>1.1</v>
      </c>
    </row>
    <row r="826" customFormat="false" ht="15" hidden="false" customHeight="false" outlineLevel="0" collapsed="false">
      <c r="A826" s="53" t="n">
        <v>5</v>
      </c>
      <c r="B826" s="53" t="n">
        <v>25</v>
      </c>
      <c r="C826" s="76" t="s">
        <v>512</v>
      </c>
      <c r="D826" s="53" t="n">
        <v>13</v>
      </c>
      <c r="E826" s="73" t="n">
        <v>3.6</v>
      </c>
      <c r="F826" s="55" t="n">
        <v>1</v>
      </c>
      <c r="G826" s="73" t="n">
        <v>3.365</v>
      </c>
      <c r="H826" s="55" t="n">
        <v>2</v>
      </c>
      <c r="I826" s="20"/>
      <c r="J826" s="20"/>
      <c r="K826" s="20"/>
      <c r="L826" s="20"/>
      <c r="M826" s="41" t="n">
        <f aca="false">E826*F826+G826*H826+I826*J826+K826*L826</f>
        <v>10.33</v>
      </c>
      <c r="N826" s="41" t="n">
        <f aca="false">Исходные!$B$15-M826</f>
        <v>1.37</v>
      </c>
      <c r="O826" s="55" t="n">
        <v>1</v>
      </c>
      <c r="P826" s="53" t="n">
        <f aca="false">(F826+H826+J826+L826)*O826</f>
        <v>3</v>
      </c>
      <c r="Q826" s="74" t="n">
        <f aca="false">M826*O826</f>
        <v>10.33</v>
      </c>
      <c r="R826" s="74" t="n">
        <f aca="false">N826*O826</f>
        <v>1.37</v>
      </c>
    </row>
    <row r="827" customFormat="false" ht="15" hidden="false" customHeight="false" outlineLevel="0" collapsed="false">
      <c r="A827" s="53" t="n">
        <v>5</v>
      </c>
      <c r="B827" s="53" t="n">
        <v>25</v>
      </c>
      <c r="C827" s="76" t="s">
        <v>512</v>
      </c>
      <c r="D827" s="53" t="n">
        <v>14</v>
      </c>
      <c r="E827" s="73" t="n">
        <v>2</v>
      </c>
      <c r="F827" s="55" t="n">
        <v>5</v>
      </c>
      <c r="G827" s="20"/>
      <c r="H827" s="20"/>
      <c r="I827" s="20"/>
      <c r="J827" s="20"/>
      <c r="K827" s="20"/>
      <c r="L827" s="20"/>
      <c r="M827" s="41" t="n">
        <f aca="false">E827*F827+G827*H827+I827*J827+K827*L827</f>
        <v>10</v>
      </c>
      <c r="N827" s="41" t="n">
        <f aca="false">Исходные!$B$15-M827</f>
        <v>1.7</v>
      </c>
      <c r="O827" s="55" t="n">
        <v>1</v>
      </c>
      <c r="P827" s="53" t="n">
        <f aca="false">(F827+H827+J827+L827)*O827</f>
        <v>5</v>
      </c>
      <c r="Q827" s="74" t="n">
        <f aca="false">M827*O827</f>
        <v>10</v>
      </c>
      <c r="R827" s="74" t="n">
        <f aca="false">N827*O827</f>
        <v>1.7</v>
      </c>
    </row>
    <row r="828" customFormat="false" ht="15" hidden="false" customHeight="false" outlineLevel="0" collapsed="false">
      <c r="A828" s="53" t="n">
        <v>5</v>
      </c>
      <c r="B828" s="53" t="n">
        <v>25</v>
      </c>
      <c r="C828" s="76" t="s">
        <v>512</v>
      </c>
      <c r="D828" s="53" t="n">
        <v>15</v>
      </c>
      <c r="E828" s="73" t="n">
        <v>3.365</v>
      </c>
      <c r="F828" s="55" t="n">
        <v>2</v>
      </c>
      <c r="G828" s="73" t="n">
        <v>3.065</v>
      </c>
      <c r="H828" s="55" t="n">
        <v>1</v>
      </c>
      <c r="I828" s="20"/>
      <c r="J828" s="20"/>
      <c r="K828" s="20"/>
      <c r="L828" s="20"/>
      <c r="M828" s="41" t="n">
        <f aca="false">E828*F828+G828*H828+I828*J828+K828*L828</f>
        <v>9.795</v>
      </c>
      <c r="N828" s="41" t="n">
        <f aca="false">Исходные!$B$15-M828</f>
        <v>1.905</v>
      </c>
      <c r="O828" s="55" t="n">
        <v>1</v>
      </c>
      <c r="P828" s="53" t="n">
        <f aca="false">(F828+H828+J828+L828)*O828</f>
        <v>3</v>
      </c>
      <c r="Q828" s="74" t="n">
        <f aca="false">M828*O828</f>
        <v>9.795</v>
      </c>
      <c r="R828" s="74" t="n">
        <f aca="false">N828*O828</f>
        <v>1.905</v>
      </c>
    </row>
    <row r="829" customFormat="false" ht="15" hidden="false" customHeight="false" outlineLevel="0" collapsed="false">
      <c r="A829" s="53" t="n">
        <v>5</v>
      </c>
      <c r="B829" s="53" t="n">
        <v>25</v>
      </c>
      <c r="C829" s="76" t="s">
        <v>512</v>
      </c>
      <c r="D829" s="53" t="n">
        <v>16</v>
      </c>
      <c r="E829" s="73" t="n">
        <v>2</v>
      </c>
      <c r="F829" s="55" t="n">
        <v>1</v>
      </c>
      <c r="G829" s="20"/>
      <c r="H829" s="20"/>
      <c r="I829" s="20"/>
      <c r="J829" s="20"/>
      <c r="K829" s="20"/>
      <c r="L829" s="20"/>
      <c r="M829" s="41" t="n">
        <f aca="false">E829*F829+G829*H829+I829*J829+K829*L829</f>
        <v>2</v>
      </c>
      <c r="N829" s="41" t="n">
        <f aca="false">Исходные!$B$15-M829</f>
        <v>9.7</v>
      </c>
      <c r="O829" s="55" t="n">
        <v>1</v>
      </c>
      <c r="P829" s="53" t="n">
        <f aca="false">(F829+H829+J829+L829)*O829</f>
        <v>1</v>
      </c>
      <c r="Q829" s="74" t="n">
        <f aca="false">M829*O829</f>
        <v>2</v>
      </c>
      <c r="R829" s="74" t="n">
        <f aca="false">N829*O829</f>
        <v>9.7</v>
      </c>
    </row>
    <row r="830" customFormat="false" ht="15" hidden="false" customHeight="false" outlineLevel="0" collapsed="false">
      <c r="A830" s="53" t="n">
        <v>5</v>
      </c>
      <c r="B830" s="53" t="n">
        <v>22</v>
      </c>
      <c r="C830" s="76" t="s">
        <v>512</v>
      </c>
      <c r="D830" s="53" t="n">
        <v>1</v>
      </c>
      <c r="E830" s="73" t="n">
        <v>4.7</v>
      </c>
      <c r="F830" s="55" t="n">
        <v>2</v>
      </c>
      <c r="G830" s="73" t="n">
        <v>2.25</v>
      </c>
      <c r="H830" s="55" t="n">
        <v>1</v>
      </c>
      <c r="I830" s="20"/>
      <c r="J830" s="20"/>
      <c r="K830" s="20"/>
      <c r="L830" s="20"/>
      <c r="M830" s="41" t="n">
        <f aca="false">E830*F830+G830*H830+I830*J830+K830*L830</f>
        <v>11.65</v>
      </c>
      <c r="N830" s="41" t="n">
        <f aca="false">Исходные!$B$15-M830</f>
        <v>0.0499999999999989</v>
      </c>
      <c r="O830" s="55" t="n">
        <v>1</v>
      </c>
      <c r="P830" s="53" t="n">
        <f aca="false">(F830+H830+J830+L830)*O830</f>
        <v>3</v>
      </c>
      <c r="Q830" s="74" t="n">
        <f aca="false">M830*O830</f>
        <v>11.65</v>
      </c>
      <c r="R830" s="74" t="n">
        <f aca="false">N830*O830</f>
        <v>0.0499999999999989</v>
      </c>
    </row>
    <row r="831" customFormat="false" ht="15" hidden="false" customHeight="false" outlineLevel="0" collapsed="false">
      <c r="A831" s="53" t="n">
        <v>5</v>
      </c>
      <c r="B831" s="53" t="n">
        <v>22</v>
      </c>
      <c r="C831" s="76" t="s">
        <v>512</v>
      </c>
      <c r="D831" s="53" t="n">
        <v>2</v>
      </c>
      <c r="E831" s="73" t="n">
        <v>2.25</v>
      </c>
      <c r="F831" s="55" t="n">
        <v>5</v>
      </c>
      <c r="G831" s="20"/>
      <c r="H831" s="20"/>
      <c r="I831" s="20"/>
      <c r="J831" s="20"/>
      <c r="K831" s="20"/>
      <c r="L831" s="20"/>
      <c r="M831" s="41" t="n">
        <f aca="false">E831*F831+G831*H831+I831*J831+K831*L831</f>
        <v>11.25</v>
      </c>
      <c r="N831" s="41" t="n">
        <f aca="false">Исходные!$B$15-M831</f>
        <v>0.449999999999999</v>
      </c>
      <c r="O831" s="55" t="n">
        <v>4</v>
      </c>
      <c r="P831" s="53" t="n">
        <f aca="false">(F831+H831+J831+L831)*O831</f>
        <v>20</v>
      </c>
      <c r="Q831" s="74" t="n">
        <f aca="false">M831*O831</f>
        <v>45</v>
      </c>
      <c r="R831" s="74" t="n">
        <f aca="false">N831*O831</f>
        <v>1.8</v>
      </c>
    </row>
    <row r="832" customFormat="false" ht="15" hidden="false" customHeight="false" outlineLevel="0" collapsed="false">
      <c r="A832" s="53" t="n">
        <v>5</v>
      </c>
      <c r="B832" s="53" t="n">
        <v>22</v>
      </c>
      <c r="C832" s="76" t="s">
        <v>512</v>
      </c>
      <c r="D832" s="53" t="n">
        <v>3</v>
      </c>
      <c r="E832" s="73" t="n">
        <v>2.85</v>
      </c>
      <c r="F832" s="55" t="n">
        <v>2</v>
      </c>
      <c r="G832" s="73" t="n">
        <v>2.75</v>
      </c>
      <c r="H832" s="55" t="n">
        <v>2</v>
      </c>
      <c r="I832" s="20"/>
      <c r="J832" s="20"/>
      <c r="K832" s="20"/>
      <c r="L832" s="20"/>
      <c r="M832" s="41" t="n">
        <f aca="false">E832*F832+G832*H832+I832*J832+K832*L832</f>
        <v>11.2</v>
      </c>
      <c r="N832" s="41" t="n">
        <f aca="false">Исходные!$B$15-M832</f>
        <v>0.5</v>
      </c>
      <c r="O832" s="55" t="n">
        <v>1</v>
      </c>
      <c r="P832" s="53" t="n">
        <f aca="false">(F832+H832+J832+L832)*O832</f>
        <v>4</v>
      </c>
      <c r="Q832" s="74" t="n">
        <f aca="false">M832*O832</f>
        <v>11.2</v>
      </c>
      <c r="R832" s="74" t="n">
        <f aca="false">N832*O832</f>
        <v>0.5</v>
      </c>
    </row>
    <row r="833" customFormat="false" ht="15" hidden="false" customHeight="false" outlineLevel="0" collapsed="false">
      <c r="A833" s="53" t="n">
        <v>5</v>
      </c>
      <c r="B833" s="53" t="n">
        <v>22</v>
      </c>
      <c r="C833" s="76" t="s">
        <v>512</v>
      </c>
      <c r="D833" s="53" t="n">
        <v>4</v>
      </c>
      <c r="E833" s="73" t="n">
        <v>2.75</v>
      </c>
      <c r="F833" s="55" t="n">
        <v>1</v>
      </c>
      <c r="G833" s="73" t="n">
        <v>2.25</v>
      </c>
      <c r="H833" s="55" t="n">
        <v>3</v>
      </c>
      <c r="I833" s="73" t="n">
        <v>1.7</v>
      </c>
      <c r="J833" s="55" t="n">
        <v>1</v>
      </c>
      <c r="K833" s="20"/>
      <c r="L833" s="20"/>
      <c r="M833" s="41" t="n">
        <f aca="false">E833*F833+G833*H833+I833*J833+K833*L833</f>
        <v>11.2</v>
      </c>
      <c r="N833" s="41" t="n">
        <f aca="false">Исходные!$B$15-M833</f>
        <v>0.5</v>
      </c>
      <c r="O833" s="55" t="n">
        <v>1</v>
      </c>
      <c r="P833" s="53" t="n">
        <f aca="false">(F833+H833+J833+L833)*O833</f>
        <v>5</v>
      </c>
      <c r="Q833" s="74" t="n">
        <f aca="false">M833*O833</f>
        <v>11.2</v>
      </c>
      <c r="R833" s="74" t="n">
        <f aca="false">N833*O833</f>
        <v>0.5</v>
      </c>
    </row>
    <row r="834" customFormat="false" ht="15" hidden="false" customHeight="false" outlineLevel="0" collapsed="false">
      <c r="A834" s="53" t="n">
        <v>5</v>
      </c>
      <c r="B834" s="53" t="n">
        <v>22</v>
      </c>
      <c r="C834" s="76" t="s">
        <v>512</v>
      </c>
      <c r="D834" s="53" t="n">
        <v>5</v>
      </c>
      <c r="E834" s="73" t="n">
        <v>2.75</v>
      </c>
      <c r="F834" s="55" t="n">
        <v>4</v>
      </c>
      <c r="G834" s="20"/>
      <c r="H834" s="20"/>
      <c r="I834" s="20"/>
      <c r="J834" s="20"/>
      <c r="K834" s="20"/>
      <c r="L834" s="20"/>
      <c r="M834" s="41" t="n">
        <f aca="false">E834*F834+G834*H834+I834*J834+K834*L834</f>
        <v>11</v>
      </c>
      <c r="N834" s="41" t="n">
        <f aca="false">Исходные!$B$15-M834</f>
        <v>0.699999999999999</v>
      </c>
      <c r="O834" s="55" t="n">
        <v>6</v>
      </c>
      <c r="P834" s="53" t="n">
        <f aca="false">(F834+H834+J834+L834)*O834</f>
        <v>24</v>
      </c>
      <c r="Q834" s="74" t="n">
        <f aca="false">M834*O834</f>
        <v>66</v>
      </c>
      <c r="R834" s="74" t="n">
        <f aca="false">N834*O834</f>
        <v>4.2</v>
      </c>
    </row>
    <row r="835" customFormat="false" ht="15" hidden="false" customHeight="false" outlineLevel="0" collapsed="false">
      <c r="A835" s="53" t="n">
        <v>5</v>
      </c>
      <c r="B835" s="53" t="n">
        <v>22</v>
      </c>
      <c r="C835" s="76" t="s">
        <v>512</v>
      </c>
      <c r="D835" s="53" t="n">
        <v>6</v>
      </c>
      <c r="E835" s="73" t="n">
        <v>2.25</v>
      </c>
      <c r="F835" s="55" t="n">
        <v>3</v>
      </c>
      <c r="G835" s="73" t="n">
        <v>1.7</v>
      </c>
      <c r="H835" s="55" t="n">
        <v>2</v>
      </c>
      <c r="I835" s="20"/>
      <c r="J835" s="20"/>
      <c r="K835" s="20"/>
      <c r="L835" s="20"/>
      <c r="M835" s="41" t="n">
        <f aca="false">E835*F835+G835*H835+I835*J835+K835*L835</f>
        <v>10.15</v>
      </c>
      <c r="N835" s="41" t="n">
        <f aca="false">Исходные!$B$15-M835</f>
        <v>1.55</v>
      </c>
      <c r="O835" s="55" t="n">
        <v>1</v>
      </c>
      <c r="P835" s="53" t="n">
        <f aca="false">(F835+H835+J835+L835)*O835</f>
        <v>5</v>
      </c>
      <c r="Q835" s="74" t="n">
        <f aca="false">M835*O835</f>
        <v>10.15</v>
      </c>
      <c r="R835" s="74" t="n">
        <f aca="false">N835*O835</f>
        <v>1.55</v>
      </c>
    </row>
    <row r="836" customFormat="false" ht="15" hidden="false" customHeight="false" outlineLevel="0" collapsed="false">
      <c r="A836" s="53" t="n">
        <v>5</v>
      </c>
      <c r="B836" s="53" t="n">
        <v>22</v>
      </c>
      <c r="C836" s="76" t="s">
        <v>512</v>
      </c>
      <c r="D836" s="53" t="n">
        <v>7</v>
      </c>
      <c r="E836" s="73" t="n">
        <v>1.7</v>
      </c>
      <c r="F836" s="55" t="n">
        <v>2</v>
      </c>
      <c r="G836" s="20"/>
      <c r="H836" s="20"/>
      <c r="I836" s="20"/>
      <c r="J836" s="20"/>
      <c r="K836" s="20"/>
      <c r="L836" s="20"/>
      <c r="M836" s="41" t="n">
        <f aca="false">E836*F836+G836*H836+I836*J836+K836*L836</f>
        <v>3.4</v>
      </c>
      <c r="N836" s="41" t="n">
        <f aca="false">Исходные!$B$15-M836</f>
        <v>8.3</v>
      </c>
      <c r="O836" s="55" t="n">
        <v>1</v>
      </c>
      <c r="P836" s="53" t="n">
        <f aca="false">(F836+H836+J836+L836)*O836</f>
        <v>2</v>
      </c>
      <c r="Q836" s="74" t="n">
        <f aca="false">M836*O836</f>
        <v>3.4</v>
      </c>
      <c r="R836" s="74" t="n">
        <f aca="false">N836*O836</f>
        <v>8.3</v>
      </c>
    </row>
    <row r="837" customFormat="false" ht="15" hidden="false" customHeight="false" outlineLevel="0" collapsed="false">
      <c r="A837" s="53" t="n">
        <v>5</v>
      </c>
      <c r="B837" s="53" t="n">
        <v>20</v>
      </c>
      <c r="C837" s="76" t="s">
        <v>512</v>
      </c>
      <c r="D837" s="53" t="n">
        <v>1</v>
      </c>
      <c r="E837" s="73" t="n">
        <v>4.1</v>
      </c>
      <c r="F837" s="55" t="n">
        <v>2</v>
      </c>
      <c r="G837" s="73" t="n">
        <v>3.325</v>
      </c>
      <c r="H837" s="55" t="n">
        <v>1</v>
      </c>
      <c r="I837" s="20"/>
      <c r="J837" s="20"/>
      <c r="K837" s="20"/>
      <c r="L837" s="20"/>
      <c r="M837" s="41" t="n">
        <f aca="false">E837*F837+G837*H837+I837*J837+K837*L837</f>
        <v>11.525</v>
      </c>
      <c r="N837" s="41" t="n">
        <f aca="false">Исходные!$B$15-M837</f>
        <v>0.175000000000001</v>
      </c>
      <c r="O837" s="55" t="n">
        <v>2</v>
      </c>
      <c r="P837" s="53" t="n">
        <f aca="false">(F837+H837+J837+L837)*O837</f>
        <v>6</v>
      </c>
      <c r="Q837" s="74" t="n">
        <f aca="false">M837*O837</f>
        <v>23.05</v>
      </c>
      <c r="R837" s="74" t="n">
        <f aca="false">N837*O837</f>
        <v>0.350000000000001</v>
      </c>
    </row>
    <row r="838" customFormat="false" ht="15" hidden="false" customHeight="false" outlineLevel="0" collapsed="false">
      <c r="A838" s="53" t="n">
        <v>5</v>
      </c>
      <c r="B838" s="53" t="n">
        <v>20</v>
      </c>
      <c r="C838" s="76" t="s">
        <v>512</v>
      </c>
      <c r="D838" s="53" t="n">
        <v>2</v>
      </c>
      <c r="E838" s="73" t="n">
        <v>3.8</v>
      </c>
      <c r="F838" s="55" t="n">
        <v>3</v>
      </c>
      <c r="G838" s="20"/>
      <c r="H838" s="20"/>
      <c r="I838" s="20"/>
      <c r="J838" s="20"/>
      <c r="K838" s="20"/>
      <c r="L838" s="20"/>
      <c r="M838" s="41" t="n">
        <f aca="false">E838*F838+G838*H838+I838*J838+K838*L838</f>
        <v>11.4</v>
      </c>
      <c r="N838" s="41" t="n">
        <f aca="false">Исходные!$B$15-M838</f>
        <v>0.300000000000001</v>
      </c>
      <c r="O838" s="55" t="n">
        <v>3</v>
      </c>
      <c r="P838" s="53" t="n">
        <f aca="false">(F838+H838+J838+L838)*O838</f>
        <v>9</v>
      </c>
      <c r="Q838" s="74" t="n">
        <f aca="false">M838*O838</f>
        <v>34.2</v>
      </c>
      <c r="R838" s="74" t="n">
        <f aca="false">N838*O838</f>
        <v>0.900000000000002</v>
      </c>
    </row>
    <row r="839" customFormat="false" ht="15" hidden="false" customHeight="false" outlineLevel="0" collapsed="false">
      <c r="A839" s="53" t="n">
        <v>5</v>
      </c>
      <c r="B839" s="53" t="n">
        <v>20</v>
      </c>
      <c r="C839" s="76" t="s">
        <v>512</v>
      </c>
      <c r="D839" s="53" t="n">
        <v>3</v>
      </c>
      <c r="E839" s="73" t="n">
        <v>3.05</v>
      </c>
      <c r="F839" s="55" t="n">
        <v>3</v>
      </c>
      <c r="G839" s="73" t="n">
        <v>2.25</v>
      </c>
      <c r="H839" s="55" t="n">
        <v>1</v>
      </c>
      <c r="I839" s="20"/>
      <c r="J839" s="20"/>
      <c r="K839" s="20"/>
      <c r="L839" s="20"/>
      <c r="M839" s="41" t="n">
        <f aca="false">E839*F839+G839*H839+I839*J839+K839*L839</f>
        <v>11.4</v>
      </c>
      <c r="N839" s="41" t="n">
        <f aca="false">Исходные!$B$15-M839</f>
        <v>0.300000000000001</v>
      </c>
      <c r="O839" s="55" t="n">
        <v>1</v>
      </c>
      <c r="P839" s="53" t="n">
        <f aca="false">(F839+H839+J839+L839)*O839</f>
        <v>4</v>
      </c>
      <c r="Q839" s="74" t="n">
        <f aca="false">M839*O839</f>
        <v>11.4</v>
      </c>
      <c r="R839" s="74" t="n">
        <f aca="false">N839*O839</f>
        <v>0.300000000000001</v>
      </c>
    </row>
    <row r="840" customFormat="false" ht="15" hidden="false" customHeight="false" outlineLevel="0" collapsed="false">
      <c r="A840" s="53" t="n">
        <v>5</v>
      </c>
      <c r="B840" s="53" t="n">
        <v>20</v>
      </c>
      <c r="C840" s="76" t="s">
        <v>512</v>
      </c>
      <c r="D840" s="53" t="n">
        <v>4</v>
      </c>
      <c r="E840" s="73" t="n">
        <v>3.8</v>
      </c>
      <c r="F840" s="55" t="n">
        <v>1</v>
      </c>
      <c r="G840" s="73" t="n">
        <v>3.785</v>
      </c>
      <c r="H840" s="55" t="n">
        <v>2</v>
      </c>
      <c r="I840" s="20"/>
      <c r="J840" s="20"/>
      <c r="K840" s="20"/>
      <c r="L840" s="20"/>
      <c r="M840" s="41" t="n">
        <f aca="false">E840*F840+G840*H840+I840*J840+K840*L840</f>
        <v>11.37</v>
      </c>
      <c r="N840" s="41" t="n">
        <f aca="false">Исходные!$B$15-M840</f>
        <v>0.329999999999998</v>
      </c>
      <c r="O840" s="55" t="n">
        <v>1</v>
      </c>
      <c r="P840" s="53" t="n">
        <f aca="false">(F840+H840+J840+L840)*O840</f>
        <v>3</v>
      </c>
      <c r="Q840" s="74" t="n">
        <f aca="false">M840*O840</f>
        <v>11.37</v>
      </c>
      <c r="R840" s="74" t="n">
        <f aca="false">N840*O840</f>
        <v>0.329999999999998</v>
      </c>
    </row>
    <row r="841" customFormat="false" ht="15" hidden="false" customHeight="false" outlineLevel="0" collapsed="false">
      <c r="A841" s="53" t="n">
        <v>5</v>
      </c>
      <c r="B841" s="53" t="n">
        <v>20</v>
      </c>
      <c r="C841" s="76" t="s">
        <v>512</v>
      </c>
      <c r="D841" s="53" t="n">
        <v>5</v>
      </c>
      <c r="E841" s="73" t="n">
        <v>3.785</v>
      </c>
      <c r="F841" s="55" t="n">
        <v>2</v>
      </c>
      <c r="G841" s="73" t="n">
        <v>3.78</v>
      </c>
      <c r="H841" s="55" t="n">
        <v>1</v>
      </c>
      <c r="I841" s="20"/>
      <c r="J841" s="20"/>
      <c r="K841" s="20"/>
      <c r="L841" s="20"/>
      <c r="M841" s="41" t="n">
        <f aca="false">E841*F841+G841*H841+I841*J841+K841*L841</f>
        <v>11.35</v>
      </c>
      <c r="N841" s="41" t="n">
        <f aca="false">Исходные!$B$15-M841</f>
        <v>0.35</v>
      </c>
      <c r="O841" s="55" t="n">
        <v>1</v>
      </c>
      <c r="P841" s="53" t="n">
        <f aca="false">(F841+H841+J841+L841)*O841</f>
        <v>3</v>
      </c>
      <c r="Q841" s="74" t="n">
        <f aca="false">M841*O841</f>
        <v>11.35</v>
      </c>
      <c r="R841" s="74" t="n">
        <f aca="false">N841*O841</f>
        <v>0.35</v>
      </c>
    </row>
    <row r="842" customFormat="false" ht="15" hidden="false" customHeight="false" outlineLevel="0" collapsed="false">
      <c r="A842" s="53" t="n">
        <v>5</v>
      </c>
      <c r="B842" s="53" t="n">
        <v>20</v>
      </c>
      <c r="C842" s="76" t="s">
        <v>512</v>
      </c>
      <c r="D842" s="53" t="n">
        <v>6</v>
      </c>
      <c r="E842" s="73" t="n">
        <v>3.78</v>
      </c>
      <c r="F842" s="55" t="n">
        <v>3</v>
      </c>
      <c r="G842" s="20"/>
      <c r="H842" s="20"/>
      <c r="I842" s="20"/>
      <c r="J842" s="20"/>
      <c r="K842" s="20"/>
      <c r="L842" s="20"/>
      <c r="M842" s="41" t="n">
        <f aca="false">E842*F842+G842*H842+I842*J842+K842*L842</f>
        <v>11.34</v>
      </c>
      <c r="N842" s="41" t="n">
        <f aca="false">Исходные!$B$15-M842</f>
        <v>0.359999999999999</v>
      </c>
      <c r="O842" s="55" t="n">
        <v>1</v>
      </c>
      <c r="P842" s="53" t="n">
        <f aca="false">(F842+H842+J842+L842)*O842</f>
        <v>3</v>
      </c>
      <c r="Q842" s="74" t="n">
        <f aca="false">M842*O842</f>
        <v>11.34</v>
      </c>
      <c r="R842" s="74" t="n">
        <f aca="false">N842*O842</f>
        <v>0.359999999999999</v>
      </c>
    </row>
    <row r="843" customFormat="false" ht="15" hidden="false" customHeight="false" outlineLevel="0" collapsed="false">
      <c r="A843" s="53" t="n">
        <v>5</v>
      </c>
      <c r="B843" s="53" t="n">
        <v>20</v>
      </c>
      <c r="C843" s="76" t="s">
        <v>512</v>
      </c>
      <c r="D843" s="53" t="n">
        <v>7</v>
      </c>
      <c r="E843" s="73" t="n">
        <v>4.5</v>
      </c>
      <c r="F843" s="55" t="n">
        <v>2</v>
      </c>
      <c r="G843" s="73" t="n">
        <v>2.25</v>
      </c>
      <c r="H843" s="55" t="n">
        <v>1</v>
      </c>
      <c r="I843" s="20"/>
      <c r="J843" s="20"/>
      <c r="K843" s="20"/>
      <c r="L843" s="20"/>
      <c r="M843" s="41" t="n">
        <f aca="false">E843*F843+G843*H843+I843*J843+K843*L843</f>
        <v>11.25</v>
      </c>
      <c r="N843" s="41" t="n">
        <f aca="false">Исходные!$B$15-M843</f>
        <v>0.449999999999999</v>
      </c>
      <c r="O843" s="55" t="n">
        <v>1</v>
      </c>
      <c r="P843" s="53" t="n">
        <f aca="false">(F843+H843+J843+L843)*O843</f>
        <v>3</v>
      </c>
      <c r="Q843" s="74" t="n">
        <f aca="false">M843*O843</f>
        <v>11.25</v>
      </c>
      <c r="R843" s="74" t="n">
        <f aca="false">N843*O843</f>
        <v>0.449999999999999</v>
      </c>
    </row>
    <row r="844" customFormat="false" ht="15" hidden="false" customHeight="false" outlineLevel="0" collapsed="false">
      <c r="A844" s="53" t="n">
        <v>5</v>
      </c>
      <c r="B844" s="53" t="n">
        <v>20</v>
      </c>
      <c r="C844" s="76" t="s">
        <v>512</v>
      </c>
      <c r="D844" s="53" t="n">
        <v>8</v>
      </c>
      <c r="E844" s="73" t="n">
        <v>2.25</v>
      </c>
      <c r="F844" s="55" t="n">
        <v>5</v>
      </c>
      <c r="G844" s="20"/>
      <c r="H844" s="20"/>
      <c r="I844" s="20"/>
      <c r="J844" s="20"/>
      <c r="K844" s="20"/>
      <c r="L844" s="20"/>
      <c r="M844" s="41" t="n">
        <f aca="false">E844*F844+G844*H844+I844*J844+K844*L844</f>
        <v>11.25</v>
      </c>
      <c r="N844" s="41" t="n">
        <f aca="false">Исходные!$B$15-M844</f>
        <v>0.449999999999999</v>
      </c>
      <c r="O844" s="55" t="n">
        <v>13</v>
      </c>
      <c r="P844" s="53" t="n">
        <f aca="false">(F844+H844+J844+L844)*O844</f>
        <v>65</v>
      </c>
      <c r="Q844" s="74" t="n">
        <f aca="false">M844*O844</f>
        <v>146.25</v>
      </c>
      <c r="R844" s="74" t="n">
        <f aca="false">N844*O844</f>
        <v>5.84999999999999</v>
      </c>
    </row>
    <row r="845" customFormat="false" ht="15" hidden="false" customHeight="false" outlineLevel="0" collapsed="false">
      <c r="A845" s="53" t="n">
        <v>5</v>
      </c>
      <c r="B845" s="53" t="n">
        <v>20</v>
      </c>
      <c r="C845" s="76" t="s">
        <v>512</v>
      </c>
      <c r="D845" s="53" t="n">
        <v>9</v>
      </c>
      <c r="E845" s="73" t="n">
        <v>3.7</v>
      </c>
      <c r="F845" s="55" t="n">
        <v>3</v>
      </c>
      <c r="G845" s="20"/>
      <c r="H845" s="20"/>
      <c r="I845" s="20"/>
      <c r="J845" s="20"/>
      <c r="K845" s="20"/>
      <c r="L845" s="20"/>
      <c r="M845" s="41" t="n">
        <f aca="false">E845*F845+G845*H845+I845*J845+K845*L845</f>
        <v>11.1</v>
      </c>
      <c r="N845" s="41" t="n">
        <f aca="false">Исходные!$B$15-M845</f>
        <v>0.599999999999998</v>
      </c>
      <c r="O845" s="55" t="n">
        <v>1</v>
      </c>
      <c r="P845" s="53" t="n">
        <f aca="false">(F845+H845+J845+L845)*O845</f>
        <v>3</v>
      </c>
      <c r="Q845" s="74" t="n">
        <f aca="false">M845*O845</f>
        <v>11.1</v>
      </c>
      <c r="R845" s="74" t="n">
        <f aca="false">N845*O845</f>
        <v>0.599999999999998</v>
      </c>
    </row>
    <row r="846" customFormat="false" ht="15" hidden="false" customHeight="false" outlineLevel="0" collapsed="false">
      <c r="A846" s="53" t="n">
        <v>5</v>
      </c>
      <c r="B846" s="53" t="n">
        <v>20</v>
      </c>
      <c r="C846" s="76" t="s">
        <v>512</v>
      </c>
      <c r="D846" s="53" t="n">
        <v>10</v>
      </c>
      <c r="E846" s="73" t="n">
        <v>2.75</v>
      </c>
      <c r="F846" s="55" t="n">
        <v>4</v>
      </c>
      <c r="G846" s="20"/>
      <c r="H846" s="20"/>
      <c r="I846" s="20"/>
      <c r="J846" s="20"/>
      <c r="K846" s="20"/>
      <c r="L846" s="20"/>
      <c r="M846" s="41" t="n">
        <f aca="false">E846*F846+G846*H846+I846*J846+K846*L846</f>
        <v>11</v>
      </c>
      <c r="N846" s="41" t="n">
        <f aca="false">Исходные!$B$15-M846</f>
        <v>0.699999999999999</v>
      </c>
      <c r="O846" s="55" t="n">
        <v>18</v>
      </c>
      <c r="P846" s="53" t="n">
        <f aca="false">(F846+H846+J846+L846)*O846</f>
        <v>72</v>
      </c>
      <c r="Q846" s="74" t="n">
        <f aca="false">M846*O846</f>
        <v>198</v>
      </c>
      <c r="R846" s="74" t="n">
        <f aca="false">N846*O846</f>
        <v>12.6</v>
      </c>
    </row>
    <row r="847" customFormat="false" ht="15" hidden="false" customHeight="false" outlineLevel="0" collapsed="false">
      <c r="A847" s="53" t="n">
        <v>5</v>
      </c>
      <c r="B847" s="53" t="n">
        <v>20</v>
      </c>
      <c r="C847" s="76" t="s">
        <v>512</v>
      </c>
      <c r="D847" s="53" t="n">
        <v>11</v>
      </c>
      <c r="E847" s="73" t="n">
        <v>3.7</v>
      </c>
      <c r="F847" s="55" t="n">
        <v>1</v>
      </c>
      <c r="G847" s="73" t="n">
        <v>3.6</v>
      </c>
      <c r="H847" s="55" t="n">
        <v>2</v>
      </c>
      <c r="I847" s="20"/>
      <c r="J847" s="20"/>
      <c r="K847" s="20"/>
      <c r="L847" s="20"/>
      <c r="M847" s="41" t="n">
        <f aca="false">E847*F847+G847*H847+I847*J847+K847*L847</f>
        <v>10.9</v>
      </c>
      <c r="N847" s="41" t="n">
        <f aca="false">Исходные!$B$15-M847</f>
        <v>0.799999999999999</v>
      </c>
      <c r="O847" s="55" t="n">
        <v>1</v>
      </c>
      <c r="P847" s="53" t="n">
        <f aca="false">(F847+H847+J847+L847)*O847</f>
        <v>3</v>
      </c>
      <c r="Q847" s="74" t="n">
        <f aca="false">M847*O847</f>
        <v>10.9</v>
      </c>
      <c r="R847" s="74" t="n">
        <f aca="false">N847*O847</f>
        <v>0.799999999999999</v>
      </c>
    </row>
    <row r="848" customFormat="false" ht="15" hidden="false" customHeight="false" outlineLevel="0" collapsed="false">
      <c r="A848" s="53" t="n">
        <v>5</v>
      </c>
      <c r="B848" s="53" t="n">
        <v>20</v>
      </c>
      <c r="C848" s="76" t="s">
        <v>512</v>
      </c>
      <c r="D848" s="53" t="n">
        <v>12</v>
      </c>
      <c r="E848" s="73" t="n">
        <v>3.6</v>
      </c>
      <c r="F848" s="55" t="n">
        <v>3</v>
      </c>
      <c r="G848" s="20"/>
      <c r="H848" s="20"/>
      <c r="I848" s="20"/>
      <c r="J848" s="20"/>
      <c r="K848" s="20"/>
      <c r="L848" s="20"/>
      <c r="M848" s="41" t="n">
        <f aca="false">E848*F848+G848*H848+I848*J848+K848*L848</f>
        <v>10.8</v>
      </c>
      <c r="N848" s="41" t="n">
        <f aca="false">Исходные!$B$15-M848</f>
        <v>0.899999999999999</v>
      </c>
      <c r="O848" s="55" t="n">
        <v>4</v>
      </c>
      <c r="P848" s="53" t="n">
        <f aca="false">(F848+H848+J848+L848)*O848</f>
        <v>12</v>
      </c>
      <c r="Q848" s="74" t="n">
        <f aca="false">M848*O848</f>
        <v>43.2</v>
      </c>
      <c r="R848" s="74" t="n">
        <f aca="false">N848*O848</f>
        <v>3.59999999999999</v>
      </c>
    </row>
    <row r="849" customFormat="false" ht="15" hidden="false" customHeight="false" outlineLevel="0" collapsed="false">
      <c r="A849" s="53" t="n">
        <v>5</v>
      </c>
      <c r="B849" s="53" t="n">
        <v>20</v>
      </c>
      <c r="C849" s="76" t="s">
        <v>512</v>
      </c>
      <c r="D849" s="53" t="n">
        <v>13</v>
      </c>
      <c r="E849" s="73" t="n">
        <v>3.6</v>
      </c>
      <c r="F849" s="55" t="n">
        <v>2</v>
      </c>
      <c r="G849" s="73" t="n">
        <v>3.59</v>
      </c>
      <c r="H849" s="55" t="n">
        <v>1</v>
      </c>
      <c r="I849" s="20"/>
      <c r="J849" s="20"/>
      <c r="K849" s="20"/>
      <c r="L849" s="20"/>
      <c r="M849" s="41" t="n">
        <f aca="false">E849*F849+G849*H849+I849*J849+K849*L849</f>
        <v>10.79</v>
      </c>
      <c r="N849" s="41" t="n">
        <f aca="false">Исходные!$B$15-M849</f>
        <v>0.91</v>
      </c>
      <c r="O849" s="55" t="n">
        <v>1</v>
      </c>
      <c r="P849" s="53" t="n">
        <f aca="false">(F849+H849+J849+L849)*O849</f>
        <v>3</v>
      </c>
      <c r="Q849" s="74" t="n">
        <f aca="false">M849*O849</f>
        <v>10.79</v>
      </c>
      <c r="R849" s="74" t="n">
        <f aca="false">N849*O849</f>
        <v>0.91</v>
      </c>
    </row>
    <row r="850" customFormat="false" ht="15" hidden="false" customHeight="false" outlineLevel="0" collapsed="false">
      <c r="A850" s="53" t="n">
        <v>5</v>
      </c>
      <c r="B850" s="53" t="n">
        <v>20</v>
      </c>
      <c r="C850" s="76" t="s">
        <v>512</v>
      </c>
      <c r="D850" s="53" t="n">
        <v>14</v>
      </c>
      <c r="E850" s="73" t="n">
        <v>3.59</v>
      </c>
      <c r="F850" s="55" t="n">
        <v>3</v>
      </c>
      <c r="G850" s="20"/>
      <c r="H850" s="20"/>
      <c r="I850" s="20"/>
      <c r="J850" s="20"/>
      <c r="K850" s="20"/>
      <c r="L850" s="20"/>
      <c r="M850" s="41" t="n">
        <f aca="false">E850*F850+G850*H850+I850*J850+K850*L850</f>
        <v>10.77</v>
      </c>
      <c r="N850" s="41" t="n">
        <f aca="false">Исходные!$B$15-M850</f>
        <v>0.93</v>
      </c>
      <c r="O850" s="55" t="n">
        <v>1</v>
      </c>
      <c r="P850" s="53" t="n">
        <f aca="false">(F850+H850+J850+L850)*O850</f>
        <v>3</v>
      </c>
      <c r="Q850" s="74" t="n">
        <f aca="false">M850*O850</f>
        <v>10.77</v>
      </c>
      <c r="R850" s="74" t="n">
        <f aca="false">N850*O850</f>
        <v>0.93</v>
      </c>
    </row>
    <row r="851" customFormat="false" ht="15" hidden="false" customHeight="false" outlineLevel="0" collapsed="false">
      <c r="A851" s="53" t="n">
        <v>5</v>
      </c>
      <c r="B851" s="53" t="n">
        <v>20</v>
      </c>
      <c r="C851" s="76" t="s">
        <v>512</v>
      </c>
      <c r="D851" s="53" t="n">
        <v>15</v>
      </c>
      <c r="E851" s="73" t="n">
        <v>3.325</v>
      </c>
      <c r="F851" s="55" t="n">
        <v>2</v>
      </c>
      <c r="G851" s="73" t="n">
        <v>3.05</v>
      </c>
      <c r="H851" s="55" t="n">
        <v>1</v>
      </c>
      <c r="I851" s="20"/>
      <c r="J851" s="20"/>
      <c r="K851" s="20"/>
      <c r="L851" s="20"/>
      <c r="M851" s="41" t="n">
        <f aca="false">E851*F851+G851*H851+I851*J851+K851*L851</f>
        <v>9.7</v>
      </c>
      <c r="N851" s="41" t="n">
        <f aca="false">Исходные!$B$15-M851</f>
        <v>2</v>
      </c>
      <c r="O851" s="55" t="n">
        <v>1</v>
      </c>
      <c r="P851" s="53" t="n">
        <f aca="false">(F851+H851+J851+L851)*O851</f>
        <v>3</v>
      </c>
      <c r="Q851" s="74" t="n">
        <f aca="false">M851*O851</f>
        <v>9.7</v>
      </c>
      <c r="R851" s="74" t="n">
        <f aca="false">N851*O851</f>
        <v>2</v>
      </c>
    </row>
    <row r="852" customFormat="false" ht="15" hidden="false" customHeight="false" outlineLevel="0" collapsed="false">
      <c r="A852" s="53" t="n">
        <v>5</v>
      </c>
      <c r="B852" s="53" t="n">
        <v>20</v>
      </c>
      <c r="C852" s="76" t="s">
        <v>512</v>
      </c>
      <c r="D852" s="53" t="n">
        <v>16</v>
      </c>
      <c r="E852" s="73" t="n">
        <v>4.8</v>
      </c>
      <c r="F852" s="55" t="n">
        <v>2</v>
      </c>
      <c r="G852" s="20"/>
      <c r="H852" s="20"/>
      <c r="I852" s="20"/>
      <c r="J852" s="20"/>
      <c r="K852" s="20"/>
      <c r="L852" s="20"/>
      <c r="M852" s="41" t="n">
        <f aca="false">E852*F852+G852*H852+I852*J852+K852*L852</f>
        <v>9.6</v>
      </c>
      <c r="N852" s="41" t="n">
        <f aca="false">Исходные!$B$15-M852</f>
        <v>2.1</v>
      </c>
      <c r="O852" s="55" t="n">
        <v>1</v>
      </c>
      <c r="P852" s="53" t="n">
        <f aca="false">(F852+H852+J852+L852)*O852</f>
        <v>2</v>
      </c>
      <c r="Q852" s="74" t="n">
        <f aca="false">M852*O852</f>
        <v>9.6</v>
      </c>
      <c r="R852" s="74" t="n">
        <f aca="false">N852*O852</f>
        <v>2.1</v>
      </c>
    </row>
    <row r="853" customFormat="false" ht="15" hidden="false" customHeight="false" outlineLevel="0" collapsed="false">
      <c r="A853" s="53" t="n">
        <v>5</v>
      </c>
      <c r="B853" s="53" t="n">
        <v>20</v>
      </c>
      <c r="C853" s="76" t="s">
        <v>512</v>
      </c>
      <c r="D853" s="53" t="n">
        <v>17</v>
      </c>
      <c r="E853" s="73" t="n">
        <v>2.75</v>
      </c>
      <c r="F853" s="55" t="n">
        <v>1</v>
      </c>
      <c r="G853" s="73" t="n">
        <v>2.25</v>
      </c>
      <c r="H853" s="55" t="n">
        <v>3</v>
      </c>
      <c r="I853" s="20"/>
      <c r="J853" s="20"/>
      <c r="K853" s="20"/>
      <c r="L853" s="20"/>
      <c r="M853" s="41" t="n">
        <f aca="false">E853*F853+G853*H853+I853*J853+K853*L853</f>
        <v>9.5</v>
      </c>
      <c r="N853" s="41" t="n">
        <f aca="false">Исходные!$B$15-M853</f>
        <v>2.2</v>
      </c>
      <c r="O853" s="55" t="n">
        <v>1</v>
      </c>
      <c r="P853" s="53" t="n">
        <f aca="false">(F853+H853+J853+L853)*O853</f>
        <v>4</v>
      </c>
      <c r="Q853" s="74" t="n">
        <f aca="false">M853*O853</f>
        <v>9.5</v>
      </c>
      <c r="R853" s="74" t="n">
        <f aca="false">N853*O853</f>
        <v>2.2</v>
      </c>
    </row>
    <row r="854" customFormat="false" ht="15" hidden="false" customHeight="false" outlineLevel="0" collapsed="false">
      <c r="A854" s="53" t="n">
        <v>5</v>
      </c>
      <c r="B854" s="53" t="n">
        <v>20</v>
      </c>
      <c r="C854" s="76" t="s">
        <v>512</v>
      </c>
      <c r="D854" s="53" t="n">
        <v>18</v>
      </c>
      <c r="E854" s="73" t="n">
        <v>2.25</v>
      </c>
      <c r="F854" s="55" t="n">
        <v>3</v>
      </c>
      <c r="G854" s="20"/>
      <c r="H854" s="20"/>
      <c r="I854" s="20"/>
      <c r="J854" s="20"/>
      <c r="K854" s="20"/>
      <c r="L854" s="20"/>
      <c r="M854" s="41" t="n">
        <f aca="false">E854*F854+G854*H854+I854*J854+K854*L854</f>
        <v>6.75</v>
      </c>
      <c r="N854" s="41" t="n">
        <f aca="false">Исходные!$B$15-M854</f>
        <v>4.95</v>
      </c>
      <c r="O854" s="55" t="n">
        <v>1</v>
      </c>
      <c r="P854" s="53" t="n">
        <f aca="false">(F854+H854+J854+L854)*O854</f>
        <v>3</v>
      </c>
      <c r="Q854" s="74" t="n">
        <f aca="false">M854*O854</f>
        <v>6.75</v>
      </c>
      <c r="R854" s="74" t="n">
        <f aca="false">N854*O854</f>
        <v>4.95</v>
      </c>
    </row>
    <row r="855" customFormat="false" ht="15" hidden="false" customHeight="false" outlineLevel="0" collapsed="false">
      <c r="A855" s="53" t="n">
        <v>5</v>
      </c>
      <c r="B855" s="53" t="n">
        <v>18</v>
      </c>
      <c r="C855" s="76" t="s">
        <v>512</v>
      </c>
      <c r="D855" s="53" t="n">
        <v>1</v>
      </c>
      <c r="E855" s="73" t="n">
        <v>11.7</v>
      </c>
      <c r="F855" s="55" t="n">
        <v>1</v>
      </c>
      <c r="G855" s="20"/>
      <c r="H855" s="20"/>
      <c r="I855" s="20"/>
      <c r="J855" s="20"/>
      <c r="K855" s="20"/>
      <c r="L855" s="20"/>
      <c r="M855" s="41" t="n">
        <f aca="false">E855*F855+G855*H855+I855*J855+K855*L855</f>
        <v>11.7</v>
      </c>
      <c r="N855" s="41" t="n">
        <f aca="false">Исходные!$B$15-M855</f>
        <v>0</v>
      </c>
      <c r="O855" s="55" t="n">
        <v>26</v>
      </c>
      <c r="P855" s="53" t="n">
        <f aca="false">(F855+H855+J855+L855)*O855</f>
        <v>26</v>
      </c>
      <c r="Q855" s="74" t="n">
        <f aca="false">M855*O855</f>
        <v>304.2</v>
      </c>
      <c r="R855" s="74" t="n">
        <f aca="false">N855*O855</f>
        <v>0</v>
      </c>
    </row>
    <row r="856" customFormat="false" ht="15" hidden="false" customHeight="false" outlineLevel="0" collapsed="false">
      <c r="A856" s="53" t="n">
        <v>5</v>
      </c>
      <c r="B856" s="53" t="n">
        <v>18</v>
      </c>
      <c r="C856" s="76" t="s">
        <v>512</v>
      </c>
      <c r="D856" s="53" t="n">
        <v>2</v>
      </c>
      <c r="E856" s="73" t="n">
        <v>6.109</v>
      </c>
      <c r="F856" s="55" t="n">
        <v>1</v>
      </c>
      <c r="G856" s="73" t="n">
        <v>3.9</v>
      </c>
      <c r="H856" s="55" t="n">
        <v>1</v>
      </c>
      <c r="I856" s="73" t="n">
        <v>1.45</v>
      </c>
      <c r="J856" s="55" t="n">
        <v>1</v>
      </c>
      <c r="K856" s="20"/>
      <c r="L856" s="20"/>
      <c r="M856" s="41" t="n">
        <f aca="false">E856*F856+G856*H856+I856*J856+K856*L856</f>
        <v>11.459</v>
      </c>
      <c r="N856" s="41" t="n">
        <f aca="false">Исходные!$B$15-M856</f>
        <v>0.241</v>
      </c>
      <c r="O856" s="55" t="n">
        <v>1</v>
      </c>
      <c r="P856" s="53" t="n">
        <f aca="false">(F856+H856+J856+L856)*O856</f>
        <v>3</v>
      </c>
      <c r="Q856" s="74" t="n">
        <f aca="false">M856*O856</f>
        <v>11.459</v>
      </c>
      <c r="R856" s="74" t="n">
        <f aca="false">N856*O856</f>
        <v>0.241</v>
      </c>
    </row>
    <row r="857" customFormat="false" ht="15" hidden="false" customHeight="false" outlineLevel="0" collapsed="false">
      <c r="A857" s="53" t="n">
        <v>5</v>
      </c>
      <c r="B857" s="53" t="n">
        <v>18</v>
      </c>
      <c r="C857" s="76" t="s">
        <v>512</v>
      </c>
      <c r="D857" s="53" t="n">
        <v>3</v>
      </c>
      <c r="E857" s="73" t="n">
        <v>6.109</v>
      </c>
      <c r="F857" s="55" t="n">
        <v>1</v>
      </c>
      <c r="G857" s="73" t="n">
        <v>2.894</v>
      </c>
      <c r="H857" s="55" t="n">
        <v>1</v>
      </c>
      <c r="I857" s="73" t="n">
        <v>2.394</v>
      </c>
      <c r="J857" s="55" t="n">
        <v>1</v>
      </c>
      <c r="K857" s="20"/>
      <c r="L857" s="20"/>
      <c r="M857" s="41" t="n">
        <f aca="false">E857*F857+G857*H857+I857*J857+K857*L857</f>
        <v>11.397</v>
      </c>
      <c r="N857" s="41" t="n">
        <f aca="false">Исходные!$B$15-M857</f>
        <v>0.302999999999999</v>
      </c>
      <c r="O857" s="55" t="n">
        <v>4</v>
      </c>
      <c r="P857" s="53" t="n">
        <f aca="false">(F857+H857+J857+L857)*O857</f>
        <v>12</v>
      </c>
      <c r="Q857" s="74" t="n">
        <f aca="false">M857*O857</f>
        <v>45.588</v>
      </c>
      <c r="R857" s="74" t="n">
        <f aca="false">N857*O857</f>
        <v>1.212</v>
      </c>
    </row>
    <row r="858" customFormat="false" ht="15" hidden="false" customHeight="false" outlineLevel="0" collapsed="false">
      <c r="A858" s="53" t="n">
        <v>5</v>
      </c>
      <c r="B858" s="53" t="n">
        <v>18</v>
      </c>
      <c r="C858" s="76" t="s">
        <v>512</v>
      </c>
      <c r="D858" s="53" t="n">
        <v>4</v>
      </c>
      <c r="E858" s="73" t="n">
        <v>8.944</v>
      </c>
      <c r="F858" s="55" t="n">
        <v>1</v>
      </c>
      <c r="G858" s="73" t="n">
        <v>2.388</v>
      </c>
      <c r="H858" s="55" t="n">
        <v>1</v>
      </c>
      <c r="I858" s="20"/>
      <c r="J858" s="20"/>
      <c r="K858" s="20"/>
      <c r="L858" s="20"/>
      <c r="M858" s="41" t="n">
        <f aca="false">E858*F858+G858*H858+I858*J858+K858*L858</f>
        <v>11.332</v>
      </c>
      <c r="N858" s="41" t="n">
        <f aca="false">Исходные!$B$15-M858</f>
        <v>0.367999999999999</v>
      </c>
      <c r="O858" s="55" t="n">
        <v>8</v>
      </c>
      <c r="P858" s="53" t="n">
        <f aca="false">(F858+H858+J858+L858)*O858</f>
        <v>16</v>
      </c>
      <c r="Q858" s="74" t="n">
        <f aca="false">M858*O858</f>
        <v>90.656</v>
      </c>
      <c r="R858" s="74" t="n">
        <f aca="false">N858*O858</f>
        <v>2.94399999999999</v>
      </c>
    </row>
    <row r="859" customFormat="false" ht="15" hidden="false" customHeight="false" outlineLevel="0" collapsed="false">
      <c r="A859" s="53" t="n">
        <v>5</v>
      </c>
      <c r="B859" s="53" t="n">
        <v>18</v>
      </c>
      <c r="C859" s="76" t="s">
        <v>512</v>
      </c>
      <c r="D859" s="53" t="n">
        <v>5</v>
      </c>
      <c r="E859" s="73" t="n">
        <v>8.944</v>
      </c>
      <c r="F859" s="55" t="n">
        <v>1</v>
      </c>
      <c r="G859" s="73" t="n">
        <v>1.7</v>
      </c>
      <c r="H859" s="55" t="n">
        <v>1</v>
      </c>
      <c r="I859" s="20"/>
      <c r="J859" s="20"/>
      <c r="K859" s="20"/>
      <c r="L859" s="20"/>
      <c r="M859" s="41" t="n">
        <f aca="false">E859*F859+G859*H859+I859*J859+K859*L859</f>
        <v>10.644</v>
      </c>
      <c r="N859" s="41" t="n">
        <f aca="false">Исходные!$B$15-M859</f>
        <v>1.056</v>
      </c>
      <c r="O859" s="55" t="n">
        <v>2</v>
      </c>
      <c r="P859" s="53" t="n">
        <f aca="false">(F859+H859+J859+L859)*O859</f>
        <v>4</v>
      </c>
      <c r="Q859" s="74" t="n">
        <f aca="false">M859*O859</f>
        <v>21.288</v>
      </c>
      <c r="R859" s="74" t="n">
        <f aca="false">N859*O859</f>
        <v>2.112</v>
      </c>
    </row>
    <row r="860" customFormat="false" ht="15" hidden="false" customHeight="false" outlineLevel="0" collapsed="false">
      <c r="A860" s="53" t="n">
        <v>5</v>
      </c>
      <c r="B860" s="53" t="n">
        <v>18</v>
      </c>
      <c r="C860" s="76" t="s">
        <v>512</v>
      </c>
      <c r="D860" s="53" t="n">
        <v>6</v>
      </c>
      <c r="E860" s="73" t="n">
        <v>6.109</v>
      </c>
      <c r="F860" s="55" t="n">
        <v>1</v>
      </c>
      <c r="G860" s="73" t="n">
        <v>1.45</v>
      </c>
      <c r="H860" s="55" t="n">
        <v>3</v>
      </c>
      <c r="I860" s="20"/>
      <c r="J860" s="20"/>
      <c r="K860" s="20"/>
      <c r="L860" s="20"/>
      <c r="M860" s="41" t="n">
        <f aca="false">E860*F860+G860*H860+I860*J860+K860*L860</f>
        <v>10.459</v>
      </c>
      <c r="N860" s="41" t="n">
        <f aca="false">Исходные!$B$15-M860</f>
        <v>1.241</v>
      </c>
      <c r="O860" s="55" t="n">
        <v>1</v>
      </c>
      <c r="P860" s="53" t="n">
        <f aca="false">(F860+H860+J860+L860)*O860</f>
        <v>4</v>
      </c>
      <c r="Q860" s="74" t="n">
        <f aca="false">M860*O860</f>
        <v>10.459</v>
      </c>
      <c r="R860" s="74" t="n">
        <f aca="false">N860*O860</f>
        <v>1.241</v>
      </c>
    </row>
    <row r="861" customFormat="false" ht="15" hidden="false" customHeight="false" outlineLevel="0" collapsed="false">
      <c r="A861" s="53" t="n">
        <v>5</v>
      </c>
      <c r="B861" s="53" t="n">
        <v>18</v>
      </c>
      <c r="C861" s="76" t="s">
        <v>512</v>
      </c>
      <c r="D861" s="53" t="n">
        <v>7</v>
      </c>
      <c r="E861" s="73" t="n">
        <v>6.109</v>
      </c>
      <c r="F861" s="55" t="n">
        <v>1</v>
      </c>
      <c r="G861" s="73" t="n">
        <v>4.3</v>
      </c>
      <c r="H861" s="55" t="n">
        <v>1</v>
      </c>
      <c r="I861" s="20"/>
      <c r="J861" s="20"/>
      <c r="K861" s="20"/>
      <c r="L861" s="20"/>
      <c r="M861" s="41" t="n">
        <f aca="false">E861*F861+G861*H861+I861*J861+K861*L861</f>
        <v>10.409</v>
      </c>
      <c r="N861" s="41" t="n">
        <f aca="false">Исходные!$B$15-M861</f>
        <v>1.291</v>
      </c>
      <c r="O861" s="55" t="n">
        <v>2</v>
      </c>
      <c r="P861" s="53" t="n">
        <f aca="false">(F861+H861+J861+L861)*O861</f>
        <v>4</v>
      </c>
      <c r="Q861" s="74" t="n">
        <f aca="false">M861*O861</f>
        <v>20.818</v>
      </c>
      <c r="R861" s="74" t="n">
        <f aca="false">N861*O861</f>
        <v>2.582</v>
      </c>
    </row>
    <row r="862" customFormat="false" ht="15" hidden="false" customHeight="false" outlineLevel="0" collapsed="false">
      <c r="A862" s="53" t="n">
        <v>5</v>
      </c>
      <c r="B862" s="53" t="n">
        <v>18</v>
      </c>
      <c r="C862" s="76" t="s">
        <v>512</v>
      </c>
      <c r="D862" s="53" t="n">
        <v>8</v>
      </c>
      <c r="E862" s="73" t="n">
        <v>6.109</v>
      </c>
      <c r="F862" s="55" t="n">
        <v>1</v>
      </c>
      <c r="G862" s="73" t="n">
        <v>1.45</v>
      </c>
      <c r="H862" s="55" t="n">
        <v>2</v>
      </c>
      <c r="I862" s="20"/>
      <c r="J862" s="20"/>
      <c r="K862" s="20"/>
      <c r="L862" s="20"/>
      <c r="M862" s="41" t="n">
        <f aca="false">E862*F862+G862*H862+I862*J862+K862*L862</f>
        <v>9.009</v>
      </c>
      <c r="N862" s="41" t="n">
        <f aca="false">Исходные!$B$15-M862</f>
        <v>2.691</v>
      </c>
      <c r="O862" s="55" t="n">
        <v>1</v>
      </c>
      <c r="P862" s="53" t="n">
        <f aca="false">(F862+H862+J862+L862)*O862</f>
        <v>3</v>
      </c>
      <c r="Q862" s="74" t="n">
        <f aca="false">M862*O862</f>
        <v>9.009</v>
      </c>
      <c r="R862" s="74" t="n">
        <f aca="false">N862*O862</f>
        <v>2.691</v>
      </c>
    </row>
    <row r="863" customFormat="false" ht="15" hidden="false" customHeight="false" outlineLevel="0" collapsed="false">
      <c r="A863" s="53" t="n">
        <v>5</v>
      </c>
      <c r="B863" s="53" t="n">
        <v>18</v>
      </c>
      <c r="C863" s="76" t="s">
        <v>512</v>
      </c>
      <c r="D863" s="53" t="n">
        <v>9</v>
      </c>
      <c r="E863" s="73" t="n">
        <v>6.109</v>
      </c>
      <c r="F863" s="55" t="n">
        <v>1</v>
      </c>
      <c r="G863" s="20"/>
      <c r="H863" s="20"/>
      <c r="I863" s="20"/>
      <c r="J863" s="20"/>
      <c r="K863" s="20"/>
      <c r="L863" s="20"/>
      <c r="M863" s="41" t="n">
        <f aca="false">E863*F863+G863*H863+I863*J863+K863*L863</f>
        <v>6.109</v>
      </c>
      <c r="N863" s="41" t="n">
        <f aca="false">Исходные!$B$15-M863</f>
        <v>5.591</v>
      </c>
      <c r="O863" s="55" t="n">
        <v>27</v>
      </c>
      <c r="P863" s="53" t="n">
        <f aca="false">(F863+H863+J863+L863)*O863</f>
        <v>27</v>
      </c>
      <c r="Q863" s="74" t="n">
        <f aca="false">M863*O863</f>
        <v>164.943</v>
      </c>
      <c r="R863" s="74" t="n">
        <f aca="false">N863*O863</f>
        <v>150.957</v>
      </c>
    </row>
    <row r="864" customFormat="false" ht="15" hidden="false" customHeight="false" outlineLevel="0" collapsed="false">
      <c r="A864" s="53" t="n">
        <v>5</v>
      </c>
      <c r="B864" s="53" t="n">
        <v>16</v>
      </c>
      <c r="C864" s="76" t="s">
        <v>512</v>
      </c>
      <c r="D864" s="53" t="n">
        <v>1</v>
      </c>
      <c r="E864" s="73" t="n">
        <v>11.7</v>
      </c>
      <c r="F864" s="55" t="n">
        <v>1</v>
      </c>
      <c r="G864" s="20"/>
      <c r="H864" s="20"/>
      <c r="I864" s="20"/>
      <c r="J864" s="20"/>
      <c r="K864" s="20"/>
      <c r="L864" s="20"/>
      <c r="M864" s="41" t="n">
        <f aca="false">E864*F864+G864*H864+I864*J864+K864*L864</f>
        <v>11.7</v>
      </c>
      <c r="N864" s="41" t="n">
        <f aca="false">Исходные!$B$15-M864</f>
        <v>0</v>
      </c>
      <c r="O864" s="55" t="n">
        <v>26</v>
      </c>
      <c r="P864" s="53" t="n">
        <f aca="false">(F864+H864+J864+L864)*O864</f>
        <v>26</v>
      </c>
      <c r="Q864" s="74" t="n">
        <f aca="false">M864*O864</f>
        <v>304.2</v>
      </c>
      <c r="R864" s="74" t="n">
        <f aca="false">N864*O864</f>
        <v>0</v>
      </c>
    </row>
    <row r="865" customFormat="false" ht="15" hidden="false" customHeight="false" outlineLevel="0" collapsed="false">
      <c r="A865" s="53" t="n">
        <v>5</v>
      </c>
      <c r="B865" s="53" t="n">
        <v>16</v>
      </c>
      <c r="C865" s="76" t="s">
        <v>512</v>
      </c>
      <c r="D865" s="53" t="n">
        <v>2</v>
      </c>
      <c r="E865" s="73" t="n">
        <v>4.7</v>
      </c>
      <c r="F865" s="55" t="n">
        <v>2</v>
      </c>
      <c r="G865" s="73" t="n">
        <v>2.3</v>
      </c>
      <c r="H865" s="55" t="n">
        <v>1</v>
      </c>
      <c r="I865" s="20"/>
      <c r="J865" s="20"/>
      <c r="K865" s="20"/>
      <c r="L865" s="20"/>
      <c r="M865" s="41" t="n">
        <f aca="false">E865*F865+G865*H865+I865*J865+K865*L865</f>
        <v>11.7</v>
      </c>
      <c r="N865" s="41" t="n">
        <f aca="false">Исходные!$B$15-M865</f>
        <v>0</v>
      </c>
      <c r="O865" s="55" t="n">
        <v>1</v>
      </c>
      <c r="P865" s="53" t="n">
        <f aca="false">(F865+H865+J865+L865)*O865</f>
        <v>3</v>
      </c>
      <c r="Q865" s="74" t="n">
        <f aca="false">M865*O865</f>
        <v>11.7</v>
      </c>
      <c r="R865" s="74" t="n">
        <f aca="false">N865*O865</f>
        <v>0</v>
      </c>
    </row>
    <row r="866" customFormat="false" ht="15" hidden="false" customHeight="false" outlineLevel="0" collapsed="false">
      <c r="A866" s="53" t="n">
        <v>5</v>
      </c>
      <c r="B866" s="53" t="n">
        <v>16</v>
      </c>
      <c r="C866" s="76" t="s">
        <v>512</v>
      </c>
      <c r="D866" s="53" t="n">
        <v>3</v>
      </c>
      <c r="E866" s="73" t="n">
        <v>3.4</v>
      </c>
      <c r="F866" s="55" t="n">
        <v>2</v>
      </c>
      <c r="G866" s="73" t="n">
        <v>3</v>
      </c>
      <c r="H866" s="55" t="n">
        <v>1</v>
      </c>
      <c r="I866" s="73" t="n">
        <v>1.9</v>
      </c>
      <c r="J866" s="55" t="n">
        <v>1</v>
      </c>
      <c r="K866" s="20"/>
      <c r="L866" s="20"/>
      <c r="M866" s="41" t="n">
        <f aca="false">E866*F866+G866*H866+I866*J866+K866*L866</f>
        <v>11.7</v>
      </c>
      <c r="N866" s="41" t="n">
        <f aca="false">Исходные!$B$15-M866</f>
        <v>0</v>
      </c>
      <c r="O866" s="55" t="n">
        <v>1</v>
      </c>
      <c r="P866" s="53" t="n">
        <f aca="false">(F866+H866+J866+L866)*O866</f>
        <v>4</v>
      </c>
      <c r="Q866" s="74" t="n">
        <f aca="false">M866*O866</f>
        <v>11.7</v>
      </c>
      <c r="R866" s="74" t="n">
        <f aca="false">N866*O866</f>
        <v>0</v>
      </c>
    </row>
    <row r="867" customFormat="false" ht="15" hidden="false" customHeight="false" outlineLevel="0" collapsed="false">
      <c r="A867" s="53" t="n">
        <v>5</v>
      </c>
      <c r="B867" s="53" t="n">
        <v>16</v>
      </c>
      <c r="C867" s="76" t="s">
        <v>512</v>
      </c>
      <c r="D867" s="53" t="n">
        <v>4</v>
      </c>
      <c r="E867" s="73" t="n">
        <v>2.356</v>
      </c>
      <c r="F867" s="55" t="n">
        <v>3</v>
      </c>
      <c r="G867" s="73" t="n">
        <v>2.3</v>
      </c>
      <c r="H867" s="55" t="n">
        <v>2</v>
      </c>
      <c r="I867" s="20"/>
      <c r="J867" s="20"/>
      <c r="K867" s="20"/>
      <c r="L867" s="20"/>
      <c r="M867" s="41" t="n">
        <f aca="false">E867*F867+G867*H867+I867*J867+K867*L867</f>
        <v>11.668</v>
      </c>
      <c r="N867" s="41" t="n">
        <f aca="false">Исходные!$B$15-M867</f>
        <v>0.032</v>
      </c>
      <c r="O867" s="55" t="n">
        <v>1</v>
      </c>
      <c r="P867" s="53" t="n">
        <f aca="false">(F867+H867+J867+L867)*O867</f>
        <v>5</v>
      </c>
      <c r="Q867" s="74" t="n">
        <f aca="false">M867*O867</f>
        <v>11.668</v>
      </c>
      <c r="R867" s="74" t="n">
        <f aca="false">N867*O867</f>
        <v>0.032</v>
      </c>
    </row>
    <row r="868" customFormat="false" ht="15" hidden="false" customHeight="false" outlineLevel="0" collapsed="false">
      <c r="A868" s="53" t="n">
        <v>5</v>
      </c>
      <c r="B868" s="53" t="n">
        <v>16</v>
      </c>
      <c r="C868" s="76" t="s">
        <v>512</v>
      </c>
      <c r="D868" s="53" t="n">
        <v>5</v>
      </c>
      <c r="E868" s="73" t="n">
        <v>2.878</v>
      </c>
      <c r="F868" s="55" t="n">
        <v>1</v>
      </c>
      <c r="G868" s="73" t="n">
        <v>2.356</v>
      </c>
      <c r="H868" s="55" t="n">
        <v>3</v>
      </c>
      <c r="I868" s="73" t="n">
        <v>1.7</v>
      </c>
      <c r="J868" s="55" t="n">
        <v>1</v>
      </c>
      <c r="K868" s="20"/>
      <c r="L868" s="20"/>
      <c r="M868" s="41" t="n">
        <f aca="false">E868*F868+G868*H868+I868*J868+K868*L868</f>
        <v>11.646</v>
      </c>
      <c r="N868" s="41" t="n">
        <f aca="false">Исходные!$B$15-M868</f>
        <v>0.0540000000000003</v>
      </c>
      <c r="O868" s="55" t="n">
        <v>1</v>
      </c>
      <c r="P868" s="53" t="n">
        <f aca="false">(F868+H868+J868+L868)*O868</f>
        <v>5</v>
      </c>
      <c r="Q868" s="74" t="n">
        <f aca="false">M868*O868</f>
        <v>11.646</v>
      </c>
      <c r="R868" s="74" t="n">
        <f aca="false">N868*O868</f>
        <v>0.0540000000000003</v>
      </c>
    </row>
    <row r="869" customFormat="false" ht="15" hidden="false" customHeight="false" outlineLevel="0" collapsed="false">
      <c r="A869" s="53" t="n">
        <v>5</v>
      </c>
      <c r="B869" s="53" t="n">
        <v>16</v>
      </c>
      <c r="C869" s="76" t="s">
        <v>512</v>
      </c>
      <c r="D869" s="53" t="n">
        <v>6</v>
      </c>
      <c r="E869" s="73" t="n">
        <v>3</v>
      </c>
      <c r="F869" s="55" t="n">
        <v>1</v>
      </c>
      <c r="G869" s="73" t="n">
        <v>2.878</v>
      </c>
      <c r="H869" s="55" t="n">
        <v>3</v>
      </c>
      <c r="I869" s="20"/>
      <c r="J869" s="20"/>
      <c r="K869" s="20"/>
      <c r="L869" s="20"/>
      <c r="M869" s="41" t="n">
        <f aca="false">E869*F869+G869*H869+I869*J869+K869*L869</f>
        <v>11.634</v>
      </c>
      <c r="N869" s="41" t="n">
        <f aca="false">Исходные!$B$15-M869</f>
        <v>0.065999999999999</v>
      </c>
      <c r="O869" s="55" t="n">
        <v>1</v>
      </c>
      <c r="P869" s="53" t="n">
        <f aca="false">(F869+H869+J869+L869)*O869</f>
        <v>4</v>
      </c>
      <c r="Q869" s="74" t="n">
        <f aca="false">M869*O869</f>
        <v>11.634</v>
      </c>
      <c r="R869" s="74" t="n">
        <f aca="false">N869*O869</f>
        <v>0.065999999999999</v>
      </c>
    </row>
    <row r="870" customFormat="false" ht="15" hidden="false" customHeight="false" outlineLevel="0" collapsed="false">
      <c r="A870" s="53" t="n">
        <v>5</v>
      </c>
      <c r="B870" s="53" t="n">
        <v>16</v>
      </c>
      <c r="C870" s="76" t="s">
        <v>512</v>
      </c>
      <c r="D870" s="53" t="n">
        <v>7</v>
      </c>
      <c r="E870" s="73" t="n">
        <v>4.95</v>
      </c>
      <c r="F870" s="55" t="n">
        <v>2</v>
      </c>
      <c r="G870" s="73" t="n">
        <v>1.7</v>
      </c>
      <c r="H870" s="55" t="n">
        <v>1</v>
      </c>
      <c r="I870" s="20"/>
      <c r="J870" s="20"/>
      <c r="K870" s="20"/>
      <c r="L870" s="20"/>
      <c r="M870" s="41" t="n">
        <f aca="false">E870*F870+G870*H870+I870*J870+K870*L870</f>
        <v>11.6</v>
      </c>
      <c r="N870" s="41" t="n">
        <f aca="false">Исходные!$B$15-M870</f>
        <v>0.0999999999999996</v>
      </c>
      <c r="O870" s="55" t="n">
        <v>1</v>
      </c>
      <c r="P870" s="53" t="n">
        <f aca="false">(F870+H870+J870+L870)*O870</f>
        <v>3</v>
      </c>
      <c r="Q870" s="74" t="n">
        <f aca="false">M870*O870</f>
        <v>11.6</v>
      </c>
      <c r="R870" s="74" t="n">
        <f aca="false">N870*O870</f>
        <v>0.0999999999999996</v>
      </c>
    </row>
    <row r="871" customFormat="false" ht="15" hidden="false" customHeight="false" outlineLevel="0" collapsed="false">
      <c r="A871" s="53" t="n">
        <v>5</v>
      </c>
      <c r="B871" s="53" t="n">
        <v>16</v>
      </c>
      <c r="C871" s="76" t="s">
        <v>512</v>
      </c>
      <c r="D871" s="53" t="n">
        <v>8</v>
      </c>
      <c r="E871" s="73" t="n">
        <v>2.878</v>
      </c>
      <c r="F871" s="55" t="n">
        <v>4</v>
      </c>
      <c r="G871" s="20"/>
      <c r="H871" s="20"/>
      <c r="I871" s="20"/>
      <c r="J871" s="20"/>
      <c r="K871" s="20"/>
      <c r="L871" s="20"/>
      <c r="M871" s="41" t="n">
        <f aca="false">E871*F871+G871*H871+I871*J871+K871*L871</f>
        <v>11.512</v>
      </c>
      <c r="N871" s="41" t="n">
        <f aca="false">Исходные!$B$15-M871</f>
        <v>0.187999999999999</v>
      </c>
      <c r="O871" s="55" t="n">
        <v>1</v>
      </c>
      <c r="P871" s="53" t="n">
        <f aca="false">(F871+H871+J871+L871)*O871</f>
        <v>4</v>
      </c>
      <c r="Q871" s="74" t="n">
        <f aca="false">M871*O871</f>
        <v>11.512</v>
      </c>
      <c r="R871" s="74" t="n">
        <f aca="false">N871*O871</f>
        <v>0.187999999999999</v>
      </c>
    </row>
    <row r="872" customFormat="false" ht="15" hidden="false" customHeight="false" outlineLevel="0" collapsed="false">
      <c r="A872" s="53" t="n">
        <v>5</v>
      </c>
      <c r="B872" s="53" t="n">
        <v>16</v>
      </c>
      <c r="C872" s="76" t="s">
        <v>512</v>
      </c>
      <c r="D872" s="53" t="n">
        <v>9</v>
      </c>
      <c r="E872" s="73" t="n">
        <v>2.3</v>
      </c>
      <c r="F872" s="55" t="n">
        <v>1</v>
      </c>
      <c r="G872" s="73" t="n">
        <v>1.9</v>
      </c>
      <c r="H872" s="55" t="n">
        <v>3</v>
      </c>
      <c r="I872" s="73" t="n">
        <v>1.7</v>
      </c>
      <c r="J872" s="55" t="n">
        <v>2</v>
      </c>
      <c r="K872" s="20"/>
      <c r="L872" s="20"/>
      <c r="M872" s="41" t="n">
        <f aca="false">E872*F872+G872*H872+I872*J872+K872*L872</f>
        <v>11.4</v>
      </c>
      <c r="N872" s="41" t="n">
        <f aca="false">Исходные!$B$15-M872</f>
        <v>0.300000000000001</v>
      </c>
      <c r="O872" s="55" t="n">
        <v>1</v>
      </c>
      <c r="P872" s="53" t="n">
        <f aca="false">(F872+H872+J872+L872)*O872</f>
        <v>6</v>
      </c>
      <c r="Q872" s="74" t="n">
        <f aca="false">M872*O872</f>
        <v>11.4</v>
      </c>
      <c r="R872" s="74" t="n">
        <f aca="false">N872*O872</f>
        <v>0.300000000000001</v>
      </c>
    </row>
    <row r="873" customFormat="false" ht="15" hidden="false" customHeight="false" outlineLevel="0" collapsed="false">
      <c r="A873" s="53" t="n">
        <v>5</v>
      </c>
      <c r="B873" s="53" t="n">
        <v>16</v>
      </c>
      <c r="C873" s="76" t="s">
        <v>512</v>
      </c>
      <c r="D873" s="53" t="n">
        <v>10</v>
      </c>
      <c r="E873" s="73" t="n">
        <v>8.928</v>
      </c>
      <c r="F873" s="55" t="n">
        <v>1</v>
      </c>
      <c r="G873" s="73" t="n">
        <v>2.378</v>
      </c>
      <c r="H873" s="55" t="n">
        <v>1</v>
      </c>
      <c r="I873" s="20"/>
      <c r="J873" s="20"/>
      <c r="K873" s="20"/>
      <c r="L873" s="20"/>
      <c r="M873" s="41" t="n">
        <f aca="false">E873*F873+G873*H873+I873*J873+K873*L873</f>
        <v>11.306</v>
      </c>
      <c r="N873" s="41" t="n">
        <f aca="false">Исходные!$B$15-M873</f>
        <v>0.393999999999998</v>
      </c>
      <c r="O873" s="55" t="n">
        <v>8</v>
      </c>
      <c r="P873" s="53" t="n">
        <f aca="false">(F873+H873+J873+L873)*O873</f>
        <v>16</v>
      </c>
      <c r="Q873" s="74" t="n">
        <f aca="false">M873*O873</f>
        <v>90.448</v>
      </c>
      <c r="R873" s="74" t="n">
        <f aca="false">N873*O873</f>
        <v>3.15199999999999</v>
      </c>
    </row>
    <row r="874" customFormat="false" ht="15" hidden="false" customHeight="false" outlineLevel="0" collapsed="false">
      <c r="A874" s="53" t="n">
        <v>5</v>
      </c>
      <c r="B874" s="53" t="n">
        <v>16</v>
      </c>
      <c r="C874" s="76" t="s">
        <v>512</v>
      </c>
      <c r="D874" s="53" t="n">
        <v>11</v>
      </c>
      <c r="E874" s="73" t="n">
        <v>8.928</v>
      </c>
      <c r="F874" s="55" t="n">
        <v>1</v>
      </c>
      <c r="G874" s="73" t="n">
        <v>2.356</v>
      </c>
      <c r="H874" s="55" t="n">
        <v>1</v>
      </c>
      <c r="I874" s="20"/>
      <c r="J874" s="20"/>
      <c r="K874" s="20"/>
      <c r="L874" s="20"/>
      <c r="M874" s="41" t="n">
        <f aca="false">E874*F874+G874*H874+I874*J874+K874*L874</f>
        <v>11.284</v>
      </c>
      <c r="N874" s="41" t="n">
        <f aca="false">Исходные!$B$15-M874</f>
        <v>0.415999999999999</v>
      </c>
      <c r="O874" s="55" t="n">
        <v>2</v>
      </c>
      <c r="P874" s="53" t="n">
        <f aca="false">(F874+H874+J874+L874)*O874</f>
        <v>4</v>
      </c>
      <c r="Q874" s="74" t="n">
        <f aca="false">M874*O874</f>
        <v>22.568</v>
      </c>
      <c r="R874" s="74" t="n">
        <f aca="false">N874*O874</f>
        <v>0.831999999999997</v>
      </c>
    </row>
    <row r="875" customFormat="false" ht="15" hidden="false" customHeight="false" outlineLevel="0" collapsed="false">
      <c r="A875" s="53" t="n">
        <v>5</v>
      </c>
      <c r="B875" s="53" t="n">
        <v>16</v>
      </c>
      <c r="C875" s="76" t="s">
        <v>512</v>
      </c>
      <c r="D875" s="53" t="n">
        <v>12</v>
      </c>
      <c r="E875" s="73" t="n">
        <v>7.5</v>
      </c>
      <c r="F875" s="55" t="n">
        <v>1</v>
      </c>
      <c r="G875" s="73" t="n">
        <v>3.7</v>
      </c>
      <c r="H875" s="55" t="n">
        <v>1</v>
      </c>
      <c r="I875" s="20"/>
      <c r="J875" s="20"/>
      <c r="K875" s="20"/>
      <c r="L875" s="20"/>
      <c r="M875" s="41" t="n">
        <f aca="false">E875*F875+G875*H875+I875*J875+K875*L875</f>
        <v>11.2</v>
      </c>
      <c r="N875" s="41" t="n">
        <f aca="false">Исходные!$B$15-M875</f>
        <v>0.5</v>
      </c>
      <c r="O875" s="55" t="n">
        <v>2</v>
      </c>
      <c r="P875" s="53" t="n">
        <f aca="false">(F875+H875+J875+L875)*O875</f>
        <v>4</v>
      </c>
      <c r="Q875" s="74" t="n">
        <f aca="false">M875*O875</f>
        <v>22.4</v>
      </c>
      <c r="R875" s="74" t="n">
        <f aca="false">N875*O875</f>
        <v>1</v>
      </c>
    </row>
    <row r="876" customFormat="false" ht="15" hidden="false" customHeight="false" outlineLevel="0" collapsed="false">
      <c r="A876" s="53" t="n">
        <v>5</v>
      </c>
      <c r="B876" s="53" t="n">
        <v>16</v>
      </c>
      <c r="C876" s="76" t="s">
        <v>512</v>
      </c>
      <c r="D876" s="53" t="n">
        <v>13</v>
      </c>
      <c r="E876" s="73" t="n">
        <v>3.6</v>
      </c>
      <c r="F876" s="55" t="n">
        <v>3</v>
      </c>
      <c r="G876" s="20"/>
      <c r="H876" s="20"/>
      <c r="I876" s="20"/>
      <c r="J876" s="20"/>
      <c r="K876" s="20"/>
      <c r="L876" s="20"/>
      <c r="M876" s="41" t="n">
        <f aca="false">E876*F876+G876*H876+I876*J876+K876*L876</f>
        <v>10.8</v>
      </c>
      <c r="N876" s="41" t="n">
        <f aca="false">Исходные!$B$15-M876</f>
        <v>0.899999999999999</v>
      </c>
      <c r="O876" s="55" t="n">
        <v>2</v>
      </c>
      <c r="P876" s="53" t="n">
        <f aca="false">(F876+H876+J876+L876)*O876</f>
        <v>6</v>
      </c>
      <c r="Q876" s="74" t="n">
        <f aca="false">M876*O876</f>
        <v>21.6</v>
      </c>
      <c r="R876" s="74" t="n">
        <f aca="false">N876*O876</f>
        <v>1.8</v>
      </c>
    </row>
    <row r="877" customFormat="false" ht="15" hidden="false" customHeight="false" outlineLevel="0" collapsed="false">
      <c r="A877" s="53" t="n">
        <v>5</v>
      </c>
      <c r="B877" s="53" t="n">
        <v>16</v>
      </c>
      <c r="C877" s="76" t="s">
        <v>512</v>
      </c>
      <c r="D877" s="53" t="n">
        <v>14</v>
      </c>
      <c r="E877" s="73" t="n">
        <v>10.2</v>
      </c>
      <c r="F877" s="55" t="n">
        <v>1</v>
      </c>
      <c r="G877" s="20"/>
      <c r="H877" s="20"/>
      <c r="I877" s="20"/>
      <c r="J877" s="20"/>
      <c r="K877" s="20"/>
      <c r="L877" s="20"/>
      <c r="M877" s="41" t="n">
        <f aca="false">E877*F877+G877*H877+I877*J877+K877*L877</f>
        <v>10.2</v>
      </c>
      <c r="N877" s="41" t="n">
        <f aca="false">Исходные!$B$15-M877</f>
        <v>1.5</v>
      </c>
      <c r="O877" s="55" t="n">
        <v>2</v>
      </c>
      <c r="P877" s="53" t="n">
        <f aca="false">(F877+H877+J877+L877)*O877</f>
        <v>2</v>
      </c>
      <c r="Q877" s="74" t="n">
        <f aca="false">M877*O877</f>
        <v>20.4</v>
      </c>
      <c r="R877" s="74" t="n">
        <f aca="false">N877*O877</f>
        <v>3</v>
      </c>
    </row>
    <row r="878" customFormat="false" ht="15" hidden="false" customHeight="false" outlineLevel="0" collapsed="false">
      <c r="A878" s="53" t="n">
        <v>5</v>
      </c>
      <c r="B878" s="53" t="n">
        <v>14</v>
      </c>
      <c r="C878" s="76" t="s">
        <v>512</v>
      </c>
      <c r="D878" s="53" t="n">
        <v>1</v>
      </c>
      <c r="E878" s="73" t="n">
        <v>11.7</v>
      </c>
      <c r="F878" s="55" t="n">
        <v>1</v>
      </c>
      <c r="G878" s="20"/>
      <c r="H878" s="20"/>
      <c r="I878" s="20"/>
      <c r="J878" s="20"/>
      <c r="K878" s="20"/>
      <c r="L878" s="20"/>
      <c r="M878" s="41" t="n">
        <f aca="false">E878*F878+G878*H878+I878*J878+K878*L878</f>
        <v>11.7</v>
      </c>
      <c r="N878" s="41" t="n">
        <f aca="false">Исходные!$B$15-M878</f>
        <v>0</v>
      </c>
      <c r="O878" s="55" t="n">
        <v>6</v>
      </c>
      <c r="P878" s="53" t="n">
        <f aca="false">(F878+H878+J878+L878)*O878</f>
        <v>6</v>
      </c>
      <c r="Q878" s="74" t="n">
        <f aca="false">M878*O878</f>
        <v>70.2</v>
      </c>
      <c r="R878" s="74" t="n">
        <f aca="false">N878*O878</f>
        <v>0</v>
      </c>
    </row>
    <row r="879" customFormat="false" ht="15" hidden="false" customHeight="false" outlineLevel="0" collapsed="false">
      <c r="A879" s="53" t="n">
        <v>5</v>
      </c>
      <c r="B879" s="53" t="n">
        <v>14</v>
      </c>
      <c r="C879" s="76" t="s">
        <v>512</v>
      </c>
      <c r="D879" s="53" t="n">
        <v>2</v>
      </c>
      <c r="E879" s="73" t="n">
        <v>6.9</v>
      </c>
      <c r="F879" s="55" t="n">
        <v>1</v>
      </c>
      <c r="G879" s="73" t="n">
        <v>3.515</v>
      </c>
      <c r="H879" s="55" t="n">
        <v>1</v>
      </c>
      <c r="I879" s="73" t="n">
        <v>1.24</v>
      </c>
      <c r="J879" s="55" t="n">
        <v>1</v>
      </c>
      <c r="K879" s="20"/>
      <c r="L879" s="20"/>
      <c r="M879" s="41" t="n">
        <f aca="false">E879*F879+G879*H879+I879*J879+K879*L879</f>
        <v>11.655</v>
      </c>
      <c r="N879" s="41" t="n">
        <f aca="false">Исходные!$B$15-M879</f>
        <v>0.0449999999999982</v>
      </c>
      <c r="O879" s="55" t="n">
        <v>2</v>
      </c>
      <c r="P879" s="53" t="n">
        <f aca="false">(F879+H879+J879+L879)*O879</f>
        <v>6</v>
      </c>
      <c r="Q879" s="74" t="n">
        <f aca="false">M879*O879</f>
        <v>23.31</v>
      </c>
      <c r="R879" s="74" t="n">
        <f aca="false">N879*O879</f>
        <v>0.0899999999999963</v>
      </c>
    </row>
    <row r="880" customFormat="false" ht="15" hidden="false" customHeight="false" outlineLevel="0" collapsed="false">
      <c r="A880" s="53" t="n">
        <v>5</v>
      </c>
      <c r="B880" s="53" t="n">
        <v>14</v>
      </c>
      <c r="C880" s="76" t="s">
        <v>512</v>
      </c>
      <c r="D880" s="53" t="n">
        <v>3</v>
      </c>
      <c r="E880" s="73" t="n">
        <v>2.862</v>
      </c>
      <c r="F880" s="55" t="n">
        <v>4</v>
      </c>
      <c r="G880" s="20"/>
      <c r="H880" s="20"/>
      <c r="I880" s="20"/>
      <c r="J880" s="20"/>
      <c r="K880" s="20"/>
      <c r="L880" s="20"/>
      <c r="M880" s="41" t="n">
        <f aca="false">E880*F880+G880*H880+I880*J880+K880*L880</f>
        <v>11.448</v>
      </c>
      <c r="N880" s="41" t="n">
        <f aca="false">Исходные!$B$15-M880</f>
        <v>0.251999999999999</v>
      </c>
      <c r="O880" s="55" t="n">
        <v>5</v>
      </c>
      <c r="P880" s="53" t="n">
        <f aca="false">(F880+H880+J880+L880)*O880</f>
        <v>20</v>
      </c>
      <c r="Q880" s="74" t="n">
        <f aca="false">M880*O880</f>
        <v>57.24</v>
      </c>
      <c r="R880" s="74" t="n">
        <f aca="false">N880*O880</f>
        <v>1.25999999999999</v>
      </c>
    </row>
    <row r="881" customFormat="false" ht="15" hidden="false" customHeight="false" outlineLevel="0" collapsed="false">
      <c r="A881" s="53" t="n">
        <v>5</v>
      </c>
      <c r="B881" s="53" t="n">
        <v>14</v>
      </c>
      <c r="C881" s="76" t="s">
        <v>512</v>
      </c>
      <c r="D881" s="53" t="n">
        <v>4</v>
      </c>
      <c r="E881" s="73" t="n">
        <v>1.24</v>
      </c>
      <c r="F881" s="55" t="n">
        <v>9</v>
      </c>
      <c r="G881" s="20"/>
      <c r="H881" s="20"/>
      <c r="I881" s="20"/>
      <c r="J881" s="20"/>
      <c r="K881" s="20"/>
      <c r="L881" s="20"/>
      <c r="M881" s="41" t="n">
        <f aca="false">E881*F881+G881*H881+I881*J881+K881*L881</f>
        <v>11.16</v>
      </c>
      <c r="N881" s="41" t="n">
        <f aca="false">Исходные!$B$15-M881</f>
        <v>0.539999999999999</v>
      </c>
      <c r="O881" s="55" t="n">
        <v>11</v>
      </c>
      <c r="P881" s="53" t="n">
        <f aca="false">(F881+H881+J881+L881)*O881</f>
        <v>99</v>
      </c>
      <c r="Q881" s="74" t="n">
        <f aca="false">M881*O881</f>
        <v>122.76</v>
      </c>
      <c r="R881" s="74" t="n">
        <f aca="false">N881*O881</f>
        <v>5.93999999999999</v>
      </c>
    </row>
    <row r="882" customFormat="false" ht="15" hidden="false" customHeight="false" outlineLevel="0" collapsed="false">
      <c r="A882" s="53" t="n">
        <v>5</v>
      </c>
      <c r="B882" s="53" t="n">
        <v>14</v>
      </c>
      <c r="C882" s="76" t="s">
        <v>512</v>
      </c>
      <c r="D882" s="53" t="n">
        <v>5</v>
      </c>
      <c r="E882" s="73" t="n">
        <v>1.24</v>
      </c>
      <c r="F882" s="55" t="n">
        <v>8</v>
      </c>
      <c r="G882" s="73" t="n">
        <v>1.2</v>
      </c>
      <c r="H882" s="55" t="n">
        <v>1</v>
      </c>
      <c r="I882" s="20"/>
      <c r="J882" s="20"/>
      <c r="K882" s="20"/>
      <c r="L882" s="20"/>
      <c r="M882" s="41" t="n">
        <f aca="false">E882*F882+G882*H882+I882*J882+K882*L882</f>
        <v>11.12</v>
      </c>
      <c r="N882" s="41" t="n">
        <f aca="false">Исходные!$B$15-M882</f>
        <v>0.58</v>
      </c>
      <c r="O882" s="55" t="n">
        <v>1</v>
      </c>
      <c r="P882" s="53" t="n">
        <f aca="false">(F882+H882+J882+L882)*O882</f>
        <v>9</v>
      </c>
      <c r="Q882" s="74" t="n">
        <f aca="false">M882*O882</f>
        <v>11.12</v>
      </c>
      <c r="R882" s="74" t="n">
        <f aca="false">N882*O882</f>
        <v>0.58</v>
      </c>
    </row>
    <row r="883" customFormat="false" ht="15" hidden="false" customHeight="false" outlineLevel="0" collapsed="false">
      <c r="A883" s="53" t="n">
        <v>5</v>
      </c>
      <c r="B883" s="53" t="n">
        <v>14</v>
      </c>
      <c r="C883" s="76" t="s">
        <v>512</v>
      </c>
      <c r="D883" s="53" t="n">
        <v>6</v>
      </c>
      <c r="E883" s="73" t="n">
        <v>6.9</v>
      </c>
      <c r="F883" s="55" t="n">
        <v>1</v>
      </c>
      <c r="G883" s="73" t="n">
        <v>2.9</v>
      </c>
      <c r="H883" s="55" t="n">
        <v>1</v>
      </c>
      <c r="I883" s="73" t="n">
        <v>1.24</v>
      </c>
      <c r="J883" s="55" t="n">
        <v>1</v>
      </c>
      <c r="K883" s="20"/>
      <c r="L883" s="20"/>
      <c r="M883" s="41" t="n">
        <f aca="false">E883*F883+G883*H883+I883*J883+K883*L883</f>
        <v>11.04</v>
      </c>
      <c r="N883" s="41" t="n">
        <f aca="false">Исходные!$B$15-M883</f>
        <v>0.659999999999998</v>
      </c>
      <c r="O883" s="55" t="n">
        <v>2</v>
      </c>
      <c r="P883" s="53" t="n">
        <f aca="false">(F883+H883+J883+L883)*O883</f>
        <v>6</v>
      </c>
      <c r="Q883" s="74" t="n">
        <f aca="false">M883*O883</f>
        <v>22.08</v>
      </c>
      <c r="R883" s="74" t="n">
        <f aca="false">N883*O883</f>
        <v>1.32</v>
      </c>
    </row>
    <row r="884" customFormat="false" ht="15" hidden="false" customHeight="false" outlineLevel="0" collapsed="false">
      <c r="A884" s="53" t="n">
        <v>5</v>
      </c>
      <c r="B884" s="53" t="n">
        <v>14</v>
      </c>
      <c r="C884" s="76" t="s">
        <v>512</v>
      </c>
      <c r="D884" s="53" t="n">
        <v>7</v>
      </c>
      <c r="E884" s="73" t="n">
        <v>2.362</v>
      </c>
      <c r="F884" s="55" t="n">
        <v>4</v>
      </c>
      <c r="G884" s="73" t="n">
        <v>1.24</v>
      </c>
      <c r="H884" s="55" t="n">
        <v>1</v>
      </c>
      <c r="I884" s="20"/>
      <c r="J884" s="20"/>
      <c r="K884" s="20"/>
      <c r="L884" s="20"/>
      <c r="M884" s="41" t="n">
        <f aca="false">E884*F884+G884*H884+I884*J884+K884*L884</f>
        <v>10.688</v>
      </c>
      <c r="N884" s="41" t="n">
        <f aca="false">Исходные!$B$15-M884</f>
        <v>1.012</v>
      </c>
      <c r="O884" s="55" t="n">
        <v>5</v>
      </c>
      <c r="P884" s="53" t="n">
        <f aca="false">(F884+H884+J884+L884)*O884</f>
        <v>25</v>
      </c>
      <c r="Q884" s="74" t="n">
        <f aca="false">M884*O884</f>
        <v>53.44</v>
      </c>
      <c r="R884" s="74" t="n">
        <f aca="false">N884*O884</f>
        <v>5.05999999999999</v>
      </c>
    </row>
    <row r="885" customFormat="false" ht="15" hidden="false" customHeight="false" outlineLevel="0" collapsed="false">
      <c r="A885" s="53" t="n">
        <v>5</v>
      </c>
      <c r="B885" s="53" t="n">
        <v>14</v>
      </c>
      <c r="C885" s="76" t="s">
        <v>512</v>
      </c>
      <c r="D885" s="53" t="n">
        <v>8</v>
      </c>
      <c r="E885" s="73" t="n">
        <v>2.862</v>
      </c>
      <c r="F885" s="55" t="n">
        <v>1</v>
      </c>
      <c r="G885" s="73" t="n">
        <v>2.7</v>
      </c>
      <c r="H885" s="55" t="n">
        <v>2</v>
      </c>
      <c r="I885" s="73" t="n">
        <v>2.362</v>
      </c>
      <c r="J885" s="55" t="n">
        <v>1</v>
      </c>
      <c r="K885" s="20"/>
      <c r="L885" s="20"/>
      <c r="M885" s="41" t="n">
        <f aca="false">E885*F885+G885*H885+I885*J885+K885*L885</f>
        <v>10.624</v>
      </c>
      <c r="N885" s="41" t="n">
        <f aca="false">Исходные!$B$15-M885</f>
        <v>1.076</v>
      </c>
      <c r="O885" s="55" t="n">
        <v>1</v>
      </c>
      <c r="P885" s="53" t="n">
        <f aca="false">(F885+H885+J885+L885)*O885</f>
        <v>4</v>
      </c>
      <c r="Q885" s="74" t="n">
        <f aca="false">M885*O885</f>
        <v>10.624</v>
      </c>
      <c r="R885" s="74" t="n">
        <f aca="false">N885*O885</f>
        <v>1.076</v>
      </c>
    </row>
    <row r="886" customFormat="false" ht="15" hidden="false" customHeight="false" outlineLevel="0" collapsed="false">
      <c r="A886" s="53" t="n">
        <v>5</v>
      </c>
      <c r="B886" s="53" t="n">
        <v>14</v>
      </c>
      <c r="C886" s="76" t="s">
        <v>512</v>
      </c>
      <c r="D886" s="53" t="n">
        <v>9</v>
      </c>
      <c r="E886" s="73" t="n">
        <v>9.355</v>
      </c>
      <c r="F886" s="55" t="n">
        <v>1</v>
      </c>
      <c r="G886" s="73" t="n">
        <v>1.24</v>
      </c>
      <c r="H886" s="55" t="n">
        <v>1</v>
      </c>
      <c r="I886" s="20"/>
      <c r="J886" s="20"/>
      <c r="K886" s="20"/>
      <c r="L886" s="20"/>
      <c r="M886" s="41" t="n">
        <f aca="false">E886*F886+G886*H886+I886*J886+K886*L886</f>
        <v>10.595</v>
      </c>
      <c r="N886" s="41" t="n">
        <f aca="false">Исходные!$B$15-M886</f>
        <v>1.105</v>
      </c>
      <c r="O886" s="55" t="n">
        <v>2</v>
      </c>
      <c r="P886" s="53" t="n">
        <f aca="false">(F886+H886+J886+L886)*O886</f>
        <v>4</v>
      </c>
      <c r="Q886" s="74" t="n">
        <f aca="false">M886*O886</f>
        <v>21.19</v>
      </c>
      <c r="R886" s="74" t="n">
        <f aca="false">N886*O886</f>
        <v>2.21</v>
      </c>
    </row>
    <row r="887" customFormat="false" ht="15" hidden="false" customHeight="false" outlineLevel="0" collapsed="false">
      <c r="A887" s="53" t="n">
        <v>5</v>
      </c>
      <c r="B887" s="53" t="n">
        <v>14</v>
      </c>
      <c r="C887" s="76" t="s">
        <v>512</v>
      </c>
      <c r="D887" s="53" t="n">
        <v>10</v>
      </c>
      <c r="E887" s="73" t="n">
        <v>1.2</v>
      </c>
      <c r="F887" s="55" t="n">
        <v>5</v>
      </c>
      <c r="G887" s="20"/>
      <c r="H887" s="20"/>
      <c r="I887" s="20"/>
      <c r="J887" s="20"/>
      <c r="K887" s="20"/>
      <c r="L887" s="20"/>
      <c r="M887" s="41" t="n">
        <f aca="false">E887*F887+G887*H887+I887*J887+K887*L887</f>
        <v>6</v>
      </c>
      <c r="N887" s="41" t="n">
        <f aca="false">Исходные!$B$15-M887</f>
        <v>5.7</v>
      </c>
      <c r="O887" s="55" t="n">
        <v>1</v>
      </c>
      <c r="P887" s="53" t="n">
        <f aca="false">(F887+H887+J887+L887)*O887</f>
        <v>5</v>
      </c>
      <c r="Q887" s="74" t="n">
        <f aca="false">M887*O887</f>
        <v>6</v>
      </c>
      <c r="R887" s="74" t="n">
        <f aca="false">N887*O887</f>
        <v>5.7</v>
      </c>
    </row>
    <row r="888" customFormat="false" ht="15" hidden="false" customHeight="false" outlineLevel="0" collapsed="false">
      <c r="A888" s="53" t="n">
        <v>5</v>
      </c>
      <c r="B888" s="53" t="n">
        <v>12</v>
      </c>
      <c r="C888" s="76" t="s">
        <v>512</v>
      </c>
      <c r="D888" s="53" t="n">
        <v>1</v>
      </c>
      <c r="E888" s="73" t="n">
        <v>1.95</v>
      </c>
      <c r="F888" s="55" t="n">
        <v>6</v>
      </c>
      <c r="G888" s="20"/>
      <c r="H888" s="20"/>
      <c r="I888" s="20"/>
      <c r="J888" s="20"/>
      <c r="K888" s="20"/>
      <c r="L888" s="20"/>
      <c r="M888" s="41" t="n">
        <f aca="false">E888*F888+G888*H888+I888*J888+K888*L888</f>
        <v>11.7</v>
      </c>
      <c r="N888" s="41" t="n">
        <f aca="false">Исходные!$B$15-M888</f>
        <v>0</v>
      </c>
      <c r="O888" s="55" t="n">
        <v>5</v>
      </c>
      <c r="P888" s="53" t="n">
        <f aca="false">(F888+H888+J888+L888)*O888</f>
        <v>30</v>
      </c>
      <c r="Q888" s="74" t="n">
        <f aca="false">M888*O888</f>
        <v>58.5</v>
      </c>
      <c r="R888" s="74" t="n">
        <f aca="false">N888*O888</f>
        <v>0</v>
      </c>
    </row>
    <row r="889" customFormat="false" ht="15" hidden="false" customHeight="false" outlineLevel="0" collapsed="false">
      <c r="A889" s="53" t="n">
        <v>5</v>
      </c>
      <c r="B889" s="53" t="n">
        <v>12</v>
      </c>
      <c r="C889" s="76" t="s">
        <v>512</v>
      </c>
      <c r="D889" s="53" t="n">
        <v>2</v>
      </c>
      <c r="E889" s="73" t="n">
        <v>10.2</v>
      </c>
      <c r="F889" s="55" t="n">
        <v>1</v>
      </c>
      <c r="G889" s="73" t="n">
        <v>1.45</v>
      </c>
      <c r="H889" s="55" t="n">
        <v>1</v>
      </c>
      <c r="I889" s="20"/>
      <c r="J889" s="20"/>
      <c r="K889" s="20"/>
      <c r="L889" s="20"/>
      <c r="M889" s="41" t="n">
        <f aca="false">E889*F889+G889*H889+I889*J889+K889*L889</f>
        <v>11.65</v>
      </c>
      <c r="N889" s="41" t="n">
        <f aca="false">Исходные!$B$15-M889</f>
        <v>0.0500000000000007</v>
      </c>
      <c r="O889" s="55" t="n">
        <v>4</v>
      </c>
      <c r="P889" s="53" t="n">
        <f aca="false">(F889+H889+J889+L889)*O889</f>
        <v>8</v>
      </c>
      <c r="Q889" s="74" t="n">
        <f aca="false">M889*O889</f>
        <v>46.6</v>
      </c>
      <c r="R889" s="74" t="n">
        <f aca="false">N889*O889</f>
        <v>0.200000000000003</v>
      </c>
    </row>
    <row r="890" customFormat="false" ht="15" hidden="false" customHeight="false" outlineLevel="0" collapsed="false">
      <c r="A890" s="53" t="n">
        <v>5</v>
      </c>
      <c r="B890" s="53" t="n">
        <v>12</v>
      </c>
      <c r="C890" s="76" t="s">
        <v>512</v>
      </c>
      <c r="D890" s="53" t="n">
        <v>3</v>
      </c>
      <c r="E890" s="73" t="n">
        <v>1.45</v>
      </c>
      <c r="F890" s="55" t="n">
        <v>8</v>
      </c>
      <c r="G890" s="20"/>
      <c r="H890" s="20"/>
      <c r="I890" s="20"/>
      <c r="J890" s="20"/>
      <c r="K890" s="20"/>
      <c r="L890" s="20"/>
      <c r="M890" s="41" t="n">
        <f aca="false">E890*F890+G890*H890+I890*J890+K890*L890</f>
        <v>11.6</v>
      </c>
      <c r="N890" s="41" t="n">
        <f aca="false">Исходные!$B$15-M890</f>
        <v>0.0999999999999996</v>
      </c>
      <c r="O890" s="55" t="n">
        <v>2</v>
      </c>
      <c r="P890" s="53" t="n">
        <f aca="false">(F890+H890+J890+L890)*O890</f>
        <v>16</v>
      </c>
      <c r="Q890" s="74" t="n">
        <f aca="false">M890*O890</f>
        <v>23.2</v>
      </c>
      <c r="R890" s="74" t="n">
        <f aca="false">N890*O890</f>
        <v>0.199999999999999</v>
      </c>
    </row>
    <row r="891" customFormat="false" ht="15" hidden="false" customHeight="false" outlineLevel="0" collapsed="false">
      <c r="A891" s="53" t="n">
        <v>5</v>
      </c>
      <c r="B891" s="53" t="n">
        <v>12</v>
      </c>
      <c r="C891" s="76" t="s">
        <v>512</v>
      </c>
      <c r="D891" s="53" t="n">
        <v>4</v>
      </c>
      <c r="E891" s="73" t="n">
        <v>8.75</v>
      </c>
      <c r="F891" s="55" t="n">
        <v>1</v>
      </c>
      <c r="G891" s="73" t="n">
        <v>2.5</v>
      </c>
      <c r="H891" s="55" t="n">
        <v>1</v>
      </c>
      <c r="I891" s="20"/>
      <c r="J891" s="20"/>
      <c r="K891" s="20"/>
      <c r="L891" s="20"/>
      <c r="M891" s="41" t="n">
        <f aca="false">E891*F891+G891*H891+I891*J891+K891*L891</f>
        <v>11.25</v>
      </c>
      <c r="N891" s="41" t="n">
        <f aca="false">Исходные!$B$15-M891</f>
        <v>0.449999999999999</v>
      </c>
      <c r="O891" s="55" t="n">
        <v>4</v>
      </c>
      <c r="P891" s="53" t="n">
        <f aca="false">(F891+H891+J891+L891)*O891</f>
        <v>8</v>
      </c>
      <c r="Q891" s="74" t="n">
        <f aca="false">M891*O891</f>
        <v>45</v>
      </c>
      <c r="R891" s="74" t="n">
        <f aca="false">N891*O891</f>
        <v>1.8</v>
      </c>
    </row>
    <row r="892" customFormat="false" ht="15" hidden="false" customHeight="false" outlineLevel="0" collapsed="false">
      <c r="A892" s="53" t="n">
        <v>5</v>
      </c>
      <c r="B892" s="53" t="n">
        <v>12</v>
      </c>
      <c r="C892" s="76" t="s">
        <v>512</v>
      </c>
      <c r="D892" s="53" t="n">
        <v>5</v>
      </c>
      <c r="E892" s="73" t="n">
        <v>2.25</v>
      </c>
      <c r="F892" s="55" t="n">
        <v>5</v>
      </c>
      <c r="G892" s="20"/>
      <c r="H892" s="20"/>
      <c r="I892" s="20"/>
      <c r="J892" s="20"/>
      <c r="K892" s="20"/>
      <c r="L892" s="20"/>
      <c r="M892" s="41" t="n">
        <f aca="false">E892*F892+G892*H892+I892*J892+K892*L892</f>
        <v>11.25</v>
      </c>
      <c r="N892" s="41" t="n">
        <f aca="false">Исходные!$B$15-M892</f>
        <v>0.449999999999999</v>
      </c>
      <c r="O892" s="55" t="n">
        <v>12</v>
      </c>
      <c r="P892" s="53" t="n">
        <f aca="false">(F892+H892+J892+L892)*O892</f>
        <v>60</v>
      </c>
      <c r="Q892" s="74" t="n">
        <f aca="false">M892*O892</f>
        <v>135</v>
      </c>
      <c r="R892" s="74" t="n">
        <f aca="false">N892*O892</f>
        <v>5.39999999999999</v>
      </c>
    </row>
    <row r="893" customFormat="false" ht="15" hidden="false" customHeight="false" outlineLevel="0" collapsed="false">
      <c r="A893" s="53" t="n">
        <v>5</v>
      </c>
      <c r="B893" s="53" t="n">
        <v>12</v>
      </c>
      <c r="C893" s="76" t="s">
        <v>512</v>
      </c>
      <c r="D893" s="53" t="n">
        <v>6</v>
      </c>
      <c r="E893" s="73" t="n">
        <v>2.25</v>
      </c>
      <c r="F893" s="55" t="n">
        <v>4</v>
      </c>
      <c r="G893" s="73" t="n">
        <v>1.95</v>
      </c>
      <c r="H893" s="55" t="n">
        <v>1</v>
      </c>
      <c r="I893" s="20"/>
      <c r="J893" s="20"/>
      <c r="K893" s="20"/>
      <c r="L893" s="20"/>
      <c r="M893" s="41" t="n">
        <f aca="false">E893*F893+G893*H893+I893*J893+K893*L893</f>
        <v>10.95</v>
      </c>
      <c r="N893" s="41" t="n">
        <f aca="false">Исходные!$B$15-M893</f>
        <v>0.75</v>
      </c>
      <c r="O893" s="55" t="n">
        <v>1</v>
      </c>
      <c r="P893" s="53" t="n">
        <f aca="false">(F893+H893+J893+L893)*O893</f>
        <v>5</v>
      </c>
      <c r="Q893" s="74" t="n">
        <f aca="false">M893*O893</f>
        <v>10.95</v>
      </c>
      <c r="R893" s="74" t="n">
        <f aca="false">N893*O893</f>
        <v>0.75</v>
      </c>
    </row>
    <row r="894" customFormat="false" ht="15" hidden="false" customHeight="false" outlineLevel="0" collapsed="false">
      <c r="A894" s="53" t="n">
        <v>5</v>
      </c>
      <c r="B894" s="53" t="n">
        <v>12</v>
      </c>
      <c r="C894" s="76" t="s">
        <v>512</v>
      </c>
      <c r="D894" s="53" t="n">
        <v>7</v>
      </c>
      <c r="E894" s="73" t="n">
        <v>1.95</v>
      </c>
      <c r="F894" s="55" t="n">
        <v>1</v>
      </c>
      <c r="G894" s="73" t="n">
        <v>1.45</v>
      </c>
      <c r="H894" s="55" t="n">
        <v>6</v>
      </c>
      <c r="I894" s="20"/>
      <c r="J894" s="20"/>
      <c r="K894" s="20"/>
      <c r="L894" s="20"/>
      <c r="M894" s="41" t="n">
        <f aca="false">E894*F894+G894*H894+I894*J894+K894*L894</f>
        <v>10.65</v>
      </c>
      <c r="N894" s="41" t="n">
        <f aca="false">Исходные!$B$15-M894</f>
        <v>1.05</v>
      </c>
      <c r="O894" s="55" t="n">
        <v>1</v>
      </c>
      <c r="P894" s="53" t="n">
        <f aca="false">(F894+H894+J894+L894)*O894</f>
        <v>7</v>
      </c>
      <c r="Q894" s="74" t="n">
        <f aca="false">M894*O894</f>
        <v>10.65</v>
      </c>
      <c r="R894" s="74" t="n">
        <f aca="false">N894*O894</f>
        <v>1.05</v>
      </c>
    </row>
    <row r="895" customFormat="false" ht="15" hidden="false" customHeight="false" outlineLevel="0" collapsed="false">
      <c r="A895" s="53" t="n">
        <v>5</v>
      </c>
      <c r="B895" s="53" t="n">
        <v>12</v>
      </c>
      <c r="C895" s="76" t="s">
        <v>512</v>
      </c>
      <c r="D895" s="53" t="n">
        <v>8</v>
      </c>
      <c r="E895" s="73" t="n">
        <v>1.45</v>
      </c>
      <c r="F895" s="55" t="n">
        <v>6</v>
      </c>
      <c r="G895" s="20"/>
      <c r="H895" s="20"/>
      <c r="I895" s="20"/>
      <c r="J895" s="20"/>
      <c r="K895" s="20"/>
      <c r="L895" s="20"/>
      <c r="M895" s="41" t="n">
        <f aca="false">E895*F895+G895*H895+I895*J895+K895*L895</f>
        <v>8.7</v>
      </c>
      <c r="N895" s="41" t="n">
        <f aca="false">Исходные!$B$15-M895</f>
        <v>3</v>
      </c>
      <c r="O895" s="55" t="n">
        <v>1</v>
      </c>
      <c r="P895" s="53" t="n">
        <f aca="false">(F895+H895+J895+L895)*O895</f>
        <v>6</v>
      </c>
      <c r="Q895" s="74" t="n">
        <f aca="false">M895*O895</f>
        <v>8.7</v>
      </c>
      <c r="R895" s="74" t="n">
        <f aca="false">N895*O895</f>
        <v>3</v>
      </c>
    </row>
    <row r="896" customFormat="false" ht="15" hidden="false" customHeight="false" outlineLevel="0" collapsed="false">
      <c r="A896" s="53" t="n">
        <v>5</v>
      </c>
      <c r="B896" s="53" t="n">
        <v>10</v>
      </c>
      <c r="C896" s="76" t="s">
        <v>512</v>
      </c>
      <c r="D896" s="53" t="n">
        <v>1</v>
      </c>
      <c r="E896" s="73" t="n">
        <v>9.3</v>
      </c>
      <c r="F896" s="55" t="n">
        <v>1</v>
      </c>
      <c r="G896" s="73" t="n">
        <v>1.2</v>
      </c>
      <c r="H896" s="55" t="n">
        <v>2</v>
      </c>
      <c r="I896" s="20"/>
      <c r="J896" s="20"/>
      <c r="K896" s="20"/>
      <c r="L896" s="20"/>
      <c r="M896" s="41" t="n">
        <f aca="false">E896*F896+G896*H896+I896*J896+K896*L896</f>
        <v>11.7</v>
      </c>
      <c r="N896" s="41" t="n">
        <f aca="false">Исходные!$B$15-M896</f>
        <v>0</v>
      </c>
      <c r="O896" s="55" t="n">
        <v>1</v>
      </c>
      <c r="P896" s="53" t="n">
        <f aca="false">(F896+H896+J896+L896)*O896</f>
        <v>3</v>
      </c>
      <c r="Q896" s="74" t="n">
        <f aca="false">M896*O896</f>
        <v>11.7</v>
      </c>
      <c r="R896" s="74" t="n">
        <f aca="false">N896*O896</f>
        <v>0</v>
      </c>
    </row>
    <row r="897" customFormat="false" ht="15" hidden="false" customHeight="false" outlineLevel="0" collapsed="false">
      <c r="A897" s="53" t="n">
        <v>5</v>
      </c>
      <c r="B897" s="53" t="n">
        <v>10</v>
      </c>
      <c r="C897" s="76" t="s">
        <v>512</v>
      </c>
      <c r="D897" s="53" t="n">
        <v>2</v>
      </c>
      <c r="E897" s="73" t="n">
        <v>11.7</v>
      </c>
      <c r="F897" s="55" t="n">
        <v>1</v>
      </c>
      <c r="G897" s="20"/>
      <c r="H897" s="20"/>
      <c r="I897" s="20"/>
      <c r="J897" s="20"/>
      <c r="K897" s="20"/>
      <c r="L897" s="20"/>
      <c r="M897" s="41" t="n">
        <f aca="false">E897*F897+G897*H897+I897*J897+K897*L897</f>
        <v>11.7</v>
      </c>
      <c r="N897" s="41" t="n">
        <f aca="false">Исходные!$B$15-M897</f>
        <v>0</v>
      </c>
      <c r="O897" s="55" t="n">
        <v>616</v>
      </c>
      <c r="P897" s="53" t="n">
        <f aca="false">(F897+H897+J897+L897)*O897</f>
        <v>616</v>
      </c>
      <c r="Q897" s="74" t="n">
        <f aca="false">M897*O897</f>
        <v>7207.2</v>
      </c>
      <c r="R897" s="74" t="n">
        <f aca="false">N897*O897</f>
        <v>0</v>
      </c>
    </row>
    <row r="898" customFormat="false" ht="15" hidden="false" customHeight="false" outlineLevel="0" collapsed="false">
      <c r="A898" s="53" t="n">
        <v>5</v>
      </c>
      <c r="B898" s="53" t="n">
        <v>10</v>
      </c>
      <c r="C898" s="76" t="s">
        <v>512</v>
      </c>
      <c r="D898" s="53" t="n">
        <v>3</v>
      </c>
      <c r="E898" s="73" t="n">
        <v>9.3</v>
      </c>
      <c r="F898" s="55" t="n">
        <v>1</v>
      </c>
      <c r="G898" s="73" t="n">
        <v>1.25</v>
      </c>
      <c r="H898" s="55" t="n">
        <v>1</v>
      </c>
      <c r="I898" s="73" t="n">
        <v>0.57</v>
      </c>
      <c r="J898" s="55" t="n">
        <v>2</v>
      </c>
      <c r="K898" s="20"/>
      <c r="L898" s="20"/>
      <c r="M898" s="41" t="n">
        <f aca="false">E898*F898+G898*H898+I898*J898+K898*L898</f>
        <v>11.69</v>
      </c>
      <c r="N898" s="41" t="n">
        <f aca="false">Исходные!$B$15-M898</f>
        <v>0.00999999999999801</v>
      </c>
      <c r="O898" s="55" t="n">
        <v>64</v>
      </c>
      <c r="P898" s="53" t="n">
        <f aca="false">(F898+H898+J898+L898)*O898</f>
        <v>256</v>
      </c>
      <c r="Q898" s="74" t="n">
        <f aca="false">M898*O898</f>
        <v>748.16</v>
      </c>
      <c r="R898" s="74" t="n">
        <f aca="false">N898*O898</f>
        <v>0.639999999999873</v>
      </c>
    </row>
    <row r="899" customFormat="false" ht="15" hidden="false" customHeight="false" outlineLevel="0" collapsed="false">
      <c r="A899" s="53" t="n">
        <v>5</v>
      </c>
      <c r="B899" s="53" t="n">
        <v>10</v>
      </c>
      <c r="C899" s="76" t="s">
        <v>512</v>
      </c>
      <c r="D899" s="53" t="n">
        <v>4</v>
      </c>
      <c r="E899" s="73" t="n">
        <v>2.58</v>
      </c>
      <c r="F899" s="55" t="n">
        <v>2</v>
      </c>
      <c r="G899" s="73" t="n">
        <v>1.19</v>
      </c>
      <c r="H899" s="55" t="n">
        <v>5</v>
      </c>
      <c r="I899" s="73" t="n">
        <v>0.57</v>
      </c>
      <c r="J899" s="55" t="n">
        <v>1</v>
      </c>
      <c r="K899" s="20"/>
      <c r="L899" s="20"/>
      <c r="M899" s="41" t="n">
        <f aca="false">E899*F899+G899*H899+I899*J899+K899*L899</f>
        <v>11.68</v>
      </c>
      <c r="N899" s="41" t="n">
        <f aca="false">Исходные!$B$15-M899</f>
        <v>0.0199999999999996</v>
      </c>
      <c r="O899" s="55" t="n">
        <v>1</v>
      </c>
      <c r="P899" s="53" t="n">
        <f aca="false">(F899+H899+J899+L899)*O899</f>
        <v>8</v>
      </c>
      <c r="Q899" s="74" t="n">
        <f aca="false">M899*O899</f>
        <v>11.68</v>
      </c>
      <c r="R899" s="74" t="n">
        <f aca="false">N899*O899</f>
        <v>0.0199999999999996</v>
      </c>
    </row>
    <row r="900" customFormat="false" ht="15" hidden="false" customHeight="false" outlineLevel="0" collapsed="false">
      <c r="A900" s="53" t="n">
        <v>5</v>
      </c>
      <c r="B900" s="53" t="n">
        <v>10</v>
      </c>
      <c r="C900" s="76" t="s">
        <v>512</v>
      </c>
      <c r="D900" s="53" t="n">
        <v>5</v>
      </c>
      <c r="E900" s="73" t="n">
        <v>2.6</v>
      </c>
      <c r="F900" s="55" t="n">
        <v>4</v>
      </c>
      <c r="G900" s="73" t="n">
        <v>1.25</v>
      </c>
      <c r="H900" s="55" t="n">
        <v>1</v>
      </c>
      <c r="I900" s="20"/>
      <c r="J900" s="20"/>
      <c r="K900" s="20"/>
      <c r="L900" s="20"/>
      <c r="M900" s="41" t="n">
        <f aca="false">E900*F900+G900*H900+I900*J900+K900*L900</f>
        <v>11.65</v>
      </c>
      <c r="N900" s="41" t="n">
        <f aca="false">Исходные!$B$15-M900</f>
        <v>0.0499999999999989</v>
      </c>
      <c r="O900" s="55" t="n">
        <v>4</v>
      </c>
      <c r="P900" s="53" t="n">
        <f aca="false">(F900+H900+J900+L900)*O900</f>
        <v>20</v>
      </c>
      <c r="Q900" s="74" t="n">
        <f aca="false">M900*O900</f>
        <v>46.6</v>
      </c>
      <c r="R900" s="74" t="n">
        <f aca="false">N900*O900</f>
        <v>0.199999999999996</v>
      </c>
    </row>
    <row r="901" customFormat="false" ht="15" hidden="false" customHeight="false" outlineLevel="0" collapsed="false">
      <c r="A901" s="53" t="n">
        <v>5</v>
      </c>
      <c r="B901" s="53" t="n">
        <v>10</v>
      </c>
      <c r="C901" s="76" t="s">
        <v>512</v>
      </c>
      <c r="D901" s="53" t="n">
        <v>6</v>
      </c>
      <c r="E901" s="73" t="n">
        <v>7.17</v>
      </c>
      <c r="F901" s="55" t="n">
        <v>1</v>
      </c>
      <c r="G901" s="73" t="n">
        <v>3</v>
      </c>
      <c r="H901" s="55" t="n">
        <v>1</v>
      </c>
      <c r="I901" s="73" t="n">
        <v>1.45</v>
      </c>
      <c r="J901" s="55" t="n">
        <v>1</v>
      </c>
      <c r="K901" s="20"/>
      <c r="L901" s="20"/>
      <c r="M901" s="41" t="n">
        <f aca="false">E901*F901+G901*H901+I901*J901+K901*L901</f>
        <v>11.62</v>
      </c>
      <c r="N901" s="41" t="n">
        <f aca="false">Исходные!$B$15-M901</f>
        <v>0.0800000000000001</v>
      </c>
      <c r="O901" s="55" t="n">
        <v>23</v>
      </c>
      <c r="P901" s="53" t="n">
        <f aca="false">(F901+H901+J901+L901)*O901</f>
        <v>69</v>
      </c>
      <c r="Q901" s="74" t="n">
        <f aca="false">M901*O901</f>
        <v>267.26</v>
      </c>
      <c r="R901" s="74" t="n">
        <f aca="false">N901*O901</f>
        <v>1.84</v>
      </c>
    </row>
    <row r="902" customFormat="false" ht="15" hidden="false" customHeight="false" outlineLevel="0" collapsed="false">
      <c r="A902" s="53" t="n">
        <v>5</v>
      </c>
      <c r="B902" s="53" t="n">
        <v>10</v>
      </c>
      <c r="C902" s="76" t="s">
        <v>512</v>
      </c>
      <c r="D902" s="53" t="n">
        <v>7</v>
      </c>
      <c r="E902" s="73" t="n">
        <v>7.17</v>
      </c>
      <c r="F902" s="55" t="n">
        <v>1</v>
      </c>
      <c r="G902" s="73" t="n">
        <v>3.83</v>
      </c>
      <c r="H902" s="55" t="n">
        <v>1</v>
      </c>
      <c r="I902" s="73" t="n">
        <v>0.6</v>
      </c>
      <c r="J902" s="55" t="n">
        <v>1</v>
      </c>
      <c r="K902" s="20"/>
      <c r="L902" s="20"/>
      <c r="M902" s="41" t="n">
        <f aca="false">E902*F902+G902*H902+I902*J902+K902*L902</f>
        <v>11.6</v>
      </c>
      <c r="N902" s="41" t="n">
        <f aca="false">Исходные!$B$15-M902</f>
        <v>0.0999999999999996</v>
      </c>
      <c r="O902" s="55" t="n">
        <v>3</v>
      </c>
      <c r="P902" s="53" t="n">
        <f aca="false">(F902+H902+J902+L902)*O902</f>
        <v>9</v>
      </c>
      <c r="Q902" s="74" t="n">
        <f aca="false">M902*O902</f>
        <v>34.8</v>
      </c>
      <c r="R902" s="74" t="n">
        <f aca="false">N902*O902</f>
        <v>0.299999999999999</v>
      </c>
    </row>
    <row r="903" customFormat="false" ht="15" hidden="false" customHeight="false" outlineLevel="0" collapsed="false">
      <c r="A903" s="53" t="n">
        <v>5</v>
      </c>
      <c r="B903" s="53" t="n">
        <v>10</v>
      </c>
      <c r="C903" s="76" t="s">
        <v>512</v>
      </c>
      <c r="D903" s="53" t="n">
        <v>8</v>
      </c>
      <c r="E903" s="73" t="n">
        <v>3</v>
      </c>
      <c r="F903" s="55" t="n">
        <v>3</v>
      </c>
      <c r="G903" s="73" t="n">
        <v>2.6</v>
      </c>
      <c r="H903" s="55" t="n">
        <v>1</v>
      </c>
      <c r="I903" s="20"/>
      <c r="J903" s="20"/>
      <c r="K903" s="20"/>
      <c r="L903" s="20"/>
      <c r="M903" s="41" t="n">
        <f aca="false">E903*F903+G903*H903+I903*J903+K903*L903</f>
        <v>11.6</v>
      </c>
      <c r="N903" s="41" t="n">
        <f aca="false">Исходные!$B$15-M903</f>
        <v>0.0999999999999996</v>
      </c>
      <c r="O903" s="55" t="n">
        <v>29</v>
      </c>
      <c r="P903" s="53" t="n">
        <f aca="false">(F903+H903+J903+L903)*O903</f>
        <v>116</v>
      </c>
      <c r="Q903" s="74" t="n">
        <f aca="false">M903*O903</f>
        <v>336.4</v>
      </c>
      <c r="R903" s="74" t="n">
        <f aca="false">N903*O903</f>
        <v>2.89999999999999</v>
      </c>
    </row>
    <row r="904" customFormat="false" ht="15" hidden="false" customHeight="false" outlineLevel="0" collapsed="false">
      <c r="A904" s="53" t="n">
        <v>5</v>
      </c>
      <c r="B904" s="53" t="n">
        <v>10</v>
      </c>
      <c r="C904" s="76" t="s">
        <v>512</v>
      </c>
      <c r="D904" s="53" t="n">
        <v>9</v>
      </c>
      <c r="E904" s="73" t="n">
        <v>9.18</v>
      </c>
      <c r="F904" s="55" t="n">
        <v>1</v>
      </c>
      <c r="G904" s="73" t="n">
        <v>1.2</v>
      </c>
      <c r="H904" s="55" t="n">
        <v>2</v>
      </c>
      <c r="I904" s="20"/>
      <c r="J904" s="20"/>
      <c r="K904" s="20"/>
      <c r="L904" s="20"/>
      <c r="M904" s="41" t="n">
        <f aca="false">E904*F904+G904*H904+I904*J904+K904*L904</f>
        <v>11.58</v>
      </c>
      <c r="N904" s="41" t="n">
        <f aca="false">Исходные!$B$15-M904</f>
        <v>0.119999999999999</v>
      </c>
      <c r="O904" s="55" t="n">
        <v>4</v>
      </c>
      <c r="P904" s="53" t="n">
        <f aca="false">(F904+H904+J904+L904)*O904</f>
        <v>12</v>
      </c>
      <c r="Q904" s="74" t="n">
        <f aca="false">M904*O904</f>
        <v>46.32</v>
      </c>
      <c r="R904" s="74" t="n">
        <f aca="false">N904*O904</f>
        <v>0.479999999999997</v>
      </c>
    </row>
    <row r="905" customFormat="false" ht="15" hidden="false" customHeight="false" outlineLevel="0" collapsed="false">
      <c r="A905" s="53" t="n">
        <v>5</v>
      </c>
      <c r="B905" s="53" t="n">
        <v>10</v>
      </c>
      <c r="C905" s="76" t="s">
        <v>512</v>
      </c>
      <c r="D905" s="53" t="n">
        <v>10</v>
      </c>
      <c r="E905" s="73" t="n">
        <v>5.98</v>
      </c>
      <c r="F905" s="55" t="n">
        <v>1</v>
      </c>
      <c r="G905" s="73" t="n">
        <v>3</v>
      </c>
      <c r="H905" s="55" t="n">
        <v>1</v>
      </c>
      <c r="I905" s="73" t="n">
        <v>2.6</v>
      </c>
      <c r="J905" s="55" t="n">
        <v>1</v>
      </c>
      <c r="K905" s="20"/>
      <c r="L905" s="20"/>
      <c r="M905" s="41" t="n">
        <f aca="false">E905*F905+G905*H905+I905*J905+K905*L905</f>
        <v>11.58</v>
      </c>
      <c r="N905" s="41" t="n">
        <f aca="false">Исходные!$B$15-M905</f>
        <v>0.119999999999999</v>
      </c>
      <c r="O905" s="55" t="n">
        <v>10</v>
      </c>
      <c r="P905" s="53" t="n">
        <f aca="false">(F905+H905+J905+L905)*O905</f>
        <v>30</v>
      </c>
      <c r="Q905" s="74" t="n">
        <f aca="false">M905*O905</f>
        <v>115.8</v>
      </c>
      <c r="R905" s="74" t="n">
        <f aca="false">N905*O905</f>
        <v>1.19999999999999</v>
      </c>
    </row>
    <row r="906" customFormat="false" ht="15" hidden="false" customHeight="false" outlineLevel="0" collapsed="false">
      <c r="A906" s="53" t="n">
        <v>5</v>
      </c>
      <c r="B906" s="53" t="n">
        <v>10</v>
      </c>
      <c r="C906" s="76" t="s">
        <v>512</v>
      </c>
      <c r="D906" s="53" t="n">
        <v>11</v>
      </c>
      <c r="E906" s="73" t="n">
        <v>7.97</v>
      </c>
      <c r="F906" s="55" t="n">
        <v>1</v>
      </c>
      <c r="G906" s="73" t="n">
        <v>3</v>
      </c>
      <c r="H906" s="55" t="n">
        <v>1</v>
      </c>
      <c r="I906" s="73" t="n">
        <v>0.6</v>
      </c>
      <c r="J906" s="55" t="n">
        <v>1</v>
      </c>
      <c r="K906" s="20"/>
      <c r="L906" s="20"/>
      <c r="M906" s="41" t="n">
        <f aca="false">E906*F906+G906*H906+I906*J906+K906*L906</f>
        <v>11.57</v>
      </c>
      <c r="N906" s="41" t="n">
        <f aca="false">Исходные!$B$15-M906</f>
        <v>0.130000000000001</v>
      </c>
      <c r="O906" s="55" t="n">
        <v>28</v>
      </c>
      <c r="P906" s="53" t="n">
        <f aca="false">(F906+H906+J906+L906)*O906</f>
        <v>84</v>
      </c>
      <c r="Q906" s="74" t="n">
        <f aca="false">M906*O906</f>
        <v>323.96</v>
      </c>
      <c r="R906" s="74" t="n">
        <f aca="false">N906*O906</f>
        <v>3.64000000000002</v>
      </c>
    </row>
    <row r="907" customFormat="false" ht="15" hidden="false" customHeight="false" outlineLevel="0" collapsed="false">
      <c r="A907" s="53" t="n">
        <v>5</v>
      </c>
      <c r="B907" s="53" t="n">
        <v>10</v>
      </c>
      <c r="C907" s="76" t="s">
        <v>512</v>
      </c>
      <c r="D907" s="53" t="n">
        <v>12</v>
      </c>
      <c r="E907" s="73" t="n">
        <v>2.58</v>
      </c>
      <c r="F907" s="55" t="n">
        <v>4</v>
      </c>
      <c r="G907" s="73" t="n">
        <v>1.25</v>
      </c>
      <c r="H907" s="55" t="n">
        <v>1</v>
      </c>
      <c r="I907" s="20"/>
      <c r="J907" s="20"/>
      <c r="K907" s="20"/>
      <c r="L907" s="20"/>
      <c r="M907" s="41" t="n">
        <f aca="false">E907*F907+G907*H907+I907*J907+K907*L907</f>
        <v>11.57</v>
      </c>
      <c r="N907" s="41" t="n">
        <f aca="false">Исходные!$B$15-M907</f>
        <v>0.129999999999999</v>
      </c>
      <c r="O907" s="55" t="n">
        <v>8</v>
      </c>
      <c r="P907" s="53" t="n">
        <f aca="false">(F907+H907+J907+L907)*O907</f>
        <v>40</v>
      </c>
      <c r="Q907" s="74" t="n">
        <f aca="false">M907*O907</f>
        <v>92.56</v>
      </c>
      <c r="R907" s="74" t="n">
        <f aca="false">N907*O907</f>
        <v>1.03999999999999</v>
      </c>
    </row>
    <row r="908" customFormat="false" ht="15" hidden="false" customHeight="false" outlineLevel="0" collapsed="false">
      <c r="A908" s="53" t="n">
        <v>5</v>
      </c>
      <c r="B908" s="53" t="n">
        <v>10</v>
      </c>
      <c r="C908" s="76" t="s">
        <v>512</v>
      </c>
      <c r="D908" s="53" t="n">
        <v>13</v>
      </c>
      <c r="E908" s="73" t="n">
        <v>9.18</v>
      </c>
      <c r="F908" s="55" t="n">
        <v>1</v>
      </c>
      <c r="G908" s="73" t="n">
        <v>1.19</v>
      </c>
      <c r="H908" s="55" t="n">
        <v>2</v>
      </c>
      <c r="I908" s="20"/>
      <c r="J908" s="20"/>
      <c r="K908" s="20"/>
      <c r="L908" s="20"/>
      <c r="M908" s="41" t="n">
        <f aca="false">E908*F908+G908*H908+I908*J908+K908*L908</f>
        <v>11.56</v>
      </c>
      <c r="N908" s="41" t="n">
        <f aca="false">Исходные!$B$15-M908</f>
        <v>0.140000000000001</v>
      </c>
      <c r="O908" s="55" t="n">
        <v>50</v>
      </c>
      <c r="P908" s="53" t="n">
        <f aca="false">(F908+H908+J908+L908)*O908</f>
        <v>150</v>
      </c>
      <c r="Q908" s="74" t="n">
        <f aca="false">M908*O908</f>
        <v>578</v>
      </c>
      <c r="R908" s="74" t="n">
        <f aca="false">N908*O908</f>
        <v>7.00000000000003</v>
      </c>
    </row>
    <row r="909" customFormat="false" ht="15" hidden="false" customHeight="false" outlineLevel="0" collapsed="false">
      <c r="A909" s="53" t="n">
        <v>5</v>
      </c>
      <c r="B909" s="53" t="n">
        <v>10</v>
      </c>
      <c r="C909" s="76" t="s">
        <v>512</v>
      </c>
      <c r="D909" s="53" t="n">
        <v>14</v>
      </c>
      <c r="E909" s="73" t="n">
        <v>3</v>
      </c>
      <c r="F909" s="55" t="n">
        <v>2</v>
      </c>
      <c r="G909" s="73" t="n">
        <v>2.73</v>
      </c>
      <c r="H909" s="55" t="n">
        <v>2</v>
      </c>
      <c r="I909" s="20"/>
      <c r="J909" s="20"/>
      <c r="K909" s="20"/>
      <c r="L909" s="20"/>
      <c r="M909" s="41" t="n">
        <f aca="false">E909*F909+G909*H909+I909*J909+K909*L909</f>
        <v>11.46</v>
      </c>
      <c r="N909" s="41" t="n">
        <f aca="false">Исходные!$B$15-M909</f>
        <v>0.239999999999998</v>
      </c>
      <c r="O909" s="55" t="n">
        <v>1</v>
      </c>
      <c r="P909" s="53" t="n">
        <f aca="false">(F909+H909+J909+L909)*O909</f>
        <v>4</v>
      </c>
      <c r="Q909" s="74" t="n">
        <f aca="false">M909*O909</f>
        <v>11.46</v>
      </c>
      <c r="R909" s="74" t="n">
        <f aca="false">N909*O909</f>
        <v>0.239999999999998</v>
      </c>
    </row>
    <row r="910" customFormat="false" ht="15" hidden="false" customHeight="false" outlineLevel="0" collapsed="false">
      <c r="A910" s="53" t="n">
        <v>5</v>
      </c>
      <c r="B910" s="53" t="n">
        <v>10</v>
      </c>
      <c r="C910" s="76" t="s">
        <v>512</v>
      </c>
      <c r="D910" s="53" t="n">
        <v>15</v>
      </c>
      <c r="E910" s="73" t="n">
        <v>0.57</v>
      </c>
      <c r="F910" s="55" t="n">
        <v>20</v>
      </c>
      <c r="G910" s="20"/>
      <c r="H910" s="20"/>
      <c r="I910" s="20"/>
      <c r="J910" s="20"/>
      <c r="K910" s="20"/>
      <c r="L910" s="20"/>
      <c r="M910" s="41" t="n">
        <f aca="false">E910*F910+G910*H910+I910*J910+K910*L910</f>
        <v>11.4</v>
      </c>
      <c r="N910" s="41" t="n">
        <f aca="false">Исходные!$B$15-M910</f>
        <v>0.300000000000001</v>
      </c>
      <c r="O910" s="55" t="n">
        <v>62</v>
      </c>
      <c r="P910" s="53" t="n">
        <f aca="false">(F910+H910+J910+L910)*O910</f>
        <v>1240</v>
      </c>
      <c r="Q910" s="74" t="n">
        <f aca="false">M910*O910</f>
        <v>706.8</v>
      </c>
      <c r="R910" s="74" t="n">
        <f aca="false">N910*O910</f>
        <v>18.6</v>
      </c>
    </row>
    <row r="911" customFormat="false" ht="15" hidden="false" customHeight="false" outlineLevel="0" collapsed="false">
      <c r="A911" s="53" t="n">
        <v>5</v>
      </c>
      <c r="B911" s="53" t="n">
        <v>10</v>
      </c>
      <c r="C911" s="76" t="s">
        <v>512</v>
      </c>
      <c r="D911" s="53" t="n">
        <v>16</v>
      </c>
      <c r="E911" s="73" t="n">
        <v>2.73</v>
      </c>
      <c r="F911" s="55" t="n">
        <v>3</v>
      </c>
      <c r="G911" s="73" t="n">
        <v>2.6</v>
      </c>
      <c r="H911" s="55" t="n">
        <v>1</v>
      </c>
      <c r="I911" s="73" t="n">
        <v>0.6</v>
      </c>
      <c r="J911" s="55" t="n">
        <v>1</v>
      </c>
      <c r="K911" s="20"/>
      <c r="L911" s="20"/>
      <c r="M911" s="41" t="n">
        <f aca="false">E911*F911+G911*H911+I911*J911+K911*L911</f>
        <v>11.39</v>
      </c>
      <c r="N911" s="41" t="n">
        <f aca="false">Исходные!$B$15-M911</f>
        <v>0.310000000000001</v>
      </c>
      <c r="O911" s="55" t="n">
        <v>1</v>
      </c>
      <c r="P911" s="53" t="n">
        <f aca="false">(F911+H911+J911+L911)*O911</f>
        <v>5</v>
      </c>
      <c r="Q911" s="74" t="n">
        <f aca="false">M911*O911</f>
        <v>11.39</v>
      </c>
      <c r="R911" s="74" t="n">
        <f aca="false">N911*O911</f>
        <v>0.310000000000001</v>
      </c>
    </row>
    <row r="912" customFormat="false" ht="15" hidden="false" customHeight="false" outlineLevel="0" collapsed="false">
      <c r="A912" s="53" t="n">
        <v>5</v>
      </c>
      <c r="B912" s="53" t="n">
        <v>10</v>
      </c>
      <c r="C912" s="76" t="s">
        <v>512</v>
      </c>
      <c r="D912" s="53" t="n">
        <v>17</v>
      </c>
      <c r="E912" s="73" t="n">
        <v>10.77</v>
      </c>
      <c r="F912" s="55" t="n">
        <v>1</v>
      </c>
      <c r="G912" s="73" t="n">
        <v>0.6</v>
      </c>
      <c r="H912" s="55" t="n">
        <v>1</v>
      </c>
      <c r="I912" s="20"/>
      <c r="J912" s="20"/>
      <c r="K912" s="20"/>
      <c r="L912" s="20"/>
      <c r="M912" s="41" t="n">
        <f aca="false">E912*F912+G912*H912+I912*J912+K912*L912</f>
        <v>11.37</v>
      </c>
      <c r="N912" s="41" t="n">
        <f aca="false">Исходные!$B$15-M912</f>
        <v>0.33</v>
      </c>
      <c r="O912" s="55" t="n">
        <v>2</v>
      </c>
      <c r="P912" s="53" t="n">
        <f aca="false">(F912+H912+J912+L912)*O912</f>
        <v>4</v>
      </c>
      <c r="Q912" s="74" t="n">
        <f aca="false">M912*O912</f>
        <v>22.74</v>
      </c>
      <c r="R912" s="74" t="n">
        <f aca="false">N912*O912</f>
        <v>0.66</v>
      </c>
    </row>
    <row r="913" customFormat="false" ht="15" hidden="false" customHeight="false" outlineLevel="0" collapsed="false">
      <c r="A913" s="53" t="n">
        <v>5</v>
      </c>
      <c r="B913" s="53" t="n">
        <v>10</v>
      </c>
      <c r="C913" s="76" t="s">
        <v>512</v>
      </c>
      <c r="D913" s="53" t="n">
        <v>18</v>
      </c>
      <c r="E913" s="73" t="n">
        <v>9.3</v>
      </c>
      <c r="F913" s="55" t="n">
        <v>1</v>
      </c>
      <c r="G913" s="73" t="n">
        <v>1.45</v>
      </c>
      <c r="H913" s="55" t="n">
        <v>1</v>
      </c>
      <c r="I913" s="73" t="n">
        <v>0.6</v>
      </c>
      <c r="J913" s="55" t="n">
        <v>1</v>
      </c>
      <c r="K913" s="20"/>
      <c r="L913" s="20"/>
      <c r="M913" s="41" t="n">
        <f aca="false">E913*F913+G913*H913+I913*J913+K913*L913</f>
        <v>11.35</v>
      </c>
      <c r="N913" s="41" t="n">
        <f aca="false">Исходные!$B$15-M913</f>
        <v>0.35</v>
      </c>
      <c r="O913" s="55" t="n">
        <v>38</v>
      </c>
      <c r="P913" s="53" t="n">
        <f aca="false">(F913+H913+J913+L913)*O913</f>
        <v>114</v>
      </c>
      <c r="Q913" s="74" t="n">
        <f aca="false">M913*O913</f>
        <v>431.3</v>
      </c>
      <c r="R913" s="74" t="n">
        <f aca="false">N913*O913</f>
        <v>13.3</v>
      </c>
    </row>
    <row r="914" customFormat="false" ht="15" hidden="false" customHeight="false" outlineLevel="0" collapsed="false">
      <c r="A914" s="53" t="n">
        <v>5</v>
      </c>
      <c r="B914" s="53" t="n">
        <v>10</v>
      </c>
      <c r="C914" s="76" t="s">
        <v>512</v>
      </c>
      <c r="D914" s="53" t="n">
        <v>19</v>
      </c>
      <c r="E914" s="73" t="n">
        <v>9.3</v>
      </c>
      <c r="F914" s="55" t="n">
        <v>1</v>
      </c>
      <c r="G914" s="73" t="n">
        <v>1.45</v>
      </c>
      <c r="H914" s="55" t="n">
        <v>1</v>
      </c>
      <c r="I914" s="73" t="n">
        <v>0.57</v>
      </c>
      <c r="J914" s="55" t="n">
        <v>1</v>
      </c>
      <c r="K914" s="20"/>
      <c r="L914" s="20"/>
      <c r="M914" s="41" t="n">
        <f aca="false">E914*F914+G914*H914+I914*J914+K914*L914</f>
        <v>11.32</v>
      </c>
      <c r="N914" s="41" t="n">
        <f aca="false">Исходные!$B$15-M914</f>
        <v>0.379999999999999</v>
      </c>
      <c r="O914" s="55" t="n">
        <v>15</v>
      </c>
      <c r="P914" s="53" t="n">
        <f aca="false">(F914+H914+J914+L914)*O914</f>
        <v>45</v>
      </c>
      <c r="Q914" s="74" t="n">
        <f aca="false">M914*O914</f>
        <v>169.8</v>
      </c>
      <c r="R914" s="74" t="n">
        <f aca="false">N914*O914</f>
        <v>5.69999999999999</v>
      </c>
    </row>
    <row r="915" customFormat="false" ht="15" hidden="false" customHeight="false" outlineLevel="0" collapsed="false">
      <c r="A915" s="53" t="n">
        <v>5</v>
      </c>
      <c r="B915" s="53" t="n">
        <v>10</v>
      </c>
      <c r="C915" s="76" t="s">
        <v>512</v>
      </c>
      <c r="D915" s="53" t="n">
        <v>20</v>
      </c>
      <c r="E915" s="73" t="n">
        <v>1.19</v>
      </c>
      <c r="F915" s="55" t="n">
        <v>9</v>
      </c>
      <c r="G915" s="73" t="n">
        <v>0.57</v>
      </c>
      <c r="H915" s="55" t="n">
        <v>1</v>
      </c>
      <c r="I915" s="20"/>
      <c r="J915" s="20"/>
      <c r="K915" s="20"/>
      <c r="L915" s="20"/>
      <c r="M915" s="41" t="n">
        <f aca="false">E915*F915+G915*H915+I915*J915+K915*L915</f>
        <v>11.28</v>
      </c>
      <c r="N915" s="41" t="n">
        <f aca="false">Исходные!$B$15-M915</f>
        <v>0.42</v>
      </c>
      <c r="O915" s="55" t="n">
        <v>7</v>
      </c>
      <c r="P915" s="53" t="n">
        <f aca="false">(F915+H915+J915+L915)*O915</f>
        <v>70</v>
      </c>
      <c r="Q915" s="74" t="n">
        <f aca="false">M915*O915</f>
        <v>78.96</v>
      </c>
      <c r="R915" s="74" t="n">
        <f aca="false">N915*O915</f>
        <v>2.94</v>
      </c>
    </row>
    <row r="916" customFormat="false" ht="15" hidden="false" customHeight="false" outlineLevel="0" collapsed="false">
      <c r="A916" s="53" t="n">
        <v>5</v>
      </c>
      <c r="B916" s="53" t="n">
        <v>10</v>
      </c>
      <c r="C916" s="76" t="s">
        <v>512</v>
      </c>
      <c r="D916" s="53" t="n">
        <v>21</v>
      </c>
      <c r="E916" s="73" t="n">
        <v>9.3</v>
      </c>
      <c r="F916" s="55" t="n">
        <v>1</v>
      </c>
      <c r="G916" s="73" t="n">
        <v>1.95</v>
      </c>
      <c r="H916" s="55" t="n">
        <v>1</v>
      </c>
      <c r="I916" s="20"/>
      <c r="J916" s="20"/>
      <c r="K916" s="20"/>
      <c r="L916" s="20"/>
      <c r="M916" s="41" t="n">
        <f aca="false">E916*F916+G916*H916+I916*J916+K916*L916</f>
        <v>11.25</v>
      </c>
      <c r="N916" s="41" t="n">
        <f aca="false">Исходные!$B$15-M916</f>
        <v>0.449999999999999</v>
      </c>
      <c r="O916" s="55" t="n">
        <v>44</v>
      </c>
      <c r="P916" s="53" t="n">
        <f aca="false">(F916+H916+J916+L916)*O916</f>
        <v>88</v>
      </c>
      <c r="Q916" s="74" t="n">
        <f aca="false">M916*O916</f>
        <v>495</v>
      </c>
      <c r="R916" s="74" t="n">
        <f aca="false">N916*O916</f>
        <v>19.8</v>
      </c>
    </row>
    <row r="917" customFormat="false" ht="15" hidden="false" customHeight="false" outlineLevel="0" collapsed="false">
      <c r="A917" s="53" t="n">
        <v>5</v>
      </c>
      <c r="B917" s="53" t="n">
        <v>10</v>
      </c>
      <c r="C917" s="76" t="s">
        <v>512</v>
      </c>
      <c r="D917" s="53" t="n">
        <v>22</v>
      </c>
      <c r="E917" s="73" t="n">
        <v>1.19</v>
      </c>
      <c r="F917" s="55" t="n">
        <v>8</v>
      </c>
      <c r="G917" s="73" t="n">
        <v>0.57</v>
      </c>
      <c r="H917" s="55" t="n">
        <v>3</v>
      </c>
      <c r="I917" s="20"/>
      <c r="J917" s="20"/>
      <c r="K917" s="20"/>
      <c r="L917" s="20"/>
      <c r="M917" s="41" t="n">
        <f aca="false">E917*F917+G917*H917+I917*J917+K917*L917</f>
        <v>11.23</v>
      </c>
      <c r="N917" s="41" t="n">
        <f aca="false">Исходные!$B$15-M917</f>
        <v>0.469999999999999</v>
      </c>
      <c r="O917" s="55" t="n">
        <v>1</v>
      </c>
      <c r="P917" s="53" t="n">
        <f aca="false">(F917+H917+J917+L917)*O917</f>
        <v>11</v>
      </c>
      <c r="Q917" s="74" t="n">
        <f aca="false">M917*O917</f>
        <v>11.23</v>
      </c>
      <c r="R917" s="74" t="n">
        <f aca="false">N917*O917</f>
        <v>0.469999999999999</v>
      </c>
    </row>
    <row r="918" customFormat="false" ht="15" hidden="false" customHeight="false" outlineLevel="0" collapsed="false">
      <c r="A918" s="53" t="n">
        <v>5</v>
      </c>
      <c r="B918" s="53" t="n">
        <v>10</v>
      </c>
      <c r="C918" s="76" t="s">
        <v>512</v>
      </c>
      <c r="D918" s="53" t="n">
        <v>23</v>
      </c>
      <c r="E918" s="73" t="n">
        <v>0.57</v>
      </c>
      <c r="F918" s="55" t="n">
        <v>6</v>
      </c>
      <c r="G918" s="73" t="n">
        <v>0.48</v>
      </c>
      <c r="H918" s="55" t="n">
        <v>8</v>
      </c>
      <c r="I918" s="20"/>
      <c r="J918" s="20"/>
      <c r="K918" s="20"/>
      <c r="L918" s="20"/>
      <c r="M918" s="41" t="n">
        <f aca="false">E918*F918+G918*H918+I918*J918+K918*L918</f>
        <v>7.26</v>
      </c>
      <c r="N918" s="41" t="n">
        <f aca="false">Исходные!$B$15-M918</f>
        <v>4.44</v>
      </c>
      <c r="O918" s="55" t="n">
        <v>1</v>
      </c>
      <c r="P918" s="53" t="n">
        <f aca="false">(F918+H918+J918+L918)*O918</f>
        <v>14</v>
      </c>
      <c r="Q918" s="74" t="n">
        <f aca="false">M918*O918</f>
        <v>7.26</v>
      </c>
      <c r="R918" s="74" t="n">
        <f aca="false">N918*O918</f>
        <v>4.44</v>
      </c>
    </row>
    <row r="919" customFormat="false" ht="15" hidden="false" customHeight="false" outlineLevel="0" collapsed="false">
      <c r="A919" s="53" t="n">
        <v>5</v>
      </c>
      <c r="B919" s="53" t="n">
        <v>16</v>
      </c>
      <c r="C919" s="76" t="s">
        <v>546</v>
      </c>
      <c r="D919" s="53" t="n">
        <v>1</v>
      </c>
      <c r="E919" s="73" t="n">
        <v>0.42</v>
      </c>
      <c r="F919" s="55" t="n">
        <v>2</v>
      </c>
      <c r="G919" s="20"/>
      <c r="H919" s="20"/>
      <c r="I919" s="20"/>
      <c r="J919" s="20"/>
      <c r="K919" s="20"/>
      <c r="L919" s="20"/>
      <c r="M919" s="41" t="n">
        <f aca="false">E919*F919+G919*H919+I919*J919+K919*L919</f>
        <v>0.84</v>
      </c>
      <c r="N919" s="41" t="n">
        <f aca="false">Исходные!$B$15-M919</f>
        <v>10.86</v>
      </c>
      <c r="O919" s="55" t="n">
        <v>1</v>
      </c>
      <c r="P919" s="53" t="n">
        <f aca="false">(F919+H919+J919+L919)*O919</f>
        <v>2</v>
      </c>
      <c r="Q919" s="74" t="n">
        <f aca="false">M919*O919</f>
        <v>0.84</v>
      </c>
      <c r="R919" s="74" t="n">
        <f aca="false">N919*O919</f>
        <v>10.86</v>
      </c>
    </row>
    <row r="920" customFormat="false" ht="15" hidden="false" customHeight="false" outlineLevel="0" collapsed="false">
      <c r="A920" s="53" t="n">
        <v>5</v>
      </c>
      <c r="B920" s="53" t="n">
        <v>10</v>
      </c>
      <c r="C920" s="76" t="s">
        <v>546</v>
      </c>
      <c r="D920" s="53" t="n">
        <v>1</v>
      </c>
      <c r="E920" s="73" t="n">
        <v>1.33</v>
      </c>
      <c r="F920" s="55" t="n">
        <v>8</v>
      </c>
      <c r="G920" s="73" t="n">
        <v>1.04</v>
      </c>
      <c r="H920" s="55" t="n">
        <v>1</v>
      </c>
      <c r="I920" s="20"/>
      <c r="J920" s="20"/>
      <c r="K920" s="20"/>
      <c r="L920" s="20"/>
      <c r="M920" s="41" t="n">
        <f aca="false">E920*F920+G920*H920+I920*J920+K920*L920</f>
        <v>11.68</v>
      </c>
      <c r="N920" s="41" t="n">
        <f aca="false">Исходные!$B$15-M920</f>
        <v>0.0199999999999996</v>
      </c>
      <c r="O920" s="55" t="n">
        <v>14</v>
      </c>
      <c r="P920" s="53" t="n">
        <f aca="false">(F920+H920+J920+L920)*O920</f>
        <v>126</v>
      </c>
      <c r="Q920" s="74" t="n">
        <f aca="false">M920*O920</f>
        <v>163.52</v>
      </c>
      <c r="R920" s="74" t="n">
        <f aca="false">N920*O920</f>
        <v>0.279999999999994</v>
      </c>
    </row>
    <row r="921" customFormat="false" ht="15" hidden="false" customHeight="false" outlineLevel="0" collapsed="false">
      <c r="A921" s="53" t="n">
        <v>5</v>
      </c>
      <c r="B921" s="53" t="n">
        <v>10</v>
      </c>
      <c r="C921" s="76" t="s">
        <v>546</v>
      </c>
      <c r="D921" s="53" t="n">
        <v>2</v>
      </c>
      <c r="E921" s="73" t="n">
        <v>0.7</v>
      </c>
      <c r="F921" s="55" t="n">
        <v>4</v>
      </c>
      <c r="G921" s="73" t="n">
        <v>0.52</v>
      </c>
      <c r="H921" s="55" t="n">
        <v>17</v>
      </c>
      <c r="I921" s="20"/>
      <c r="J921" s="20"/>
      <c r="K921" s="20"/>
      <c r="L921" s="20"/>
      <c r="M921" s="41" t="n">
        <f aca="false">E921*F921+G921*H921+I921*J921+K921*L921</f>
        <v>11.64</v>
      </c>
      <c r="N921" s="41" t="n">
        <f aca="false">Исходные!$B$15-M921</f>
        <v>0.0599999999999987</v>
      </c>
      <c r="O921" s="55" t="n">
        <v>1</v>
      </c>
      <c r="P921" s="53" t="n">
        <f aca="false">(F921+H921+J921+L921)*O921</f>
        <v>21</v>
      </c>
      <c r="Q921" s="74" t="n">
        <f aca="false">M921*O921</f>
        <v>11.64</v>
      </c>
      <c r="R921" s="74" t="n">
        <f aca="false">N921*O921</f>
        <v>0.0599999999999987</v>
      </c>
    </row>
    <row r="922" customFormat="false" ht="15" hidden="false" customHeight="false" outlineLevel="0" collapsed="false">
      <c r="A922" s="53" t="n">
        <v>5</v>
      </c>
      <c r="B922" s="53" t="n">
        <v>10</v>
      </c>
      <c r="C922" s="76" t="s">
        <v>546</v>
      </c>
      <c r="D922" s="53" t="n">
        <v>3</v>
      </c>
      <c r="E922" s="73" t="n">
        <v>0.52</v>
      </c>
      <c r="F922" s="55" t="n">
        <v>3</v>
      </c>
      <c r="G922" s="73" t="n">
        <v>0.42</v>
      </c>
      <c r="H922" s="55" t="n">
        <v>24</v>
      </c>
      <c r="I922" s="20"/>
      <c r="J922" s="20"/>
      <c r="K922" s="20"/>
      <c r="L922" s="20"/>
      <c r="M922" s="41" t="n">
        <f aca="false">E922*F922+G922*H922+I922*J922+K922*L922</f>
        <v>11.64</v>
      </c>
      <c r="N922" s="41" t="n">
        <f aca="false">Исходные!$B$15-M922</f>
        <v>0.0599999999999987</v>
      </c>
      <c r="O922" s="55" t="n">
        <v>1</v>
      </c>
      <c r="P922" s="53" t="n">
        <f aca="false">(F922+H922+J922+L922)*O922</f>
        <v>27</v>
      </c>
      <c r="Q922" s="74" t="n">
        <f aca="false">M922*O922</f>
        <v>11.64</v>
      </c>
      <c r="R922" s="74" t="n">
        <f aca="false">N922*O922</f>
        <v>0.0599999999999987</v>
      </c>
    </row>
    <row r="923" customFormat="false" ht="15" hidden="false" customHeight="false" outlineLevel="0" collapsed="false">
      <c r="A923" s="53" t="n">
        <v>5</v>
      </c>
      <c r="B923" s="53" t="n">
        <v>10</v>
      </c>
      <c r="C923" s="76" t="s">
        <v>546</v>
      </c>
      <c r="D923" s="53" t="n">
        <v>4</v>
      </c>
      <c r="E923" s="73" t="n">
        <v>2.06</v>
      </c>
      <c r="F923" s="55" t="n">
        <v>5</v>
      </c>
      <c r="G923" s="73" t="n">
        <v>1.33</v>
      </c>
      <c r="H923" s="55" t="n">
        <v>1</v>
      </c>
      <c r="I923" s="20"/>
      <c r="J923" s="20"/>
      <c r="K923" s="20"/>
      <c r="L923" s="20"/>
      <c r="M923" s="41" t="n">
        <f aca="false">E923*F923+G923*H923+I923*J923+K923*L923</f>
        <v>11.63</v>
      </c>
      <c r="N923" s="41" t="n">
        <f aca="false">Исходные!$B$15-M923</f>
        <v>0.0699999999999985</v>
      </c>
      <c r="O923" s="55" t="n">
        <v>59</v>
      </c>
      <c r="P923" s="53" t="n">
        <f aca="false">(F923+H923+J923+L923)*O923</f>
        <v>354</v>
      </c>
      <c r="Q923" s="74" t="n">
        <f aca="false">M923*O923</f>
        <v>686.17</v>
      </c>
      <c r="R923" s="74" t="n">
        <f aca="false">N923*O923</f>
        <v>4.12999999999991</v>
      </c>
    </row>
    <row r="924" customFormat="false" ht="15" hidden="false" customHeight="false" outlineLevel="0" collapsed="false">
      <c r="A924" s="53" t="n">
        <v>5</v>
      </c>
      <c r="B924" s="53" t="n">
        <v>10</v>
      </c>
      <c r="C924" s="76" t="s">
        <v>546</v>
      </c>
      <c r="D924" s="53" t="n">
        <v>5</v>
      </c>
      <c r="E924" s="73" t="n">
        <v>1.6</v>
      </c>
      <c r="F924" s="55" t="n">
        <v>6</v>
      </c>
      <c r="G924" s="73" t="n">
        <v>1.33</v>
      </c>
      <c r="H924" s="55" t="n">
        <v>1</v>
      </c>
      <c r="I924" s="73" t="n">
        <v>0.7</v>
      </c>
      <c r="J924" s="55" t="n">
        <v>1</v>
      </c>
      <c r="K924" s="20"/>
      <c r="L924" s="20"/>
      <c r="M924" s="41" t="n">
        <f aca="false">E924*F924+G924*H924+I924*J924+K924*L924</f>
        <v>11.63</v>
      </c>
      <c r="N924" s="41" t="n">
        <f aca="false">Исходные!$B$15-M924</f>
        <v>0.0699999999999985</v>
      </c>
      <c r="O924" s="55" t="n">
        <v>1</v>
      </c>
      <c r="P924" s="53" t="n">
        <f aca="false">(F924+H924+J924+L924)*O924</f>
        <v>8</v>
      </c>
      <c r="Q924" s="74" t="n">
        <f aca="false">M924*O924</f>
        <v>11.63</v>
      </c>
      <c r="R924" s="74" t="n">
        <f aca="false">N924*O924</f>
        <v>0.0699999999999985</v>
      </c>
    </row>
    <row r="925" customFormat="false" ht="15" hidden="false" customHeight="false" outlineLevel="0" collapsed="false">
      <c r="A925" s="53" t="n">
        <v>5</v>
      </c>
      <c r="B925" s="53" t="n">
        <v>10</v>
      </c>
      <c r="C925" s="76" t="s">
        <v>546</v>
      </c>
      <c r="D925" s="53" t="n">
        <v>6</v>
      </c>
      <c r="E925" s="73" t="n">
        <v>1.6</v>
      </c>
      <c r="F925" s="55" t="n">
        <v>7</v>
      </c>
      <c r="G925" s="73" t="n">
        <v>0.42</v>
      </c>
      <c r="H925" s="55" t="n">
        <v>1</v>
      </c>
      <c r="I925" s="20"/>
      <c r="J925" s="20"/>
      <c r="K925" s="20"/>
      <c r="L925" s="20"/>
      <c r="M925" s="41" t="n">
        <f aca="false">E925*F925+G925*H925+I925*J925+K925*L925</f>
        <v>11.62</v>
      </c>
      <c r="N925" s="41" t="n">
        <f aca="false">Исходные!$B$15-M925</f>
        <v>0.0799999999999983</v>
      </c>
      <c r="O925" s="55" t="n">
        <v>11</v>
      </c>
      <c r="P925" s="53" t="n">
        <f aca="false">(F925+H925+J925+L925)*O925</f>
        <v>88</v>
      </c>
      <c r="Q925" s="74" t="n">
        <f aca="false">M925*O925</f>
        <v>127.82</v>
      </c>
      <c r="R925" s="74" t="n">
        <f aca="false">N925*O925</f>
        <v>0.879999999999981</v>
      </c>
    </row>
    <row r="926" customFormat="false" ht="15" hidden="false" customHeight="false" outlineLevel="0" collapsed="false">
      <c r="A926" s="53" t="n">
        <v>5</v>
      </c>
      <c r="B926" s="53" t="n">
        <v>10</v>
      </c>
      <c r="C926" s="76" t="s">
        <v>546</v>
      </c>
      <c r="D926" s="53" t="n">
        <v>7</v>
      </c>
      <c r="E926" s="73" t="n">
        <v>1.04</v>
      </c>
      <c r="F926" s="55" t="n">
        <v>10</v>
      </c>
      <c r="G926" s="73" t="n">
        <v>0.7</v>
      </c>
      <c r="H926" s="55" t="n">
        <v>1</v>
      </c>
      <c r="I926" s="73" t="n">
        <v>0.52</v>
      </c>
      <c r="J926" s="55" t="n">
        <v>1</v>
      </c>
      <c r="K926" s="20"/>
      <c r="L926" s="20"/>
      <c r="M926" s="41" t="n">
        <f aca="false">E926*F926+G926*H926+I926*J926+K926*L926</f>
        <v>11.62</v>
      </c>
      <c r="N926" s="41" t="n">
        <f aca="false">Исходные!$B$15-M926</f>
        <v>0.0800000000000001</v>
      </c>
      <c r="O926" s="55" t="n">
        <v>1</v>
      </c>
      <c r="P926" s="53" t="n">
        <f aca="false">(F926+H926+J926+L926)*O926</f>
        <v>12</v>
      </c>
      <c r="Q926" s="74" t="n">
        <f aca="false">M926*O926</f>
        <v>11.62</v>
      </c>
      <c r="R926" s="74" t="n">
        <f aca="false">N926*O926</f>
        <v>0.0800000000000001</v>
      </c>
    </row>
    <row r="927" customFormat="false" ht="15" hidden="false" customHeight="false" outlineLevel="0" collapsed="false">
      <c r="A927" s="53" t="n">
        <v>5</v>
      </c>
      <c r="B927" s="53" t="n">
        <v>10</v>
      </c>
      <c r="C927" s="76" t="s">
        <v>546</v>
      </c>
      <c r="D927" s="53" t="n">
        <v>8</v>
      </c>
      <c r="E927" s="73" t="n">
        <v>0.7</v>
      </c>
      <c r="F927" s="55" t="n">
        <v>16</v>
      </c>
      <c r="G927" s="73" t="n">
        <v>0.42</v>
      </c>
      <c r="H927" s="55" t="n">
        <v>1</v>
      </c>
      <c r="I927" s="20"/>
      <c r="J927" s="20"/>
      <c r="K927" s="20"/>
      <c r="L927" s="20"/>
      <c r="M927" s="41" t="n">
        <f aca="false">E927*F927+G927*H927+I927*J927+K927*L927</f>
        <v>11.62</v>
      </c>
      <c r="N927" s="41" t="n">
        <f aca="false">Исходные!$B$15-M927</f>
        <v>0.0800000000000001</v>
      </c>
      <c r="O927" s="55" t="n">
        <v>7</v>
      </c>
      <c r="P927" s="53" t="n">
        <f aca="false">(F927+H927+J927+L927)*O927</f>
        <v>119</v>
      </c>
      <c r="Q927" s="74" t="n">
        <f aca="false">M927*O927</f>
        <v>81.34</v>
      </c>
      <c r="R927" s="74" t="n">
        <f aca="false">N927*O927</f>
        <v>0.560000000000001</v>
      </c>
    </row>
    <row r="928" customFormat="false" ht="15" hidden="false" customHeight="false" outlineLevel="0" collapsed="false">
      <c r="A928" s="53" t="n">
        <v>5</v>
      </c>
      <c r="B928" s="53" t="n">
        <v>10</v>
      </c>
      <c r="C928" s="76" t="s">
        <v>546</v>
      </c>
      <c r="D928" s="53" t="n">
        <v>9</v>
      </c>
      <c r="E928" s="73" t="n">
        <v>1.33</v>
      </c>
      <c r="F928" s="55" t="n">
        <v>4</v>
      </c>
      <c r="G928" s="73" t="n">
        <v>1.14</v>
      </c>
      <c r="H928" s="55" t="n">
        <v>5</v>
      </c>
      <c r="I928" s="73" t="n">
        <v>0.52</v>
      </c>
      <c r="J928" s="55" t="n">
        <v>1</v>
      </c>
      <c r="K928" s="20"/>
      <c r="L928" s="20"/>
      <c r="M928" s="41" t="n">
        <f aca="false">E928*F928+G928*H928+I928*J928+K928*L928</f>
        <v>11.54</v>
      </c>
      <c r="N928" s="41" t="n">
        <f aca="false">Исходные!$B$15-M928</f>
        <v>0.16</v>
      </c>
      <c r="O928" s="55" t="n">
        <v>1</v>
      </c>
      <c r="P928" s="53" t="n">
        <f aca="false">(F928+H928+J928+L928)*O928</f>
        <v>10</v>
      </c>
      <c r="Q928" s="74" t="n">
        <f aca="false">M928*O928</f>
        <v>11.54</v>
      </c>
      <c r="R928" s="74" t="n">
        <f aca="false">N928*O928</f>
        <v>0.16</v>
      </c>
    </row>
    <row r="929" customFormat="false" ht="15" hidden="false" customHeight="false" outlineLevel="0" collapsed="false">
      <c r="A929" s="53" t="n">
        <v>5</v>
      </c>
      <c r="B929" s="53" t="n">
        <v>10</v>
      </c>
      <c r="C929" s="76" t="s">
        <v>546</v>
      </c>
      <c r="D929" s="53" t="n">
        <v>10</v>
      </c>
      <c r="E929" s="73" t="n">
        <v>2.06</v>
      </c>
      <c r="F929" s="55" t="n">
        <v>4</v>
      </c>
      <c r="G929" s="73" t="n">
        <v>1.6</v>
      </c>
      <c r="H929" s="55" t="n">
        <v>2</v>
      </c>
      <c r="I929" s="20"/>
      <c r="J929" s="20"/>
      <c r="K929" s="20"/>
      <c r="L929" s="20"/>
      <c r="M929" s="41" t="n">
        <f aca="false">E929*F929+G929*H929+I929*J929+K929*L929</f>
        <v>11.44</v>
      </c>
      <c r="N929" s="41" t="n">
        <f aca="false">Исходные!$B$15-M929</f>
        <v>0.259999999999998</v>
      </c>
      <c r="O929" s="55" t="n">
        <v>1</v>
      </c>
      <c r="P929" s="53" t="n">
        <f aca="false">(F929+H929+J929+L929)*O929</f>
        <v>6</v>
      </c>
      <c r="Q929" s="74" t="n">
        <f aca="false">M929*O929</f>
        <v>11.44</v>
      </c>
      <c r="R929" s="74" t="n">
        <f aca="false">N929*O929</f>
        <v>0.259999999999998</v>
      </c>
    </row>
    <row r="930" customFormat="false" ht="15" hidden="false" customHeight="false" outlineLevel="0" collapsed="false">
      <c r="A930" s="53" t="n">
        <v>5</v>
      </c>
      <c r="B930" s="53" t="n">
        <v>10</v>
      </c>
      <c r="C930" s="76" t="s">
        <v>546</v>
      </c>
      <c r="D930" s="53" t="n">
        <v>11</v>
      </c>
      <c r="E930" s="73" t="n">
        <v>0.52</v>
      </c>
      <c r="F930" s="55" t="n">
        <v>22</v>
      </c>
      <c r="G930" s="20"/>
      <c r="H930" s="20"/>
      <c r="I930" s="20"/>
      <c r="J930" s="20"/>
      <c r="K930" s="20"/>
      <c r="L930" s="20"/>
      <c r="M930" s="41" t="n">
        <f aca="false">E930*F930+G930*H930+I930*J930+K930*L930</f>
        <v>11.44</v>
      </c>
      <c r="N930" s="41" t="n">
        <f aca="false">Исходные!$B$15-M930</f>
        <v>0.259999999999998</v>
      </c>
      <c r="O930" s="55" t="n">
        <v>7</v>
      </c>
      <c r="P930" s="53" t="n">
        <f aca="false">(F930+H930+J930+L930)*O930</f>
        <v>154</v>
      </c>
      <c r="Q930" s="74" t="n">
        <f aca="false">M930*O930</f>
        <v>80.08</v>
      </c>
      <c r="R930" s="74" t="n">
        <f aca="false">N930*O930</f>
        <v>1.81999999999999</v>
      </c>
    </row>
    <row r="931" customFormat="false" ht="15" hidden="false" customHeight="false" outlineLevel="0" collapsed="false">
      <c r="A931" s="53" t="n">
        <v>5</v>
      </c>
      <c r="B931" s="53" t="n">
        <v>10</v>
      </c>
      <c r="C931" s="76" t="s">
        <v>546</v>
      </c>
      <c r="D931" s="53" t="n">
        <v>12</v>
      </c>
      <c r="E931" s="73" t="n">
        <v>1.14</v>
      </c>
      <c r="F931" s="55" t="n">
        <v>3</v>
      </c>
      <c r="G931" s="73" t="n">
        <v>1.04</v>
      </c>
      <c r="H931" s="55" t="n">
        <v>7</v>
      </c>
      <c r="I931" s="73" t="n">
        <v>0.7</v>
      </c>
      <c r="J931" s="55" t="n">
        <v>1</v>
      </c>
      <c r="K931" s="20"/>
      <c r="L931" s="20"/>
      <c r="M931" s="41" t="n">
        <f aca="false">E931*F931+G931*H931+I931*J931+K931*L931</f>
        <v>11.4</v>
      </c>
      <c r="N931" s="41" t="n">
        <f aca="false">Исходные!$B$15-M931</f>
        <v>0.300000000000001</v>
      </c>
      <c r="O931" s="55" t="n">
        <v>1</v>
      </c>
      <c r="P931" s="53" t="n">
        <f aca="false">(F931+H931+J931+L931)*O931</f>
        <v>11</v>
      </c>
      <c r="Q931" s="74" t="n">
        <f aca="false">M931*O931</f>
        <v>11.4</v>
      </c>
      <c r="R931" s="74" t="n">
        <f aca="false">N931*O931</f>
        <v>0.300000000000001</v>
      </c>
    </row>
    <row r="932" customFormat="false" ht="15" hidden="false" customHeight="false" outlineLevel="0" collapsed="false">
      <c r="A932" s="53" t="n">
        <v>5</v>
      </c>
      <c r="B932" s="53" t="n">
        <v>10</v>
      </c>
      <c r="C932" s="76" t="s">
        <v>546</v>
      </c>
      <c r="D932" s="53" t="n">
        <v>13</v>
      </c>
      <c r="E932" s="73" t="n">
        <v>1.14</v>
      </c>
      <c r="F932" s="55" t="n">
        <v>10</v>
      </c>
      <c r="G932" s="20"/>
      <c r="H932" s="20"/>
      <c r="I932" s="20"/>
      <c r="J932" s="20"/>
      <c r="K932" s="20"/>
      <c r="L932" s="20"/>
      <c r="M932" s="41" t="n">
        <f aca="false">E932*F932+G932*H932+I932*J932+K932*L932</f>
        <v>11.4</v>
      </c>
      <c r="N932" s="41" t="n">
        <f aca="false">Исходные!$B$15-M932</f>
        <v>0.300000000000001</v>
      </c>
      <c r="O932" s="55" t="n">
        <v>5</v>
      </c>
      <c r="P932" s="53" t="n">
        <f aca="false">(F932+H932+J932+L932)*O932</f>
        <v>50</v>
      </c>
      <c r="Q932" s="74" t="n">
        <f aca="false">M932*O932</f>
        <v>57</v>
      </c>
      <c r="R932" s="74" t="n">
        <f aca="false">N932*O932</f>
        <v>1.5</v>
      </c>
    </row>
    <row r="933" customFormat="false" ht="15" hidden="false" customHeight="false" outlineLevel="0" collapsed="false">
      <c r="A933" s="53" t="n">
        <v>5</v>
      </c>
      <c r="B933" s="53" t="n">
        <v>10</v>
      </c>
      <c r="C933" s="76" t="s">
        <v>546</v>
      </c>
      <c r="D933" s="53" t="n">
        <v>14</v>
      </c>
      <c r="E933" s="73" t="n">
        <v>0.42</v>
      </c>
      <c r="F933" s="55" t="n">
        <v>27</v>
      </c>
      <c r="G933" s="20"/>
      <c r="H933" s="20"/>
      <c r="I933" s="20"/>
      <c r="J933" s="20"/>
      <c r="K933" s="20"/>
      <c r="L933" s="20"/>
      <c r="M933" s="41" t="n">
        <f aca="false">E933*F933+G933*H933+I933*J933+K933*L933</f>
        <v>11.34</v>
      </c>
      <c r="N933" s="41" t="n">
        <f aca="false">Исходные!$B$15-M933</f>
        <v>0.359999999999999</v>
      </c>
      <c r="O933" s="55" t="n">
        <v>27</v>
      </c>
      <c r="P933" s="53" t="n">
        <f aca="false">(F933+H933+J933+L933)*O933</f>
        <v>729</v>
      </c>
      <c r="Q933" s="74" t="n">
        <f aca="false">M933*O933</f>
        <v>306.18</v>
      </c>
      <c r="R933" s="74" t="n">
        <f aca="false">N933*O933</f>
        <v>9.71999999999999</v>
      </c>
    </row>
    <row r="934" customFormat="false" ht="15" hidden="false" customHeight="false" outlineLevel="0" collapsed="false">
      <c r="A934" s="53" t="n">
        <v>5</v>
      </c>
      <c r="B934" s="53" t="n">
        <v>10</v>
      </c>
      <c r="C934" s="76" t="s">
        <v>546</v>
      </c>
      <c r="D934" s="53" t="n">
        <v>15</v>
      </c>
      <c r="E934" s="73" t="n">
        <v>0.42</v>
      </c>
      <c r="F934" s="55" t="n">
        <v>21</v>
      </c>
      <c r="G934" s="20"/>
      <c r="H934" s="20"/>
      <c r="I934" s="20"/>
      <c r="J934" s="20"/>
      <c r="K934" s="20"/>
      <c r="L934" s="20"/>
      <c r="M934" s="41" t="n">
        <f aca="false">E934*F934+G934*H934+I934*J934+K934*L934</f>
        <v>8.82</v>
      </c>
      <c r="N934" s="41" t="n">
        <f aca="false">Исходные!$B$15-M934</f>
        <v>2.88</v>
      </c>
      <c r="O934" s="55" t="n">
        <v>1</v>
      </c>
      <c r="P934" s="53" t="n">
        <f aca="false">(F934+H934+J934+L934)*O934</f>
        <v>21</v>
      </c>
      <c r="Q934" s="74" t="n">
        <f aca="false">M934*O934</f>
        <v>8.82</v>
      </c>
      <c r="R934" s="74" t="n">
        <f aca="false">N934*O934</f>
        <v>2.88</v>
      </c>
    </row>
    <row r="935" customFormat="false" ht="15" hidden="false" customHeight="false" outlineLevel="0" collapsed="false">
      <c r="A935" s="53" t="n">
        <v>5</v>
      </c>
      <c r="B935" s="53" t="n">
        <v>8</v>
      </c>
      <c r="C935" s="76" t="s">
        <v>546</v>
      </c>
      <c r="D935" s="53" t="n">
        <v>1</v>
      </c>
      <c r="E935" s="73" t="n">
        <v>0.53</v>
      </c>
      <c r="F935" s="55" t="n">
        <v>20</v>
      </c>
      <c r="G935" s="73" t="n">
        <v>0.22</v>
      </c>
      <c r="H935" s="55" t="n">
        <v>5</v>
      </c>
      <c r="I935" s="20"/>
      <c r="J935" s="20"/>
      <c r="K935" s="20"/>
      <c r="L935" s="20"/>
      <c r="M935" s="41" t="n">
        <f aca="false">E935*F935+G935*H935+I935*J935+K935*L935</f>
        <v>11.7</v>
      </c>
      <c r="N935" s="41" t="n">
        <f aca="false">Исходные!$B$15-M935</f>
        <v>0</v>
      </c>
      <c r="O935" s="55" t="n">
        <v>1</v>
      </c>
      <c r="P935" s="53" t="n">
        <f aca="false">(F935+H935+J935+L935)*O935</f>
        <v>25</v>
      </c>
      <c r="Q935" s="74" t="n">
        <f aca="false">M935*O935</f>
        <v>11.7</v>
      </c>
      <c r="R935" s="74" t="n">
        <f aca="false">N935*O935</f>
        <v>0</v>
      </c>
    </row>
    <row r="936" customFormat="false" ht="15" hidden="false" customHeight="false" outlineLevel="0" collapsed="false">
      <c r="A936" s="53" t="n">
        <v>5</v>
      </c>
      <c r="B936" s="53" t="n">
        <v>8</v>
      </c>
      <c r="C936" s="76" t="s">
        <v>546</v>
      </c>
      <c r="D936" s="53" t="n">
        <v>2</v>
      </c>
      <c r="E936" s="73" t="n">
        <v>1.24</v>
      </c>
      <c r="F936" s="55" t="n">
        <v>9</v>
      </c>
      <c r="G936" s="73" t="n">
        <v>0.53</v>
      </c>
      <c r="H936" s="55" t="n">
        <v>1</v>
      </c>
      <c r="I936" s="20"/>
      <c r="J936" s="20"/>
      <c r="K936" s="20"/>
      <c r="L936" s="20"/>
      <c r="M936" s="41" t="n">
        <f aca="false">E936*F936+G936*H936+I936*J936+K936*L936</f>
        <v>11.69</v>
      </c>
      <c r="N936" s="41" t="n">
        <f aca="false">Исходные!$B$15-M936</f>
        <v>0.00999999999999979</v>
      </c>
      <c r="O936" s="55" t="n">
        <v>79</v>
      </c>
      <c r="P936" s="53" t="n">
        <f aca="false">(F936+H936+J936+L936)*O936</f>
        <v>790</v>
      </c>
      <c r="Q936" s="74" t="n">
        <f aca="false">M936*O936</f>
        <v>923.51</v>
      </c>
      <c r="R936" s="74" t="n">
        <f aca="false">N936*O936</f>
        <v>0.789999999999983</v>
      </c>
    </row>
    <row r="937" customFormat="false" ht="15" hidden="false" customHeight="false" outlineLevel="0" collapsed="false">
      <c r="A937" s="53" t="n">
        <v>5</v>
      </c>
      <c r="B937" s="53" t="n">
        <v>8</v>
      </c>
      <c r="C937" s="76" t="s">
        <v>546</v>
      </c>
      <c r="D937" s="53" t="n">
        <v>3</v>
      </c>
      <c r="E937" s="73" t="n">
        <v>0.75</v>
      </c>
      <c r="F937" s="55" t="n">
        <v>15</v>
      </c>
      <c r="G937" s="73" t="n">
        <v>0.22</v>
      </c>
      <c r="H937" s="55" t="n">
        <v>2</v>
      </c>
      <c r="I937" s="20"/>
      <c r="J937" s="20"/>
      <c r="K937" s="20"/>
      <c r="L937" s="20"/>
      <c r="M937" s="41" t="n">
        <f aca="false">E937*F937+G937*H937+I937*J937+K937*L937</f>
        <v>11.69</v>
      </c>
      <c r="N937" s="41" t="n">
        <f aca="false">Исходные!$B$15-M937</f>
        <v>0.00999999999999979</v>
      </c>
      <c r="O937" s="55" t="n">
        <v>58</v>
      </c>
      <c r="P937" s="53" t="n">
        <f aca="false">(F937+H937+J937+L937)*O937</f>
        <v>986</v>
      </c>
      <c r="Q937" s="74" t="n">
        <f aca="false">M937*O937</f>
        <v>678.02</v>
      </c>
      <c r="R937" s="74" t="n">
        <f aca="false">N937*O937</f>
        <v>0.579999999999988</v>
      </c>
    </row>
    <row r="938" customFormat="false" ht="15" hidden="false" customHeight="false" outlineLevel="0" collapsed="false">
      <c r="A938" s="53" t="n">
        <v>5</v>
      </c>
      <c r="B938" s="53" t="n">
        <v>8</v>
      </c>
      <c r="C938" s="76" t="s">
        <v>546</v>
      </c>
      <c r="D938" s="53" t="n">
        <v>4</v>
      </c>
      <c r="E938" s="73" t="n">
        <v>1.04</v>
      </c>
      <c r="F938" s="55" t="n">
        <v>11</v>
      </c>
      <c r="G938" s="73" t="n">
        <v>0.22</v>
      </c>
      <c r="H938" s="55" t="n">
        <v>1</v>
      </c>
      <c r="I938" s="20"/>
      <c r="J938" s="20"/>
      <c r="K938" s="20"/>
      <c r="L938" s="20"/>
      <c r="M938" s="41" t="n">
        <f aca="false">E938*F938+G938*H938+I938*J938+K938*L938</f>
        <v>11.66</v>
      </c>
      <c r="N938" s="41" t="n">
        <f aca="false">Исходные!$B$15-M938</f>
        <v>0.0399999999999974</v>
      </c>
      <c r="O938" s="55" t="n">
        <v>10</v>
      </c>
      <c r="P938" s="53" t="n">
        <f aca="false">(F938+H938+J938+L938)*O938</f>
        <v>120</v>
      </c>
      <c r="Q938" s="74" t="n">
        <f aca="false">M938*O938</f>
        <v>116.6</v>
      </c>
      <c r="R938" s="74" t="n">
        <f aca="false">N938*O938</f>
        <v>0.399999999999974</v>
      </c>
    </row>
    <row r="939" customFormat="false" ht="15" hidden="false" customHeight="false" outlineLevel="0" collapsed="false">
      <c r="A939" s="53" t="n">
        <v>5</v>
      </c>
      <c r="B939" s="53" t="n">
        <v>8</v>
      </c>
      <c r="C939" s="76" t="s">
        <v>546</v>
      </c>
      <c r="D939" s="53" t="n">
        <v>5</v>
      </c>
      <c r="E939" s="73" t="n">
        <v>0.53</v>
      </c>
      <c r="F939" s="55" t="n">
        <v>22</v>
      </c>
      <c r="G939" s="20"/>
      <c r="H939" s="20"/>
      <c r="I939" s="20"/>
      <c r="J939" s="20"/>
      <c r="K939" s="20"/>
      <c r="L939" s="20"/>
      <c r="M939" s="41" t="n">
        <f aca="false">E939*F939+G939*H939+I939*J939+K939*L939</f>
        <v>11.66</v>
      </c>
      <c r="N939" s="41" t="n">
        <f aca="false">Исходные!$B$15-M939</f>
        <v>0.0399999999999992</v>
      </c>
      <c r="O939" s="55" t="n">
        <v>8</v>
      </c>
      <c r="P939" s="53" t="n">
        <f aca="false">(F939+H939+J939+L939)*O939</f>
        <v>176</v>
      </c>
      <c r="Q939" s="74" t="n">
        <f aca="false">M939*O939</f>
        <v>93.28</v>
      </c>
      <c r="R939" s="74" t="n">
        <f aca="false">N939*O939</f>
        <v>0.319999999999993</v>
      </c>
    </row>
    <row r="940" customFormat="false" ht="15" hidden="false" customHeight="false" outlineLevel="0" collapsed="false">
      <c r="A940" s="53" t="n">
        <v>5</v>
      </c>
      <c r="B940" s="53" t="n">
        <v>8</v>
      </c>
      <c r="C940" s="76" t="s">
        <v>546</v>
      </c>
      <c r="D940" s="53" t="n">
        <v>6</v>
      </c>
      <c r="E940" s="73" t="n">
        <v>0.22</v>
      </c>
      <c r="F940" s="55" t="n">
        <v>53</v>
      </c>
      <c r="G940" s="20"/>
      <c r="H940" s="20"/>
      <c r="I940" s="20"/>
      <c r="J940" s="20"/>
      <c r="K940" s="20"/>
      <c r="L940" s="20"/>
      <c r="M940" s="41" t="n">
        <f aca="false">E940*F940+G940*H940+I940*J940+K940*L940</f>
        <v>11.66</v>
      </c>
      <c r="N940" s="41" t="n">
        <f aca="false">Исходные!$B$15-M940</f>
        <v>0.0399999999999992</v>
      </c>
      <c r="O940" s="55" t="n">
        <v>7</v>
      </c>
      <c r="P940" s="53" t="n">
        <f aca="false">(F940+H940+J940+L940)*O940</f>
        <v>371</v>
      </c>
      <c r="Q940" s="74" t="n">
        <f aca="false">M940*O940</f>
        <v>81.62</v>
      </c>
      <c r="R940" s="74" t="n">
        <f aca="false">N940*O940</f>
        <v>0.279999999999994</v>
      </c>
    </row>
    <row r="941" customFormat="false" ht="15" hidden="false" customHeight="false" outlineLevel="0" collapsed="false">
      <c r="A941" s="53" t="n">
        <v>5</v>
      </c>
      <c r="B941" s="53" t="n">
        <v>8</v>
      </c>
      <c r="C941" s="76" t="s">
        <v>546</v>
      </c>
      <c r="D941" s="53" t="n">
        <v>7</v>
      </c>
      <c r="E941" s="73" t="n">
        <v>2.44</v>
      </c>
      <c r="F941" s="55" t="n">
        <v>4</v>
      </c>
      <c r="G941" s="73" t="n">
        <v>1.44</v>
      </c>
      <c r="H941" s="55" t="n">
        <v>1</v>
      </c>
      <c r="I941" s="73" t="n">
        <v>0.22</v>
      </c>
      <c r="J941" s="55" t="n">
        <v>2</v>
      </c>
      <c r="K941" s="20"/>
      <c r="L941" s="20"/>
      <c r="M941" s="41" t="n">
        <f aca="false">E941*F941+G941*H941+I941*J941+K941*L941</f>
        <v>11.64</v>
      </c>
      <c r="N941" s="41" t="n">
        <f aca="false">Исходные!$B$15-M941</f>
        <v>0.0600000000000005</v>
      </c>
      <c r="O941" s="55" t="n">
        <v>82</v>
      </c>
      <c r="P941" s="53" t="n">
        <f aca="false">(F941+H941+J941+L941)*O941</f>
        <v>574</v>
      </c>
      <c r="Q941" s="74" t="n">
        <f aca="false">M941*O941</f>
        <v>954.48</v>
      </c>
      <c r="R941" s="74" t="n">
        <f aca="false">N941*O941</f>
        <v>4.92000000000004</v>
      </c>
    </row>
    <row r="942" customFormat="false" ht="15" hidden="false" customHeight="false" outlineLevel="0" collapsed="false">
      <c r="A942" s="53" t="n">
        <v>5</v>
      </c>
      <c r="B942" s="53" t="n">
        <v>8</v>
      </c>
      <c r="C942" s="76" t="s">
        <v>546</v>
      </c>
      <c r="D942" s="53" t="n">
        <v>8</v>
      </c>
      <c r="E942" s="73" t="n">
        <v>2.06</v>
      </c>
      <c r="F942" s="55" t="n">
        <v>4</v>
      </c>
      <c r="G942" s="73" t="n">
        <v>1.96</v>
      </c>
      <c r="H942" s="55" t="n">
        <v>1</v>
      </c>
      <c r="I942" s="73" t="n">
        <v>1.44</v>
      </c>
      <c r="J942" s="55" t="n">
        <v>1</v>
      </c>
      <c r="K942" s="20"/>
      <c r="L942" s="20"/>
      <c r="M942" s="41" t="n">
        <f aca="false">E942*F942+G942*H942+I942*J942+K942*L942</f>
        <v>11.64</v>
      </c>
      <c r="N942" s="41" t="n">
        <f aca="false">Исходные!$B$15-M942</f>
        <v>0.0600000000000005</v>
      </c>
      <c r="O942" s="55" t="n">
        <v>1</v>
      </c>
      <c r="P942" s="53" t="n">
        <f aca="false">(F942+H942+J942+L942)*O942</f>
        <v>6</v>
      </c>
      <c r="Q942" s="74" t="n">
        <f aca="false">M942*O942</f>
        <v>11.64</v>
      </c>
      <c r="R942" s="74" t="n">
        <f aca="false">N942*O942</f>
        <v>0.0600000000000005</v>
      </c>
    </row>
    <row r="943" customFormat="false" ht="15" hidden="false" customHeight="false" outlineLevel="0" collapsed="false">
      <c r="A943" s="53" t="n">
        <v>5</v>
      </c>
      <c r="B943" s="53" t="n">
        <v>8</v>
      </c>
      <c r="C943" s="76" t="s">
        <v>546</v>
      </c>
      <c r="D943" s="53" t="n">
        <v>9</v>
      </c>
      <c r="E943" s="73" t="n">
        <v>1.24</v>
      </c>
      <c r="F943" s="55" t="n">
        <v>2</v>
      </c>
      <c r="G943" s="73" t="n">
        <v>1.16</v>
      </c>
      <c r="H943" s="55" t="n">
        <v>7</v>
      </c>
      <c r="I943" s="73" t="n">
        <v>1.04</v>
      </c>
      <c r="J943" s="55" t="n">
        <v>1</v>
      </c>
      <c r="K943" s="20"/>
      <c r="L943" s="20"/>
      <c r="M943" s="41" t="n">
        <f aca="false">E943*F943+G943*H943+I943*J943+K943*L943</f>
        <v>11.64</v>
      </c>
      <c r="N943" s="41" t="n">
        <f aca="false">Исходные!$B$15-M943</f>
        <v>0.0599999999999987</v>
      </c>
      <c r="O943" s="55" t="n">
        <v>1</v>
      </c>
      <c r="P943" s="53" t="n">
        <f aca="false">(F943+H943+J943+L943)*O943</f>
        <v>10</v>
      </c>
      <c r="Q943" s="74" t="n">
        <f aca="false">M943*O943</f>
        <v>11.64</v>
      </c>
      <c r="R943" s="74" t="n">
        <f aca="false">N943*O943</f>
        <v>0.0599999999999987</v>
      </c>
    </row>
    <row r="944" customFormat="false" ht="15" hidden="false" customHeight="false" outlineLevel="0" collapsed="false">
      <c r="A944" s="53" t="n">
        <v>5</v>
      </c>
      <c r="B944" s="53" t="n">
        <v>8</v>
      </c>
      <c r="C944" s="76" t="s">
        <v>546</v>
      </c>
      <c r="D944" s="53" t="n">
        <v>10</v>
      </c>
      <c r="E944" s="73" t="n">
        <v>1.16</v>
      </c>
      <c r="F944" s="55" t="n">
        <v>10</v>
      </c>
      <c r="G944" s="20"/>
      <c r="H944" s="20"/>
      <c r="I944" s="20"/>
      <c r="J944" s="20"/>
      <c r="K944" s="20"/>
      <c r="L944" s="20"/>
      <c r="M944" s="41" t="n">
        <f aca="false">E944*F944+G944*H944+I944*J944+K944*L944</f>
        <v>11.6</v>
      </c>
      <c r="N944" s="41" t="n">
        <f aca="false">Исходные!$B$15-M944</f>
        <v>0.0999999999999996</v>
      </c>
      <c r="O944" s="55" t="n">
        <v>1</v>
      </c>
      <c r="P944" s="53" t="n">
        <f aca="false">(F944+H944+J944+L944)*O944</f>
        <v>10</v>
      </c>
      <c r="Q944" s="74" t="n">
        <f aca="false">M944*O944</f>
        <v>11.6</v>
      </c>
      <c r="R944" s="74" t="n">
        <f aca="false">N944*O944</f>
        <v>0.0999999999999996</v>
      </c>
    </row>
    <row r="945" customFormat="false" ht="15" hidden="false" customHeight="false" outlineLevel="0" collapsed="false">
      <c r="A945" s="53" t="n">
        <v>5</v>
      </c>
      <c r="B945" s="53" t="n">
        <v>8</v>
      </c>
      <c r="C945" s="76" t="s">
        <v>546</v>
      </c>
      <c r="D945" s="53" t="n">
        <v>11</v>
      </c>
      <c r="E945" s="73" t="n">
        <v>0.58</v>
      </c>
      <c r="F945" s="55" t="n">
        <v>20</v>
      </c>
      <c r="G945" s="20"/>
      <c r="H945" s="20"/>
      <c r="I945" s="20"/>
      <c r="J945" s="20"/>
      <c r="K945" s="20"/>
      <c r="L945" s="20"/>
      <c r="M945" s="41" t="n">
        <f aca="false">E945*F945+G945*H945+I945*J945+K945*L945</f>
        <v>11.6</v>
      </c>
      <c r="N945" s="41" t="n">
        <f aca="false">Исходные!$B$15-M945</f>
        <v>0.0999999999999996</v>
      </c>
      <c r="O945" s="55" t="n">
        <v>28</v>
      </c>
      <c r="P945" s="53" t="n">
        <f aca="false">(F945+H945+J945+L945)*O945</f>
        <v>560</v>
      </c>
      <c r="Q945" s="74" t="n">
        <f aca="false">M945*O945</f>
        <v>324.8</v>
      </c>
      <c r="R945" s="74" t="n">
        <f aca="false">N945*O945</f>
        <v>2.79999999999999</v>
      </c>
    </row>
    <row r="946" customFormat="false" ht="15" hidden="false" customHeight="false" outlineLevel="0" collapsed="false">
      <c r="A946" s="53" t="n">
        <v>5</v>
      </c>
      <c r="B946" s="53" t="n">
        <v>8</v>
      </c>
      <c r="C946" s="76" t="s">
        <v>546</v>
      </c>
      <c r="D946" s="53" t="n">
        <v>12</v>
      </c>
      <c r="E946" s="73" t="n">
        <v>2.44</v>
      </c>
      <c r="F946" s="55" t="n">
        <v>4</v>
      </c>
      <c r="G946" s="73" t="n">
        <v>1.24</v>
      </c>
      <c r="H946" s="55" t="n">
        <v>1</v>
      </c>
      <c r="I946" s="73" t="n">
        <v>0.58</v>
      </c>
      <c r="J946" s="55" t="n">
        <v>1</v>
      </c>
      <c r="K946" s="20"/>
      <c r="L946" s="20"/>
      <c r="M946" s="41" t="n">
        <f aca="false">E946*F946+G946*H946+I946*J946+K946*L946</f>
        <v>11.58</v>
      </c>
      <c r="N946" s="41" t="n">
        <f aca="false">Исходные!$B$15-M946</f>
        <v>0.119999999999999</v>
      </c>
      <c r="O946" s="55" t="n">
        <v>9</v>
      </c>
      <c r="P946" s="53" t="n">
        <f aca="false">(F946+H946+J946+L946)*O946</f>
        <v>54</v>
      </c>
      <c r="Q946" s="74" t="n">
        <f aca="false">M946*O946</f>
        <v>104.22</v>
      </c>
      <c r="R946" s="74" t="n">
        <f aca="false">N946*O946</f>
        <v>1.07999999999999</v>
      </c>
    </row>
    <row r="947" customFormat="false" ht="15" hidden="false" customHeight="false" outlineLevel="0" collapsed="false">
      <c r="A947" s="53" t="n">
        <v>5</v>
      </c>
      <c r="B947" s="53" t="n">
        <v>8</v>
      </c>
      <c r="C947" s="76" t="s">
        <v>546</v>
      </c>
      <c r="D947" s="53" t="n">
        <v>13</v>
      </c>
      <c r="E947" s="73" t="n">
        <v>2.06</v>
      </c>
      <c r="F947" s="55" t="n">
        <v>5</v>
      </c>
      <c r="G947" s="73" t="n">
        <v>1.28</v>
      </c>
      <c r="H947" s="55" t="n">
        <v>1</v>
      </c>
      <c r="I947" s="20"/>
      <c r="J947" s="20"/>
      <c r="K947" s="20"/>
      <c r="L947" s="20"/>
      <c r="M947" s="41" t="n">
        <f aca="false">E947*F947+G947*H947+I947*J947+K947*L947</f>
        <v>11.58</v>
      </c>
      <c r="N947" s="41" t="n">
        <f aca="false">Исходные!$B$15-M947</f>
        <v>0.119999999999999</v>
      </c>
      <c r="O947" s="55" t="n">
        <v>14</v>
      </c>
      <c r="P947" s="53" t="n">
        <f aca="false">(F947+H947+J947+L947)*O947</f>
        <v>84</v>
      </c>
      <c r="Q947" s="74" t="n">
        <f aca="false">M947*O947</f>
        <v>162.12</v>
      </c>
      <c r="R947" s="74" t="n">
        <f aca="false">N947*O947</f>
        <v>1.67999999999999</v>
      </c>
    </row>
    <row r="948" customFormat="false" ht="15" hidden="false" customHeight="false" outlineLevel="0" collapsed="false">
      <c r="A948" s="53" t="n">
        <v>5</v>
      </c>
      <c r="B948" s="53" t="n">
        <v>8</v>
      </c>
      <c r="C948" s="76" t="s">
        <v>546</v>
      </c>
      <c r="D948" s="53" t="n">
        <v>14</v>
      </c>
      <c r="E948" s="73" t="n">
        <v>1.96</v>
      </c>
      <c r="F948" s="55" t="n">
        <v>5</v>
      </c>
      <c r="G948" s="73" t="n">
        <v>1.56</v>
      </c>
      <c r="H948" s="55" t="n">
        <v>1</v>
      </c>
      <c r="I948" s="73" t="n">
        <v>0.22</v>
      </c>
      <c r="J948" s="55" t="n">
        <v>1</v>
      </c>
      <c r="K948" s="20"/>
      <c r="L948" s="20"/>
      <c r="M948" s="41" t="n">
        <f aca="false">E948*F948+G948*H948+I948*J948+K948*L948</f>
        <v>11.58</v>
      </c>
      <c r="N948" s="41" t="n">
        <f aca="false">Исходные!$B$15-M948</f>
        <v>0.119999999999997</v>
      </c>
      <c r="O948" s="55" t="n">
        <v>47</v>
      </c>
      <c r="P948" s="53" t="n">
        <f aca="false">(F948+H948+J948+L948)*O948</f>
        <v>329</v>
      </c>
      <c r="Q948" s="74" t="n">
        <f aca="false">M948*O948</f>
        <v>544.26</v>
      </c>
      <c r="R948" s="74" t="n">
        <f aca="false">N948*O948</f>
        <v>5.63999999999988</v>
      </c>
    </row>
    <row r="949" customFormat="false" ht="15" hidden="false" customHeight="false" outlineLevel="0" collapsed="false">
      <c r="A949" s="53" t="n">
        <v>5</v>
      </c>
      <c r="B949" s="53" t="n">
        <v>8</v>
      </c>
      <c r="C949" s="76" t="s">
        <v>546</v>
      </c>
      <c r="D949" s="53" t="n">
        <v>15</v>
      </c>
      <c r="E949" s="73" t="n">
        <v>1.16</v>
      </c>
      <c r="F949" s="55" t="n">
        <v>5</v>
      </c>
      <c r="G949" s="73" t="n">
        <v>1.04</v>
      </c>
      <c r="H949" s="55" t="n">
        <v>5</v>
      </c>
      <c r="I949" s="73" t="n">
        <v>0.58</v>
      </c>
      <c r="J949" s="55" t="n">
        <v>1</v>
      </c>
      <c r="K949" s="20"/>
      <c r="L949" s="20"/>
      <c r="M949" s="41" t="n">
        <f aca="false">E949*F949+G949*H949+I949*J949+K949*L949</f>
        <v>11.58</v>
      </c>
      <c r="N949" s="41" t="n">
        <f aca="false">Исходные!$B$15-M949</f>
        <v>0.119999999999999</v>
      </c>
      <c r="O949" s="55" t="n">
        <v>1</v>
      </c>
      <c r="P949" s="53" t="n">
        <f aca="false">(F949+H949+J949+L949)*O949</f>
        <v>11</v>
      </c>
      <c r="Q949" s="74" t="n">
        <f aca="false">M949*O949</f>
        <v>11.58</v>
      </c>
      <c r="R949" s="74" t="n">
        <f aca="false">N949*O949</f>
        <v>0.119999999999999</v>
      </c>
    </row>
    <row r="950" customFormat="false" ht="15" hidden="false" customHeight="false" outlineLevel="0" collapsed="false">
      <c r="A950" s="53" t="n">
        <v>5</v>
      </c>
      <c r="B950" s="53" t="n">
        <v>8</v>
      </c>
      <c r="C950" s="76" t="s">
        <v>546</v>
      </c>
      <c r="D950" s="53" t="n">
        <v>16</v>
      </c>
      <c r="E950" s="73" t="n">
        <v>0.58</v>
      </c>
      <c r="F950" s="55" t="n">
        <v>15</v>
      </c>
      <c r="G950" s="73" t="n">
        <v>0.53</v>
      </c>
      <c r="H950" s="55" t="n">
        <v>5</v>
      </c>
      <c r="I950" s="73" t="n">
        <v>0.22</v>
      </c>
      <c r="J950" s="55" t="n">
        <v>1</v>
      </c>
      <c r="K950" s="20"/>
      <c r="L950" s="20"/>
      <c r="M950" s="41" t="n">
        <f aca="false">E950*F950+G950*H950+I950*J950+K950*L950</f>
        <v>11.57</v>
      </c>
      <c r="N950" s="41" t="n">
        <f aca="false">Исходные!$B$15-M950</f>
        <v>0.129999999999999</v>
      </c>
      <c r="O950" s="55" t="n">
        <v>1</v>
      </c>
      <c r="P950" s="53" t="n">
        <f aca="false">(F950+H950+J950+L950)*O950</f>
        <v>21</v>
      </c>
      <c r="Q950" s="74" t="n">
        <f aca="false">M950*O950</f>
        <v>11.57</v>
      </c>
      <c r="R950" s="74" t="n">
        <f aca="false">N950*O950</f>
        <v>0.129999999999999</v>
      </c>
    </row>
    <row r="951" customFormat="false" ht="15" hidden="false" customHeight="false" outlineLevel="0" collapsed="false">
      <c r="A951" s="53" t="n">
        <v>5</v>
      </c>
      <c r="B951" s="53" t="n">
        <v>8</v>
      </c>
      <c r="C951" s="76" t="s">
        <v>546</v>
      </c>
      <c r="D951" s="53" t="n">
        <v>17</v>
      </c>
      <c r="E951" s="73" t="n">
        <v>1.96</v>
      </c>
      <c r="F951" s="55" t="n">
        <v>5</v>
      </c>
      <c r="G951" s="73" t="n">
        <v>1.76</v>
      </c>
      <c r="H951" s="55" t="n">
        <v>1</v>
      </c>
      <c r="I951" s="20"/>
      <c r="J951" s="20"/>
      <c r="K951" s="20"/>
      <c r="L951" s="20"/>
      <c r="M951" s="41" t="n">
        <f aca="false">E951*F951+G951*H951+I951*J951+K951*L951</f>
        <v>11.56</v>
      </c>
      <c r="N951" s="41" t="n">
        <f aca="false">Исходные!$B$15-M951</f>
        <v>0.139999999999999</v>
      </c>
      <c r="O951" s="55" t="n">
        <v>80</v>
      </c>
      <c r="P951" s="53" t="n">
        <f aca="false">(F951+H951+J951+L951)*O951</f>
        <v>480</v>
      </c>
      <c r="Q951" s="74" t="n">
        <f aca="false">M951*O951</f>
        <v>924.8</v>
      </c>
      <c r="R951" s="74" t="n">
        <f aca="false">N951*O951</f>
        <v>11.1999999999999</v>
      </c>
    </row>
    <row r="952" customFormat="false" ht="15" hidden="false" customHeight="false" outlineLevel="0" collapsed="false">
      <c r="A952" s="53" t="n">
        <v>5</v>
      </c>
      <c r="B952" s="53" t="n">
        <v>8</v>
      </c>
      <c r="C952" s="76" t="s">
        <v>546</v>
      </c>
      <c r="D952" s="53" t="n">
        <v>18</v>
      </c>
      <c r="E952" s="73" t="n">
        <v>1.96</v>
      </c>
      <c r="F952" s="55" t="n">
        <v>4</v>
      </c>
      <c r="G952" s="73" t="n">
        <v>1.24</v>
      </c>
      <c r="H952" s="55" t="n">
        <v>3</v>
      </c>
      <c r="I952" s="20"/>
      <c r="J952" s="20"/>
      <c r="K952" s="20"/>
      <c r="L952" s="20"/>
      <c r="M952" s="41" t="n">
        <f aca="false">E952*F952+G952*H952+I952*J952+K952*L952</f>
        <v>11.56</v>
      </c>
      <c r="N952" s="41" t="n">
        <f aca="false">Исходные!$B$15-M952</f>
        <v>0.140000000000001</v>
      </c>
      <c r="O952" s="55" t="n">
        <v>1</v>
      </c>
      <c r="P952" s="53" t="n">
        <f aca="false">(F952+H952+J952+L952)*O952</f>
        <v>7</v>
      </c>
      <c r="Q952" s="74" t="n">
        <f aca="false">M952*O952</f>
        <v>11.56</v>
      </c>
      <c r="R952" s="74" t="n">
        <f aca="false">N952*O952</f>
        <v>0.140000000000001</v>
      </c>
    </row>
    <row r="953" customFormat="false" ht="15" hidden="false" customHeight="false" outlineLevel="0" collapsed="false">
      <c r="A953" s="53" t="n">
        <v>5</v>
      </c>
      <c r="B953" s="53" t="n">
        <v>8</v>
      </c>
      <c r="C953" s="76" t="s">
        <v>546</v>
      </c>
      <c r="D953" s="53" t="n">
        <v>19</v>
      </c>
      <c r="E953" s="73" t="n">
        <v>2.06</v>
      </c>
      <c r="F953" s="55" t="n">
        <v>5</v>
      </c>
      <c r="G953" s="73" t="n">
        <v>1.24</v>
      </c>
      <c r="H953" s="55" t="n">
        <v>1</v>
      </c>
      <c r="I953" s="20"/>
      <c r="J953" s="20"/>
      <c r="K953" s="20"/>
      <c r="L953" s="20"/>
      <c r="M953" s="41" t="n">
        <f aca="false">E953*F953+G953*H953+I953*J953+K953*L953</f>
        <v>11.54</v>
      </c>
      <c r="N953" s="41" t="n">
        <f aca="false">Исходные!$B$15-M953</f>
        <v>0.159999999999998</v>
      </c>
      <c r="O953" s="55" t="n">
        <v>212</v>
      </c>
      <c r="P953" s="53" t="n">
        <f aca="false">(F953+H953+J953+L953)*O953</f>
        <v>1272</v>
      </c>
      <c r="Q953" s="74" t="n">
        <f aca="false">M953*O953</f>
        <v>2446.48</v>
      </c>
      <c r="R953" s="74" t="n">
        <f aca="false">N953*O953</f>
        <v>33.9199999999997</v>
      </c>
    </row>
    <row r="954" customFormat="false" ht="15" hidden="false" customHeight="false" outlineLevel="0" collapsed="false">
      <c r="A954" s="53" t="n">
        <v>5</v>
      </c>
      <c r="B954" s="53" t="n">
        <v>8</v>
      </c>
      <c r="C954" s="76" t="s">
        <v>546</v>
      </c>
      <c r="D954" s="53" t="n">
        <v>20</v>
      </c>
      <c r="E954" s="73" t="n">
        <v>2.44</v>
      </c>
      <c r="F954" s="55" t="n">
        <v>4</v>
      </c>
      <c r="G954" s="73" t="n">
        <v>1.56</v>
      </c>
      <c r="H954" s="55" t="n">
        <v>1</v>
      </c>
      <c r="I954" s="73" t="n">
        <v>0.22</v>
      </c>
      <c r="J954" s="55" t="n">
        <v>1</v>
      </c>
      <c r="K954" s="20"/>
      <c r="L954" s="20"/>
      <c r="M954" s="41" t="n">
        <f aca="false">E954*F954+G954*H954+I954*J954+K954*L954</f>
        <v>11.54</v>
      </c>
      <c r="N954" s="41" t="n">
        <f aca="false">Исходные!$B$15-M954</f>
        <v>0.159999999999998</v>
      </c>
      <c r="O954" s="55" t="n">
        <v>49</v>
      </c>
      <c r="P954" s="53" t="n">
        <f aca="false">(F954+H954+J954+L954)*O954</f>
        <v>294</v>
      </c>
      <c r="Q954" s="74" t="n">
        <f aca="false">M954*O954</f>
        <v>565.46</v>
      </c>
      <c r="R954" s="74" t="n">
        <f aca="false">N954*O954</f>
        <v>7.83999999999992</v>
      </c>
    </row>
    <row r="955" customFormat="false" ht="15" hidden="false" customHeight="false" outlineLevel="0" collapsed="false">
      <c r="A955" s="53" t="n">
        <v>5</v>
      </c>
      <c r="B955" s="53" t="n">
        <v>8</v>
      </c>
      <c r="C955" s="76" t="s">
        <v>546</v>
      </c>
      <c r="D955" s="53" t="n">
        <v>21</v>
      </c>
      <c r="E955" s="73" t="n">
        <v>1.04</v>
      </c>
      <c r="F955" s="55" t="n">
        <v>6</v>
      </c>
      <c r="G955" s="73" t="n">
        <v>0.75</v>
      </c>
      <c r="H955" s="55" t="n">
        <v>7</v>
      </c>
      <c r="I955" s="20"/>
      <c r="J955" s="20"/>
      <c r="K955" s="20"/>
      <c r="L955" s="20"/>
      <c r="M955" s="41" t="n">
        <f aca="false">E955*F955+G955*H955+I955*J955+K955*L955</f>
        <v>11.49</v>
      </c>
      <c r="N955" s="41" t="n">
        <f aca="false">Исходные!$B$15-M955</f>
        <v>0.209999999999999</v>
      </c>
      <c r="O955" s="55" t="n">
        <v>1</v>
      </c>
      <c r="P955" s="53" t="n">
        <f aca="false">(F955+H955+J955+L955)*O955</f>
        <v>13</v>
      </c>
      <c r="Q955" s="74" t="n">
        <f aca="false">M955*O955</f>
        <v>11.49</v>
      </c>
      <c r="R955" s="74" t="n">
        <f aca="false">N955*O955</f>
        <v>0.209999999999999</v>
      </c>
    </row>
    <row r="956" customFormat="false" ht="15" hidden="false" customHeight="false" outlineLevel="0" collapsed="false">
      <c r="A956" s="53" t="n">
        <v>5</v>
      </c>
      <c r="B956" s="53" t="n">
        <v>8</v>
      </c>
      <c r="C956" s="76" t="s">
        <v>546</v>
      </c>
      <c r="D956" s="53" t="n">
        <v>22</v>
      </c>
      <c r="E956" s="73" t="n">
        <v>0.22</v>
      </c>
      <c r="F956" s="55" t="n">
        <v>29</v>
      </c>
      <c r="G956" s="20"/>
      <c r="H956" s="20"/>
      <c r="I956" s="20"/>
      <c r="J956" s="20"/>
      <c r="K956" s="20"/>
      <c r="L956" s="20"/>
      <c r="M956" s="41" t="n">
        <f aca="false">E956*F956+G956*H956+I956*J956+K956*L956</f>
        <v>6.38</v>
      </c>
      <c r="N956" s="41" t="n">
        <f aca="false">Исходные!$B$15-M956</f>
        <v>5.32</v>
      </c>
      <c r="O956" s="55" t="n">
        <v>1</v>
      </c>
      <c r="P956" s="53" t="n">
        <f aca="false">(F956+H956+J956+L956)*O956</f>
        <v>29</v>
      </c>
      <c r="Q956" s="74" t="n">
        <f aca="false">M956*O956</f>
        <v>6.38</v>
      </c>
      <c r="R956" s="74" t="n">
        <f aca="false">N956*O956</f>
        <v>5.32</v>
      </c>
    </row>
    <row r="957" customFormat="false" ht="15" hidden="false" customHeight="false" outlineLevel="0" collapsed="false">
      <c r="A957" s="53" t="n">
        <v>5</v>
      </c>
      <c r="B957" s="53" t="n">
        <v>6</v>
      </c>
      <c r="C957" s="76" t="s">
        <v>546</v>
      </c>
      <c r="D957" s="53" t="n">
        <v>1</v>
      </c>
      <c r="E957" s="73" t="n">
        <v>0.28</v>
      </c>
      <c r="F957" s="55" t="n">
        <v>41</v>
      </c>
      <c r="G957" s="20"/>
      <c r="H957" s="20"/>
      <c r="I957" s="20"/>
      <c r="J957" s="20"/>
      <c r="K957" s="20"/>
      <c r="L957" s="20"/>
      <c r="M957" s="41" t="n">
        <f aca="false">E957*F957+G957*H957+I957*J957+K957*L957</f>
        <v>11.48</v>
      </c>
      <c r="N957" s="41" t="n">
        <f aca="false">Исходные!$B$15-M957</f>
        <v>0.219999999999999</v>
      </c>
      <c r="O957" s="55" t="n">
        <v>2</v>
      </c>
      <c r="P957" s="53" t="n">
        <f aca="false">(F957+H957+J957+L957)*O957</f>
        <v>82</v>
      </c>
      <c r="Q957" s="74" t="n">
        <f aca="false">M957*O957</f>
        <v>22.96</v>
      </c>
      <c r="R957" s="74" t="n">
        <f aca="false">N957*O957</f>
        <v>0.439999999999998</v>
      </c>
    </row>
    <row r="958" customFormat="false" ht="15" hidden="false" customHeight="false" outlineLevel="0" collapsed="false">
      <c r="A958" s="53" t="n">
        <v>5</v>
      </c>
      <c r="B958" s="53" t="n">
        <v>6</v>
      </c>
      <c r="C958" s="76" t="s">
        <v>546</v>
      </c>
      <c r="D958" s="53" t="n">
        <v>2</v>
      </c>
      <c r="E958" s="73" t="n">
        <v>0.28</v>
      </c>
      <c r="F958" s="55" t="n">
        <v>22</v>
      </c>
      <c r="G958" s="20"/>
      <c r="H958" s="20"/>
      <c r="I958" s="20"/>
      <c r="J958" s="20"/>
      <c r="K958" s="20"/>
      <c r="L958" s="20"/>
      <c r="M958" s="41" t="n">
        <f aca="false">E958*F958+G958*H958+I958*J958+K958*L958</f>
        <v>6.16</v>
      </c>
      <c r="N958" s="41" t="n">
        <f aca="false">Исходные!$B$15-M958</f>
        <v>5.54</v>
      </c>
      <c r="O958" s="55" t="n">
        <v>1</v>
      </c>
      <c r="P958" s="53" t="n">
        <f aca="false">(F958+H958+J958+L958)*O958</f>
        <v>22</v>
      </c>
      <c r="Q958" s="74" t="n">
        <f aca="false">M958*O958</f>
        <v>6.16</v>
      </c>
      <c r="R958" s="74" t="n">
        <f aca="false">N958*O958</f>
        <v>5.54</v>
      </c>
    </row>
    <row r="960" customFormat="false" ht="15" hidden="false" customHeight="false" outlineLevel="0" collapsed="false">
      <c r="A960" s="34" t="s">
        <v>2146</v>
      </c>
    </row>
    <row r="961" customFormat="false" ht="42" hidden="false" customHeight="true" outlineLevel="0" collapsed="false">
      <c r="A961" s="5" t="s">
        <v>2133</v>
      </c>
      <c r="B961" s="5" t="s">
        <v>491</v>
      </c>
      <c r="C961" s="5" t="s">
        <v>492</v>
      </c>
      <c r="D961" s="5" t="s">
        <v>2147</v>
      </c>
      <c r="E961" s="5" t="s">
        <v>2148</v>
      </c>
      <c r="F961" s="5" t="s">
        <v>2149</v>
      </c>
      <c r="G961" s="5" t="s">
        <v>15</v>
      </c>
      <c r="H961" s="5" t="s">
        <v>2150</v>
      </c>
      <c r="I961" s="5" t="s">
        <v>356</v>
      </c>
      <c r="J961" s="5" t="s">
        <v>16</v>
      </c>
      <c r="K961" s="5" t="s">
        <v>2151</v>
      </c>
      <c r="L961" s="5" t="s">
        <v>2152</v>
      </c>
      <c r="M961" s="5" t="s">
        <v>17</v>
      </c>
    </row>
    <row r="962" customFormat="false" ht="15" hidden="false" customHeight="false" outlineLevel="0" collapsed="false">
      <c r="A962" s="53" t="n">
        <v>1</v>
      </c>
      <c r="B962" s="53" t="n">
        <v>32</v>
      </c>
      <c r="C962" s="76" t="s">
        <v>512</v>
      </c>
      <c r="D962" s="74" t="n">
        <f aca="false">SUMIFS(Ведомость!$N$5:$N$2053,Ведомость!$W$5:$W$2053,A962,Ведомость!$H$5:$H$2053,B962,Ведомость!$I$5:$I$2053,C962)</f>
        <v>421.9</v>
      </c>
      <c r="E962" s="74" t="n">
        <f aca="false">SUMIFS('Раскрой 11,7м'!$Q$5:$Q$958,'Раскрой 11,7м'!$A$5:$A$958,A962,'Раскрой 11,7м'!$B$5:$B$958,B962,'Раскрой 11,7м'!$C$5:$C$958,C962)</f>
        <v>421.9</v>
      </c>
      <c r="F962" s="74" t="n">
        <f aca="false">ROUND(D962-E962,2)</f>
        <v>0</v>
      </c>
      <c r="G962" s="88" t="n">
        <f aca="false">SUMIFS('Раскрой 11,7м'!$O$5:$O$958,'Раскрой 11,7м'!$A$5:$A$958,A962,'Раскрой 11,7м'!$B$5:$B$958,B962,'Раскрой 11,7м'!$C$5:$C$958,C962)</f>
        <v>44</v>
      </c>
      <c r="H962" s="83" t="n">
        <f aca="false">G962*Исходные!$B$15</f>
        <v>514.8</v>
      </c>
      <c r="I962" s="41" t="n">
        <f aca="false">IFERROR(INDEX(Исходные!$B$21:$B$33,MATCH(B962,Исходные!$A$21:$A$33,0)),0)</f>
        <v>6.313</v>
      </c>
      <c r="J962" s="21" t="n">
        <f aca="false">H962*I962</f>
        <v>3249.9324</v>
      </c>
      <c r="K962" s="83" t="n">
        <f aca="false">SUMIFS(Ведомость!$P$5:$P$2053,Ведомость!$W$5:$W$2053,A962,Ведомость!$H$5:$H$2053,B962,Ведомость!$I$5:$I$2053,C962)</f>
        <v>2663.4547</v>
      </c>
      <c r="L962" s="83" t="n">
        <f aca="false">J962-K962</f>
        <v>586.4777</v>
      </c>
      <c r="M962" s="89" t="n">
        <f aca="false">IF(J962&gt;0,L962/J962,0)</f>
        <v>0.18045843045843</v>
      </c>
    </row>
    <row r="963" customFormat="false" ht="15" hidden="false" customHeight="false" outlineLevel="0" collapsed="false">
      <c r="A963" s="53" t="n">
        <v>1</v>
      </c>
      <c r="B963" s="53" t="n">
        <v>28</v>
      </c>
      <c r="C963" s="76" t="s">
        <v>512</v>
      </c>
      <c r="D963" s="74" t="n">
        <f aca="false">SUMIFS(Ведомость!$N$5:$N$2053,Ведомость!$W$5:$W$2053,A963,Ведомость!$H$5:$H$2053,B963,Ведомость!$I$5:$I$2053,C963)</f>
        <v>1370.1</v>
      </c>
      <c r="E963" s="74" t="n">
        <f aca="false">SUMIFS('Раскрой 11,7м'!$Q$5:$Q$958,'Раскрой 11,7м'!$A$5:$A$958,A963,'Раскрой 11,7м'!$B$5:$B$958,B963,'Раскрой 11,7м'!$C$5:$C$958,C963)</f>
        <v>1370.1</v>
      </c>
      <c r="F963" s="74" t="n">
        <f aca="false">ROUND(D963-E963,2)</f>
        <v>0</v>
      </c>
      <c r="G963" s="88" t="n">
        <f aca="false">SUMIFS('Раскрой 11,7м'!$O$5:$O$958,'Раскрой 11,7м'!$A$5:$A$958,A963,'Раскрой 11,7м'!$B$5:$B$958,B963,'Раскрой 11,7м'!$C$5:$C$958,C963)</f>
        <v>132</v>
      </c>
      <c r="H963" s="83" t="n">
        <f aca="false">G963*Исходные!$B$15</f>
        <v>1544.4</v>
      </c>
      <c r="I963" s="41" t="n">
        <f aca="false">IFERROR(INDEX(Исходные!$B$21:$B$33,MATCH(B963,Исходные!$A$21:$A$33,0)),0)</f>
        <v>4.834</v>
      </c>
      <c r="J963" s="21" t="n">
        <f aca="false">H963*I963</f>
        <v>7465.6296</v>
      </c>
      <c r="K963" s="83" t="n">
        <f aca="false">SUMIFS(Ведомость!$P$5:$P$2053,Ведомость!$W$5:$W$2053,A963,Ведомость!$H$5:$H$2053,B963,Ведомость!$I$5:$I$2053,C963)</f>
        <v>6623.0634</v>
      </c>
      <c r="L963" s="83" t="n">
        <f aca="false">J963-K963</f>
        <v>842.566199999999</v>
      </c>
      <c r="M963" s="89" t="n">
        <f aca="false">IF(J963&gt;0,L963/J963,0)</f>
        <v>0.112859362859363</v>
      </c>
    </row>
    <row r="964" customFormat="false" ht="15" hidden="false" customHeight="false" outlineLevel="0" collapsed="false">
      <c r="A964" s="53" t="n">
        <v>1</v>
      </c>
      <c r="B964" s="53" t="n">
        <v>25</v>
      </c>
      <c r="C964" s="76" t="s">
        <v>512</v>
      </c>
      <c r="D964" s="74" t="n">
        <f aca="false">SUMIFS(Ведомость!$N$5:$N$2053,Ведомость!$W$5:$W$2053,A964,Ведомость!$H$5:$H$2053,B964,Ведомость!$I$5:$I$2053,C964)</f>
        <v>921.98</v>
      </c>
      <c r="E964" s="74" t="n">
        <f aca="false">SUMIFS('Раскрой 11,7м'!$Q$5:$Q$958,'Раскрой 11,7м'!$A$5:$A$958,A964,'Раскрой 11,7м'!$B$5:$B$958,B964,'Раскрой 11,7м'!$C$5:$C$958,C964)</f>
        <v>921.98</v>
      </c>
      <c r="F964" s="74" t="n">
        <f aca="false">ROUND(D964-E964,2)</f>
        <v>0</v>
      </c>
      <c r="G964" s="88" t="n">
        <f aca="false">SUMIFS('Раскрой 11,7м'!$O$5:$O$958,'Раскрой 11,7м'!$A$5:$A$958,A964,'Раскрой 11,7м'!$B$5:$B$958,B964,'Раскрой 11,7м'!$C$5:$C$958,C964)</f>
        <v>82</v>
      </c>
      <c r="H964" s="83" t="n">
        <f aca="false">G964*Исходные!$B$15</f>
        <v>959.4</v>
      </c>
      <c r="I964" s="41" t="n">
        <f aca="false">IFERROR(INDEX(Исходные!$B$21:$B$33,MATCH(B964,Исходные!$A$21:$A$33,0)),0)</f>
        <v>3.853</v>
      </c>
      <c r="J964" s="21" t="n">
        <f aca="false">H964*I964</f>
        <v>3696.5682</v>
      </c>
      <c r="K964" s="83" t="n">
        <f aca="false">SUMIFS(Ведомость!$P$5:$P$2053,Ведомость!$W$5:$W$2053,A964,Ведомость!$H$5:$H$2053,B964,Ведомость!$I$5:$I$2053,C964)</f>
        <v>3552.38894</v>
      </c>
      <c r="L964" s="83" t="n">
        <f aca="false">J964-K964</f>
        <v>144.17926</v>
      </c>
      <c r="M964" s="89" t="n">
        <f aca="false">IF(J964&gt;0,L964/J964,0)</f>
        <v>0.0390035438815926</v>
      </c>
    </row>
    <row r="965" customFormat="false" ht="15" hidden="false" customHeight="false" outlineLevel="0" collapsed="false">
      <c r="A965" s="53" t="n">
        <v>1</v>
      </c>
      <c r="B965" s="53" t="n">
        <v>22</v>
      </c>
      <c r="C965" s="76" t="s">
        <v>512</v>
      </c>
      <c r="D965" s="74" t="n">
        <f aca="false">SUMIFS(Ведомость!$N$5:$N$2053,Ведомость!$W$5:$W$2053,A965,Ведомость!$H$5:$H$2053,B965,Ведомость!$I$5:$I$2053,C965)</f>
        <v>373.1</v>
      </c>
      <c r="E965" s="74" t="n">
        <f aca="false">SUMIFS('Раскрой 11,7м'!$Q$5:$Q$958,'Раскрой 11,7м'!$A$5:$A$958,A965,'Раскрой 11,7м'!$B$5:$B$958,B965,'Раскрой 11,7м'!$C$5:$C$958,C965)</f>
        <v>373.1</v>
      </c>
      <c r="F965" s="74" t="n">
        <f aca="false">ROUND(D965-E965,2)</f>
        <v>0</v>
      </c>
      <c r="G965" s="88" t="n">
        <f aca="false">SUMIFS('Раскрой 11,7м'!$O$5:$O$958,'Раскрой 11,7м'!$A$5:$A$958,A965,'Раскрой 11,7м'!$B$5:$B$958,B965,'Раскрой 11,7м'!$C$5:$C$958,C965)</f>
        <v>35</v>
      </c>
      <c r="H965" s="83" t="n">
        <f aca="false">G965*Исходные!$B$15</f>
        <v>409.5</v>
      </c>
      <c r="I965" s="41" t="n">
        <f aca="false">IFERROR(INDEX(Исходные!$B$21:$B$33,MATCH(B965,Исходные!$A$21:$A$33,0)),0)</f>
        <v>2.984</v>
      </c>
      <c r="J965" s="21" t="n">
        <f aca="false">H965*I965</f>
        <v>1221.948</v>
      </c>
      <c r="K965" s="83" t="n">
        <f aca="false">SUMIFS(Ведомость!$P$5:$P$2053,Ведомость!$W$5:$W$2053,A965,Ведомость!$H$5:$H$2053,B965,Ведомость!$I$5:$I$2053,C965)</f>
        <v>1113.3304</v>
      </c>
      <c r="L965" s="83" t="n">
        <f aca="false">J965-K965</f>
        <v>108.6176</v>
      </c>
      <c r="M965" s="89" t="n">
        <f aca="false">IF(J965&gt;0,L965/J965,0)</f>
        <v>0.0888888888888889</v>
      </c>
    </row>
    <row r="966" customFormat="false" ht="15" hidden="false" customHeight="false" outlineLevel="0" collapsed="false">
      <c r="A966" s="53" t="n">
        <v>1</v>
      </c>
      <c r="B966" s="53" t="n">
        <v>20</v>
      </c>
      <c r="C966" s="76" t="s">
        <v>512</v>
      </c>
      <c r="D966" s="74" t="n">
        <f aca="false">SUMIFS(Ведомость!$N$5:$N$2053,Ведомость!$W$5:$W$2053,A966,Ведомость!$H$5:$H$2053,B966,Ведомость!$I$5:$I$2053,C966)</f>
        <v>785.84</v>
      </c>
      <c r="E966" s="74" t="n">
        <f aca="false">SUMIFS('Раскрой 11,7м'!$Q$5:$Q$958,'Раскрой 11,7м'!$A$5:$A$958,A966,'Раскрой 11,7м'!$B$5:$B$958,B966,'Раскрой 11,7м'!$C$5:$C$958,C966)</f>
        <v>785.84</v>
      </c>
      <c r="F966" s="74" t="n">
        <f aca="false">ROUND(D966-E966,2)</f>
        <v>0</v>
      </c>
      <c r="G966" s="88" t="n">
        <f aca="false">SUMIFS('Раскрой 11,7м'!$O$5:$O$958,'Раскрой 11,7м'!$A$5:$A$958,A966,'Раскрой 11,7м'!$B$5:$B$958,B966,'Раскрой 11,7м'!$C$5:$C$958,C966)</f>
        <v>87</v>
      </c>
      <c r="H966" s="83" t="n">
        <f aca="false">G966*Исходные!$B$15</f>
        <v>1017.9</v>
      </c>
      <c r="I966" s="41" t="n">
        <f aca="false">IFERROR(INDEX(Исходные!$B$21:$B$33,MATCH(B966,Исходные!$A$21:$A$33,0)),0)</f>
        <v>2.466</v>
      </c>
      <c r="J966" s="21" t="n">
        <f aca="false">H966*I966</f>
        <v>2510.1414</v>
      </c>
      <c r="K966" s="83" t="n">
        <f aca="false">SUMIFS(Ведомость!$P$5:$P$2053,Ведомость!$W$5:$W$2053,A966,Ведомость!$H$5:$H$2053,B966,Ведомость!$I$5:$I$2053,C966)</f>
        <v>1937.88144</v>
      </c>
      <c r="L966" s="83" t="n">
        <f aca="false">J966-K966</f>
        <v>572.25996</v>
      </c>
      <c r="M966" s="89" t="n">
        <f aca="false">IF(J966&gt;0,L966/J966,0)</f>
        <v>0.227979172806759</v>
      </c>
    </row>
    <row r="967" customFormat="false" ht="15" hidden="false" customHeight="false" outlineLevel="0" collapsed="false">
      <c r="A967" s="53" t="n">
        <v>1</v>
      </c>
      <c r="B967" s="53" t="n">
        <v>18</v>
      </c>
      <c r="C967" s="76" t="s">
        <v>512</v>
      </c>
      <c r="D967" s="74" t="n">
        <f aca="false">SUMIFS(Ведомость!$N$5:$N$2053,Ведомость!$W$5:$W$2053,A967,Ведомость!$H$5:$H$2053,B967,Ведомость!$I$5:$I$2053,C967)</f>
        <v>801.268</v>
      </c>
      <c r="E967" s="74" t="n">
        <f aca="false">SUMIFS('Раскрой 11,7м'!$Q$5:$Q$958,'Раскрой 11,7м'!$A$5:$A$958,A967,'Раскрой 11,7м'!$B$5:$B$958,B967,'Раскрой 11,7м'!$C$5:$C$958,C967)</f>
        <v>801.268</v>
      </c>
      <c r="F967" s="74" t="n">
        <f aca="false">ROUND(D967-E967,2)</f>
        <v>0</v>
      </c>
      <c r="G967" s="88" t="n">
        <f aca="false">SUMIFS('Раскрой 11,7м'!$O$5:$O$958,'Раскрой 11,7м'!$A$5:$A$958,A967,'Раскрой 11,7м'!$B$5:$B$958,B967,'Раскрой 11,7м'!$C$5:$C$958,C967)</f>
        <v>72</v>
      </c>
      <c r="H967" s="83" t="n">
        <f aca="false">G967*Исходные!$B$15</f>
        <v>842.4</v>
      </c>
      <c r="I967" s="41" t="n">
        <f aca="false">IFERROR(INDEX(Исходные!$B$21:$B$33,MATCH(B967,Исходные!$A$21:$A$33,0)),0)</f>
        <v>1.998</v>
      </c>
      <c r="J967" s="21" t="n">
        <f aca="false">H967*I967</f>
        <v>1683.1152</v>
      </c>
      <c r="K967" s="83" t="n">
        <f aca="false">SUMIFS(Ведомость!$P$5:$P$2053,Ведомость!$W$5:$W$2053,A967,Ведомость!$H$5:$H$2053,B967,Ведомость!$I$5:$I$2053,C967)</f>
        <v>1600.933464</v>
      </c>
      <c r="L967" s="83" t="n">
        <f aca="false">J967-K967</f>
        <v>82.181736</v>
      </c>
      <c r="M967" s="89" t="n">
        <f aca="false">IF(J967&gt;0,L967/J967,0)</f>
        <v>0.0488271604938272</v>
      </c>
    </row>
    <row r="968" customFormat="false" ht="15" hidden="false" customHeight="false" outlineLevel="0" collapsed="false">
      <c r="A968" s="53" t="n">
        <v>1</v>
      </c>
      <c r="B968" s="53" t="n">
        <v>16</v>
      </c>
      <c r="C968" s="76" t="s">
        <v>512</v>
      </c>
      <c r="D968" s="74" t="n">
        <f aca="false">SUMIFS(Ведомость!$N$5:$N$2053,Ведомость!$W$5:$W$2053,A968,Ведомость!$H$5:$H$2053,B968,Ведомость!$I$5:$I$2053,C968)</f>
        <v>975.028</v>
      </c>
      <c r="E968" s="74" t="n">
        <f aca="false">SUMIFS('Раскрой 11,7м'!$Q$5:$Q$958,'Раскрой 11,7м'!$A$5:$A$958,A968,'Раскрой 11,7м'!$B$5:$B$958,B968,'Раскрой 11,7м'!$C$5:$C$958,C968)</f>
        <v>975.028</v>
      </c>
      <c r="F968" s="74" t="n">
        <f aca="false">ROUND(D968-E968,2)</f>
        <v>0</v>
      </c>
      <c r="G968" s="88" t="n">
        <f aca="false">SUMIFS('Раскрой 11,7м'!$O$5:$O$958,'Раскрой 11,7м'!$A$5:$A$958,A968,'Раскрой 11,7м'!$B$5:$B$958,B968,'Раскрой 11,7м'!$C$5:$C$958,C968)</f>
        <v>85</v>
      </c>
      <c r="H968" s="83" t="n">
        <f aca="false">G968*Исходные!$B$15</f>
        <v>994.5</v>
      </c>
      <c r="I968" s="41" t="n">
        <f aca="false">IFERROR(INDEX(Исходные!$B$21:$B$33,MATCH(B968,Исходные!$A$21:$A$33,0)),0)</f>
        <v>1.578</v>
      </c>
      <c r="J968" s="21" t="n">
        <f aca="false">H968*I968</f>
        <v>1569.321</v>
      </c>
      <c r="K968" s="83" t="n">
        <f aca="false">SUMIFS(Ведомость!$P$5:$P$2053,Ведомость!$W$5:$W$2053,A968,Ведомость!$H$5:$H$2053,B968,Ведомость!$I$5:$I$2053,C968)</f>
        <v>1538.594184</v>
      </c>
      <c r="L968" s="83" t="n">
        <f aca="false">J968-K968</f>
        <v>30.7268159999999</v>
      </c>
      <c r="M968" s="89" t="n">
        <f aca="false">IF(J968&gt;0,L968/J968,0)</f>
        <v>0.0195796882855706</v>
      </c>
    </row>
    <row r="969" customFormat="false" ht="15" hidden="false" customHeight="false" outlineLevel="0" collapsed="false">
      <c r="A969" s="53" t="n">
        <v>1</v>
      </c>
      <c r="B969" s="53" t="n">
        <v>14</v>
      </c>
      <c r="C969" s="76" t="s">
        <v>512</v>
      </c>
      <c r="D969" s="74" t="n">
        <f aca="false">SUMIFS(Ведомость!$N$5:$N$2053,Ведомость!$W$5:$W$2053,A969,Ведомость!$H$5:$H$2053,B969,Ведомость!$I$5:$I$2053,C969)</f>
        <v>240.46</v>
      </c>
      <c r="E969" s="74" t="n">
        <f aca="false">SUMIFS('Раскрой 11,7м'!$Q$5:$Q$958,'Раскрой 11,7м'!$A$5:$A$958,A969,'Раскрой 11,7м'!$B$5:$B$958,B969,'Раскрой 11,7м'!$C$5:$C$958,C969)</f>
        <v>240.46</v>
      </c>
      <c r="F969" s="74" t="n">
        <f aca="false">ROUND(D969-E969,2)</f>
        <v>0</v>
      </c>
      <c r="G969" s="88" t="n">
        <f aca="false">SUMIFS('Раскрой 11,7м'!$O$5:$O$958,'Раскрой 11,7м'!$A$5:$A$958,A969,'Раскрой 11,7м'!$B$5:$B$958,B969,'Раскрой 11,7м'!$C$5:$C$958,C969)</f>
        <v>21</v>
      </c>
      <c r="H969" s="83" t="n">
        <f aca="false">G969*Исходные!$B$15</f>
        <v>245.7</v>
      </c>
      <c r="I969" s="41" t="n">
        <f aca="false">IFERROR(INDEX(Исходные!$B$21:$B$33,MATCH(B969,Исходные!$A$21:$A$33,0)),0)</f>
        <v>1.208</v>
      </c>
      <c r="J969" s="21" t="n">
        <f aca="false">H969*I969</f>
        <v>296.8056</v>
      </c>
      <c r="K969" s="83" t="n">
        <f aca="false">SUMIFS(Ведомость!$P$5:$P$2053,Ведомость!$W$5:$W$2053,A969,Ведомость!$H$5:$H$2053,B969,Ведомость!$I$5:$I$2053,C969)</f>
        <v>290.47568</v>
      </c>
      <c r="L969" s="83" t="n">
        <f aca="false">J969-K969</f>
        <v>6.32992000000002</v>
      </c>
      <c r="M969" s="89" t="n">
        <f aca="false">IF(J969&gt;0,L969/J969,0)</f>
        <v>0.0213268213268214</v>
      </c>
    </row>
    <row r="970" customFormat="false" ht="15" hidden="false" customHeight="false" outlineLevel="0" collapsed="false">
      <c r="A970" s="53" t="n">
        <v>1</v>
      </c>
      <c r="B970" s="53" t="n">
        <v>12</v>
      </c>
      <c r="C970" s="76" t="s">
        <v>512</v>
      </c>
      <c r="D970" s="74" t="n">
        <f aca="false">SUMIFS(Ведомость!$N$5:$N$2053,Ведомость!$W$5:$W$2053,A970,Ведомость!$H$5:$H$2053,B970,Ведомость!$I$5:$I$2053,C970)</f>
        <v>242.184</v>
      </c>
      <c r="E970" s="74" t="n">
        <f aca="false">SUMIFS('Раскрой 11,7м'!$Q$5:$Q$958,'Раскрой 11,7м'!$A$5:$A$958,A970,'Раскрой 11,7м'!$B$5:$B$958,B970,'Раскрой 11,7м'!$C$5:$C$958,C970)</f>
        <v>242.184</v>
      </c>
      <c r="F970" s="74" t="n">
        <f aca="false">ROUND(D970-E970,2)</f>
        <v>0</v>
      </c>
      <c r="G970" s="88" t="n">
        <f aca="false">SUMIFS('Раскрой 11,7м'!$O$5:$O$958,'Раскрой 11,7м'!$A$5:$A$958,A970,'Раскрой 11,7м'!$B$5:$B$958,B970,'Раскрой 11,7м'!$C$5:$C$958,C970)</f>
        <v>22</v>
      </c>
      <c r="H970" s="83" t="n">
        <f aca="false">G970*Исходные!$B$15</f>
        <v>257.4</v>
      </c>
      <c r="I970" s="41" t="n">
        <f aca="false">IFERROR(INDEX(Исходные!$B$21:$B$33,MATCH(B970,Исходные!$A$21:$A$33,0)),0)</f>
        <v>0.888</v>
      </c>
      <c r="J970" s="21" t="n">
        <f aca="false">H970*I970</f>
        <v>228.5712</v>
      </c>
      <c r="K970" s="83" t="n">
        <f aca="false">SUMIFS(Ведомость!$P$5:$P$2053,Ведомость!$W$5:$W$2053,A970,Ведомость!$H$5:$H$2053,B970,Ведомость!$I$5:$I$2053,C970)</f>
        <v>215.059392</v>
      </c>
      <c r="L970" s="83" t="n">
        <f aca="false">J970-K970</f>
        <v>13.511808</v>
      </c>
      <c r="M970" s="89" t="n">
        <f aca="false">IF(J970&gt;0,L970/J970,0)</f>
        <v>0.059114219114219</v>
      </c>
    </row>
    <row r="971" customFormat="false" ht="15" hidden="false" customHeight="false" outlineLevel="0" collapsed="false">
      <c r="A971" s="53" t="n">
        <v>1</v>
      </c>
      <c r="B971" s="53" t="n">
        <v>10</v>
      </c>
      <c r="C971" s="76" t="s">
        <v>512</v>
      </c>
      <c r="D971" s="74" t="n">
        <f aca="false">SUMIFS(Ведомость!$N$5:$N$2053,Ведомость!$W$5:$W$2053,A971,Ведомость!$H$5:$H$2053,B971,Ведомость!$I$5:$I$2053,C971)</f>
        <v>13082.58</v>
      </c>
      <c r="E971" s="74" t="n">
        <f aca="false">SUMIFS('Раскрой 11,7м'!$Q$5:$Q$958,'Раскрой 11,7м'!$A$5:$A$958,A971,'Раскрой 11,7м'!$B$5:$B$958,B971,'Раскрой 11,7м'!$C$5:$C$958,C971)</f>
        <v>13082.58</v>
      </c>
      <c r="F971" s="74" t="n">
        <f aca="false">ROUND(D971-E971,2)</f>
        <v>0</v>
      </c>
      <c r="G971" s="88" t="n">
        <f aca="false">SUMIFS('Раскрой 11,7м'!$O$5:$O$958,'Раскрой 11,7м'!$A$5:$A$958,A971,'Раскрой 11,7м'!$B$5:$B$958,B971,'Раскрой 11,7м'!$C$5:$C$958,C971)</f>
        <v>1127</v>
      </c>
      <c r="H971" s="83" t="n">
        <f aca="false">G971*Исходные!$B$15</f>
        <v>13185.9</v>
      </c>
      <c r="I971" s="41" t="n">
        <f aca="false">IFERROR(INDEX(Исходные!$B$21:$B$33,MATCH(B971,Исходные!$A$21:$A$33,0)),0)</f>
        <v>0.617</v>
      </c>
      <c r="J971" s="21" t="n">
        <f aca="false">H971*I971</f>
        <v>8135.7003</v>
      </c>
      <c r="K971" s="83" t="n">
        <f aca="false">SUMIFS(Ведомость!$P$5:$P$2053,Ведомость!$W$5:$W$2053,A971,Ведомость!$H$5:$H$2053,B971,Ведомость!$I$5:$I$2053,C971)</f>
        <v>8071.95186</v>
      </c>
      <c r="L971" s="83" t="n">
        <f aca="false">J971-K971</f>
        <v>63.7484399999994</v>
      </c>
      <c r="M971" s="89" t="n">
        <f aca="false">IF(J971&gt;0,L971/J971,0)</f>
        <v>0.00783564261825124</v>
      </c>
    </row>
    <row r="972" customFormat="false" ht="15" hidden="false" customHeight="false" outlineLevel="0" collapsed="false">
      <c r="A972" s="53" t="n">
        <v>1</v>
      </c>
      <c r="B972" s="53" t="n">
        <v>8</v>
      </c>
      <c r="C972" s="76" t="s">
        <v>512</v>
      </c>
      <c r="D972" s="74" t="n">
        <f aca="false">SUMIFS(Ведомость!$N$5:$N$2053,Ведомость!$W$5:$W$2053,A972,Ведомость!$H$5:$H$2053,B972,Ведомость!$I$5:$I$2053,C972)</f>
        <v>0</v>
      </c>
      <c r="E972" s="74" t="n">
        <f aca="false">SUMIFS('Раскрой 11,7м'!$Q$5:$Q$958,'Раскрой 11,7м'!$A$5:$A$958,A972,'Раскрой 11,7м'!$B$5:$B$958,B972,'Раскрой 11,7м'!$C$5:$C$958,C972)</f>
        <v>0</v>
      </c>
      <c r="F972" s="74" t="n">
        <f aca="false">ROUND(D972-E972,2)</f>
        <v>0</v>
      </c>
      <c r="G972" s="88" t="n">
        <f aca="false">SUMIFS('Раскрой 11,7м'!$O$5:$O$958,'Раскрой 11,7м'!$A$5:$A$958,A972,'Раскрой 11,7м'!$B$5:$B$958,B972,'Раскрой 11,7м'!$C$5:$C$958,C972)</f>
        <v>0</v>
      </c>
      <c r="H972" s="83" t="n">
        <f aca="false">G972*Исходные!$B$15</f>
        <v>0</v>
      </c>
      <c r="I972" s="41" t="n">
        <f aca="false">IFERROR(INDEX(Исходные!$B$21:$B$33,MATCH(B972,Исходные!$A$21:$A$33,0)),0)</f>
        <v>0.395</v>
      </c>
      <c r="J972" s="21" t="n">
        <f aca="false">H972*I972</f>
        <v>0</v>
      </c>
      <c r="K972" s="83" t="n">
        <f aca="false">SUMIFS(Ведомость!$P$5:$P$2053,Ведомость!$W$5:$W$2053,A972,Ведомость!$H$5:$H$2053,B972,Ведомость!$I$5:$I$2053,C972)</f>
        <v>0</v>
      </c>
      <c r="L972" s="83" t="n">
        <f aca="false">J972-K972</f>
        <v>0</v>
      </c>
      <c r="M972" s="89" t="n">
        <f aca="false">IF(J972&gt;0,L972/J972,0)</f>
        <v>0</v>
      </c>
    </row>
    <row r="973" customFormat="false" ht="15" hidden="false" customHeight="false" outlineLevel="0" collapsed="false">
      <c r="A973" s="53" t="n">
        <v>1</v>
      </c>
      <c r="B973" s="53" t="n">
        <v>16</v>
      </c>
      <c r="C973" s="76" t="s">
        <v>546</v>
      </c>
      <c r="D973" s="74" t="n">
        <f aca="false">SUMIFS(Ведомость!$N$5:$N$2053,Ведомость!$W$5:$W$2053,A973,Ведомость!$H$5:$H$2053,B973,Ведомость!$I$5:$I$2053,C973)</f>
        <v>0.84</v>
      </c>
      <c r="E973" s="74" t="n">
        <f aca="false">SUMIFS('Раскрой 11,7м'!$Q$5:$Q$958,'Раскрой 11,7м'!$A$5:$A$958,A973,'Раскрой 11,7м'!$B$5:$B$958,B973,'Раскрой 11,7м'!$C$5:$C$958,C973)</f>
        <v>0.84</v>
      </c>
      <c r="F973" s="74" t="n">
        <f aca="false">ROUND(D973-E973,2)</f>
        <v>0</v>
      </c>
      <c r="G973" s="88" t="n">
        <f aca="false">SUMIFS('Раскрой 11,7м'!$O$5:$O$958,'Раскрой 11,7м'!$A$5:$A$958,A973,'Раскрой 11,7м'!$B$5:$B$958,B973,'Раскрой 11,7м'!$C$5:$C$958,C973)</f>
        <v>1</v>
      </c>
      <c r="H973" s="83" t="n">
        <f aca="false">G973*Исходные!$B$15</f>
        <v>11.7</v>
      </c>
      <c r="I973" s="41" t="n">
        <f aca="false">IFERROR(INDEX(Исходные!$B$21:$B$33,MATCH(B973,Исходные!$A$21:$A$33,0)),0)</f>
        <v>1.578</v>
      </c>
      <c r="J973" s="21" t="n">
        <f aca="false">H973*I973</f>
        <v>18.4626</v>
      </c>
      <c r="K973" s="83" t="n">
        <f aca="false">SUMIFS(Ведомость!$P$5:$P$2053,Ведомость!$W$5:$W$2053,A973,Ведомость!$H$5:$H$2053,B973,Ведомость!$I$5:$I$2053,C973)</f>
        <v>1.32552</v>
      </c>
      <c r="L973" s="83" t="n">
        <f aca="false">J973-K973</f>
        <v>17.13708</v>
      </c>
      <c r="M973" s="89" t="n">
        <f aca="false">IF(J973&gt;0,L973/J973,0)</f>
        <v>0.928205128205128</v>
      </c>
    </row>
    <row r="974" customFormat="false" ht="15" hidden="false" customHeight="false" outlineLevel="0" collapsed="false">
      <c r="A974" s="53" t="n">
        <v>1</v>
      </c>
      <c r="B974" s="53" t="n">
        <v>12</v>
      </c>
      <c r="C974" s="76" t="s">
        <v>546</v>
      </c>
      <c r="D974" s="74" t="n">
        <f aca="false">SUMIFS(Ведомость!$N$5:$N$2053,Ведомость!$W$5:$W$2053,A974,Ведомость!$H$5:$H$2053,B974,Ведомость!$I$5:$I$2053,C974)</f>
        <v>0</v>
      </c>
      <c r="E974" s="74" t="n">
        <f aca="false">SUMIFS('Раскрой 11,7м'!$Q$5:$Q$958,'Раскрой 11,7м'!$A$5:$A$958,A974,'Раскрой 11,7м'!$B$5:$B$958,B974,'Раскрой 11,7м'!$C$5:$C$958,C974)</f>
        <v>0</v>
      </c>
      <c r="F974" s="74" t="n">
        <f aca="false">ROUND(D974-E974,2)</f>
        <v>0</v>
      </c>
      <c r="G974" s="88" t="n">
        <f aca="false">SUMIFS('Раскрой 11,7м'!$O$5:$O$958,'Раскрой 11,7м'!$A$5:$A$958,A974,'Раскрой 11,7м'!$B$5:$B$958,B974,'Раскрой 11,7м'!$C$5:$C$958,C974)</f>
        <v>0</v>
      </c>
      <c r="H974" s="83" t="n">
        <f aca="false">G974*Исходные!$B$15</f>
        <v>0</v>
      </c>
      <c r="I974" s="41" t="n">
        <f aca="false">IFERROR(INDEX(Исходные!$B$21:$B$33,MATCH(B974,Исходные!$A$21:$A$33,0)),0)</f>
        <v>0.888</v>
      </c>
      <c r="J974" s="21" t="n">
        <f aca="false">H974*I974</f>
        <v>0</v>
      </c>
      <c r="K974" s="83" t="n">
        <f aca="false">SUMIFS(Ведомость!$P$5:$P$2053,Ведомость!$W$5:$W$2053,A974,Ведомость!$H$5:$H$2053,B974,Ведомость!$I$5:$I$2053,C974)</f>
        <v>0</v>
      </c>
      <c r="L974" s="83" t="n">
        <f aca="false">J974-K974</f>
        <v>0</v>
      </c>
      <c r="M974" s="89" t="n">
        <f aca="false">IF(J974&gt;0,L974/J974,0)</f>
        <v>0</v>
      </c>
    </row>
    <row r="975" customFormat="false" ht="15" hidden="false" customHeight="false" outlineLevel="0" collapsed="false">
      <c r="A975" s="53" t="n">
        <v>1</v>
      </c>
      <c r="B975" s="53" t="n">
        <v>10</v>
      </c>
      <c r="C975" s="76" t="s">
        <v>546</v>
      </c>
      <c r="D975" s="74" t="n">
        <f aca="false">SUMIFS(Ведомость!$N$5:$N$2053,Ведомость!$W$5:$W$2053,A975,Ведомость!$H$5:$H$2053,B975,Ведомость!$I$5:$I$2053,C975)</f>
        <v>2896.24</v>
      </c>
      <c r="E975" s="74" t="n">
        <f aca="false">SUMIFS('Раскрой 11,7м'!$Q$5:$Q$958,'Раскрой 11,7м'!$A$5:$A$958,A975,'Раскрой 11,7м'!$B$5:$B$958,B975,'Раскрой 11,7м'!$C$5:$C$958,C975)</f>
        <v>2896.24</v>
      </c>
      <c r="F975" s="74" t="n">
        <f aca="false">ROUND(D975-E975,2)</f>
        <v>0</v>
      </c>
      <c r="G975" s="88" t="n">
        <f aca="false">SUMIFS('Раскрой 11,7м'!$O$5:$O$958,'Раскрой 11,7м'!$A$5:$A$958,A975,'Раскрой 11,7м'!$B$5:$B$958,B975,'Раскрой 11,7м'!$C$5:$C$958,C975)</f>
        <v>251</v>
      </c>
      <c r="H975" s="83" t="n">
        <f aca="false">G975*Исходные!$B$15</f>
        <v>2936.7</v>
      </c>
      <c r="I975" s="41" t="n">
        <f aca="false">IFERROR(INDEX(Исходные!$B$21:$B$33,MATCH(B975,Исходные!$A$21:$A$33,0)),0)</f>
        <v>0.617</v>
      </c>
      <c r="J975" s="21" t="n">
        <f aca="false">H975*I975</f>
        <v>1811.9439</v>
      </c>
      <c r="K975" s="83" t="n">
        <f aca="false">SUMIFS(Ведомость!$P$5:$P$2053,Ведомость!$W$5:$W$2053,A975,Ведомость!$H$5:$H$2053,B975,Ведомость!$I$5:$I$2053,C975)</f>
        <v>1786.98008</v>
      </c>
      <c r="L975" s="83" t="n">
        <f aca="false">J975-K975</f>
        <v>24.9638199999997</v>
      </c>
      <c r="M975" s="89" t="n">
        <f aca="false">IF(J975&gt;0,L975/J975,0)</f>
        <v>0.0137773691558551</v>
      </c>
    </row>
    <row r="976" customFormat="false" ht="15" hidden="false" customHeight="false" outlineLevel="0" collapsed="false">
      <c r="A976" s="53" t="n">
        <v>1</v>
      </c>
      <c r="B976" s="53" t="n">
        <v>8</v>
      </c>
      <c r="C976" s="76" t="s">
        <v>546</v>
      </c>
      <c r="D976" s="74" t="n">
        <f aca="false">SUMIFS(Ведомость!$N$5:$N$2053,Ведомость!$W$5:$W$2053,A976,Ведомость!$H$5:$H$2053,B976,Ведомость!$I$5:$I$2053,C976)</f>
        <v>7582.01</v>
      </c>
      <c r="E976" s="74" t="n">
        <f aca="false">SUMIFS('Раскрой 11,7м'!$Q$5:$Q$958,'Раскрой 11,7м'!$A$5:$A$958,A976,'Раскрой 11,7м'!$B$5:$B$958,B976,'Раскрой 11,7м'!$C$5:$C$958,C976)</f>
        <v>7582.01</v>
      </c>
      <c r="F976" s="74" t="n">
        <f aca="false">ROUND(D976-E976,2)</f>
        <v>0</v>
      </c>
      <c r="G976" s="88" t="n">
        <f aca="false">SUMIFS('Раскрой 11,7м'!$O$5:$O$958,'Раскрой 11,7м'!$A$5:$A$958,A976,'Раскрой 11,7м'!$B$5:$B$958,B976,'Раскрой 11,7м'!$C$5:$C$958,C976)</f>
        <v>654</v>
      </c>
      <c r="H976" s="83" t="n">
        <f aca="false">G976*Исходные!$B$15</f>
        <v>7651.8</v>
      </c>
      <c r="I976" s="41" t="n">
        <f aca="false">IFERROR(INDEX(Исходные!$B$21:$B$33,MATCH(B976,Исходные!$A$21:$A$33,0)),0)</f>
        <v>0.395</v>
      </c>
      <c r="J976" s="21" t="n">
        <f aca="false">H976*I976</f>
        <v>3022.461</v>
      </c>
      <c r="K976" s="83" t="n">
        <f aca="false">SUMIFS(Ведомость!$P$5:$P$2053,Ведомость!$W$5:$W$2053,A976,Ведомость!$H$5:$H$2053,B976,Ведомость!$I$5:$I$2053,C976)</f>
        <v>2994.89395</v>
      </c>
      <c r="L976" s="83" t="n">
        <f aca="false">J976-K976</f>
        <v>27.5670499999997</v>
      </c>
      <c r="M976" s="89" t="n">
        <f aca="false">IF(J976&gt;0,L976/J976,0)</f>
        <v>0.00912072976293149</v>
      </c>
    </row>
    <row r="977" customFormat="false" ht="15" hidden="false" customHeight="false" outlineLevel="0" collapsed="false">
      <c r="A977" s="53" t="n">
        <v>1</v>
      </c>
      <c r="B977" s="53" t="n">
        <v>6</v>
      </c>
      <c r="C977" s="76" t="s">
        <v>546</v>
      </c>
      <c r="D977" s="74" t="n">
        <f aca="false">SUMIFS(Ведомость!$N$5:$N$2053,Ведомость!$W$5:$W$2053,A977,Ведомость!$H$5:$H$2053,B977,Ведомость!$I$5:$I$2053,C977)</f>
        <v>31.08</v>
      </c>
      <c r="E977" s="74" t="n">
        <f aca="false">SUMIFS('Раскрой 11,7м'!$Q$5:$Q$958,'Раскрой 11,7м'!$A$5:$A$958,A977,'Раскрой 11,7м'!$B$5:$B$958,B977,'Раскрой 11,7м'!$C$5:$C$958,C977)</f>
        <v>31.08</v>
      </c>
      <c r="F977" s="74" t="n">
        <f aca="false">ROUND(D977-E977,2)</f>
        <v>0</v>
      </c>
      <c r="G977" s="88" t="n">
        <f aca="false">SUMIFS('Раскрой 11,7м'!$O$5:$O$958,'Раскрой 11,7м'!$A$5:$A$958,A977,'Раскрой 11,7м'!$B$5:$B$958,B977,'Раскрой 11,7м'!$C$5:$C$958,C977)</f>
        <v>3</v>
      </c>
      <c r="H977" s="83" t="n">
        <f aca="false">G977*Исходные!$B$15</f>
        <v>35.1</v>
      </c>
      <c r="I977" s="41" t="n">
        <f aca="false">IFERROR(INDEX(Исходные!$B$21:$B$33,MATCH(B977,Исходные!$A$21:$A$33,0)),0)</f>
        <v>0.222</v>
      </c>
      <c r="J977" s="21" t="n">
        <f aca="false">H977*I977</f>
        <v>7.7922</v>
      </c>
      <c r="K977" s="83" t="n">
        <f aca="false">SUMIFS(Ведомость!$P$5:$P$2053,Ведомость!$W$5:$W$2053,A977,Ведомость!$H$5:$H$2053,B977,Ведомость!$I$5:$I$2053,C977)</f>
        <v>6.89976</v>
      </c>
      <c r="L977" s="83" t="n">
        <f aca="false">J977-K977</f>
        <v>0.892439999999998</v>
      </c>
      <c r="M977" s="89" t="n">
        <f aca="false">IF(J977&gt;0,L977/J977,0)</f>
        <v>0.114529914529914</v>
      </c>
    </row>
    <row r="978" customFormat="false" ht="15" hidden="false" customHeight="false" outlineLevel="0" collapsed="false">
      <c r="A978" s="53" t="n">
        <v>1</v>
      </c>
      <c r="B978" s="53" t="n">
        <v>5</v>
      </c>
      <c r="C978" s="76" t="s">
        <v>1119</v>
      </c>
      <c r="D978" s="74" t="n">
        <f aca="false">SUMIFS(Ведомость!$N$5:$N$2053,Ведомость!$W$5:$W$2053,A978,Ведомость!$H$5:$H$2053,B978,Ведомость!$I$5:$I$2053,C978)</f>
        <v>280</v>
      </c>
      <c r="E978" s="74" t="n">
        <f aca="false">D978</f>
        <v>280</v>
      </c>
      <c r="F978" s="74" t="n">
        <f aca="false">ROUND(D978-E978,2)</f>
        <v>0</v>
      </c>
      <c r="G978" s="88" t="n">
        <v>0</v>
      </c>
      <c r="H978" s="83" t="n">
        <f aca="false">G978*Исходные!$B$15</f>
        <v>0</v>
      </c>
      <c r="I978" s="41" t="n">
        <f aca="false">IFERROR(INDEX(Исходные!$B$21:$B$33,MATCH(B978,Исходные!$A$21:$A$33,0)),0)</f>
        <v>0.154</v>
      </c>
      <c r="J978" s="21" t="n">
        <f aca="false">K978</f>
        <v>43.12</v>
      </c>
      <c r="K978" s="83" t="n">
        <f aca="false">SUMIFS(Ведомость!$P$5:$P$2053,Ведомость!$W$5:$W$2053,A978,Ведомость!$H$5:$H$2053,B978,Ведомость!$I$5:$I$2053,C978)</f>
        <v>43.12</v>
      </c>
      <c r="L978" s="83" t="n">
        <f aca="false">J978-K978</f>
        <v>0</v>
      </c>
      <c r="M978" s="89" t="n">
        <f aca="false">IF(J978&gt;0,L978/J978,0)</f>
        <v>0</v>
      </c>
      <c r="N978" s="22" t="s">
        <v>2153</v>
      </c>
    </row>
    <row r="979" customFormat="false" ht="15" hidden="false" customHeight="false" outlineLevel="0" collapsed="false">
      <c r="C979" s="4" t="s">
        <v>271</v>
      </c>
      <c r="D979" s="87" t="n">
        <f aca="false">SUM(D962:D978)</f>
        <v>30004.61</v>
      </c>
      <c r="E979" s="87" t="n">
        <f aca="false">SUM(E962:E978)</f>
        <v>30004.61</v>
      </c>
      <c r="F979" s="87" t="n">
        <f aca="false">SUM(F962:F978)</f>
        <v>0</v>
      </c>
      <c r="G979" s="49" t="n">
        <f aca="false">SUM(G962:G978)</f>
        <v>2616</v>
      </c>
      <c r="H979" s="87" t="n">
        <f aca="false">SUM(H962:H978)</f>
        <v>30607.2</v>
      </c>
      <c r="J979" s="87" t="n">
        <f aca="false">SUM(J962:J978)</f>
        <v>34961.5126</v>
      </c>
      <c r="K979" s="87" t="n">
        <f aca="false">SUM(K962:K978)</f>
        <v>32440.35277</v>
      </c>
      <c r="L979" s="87" t="n">
        <f aca="false">SUM(L962:L978)</f>
        <v>2521.15983</v>
      </c>
      <c r="M979" s="90" t="n">
        <f aca="false">IF(J979&gt;0,L979/J979,0)</f>
        <v>0.0721124357188138</v>
      </c>
    </row>
    <row r="981" customFormat="false" ht="15" hidden="false" customHeight="false" outlineLevel="0" collapsed="false">
      <c r="A981" s="34" t="s">
        <v>2154</v>
      </c>
    </row>
    <row r="982" customFormat="false" ht="42" hidden="false" customHeight="true" outlineLevel="0" collapsed="false">
      <c r="A982" s="5" t="s">
        <v>2133</v>
      </c>
      <c r="B982" s="5" t="s">
        <v>491</v>
      </c>
      <c r="C982" s="5" t="s">
        <v>492</v>
      </c>
      <c r="D982" s="5" t="s">
        <v>2147</v>
      </c>
      <c r="E982" s="5" t="s">
        <v>2148</v>
      </c>
      <c r="F982" s="5" t="s">
        <v>2149</v>
      </c>
      <c r="G982" s="5" t="s">
        <v>15</v>
      </c>
      <c r="H982" s="5" t="s">
        <v>2150</v>
      </c>
      <c r="I982" s="5" t="s">
        <v>356</v>
      </c>
      <c r="J982" s="5" t="s">
        <v>16</v>
      </c>
      <c r="K982" s="5" t="s">
        <v>2151</v>
      </c>
      <c r="L982" s="5" t="s">
        <v>2152</v>
      </c>
      <c r="M982" s="5" t="s">
        <v>17</v>
      </c>
    </row>
    <row r="983" customFormat="false" ht="15" hidden="false" customHeight="false" outlineLevel="0" collapsed="false">
      <c r="A983" s="53" t="n">
        <v>2</v>
      </c>
      <c r="B983" s="53" t="n">
        <v>32</v>
      </c>
      <c r="C983" s="76" t="s">
        <v>512</v>
      </c>
      <c r="D983" s="74" t="n">
        <f aca="false">SUMIFS(Ведомость!$N$5:$N$2053,Ведомость!$W$5:$W$2053,A983,Ведомость!$H$5:$H$2053,B983,Ведомость!$I$5:$I$2053,C983)</f>
        <v>270.4</v>
      </c>
      <c r="E983" s="74" t="n">
        <f aca="false">SUMIFS('Раскрой 11,7м'!$Q$5:$Q$958,'Раскрой 11,7м'!$A$5:$A$958,A983,'Раскрой 11,7м'!$B$5:$B$958,B983,'Раскрой 11,7м'!$C$5:$C$958,C983)</f>
        <v>270.4</v>
      </c>
      <c r="F983" s="74" t="n">
        <f aca="false">ROUND(D983-E983,2)</f>
        <v>0</v>
      </c>
      <c r="G983" s="88" t="n">
        <f aca="false">SUMIFS('Раскрой 11,7м'!$O$5:$O$958,'Раскрой 11,7м'!$A$5:$A$958,A983,'Раскрой 11,7м'!$B$5:$B$958,B983,'Раскрой 11,7м'!$C$5:$C$958,C983)</f>
        <v>25</v>
      </c>
      <c r="H983" s="83" t="n">
        <f aca="false">G983*Исходные!$B$15</f>
        <v>292.5</v>
      </c>
      <c r="I983" s="41" t="n">
        <f aca="false">IFERROR(INDEX(Исходные!$B$21:$B$33,MATCH(B983,Исходные!$A$21:$A$33,0)),0)</f>
        <v>6.313</v>
      </c>
      <c r="J983" s="21" t="n">
        <f aca="false">H983*I983</f>
        <v>1846.5525</v>
      </c>
      <c r="K983" s="83" t="n">
        <f aca="false">SUMIFS(Ведомость!$P$5:$P$2053,Ведомость!$W$5:$W$2053,A983,Ведомость!$H$5:$H$2053,B983,Ведомость!$I$5:$I$2053,C983)</f>
        <v>1707.0352</v>
      </c>
      <c r="L983" s="83" t="n">
        <f aca="false">J983-K983</f>
        <v>139.5173</v>
      </c>
      <c r="M983" s="89" t="n">
        <f aca="false">IF(J983&gt;0,L983/J983,0)</f>
        <v>0.0755555555555555</v>
      </c>
    </row>
    <row r="984" customFormat="false" ht="15" hidden="false" customHeight="false" outlineLevel="0" collapsed="false">
      <c r="A984" s="53" t="n">
        <v>2</v>
      </c>
      <c r="B984" s="53" t="n">
        <v>28</v>
      </c>
      <c r="C984" s="76" t="s">
        <v>512</v>
      </c>
      <c r="D984" s="74" t="n">
        <f aca="false">SUMIFS(Ведомость!$N$5:$N$2053,Ведомость!$W$5:$W$2053,A984,Ведомость!$H$5:$H$2053,B984,Ведомость!$I$5:$I$2053,C984)</f>
        <v>1105.7</v>
      </c>
      <c r="E984" s="74" t="n">
        <f aca="false">SUMIFS('Раскрой 11,7м'!$Q$5:$Q$958,'Раскрой 11,7м'!$A$5:$A$958,A984,'Раскрой 11,7м'!$B$5:$B$958,B984,'Раскрой 11,7м'!$C$5:$C$958,C984)</f>
        <v>1105.7</v>
      </c>
      <c r="F984" s="74" t="n">
        <f aca="false">ROUND(D984-E984,2)</f>
        <v>0</v>
      </c>
      <c r="G984" s="88" t="n">
        <f aca="false">SUMIFS('Раскрой 11,7м'!$O$5:$O$958,'Раскрой 11,7м'!$A$5:$A$958,A984,'Раскрой 11,7м'!$B$5:$B$958,B984,'Раскрой 11,7м'!$C$5:$C$958,C984)</f>
        <v>98</v>
      </c>
      <c r="H984" s="83" t="n">
        <f aca="false">G984*Исходные!$B$15</f>
        <v>1146.6</v>
      </c>
      <c r="I984" s="41" t="n">
        <f aca="false">IFERROR(INDEX(Исходные!$B$21:$B$33,MATCH(B984,Исходные!$A$21:$A$33,0)),0)</f>
        <v>4.834</v>
      </c>
      <c r="J984" s="21" t="n">
        <f aca="false">H984*I984</f>
        <v>5542.6644</v>
      </c>
      <c r="K984" s="83" t="n">
        <f aca="false">SUMIFS(Ведомость!$P$5:$P$2053,Ведомость!$W$5:$W$2053,A984,Ведомость!$H$5:$H$2053,B984,Ведомость!$I$5:$I$2053,C984)</f>
        <v>5344.9538</v>
      </c>
      <c r="L984" s="83" t="n">
        <f aca="false">J984-K984</f>
        <v>197.710599999999</v>
      </c>
      <c r="M984" s="89" t="n">
        <f aca="false">IF(J984&gt;0,L984/J984,0)</f>
        <v>0.0356706785278211</v>
      </c>
    </row>
    <row r="985" customFormat="false" ht="15" hidden="false" customHeight="false" outlineLevel="0" collapsed="false">
      <c r="A985" s="53" t="n">
        <v>2</v>
      </c>
      <c r="B985" s="53" t="n">
        <v>25</v>
      </c>
      <c r="C985" s="76" t="s">
        <v>512</v>
      </c>
      <c r="D985" s="74" t="n">
        <f aca="false">SUMIFS(Ведомость!$N$5:$N$2053,Ведомость!$W$5:$W$2053,A985,Ведомость!$H$5:$H$2053,B985,Ведомость!$I$5:$I$2053,C985)</f>
        <v>997.8</v>
      </c>
      <c r="E985" s="74" t="n">
        <f aca="false">SUMIFS('Раскрой 11,7м'!$Q$5:$Q$958,'Раскрой 11,7м'!$A$5:$A$958,A985,'Раскрой 11,7м'!$B$5:$B$958,B985,'Раскрой 11,7м'!$C$5:$C$958,C985)</f>
        <v>997.8</v>
      </c>
      <c r="F985" s="74" t="n">
        <f aca="false">ROUND(D985-E985,2)</f>
        <v>0</v>
      </c>
      <c r="G985" s="88" t="n">
        <f aca="false">SUMIFS('Раскрой 11,7м'!$O$5:$O$958,'Раскрой 11,7м'!$A$5:$A$958,A985,'Раскрой 11,7м'!$B$5:$B$958,B985,'Раскрой 11,7м'!$C$5:$C$958,C985)</f>
        <v>89</v>
      </c>
      <c r="H985" s="83" t="n">
        <f aca="false">G985*Исходные!$B$15</f>
        <v>1041.3</v>
      </c>
      <c r="I985" s="41" t="n">
        <f aca="false">IFERROR(INDEX(Исходные!$B$21:$B$33,MATCH(B985,Исходные!$A$21:$A$33,0)),0)</f>
        <v>3.853</v>
      </c>
      <c r="J985" s="21" t="n">
        <f aca="false">H985*I985</f>
        <v>4012.1289</v>
      </c>
      <c r="K985" s="83" t="n">
        <f aca="false">SUMIFS(Ведомость!$P$5:$P$2053,Ведомость!$W$5:$W$2053,A985,Ведомость!$H$5:$H$2053,B985,Ведомость!$I$5:$I$2053,C985)</f>
        <v>3844.5234</v>
      </c>
      <c r="L985" s="83" t="n">
        <f aca="false">J985-K985</f>
        <v>167.6055</v>
      </c>
      <c r="M985" s="89" t="n">
        <f aca="false">IF(J985&gt;0,L985/J985,0)</f>
        <v>0.0417747046960529</v>
      </c>
    </row>
    <row r="986" customFormat="false" ht="15" hidden="false" customHeight="false" outlineLevel="0" collapsed="false">
      <c r="A986" s="53" t="n">
        <v>2</v>
      </c>
      <c r="B986" s="53" t="n">
        <v>22</v>
      </c>
      <c r="C986" s="76" t="s">
        <v>512</v>
      </c>
      <c r="D986" s="74" t="n">
        <f aca="false">SUMIFS(Ведомость!$N$5:$N$2053,Ведомость!$W$5:$W$2053,A986,Ведомость!$H$5:$H$2053,B986,Ведомость!$I$5:$I$2053,C986)</f>
        <v>233.1</v>
      </c>
      <c r="E986" s="74" t="n">
        <f aca="false">SUMIFS('Раскрой 11,7м'!$Q$5:$Q$958,'Раскрой 11,7м'!$A$5:$A$958,A986,'Раскрой 11,7м'!$B$5:$B$958,B986,'Раскрой 11,7м'!$C$5:$C$958,C986)</f>
        <v>233.1</v>
      </c>
      <c r="F986" s="74" t="n">
        <f aca="false">ROUND(D986-E986,2)</f>
        <v>0</v>
      </c>
      <c r="G986" s="88" t="n">
        <f aca="false">SUMIFS('Раскрой 11,7м'!$O$5:$O$958,'Раскрой 11,7м'!$A$5:$A$958,A986,'Раскрой 11,7м'!$B$5:$B$958,B986,'Раскрой 11,7м'!$C$5:$C$958,C986)</f>
        <v>21</v>
      </c>
      <c r="H986" s="83" t="n">
        <f aca="false">G986*Исходные!$B$15</f>
        <v>245.7</v>
      </c>
      <c r="I986" s="41" t="n">
        <f aca="false">IFERROR(INDEX(Исходные!$B$21:$B$33,MATCH(B986,Исходные!$A$21:$A$33,0)),0)</f>
        <v>2.984</v>
      </c>
      <c r="J986" s="21" t="n">
        <f aca="false">H986*I986</f>
        <v>733.1688</v>
      </c>
      <c r="K986" s="83" t="n">
        <f aca="false">SUMIFS(Ведомость!$P$5:$P$2053,Ведомость!$W$5:$W$2053,A986,Ведомость!$H$5:$H$2053,B986,Ведомость!$I$5:$I$2053,C986)</f>
        <v>695.5704</v>
      </c>
      <c r="L986" s="83" t="n">
        <f aca="false">J986-K986</f>
        <v>37.5984</v>
      </c>
      <c r="M986" s="89" t="n">
        <f aca="false">IF(J986&gt;0,L986/J986,0)</f>
        <v>0.0512820512820512</v>
      </c>
    </row>
    <row r="987" customFormat="false" ht="15" hidden="false" customHeight="false" outlineLevel="0" collapsed="false">
      <c r="A987" s="53" t="n">
        <v>2</v>
      </c>
      <c r="B987" s="53" t="n">
        <v>20</v>
      </c>
      <c r="C987" s="76" t="s">
        <v>512</v>
      </c>
      <c r="D987" s="74" t="n">
        <f aca="false">SUMIFS(Ведомость!$N$5:$N$2053,Ведомость!$W$5:$W$2053,A987,Ведомость!$H$5:$H$2053,B987,Ведомость!$I$5:$I$2053,C987)</f>
        <v>728.52</v>
      </c>
      <c r="E987" s="74" t="n">
        <f aca="false">SUMIFS('Раскрой 11,7м'!$Q$5:$Q$958,'Раскрой 11,7м'!$A$5:$A$958,A987,'Раскрой 11,7м'!$B$5:$B$958,B987,'Раскрой 11,7м'!$C$5:$C$958,C987)</f>
        <v>728.52</v>
      </c>
      <c r="F987" s="74" t="n">
        <f aca="false">ROUND(D987-E987,2)</f>
        <v>0</v>
      </c>
      <c r="G987" s="88" t="n">
        <f aca="false">SUMIFS('Раскрой 11,7м'!$O$5:$O$958,'Раскрой 11,7м'!$A$5:$A$958,A987,'Раскрой 11,7м'!$B$5:$B$958,B987,'Раскрой 11,7м'!$C$5:$C$958,C987)</f>
        <v>68</v>
      </c>
      <c r="H987" s="83" t="n">
        <f aca="false">G987*Исходные!$B$15</f>
        <v>795.6</v>
      </c>
      <c r="I987" s="41" t="n">
        <f aca="false">IFERROR(INDEX(Исходные!$B$21:$B$33,MATCH(B987,Исходные!$A$21:$A$33,0)),0)</f>
        <v>2.466</v>
      </c>
      <c r="J987" s="21" t="n">
        <f aca="false">H987*I987</f>
        <v>1961.9496</v>
      </c>
      <c r="K987" s="83" t="n">
        <f aca="false">SUMIFS(Ведомость!$P$5:$P$2053,Ведомость!$W$5:$W$2053,A987,Ведомость!$H$5:$H$2053,B987,Ведомость!$I$5:$I$2053,C987)</f>
        <v>1796.53032</v>
      </c>
      <c r="L987" s="83" t="n">
        <f aca="false">J987-K987</f>
        <v>165.41928</v>
      </c>
      <c r="M987" s="89" t="n">
        <f aca="false">IF(J987&gt;0,L987/J987,0)</f>
        <v>0.0843137254901959</v>
      </c>
    </row>
    <row r="988" customFormat="false" ht="15" hidden="false" customHeight="false" outlineLevel="0" collapsed="false">
      <c r="A988" s="53" t="n">
        <v>2</v>
      </c>
      <c r="B988" s="53" t="n">
        <v>18</v>
      </c>
      <c r="C988" s="76" t="s">
        <v>512</v>
      </c>
      <c r="D988" s="74" t="n">
        <f aca="false">SUMIFS(Ведомость!$N$5:$N$2053,Ведомость!$W$5:$W$2053,A988,Ведомость!$H$5:$H$2053,B988,Ведомость!$I$5:$I$2053,C988)</f>
        <v>795.876</v>
      </c>
      <c r="E988" s="74" t="n">
        <f aca="false">SUMIFS('Раскрой 11,7м'!$Q$5:$Q$958,'Раскрой 11,7м'!$A$5:$A$958,A988,'Раскрой 11,7м'!$B$5:$B$958,B988,'Раскрой 11,7м'!$C$5:$C$958,C988)</f>
        <v>795.876</v>
      </c>
      <c r="F988" s="74" t="n">
        <f aca="false">ROUND(D988-E988,2)</f>
        <v>0</v>
      </c>
      <c r="G988" s="88" t="n">
        <f aca="false">SUMIFS('Раскрой 11,7м'!$O$5:$O$958,'Раскрой 11,7м'!$A$5:$A$958,A988,'Раскрой 11,7м'!$B$5:$B$958,B988,'Раскрой 11,7м'!$C$5:$C$958,C988)</f>
        <v>72</v>
      </c>
      <c r="H988" s="83" t="n">
        <f aca="false">G988*Исходные!$B$15</f>
        <v>842.4</v>
      </c>
      <c r="I988" s="41" t="n">
        <f aca="false">IFERROR(INDEX(Исходные!$B$21:$B$33,MATCH(B988,Исходные!$A$21:$A$33,0)),0)</f>
        <v>1.998</v>
      </c>
      <c r="J988" s="21" t="n">
        <f aca="false">H988*I988</f>
        <v>1683.1152</v>
      </c>
      <c r="K988" s="83" t="n">
        <f aca="false">SUMIFS(Ведомость!$P$5:$P$2053,Ведомость!$W$5:$W$2053,A988,Ведомость!$H$5:$H$2053,B988,Ведомость!$I$5:$I$2053,C988)</f>
        <v>1590.160248</v>
      </c>
      <c r="L988" s="83" t="n">
        <f aca="false">J988-K988</f>
        <v>92.9549519999998</v>
      </c>
      <c r="M988" s="89" t="n">
        <f aca="false">IF(J988&gt;0,L988/J988,0)</f>
        <v>0.0552279202279201</v>
      </c>
    </row>
    <row r="989" customFormat="false" ht="15" hidden="false" customHeight="false" outlineLevel="0" collapsed="false">
      <c r="A989" s="53" t="n">
        <v>2</v>
      </c>
      <c r="B989" s="53" t="n">
        <v>16</v>
      </c>
      <c r="C989" s="76" t="s">
        <v>512</v>
      </c>
      <c r="D989" s="74" t="n">
        <f aca="false">SUMIFS(Ведомость!$N$5:$N$2053,Ведомость!$W$5:$W$2053,A989,Ведомость!$H$5:$H$2053,B989,Ведомость!$I$5:$I$2053,C989)</f>
        <v>778.044</v>
      </c>
      <c r="E989" s="74" t="n">
        <f aca="false">SUMIFS('Раскрой 11,7м'!$Q$5:$Q$958,'Раскрой 11,7м'!$A$5:$A$958,A989,'Раскрой 11,7м'!$B$5:$B$958,B989,'Раскрой 11,7м'!$C$5:$C$958,C989)</f>
        <v>778.044</v>
      </c>
      <c r="F989" s="74" t="n">
        <f aca="false">ROUND(D989-E989,2)</f>
        <v>0</v>
      </c>
      <c r="G989" s="88" t="n">
        <f aca="false">SUMIFS('Раскрой 11,7м'!$O$5:$O$958,'Раскрой 11,7м'!$A$5:$A$958,A989,'Раскрой 11,7м'!$B$5:$B$958,B989,'Раскрой 11,7м'!$C$5:$C$958,C989)</f>
        <v>68</v>
      </c>
      <c r="H989" s="83" t="n">
        <f aca="false">G989*Исходные!$B$15</f>
        <v>795.6</v>
      </c>
      <c r="I989" s="41" t="n">
        <f aca="false">IFERROR(INDEX(Исходные!$B$21:$B$33,MATCH(B989,Исходные!$A$21:$A$33,0)),0)</f>
        <v>1.578</v>
      </c>
      <c r="J989" s="21" t="n">
        <f aca="false">H989*I989</f>
        <v>1255.4568</v>
      </c>
      <c r="K989" s="83" t="n">
        <f aca="false">SUMIFS(Ведомость!$P$5:$P$2053,Ведомость!$W$5:$W$2053,A989,Ведомость!$H$5:$H$2053,B989,Ведомость!$I$5:$I$2053,C989)</f>
        <v>1227.753432</v>
      </c>
      <c r="L989" s="83" t="n">
        <f aca="false">J989-K989</f>
        <v>27.7033679999997</v>
      </c>
      <c r="M989" s="89" t="n">
        <f aca="false">IF(J989&gt;0,L989/J989,0)</f>
        <v>0.0220663650075413</v>
      </c>
    </row>
    <row r="990" customFormat="false" ht="15" hidden="false" customHeight="false" outlineLevel="0" collapsed="false">
      <c r="A990" s="53" t="n">
        <v>2</v>
      </c>
      <c r="B990" s="53" t="n">
        <v>14</v>
      </c>
      <c r="C990" s="76" t="s">
        <v>512</v>
      </c>
      <c r="D990" s="74" t="n">
        <f aca="false">SUMIFS(Ведомость!$N$5:$N$2053,Ведомость!$W$5:$W$2053,A990,Ведомость!$H$5:$H$2053,B990,Ведомость!$I$5:$I$2053,C990)</f>
        <v>611.036</v>
      </c>
      <c r="E990" s="74" t="n">
        <f aca="false">SUMIFS('Раскрой 11,7м'!$Q$5:$Q$958,'Раскрой 11,7м'!$A$5:$A$958,A990,'Раскрой 11,7м'!$B$5:$B$958,B990,'Раскрой 11,7м'!$C$5:$C$958,C990)</f>
        <v>611.036</v>
      </c>
      <c r="F990" s="74" t="n">
        <f aca="false">ROUND(D990-E990,2)</f>
        <v>0</v>
      </c>
      <c r="G990" s="88" t="n">
        <f aca="false">SUMIFS('Раскрой 11,7м'!$O$5:$O$958,'Раскрой 11,7м'!$A$5:$A$958,A990,'Раскрой 11,7м'!$B$5:$B$958,B990,'Раскрой 11,7м'!$C$5:$C$958,C990)</f>
        <v>54</v>
      </c>
      <c r="H990" s="83" t="n">
        <f aca="false">G990*Исходные!$B$15</f>
        <v>631.8</v>
      </c>
      <c r="I990" s="41" t="n">
        <f aca="false">IFERROR(INDEX(Исходные!$B$21:$B$33,MATCH(B990,Исходные!$A$21:$A$33,0)),0)</f>
        <v>1.208</v>
      </c>
      <c r="J990" s="21" t="n">
        <f aca="false">H990*I990</f>
        <v>763.2144</v>
      </c>
      <c r="K990" s="83" t="n">
        <f aca="false">SUMIFS(Ведомость!$P$5:$P$2053,Ведомость!$W$5:$W$2053,A990,Ведомость!$H$5:$H$2053,B990,Ведомость!$I$5:$I$2053,C990)</f>
        <v>738.131488</v>
      </c>
      <c r="L990" s="83" t="n">
        <f aca="false">J990-K990</f>
        <v>25.082912</v>
      </c>
      <c r="M990" s="89" t="n">
        <f aca="false">IF(J990&gt;0,L990/J990,0)</f>
        <v>0.0328648306426084</v>
      </c>
    </row>
    <row r="991" customFormat="false" ht="15" hidden="false" customHeight="false" outlineLevel="0" collapsed="false">
      <c r="A991" s="53" t="n">
        <v>2</v>
      </c>
      <c r="B991" s="53" t="n">
        <v>12</v>
      </c>
      <c r="C991" s="76" t="s">
        <v>512</v>
      </c>
      <c r="D991" s="74" t="n">
        <f aca="false">SUMIFS(Ведомость!$N$5:$N$2053,Ведомость!$W$5:$W$2053,A991,Ведомость!$H$5:$H$2053,B991,Ведомость!$I$5:$I$2053,C991)</f>
        <v>400.568</v>
      </c>
      <c r="E991" s="74" t="n">
        <f aca="false">SUMIFS('Раскрой 11,7м'!$Q$5:$Q$958,'Раскрой 11,7м'!$A$5:$A$958,A991,'Раскрой 11,7м'!$B$5:$B$958,B991,'Раскрой 11,7м'!$C$5:$C$958,C991)</f>
        <v>400.568</v>
      </c>
      <c r="F991" s="74" t="n">
        <f aca="false">ROUND(D991-E991,2)</f>
        <v>0</v>
      </c>
      <c r="G991" s="88" t="n">
        <f aca="false">SUMIFS('Раскрой 11,7м'!$O$5:$O$958,'Раскрой 11,7м'!$A$5:$A$958,A991,'Раскрой 11,7м'!$B$5:$B$958,B991,'Раскрой 11,7м'!$C$5:$C$958,C991)</f>
        <v>36</v>
      </c>
      <c r="H991" s="83" t="n">
        <f aca="false">G991*Исходные!$B$15</f>
        <v>421.2</v>
      </c>
      <c r="I991" s="41" t="n">
        <f aca="false">IFERROR(INDEX(Исходные!$B$21:$B$33,MATCH(B991,Исходные!$A$21:$A$33,0)),0)</f>
        <v>0.888</v>
      </c>
      <c r="J991" s="21" t="n">
        <f aca="false">H991*I991</f>
        <v>374.0256</v>
      </c>
      <c r="K991" s="83" t="n">
        <f aca="false">SUMIFS(Ведомость!$P$5:$P$2053,Ведомость!$W$5:$W$2053,A991,Ведомость!$H$5:$H$2053,B991,Ведомость!$I$5:$I$2053,C991)</f>
        <v>355.704384</v>
      </c>
      <c r="L991" s="83" t="n">
        <f aca="false">J991-K991</f>
        <v>18.321216</v>
      </c>
      <c r="M991" s="89" t="n">
        <f aca="false">IF(J991&gt;0,L991/J991,0)</f>
        <v>0.0489838556505223</v>
      </c>
    </row>
    <row r="992" customFormat="false" ht="15" hidden="false" customHeight="false" outlineLevel="0" collapsed="false">
      <c r="A992" s="53" t="n">
        <v>2</v>
      </c>
      <c r="B992" s="53" t="n">
        <v>10</v>
      </c>
      <c r="C992" s="76" t="s">
        <v>512</v>
      </c>
      <c r="D992" s="74" t="n">
        <f aca="false">SUMIFS(Ведомость!$N$5:$N$2053,Ведомость!$W$5:$W$2053,A992,Ведомость!$H$5:$H$2053,B992,Ведомость!$I$5:$I$2053,C992)</f>
        <v>13092.1</v>
      </c>
      <c r="E992" s="74" t="n">
        <f aca="false">SUMIFS('Раскрой 11,7м'!$Q$5:$Q$958,'Раскрой 11,7м'!$A$5:$A$958,A992,'Раскрой 11,7м'!$B$5:$B$958,B992,'Раскрой 11,7м'!$C$5:$C$958,C992)</f>
        <v>13092.1</v>
      </c>
      <c r="F992" s="74" t="n">
        <f aca="false">ROUND(D992-E992,2)</f>
        <v>0</v>
      </c>
      <c r="G992" s="88" t="n">
        <f aca="false">SUMIFS('Раскрой 11,7м'!$O$5:$O$958,'Раскрой 11,7м'!$A$5:$A$958,A992,'Раскрой 11,7м'!$B$5:$B$958,B992,'Раскрой 11,7м'!$C$5:$C$958,C992)</f>
        <v>1129</v>
      </c>
      <c r="H992" s="83" t="n">
        <f aca="false">G992*Исходные!$B$15</f>
        <v>13209.3</v>
      </c>
      <c r="I992" s="41" t="n">
        <f aca="false">IFERROR(INDEX(Исходные!$B$21:$B$33,MATCH(B992,Исходные!$A$21:$A$33,0)),0)</f>
        <v>0.617</v>
      </c>
      <c r="J992" s="21" t="n">
        <f aca="false">H992*I992</f>
        <v>8150.1381</v>
      </c>
      <c r="K992" s="83" t="n">
        <f aca="false">SUMIFS(Ведомость!$P$5:$P$2053,Ведомость!$W$5:$W$2053,A992,Ведомость!$H$5:$H$2053,B992,Ведомость!$I$5:$I$2053,C992)</f>
        <v>8077.8257</v>
      </c>
      <c r="L992" s="83" t="n">
        <f aca="false">J992-K992</f>
        <v>72.3123999999989</v>
      </c>
      <c r="M992" s="89" t="n">
        <f aca="false">IF(J992&gt;0,L992/J992,0)</f>
        <v>0.0088725367733338</v>
      </c>
    </row>
    <row r="993" customFormat="false" ht="15" hidden="false" customHeight="false" outlineLevel="0" collapsed="false">
      <c r="A993" s="53" t="n">
        <v>2</v>
      </c>
      <c r="B993" s="53" t="n">
        <v>8</v>
      </c>
      <c r="C993" s="76" t="s">
        <v>512</v>
      </c>
      <c r="D993" s="74" t="n">
        <f aca="false">SUMIFS(Ведомость!$N$5:$N$2053,Ведомость!$W$5:$W$2053,A993,Ведомость!$H$5:$H$2053,B993,Ведомость!$I$5:$I$2053,C993)</f>
        <v>0</v>
      </c>
      <c r="E993" s="74" t="n">
        <f aca="false">SUMIFS('Раскрой 11,7м'!$Q$5:$Q$958,'Раскрой 11,7м'!$A$5:$A$958,A993,'Раскрой 11,7м'!$B$5:$B$958,B993,'Раскрой 11,7м'!$C$5:$C$958,C993)</f>
        <v>0</v>
      </c>
      <c r="F993" s="74" t="n">
        <f aca="false">ROUND(D993-E993,2)</f>
        <v>0</v>
      </c>
      <c r="G993" s="88" t="n">
        <f aca="false">SUMIFS('Раскрой 11,7м'!$O$5:$O$958,'Раскрой 11,7м'!$A$5:$A$958,A993,'Раскрой 11,7м'!$B$5:$B$958,B993,'Раскрой 11,7м'!$C$5:$C$958,C993)</f>
        <v>0</v>
      </c>
      <c r="H993" s="83" t="n">
        <f aca="false">G993*Исходные!$B$15</f>
        <v>0</v>
      </c>
      <c r="I993" s="41" t="n">
        <f aca="false">IFERROR(INDEX(Исходные!$B$21:$B$33,MATCH(B993,Исходные!$A$21:$A$33,0)),0)</f>
        <v>0.395</v>
      </c>
      <c r="J993" s="21" t="n">
        <f aca="false">H993*I993</f>
        <v>0</v>
      </c>
      <c r="K993" s="83" t="n">
        <f aca="false">SUMIFS(Ведомость!$P$5:$P$2053,Ведомость!$W$5:$W$2053,A993,Ведомость!$H$5:$H$2053,B993,Ведомость!$I$5:$I$2053,C993)</f>
        <v>0</v>
      </c>
      <c r="L993" s="83" t="n">
        <f aca="false">J993-K993</f>
        <v>0</v>
      </c>
      <c r="M993" s="89" t="n">
        <f aca="false">IF(J993&gt;0,L993/J993,0)</f>
        <v>0</v>
      </c>
    </row>
    <row r="994" customFormat="false" ht="15" hidden="false" customHeight="false" outlineLevel="0" collapsed="false">
      <c r="A994" s="53" t="n">
        <v>2</v>
      </c>
      <c r="B994" s="53" t="n">
        <v>16</v>
      </c>
      <c r="C994" s="76" t="s">
        <v>546</v>
      </c>
      <c r="D994" s="74" t="n">
        <f aca="false">SUMIFS(Ведомость!$N$5:$N$2053,Ведомость!$W$5:$W$2053,A994,Ведомость!$H$5:$H$2053,B994,Ведомость!$I$5:$I$2053,C994)</f>
        <v>0.84</v>
      </c>
      <c r="E994" s="74" t="n">
        <f aca="false">SUMIFS('Раскрой 11,7м'!$Q$5:$Q$958,'Раскрой 11,7м'!$A$5:$A$958,A994,'Раскрой 11,7м'!$B$5:$B$958,B994,'Раскрой 11,7м'!$C$5:$C$958,C994)</f>
        <v>0.84</v>
      </c>
      <c r="F994" s="74" t="n">
        <f aca="false">ROUND(D994-E994,2)</f>
        <v>0</v>
      </c>
      <c r="G994" s="88" t="n">
        <f aca="false">SUMIFS('Раскрой 11,7м'!$O$5:$O$958,'Раскрой 11,7м'!$A$5:$A$958,A994,'Раскрой 11,7м'!$B$5:$B$958,B994,'Раскрой 11,7м'!$C$5:$C$958,C994)</f>
        <v>1</v>
      </c>
      <c r="H994" s="83" t="n">
        <f aca="false">G994*Исходные!$B$15</f>
        <v>11.7</v>
      </c>
      <c r="I994" s="41" t="n">
        <f aca="false">IFERROR(INDEX(Исходные!$B$21:$B$33,MATCH(B994,Исходные!$A$21:$A$33,0)),0)</f>
        <v>1.578</v>
      </c>
      <c r="J994" s="21" t="n">
        <f aca="false">H994*I994</f>
        <v>18.4626</v>
      </c>
      <c r="K994" s="83" t="n">
        <f aca="false">SUMIFS(Ведомость!$P$5:$P$2053,Ведомость!$W$5:$W$2053,A994,Ведомость!$H$5:$H$2053,B994,Ведомость!$I$5:$I$2053,C994)</f>
        <v>1.32552</v>
      </c>
      <c r="L994" s="83" t="n">
        <f aca="false">J994-K994</f>
        <v>17.13708</v>
      </c>
      <c r="M994" s="89" t="n">
        <f aca="false">IF(J994&gt;0,L994/J994,0)</f>
        <v>0.928205128205128</v>
      </c>
    </row>
    <row r="995" customFormat="false" ht="15" hidden="false" customHeight="false" outlineLevel="0" collapsed="false">
      <c r="A995" s="53" t="n">
        <v>2</v>
      </c>
      <c r="B995" s="53" t="n">
        <v>12</v>
      </c>
      <c r="C995" s="76" t="s">
        <v>546</v>
      </c>
      <c r="D995" s="74" t="n">
        <f aca="false">SUMIFS(Ведомость!$N$5:$N$2053,Ведомость!$W$5:$W$2053,A995,Ведомость!$H$5:$H$2053,B995,Ведомость!$I$5:$I$2053,C995)</f>
        <v>0</v>
      </c>
      <c r="E995" s="74" t="n">
        <f aca="false">SUMIFS('Раскрой 11,7м'!$Q$5:$Q$958,'Раскрой 11,7м'!$A$5:$A$958,A995,'Раскрой 11,7м'!$B$5:$B$958,B995,'Раскрой 11,7м'!$C$5:$C$958,C995)</f>
        <v>0</v>
      </c>
      <c r="F995" s="74" t="n">
        <f aca="false">ROUND(D995-E995,2)</f>
        <v>0</v>
      </c>
      <c r="G995" s="88" t="n">
        <f aca="false">SUMIFS('Раскрой 11,7м'!$O$5:$O$958,'Раскрой 11,7м'!$A$5:$A$958,A995,'Раскрой 11,7м'!$B$5:$B$958,B995,'Раскрой 11,7м'!$C$5:$C$958,C995)</f>
        <v>0</v>
      </c>
      <c r="H995" s="83" t="n">
        <f aca="false">G995*Исходные!$B$15</f>
        <v>0</v>
      </c>
      <c r="I995" s="41" t="n">
        <f aca="false">IFERROR(INDEX(Исходные!$B$21:$B$33,MATCH(B995,Исходные!$A$21:$A$33,0)),0)</f>
        <v>0.888</v>
      </c>
      <c r="J995" s="21" t="n">
        <f aca="false">H995*I995</f>
        <v>0</v>
      </c>
      <c r="K995" s="83" t="n">
        <f aca="false">SUMIFS(Ведомость!$P$5:$P$2053,Ведомость!$W$5:$W$2053,A995,Ведомость!$H$5:$H$2053,B995,Ведомость!$I$5:$I$2053,C995)</f>
        <v>0</v>
      </c>
      <c r="L995" s="83" t="n">
        <f aca="false">J995-K995</f>
        <v>0</v>
      </c>
      <c r="M995" s="89" t="n">
        <f aca="false">IF(J995&gt;0,L995/J995,0)</f>
        <v>0</v>
      </c>
    </row>
    <row r="996" customFormat="false" ht="15" hidden="false" customHeight="false" outlineLevel="0" collapsed="false">
      <c r="A996" s="53" t="n">
        <v>2</v>
      </c>
      <c r="B996" s="53" t="n">
        <v>10</v>
      </c>
      <c r="C996" s="76" t="s">
        <v>546</v>
      </c>
      <c r="D996" s="74" t="n">
        <f aca="false">SUMIFS(Ведомость!$N$5:$N$2053,Ведомость!$W$5:$W$2053,A996,Ведомость!$H$5:$H$2053,B996,Ведомость!$I$5:$I$2053,C996)</f>
        <v>2808.3</v>
      </c>
      <c r="E996" s="74" t="n">
        <f aca="false">SUMIFS('Раскрой 11,7м'!$Q$5:$Q$958,'Раскрой 11,7м'!$A$5:$A$958,A996,'Раскрой 11,7м'!$B$5:$B$958,B996,'Раскрой 11,7м'!$C$5:$C$958,C996)</f>
        <v>2808.3</v>
      </c>
      <c r="F996" s="74" t="n">
        <f aca="false">ROUND(D996-E996,2)</f>
        <v>0</v>
      </c>
      <c r="G996" s="88" t="n">
        <f aca="false">SUMIFS('Раскрой 11,7м'!$O$5:$O$958,'Раскрой 11,7м'!$A$5:$A$958,A996,'Раскрой 11,7м'!$B$5:$B$958,B996,'Раскрой 11,7м'!$C$5:$C$958,C996)</f>
        <v>243</v>
      </c>
      <c r="H996" s="83" t="n">
        <f aca="false">G996*Исходные!$B$15</f>
        <v>2843.1</v>
      </c>
      <c r="I996" s="41" t="n">
        <f aca="false">IFERROR(INDEX(Исходные!$B$21:$B$33,MATCH(B996,Исходные!$A$21:$A$33,0)),0)</f>
        <v>0.617</v>
      </c>
      <c r="J996" s="21" t="n">
        <f aca="false">H996*I996</f>
        <v>1754.1927</v>
      </c>
      <c r="K996" s="83" t="n">
        <f aca="false">SUMIFS(Ведомость!$P$5:$P$2053,Ведомость!$W$5:$W$2053,A996,Ведомость!$H$5:$H$2053,B996,Ведомость!$I$5:$I$2053,C996)</f>
        <v>1732.7211</v>
      </c>
      <c r="L996" s="83" t="n">
        <f aca="false">J996-K996</f>
        <v>21.4715999999999</v>
      </c>
      <c r="M996" s="89" t="n">
        <f aca="false">IF(J996&gt;0,L996/J996,0)</f>
        <v>0.0122401603883085</v>
      </c>
    </row>
    <row r="997" customFormat="false" ht="15" hidden="false" customHeight="false" outlineLevel="0" collapsed="false">
      <c r="A997" s="53" t="n">
        <v>2</v>
      </c>
      <c r="B997" s="53" t="n">
        <v>8</v>
      </c>
      <c r="C997" s="76" t="s">
        <v>546</v>
      </c>
      <c r="D997" s="74" t="n">
        <f aca="false">SUMIFS(Ведомость!$N$5:$N$2053,Ведомость!$W$5:$W$2053,A997,Ведомость!$H$5:$H$2053,B997,Ведомость!$I$5:$I$2053,C997)</f>
        <v>7425.11</v>
      </c>
      <c r="E997" s="74" t="n">
        <f aca="false">SUMIFS('Раскрой 11,7м'!$Q$5:$Q$958,'Раскрой 11,7м'!$A$5:$A$958,A997,'Раскрой 11,7м'!$B$5:$B$958,B997,'Раскрой 11,7м'!$C$5:$C$958,C997)</f>
        <v>7425.11</v>
      </c>
      <c r="F997" s="74" t="n">
        <f aca="false">ROUND(D997-E997,2)</f>
        <v>0</v>
      </c>
      <c r="G997" s="88" t="n">
        <f aca="false">SUMIFS('Раскрой 11,7м'!$O$5:$O$958,'Раскрой 11,7м'!$A$5:$A$958,A997,'Раскрой 11,7м'!$B$5:$B$958,B997,'Раскрой 11,7м'!$C$5:$C$958,C997)</f>
        <v>641</v>
      </c>
      <c r="H997" s="83" t="n">
        <f aca="false">G997*Исходные!$B$15</f>
        <v>7499.7</v>
      </c>
      <c r="I997" s="41" t="n">
        <f aca="false">IFERROR(INDEX(Исходные!$B$21:$B$33,MATCH(B997,Исходные!$A$21:$A$33,0)),0)</f>
        <v>0.395</v>
      </c>
      <c r="J997" s="21" t="n">
        <f aca="false">H997*I997</f>
        <v>2962.3815</v>
      </c>
      <c r="K997" s="83" t="n">
        <f aca="false">SUMIFS(Ведомость!$P$5:$P$2053,Ведомость!$W$5:$W$2053,A997,Ведомость!$H$5:$H$2053,B997,Ведомость!$I$5:$I$2053,C997)</f>
        <v>2932.91845</v>
      </c>
      <c r="L997" s="83" t="n">
        <f aca="false">J997-K997</f>
        <v>29.4630499999998</v>
      </c>
      <c r="M997" s="89" t="n">
        <f aca="false">IF(J997&gt;0,L997/J997,0)</f>
        <v>0.00994573116257978</v>
      </c>
    </row>
    <row r="998" customFormat="false" ht="15" hidden="false" customHeight="false" outlineLevel="0" collapsed="false">
      <c r="A998" s="53" t="n">
        <v>2</v>
      </c>
      <c r="B998" s="53" t="n">
        <v>6</v>
      </c>
      <c r="C998" s="76" t="s">
        <v>546</v>
      </c>
      <c r="D998" s="74" t="n">
        <f aca="false">SUMIFS(Ведомость!$N$5:$N$2053,Ведомость!$W$5:$W$2053,A998,Ведомость!$H$5:$H$2053,B998,Ведомость!$I$5:$I$2053,C998)</f>
        <v>29.12</v>
      </c>
      <c r="E998" s="74" t="n">
        <f aca="false">SUMIFS('Раскрой 11,7м'!$Q$5:$Q$958,'Раскрой 11,7м'!$A$5:$A$958,A998,'Раскрой 11,7м'!$B$5:$B$958,B998,'Раскрой 11,7м'!$C$5:$C$958,C998)</f>
        <v>29.12</v>
      </c>
      <c r="F998" s="74" t="n">
        <f aca="false">ROUND(D998-E998,2)</f>
        <v>0</v>
      </c>
      <c r="G998" s="88" t="n">
        <f aca="false">SUMIFS('Раскрой 11,7м'!$O$5:$O$958,'Раскрой 11,7м'!$A$5:$A$958,A998,'Раскрой 11,7м'!$B$5:$B$958,B998,'Раскрой 11,7м'!$C$5:$C$958,C998)</f>
        <v>3</v>
      </c>
      <c r="H998" s="83" t="n">
        <f aca="false">G998*Исходные!$B$15</f>
        <v>35.1</v>
      </c>
      <c r="I998" s="41" t="n">
        <f aca="false">IFERROR(INDEX(Исходные!$B$21:$B$33,MATCH(B998,Исходные!$A$21:$A$33,0)),0)</f>
        <v>0.222</v>
      </c>
      <c r="J998" s="21" t="n">
        <f aca="false">H998*I998</f>
        <v>7.7922</v>
      </c>
      <c r="K998" s="83" t="n">
        <f aca="false">SUMIFS(Ведомость!$P$5:$P$2053,Ведомость!$W$5:$W$2053,A998,Ведомость!$H$5:$H$2053,B998,Ведомость!$I$5:$I$2053,C998)</f>
        <v>6.46464</v>
      </c>
      <c r="L998" s="83" t="n">
        <f aca="false">J998-K998</f>
        <v>1.32756</v>
      </c>
      <c r="M998" s="89" t="n">
        <f aca="false">IF(J998&gt;0,L998/J998,0)</f>
        <v>0.17037037037037</v>
      </c>
    </row>
    <row r="999" customFormat="false" ht="15" hidden="false" customHeight="false" outlineLevel="0" collapsed="false">
      <c r="A999" s="53" t="n">
        <v>2</v>
      </c>
      <c r="B999" s="53" t="n">
        <v>5</v>
      </c>
      <c r="C999" s="76" t="s">
        <v>1119</v>
      </c>
      <c r="D999" s="74" t="n">
        <f aca="false">SUMIFS(Ведомость!$N$5:$N$2053,Ведомость!$W$5:$W$2053,A999,Ведомость!$H$5:$H$2053,B999,Ведомость!$I$5:$I$2053,C999)</f>
        <v>255.2</v>
      </c>
      <c r="E999" s="74" t="n">
        <f aca="false">D999</f>
        <v>255.2</v>
      </c>
      <c r="F999" s="74" t="n">
        <f aca="false">ROUND(D999-E999,2)</f>
        <v>0</v>
      </c>
      <c r="G999" s="88" t="n">
        <v>0</v>
      </c>
      <c r="H999" s="83" t="n">
        <f aca="false">G999*Исходные!$B$15</f>
        <v>0</v>
      </c>
      <c r="I999" s="41" t="n">
        <f aca="false">IFERROR(INDEX(Исходные!$B$21:$B$33,MATCH(B999,Исходные!$A$21:$A$33,0)),0)</f>
        <v>0.154</v>
      </c>
      <c r="J999" s="21" t="n">
        <f aca="false">K999</f>
        <v>39.3008</v>
      </c>
      <c r="K999" s="83" t="n">
        <f aca="false">SUMIFS(Ведомость!$P$5:$P$2053,Ведомость!$W$5:$W$2053,A999,Ведомость!$H$5:$H$2053,B999,Ведомость!$I$5:$I$2053,C999)</f>
        <v>39.3008</v>
      </c>
      <c r="L999" s="83" t="n">
        <f aca="false">J999-K999</f>
        <v>0</v>
      </c>
      <c r="M999" s="89" t="n">
        <f aca="false">IF(J999&gt;0,L999/J999,0)</f>
        <v>0</v>
      </c>
      <c r="N999" s="22" t="s">
        <v>2153</v>
      </c>
    </row>
    <row r="1000" customFormat="false" ht="15" hidden="false" customHeight="false" outlineLevel="0" collapsed="false">
      <c r="C1000" s="4" t="s">
        <v>271</v>
      </c>
      <c r="D1000" s="87" t="n">
        <f aca="false">SUM(D983:D999)</f>
        <v>29531.714</v>
      </c>
      <c r="E1000" s="87" t="n">
        <f aca="false">SUM(E983:E999)</f>
        <v>29531.714</v>
      </c>
      <c r="F1000" s="87" t="n">
        <f aca="false">SUM(F983:F999)</f>
        <v>0</v>
      </c>
      <c r="G1000" s="49" t="n">
        <f aca="false">SUM(G983:G999)</f>
        <v>2548</v>
      </c>
      <c r="H1000" s="87" t="n">
        <f aca="false">SUM(H983:H999)</f>
        <v>29811.6</v>
      </c>
      <c r="J1000" s="87" t="n">
        <f aca="false">SUM(J983:J999)</f>
        <v>31104.5441</v>
      </c>
      <c r="K1000" s="87" t="n">
        <f aca="false">SUM(K983:K999)</f>
        <v>30090.918882</v>
      </c>
      <c r="L1000" s="87" t="n">
        <f aca="false">SUM(L983:L999)</f>
        <v>1013.625218</v>
      </c>
      <c r="M1000" s="90" t="n">
        <f aca="false">IF(J1000&gt;0,L1000/J1000,0)</f>
        <v>0.0325876892694915</v>
      </c>
    </row>
    <row r="1002" customFormat="false" ht="15" hidden="false" customHeight="false" outlineLevel="0" collapsed="false">
      <c r="A1002" s="34" t="s">
        <v>2155</v>
      </c>
    </row>
    <row r="1003" customFormat="false" ht="42" hidden="false" customHeight="true" outlineLevel="0" collapsed="false">
      <c r="A1003" s="5" t="s">
        <v>2133</v>
      </c>
      <c r="B1003" s="5" t="s">
        <v>491</v>
      </c>
      <c r="C1003" s="5" t="s">
        <v>492</v>
      </c>
      <c r="D1003" s="5" t="s">
        <v>2147</v>
      </c>
      <c r="E1003" s="5" t="s">
        <v>2148</v>
      </c>
      <c r="F1003" s="5" t="s">
        <v>2149</v>
      </c>
      <c r="G1003" s="5" t="s">
        <v>15</v>
      </c>
      <c r="H1003" s="5" t="s">
        <v>2150</v>
      </c>
      <c r="I1003" s="5" t="s">
        <v>356</v>
      </c>
      <c r="J1003" s="5" t="s">
        <v>16</v>
      </c>
      <c r="K1003" s="5" t="s">
        <v>2151</v>
      </c>
      <c r="L1003" s="5" t="s">
        <v>2152</v>
      </c>
      <c r="M1003" s="5" t="s">
        <v>17</v>
      </c>
    </row>
    <row r="1004" customFormat="false" ht="15" hidden="false" customHeight="false" outlineLevel="0" collapsed="false">
      <c r="A1004" s="53" t="n">
        <v>3</v>
      </c>
      <c r="B1004" s="53" t="n">
        <v>32</v>
      </c>
      <c r="C1004" s="76" t="s">
        <v>512</v>
      </c>
      <c r="D1004" s="74" t="n">
        <f aca="false">SUMIFS(Ведомость!$N$5:$N$2053,Ведомость!$W$5:$W$2053,A1004,Ведомость!$H$5:$H$2053,B1004,Ведомость!$I$5:$I$2053,C1004)</f>
        <v>260.6</v>
      </c>
      <c r="E1004" s="74" t="n">
        <f aca="false">SUMIFS('Раскрой 11,7м'!$Q$5:$Q$958,'Раскрой 11,7м'!$A$5:$A$958,A1004,'Раскрой 11,7м'!$B$5:$B$958,B1004,'Раскрой 11,7м'!$C$5:$C$958,C1004)</f>
        <v>260.6</v>
      </c>
      <c r="F1004" s="74" t="n">
        <f aca="false">ROUND(D1004-E1004,2)</f>
        <v>0</v>
      </c>
      <c r="G1004" s="88" t="n">
        <f aca="false">SUMIFS('Раскрой 11,7м'!$O$5:$O$958,'Раскрой 11,7м'!$A$5:$A$958,A1004,'Раскрой 11,7м'!$B$5:$B$958,B1004,'Раскрой 11,7м'!$C$5:$C$958,C1004)</f>
        <v>24</v>
      </c>
      <c r="H1004" s="83" t="n">
        <f aca="false">G1004*Исходные!$B$15</f>
        <v>280.8</v>
      </c>
      <c r="I1004" s="41" t="n">
        <f aca="false">IFERROR(INDEX(Исходные!$B$21:$B$33,MATCH(B1004,Исходные!$A$21:$A$33,0)),0)</f>
        <v>6.313</v>
      </c>
      <c r="J1004" s="21" t="n">
        <f aca="false">H1004*I1004</f>
        <v>1772.6904</v>
      </c>
      <c r="K1004" s="83" t="n">
        <f aca="false">SUMIFS(Ведомость!$P$5:$P$2053,Ведомость!$W$5:$W$2053,A1004,Ведомость!$H$5:$H$2053,B1004,Ведомость!$I$5:$I$2053,C1004)</f>
        <v>1645.1678</v>
      </c>
      <c r="L1004" s="83" t="n">
        <f aca="false">J1004-K1004</f>
        <v>127.5226</v>
      </c>
      <c r="M1004" s="89" t="n">
        <f aca="false">IF(J1004&gt;0,L1004/J1004,0)</f>
        <v>0.0719373219373218</v>
      </c>
    </row>
    <row r="1005" customFormat="false" ht="15" hidden="false" customHeight="false" outlineLevel="0" collapsed="false">
      <c r="A1005" s="53" t="n">
        <v>3</v>
      </c>
      <c r="B1005" s="53" t="n">
        <v>28</v>
      </c>
      <c r="C1005" s="76" t="s">
        <v>512</v>
      </c>
      <c r="D1005" s="74" t="n">
        <f aca="false">SUMIFS(Ведомость!$N$5:$N$2053,Ведомость!$W$5:$W$2053,A1005,Ведомость!$H$5:$H$2053,B1005,Ведомость!$I$5:$I$2053,C1005)</f>
        <v>1091</v>
      </c>
      <c r="E1005" s="74" t="n">
        <f aca="false">SUMIFS('Раскрой 11,7м'!$Q$5:$Q$958,'Раскрой 11,7м'!$A$5:$A$958,A1005,'Раскрой 11,7м'!$B$5:$B$958,B1005,'Раскрой 11,7м'!$C$5:$C$958,C1005)</f>
        <v>1091</v>
      </c>
      <c r="F1005" s="74" t="n">
        <f aca="false">ROUND(D1005-E1005,2)</f>
        <v>0</v>
      </c>
      <c r="G1005" s="88" t="n">
        <f aca="false">SUMIFS('Раскрой 11,7м'!$O$5:$O$958,'Раскрой 11,7м'!$A$5:$A$958,A1005,'Раскрой 11,7м'!$B$5:$B$958,B1005,'Раскрой 11,7м'!$C$5:$C$958,C1005)</f>
        <v>96</v>
      </c>
      <c r="H1005" s="83" t="n">
        <f aca="false">G1005*Исходные!$B$15</f>
        <v>1123.2</v>
      </c>
      <c r="I1005" s="41" t="n">
        <f aca="false">IFERROR(INDEX(Исходные!$B$21:$B$33,MATCH(B1005,Исходные!$A$21:$A$33,0)),0)</f>
        <v>4.834</v>
      </c>
      <c r="J1005" s="21" t="n">
        <f aca="false">H1005*I1005</f>
        <v>5429.5488</v>
      </c>
      <c r="K1005" s="83" t="n">
        <f aca="false">SUMIFS(Ведомость!$P$5:$P$2053,Ведомость!$W$5:$W$2053,A1005,Ведомость!$H$5:$H$2053,B1005,Ведомость!$I$5:$I$2053,C1005)</f>
        <v>5273.894</v>
      </c>
      <c r="L1005" s="83" t="n">
        <f aca="false">J1005-K1005</f>
        <v>155.654799999999</v>
      </c>
      <c r="M1005" s="89" t="n">
        <f aca="false">IF(J1005&gt;0,L1005/J1005,0)</f>
        <v>0.0286680911680911</v>
      </c>
    </row>
    <row r="1006" customFormat="false" ht="15" hidden="false" customHeight="false" outlineLevel="0" collapsed="false">
      <c r="A1006" s="53" t="n">
        <v>3</v>
      </c>
      <c r="B1006" s="53" t="n">
        <v>25</v>
      </c>
      <c r="C1006" s="76" t="s">
        <v>512</v>
      </c>
      <c r="D1006" s="74" t="n">
        <f aca="false">SUMIFS(Ведомость!$N$5:$N$2053,Ведомость!$W$5:$W$2053,A1006,Ведомость!$H$5:$H$2053,B1006,Ведомость!$I$5:$I$2053,C1006)</f>
        <v>885.6</v>
      </c>
      <c r="E1006" s="74" t="n">
        <f aca="false">SUMIFS('Раскрой 11,7м'!$Q$5:$Q$958,'Раскрой 11,7м'!$A$5:$A$958,A1006,'Раскрой 11,7м'!$B$5:$B$958,B1006,'Раскрой 11,7м'!$C$5:$C$958,C1006)</f>
        <v>885.6</v>
      </c>
      <c r="F1006" s="74" t="n">
        <f aca="false">ROUND(D1006-E1006,2)</f>
        <v>0</v>
      </c>
      <c r="G1006" s="88" t="n">
        <f aca="false">SUMIFS('Раскрой 11,7м'!$O$5:$O$958,'Раскрой 11,7м'!$A$5:$A$958,A1006,'Раскрой 11,7м'!$B$5:$B$958,B1006,'Раскрой 11,7м'!$C$5:$C$958,C1006)</f>
        <v>78</v>
      </c>
      <c r="H1006" s="83" t="n">
        <f aca="false">G1006*Исходные!$B$15</f>
        <v>912.6</v>
      </c>
      <c r="I1006" s="41" t="n">
        <f aca="false">IFERROR(INDEX(Исходные!$B$21:$B$33,MATCH(B1006,Исходные!$A$21:$A$33,0)),0)</f>
        <v>3.853</v>
      </c>
      <c r="J1006" s="21" t="n">
        <f aca="false">H1006*I1006</f>
        <v>3516.2478</v>
      </c>
      <c r="K1006" s="83" t="n">
        <f aca="false">SUMIFS(Ведомость!$P$5:$P$2053,Ведомость!$W$5:$W$2053,A1006,Ведомость!$H$5:$H$2053,B1006,Ведомость!$I$5:$I$2053,C1006)</f>
        <v>3412.2168</v>
      </c>
      <c r="L1006" s="83" t="n">
        <f aca="false">J1006-K1006</f>
        <v>104.031</v>
      </c>
      <c r="M1006" s="89" t="n">
        <f aca="false">IF(J1006&gt;0,L1006/J1006,0)</f>
        <v>0.0295857988165679</v>
      </c>
    </row>
    <row r="1007" customFormat="false" ht="15" hidden="false" customHeight="false" outlineLevel="0" collapsed="false">
      <c r="A1007" s="53" t="n">
        <v>3</v>
      </c>
      <c r="B1007" s="53" t="n">
        <v>22</v>
      </c>
      <c r="C1007" s="76" t="s">
        <v>512</v>
      </c>
      <c r="D1007" s="74" t="n">
        <f aca="false">SUMIFS(Ведомость!$N$5:$N$2053,Ведомость!$W$5:$W$2053,A1007,Ведомость!$H$5:$H$2053,B1007,Ведомость!$I$5:$I$2053,C1007)</f>
        <v>318.7</v>
      </c>
      <c r="E1007" s="74" t="n">
        <f aca="false">SUMIFS('Раскрой 11,7м'!$Q$5:$Q$958,'Раскрой 11,7м'!$A$5:$A$958,A1007,'Раскрой 11,7м'!$B$5:$B$958,B1007,'Раскрой 11,7м'!$C$5:$C$958,C1007)</f>
        <v>318.7</v>
      </c>
      <c r="F1007" s="74" t="n">
        <f aca="false">ROUND(D1007-E1007,2)</f>
        <v>0</v>
      </c>
      <c r="G1007" s="88" t="n">
        <f aca="false">SUMIFS('Раскрой 11,7м'!$O$5:$O$958,'Раскрой 11,7м'!$A$5:$A$958,A1007,'Раскрой 11,7м'!$B$5:$B$958,B1007,'Раскрой 11,7м'!$C$5:$C$958,C1007)</f>
        <v>29</v>
      </c>
      <c r="H1007" s="83" t="n">
        <f aca="false">G1007*Исходные!$B$15</f>
        <v>339.3</v>
      </c>
      <c r="I1007" s="41" t="n">
        <f aca="false">IFERROR(INDEX(Исходные!$B$21:$B$33,MATCH(B1007,Исходные!$A$21:$A$33,0)),0)</f>
        <v>2.984</v>
      </c>
      <c r="J1007" s="21" t="n">
        <f aca="false">H1007*I1007</f>
        <v>1012.4712</v>
      </c>
      <c r="K1007" s="83" t="n">
        <f aca="false">SUMIFS(Ведомость!$P$5:$P$2053,Ведомость!$W$5:$W$2053,A1007,Ведомость!$H$5:$H$2053,B1007,Ведомость!$I$5:$I$2053,C1007)</f>
        <v>951.0008</v>
      </c>
      <c r="L1007" s="83" t="n">
        <f aca="false">J1007-K1007</f>
        <v>61.4703999999998</v>
      </c>
      <c r="M1007" s="89" t="n">
        <f aca="false">IF(J1007&gt;0,L1007/J1007,0)</f>
        <v>0.0607132331270261</v>
      </c>
    </row>
    <row r="1008" customFormat="false" ht="15" hidden="false" customHeight="false" outlineLevel="0" collapsed="false">
      <c r="A1008" s="53" t="n">
        <v>3</v>
      </c>
      <c r="B1008" s="53" t="n">
        <v>20</v>
      </c>
      <c r="C1008" s="76" t="s">
        <v>512</v>
      </c>
      <c r="D1008" s="74" t="n">
        <f aca="false">SUMIFS(Ведомость!$N$5:$N$2053,Ведомость!$W$5:$W$2053,A1008,Ведомость!$H$5:$H$2053,B1008,Ведомость!$I$5:$I$2053,C1008)</f>
        <v>710.22</v>
      </c>
      <c r="E1008" s="74" t="n">
        <f aca="false">SUMIFS('Раскрой 11,7м'!$Q$5:$Q$958,'Раскрой 11,7м'!$A$5:$A$958,A1008,'Раскрой 11,7м'!$B$5:$B$958,B1008,'Раскрой 11,7м'!$C$5:$C$958,C1008)</f>
        <v>710.22</v>
      </c>
      <c r="F1008" s="74" t="n">
        <f aca="false">ROUND(D1008-E1008,2)</f>
        <v>0</v>
      </c>
      <c r="G1008" s="88" t="n">
        <f aca="false">SUMIFS('Раскрой 11,7м'!$O$5:$O$958,'Раскрой 11,7м'!$A$5:$A$958,A1008,'Раскрой 11,7м'!$B$5:$B$958,B1008,'Раскрой 11,7м'!$C$5:$C$958,C1008)</f>
        <v>66</v>
      </c>
      <c r="H1008" s="83" t="n">
        <f aca="false">G1008*Исходные!$B$15</f>
        <v>772.2</v>
      </c>
      <c r="I1008" s="41" t="n">
        <f aca="false">IFERROR(INDEX(Исходные!$B$21:$B$33,MATCH(B1008,Исходные!$A$21:$A$33,0)),0)</f>
        <v>2.466</v>
      </c>
      <c r="J1008" s="21" t="n">
        <f aca="false">H1008*I1008</f>
        <v>1904.2452</v>
      </c>
      <c r="K1008" s="83" t="n">
        <f aca="false">SUMIFS(Ведомость!$P$5:$P$2053,Ведомость!$W$5:$W$2053,A1008,Ведомость!$H$5:$H$2053,B1008,Ведомость!$I$5:$I$2053,C1008)</f>
        <v>1751.40252</v>
      </c>
      <c r="L1008" s="83" t="n">
        <f aca="false">J1008-K1008</f>
        <v>152.84268</v>
      </c>
      <c r="M1008" s="89" t="n">
        <f aca="false">IF(J1008&gt;0,L1008/J1008,0)</f>
        <v>0.0802641802641803</v>
      </c>
    </row>
    <row r="1009" customFormat="false" ht="15" hidden="false" customHeight="false" outlineLevel="0" collapsed="false">
      <c r="A1009" s="53" t="n">
        <v>3</v>
      </c>
      <c r="B1009" s="53" t="n">
        <v>18</v>
      </c>
      <c r="C1009" s="76" t="s">
        <v>512</v>
      </c>
      <c r="D1009" s="74" t="n">
        <f aca="false">SUMIFS(Ведомость!$N$5:$N$2053,Ведомость!$W$5:$W$2053,A1009,Ведомость!$H$5:$H$2053,B1009,Ведомость!$I$5:$I$2053,C1009)</f>
        <v>753.636</v>
      </c>
      <c r="E1009" s="74" t="n">
        <f aca="false">SUMIFS('Раскрой 11,7м'!$Q$5:$Q$958,'Раскрой 11,7м'!$A$5:$A$958,A1009,'Раскрой 11,7м'!$B$5:$B$958,B1009,'Раскрой 11,7м'!$C$5:$C$958,C1009)</f>
        <v>753.636</v>
      </c>
      <c r="F1009" s="74" t="n">
        <f aca="false">ROUND(D1009-E1009,2)</f>
        <v>0</v>
      </c>
      <c r="G1009" s="88" t="n">
        <f aca="false">SUMIFS('Раскрой 11,7м'!$O$5:$O$958,'Раскрой 11,7м'!$A$5:$A$958,A1009,'Раскрой 11,7м'!$B$5:$B$958,B1009,'Раскрой 11,7м'!$C$5:$C$958,C1009)</f>
        <v>72</v>
      </c>
      <c r="H1009" s="83" t="n">
        <f aca="false">G1009*Исходные!$B$15</f>
        <v>842.4</v>
      </c>
      <c r="I1009" s="41" t="n">
        <f aca="false">IFERROR(INDEX(Исходные!$B$21:$B$33,MATCH(B1009,Исходные!$A$21:$A$33,0)),0)</f>
        <v>1.998</v>
      </c>
      <c r="J1009" s="21" t="n">
        <f aca="false">H1009*I1009</f>
        <v>1683.1152</v>
      </c>
      <c r="K1009" s="83" t="n">
        <f aca="false">SUMIFS(Ведомость!$P$5:$P$2053,Ведомость!$W$5:$W$2053,A1009,Ведомость!$H$5:$H$2053,B1009,Ведомость!$I$5:$I$2053,C1009)</f>
        <v>1505.764728</v>
      </c>
      <c r="L1009" s="83" t="n">
        <f aca="false">J1009-K1009</f>
        <v>177.350472</v>
      </c>
      <c r="M1009" s="89" t="n">
        <f aca="false">IF(J1009&gt;0,L1009/J1009,0)</f>
        <v>0.10537037037037</v>
      </c>
    </row>
    <row r="1010" customFormat="false" ht="15" hidden="false" customHeight="false" outlineLevel="0" collapsed="false">
      <c r="A1010" s="53" t="n">
        <v>3</v>
      </c>
      <c r="B1010" s="53" t="n">
        <v>16</v>
      </c>
      <c r="C1010" s="76" t="s">
        <v>512</v>
      </c>
      <c r="D1010" s="74" t="n">
        <f aca="false">SUMIFS(Ведомость!$N$5:$N$2053,Ведомость!$W$5:$W$2053,A1010,Ведомость!$H$5:$H$2053,B1010,Ведомость!$I$5:$I$2053,C1010)</f>
        <v>571.908</v>
      </c>
      <c r="E1010" s="74" t="n">
        <f aca="false">SUMIFS('Раскрой 11,7м'!$Q$5:$Q$958,'Раскрой 11,7м'!$A$5:$A$958,A1010,'Раскрой 11,7м'!$B$5:$B$958,B1010,'Раскрой 11,7м'!$C$5:$C$958,C1010)</f>
        <v>571.908</v>
      </c>
      <c r="F1010" s="74" t="n">
        <f aca="false">ROUND(D1010-E1010,2)</f>
        <v>0</v>
      </c>
      <c r="G1010" s="88" t="n">
        <f aca="false">SUMIFS('Раскрой 11,7м'!$O$5:$O$958,'Раскрой 11,7м'!$A$5:$A$958,A1010,'Раскрой 11,7м'!$B$5:$B$958,B1010,'Раскрой 11,7м'!$C$5:$C$958,C1010)</f>
        <v>51</v>
      </c>
      <c r="H1010" s="83" t="n">
        <f aca="false">G1010*Исходные!$B$15</f>
        <v>596.7</v>
      </c>
      <c r="I1010" s="41" t="n">
        <f aca="false">IFERROR(INDEX(Исходные!$B$21:$B$33,MATCH(B1010,Исходные!$A$21:$A$33,0)),0)</f>
        <v>1.578</v>
      </c>
      <c r="J1010" s="21" t="n">
        <f aca="false">H1010*I1010</f>
        <v>941.5926</v>
      </c>
      <c r="K1010" s="83" t="n">
        <f aca="false">SUMIFS(Ведомость!$P$5:$P$2053,Ведомость!$W$5:$W$2053,A1010,Ведомость!$H$5:$H$2053,B1010,Ведомость!$I$5:$I$2053,C1010)</f>
        <v>902.470824</v>
      </c>
      <c r="L1010" s="83" t="n">
        <f aca="false">J1010-K1010</f>
        <v>39.1217759999998</v>
      </c>
      <c r="M1010" s="89" t="n">
        <f aca="false">IF(J1010&gt;0,L1010/J1010,0)</f>
        <v>0.0415485168426343</v>
      </c>
    </row>
    <row r="1011" customFormat="false" ht="15" hidden="false" customHeight="false" outlineLevel="0" collapsed="false">
      <c r="A1011" s="53" t="n">
        <v>3</v>
      </c>
      <c r="B1011" s="53" t="n">
        <v>14</v>
      </c>
      <c r="C1011" s="76" t="s">
        <v>512</v>
      </c>
      <c r="D1011" s="74" t="n">
        <f aca="false">SUMIFS(Ведомость!$N$5:$N$2053,Ведомость!$W$5:$W$2053,A1011,Ведомость!$H$5:$H$2053,B1011,Ведомость!$I$5:$I$2053,C1011)</f>
        <v>815.548</v>
      </c>
      <c r="E1011" s="74" t="n">
        <f aca="false">SUMIFS('Раскрой 11,7м'!$Q$5:$Q$958,'Раскрой 11,7м'!$A$5:$A$958,A1011,'Раскрой 11,7м'!$B$5:$B$958,B1011,'Раскрой 11,7м'!$C$5:$C$958,C1011)</f>
        <v>815.548</v>
      </c>
      <c r="F1011" s="74" t="n">
        <f aca="false">ROUND(D1011-E1011,2)</f>
        <v>0</v>
      </c>
      <c r="G1011" s="88" t="n">
        <f aca="false">SUMIFS('Раскрой 11,7м'!$O$5:$O$958,'Раскрой 11,7м'!$A$5:$A$958,A1011,'Раскрой 11,7м'!$B$5:$B$958,B1011,'Раскрой 11,7м'!$C$5:$C$958,C1011)</f>
        <v>72</v>
      </c>
      <c r="H1011" s="83" t="n">
        <f aca="false">G1011*Исходные!$B$15</f>
        <v>842.4</v>
      </c>
      <c r="I1011" s="41" t="n">
        <f aca="false">IFERROR(INDEX(Исходные!$B$21:$B$33,MATCH(B1011,Исходные!$A$21:$A$33,0)),0)</f>
        <v>1.208</v>
      </c>
      <c r="J1011" s="21" t="n">
        <f aca="false">H1011*I1011</f>
        <v>1017.6192</v>
      </c>
      <c r="K1011" s="83" t="n">
        <f aca="false">SUMIFS(Ведомость!$P$5:$P$2053,Ведомость!$W$5:$W$2053,A1011,Ведомость!$H$5:$H$2053,B1011,Ведомость!$I$5:$I$2053,C1011)</f>
        <v>985.181984</v>
      </c>
      <c r="L1011" s="83" t="n">
        <f aca="false">J1011-K1011</f>
        <v>32.437216</v>
      </c>
      <c r="M1011" s="89" t="n">
        <f aca="false">IF(J1011&gt;0,L1011/J1011,0)</f>
        <v>0.0318755935422602</v>
      </c>
    </row>
    <row r="1012" customFormat="false" ht="15" hidden="false" customHeight="false" outlineLevel="0" collapsed="false">
      <c r="A1012" s="53" t="n">
        <v>3</v>
      </c>
      <c r="B1012" s="53" t="n">
        <v>12</v>
      </c>
      <c r="C1012" s="76" t="s">
        <v>512</v>
      </c>
      <c r="D1012" s="74" t="n">
        <f aca="false">SUMIFS(Ведомость!$N$5:$N$2053,Ведомость!$W$5:$W$2053,A1012,Ведомость!$H$5:$H$2053,B1012,Ведомость!$I$5:$I$2053,C1012)</f>
        <v>418.268</v>
      </c>
      <c r="E1012" s="74" t="n">
        <f aca="false">SUMIFS('Раскрой 11,7м'!$Q$5:$Q$958,'Раскрой 11,7м'!$A$5:$A$958,A1012,'Раскрой 11,7м'!$B$5:$B$958,B1012,'Раскрой 11,7м'!$C$5:$C$958,C1012)</f>
        <v>418.268</v>
      </c>
      <c r="F1012" s="74" t="n">
        <f aca="false">ROUND(D1012-E1012,2)</f>
        <v>0</v>
      </c>
      <c r="G1012" s="88" t="n">
        <f aca="false">SUMIFS('Раскрой 11,7м'!$O$5:$O$958,'Раскрой 11,7м'!$A$5:$A$958,A1012,'Раскрой 11,7м'!$B$5:$B$958,B1012,'Раскрой 11,7м'!$C$5:$C$958,C1012)</f>
        <v>38</v>
      </c>
      <c r="H1012" s="83" t="n">
        <f aca="false">G1012*Исходные!$B$15</f>
        <v>444.6</v>
      </c>
      <c r="I1012" s="41" t="n">
        <f aca="false">IFERROR(INDEX(Исходные!$B$21:$B$33,MATCH(B1012,Исходные!$A$21:$A$33,0)),0)</f>
        <v>0.888</v>
      </c>
      <c r="J1012" s="21" t="n">
        <f aca="false">H1012*I1012</f>
        <v>394.8048</v>
      </c>
      <c r="K1012" s="83" t="n">
        <f aca="false">SUMIFS(Ведомость!$P$5:$P$2053,Ведомость!$W$5:$W$2053,A1012,Ведомость!$H$5:$H$2053,B1012,Ведомость!$I$5:$I$2053,C1012)</f>
        <v>371.421984</v>
      </c>
      <c r="L1012" s="83" t="n">
        <f aca="false">J1012-K1012</f>
        <v>23.382816</v>
      </c>
      <c r="M1012" s="89" t="n">
        <f aca="false">IF(J1012&gt;0,L1012/J1012,0)</f>
        <v>0.0592262708052182</v>
      </c>
    </row>
    <row r="1013" customFormat="false" ht="15" hidden="false" customHeight="false" outlineLevel="0" collapsed="false">
      <c r="A1013" s="53" t="n">
        <v>3</v>
      </c>
      <c r="B1013" s="53" t="n">
        <v>10</v>
      </c>
      <c r="C1013" s="76" t="s">
        <v>512</v>
      </c>
      <c r="D1013" s="74" t="n">
        <f aca="false">SUMIFS(Ведомость!$N$5:$N$2053,Ведомость!$W$5:$W$2053,A1013,Ведомость!$H$5:$H$2053,B1013,Ведомость!$I$5:$I$2053,C1013)</f>
        <v>13127.5</v>
      </c>
      <c r="E1013" s="74" t="n">
        <f aca="false">SUMIFS('Раскрой 11,7м'!$Q$5:$Q$958,'Раскрой 11,7м'!$A$5:$A$958,A1013,'Раскрой 11,7м'!$B$5:$B$958,B1013,'Раскрой 11,7м'!$C$5:$C$958,C1013)</f>
        <v>13127.5</v>
      </c>
      <c r="F1013" s="74" t="n">
        <f aca="false">ROUND(D1013-E1013,2)</f>
        <v>0</v>
      </c>
      <c r="G1013" s="88" t="n">
        <f aca="false">SUMIFS('Раскрой 11,7м'!$O$5:$O$958,'Раскрой 11,7м'!$A$5:$A$958,A1013,'Раскрой 11,7м'!$B$5:$B$958,B1013,'Раскрой 11,7м'!$C$5:$C$958,C1013)</f>
        <v>1131</v>
      </c>
      <c r="H1013" s="83" t="n">
        <f aca="false">G1013*Исходные!$B$15</f>
        <v>13232.7</v>
      </c>
      <c r="I1013" s="41" t="n">
        <f aca="false">IFERROR(INDEX(Исходные!$B$21:$B$33,MATCH(B1013,Исходные!$A$21:$A$33,0)),0)</f>
        <v>0.617</v>
      </c>
      <c r="J1013" s="21" t="n">
        <f aca="false">H1013*I1013</f>
        <v>8164.5759</v>
      </c>
      <c r="K1013" s="83" t="n">
        <f aca="false">SUMIFS(Ведомость!$P$5:$P$2053,Ведомость!$W$5:$W$2053,A1013,Ведомость!$H$5:$H$2053,B1013,Ведомость!$I$5:$I$2053,C1013)</f>
        <v>8099.6675</v>
      </c>
      <c r="L1013" s="83" t="n">
        <f aca="false">J1013-K1013</f>
        <v>64.9083999999994</v>
      </c>
      <c r="M1013" s="89" t="n">
        <f aca="false">IF(J1013&gt;0,L1013/J1013,0)</f>
        <v>0.00795000264496278</v>
      </c>
    </row>
    <row r="1014" customFormat="false" ht="15" hidden="false" customHeight="false" outlineLevel="0" collapsed="false">
      <c r="A1014" s="53" t="n">
        <v>3</v>
      </c>
      <c r="B1014" s="53" t="n">
        <v>8</v>
      </c>
      <c r="C1014" s="76" t="s">
        <v>512</v>
      </c>
      <c r="D1014" s="74" t="n">
        <f aca="false">SUMIFS(Ведомость!$N$5:$N$2053,Ведомость!$W$5:$W$2053,A1014,Ведомость!$H$5:$H$2053,B1014,Ведомость!$I$5:$I$2053,C1014)</f>
        <v>0</v>
      </c>
      <c r="E1014" s="74" t="n">
        <f aca="false">SUMIFS('Раскрой 11,7м'!$Q$5:$Q$958,'Раскрой 11,7м'!$A$5:$A$958,A1014,'Раскрой 11,7м'!$B$5:$B$958,B1014,'Раскрой 11,7м'!$C$5:$C$958,C1014)</f>
        <v>0</v>
      </c>
      <c r="F1014" s="74" t="n">
        <f aca="false">ROUND(D1014-E1014,2)</f>
        <v>0</v>
      </c>
      <c r="G1014" s="88" t="n">
        <f aca="false">SUMIFS('Раскрой 11,7м'!$O$5:$O$958,'Раскрой 11,7м'!$A$5:$A$958,A1014,'Раскрой 11,7м'!$B$5:$B$958,B1014,'Раскрой 11,7м'!$C$5:$C$958,C1014)</f>
        <v>0</v>
      </c>
      <c r="H1014" s="83" t="n">
        <f aca="false">G1014*Исходные!$B$15</f>
        <v>0</v>
      </c>
      <c r="I1014" s="41" t="n">
        <f aca="false">IFERROR(INDEX(Исходные!$B$21:$B$33,MATCH(B1014,Исходные!$A$21:$A$33,0)),0)</f>
        <v>0.395</v>
      </c>
      <c r="J1014" s="21" t="n">
        <f aca="false">H1014*I1014</f>
        <v>0</v>
      </c>
      <c r="K1014" s="83" t="n">
        <f aca="false">SUMIFS(Ведомость!$P$5:$P$2053,Ведомость!$W$5:$W$2053,A1014,Ведомость!$H$5:$H$2053,B1014,Ведомость!$I$5:$I$2053,C1014)</f>
        <v>0</v>
      </c>
      <c r="L1014" s="83" t="n">
        <f aca="false">J1014-K1014</f>
        <v>0</v>
      </c>
      <c r="M1014" s="89" t="n">
        <f aca="false">IF(J1014&gt;0,L1014/J1014,0)</f>
        <v>0</v>
      </c>
    </row>
    <row r="1015" customFormat="false" ht="15" hidden="false" customHeight="false" outlineLevel="0" collapsed="false">
      <c r="A1015" s="53" t="n">
        <v>3</v>
      </c>
      <c r="B1015" s="53" t="n">
        <v>16</v>
      </c>
      <c r="C1015" s="76" t="s">
        <v>546</v>
      </c>
      <c r="D1015" s="74" t="n">
        <f aca="false">SUMIFS(Ведомость!$N$5:$N$2053,Ведомость!$W$5:$W$2053,A1015,Ведомость!$H$5:$H$2053,B1015,Ведомость!$I$5:$I$2053,C1015)</f>
        <v>0.84</v>
      </c>
      <c r="E1015" s="74" t="n">
        <f aca="false">SUMIFS('Раскрой 11,7м'!$Q$5:$Q$958,'Раскрой 11,7м'!$A$5:$A$958,A1015,'Раскрой 11,7м'!$B$5:$B$958,B1015,'Раскрой 11,7м'!$C$5:$C$958,C1015)</f>
        <v>0.84</v>
      </c>
      <c r="F1015" s="74" t="n">
        <f aca="false">ROUND(D1015-E1015,2)</f>
        <v>0</v>
      </c>
      <c r="G1015" s="88" t="n">
        <f aca="false">SUMIFS('Раскрой 11,7м'!$O$5:$O$958,'Раскрой 11,7м'!$A$5:$A$958,A1015,'Раскрой 11,7м'!$B$5:$B$958,B1015,'Раскрой 11,7м'!$C$5:$C$958,C1015)</f>
        <v>1</v>
      </c>
      <c r="H1015" s="83" t="n">
        <f aca="false">G1015*Исходные!$B$15</f>
        <v>11.7</v>
      </c>
      <c r="I1015" s="41" t="n">
        <f aca="false">IFERROR(INDEX(Исходные!$B$21:$B$33,MATCH(B1015,Исходные!$A$21:$A$33,0)),0)</f>
        <v>1.578</v>
      </c>
      <c r="J1015" s="21" t="n">
        <f aca="false">H1015*I1015</f>
        <v>18.4626</v>
      </c>
      <c r="K1015" s="83" t="n">
        <f aca="false">SUMIFS(Ведомость!$P$5:$P$2053,Ведомость!$W$5:$W$2053,A1015,Ведомость!$H$5:$H$2053,B1015,Ведомость!$I$5:$I$2053,C1015)</f>
        <v>1.32552</v>
      </c>
      <c r="L1015" s="83" t="n">
        <f aca="false">J1015-K1015</f>
        <v>17.13708</v>
      </c>
      <c r="M1015" s="89" t="n">
        <f aca="false">IF(J1015&gt;0,L1015/J1015,0)</f>
        <v>0.928205128205128</v>
      </c>
    </row>
    <row r="1016" customFormat="false" ht="15" hidden="false" customHeight="false" outlineLevel="0" collapsed="false">
      <c r="A1016" s="53" t="n">
        <v>3</v>
      </c>
      <c r="B1016" s="53" t="n">
        <v>12</v>
      </c>
      <c r="C1016" s="76" t="s">
        <v>546</v>
      </c>
      <c r="D1016" s="74" t="n">
        <f aca="false">SUMIFS(Ведомость!$N$5:$N$2053,Ведомость!$W$5:$W$2053,A1016,Ведомость!$H$5:$H$2053,B1016,Ведомость!$I$5:$I$2053,C1016)</f>
        <v>0</v>
      </c>
      <c r="E1016" s="74" t="n">
        <f aca="false">SUMIFS('Раскрой 11,7м'!$Q$5:$Q$958,'Раскрой 11,7м'!$A$5:$A$958,A1016,'Раскрой 11,7м'!$B$5:$B$958,B1016,'Раскрой 11,7м'!$C$5:$C$958,C1016)</f>
        <v>0</v>
      </c>
      <c r="F1016" s="74" t="n">
        <f aca="false">ROUND(D1016-E1016,2)</f>
        <v>0</v>
      </c>
      <c r="G1016" s="88" t="n">
        <f aca="false">SUMIFS('Раскрой 11,7м'!$O$5:$O$958,'Раскрой 11,7м'!$A$5:$A$958,A1016,'Раскрой 11,7м'!$B$5:$B$958,B1016,'Раскрой 11,7м'!$C$5:$C$958,C1016)</f>
        <v>0</v>
      </c>
      <c r="H1016" s="83" t="n">
        <f aca="false">G1016*Исходные!$B$15</f>
        <v>0</v>
      </c>
      <c r="I1016" s="41" t="n">
        <f aca="false">IFERROR(INDEX(Исходные!$B$21:$B$33,MATCH(B1016,Исходные!$A$21:$A$33,0)),0)</f>
        <v>0.888</v>
      </c>
      <c r="J1016" s="21" t="n">
        <f aca="false">H1016*I1016</f>
        <v>0</v>
      </c>
      <c r="K1016" s="83" t="n">
        <f aca="false">SUMIFS(Ведомость!$P$5:$P$2053,Ведомость!$W$5:$W$2053,A1016,Ведомость!$H$5:$H$2053,B1016,Ведомость!$I$5:$I$2053,C1016)</f>
        <v>0</v>
      </c>
      <c r="L1016" s="83" t="n">
        <f aca="false">J1016-K1016</f>
        <v>0</v>
      </c>
      <c r="M1016" s="89" t="n">
        <f aca="false">IF(J1016&gt;0,L1016/J1016,0)</f>
        <v>0</v>
      </c>
    </row>
    <row r="1017" customFormat="false" ht="15" hidden="false" customHeight="false" outlineLevel="0" collapsed="false">
      <c r="A1017" s="53" t="n">
        <v>3</v>
      </c>
      <c r="B1017" s="53" t="n">
        <v>10</v>
      </c>
      <c r="C1017" s="76" t="s">
        <v>546</v>
      </c>
      <c r="D1017" s="74" t="n">
        <f aca="false">SUMIFS(Ведомость!$N$5:$N$2053,Ведомость!$W$5:$W$2053,A1017,Ведомость!$H$5:$H$2053,B1017,Ведомость!$I$5:$I$2053,C1017)</f>
        <v>2711.94</v>
      </c>
      <c r="E1017" s="74" t="n">
        <f aca="false">SUMIFS('Раскрой 11,7м'!$Q$5:$Q$958,'Раскрой 11,7м'!$A$5:$A$958,A1017,'Раскрой 11,7м'!$B$5:$B$958,B1017,'Раскрой 11,7м'!$C$5:$C$958,C1017)</f>
        <v>2711.94</v>
      </c>
      <c r="F1017" s="74" t="n">
        <f aca="false">ROUND(D1017-E1017,2)</f>
        <v>0</v>
      </c>
      <c r="G1017" s="88" t="n">
        <f aca="false">SUMIFS('Раскрой 11,7м'!$O$5:$O$958,'Раскрой 11,7м'!$A$5:$A$958,A1017,'Раскрой 11,7м'!$B$5:$B$958,B1017,'Раскрой 11,7м'!$C$5:$C$958,C1017)</f>
        <v>235</v>
      </c>
      <c r="H1017" s="83" t="n">
        <f aca="false">G1017*Исходные!$B$15</f>
        <v>2749.5</v>
      </c>
      <c r="I1017" s="41" t="n">
        <f aca="false">IFERROR(INDEX(Исходные!$B$21:$B$33,MATCH(B1017,Исходные!$A$21:$A$33,0)),0)</f>
        <v>0.617</v>
      </c>
      <c r="J1017" s="21" t="n">
        <f aca="false">H1017*I1017</f>
        <v>1696.4415</v>
      </c>
      <c r="K1017" s="83" t="n">
        <f aca="false">SUMIFS(Ведомость!$P$5:$P$2053,Ведомость!$W$5:$W$2053,A1017,Ведомость!$H$5:$H$2053,B1017,Ведомость!$I$5:$I$2053,C1017)</f>
        <v>1673.26698</v>
      </c>
      <c r="L1017" s="83" t="n">
        <f aca="false">J1017-K1017</f>
        <v>23.1745199999998</v>
      </c>
      <c r="M1017" s="89" t="n">
        <f aca="false">IF(J1017&gt;0,L1017/J1017,0)</f>
        <v>0.0136606655755591</v>
      </c>
    </row>
    <row r="1018" customFormat="false" ht="15" hidden="false" customHeight="false" outlineLevel="0" collapsed="false">
      <c r="A1018" s="53" t="n">
        <v>3</v>
      </c>
      <c r="B1018" s="53" t="n">
        <v>8</v>
      </c>
      <c r="C1018" s="76" t="s">
        <v>546</v>
      </c>
      <c r="D1018" s="74" t="n">
        <f aca="false">SUMIFS(Ведомость!$N$5:$N$2053,Ведомость!$W$5:$W$2053,A1018,Ведомость!$H$5:$H$2053,B1018,Ведомость!$I$5:$I$2053,C1018)</f>
        <v>7521.37</v>
      </c>
      <c r="E1018" s="74" t="n">
        <f aca="false">SUMIFS('Раскрой 11,7м'!$Q$5:$Q$958,'Раскрой 11,7м'!$A$5:$A$958,A1018,'Раскрой 11,7м'!$B$5:$B$958,B1018,'Раскрой 11,7м'!$C$5:$C$958,C1018)</f>
        <v>7521.37</v>
      </c>
      <c r="F1018" s="74" t="n">
        <f aca="false">ROUND(D1018-E1018,2)</f>
        <v>0</v>
      </c>
      <c r="G1018" s="88" t="n">
        <f aca="false">SUMIFS('Раскрой 11,7м'!$O$5:$O$958,'Раскрой 11,7м'!$A$5:$A$958,A1018,'Раскрой 11,7м'!$B$5:$B$958,B1018,'Раскрой 11,7м'!$C$5:$C$958,C1018)</f>
        <v>649</v>
      </c>
      <c r="H1018" s="83" t="n">
        <f aca="false">G1018*Исходные!$B$15</f>
        <v>7593.3</v>
      </c>
      <c r="I1018" s="41" t="n">
        <f aca="false">IFERROR(INDEX(Исходные!$B$21:$B$33,MATCH(B1018,Исходные!$A$21:$A$33,0)),0)</f>
        <v>0.395</v>
      </c>
      <c r="J1018" s="21" t="n">
        <f aca="false">H1018*I1018</f>
        <v>2999.3535</v>
      </c>
      <c r="K1018" s="83" t="n">
        <f aca="false">SUMIFS(Ведомость!$P$5:$P$2053,Ведомость!$W$5:$W$2053,A1018,Ведомость!$H$5:$H$2053,B1018,Ведомость!$I$5:$I$2053,C1018)</f>
        <v>2970.94115</v>
      </c>
      <c r="L1018" s="83" t="n">
        <f aca="false">J1018-K1018</f>
        <v>28.4123499999996</v>
      </c>
      <c r="M1018" s="89" t="n">
        <f aca="false">IF(J1018&gt;0,L1018/J1018,0)</f>
        <v>0.00947282472706188</v>
      </c>
    </row>
    <row r="1019" customFormat="false" ht="15" hidden="false" customHeight="false" outlineLevel="0" collapsed="false">
      <c r="A1019" s="53" t="n">
        <v>3</v>
      </c>
      <c r="B1019" s="53" t="n">
        <v>6</v>
      </c>
      <c r="C1019" s="76" t="s">
        <v>546</v>
      </c>
      <c r="D1019" s="74" t="n">
        <f aca="false">SUMIFS(Ведомость!$N$5:$N$2053,Ведомость!$W$5:$W$2053,A1019,Ведомость!$H$5:$H$2053,B1019,Ведомость!$I$5:$I$2053,C1019)</f>
        <v>29.12</v>
      </c>
      <c r="E1019" s="74" t="n">
        <f aca="false">SUMIFS('Раскрой 11,7м'!$Q$5:$Q$958,'Раскрой 11,7м'!$A$5:$A$958,A1019,'Раскрой 11,7м'!$B$5:$B$958,B1019,'Раскрой 11,7м'!$C$5:$C$958,C1019)</f>
        <v>29.12</v>
      </c>
      <c r="F1019" s="74" t="n">
        <f aca="false">ROUND(D1019-E1019,2)</f>
        <v>0</v>
      </c>
      <c r="G1019" s="88" t="n">
        <f aca="false">SUMIFS('Раскрой 11,7м'!$O$5:$O$958,'Раскрой 11,7м'!$A$5:$A$958,A1019,'Раскрой 11,7м'!$B$5:$B$958,B1019,'Раскрой 11,7м'!$C$5:$C$958,C1019)</f>
        <v>3</v>
      </c>
      <c r="H1019" s="83" t="n">
        <f aca="false">G1019*Исходные!$B$15</f>
        <v>35.1</v>
      </c>
      <c r="I1019" s="41" t="n">
        <f aca="false">IFERROR(INDEX(Исходные!$B$21:$B$33,MATCH(B1019,Исходные!$A$21:$A$33,0)),0)</f>
        <v>0.222</v>
      </c>
      <c r="J1019" s="21" t="n">
        <f aca="false">H1019*I1019</f>
        <v>7.7922</v>
      </c>
      <c r="K1019" s="83" t="n">
        <f aca="false">SUMIFS(Ведомость!$P$5:$P$2053,Ведомость!$W$5:$W$2053,A1019,Ведомость!$H$5:$H$2053,B1019,Ведомость!$I$5:$I$2053,C1019)</f>
        <v>6.46464</v>
      </c>
      <c r="L1019" s="83" t="n">
        <f aca="false">J1019-K1019</f>
        <v>1.32756</v>
      </c>
      <c r="M1019" s="89" t="n">
        <f aca="false">IF(J1019&gt;0,L1019/J1019,0)</f>
        <v>0.17037037037037</v>
      </c>
    </row>
    <row r="1020" customFormat="false" ht="15" hidden="false" customHeight="false" outlineLevel="0" collapsed="false">
      <c r="A1020" s="53" t="n">
        <v>3</v>
      </c>
      <c r="B1020" s="53" t="n">
        <v>5</v>
      </c>
      <c r="C1020" s="76" t="s">
        <v>1119</v>
      </c>
      <c r="D1020" s="74" t="n">
        <f aca="false">SUMIFS(Ведомость!$N$5:$N$2053,Ведомость!$W$5:$W$2053,A1020,Ведомость!$H$5:$H$2053,B1020,Ведомость!$I$5:$I$2053,C1020)</f>
        <v>255.2</v>
      </c>
      <c r="E1020" s="74" t="n">
        <f aca="false">D1020</f>
        <v>255.2</v>
      </c>
      <c r="F1020" s="74" t="n">
        <f aca="false">ROUND(D1020-E1020,2)</f>
        <v>0</v>
      </c>
      <c r="G1020" s="88" t="n">
        <v>0</v>
      </c>
      <c r="H1020" s="83" t="n">
        <f aca="false">G1020*Исходные!$B$15</f>
        <v>0</v>
      </c>
      <c r="I1020" s="41" t="n">
        <f aca="false">IFERROR(INDEX(Исходные!$B$21:$B$33,MATCH(B1020,Исходные!$A$21:$A$33,0)),0)</f>
        <v>0.154</v>
      </c>
      <c r="J1020" s="21" t="n">
        <f aca="false">K1020</f>
        <v>39.3008</v>
      </c>
      <c r="K1020" s="83" t="n">
        <f aca="false">SUMIFS(Ведомость!$P$5:$P$2053,Ведомость!$W$5:$W$2053,A1020,Ведомость!$H$5:$H$2053,B1020,Ведомость!$I$5:$I$2053,C1020)</f>
        <v>39.3008</v>
      </c>
      <c r="L1020" s="83" t="n">
        <f aca="false">J1020-K1020</f>
        <v>0</v>
      </c>
      <c r="M1020" s="89" t="n">
        <f aca="false">IF(J1020&gt;0,L1020/J1020,0)</f>
        <v>0</v>
      </c>
      <c r="N1020" s="22" t="s">
        <v>2153</v>
      </c>
    </row>
    <row r="1021" customFormat="false" ht="15" hidden="false" customHeight="false" outlineLevel="0" collapsed="false">
      <c r="C1021" s="4" t="s">
        <v>271</v>
      </c>
      <c r="D1021" s="87" t="n">
        <f aca="false">SUM(D1004:D1020)</f>
        <v>29471.45</v>
      </c>
      <c r="E1021" s="87" t="n">
        <f aca="false">SUM(E1004:E1020)</f>
        <v>29471.45</v>
      </c>
      <c r="F1021" s="87" t="n">
        <f aca="false">SUM(F1004:F1020)</f>
        <v>0</v>
      </c>
      <c r="G1021" s="49" t="n">
        <f aca="false">SUM(G1004:G1020)</f>
        <v>2545</v>
      </c>
      <c r="H1021" s="87" t="n">
        <f aca="false">SUM(H1004:H1020)</f>
        <v>29776.5</v>
      </c>
      <c r="J1021" s="87" t="n">
        <f aca="false">SUM(J1004:J1020)</f>
        <v>30598.2617</v>
      </c>
      <c r="K1021" s="87" t="n">
        <f aca="false">SUM(K1004:K1020)</f>
        <v>29589.48803</v>
      </c>
      <c r="L1021" s="87" t="n">
        <f aca="false">SUM(L1004:L1020)</f>
        <v>1008.77367</v>
      </c>
      <c r="M1021" s="90" t="n">
        <f aca="false">IF(J1021&gt;0,L1021/J1021,0)</f>
        <v>0.0329683326422428</v>
      </c>
    </row>
    <row r="1023" customFormat="false" ht="15" hidden="false" customHeight="false" outlineLevel="0" collapsed="false">
      <c r="A1023" s="34" t="s">
        <v>2156</v>
      </c>
    </row>
    <row r="1024" customFormat="false" ht="42" hidden="false" customHeight="true" outlineLevel="0" collapsed="false">
      <c r="A1024" s="5" t="s">
        <v>2133</v>
      </c>
      <c r="B1024" s="5" t="s">
        <v>491</v>
      </c>
      <c r="C1024" s="5" t="s">
        <v>492</v>
      </c>
      <c r="D1024" s="5" t="s">
        <v>2147</v>
      </c>
      <c r="E1024" s="5" t="s">
        <v>2148</v>
      </c>
      <c r="F1024" s="5" t="s">
        <v>2149</v>
      </c>
      <c r="G1024" s="5" t="s">
        <v>15</v>
      </c>
      <c r="H1024" s="5" t="s">
        <v>2150</v>
      </c>
      <c r="I1024" s="5" t="s">
        <v>356</v>
      </c>
      <c r="J1024" s="5" t="s">
        <v>16</v>
      </c>
      <c r="K1024" s="5" t="s">
        <v>2151</v>
      </c>
      <c r="L1024" s="5" t="s">
        <v>2152</v>
      </c>
      <c r="M1024" s="5" t="s">
        <v>17</v>
      </c>
    </row>
    <row r="1025" customFormat="false" ht="15" hidden="false" customHeight="false" outlineLevel="0" collapsed="false">
      <c r="A1025" s="53" t="n">
        <v>4</v>
      </c>
      <c r="B1025" s="53" t="n">
        <v>32</v>
      </c>
      <c r="C1025" s="76" t="s">
        <v>512</v>
      </c>
      <c r="D1025" s="74" t="n">
        <f aca="false">SUMIFS(Ведомость!$N$5:$N$2053,Ведомость!$W$5:$W$2053,A1025,Ведомость!$H$5:$H$2053,B1025,Ведомость!$I$5:$I$2053,C1025)</f>
        <v>213.6</v>
      </c>
      <c r="E1025" s="74" t="n">
        <f aca="false">SUMIFS('Раскрой 11,7м'!$Q$5:$Q$958,'Раскрой 11,7м'!$A$5:$A$958,A1025,'Раскрой 11,7м'!$B$5:$B$958,B1025,'Раскрой 11,7м'!$C$5:$C$958,C1025)</f>
        <v>213.6</v>
      </c>
      <c r="F1025" s="74" t="n">
        <f aca="false">ROUND(D1025-E1025,2)</f>
        <v>0</v>
      </c>
      <c r="G1025" s="88" t="n">
        <f aca="false">SUMIFS('Раскрой 11,7м'!$O$5:$O$958,'Раскрой 11,7м'!$A$5:$A$958,A1025,'Раскрой 11,7м'!$B$5:$B$958,B1025,'Раскрой 11,7м'!$C$5:$C$958,C1025)</f>
        <v>20</v>
      </c>
      <c r="H1025" s="83" t="n">
        <f aca="false">G1025*Исходные!$B$15</f>
        <v>234</v>
      </c>
      <c r="I1025" s="41" t="n">
        <f aca="false">IFERROR(INDEX(Исходные!$B$21:$B$33,MATCH(B1025,Исходные!$A$21:$A$33,0)),0)</f>
        <v>6.313</v>
      </c>
      <c r="J1025" s="21" t="n">
        <f aca="false">H1025*I1025</f>
        <v>1477.242</v>
      </c>
      <c r="K1025" s="83" t="n">
        <f aca="false">SUMIFS(Ведомость!$P$5:$P$2053,Ведомость!$W$5:$W$2053,A1025,Ведомость!$H$5:$H$2053,B1025,Ведомость!$I$5:$I$2053,C1025)</f>
        <v>1348.4568</v>
      </c>
      <c r="L1025" s="83" t="n">
        <f aca="false">J1025-K1025</f>
        <v>128.7852</v>
      </c>
      <c r="M1025" s="89" t="n">
        <f aca="false">IF(J1025&gt;0,L1025/J1025,0)</f>
        <v>0.0871794871794872</v>
      </c>
    </row>
    <row r="1026" customFormat="false" ht="15" hidden="false" customHeight="false" outlineLevel="0" collapsed="false">
      <c r="A1026" s="53" t="n">
        <v>4</v>
      </c>
      <c r="B1026" s="53" t="n">
        <v>28</v>
      </c>
      <c r="C1026" s="76" t="s">
        <v>512</v>
      </c>
      <c r="D1026" s="74" t="n">
        <f aca="false">SUMIFS(Ведомость!$N$5:$N$2053,Ведомость!$W$5:$W$2053,A1026,Ведомость!$H$5:$H$2053,B1026,Ведомость!$I$5:$I$2053,C1026)</f>
        <v>1110.5</v>
      </c>
      <c r="E1026" s="74" t="n">
        <f aca="false">SUMIFS('Раскрой 11,7м'!$Q$5:$Q$958,'Раскрой 11,7м'!$A$5:$A$958,A1026,'Раскрой 11,7м'!$B$5:$B$958,B1026,'Раскрой 11,7м'!$C$5:$C$958,C1026)</f>
        <v>1110.5</v>
      </c>
      <c r="F1026" s="74" t="n">
        <f aca="false">ROUND(D1026-E1026,2)</f>
        <v>0</v>
      </c>
      <c r="G1026" s="88" t="n">
        <f aca="false">SUMIFS('Раскрой 11,7м'!$O$5:$O$958,'Раскрой 11,7м'!$A$5:$A$958,A1026,'Раскрой 11,7м'!$B$5:$B$958,B1026,'Раскрой 11,7м'!$C$5:$C$958,C1026)</f>
        <v>98</v>
      </c>
      <c r="H1026" s="83" t="n">
        <f aca="false">G1026*Исходные!$B$15</f>
        <v>1146.6</v>
      </c>
      <c r="I1026" s="41" t="n">
        <f aca="false">IFERROR(INDEX(Исходные!$B$21:$B$33,MATCH(B1026,Исходные!$A$21:$A$33,0)),0)</f>
        <v>4.834</v>
      </c>
      <c r="J1026" s="21" t="n">
        <f aca="false">H1026*I1026</f>
        <v>5542.6644</v>
      </c>
      <c r="K1026" s="83" t="n">
        <f aca="false">SUMIFS(Ведомость!$P$5:$P$2053,Ведомость!$W$5:$W$2053,A1026,Ведомость!$H$5:$H$2053,B1026,Ведомость!$I$5:$I$2053,C1026)</f>
        <v>5368.157</v>
      </c>
      <c r="L1026" s="83" t="n">
        <f aca="false">J1026-K1026</f>
        <v>174.507399999999</v>
      </c>
      <c r="M1026" s="89" t="n">
        <f aca="false">IF(J1026&gt;0,L1026/J1026,0)</f>
        <v>0.0314843886272455</v>
      </c>
    </row>
    <row r="1027" customFormat="false" ht="15" hidden="false" customHeight="false" outlineLevel="0" collapsed="false">
      <c r="A1027" s="53" t="n">
        <v>4</v>
      </c>
      <c r="B1027" s="53" t="n">
        <v>25</v>
      </c>
      <c r="C1027" s="76" t="s">
        <v>512</v>
      </c>
      <c r="D1027" s="74" t="n">
        <f aca="false">SUMIFS(Ведомость!$N$5:$N$2053,Ведомость!$W$5:$W$2053,A1027,Ведомость!$H$5:$H$2053,B1027,Ведомость!$I$5:$I$2053,C1027)</f>
        <v>775.9</v>
      </c>
      <c r="E1027" s="74" t="n">
        <f aca="false">SUMIFS('Раскрой 11,7м'!$Q$5:$Q$958,'Раскрой 11,7м'!$A$5:$A$958,A1027,'Раскрой 11,7м'!$B$5:$B$958,B1027,'Раскрой 11,7м'!$C$5:$C$958,C1027)</f>
        <v>775.9</v>
      </c>
      <c r="F1027" s="74" t="n">
        <f aca="false">ROUND(D1027-E1027,2)</f>
        <v>0</v>
      </c>
      <c r="G1027" s="88" t="n">
        <f aca="false">SUMIFS('Раскрой 11,7м'!$O$5:$O$958,'Раскрой 11,7м'!$A$5:$A$958,A1027,'Раскрой 11,7м'!$B$5:$B$958,B1027,'Раскрой 11,7м'!$C$5:$C$958,C1027)</f>
        <v>68</v>
      </c>
      <c r="H1027" s="83" t="n">
        <f aca="false">G1027*Исходные!$B$15</f>
        <v>795.6</v>
      </c>
      <c r="I1027" s="41" t="n">
        <f aca="false">IFERROR(INDEX(Исходные!$B$21:$B$33,MATCH(B1027,Исходные!$A$21:$A$33,0)),0)</f>
        <v>3.853</v>
      </c>
      <c r="J1027" s="21" t="n">
        <f aca="false">H1027*I1027</f>
        <v>3065.4468</v>
      </c>
      <c r="K1027" s="83" t="n">
        <f aca="false">SUMIFS(Ведомость!$P$5:$P$2053,Ведомость!$W$5:$W$2053,A1027,Ведомость!$H$5:$H$2053,B1027,Ведомость!$I$5:$I$2053,C1027)</f>
        <v>2989.5427</v>
      </c>
      <c r="L1027" s="83" t="n">
        <f aca="false">J1027-K1027</f>
        <v>75.9040999999993</v>
      </c>
      <c r="M1027" s="89" t="n">
        <f aca="false">IF(J1027&gt;0,L1027/J1027,0)</f>
        <v>0.0247611865258922</v>
      </c>
    </row>
    <row r="1028" customFormat="false" ht="15" hidden="false" customHeight="false" outlineLevel="0" collapsed="false">
      <c r="A1028" s="53" t="n">
        <v>4</v>
      </c>
      <c r="B1028" s="53" t="n">
        <v>22</v>
      </c>
      <c r="C1028" s="76" t="s">
        <v>512</v>
      </c>
      <c r="D1028" s="74" t="n">
        <f aca="false">SUMIFS(Ведомость!$N$5:$N$2053,Ведомость!$W$5:$W$2053,A1028,Ведомость!$H$5:$H$2053,B1028,Ведомость!$I$5:$I$2053,C1028)</f>
        <v>366</v>
      </c>
      <c r="E1028" s="74" t="n">
        <f aca="false">SUMIFS('Раскрой 11,7м'!$Q$5:$Q$958,'Раскрой 11,7м'!$A$5:$A$958,A1028,'Раскрой 11,7м'!$B$5:$B$958,B1028,'Раскрой 11,7м'!$C$5:$C$958,C1028)</f>
        <v>366</v>
      </c>
      <c r="F1028" s="74" t="n">
        <f aca="false">ROUND(D1028-E1028,2)</f>
        <v>0</v>
      </c>
      <c r="G1028" s="88" t="n">
        <f aca="false">SUMIFS('Раскрой 11,7м'!$O$5:$O$958,'Раскрой 11,7м'!$A$5:$A$958,A1028,'Раскрой 11,7м'!$B$5:$B$958,B1028,'Раскрой 11,7м'!$C$5:$C$958,C1028)</f>
        <v>34</v>
      </c>
      <c r="H1028" s="83" t="n">
        <f aca="false">G1028*Исходные!$B$15</f>
        <v>397.8</v>
      </c>
      <c r="I1028" s="41" t="n">
        <f aca="false">IFERROR(INDEX(Исходные!$B$21:$B$33,MATCH(B1028,Исходные!$A$21:$A$33,0)),0)</f>
        <v>2.984</v>
      </c>
      <c r="J1028" s="21" t="n">
        <f aca="false">H1028*I1028</f>
        <v>1187.0352</v>
      </c>
      <c r="K1028" s="83" t="n">
        <f aca="false">SUMIFS(Ведомость!$P$5:$P$2053,Ведомость!$W$5:$W$2053,A1028,Ведомость!$H$5:$H$2053,B1028,Ведомость!$I$5:$I$2053,C1028)</f>
        <v>1092.144</v>
      </c>
      <c r="L1028" s="83" t="n">
        <f aca="false">J1028-K1028</f>
        <v>94.8911999999998</v>
      </c>
      <c r="M1028" s="89" t="n">
        <f aca="false">IF(J1028&gt;0,L1028/J1028,0)</f>
        <v>0.0799396681749621</v>
      </c>
    </row>
    <row r="1029" customFormat="false" ht="15" hidden="false" customHeight="false" outlineLevel="0" collapsed="false">
      <c r="A1029" s="53" t="n">
        <v>4</v>
      </c>
      <c r="B1029" s="53" t="n">
        <v>20</v>
      </c>
      <c r="C1029" s="76" t="s">
        <v>512</v>
      </c>
      <c r="D1029" s="74" t="n">
        <f aca="false">SUMIFS(Ведомость!$N$5:$N$2053,Ведомость!$W$5:$W$2053,A1029,Ведомость!$H$5:$H$2053,B1029,Ведомость!$I$5:$I$2053,C1029)</f>
        <v>717.12</v>
      </c>
      <c r="E1029" s="74" t="n">
        <f aca="false">SUMIFS('Раскрой 11,7м'!$Q$5:$Q$958,'Раскрой 11,7м'!$A$5:$A$958,A1029,'Раскрой 11,7м'!$B$5:$B$958,B1029,'Раскрой 11,7м'!$C$5:$C$958,C1029)</f>
        <v>717.12</v>
      </c>
      <c r="F1029" s="74" t="n">
        <f aca="false">ROUND(D1029-E1029,2)</f>
        <v>0</v>
      </c>
      <c r="G1029" s="88" t="n">
        <f aca="false">SUMIFS('Раскрой 11,7м'!$O$5:$O$958,'Раскрой 11,7м'!$A$5:$A$958,A1029,'Раскрой 11,7м'!$B$5:$B$958,B1029,'Раскрой 11,7м'!$C$5:$C$958,C1029)</f>
        <v>67</v>
      </c>
      <c r="H1029" s="83" t="n">
        <f aca="false">G1029*Исходные!$B$15</f>
        <v>783.9</v>
      </c>
      <c r="I1029" s="41" t="n">
        <f aca="false">IFERROR(INDEX(Исходные!$B$21:$B$33,MATCH(B1029,Исходные!$A$21:$A$33,0)),0)</f>
        <v>2.466</v>
      </c>
      <c r="J1029" s="21" t="n">
        <f aca="false">H1029*I1029</f>
        <v>1933.0974</v>
      </c>
      <c r="K1029" s="83" t="n">
        <f aca="false">SUMIFS(Ведомость!$P$5:$P$2053,Ведомость!$W$5:$W$2053,A1029,Ведомость!$H$5:$H$2053,B1029,Ведомость!$I$5:$I$2053,C1029)</f>
        <v>1768.41792</v>
      </c>
      <c r="L1029" s="83" t="n">
        <f aca="false">J1029-K1029</f>
        <v>164.67948</v>
      </c>
      <c r="M1029" s="89" t="n">
        <f aca="false">IF(J1029&gt;0,L1029/J1029,0)</f>
        <v>0.0851894374282434</v>
      </c>
    </row>
    <row r="1030" customFormat="false" ht="15" hidden="false" customHeight="false" outlineLevel="0" collapsed="false">
      <c r="A1030" s="53" t="n">
        <v>4</v>
      </c>
      <c r="B1030" s="53" t="n">
        <v>18</v>
      </c>
      <c r="C1030" s="76" t="s">
        <v>512</v>
      </c>
      <c r="D1030" s="74" t="n">
        <f aca="false">SUMIFS(Ведомость!$N$5:$N$2053,Ведомость!$W$5:$W$2053,A1030,Ведомость!$H$5:$H$2053,B1030,Ведомость!$I$5:$I$2053,C1030)</f>
        <v>730.12</v>
      </c>
      <c r="E1030" s="74" t="n">
        <f aca="false">SUMIFS('Раскрой 11,7м'!$Q$5:$Q$958,'Раскрой 11,7м'!$A$5:$A$958,A1030,'Раскрой 11,7м'!$B$5:$B$958,B1030,'Раскрой 11,7м'!$C$5:$C$958,C1030)</f>
        <v>730.12</v>
      </c>
      <c r="F1030" s="74" t="n">
        <f aca="false">ROUND(D1030-E1030,2)</f>
        <v>0</v>
      </c>
      <c r="G1030" s="88" t="n">
        <f aca="false">SUMIFS('Раскрой 11,7м'!$O$5:$O$958,'Раскрой 11,7м'!$A$5:$A$958,A1030,'Раскрой 11,7м'!$B$5:$B$958,B1030,'Раскрой 11,7м'!$C$5:$C$958,C1030)</f>
        <v>74</v>
      </c>
      <c r="H1030" s="83" t="n">
        <f aca="false">G1030*Исходные!$B$15</f>
        <v>865.8</v>
      </c>
      <c r="I1030" s="41" t="n">
        <f aca="false">IFERROR(INDEX(Исходные!$B$21:$B$33,MATCH(B1030,Исходные!$A$21:$A$33,0)),0)</f>
        <v>1.998</v>
      </c>
      <c r="J1030" s="21" t="n">
        <f aca="false">H1030*I1030</f>
        <v>1729.8684</v>
      </c>
      <c r="K1030" s="83" t="n">
        <f aca="false">SUMIFS(Ведомость!$P$5:$P$2053,Ведомость!$W$5:$W$2053,A1030,Ведомость!$H$5:$H$2053,B1030,Ведомость!$I$5:$I$2053,C1030)</f>
        <v>1458.77976</v>
      </c>
      <c r="L1030" s="83" t="n">
        <f aca="false">J1030-K1030</f>
        <v>271.08864</v>
      </c>
      <c r="M1030" s="89" t="n">
        <f aca="false">IF(J1030&gt;0,L1030/J1030,0)</f>
        <v>0.156710556710557</v>
      </c>
    </row>
    <row r="1031" customFormat="false" ht="15" hidden="false" customHeight="false" outlineLevel="0" collapsed="false">
      <c r="A1031" s="53" t="n">
        <v>4</v>
      </c>
      <c r="B1031" s="53" t="n">
        <v>16</v>
      </c>
      <c r="C1031" s="76" t="s">
        <v>512</v>
      </c>
      <c r="D1031" s="74" t="n">
        <f aca="false">SUMIFS(Ведомость!$N$5:$N$2053,Ведомость!$W$5:$W$2053,A1031,Ведомость!$H$5:$H$2053,B1031,Ведомость!$I$5:$I$2053,C1031)</f>
        <v>601.476</v>
      </c>
      <c r="E1031" s="74" t="n">
        <f aca="false">SUMIFS('Раскрой 11,7м'!$Q$5:$Q$958,'Раскрой 11,7м'!$A$5:$A$958,A1031,'Раскрой 11,7м'!$B$5:$B$958,B1031,'Раскрой 11,7м'!$C$5:$C$958,C1031)</f>
        <v>601.476</v>
      </c>
      <c r="F1031" s="74" t="n">
        <f aca="false">ROUND(D1031-E1031,2)</f>
        <v>0</v>
      </c>
      <c r="G1031" s="88" t="n">
        <f aca="false">SUMIFS('Раскрой 11,7м'!$O$5:$O$958,'Раскрой 11,7м'!$A$5:$A$958,A1031,'Раскрой 11,7м'!$B$5:$B$958,B1031,'Раскрой 11,7м'!$C$5:$C$958,C1031)</f>
        <v>53</v>
      </c>
      <c r="H1031" s="83" t="n">
        <f aca="false">G1031*Исходные!$B$15</f>
        <v>620.1</v>
      </c>
      <c r="I1031" s="41" t="n">
        <f aca="false">IFERROR(INDEX(Исходные!$B$21:$B$33,MATCH(B1031,Исходные!$A$21:$A$33,0)),0)</f>
        <v>1.578</v>
      </c>
      <c r="J1031" s="21" t="n">
        <f aca="false">H1031*I1031</f>
        <v>978.5178</v>
      </c>
      <c r="K1031" s="83" t="n">
        <f aca="false">SUMIFS(Ведомость!$P$5:$P$2053,Ведомость!$W$5:$W$2053,A1031,Ведомость!$H$5:$H$2053,B1031,Ведомость!$I$5:$I$2053,C1031)</f>
        <v>949.129128</v>
      </c>
      <c r="L1031" s="83" t="n">
        <f aca="false">J1031-K1031</f>
        <v>29.3886719999998</v>
      </c>
      <c r="M1031" s="89" t="n">
        <f aca="false">IF(J1031&gt;0,L1031/J1031,0)</f>
        <v>0.0300338655055634</v>
      </c>
    </row>
    <row r="1032" customFormat="false" ht="15" hidden="false" customHeight="false" outlineLevel="0" collapsed="false">
      <c r="A1032" s="53" t="n">
        <v>4</v>
      </c>
      <c r="B1032" s="53" t="n">
        <v>14</v>
      </c>
      <c r="C1032" s="76" t="s">
        <v>512</v>
      </c>
      <c r="D1032" s="74" t="n">
        <f aca="false">SUMIFS(Ведомость!$N$5:$N$2053,Ведомость!$W$5:$W$2053,A1032,Ведомость!$H$5:$H$2053,B1032,Ведомость!$I$5:$I$2053,C1032)</f>
        <v>483.244</v>
      </c>
      <c r="E1032" s="74" t="n">
        <f aca="false">SUMIFS('Раскрой 11,7м'!$Q$5:$Q$958,'Раскрой 11,7м'!$A$5:$A$958,A1032,'Раскрой 11,7м'!$B$5:$B$958,B1032,'Раскрой 11,7м'!$C$5:$C$958,C1032)</f>
        <v>483.244</v>
      </c>
      <c r="F1032" s="74" t="n">
        <f aca="false">ROUND(D1032-E1032,2)</f>
        <v>0</v>
      </c>
      <c r="G1032" s="88" t="n">
        <f aca="false">SUMIFS('Раскрой 11,7м'!$O$5:$O$958,'Раскрой 11,7м'!$A$5:$A$958,A1032,'Раскрой 11,7м'!$B$5:$B$958,B1032,'Раскрой 11,7м'!$C$5:$C$958,C1032)</f>
        <v>43</v>
      </c>
      <c r="H1032" s="83" t="n">
        <f aca="false">G1032*Исходные!$B$15</f>
        <v>503.1</v>
      </c>
      <c r="I1032" s="41" t="n">
        <f aca="false">IFERROR(INDEX(Исходные!$B$21:$B$33,MATCH(B1032,Исходные!$A$21:$A$33,0)),0)</f>
        <v>1.208</v>
      </c>
      <c r="J1032" s="21" t="n">
        <f aca="false">H1032*I1032</f>
        <v>607.7448</v>
      </c>
      <c r="K1032" s="83" t="n">
        <f aca="false">SUMIFS(Ведомость!$P$5:$P$2053,Ведомость!$W$5:$W$2053,A1032,Ведомость!$H$5:$H$2053,B1032,Ведомость!$I$5:$I$2053,C1032)</f>
        <v>583.758752</v>
      </c>
      <c r="L1032" s="83" t="n">
        <f aca="false">J1032-K1032</f>
        <v>23.986048</v>
      </c>
      <c r="M1032" s="89" t="n">
        <f aca="false">IF(J1032&gt;0,L1032/J1032,0)</f>
        <v>0.0394673027231167</v>
      </c>
    </row>
    <row r="1033" customFormat="false" ht="15" hidden="false" customHeight="false" outlineLevel="0" collapsed="false">
      <c r="A1033" s="53" t="n">
        <v>4</v>
      </c>
      <c r="B1033" s="53" t="n">
        <v>12</v>
      </c>
      <c r="C1033" s="76" t="s">
        <v>512</v>
      </c>
      <c r="D1033" s="74" t="n">
        <f aca="false">SUMIFS(Ведомость!$N$5:$N$2053,Ведомость!$W$5:$W$2053,A1033,Ведомость!$H$5:$H$2053,B1033,Ведомость!$I$5:$I$2053,C1033)</f>
        <v>500.868</v>
      </c>
      <c r="E1033" s="74" t="n">
        <f aca="false">SUMIFS('Раскрой 11,7м'!$Q$5:$Q$958,'Раскрой 11,7м'!$A$5:$A$958,A1033,'Раскрой 11,7м'!$B$5:$B$958,B1033,'Раскрой 11,7м'!$C$5:$C$958,C1033)</f>
        <v>500.868</v>
      </c>
      <c r="F1033" s="74" t="n">
        <f aca="false">ROUND(D1033-E1033,2)</f>
        <v>0</v>
      </c>
      <c r="G1033" s="88" t="n">
        <f aca="false">SUMIFS('Раскрой 11,7м'!$O$5:$O$958,'Раскрой 11,7м'!$A$5:$A$958,A1033,'Раскрой 11,7м'!$B$5:$B$958,B1033,'Раскрой 11,7м'!$C$5:$C$958,C1033)</f>
        <v>45</v>
      </c>
      <c r="H1033" s="83" t="n">
        <f aca="false">G1033*Исходные!$B$15</f>
        <v>526.5</v>
      </c>
      <c r="I1033" s="41" t="n">
        <f aca="false">IFERROR(INDEX(Исходные!$B$21:$B$33,MATCH(B1033,Исходные!$A$21:$A$33,0)),0)</f>
        <v>0.888</v>
      </c>
      <c r="J1033" s="21" t="n">
        <f aca="false">H1033*I1033</f>
        <v>467.532</v>
      </c>
      <c r="K1033" s="83" t="n">
        <f aca="false">SUMIFS(Ведомость!$P$5:$P$2053,Ведомость!$W$5:$W$2053,A1033,Ведомость!$H$5:$H$2053,B1033,Ведомость!$I$5:$I$2053,C1033)</f>
        <v>444.770784</v>
      </c>
      <c r="L1033" s="83" t="n">
        <f aca="false">J1033-K1033</f>
        <v>22.761216</v>
      </c>
      <c r="M1033" s="89" t="n">
        <f aca="false">IF(J1033&gt;0,L1033/J1033,0)</f>
        <v>0.0486837606837607</v>
      </c>
    </row>
    <row r="1034" customFormat="false" ht="15" hidden="false" customHeight="false" outlineLevel="0" collapsed="false">
      <c r="A1034" s="53" t="n">
        <v>4</v>
      </c>
      <c r="B1034" s="53" t="n">
        <v>10</v>
      </c>
      <c r="C1034" s="76" t="s">
        <v>512</v>
      </c>
      <c r="D1034" s="74" t="n">
        <f aca="false">SUMIFS(Ведомость!$N$5:$N$2053,Ведомость!$W$5:$W$2053,A1034,Ведомость!$H$5:$H$2053,B1034,Ведомость!$I$5:$I$2053,C1034)</f>
        <v>13437.9</v>
      </c>
      <c r="E1034" s="74" t="n">
        <f aca="false">SUMIFS('Раскрой 11,7м'!$Q$5:$Q$958,'Раскрой 11,7м'!$A$5:$A$958,A1034,'Раскрой 11,7м'!$B$5:$B$958,B1034,'Раскрой 11,7м'!$C$5:$C$958,C1034)</f>
        <v>13437.9</v>
      </c>
      <c r="F1034" s="74" t="n">
        <f aca="false">ROUND(D1034-E1034,2)</f>
        <v>0</v>
      </c>
      <c r="G1034" s="88" t="n">
        <f aca="false">SUMIFS('Раскрой 11,7м'!$O$5:$O$958,'Раскрой 11,7м'!$A$5:$A$958,A1034,'Раскрой 11,7м'!$B$5:$B$958,B1034,'Раскрой 11,7м'!$C$5:$C$958,C1034)</f>
        <v>1158</v>
      </c>
      <c r="H1034" s="83" t="n">
        <f aca="false">G1034*Исходные!$B$15</f>
        <v>13548.6</v>
      </c>
      <c r="I1034" s="41" t="n">
        <f aca="false">IFERROR(INDEX(Исходные!$B$21:$B$33,MATCH(B1034,Исходные!$A$21:$A$33,0)),0)</f>
        <v>0.617</v>
      </c>
      <c r="J1034" s="21" t="n">
        <f aca="false">H1034*I1034</f>
        <v>8359.4862</v>
      </c>
      <c r="K1034" s="83" t="n">
        <f aca="false">SUMIFS(Ведомость!$P$5:$P$2053,Ведомость!$W$5:$W$2053,A1034,Ведомость!$H$5:$H$2053,B1034,Ведомость!$I$5:$I$2053,C1034)</f>
        <v>8291.1843</v>
      </c>
      <c r="L1034" s="83" t="n">
        <f aca="false">J1034-K1034</f>
        <v>68.3018999999986</v>
      </c>
      <c r="M1034" s="89" t="n">
        <f aca="false">IF(J1034&gt;0,L1034/J1034,0)</f>
        <v>0.00817058589079297</v>
      </c>
    </row>
    <row r="1035" customFormat="false" ht="15" hidden="false" customHeight="false" outlineLevel="0" collapsed="false">
      <c r="A1035" s="53" t="n">
        <v>4</v>
      </c>
      <c r="B1035" s="53" t="n">
        <v>8</v>
      </c>
      <c r="C1035" s="76" t="s">
        <v>512</v>
      </c>
      <c r="D1035" s="74" t="n">
        <f aca="false">SUMIFS(Ведомость!$N$5:$N$2053,Ведомость!$W$5:$W$2053,A1035,Ведомость!$H$5:$H$2053,B1035,Ведомость!$I$5:$I$2053,C1035)</f>
        <v>0</v>
      </c>
      <c r="E1035" s="74" t="n">
        <f aca="false">SUMIFS('Раскрой 11,7м'!$Q$5:$Q$958,'Раскрой 11,7м'!$A$5:$A$958,A1035,'Раскрой 11,7м'!$B$5:$B$958,B1035,'Раскрой 11,7м'!$C$5:$C$958,C1035)</f>
        <v>0</v>
      </c>
      <c r="F1035" s="74" t="n">
        <f aca="false">ROUND(D1035-E1035,2)</f>
        <v>0</v>
      </c>
      <c r="G1035" s="88" t="n">
        <f aca="false">SUMIFS('Раскрой 11,7м'!$O$5:$O$958,'Раскрой 11,7м'!$A$5:$A$958,A1035,'Раскрой 11,7м'!$B$5:$B$958,B1035,'Раскрой 11,7м'!$C$5:$C$958,C1035)</f>
        <v>0</v>
      </c>
      <c r="H1035" s="83" t="n">
        <f aca="false">G1035*Исходные!$B$15</f>
        <v>0</v>
      </c>
      <c r="I1035" s="41" t="n">
        <f aca="false">IFERROR(INDEX(Исходные!$B$21:$B$33,MATCH(B1035,Исходные!$A$21:$A$33,0)),0)</f>
        <v>0.395</v>
      </c>
      <c r="J1035" s="21" t="n">
        <f aca="false">H1035*I1035</f>
        <v>0</v>
      </c>
      <c r="K1035" s="83" t="n">
        <f aca="false">SUMIFS(Ведомость!$P$5:$P$2053,Ведомость!$W$5:$W$2053,A1035,Ведомость!$H$5:$H$2053,B1035,Ведомость!$I$5:$I$2053,C1035)</f>
        <v>0</v>
      </c>
      <c r="L1035" s="83" t="n">
        <f aca="false">J1035-K1035</f>
        <v>0</v>
      </c>
      <c r="M1035" s="89" t="n">
        <f aca="false">IF(J1035&gt;0,L1035/J1035,0)</f>
        <v>0</v>
      </c>
    </row>
    <row r="1036" customFormat="false" ht="15" hidden="false" customHeight="false" outlineLevel="0" collapsed="false">
      <c r="A1036" s="53" t="n">
        <v>4</v>
      </c>
      <c r="B1036" s="53" t="n">
        <v>16</v>
      </c>
      <c r="C1036" s="76" t="s">
        <v>546</v>
      </c>
      <c r="D1036" s="74" t="n">
        <f aca="false">SUMIFS(Ведомость!$N$5:$N$2053,Ведомость!$W$5:$W$2053,A1036,Ведомость!$H$5:$H$2053,B1036,Ведомость!$I$5:$I$2053,C1036)</f>
        <v>0.84</v>
      </c>
      <c r="E1036" s="74" t="n">
        <f aca="false">SUMIFS('Раскрой 11,7м'!$Q$5:$Q$958,'Раскрой 11,7м'!$A$5:$A$958,A1036,'Раскрой 11,7м'!$B$5:$B$958,B1036,'Раскрой 11,7м'!$C$5:$C$958,C1036)</f>
        <v>0.84</v>
      </c>
      <c r="F1036" s="74" t="n">
        <f aca="false">ROUND(D1036-E1036,2)</f>
        <v>0</v>
      </c>
      <c r="G1036" s="88" t="n">
        <f aca="false">SUMIFS('Раскрой 11,7м'!$O$5:$O$958,'Раскрой 11,7м'!$A$5:$A$958,A1036,'Раскрой 11,7м'!$B$5:$B$958,B1036,'Раскрой 11,7м'!$C$5:$C$958,C1036)</f>
        <v>1</v>
      </c>
      <c r="H1036" s="83" t="n">
        <f aca="false">G1036*Исходные!$B$15</f>
        <v>11.7</v>
      </c>
      <c r="I1036" s="41" t="n">
        <f aca="false">IFERROR(INDEX(Исходные!$B$21:$B$33,MATCH(B1036,Исходные!$A$21:$A$33,0)),0)</f>
        <v>1.578</v>
      </c>
      <c r="J1036" s="21" t="n">
        <f aca="false">H1036*I1036</f>
        <v>18.4626</v>
      </c>
      <c r="K1036" s="83" t="n">
        <f aca="false">SUMIFS(Ведомость!$P$5:$P$2053,Ведомость!$W$5:$W$2053,A1036,Ведомость!$H$5:$H$2053,B1036,Ведомость!$I$5:$I$2053,C1036)</f>
        <v>1.32552</v>
      </c>
      <c r="L1036" s="83" t="n">
        <f aca="false">J1036-K1036</f>
        <v>17.13708</v>
      </c>
      <c r="M1036" s="89" t="n">
        <f aca="false">IF(J1036&gt;0,L1036/J1036,0)</f>
        <v>0.928205128205128</v>
      </c>
    </row>
    <row r="1037" customFormat="false" ht="15" hidden="false" customHeight="false" outlineLevel="0" collapsed="false">
      <c r="A1037" s="53" t="n">
        <v>4</v>
      </c>
      <c r="B1037" s="53" t="n">
        <v>12</v>
      </c>
      <c r="C1037" s="76" t="s">
        <v>546</v>
      </c>
      <c r="D1037" s="74" t="n">
        <f aca="false">SUMIFS(Ведомость!$N$5:$N$2053,Ведомость!$W$5:$W$2053,A1037,Ведомость!$H$5:$H$2053,B1037,Ведомость!$I$5:$I$2053,C1037)</f>
        <v>0</v>
      </c>
      <c r="E1037" s="74" t="n">
        <f aca="false">SUMIFS('Раскрой 11,7м'!$Q$5:$Q$958,'Раскрой 11,7м'!$A$5:$A$958,A1037,'Раскрой 11,7м'!$B$5:$B$958,B1037,'Раскрой 11,7м'!$C$5:$C$958,C1037)</f>
        <v>0</v>
      </c>
      <c r="F1037" s="74" t="n">
        <f aca="false">ROUND(D1037-E1037,2)</f>
        <v>0</v>
      </c>
      <c r="G1037" s="88" t="n">
        <f aca="false">SUMIFS('Раскрой 11,7м'!$O$5:$O$958,'Раскрой 11,7м'!$A$5:$A$958,A1037,'Раскрой 11,7м'!$B$5:$B$958,B1037,'Раскрой 11,7м'!$C$5:$C$958,C1037)</f>
        <v>0</v>
      </c>
      <c r="H1037" s="83" t="n">
        <f aca="false">G1037*Исходные!$B$15</f>
        <v>0</v>
      </c>
      <c r="I1037" s="41" t="n">
        <f aca="false">IFERROR(INDEX(Исходные!$B$21:$B$33,MATCH(B1037,Исходные!$A$21:$A$33,0)),0)</f>
        <v>0.888</v>
      </c>
      <c r="J1037" s="21" t="n">
        <f aca="false">H1037*I1037</f>
        <v>0</v>
      </c>
      <c r="K1037" s="83" t="n">
        <f aca="false">SUMIFS(Ведомость!$P$5:$P$2053,Ведомость!$W$5:$W$2053,A1037,Ведомость!$H$5:$H$2053,B1037,Ведомость!$I$5:$I$2053,C1037)</f>
        <v>0</v>
      </c>
      <c r="L1037" s="83" t="n">
        <f aca="false">J1037-K1037</f>
        <v>0</v>
      </c>
      <c r="M1037" s="89" t="n">
        <f aca="false">IF(J1037&gt;0,L1037/J1037,0)</f>
        <v>0</v>
      </c>
    </row>
    <row r="1038" customFormat="false" ht="15" hidden="false" customHeight="false" outlineLevel="0" collapsed="false">
      <c r="A1038" s="53" t="n">
        <v>4</v>
      </c>
      <c r="B1038" s="53" t="n">
        <v>10</v>
      </c>
      <c r="C1038" s="76" t="s">
        <v>546</v>
      </c>
      <c r="D1038" s="74" t="n">
        <f aca="false">SUMIFS(Ведомость!$N$5:$N$2053,Ведомость!$W$5:$W$2053,A1038,Ведомость!$H$5:$H$2053,B1038,Ведомость!$I$5:$I$2053,C1038)</f>
        <v>2618.36</v>
      </c>
      <c r="E1038" s="74" t="n">
        <f aca="false">SUMIFS('Раскрой 11,7м'!$Q$5:$Q$958,'Раскрой 11,7м'!$A$5:$A$958,A1038,'Раскрой 11,7м'!$B$5:$B$958,B1038,'Раскрой 11,7м'!$C$5:$C$958,C1038)</f>
        <v>2618.36</v>
      </c>
      <c r="F1038" s="74" t="n">
        <f aca="false">ROUND(D1038-E1038,2)</f>
        <v>0</v>
      </c>
      <c r="G1038" s="88" t="n">
        <f aca="false">SUMIFS('Раскрой 11,7м'!$O$5:$O$958,'Раскрой 11,7м'!$A$5:$A$958,A1038,'Раскрой 11,7м'!$B$5:$B$958,B1038,'Раскрой 11,7м'!$C$5:$C$958,C1038)</f>
        <v>227</v>
      </c>
      <c r="H1038" s="83" t="n">
        <f aca="false">G1038*Исходные!$B$15</f>
        <v>2655.9</v>
      </c>
      <c r="I1038" s="41" t="n">
        <f aca="false">IFERROR(INDEX(Исходные!$B$21:$B$33,MATCH(B1038,Исходные!$A$21:$A$33,0)),0)</f>
        <v>0.617</v>
      </c>
      <c r="J1038" s="21" t="n">
        <f aca="false">H1038*I1038</f>
        <v>1638.6903</v>
      </c>
      <c r="K1038" s="83" t="n">
        <f aca="false">SUMIFS(Ведомость!$P$5:$P$2053,Ведомость!$W$5:$W$2053,A1038,Ведомость!$H$5:$H$2053,B1038,Ведомость!$I$5:$I$2053,C1038)</f>
        <v>1615.52812</v>
      </c>
      <c r="L1038" s="83" t="n">
        <f aca="false">J1038-K1038</f>
        <v>23.1621799999998</v>
      </c>
      <c r="M1038" s="89" t="n">
        <f aca="false">IF(J1038&gt;0,L1038/J1038,0)</f>
        <v>0.0141345683195902</v>
      </c>
    </row>
    <row r="1039" customFormat="false" ht="15" hidden="false" customHeight="false" outlineLevel="0" collapsed="false">
      <c r="A1039" s="53" t="n">
        <v>4</v>
      </c>
      <c r="B1039" s="53" t="n">
        <v>8</v>
      </c>
      <c r="C1039" s="76" t="s">
        <v>546</v>
      </c>
      <c r="D1039" s="74" t="n">
        <f aca="false">SUMIFS(Ведомость!$N$5:$N$2053,Ведомость!$W$5:$W$2053,A1039,Ведомость!$H$5:$H$2053,B1039,Ведомость!$I$5:$I$2053,C1039)</f>
        <v>7595.35</v>
      </c>
      <c r="E1039" s="74" t="n">
        <f aca="false">SUMIFS('Раскрой 11,7м'!$Q$5:$Q$958,'Раскрой 11,7м'!$A$5:$A$958,A1039,'Раскрой 11,7м'!$B$5:$B$958,B1039,'Раскрой 11,7м'!$C$5:$C$958,C1039)</f>
        <v>7595.35</v>
      </c>
      <c r="F1039" s="74" t="n">
        <f aca="false">ROUND(D1039-E1039,2)</f>
        <v>0</v>
      </c>
      <c r="G1039" s="88" t="n">
        <f aca="false">SUMIFS('Раскрой 11,7м'!$O$5:$O$958,'Раскрой 11,7м'!$A$5:$A$958,A1039,'Раскрой 11,7м'!$B$5:$B$958,B1039,'Раскрой 11,7м'!$C$5:$C$958,C1039)</f>
        <v>655</v>
      </c>
      <c r="H1039" s="83" t="n">
        <f aca="false">G1039*Исходные!$B$15</f>
        <v>7663.5</v>
      </c>
      <c r="I1039" s="41" t="n">
        <f aca="false">IFERROR(INDEX(Исходные!$B$21:$B$33,MATCH(B1039,Исходные!$A$21:$A$33,0)),0)</f>
        <v>0.395</v>
      </c>
      <c r="J1039" s="21" t="n">
        <f aca="false">H1039*I1039</f>
        <v>3027.0825</v>
      </c>
      <c r="K1039" s="83" t="n">
        <f aca="false">SUMIFS(Ведомость!$P$5:$P$2053,Ведомость!$W$5:$W$2053,A1039,Ведомость!$H$5:$H$2053,B1039,Ведомость!$I$5:$I$2053,C1039)</f>
        <v>3000.16325</v>
      </c>
      <c r="L1039" s="83" t="n">
        <f aca="false">J1039-K1039</f>
        <v>26.9192499999999</v>
      </c>
      <c r="M1039" s="89" t="n">
        <f aca="false">IF(J1039&gt;0,L1039/J1039,0)</f>
        <v>0.00889280354929207</v>
      </c>
    </row>
    <row r="1040" customFormat="false" ht="15" hidden="false" customHeight="false" outlineLevel="0" collapsed="false">
      <c r="A1040" s="53" t="n">
        <v>4</v>
      </c>
      <c r="B1040" s="53" t="n">
        <v>6</v>
      </c>
      <c r="C1040" s="76" t="s">
        <v>546</v>
      </c>
      <c r="D1040" s="74" t="n">
        <f aca="false">SUMIFS(Ведомость!$N$5:$N$2053,Ведомость!$W$5:$W$2053,A1040,Ведомость!$H$5:$H$2053,B1040,Ведомость!$I$5:$I$2053,C1040)</f>
        <v>29.12</v>
      </c>
      <c r="E1040" s="74" t="n">
        <f aca="false">SUMIFS('Раскрой 11,7м'!$Q$5:$Q$958,'Раскрой 11,7м'!$A$5:$A$958,A1040,'Раскрой 11,7м'!$B$5:$B$958,B1040,'Раскрой 11,7м'!$C$5:$C$958,C1040)</f>
        <v>29.12</v>
      </c>
      <c r="F1040" s="74" t="n">
        <f aca="false">ROUND(D1040-E1040,2)</f>
        <v>0</v>
      </c>
      <c r="G1040" s="88" t="n">
        <f aca="false">SUMIFS('Раскрой 11,7м'!$O$5:$O$958,'Раскрой 11,7м'!$A$5:$A$958,A1040,'Раскрой 11,7м'!$B$5:$B$958,B1040,'Раскрой 11,7м'!$C$5:$C$958,C1040)</f>
        <v>3</v>
      </c>
      <c r="H1040" s="83" t="n">
        <f aca="false">G1040*Исходные!$B$15</f>
        <v>35.1</v>
      </c>
      <c r="I1040" s="41" t="n">
        <f aca="false">IFERROR(INDEX(Исходные!$B$21:$B$33,MATCH(B1040,Исходные!$A$21:$A$33,0)),0)</f>
        <v>0.222</v>
      </c>
      <c r="J1040" s="21" t="n">
        <f aca="false">H1040*I1040</f>
        <v>7.7922</v>
      </c>
      <c r="K1040" s="83" t="n">
        <f aca="false">SUMIFS(Ведомость!$P$5:$P$2053,Ведомость!$W$5:$W$2053,A1040,Ведомость!$H$5:$H$2053,B1040,Ведомость!$I$5:$I$2053,C1040)</f>
        <v>6.46464</v>
      </c>
      <c r="L1040" s="83" t="n">
        <f aca="false">J1040-K1040</f>
        <v>1.32756</v>
      </c>
      <c r="M1040" s="89" t="n">
        <f aca="false">IF(J1040&gt;0,L1040/J1040,0)</f>
        <v>0.17037037037037</v>
      </c>
    </row>
    <row r="1041" customFormat="false" ht="15" hidden="false" customHeight="false" outlineLevel="0" collapsed="false">
      <c r="A1041" s="53" t="n">
        <v>4</v>
      </c>
      <c r="B1041" s="53" t="n">
        <v>5</v>
      </c>
      <c r="C1041" s="76" t="s">
        <v>1119</v>
      </c>
      <c r="D1041" s="74" t="n">
        <f aca="false">SUMIFS(Ведомость!$N$5:$N$2053,Ведомость!$W$5:$W$2053,A1041,Ведомость!$H$5:$H$2053,B1041,Ведомость!$I$5:$I$2053,C1041)</f>
        <v>255.2</v>
      </c>
      <c r="E1041" s="74" t="n">
        <f aca="false">D1041</f>
        <v>255.2</v>
      </c>
      <c r="F1041" s="74" t="n">
        <f aca="false">ROUND(D1041-E1041,2)</f>
        <v>0</v>
      </c>
      <c r="G1041" s="88" t="n">
        <v>0</v>
      </c>
      <c r="H1041" s="83" t="n">
        <f aca="false">G1041*Исходные!$B$15</f>
        <v>0</v>
      </c>
      <c r="I1041" s="41" t="n">
        <f aca="false">IFERROR(INDEX(Исходные!$B$21:$B$33,MATCH(B1041,Исходные!$A$21:$A$33,0)),0)</f>
        <v>0.154</v>
      </c>
      <c r="J1041" s="21" t="n">
        <f aca="false">K1041</f>
        <v>39.3008</v>
      </c>
      <c r="K1041" s="83" t="n">
        <f aca="false">SUMIFS(Ведомость!$P$5:$P$2053,Ведомость!$W$5:$W$2053,A1041,Ведомость!$H$5:$H$2053,B1041,Ведомость!$I$5:$I$2053,C1041)</f>
        <v>39.3008</v>
      </c>
      <c r="L1041" s="83" t="n">
        <f aca="false">J1041-K1041</f>
        <v>0</v>
      </c>
      <c r="M1041" s="89" t="n">
        <f aca="false">IF(J1041&gt;0,L1041/J1041,0)</f>
        <v>0</v>
      </c>
      <c r="N1041" s="22" t="s">
        <v>2153</v>
      </c>
    </row>
    <row r="1042" customFormat="false" ht="15" hidden="false" customHeight="false" outlineLevel="0" collapsed="false">
      <c r="C1042" s="4" t="s">
        <v>271</v>
      </c>
      <c r="D1042" s="87" t="n">
        <f aca="false">SUM(D1025:D1041)</f>
        <v>29435.598</v>
      </c>
      <c r="E1042" s="87" t="n">
        <f aca="false">SUM(E1025:E1041)</f>
        <v>29435.598</v>
      </c>
      <c r="F1042" s="87" t="n">
        <f aca="false">SUM(F1025:F1041)</f>
        <v>0</v>
      </c>
      <c r="G1042" s="49" t="n">
        <f aca="false">SUM(G1025:G1041)</f>
        <v>2546</v>
      </c>
      <c r="H1042" s="87" t="n">
        <f aca="false">SUM(H1025:H1041)</f>
        <v>29788.2</v>
      </c>
      <c r="J1042" s="87" t="n">
        <f aca="false">SUM(J1025:J1041)</f>
        <v>30079.9634</v>
      </c>
      <c r="K1042" s="87" t="n">
        <f aca="false">SUM(K1025:K1041)</f>
        <v>28957.123474</v>
      </c>
      <c r="L1042" s="87" t="n">
        <f aca="false">SUM(L1025:L1041)</f>
        <v>1122.839926</v>
      </c>
      <c r="M1042" s="90" t="n">
        <f aca="false">IF(J1042&gt;0,L1042/J1042,0)</f>
        <v>0.0373285004063534</v>
      </c>
    </row>
    <row r="1044" customFormat="false" ht="15" hidden="false" customHeight="false" outlineLevel="0" collapsed="false">
      <c r="A1044" s="34" t="s">
        <v>2157</v>
      </c>
    </row>
    <row r="1045" customFormat="false" ht="42" hidden="false" customHeight="true" outlineLevel="0" collapsed="false">
      <c r="A1045" s="5" t="s">
        <v>2133</v>
      </c>
      <c r="B1045" s="5" t="s">
        <v>491</v>
      </c>
      <c r="C1045" s="5" t="s">
        <v>492</v>
      </c>
      <c r="D1045" s="5" t="s">
        <v>2147</v>
      </c>
      <c r="E1045" s="5" t="s">
        <v>2148</v>
      </c>
      <c r="F1045" s="5" t="s">
        <v>2149</v>
      </c>
      <c r="G1045" s="5" t="s">
        <v>15</v>
      </c>
      <c r="H1045" s="5" t="s">
        <v>2150</v>
      </c>
      <c r="I1045" s="5" t="s">
        <v>356</v>
      </c>
      <c r="J1045" s="5" t="s">
        <v>16</v>
      </c>
      <c r="K1045" s="5" t="s">
        <v>2151</v>
      </c>
      <c r="L1045" s="5" t="s">
        <v>2152</v>
      </c>
      <c r="M1045" s="5" t="s">
        <v>17</v>
      </c>
    </row>
    <row r="1046" customFormat="false" ht="15" hidden="false" customHeight="false" outlineLevel="0" collapsed="false">
      <c r="A1046" s="53" t="n">
        <v>5</v>
      </c>
      <c r="B1046" s="53" t="n">
        <v>32</v>
      </c>
      <c r="C1046" s="76" t="s">
        <v>512</v>
      </c>
      <c r="D1046" s="74" t="n">
        <f aca="false">SUMIFS(Ведомость!$N$5:$N$2053,Ведомость!$W$5:$W$2053,A1046,Ведомость!$H$5:$H$2053,B1046,Ведомость!$I$5:$I$2053,C1046)</f>
        <v>118.8</v>
      </c>
      <c r="E1046" s="74" t="n">
        <f aca="false">SUMIFS('Раскрой 11,7м'!$Q$5:$Q$958,'Раскрой 11,7м'!$A$5:$A$958,A1046,'Раскрой 11,7м'!$B$5:$B$958,B1046,'Раскрой 11,7м'!$C$5:$C$958,C1046)</f>
        <v>118.8</v>
      </c>
      <c r="F1046" s="74" t="n">
        <f aca="false">ROUND(D1046-E1046,2)</f>
        <v>0</v>
      </c>
      <c r="G1046" s="88" t="n">
        <f aca="false">SUMIFS('Раскрой 11,7м'!$O$5:$O$958,'Раскрой 11,7м'!$A$5:$A$958,A1046,'Раскрой 11,7м'!$B$5:$B$958,B1046,'Раскрой 11,7м'!$C$5:$C$958,C1046)</f>
        <v>11</v>
      </c>
      <c r="H1046" s="83" t="n">
        <f aca="false">G1046*Исходные!$B$15</f>
        <v>128.7</v>
      </c>
      <c r="I1046" s="41" t="n">
        <f aca="false">IFERROR(INDEX(Исходные!$B$21:$B$33,MATCH(B1046,Исходные!$A$21:$A$33,0)),0)</f>
        <v>6.313</v>
      </c>
      <c r="J1046" s="21" t="n">
        <f aca="false">H1046*I1046</f>
        <v>812.4831</v>
      </c>
      <c r="K1046" s="83" t="n">
        <f aca="false">SUMIFS(Ведомость!$P$5:$P$2053,Ведомость!$W$5:$W$2053,A1046,Ведомость!$H$5:$H$2053,B1046,Ведомость!$I$5:$I$2053,C1046)</f>
        <v>749.9844</v>
      </c>
      <c r="L1046" s="83" t="n">
        <f aca="false">J1046-K1046</f>
        <v>62.4986999999999</v>
      </c>
      <c r="M1046" s="89" t="n">
        <f aca="false">IF(J1046&gt;0,L1046/J1046,0)</f>
        <v>0.0769230769230768</v>
      </c>
    </row>
    <row r="1047" customFormat="false" ht="15" hidden="false" customHeight="false" outlineLevel="0" collapsed="false">
      <c r="A1047" s="53" t="n">
        <v>5</v>
      </c>
      <c r="B1047" s="53" t="n">
        <v>28</v>
      </c>
      <c r="C1047" s="76" t="s">
        <v>512</v>
      </c>
      <c r="D1047" s="74" t="n">
        <f aca="false">SUMIFS(Ведомость!$N$5:$N$2053,Ведомость!$W$5:$W$2053,A1047,Ведомость!$H$5:$H$2053,B1047,Ведомость!$I$5:$I$2053,C1047)</f>
        <v>930.3</v>
      </c>
      <c r="E1047" s="74" t="n">
        <f aca="false">SUMIFS('Раскрой 11,7м'!$Q$5:$Q$958,'Раскрой 11,7м'!$A$5:$A$958,A1047,'Раскрой 11,7м'!$B$5:$B$958,B1047,'Раскрой 11,7м'!$C$5:$C$958,C1047)</f>
        <v>930.3</v>
      </c>
      <c r="F1047" s="74" t="n">
        <f aca="false">ROUND(D1047-E1047,2)</f>
        <v>0</v>
      </c>
      <c r="G1047" s="88" t="n">
        <f aca="false">SUMIFS('Раскрой 11,7м'!$O$5:$O$958,'Раскрой 11,7м'!$A$5:$A$958,A1047,'Раскрой 11,7м'!$B$5:$B$958,B1047,'Раскрой 11,7м'!$C$5:$C$958,C1047)</f>
        <v>81</v>
      </c>
      <c r="H1047" s="83" t="n">
        <f aca="false">G1047*Исходные!$B$15</f>
        <v>947.7</v>
      </c>
      <c r="I1047" s="41" t="n">
        <f aca="false">IFERROR(INDEX(Исходные!$B$21:$B$33,MATCH(B1047,Исходные!$A$21:$A$33,0)),0)</f>
        <v>4.834</v>
      </c>
      <c r="J1047" s="21" t="n">
        <f aca="false">H1047*I1047</f>
        <v>4581.1818</v>
      </c>
      <c r="K1047" s="83" t="n">
        <f aca="false">SUMIFS(Ведомость!$P$5:$P$2053,Ведомость!$W$5:$W$2053,A1047,Ведомость!$H$5:$H$2053,B1047,Ведомость!$I$5:$I$2053,C1047)</f>
        <v>4497.0702</v>
      </c>
      <c r="L1047" s="83" t="n">
        <f aca="false">J1047-K1047</f>
        <v>84.1115999999993</v>
      </c>
      <c r="M1047" s="89" t="n">
        <f aca="false">IF(J1047&gt;0,L1047/J1047,0)</f>
        <v>0.0183602405824626</v>
      </c>
    </row>
    <row r="1048" customFormat="false" ht="15" hidden="false" customHeight="false" outlineLevel="0" collapsed="false">
      <c r="A1048" s="53" t="n">
        <v>5</v>
      </c>
      <c r="B1048" s="53" t="n">
        <v>25</v>
      </c>
      <c r="C1048" s="76" t="s">
        <v>512</v>
      </c>
      <c r="D1048" s="74" t="n">
        <f aca="false">SUMIFS(Ведомость!$N$5:$N$2053,Ведомость!$W$5:$W$2053,A1048,Ведомость!$H$5:$H$2053,B1048,Ведомость!$I$5:$I$2053,C1048)</f>
        <v>714.4</v>
      </c>
      <c r="E1048" s="74" t="n">
        <f aca="false">SUMIFS('Раскрой 11,7м'!$Q$5:$Q$958,'Раскрой 11,7м'!$A$5:$A$958,A1048,'Раскрой 11,7м'!$B$5:$B$958,B1048,'Раскрой 11,7м'!$C$5:$C$958,C1048)</f>
        <v>714.4</v>
      </c>
      <c r="F1048" s="74" t="n">
        <f aca="false">ROUND(D1048-E1048,2)</f>
        <v>0</v>
      </c>
      <c r="G1048" s="88" t="n">
        <f aca="false">SUMIFS('Раскрой 11,7м'!$O$5:$O$958,'Раскрой 11,7м'!$A$5:$A$958,A1048,'Раскрой 11,7м'!$B$5:$B$958,B1048,'Раскрой 11,7м'!$C$5:$C$958,C1048)</f>
        <v>63</v>
      </c>
      <c r="H1048" s="83" t="n">
        <f aca="false">G1048*Исходные!$B$15</f>
        <v>737.1</v>
      </c>
      <c r="I1048" s="41" t="n">
        <f aca="false">IFERROR(INDEX(Исходные!$B$21:$B$33,MATCH(B1048,Исходные!$A$21:$A$33,0)),0)</f>
        <v>3.853</v>
      </c>
      <c r="J1048" s="21" t="n">
        <f aca="false">H1048*I1048</f>
        <v>2840.0463</v>
      </c>
      <c r="K1048" s="83" t="n">
        <f aca="false">SUMIFS(Ведомость!$P$5:$P$2053,Ведомость!$W$5:$W$2053,A1048,Ведомость!$H$5:$H$2053,B1048,Ведомость!$I$5:$I$2053,C1048)</f>
        <v>2752.5832</v>
      </c>
      <c r="L1048" s="83" t="n">
        <f aca="false">J1048-K1048</f>
        <v>87.4630999999999</v>
      </c>
      <c r="M1048" s="89" t="n">
        <f aca="false">IF(J1048&gt;0,L1048/J1048,0)</f>
        <v>0.0307963641296974</v>
      </c>
    </row>
    <row r="1049" customFormat="false" ht="15" hidden="false" customHeight="false" outlineLevel="0" collapsed="false">
      <c r="A1049" s="53" t="n">
        <v>5</v>
      </c>
      <c r="B1049" s="53" t="n">
        <v>22</v>
      </c>
      <c r="C1049" s="76" t="s">
        <v>512</v>
      </c>
      <c r="D1049" s="74" t="n">
        <f aca="false">SUMIFS(Ведомость!$N$5:$N$2053,Ведомость!$W$5:$W$2053,A1049,Ведомость!$H$5:$H$2053,B1049,Ведомость!$I$5:$I$2053,C1049)</f>
        <v>158.6</v>
      </c>
      <c r="E1049" s="74" t="n">
        <f aca="false">SUMIFS('Раскрой 11,7м'!$Q$5:$Q$958,'Раскрой 11,7м'!$A$5:$A$958,A1049,'Раскрой 11,7м'!$B$5:$B$958,B1049,'Раскрой 11,7м'!$C$5:$C$958,C1049)</f>
        <v>158.6</v>
      </c>
      <c r="F1049" s="74" t="n">
        <f aca="false">ROUND(D1049-E1049,2)</f>
        <v>0</v>
      </c>
      <c r="G1049" s="88" t="n">
        <f aca="false">SUMIFS('Раскрой 11,7м'!$O$5:$O$958,'Раскрой 11,7м'!$A$5:$A$958,A1049,'Раскрой 11,7м'!$B$5:$B$958,B1049,'Раскрой 11,7м'!$C$5:$C$958,C1049)</f>
        <v>15</v>
      </c>
      <c r="H1049" s="83" t="n">
        <f aca="false">G1049*Исходные!$B$15</f>
        <v>175.5</v>
      </c>
      <c r="I1049" s="41" t="n">
        <f aca="false">IFERROR(INDEX(Исходные!$B$21:$B$33,MATCH(B1049,Исходные!$A$21:$A$33,0)),0)</f>
        <v>2.984</v>
      </c>
      <c r="J1049" s="21" t="n">
        <f aca="false">H1049*I1049</f>
        <v>523.692</v>
      </c>
      <c r="K1049" s="83" t="n">
        <f aca="false">SUMIFS(Ведомость!$P$5:$P$2053,Ведомость!$W$5:$W$2053,A1049,Ведомость!$H$5:$H$2053,B1049,Ведомость!$I$5:$I$2053,C1049)</f>
        <v>473.2624</v>
      </c>
      <c r="L1049" s="83" t="n">
        <f aca="false">J1049-K1049</f>
        <v>50.4296000000001</v>
      </c>
      <c r="M1049" s="89" t="n">
        <f aca="false">IF(J1049&gt;0,L1049/J1049,0)</f>
        <v>0.0962962962962964</v>
      </c>
    </row>
    <row r="1050" customFormat="false" ht="15" hidden="false" customHeight="false" outlineLevel="0" collapsed="false">
      <c r="A1050" s="53" t="n">
        <v>5</v>
      </c>
      <c r="B1050" s="53" t="n">
        <v>20</v>
      </c>
      <c r="C1050" s="76" t="s">
        <v>512</v>
      </c>
      <c r="D1050" s="74" t="n">
        <f aca="false">SUMIFS(Ведомость!$N$5:$N$2053,Ведомость!$W$5:$W$2053,A1050,Ведомость!$H$5:$H$2053,B1050,Ведомость!$I$5:$I$2053,C1050)</f>
        <v>580.52</v>
      </c>
      <c r="E1050" s="74" t="n">
        <f aca="false">SUMIFS('Раскрой 11,7м'!$Q$5:$Q$958,'Раскрой 11,7м'!$A$5:$A$958,A1050,'Раскрой 11,7м'!$B$5:$B$958,B1050,'Раскрой 11,7м'!$C$5:$C$958,C1050)</f>
        <v>580.52</v>
      </c>
      <c r="F1050" s="74" t="n">
        <f aca="false">ROUND(D1050-E1050,2)</f>
        <v>0</v>
      </c>
      <c r="G1050" s="88" t="n">
        <f aca="false">SUMIFS('Раскрой 11,7м'!$O$5:$O$958,'Раскрой 11,7м'!$A$5:$A$958,A1050,'Раскрой 11,7м'!$B$5:$B$958,B1050,'Раскрой 11,7м'!$C$5:$C$958,C1050)</f>
        <v>53</v>
      </c>
      <c r="H1050" s="83" t="n">
        <f aca="false">G1050*Исходные!$B$15</f>
        <v>620.1</v>
      </c>
      <c r="I1050" s="41" t="n">
        <f aca="false">IFERROR(INDEX(Исходные!$B$21:$B$33,MATCH(B1050,Исходные!$A$21:$A$33,0)),0)</f>
        <v>2.466</v>
      </c>
      <c r="J1050" s="21" t="n">
        <f aca="false">H1050*I1050</f>
        <v>1529.1666</v>
      </c>
      <c r="K1050" s="83" t="n">
        <f aca="false">SUMIFS(Ведомость!$P$5:$P$2053,Ведомость!$W$5:$W$2053,A1050,Ведомость!$H$5:$H$2053,B1050,Ведомость!$I$5:$I$2053,C1050)</f>
        <v>1431.56232</v>
      </c>
      <c r="L1050" s="83" t="n">
        <f aca="false">J1050-K1050</f>
        <v>97.6042799999996</v>
      </c>
      <c r="M1050" s="89" t="n">
        <f aca="false">IF(J1050&gt;0,L1050/J1050,0)</f>
        <v>0.0638284147718107</v>
      </c>
    </row>
    <row r="1051" customFormat="false" ht="15" hidden="false" customHeight="false" outlineLevel="0" collapsed="false">
      <c r="A1051" s="53" t="n">
        <v>5</v>
      </c>
      <c r="B1051" s="53" t="n">
        <v>18</v>
      </c>
      <c r="C1051" s="76" t="s">
        <v>512</v>
      </c>
      <c r="D1051" s="74" t="n">
        <f aca="false">SUMIFS(Ведомость!$N$5:$N$2053,Ведомость!$W$5:$W$2053,A1051,Ведомость!$H$5:$H$2053,B1051,Ведомость!$I$5:$I$2053,C1051)</f>
        <v>678.42</v>
      </c>
      <c r="E1051" s="74" t="n">
        <f aca="false">SUMIFS('Раскрой 11,7м'!$Q$5:$Q$958,'Раскрой 11,7м'!$A$5:$A$958,A1051,'Раскрой 11,7м'!$B$5:$B$958,B1051,'Раскрой 11,7м'!$C$5:$C$958,C1051)</f>
        <v>678.42</v>
      </c>
      <c r="F1051" s="74" t="n">
        <f aca="false">ROUND(D1051-E1051,2)</f>
        <v>0</v>
      </c>
      <c r="G1051" s="88" t="n">
        <f aca="false">SUMIFS('Раскрой 11,7м'!$O$5:$O$958,'Раскрой 11,7м'!$A$5:$A$958,A1051,'Раскрой 11,7м'!$B$5:$B$958,B1051,'Раскрой 11,7м'!$C$5:$C$958,C1051)</f>
        <v>72</v>
      </c>
      <c r="H1051" s="83" t="n">
        <f aca="false">G1051*Исходные!$B$15</f>
        <v>842.4</v>
      </c>
      <c r="I1051" s="41" t="n">
        <f aca="false">IFERROR(INDEX(Исходные!$B$21:$B$33,MATCH(B1051,Исходные!$A$21:$A$33,0)),0)</f>
        <v>1.998</v>
      </c>
      <c r="J1051" s="21" t="n">
        <f aca="false">H1051*I1051</f>
        <v>1683.1152</v>
      </c>
      <c r="K1051" s="83" t="n">
        <f aca="false">SUMIFS(Ведомость!$P$5:$P$2053,Ведомость!$W$5:$W$2053,A1051,Ведомость!$H$5:$H$2053,B1051,Ведомость!$I$5:$I$2053,C1051)</f>
        <v>1355.48316</v>
      </c>
      <c r="L1051" s="83" t="n">
        <f aca="false">J1051-K1051</f>
        <v>327.63204</v>
      </c>
      <c r="M1051" s="89" t="n">
        <f aca="false">IF(J1051&gt;0,L1051/J1051,0)</f>
        <v>0.19465811965812</v>
      </c>
    </row>
    <row r="1052" customFormat="false" ht="15" hidden="false" customHeight="false" outlineLevel="0" collapsed="false">
      <c r="A1052" s="53" t="n">
        <v>5</v>
      </c>
      <c r="B1052" s="53" t="n">
        <v>16</v>
      </c>
      <c r="C1052" s="76" t="s">
        <v>512</v>
      </c>
      <c r="D1052" s="74" t="n">
        <f aca="false">SUMIFS(Ведомость!$N$5:$N$2053,Ведомость!$W$5:$W$2053,A1052,Ведомость!$H$5:$H$2053,B1052,Ведомость!$I$5:$I$2053,C1052)</f>
        <v>574.476</v>
      </c>
      <c r="E1052" s="74" t="n">
        <f aca="false">SUMIFS('Раскрой 11,7м'!$Q$5:$Q$958,'Раскрой 11,7м'!$A$5:$A$958,A1052,'Раскрой 11,7м'!$B$5:$B$958,B1052,'Раскрой 11,7м'!$C$5:$C$958,C1052)</f>
        <v>574.476</v>
      </c>
      <c r="F1052" s="74" t="n">
        <f aca="false">ROUND(D1052-E1052,2)</f>
        <v>0</v>
      </c>
      <c r="G1052" s="88" t="n">
        <f aca="false">SUMIFS('Раскрой 11,7м'!$O$5:$O$958,'Раскрой 11,7м'!$A$5:$A$958,A1052,'Раскрой 11,7м'!$B$5:$B$958,B1052,'Раскрой 11,7м'!$C$5:$C$958,C1052)</f>
        <v>50</v>
      </c>
      <c r="H1052" s="83" t="n">
        <f aca="false">G1052*Исходные!$B$15</f>
        <v>585</v>
      </c>
      <c r="I1052" s="41" t="n">
        <f aca="false">IFERROR(INDEX(Исходные!$B$21:$B$33,MATCH(B1052,Исходные!$A$21:$A$33,0)),0)</f>
        <v>1.578</v>
      </c>
      <c r="J1052" s="21" t="n">
        <f aca="false">H1052*I1052</f>
        <v>923.13</v>
      </c>
      <c r="K1052" s="83" t="n">
        <f aca="false">SUMIFS(Ведомость!$P$5:$P$2053,Ведомость!$W$5:$W$2053,A1052,Ведомость!$H$5:$H$2053,B1052,Ведомость!$I$5:$I$2053,C1052)</f>
        <v>906.523128</v>
      </c>
      <c r="L1052" s="83" t="n">
        <f aca="false">J1052-K1052</f>
        <v>16.606872</v>
      </c>
      <c r="M1052" s="89" t="n">
        <f aca="false">IF(J1052&gt;0,L1052/J1052,0)</f>
        <v>0.0179897435897435</v>
      </c>
    </row>
    <row r="1053" customFormat="false" ht="15" hidden="false" customHeight="false" outlineLevel="0" collapsed="false">
      <c r="A1053" s="53" t="n">
        <v>5</v>
      </c>
      <c r="B1053" s="53" t="n">
        <v>14</v>
      </c>
      <c r="C1053" s="76" t="s">
        <v>512</v>
      </c>
      <c r="D1053" s="74" t="n">
        <f aca="false">SUMIFS(Ведомость!$N$5:$N$2053,Ведомость!$W$5:$W$2053,A1053,Ведомость!$H$5:$H$2053,B1053,Ведомость!$I$5:$I$2053,C1053)</f>
        <v>397.964</v>
      </c>
      <c r="E1053" s="74" t="n">
        <f aca="false">SUMIFS('Раскрой 11,7м'!$Q$5:$Q$958,'Раскрой 11,7м'!$A$5:$A$958,A1053,'Раскрой 11,7м'!$B$5:$B$958,B1053,'Раскрой 11,7м'!$C$5:$C$958,C1053)</f>
        <v>397.964</v>
      </c>
      <c r="F1053" s="74" t="n">
        <f aca="false">ROUND(D1053-E1053,2)</f>
        <v>0</v>
      </c>
      <c r="G1053" s="88" t="n">
        <f aca="false">SUMIFS('Раскрой 11,7м'!$O$5:$O$958,'Раскрой 11,7м'!$A$5:$A$958,A1053,'Раскрой 11,7м'!$B$5:$B$958,B1053,'Раскрой 11,7м'!$C$5:$C$958,C1053)</f>
        <v>36</v>
      </c>
      <c r="H1053" s="83" t="n">
        <f aca="false">G1053*Исходные!$B$15</f>
        <v>421.2</v>
      </c>
      <c r="I1053" s="41" t="n">
        <f aca="false">IFERROR(INDEX(Исходные!$B$21:$B$33,MATCH(B1053,Исходные!$A$21:$A$33,0)),0)</f>
        <v>1.208</v>
      </c>
      <c r="J1053" s="21" t="n">
        <f aca="false">H1053*I1053</f>
        <v>508.8096</v>
      </c>
      <c r="K1053" s="83" t="n">
        <f aca="false">SUMIFS(Ведомость!$P$5:$P$2053,Ведомость!$W$5:$W$2053,A1053,Ведомость!$H$5:$H$2053,B1053,Ведомость!$I$5:$I$2053,C1053)</f>
        <v>480.740512</v>
      </c>
      <c r="L1053" s="83" t="n">
        <f aca="false">J1053-K1053</f>
        <v>28.069088</v>
      </c>
      <c r="M1053" s="89" t="n">
        <f aca="false">IF(J1053&gt;0,L1053/J1053,0)</f>
        <v>0.0551661918328584</v>
      </c>
    </row>
    <row r="1054" customFormat="false" ht="15" hidden="false" customHeight="false" outlineLevel="0" collapsed="false">
      <c r="A1054" s="53" t="n">
        <v>5</v>
      </c>
      <c r="B1054" s="53" t="n">
        <v>12</v>
      </c>
      <c r="C1054" s="76" t="s">
        <v>512</v>
      </c>
      <c r="D1054" s="74" t="n">
        <f aca="false">SUMIFS(Ведомость!$N$5:$N$2053,Ведомость!$W$5:$W$2053,A1054,Ведомость!$H$5:$H$2053,B1054,Ведомость!$I$5:$I$2053,C1054)</f>
        <v>338.6</v>
      </c>
      <c r="E1054" s="74" t="n">
        <f aca="false">SUMIFS('Раскрой 11,7м'!$Q$5:$Q$958,'Раскрой 11,7м'!$A$5:$A$958,A1054,'Раскрой 11,7м'!$B$5:$B$958,B1054,'Раскрой 11,7м'!$C$5:$C$958,C1054)</f>
        <v>338.6</v>
      </c>
      <c r="F1054" s="74" t="n">
        <f aca="false">ROUND(D1054-E1054,2)</f>
        <v>0</v>
      </c>
      <c r="G1054" s="88" t="n">
        <f aca="false">SUMIFS('Раскрой 11,7м'!$O$5:$O$958,'Раскрой 11,7м'!$A$5:$A$958,A1054,'Раскрой 11,7м'!$B$5:$B$958,B1054,'Раскрой 11,7м'!$C$5:$C$958,C1054)</f>
        <v>30</v>
      </c>
      <c r="H1054" s="83" t="n">
        <f aca="false">G1054*Исходные!$B$15</f>
        <v>351</v>
      </c>
      <c r="I1054" s="41" t="n">
        <f aca="false">IFERROR(INDEX(Исходные!$B$21:$B$33,MATCH(B1054,Исходные!$A$21:$A$33,0)),0)</f>
        <v>0.888</v>
      </c>
      <c r="J1054" s="21" t="n">
        <f aca="false">H1054*I1054</f>
        <v>311.688</v>
      </c>
      <c r="K1054" s="83" t="n">
        <f aca="false">SUMIFS(Ведомость!$P$5:$P$2053,Ведомость!$W$5:$W$2053,A1054,Ведомость!$H$5:$H$2053,B1054,Ведомость!$I$5:$I$2053,C1054)</f>
        <v>300.6768</v>
      </c>
      <c r="L1054" s="83" t="n">
        <f aca="false">J1054-K1054</f>
        <v>11.0112</v>
      </c>
      <c r="M1054" s="89" t="n">
        <f aca="false">IF(J1054&gt;0,L1054/J1054,0)</f>
        <v>0.0353276353276353</v>
      </c>
    </row>
    <row r="1055" customFormat="false" ht="15" hidden="false" customHeight="false" outlineLevel="0" collapsed="false">
      <c r="A1055" s="53" t="n">
        <v>5</v>
      </c>
      <c r="B1055" s="53" t="n">
        <v>10</v>
      </c>
      <c r="C1055" s="76" t="s">
        <v>512</v>
      </c>
      <c r="D1055" s="74" t="n">
        <f aca="false">SUMIFS(Ведомость!$N$5:$N$2053,Ведомость!$W$5:$W$2053,A1055,Ведомость!$H$5:$H$2053,B1055,Ведомость!$I$5:$I$2053,C1055)</f>
        <v>11766.38</v>
      </c>
      <c r="E1055" s="74" t="n">
        <f aca="false">SUMIFS('Раскрой 11,7м'!$Q$5:$Q$958,'Раскрой 11,7м'!$A$5:$A$958,A1055,'Раскрой 11,7м'!$B$5:$B$958,B1055,'Раскрой 11,7м'!$C$5:$C$958,C1055)</f>
        <v>11766.38</v>
      </c>
      <c r="F1055" s="74" t="n">
        <f aca="false">ROUND(D1055-E1055,2)</f>
        <v>0</v>
      </c>
      <c r="G1055" s="88" t="n">
        <f aca="false">SUMIFS('Раскрой 11,7м'!$O$5:$O$958,'Раскрой 11,7м'!$A$5:$A$958,A1055,'Раскрой 11,7м'!$B$5:$B$958,B1055,'Раскрой 11,7м'!$C$5:$C$958,C1055)</f>
        <v>1013</v>
      </c>
      <c r="H1055" s="83" t="n">
        <f aca="false">G1055*Исходные!$B$15</f>
        <v>11852.1</v>
      </c>
      <c r="I1055" s="41" t="n">
        <f aca="false">IFERROR(INDEX(Исходные!$B$21:$B$33,MATCH(B1055,Исходные!$A$21:$A$33,0)),0)</f>
        <v>0.617</v>
      </c>
      <c r="J1055" s="21" t="n">
        <f aca="false">H1055*I1055</f>
        <v>7312.7457</v>
      </c>
      <c r="K1055" s="83" t="n">
        <f aca="false">SUMIFS(Ведомость!$P$5:$P$2053,Ведомость!$W$5:$W$2053,A1055,Ведомость!$H$5:$H$2053,B1055,Ведомость!$I$5:$I$2053,C1055)</f>
        <v>7259.85646</v>
      </c>
      <c r="L1055" s="83" t="n">
        <f aca="false">J1055-K1055</f>
        <v>52.8892399999986</v>
      </c>
      <c r="M1055" s="89" t="n">
        <f aca="false">IF(J1055&gt;0,L1055/J1055,0)</f>
        <v>0.00723247357008444</v>
      </c>
    </row>
    <row r="1056" customFormat="false" ht="15" hidden="false" customHeight="false" outlineLevel="0" collapsed="false">
      <c r="A1056" s="53" t="n">
        <v>5</v>
      </c>
      <c r="B1056" s="53" t="n">
        <v>8</v>
      </c>
      <c r="C1056" s="76" t="s">
        <v>512</v>
      </c>
      <c r="D1056" s="74" t="n">
        <f aca="false">SUMIFS(Ведомость!$N$5:$N$2053,Ведомость!$W$5:$W$2053,A1056,Ведомость!$H$5:$H$2053,B1056,Ведомость!$I$5:$I$2053,C1056)</f>
        <v>0</v>
      </c>
      <c r="E1056" s="74" t="n">
        <f aca="false">SUMIFS('Раскрой 11,7м'!$Q$5:$Q$958,'Раскрой 11,7м'!$A$5:$A$958,A1056,'Раскрой 11,7м'!$B$5:$B$958,B1056,'Раскрой 11,7м'!$C$5:$C$958,C1056)</f>
        <v>0</v>
      </c>
      <c r="F1056" s="74" t="n">
        <f aca="false">ROUND(D1056-E1056,2)</f>
        <v>0</v>
      </c>
      <c r="G1056" s="88" t="n">
        <f aca="false">SUMIFS('Раскрой 11,7м'!$O$5:$O$958,'Раскрой 11,7м'!$A$5:$A$958,A1056,'Раскрой 11,7м'!$B$5:$B$958,B1056,'Раскрой 11,7м'!$C$5:$C$958,C1056)</f>
        <v>0</v>
      </c>
      <c r="H1056" s="83" t="n">
        <f aca="false">G1056*Исходные!$B$15</f>
        <v>0</v>
      </c>
      <c r="I1056" s="41" t="n">
        <f aca="false">IFERROR(INDEX(Исходные!$B$21:$B$33,MATCH(B1056,Исходные!$A$21:$A$33,0)),0)</f>
        <v>0.395</v>
      </c>
      <c r="J1056" s="21" t="n">
        <f aca="false">H1056*I1056</f>
        <v>0</v>
      </c>
      <c r="K1056" s="83" t="n">
        <f aca="false">SUMIFS(Ведомость!$P$5:$P$2053,Ведомость!$W$5:$W$2053,A1056,Ведомость!$H$5:$H$2053,B1056,Ведомость!$I$5:$I$2053,C1056)</f>
        <v>0</v>
      </c>
      <c r="L1056" s="83" t="n">
        <f aca="false">J1056-K1056</f>
        <v>0</v>
      </c>
      <c r="M1056" s="89" t="n">
        <f aca="false">IF(J1056&gt;0,L1056/J1056,0)</f>
        <v>0</v>
      </c>
    </row>
    <row r="1057" customFormat="false" ht="15" hidden="false" customHeight="false" outlineLevel="0" collapsed="false">
      <c r="A1057" s="53" t="n">
        <v>5</v>
      </c>
      <c r="B1057" s="53" t="n">
        <v>16</v>
      </c>
      <c r="C1057" s="76" t="s">
        <v>546</v>
      </c>
      <c r="D1057" s="74" t="n">
        <f aca="false">SUMIFS(Ведомость!$N$5:$N$2053,Ведомость!$W$5:$W$2053,A1057,Ведомость!$H$5:$H$2053,B1057,Ведомость!$I$5:$I$2053,C1057)</f>
        <v>0.84</v>
      </c>
      <c r="E1057" s="74" t="n">
        <f aca="false">SUMIFS('Раскрой 11,7м'!$Q$5:$Q$958,'Раскрой 11,7м'!$A$5:$A$958,A1057,'Раскрой 11,7м'!$B$5:$B$958,B1057,'Раскрой 11,7м'!$C$5:$C$958,C1057)</f>
        <v>0.84</v>
      </c>
      <c r="F1057" s="74" t="n">
        <f aca="false">ROUND(D1057-E1057,2)</f>
        <v>0</v>
      </c>
      <c r="G1057" s="88" t="n">
        <f aca="false">SUMIFS('Раскрой 11,7м'!$O$5:$O$958,'Раскрой 11,7м'!$A$5:$A$958,A1057,'Раскрой 11,7м'!$B$5:$B$958,B1057,'Раскрой 11,7м'!$C$5:$C$958,C1057)</f>
        <v>1</v>
      </c>
      <c r="H1057" s="83" t="n">
        <f aca="false">G1057*Исходные!$B$15</f>
        <v>11.7</v>
      </c>
      <c r="I1057" s="41" t="n">
        <f aca="false">IFERROR(INDEX(Исходные!$B$21:$B$33,MATCH(B1057,Исходные!$A$21:$A$33,0)),0)</f>
        <v>1.578</v>
      </c>
      <c r="J1057" s="21" t="n">
        <f aca="false">H1057*I1057</f>
        <v>18.4626</v>
      </c>
      <c r="K1057" s="83" t="n">
        <f aca="false">SUMIFS(Ведомость!$P$5:$P$2053,Ведомость!$W$5:$W$2053,A1057,Ведомость!$H$5:$H$2053,B1057,Ведомость!$I$5:$I$2053,C1057)</f>
        <v>1.32552</v>
      </c>
      <c r="L1057" s="83" t="n">
        <f aca="false">J1057-K1057</f>
        <v>17.13708</v>
      </c>
      <c r="M1057" s="89" t="n">
        <f aca="false">IF(J1057&gt;0,L1057/J1057,0)</f>
        <v>0.928205128205128</v>
      </c>
    </row>
    <row r="1058" customFormat="false" ht="15" hidden="false" customHeight="false" outlineLevel="0" collapsed="false">
      <c r="A1058" s="53" t="n">
        <v>5</v>
      </c>
      <c r="B1058" s="53" t="n">
        <v>12</v>
      </c>
      <c r="C1058" s="76" t="s">
        <v>546</v>
      </c>
      <c r="D1058" s="74" t="n">
        <f aca="false">SUMIFS(Ведомость!$N$5:$N$2053,Ведомость!$W$5:$W$2053,A1058,Ведомость!$H$5:$H$2053,B1058,Ведомость!$I$5:$I$2053,C1058)</f>
        <v>0</v>
      </c>
      <c r="E1058" s="74" t="n">
        <f aca="false">SUMIFS('Раскрой 11,7м'!$Q$5:$Q$958,'Раскрой 11,7м'!$A$5:$A$958,A1058,'Раскрой 11,7м'!$B$5:$B$958,B1058,'Раскрой 11,7м'!$C$5:$C$958,C1058)</f>
        <v>0</v>
      </c>
      <c r="F1058" s="74" t="n">
        <f aca="false">ROUND(D1058-E1058,2)</f>
        <v>0</v>
      </c>
      <c r="G1058" s="88" t="n">
        <f aca="false">SUMIFS('Раскрой 11,7м'!$O$5:$O$958,'Раскрой 11,7м'!$A$5:$A$958,A1058,'Раскрой 11,7м'!$B$5:$B$958,B1058,'Раскрой 11,7м'!$C$5:$C$958,C1058)</f>
        <v>0</v>
      </c>
      <c r="H1058" s="83" t="n">
        <f aca="false">G1058*Исходные!$B$15</f>
        <v>0</v>
      </c>
      <c r="I1058" s="41" t="n">
        <f aca="false">IFERROR(INDEX(Исходные!$B$21:$B$33,MATCH(B1058,Исходные!$A$21:$A$33,0)),0)</f>
        <v>0.888</v>
      </c>
      <c r="J1058" s="21" t="n">
        <f aca="false">H1058*I1058</f>
        <v>0</v>
      </c>
      <c r="K1058" s="83" t="n">
        <f aca="false">SUMIFS(Ведомость!$P$5:$P$2053,Ведомость!$W$5:$W$2053,A1058,Ведомость!$H$5:$H$2053,B1058,Ведомость!$I$5:$I$2053,C1058)</f>
        <v>0</v>
      </c>
      <c r="L1058" s="83" t="n">
        <f aca="false">J1058-K1058</f>
        <v>0</v>
      </c>
      <c r="M1058" s="89" t="n">
        <f aca="false">IF(J1058&gt;0,L1058/J1058,0)</f>
        <v>0</v>
      </c>
    </row>
    <row r="1059" customFormat="false" ht="15" hidden="false" customHeight="false" outlineLevel="0" collapsed="false">
      <c r="A1059" s="53" t="n">
        <v>5</v>
      </c>
      <c r="B1059" s="53" t="n">
        <v>10</v>
      </c>
      <c r="C1059" s="76" t="s">
        <v>546</v>
      </c>
      <c r="D1059" s="74" t="n">
        <f aca="false">SUMIFS(Ведомость!$N$5:$N$2053,Ведомость!$W$5:$W$2053,A1059,Ведомость!$H$5:$H$2053,B1059,Ведомость!$I$5:$I$2053,C1059)</f>
        <v>1591.84</v>
      </c>
      <c r="E1059" s="74" t="n">
        <f aca="false">SUMIFS('Раскрой 11,7м'!$Q$5:$Q$958,'Раскрой 11,7м'!$A$5:$A$958,A1059,'Раскрой 11,7м'!$B$5:$B$958,B1059,'Раскрой 11,7м'!$C$5:$C$958,C1059)</f>
        <v>1591.84</v>
      </c>
      <c r="F1059" s="74" t="n">
        <f aca="false">ROUND(D1059-E1059,2)</f>
        <v>0</v>
      </c>
      <c r="G1059" s="88" t="n">
        <f aca="false">SUMIFS('Раскрой 11,7м'!$O$5:$O$958,'Раскрой 11,7м'!$A$5:$A$958,A1059,'Раскрой 11,7м'!$B$5:$B$958,B1059,'Раскрой 11,7м'!$C$5:$C$958,C1059)</f>
        <v>138</v>
      </c>
      <c r="H1059" s="83" t="n">
        <f aca="false">G1059*Исходные!$B$15</f>
        <v>1614.6</v>
      </c>
      <c r="I1059" s="41" t="n">
        <f aca="false">IFERROR(INDEX(Исходные!$B$21:$B$33,MATCH(B1059,Исходные!$A$21:$A$33,0)),0)</f>
        <v>0.617</v>
      </c>
      <c r="J1059" s="21" t="n">
        <f aca="false">H1059*I1059</f>
        <v>996.2082</v>
      </c>
      <c r="K1059" s="83" t="n">
        <f aca="false">SUMIFS(Ведомость!$P$5:$P$2053,Ведомость!$W$5:$W$2053,A1059,Ведомость!$H$5:$H$2053,B1059,Ведомость!$I$5:$I$2053,C1059)</f>
        <v>982.16528</v>
      </c>
      <c r="L1059" s="83" t="n">
        <f aca="false">J1059-K1059</f>
        <v>14.0429199999999</v>
      </c>
      <c r="M1059" s="89" t="n">
        <f aca="false">IF(J1059&gt;0,L1059/J1059,0)</f>
        <v>0.0140963706181096</v>
      </c>
    </row>
    <row r="1060" customFormat="false" ht="15" hidden="false" customHeight="false" outlineLevel="0" collapsed="false">
      <c r="A1060" s="53" t="n">
        <v>5</v>
      </c>
      <c r="B1060" s="53" t="n">
        <v>8</v>
      </c>
      <c r="C1060" s="76" t="s">
        <v>546</v>
      </c>
      <c r="D1060" s="74" t="n">
        <f aca="false">SUMIFS(Ведомость!$N$5:$N$2053,Ведомость!$W$5:$W$2053,A1060,Ведомость!$H$5:$H$2053,B1060,Ведомость!$I$5:$I$2053,C1060)</f>
        <v>8018.81</v>
      </c>
      <c r="E1060" s="74" t="n">
        <f aca="false">SUMIFS('Раскрой 11,7м'!$Q$5:$Q$958,'Раскрой 11,7м'!$A$5:$A$958,A1060,'Раскрой 11,7м'!$B$5:$B$958,B1060,'Раскрой 11,7м'!$C$5:$C$958,C1060)</f>
        <v>8018.81</v>
      </c>
      <c r="F1060" s="74" t="n">
        <f aca="false">ROUND(D1060-E1060,2)</f>
        <v>0</v>
      </c>
      <c r="G1060" s="88" t="n">
        <f aca="false">SUMIFS('Раскрой 11,7м'!$O$5:$O$958,'Раскрой 11,7м'!$A$5:$A$958,A1060,'Раскрой 11,7м'!$B$5:$B$958,B1060,'Раскрой 11,7м'!$C$5:$C$958,C1060)</f>
        <v>692</v>
      </c>
      <c r="H1060" s="83" t="n">
        <f aca="false">G1060*Исходные!$B$15</f>
        <v>8096.4</v>
      </c>
      <c r="I1060" s="41" t="n">
        <f aca="false">IFERROR(INDEX(Исходные!$B$21:$B$33,MATCH(B1060,Исходные!$A$21:$A$33,0)),0)</f>
        <v>0.395</v>
      </c>
      <c r="J1060" s="21" t="n">
        <f aca="false">H1060*I1060</f>
        <v>3198.078</v>
      </c>
      <c r="K1060" s="83" t="n">
        <f aca="false">SUMIFS(Ведомость!$P$5:$P$2053,Ведомость!$W$5:$W$2053,A1060,Ведомость!$H$5:$H$2053,B1060,Ведомость!$I$5:$I$2053,C1060)</f>
        <v>3167.42995</v>
      </c>
      <c r="L1060" s="83" t="n">
        <f aca="false">J1060-K1060</f>
        <v>30.6480499999998</v>
      </c>
      <c r="M1060" s="89" t="n">
        <f aca="false">IF(J1060&gt;0,L1060/J1060,0)</f>
        <v>0.00958327157749116</v>
      </c>
    </row>
    <row r="1061" customFormat="false" ht="15" hidden="false" customHeight="false" outlineLevel="0" collapsed="false">
      <c r="A1061" s="53" t="n">
        <v>5</v>
      </c>
      <c r="B1061" s="53" t="n">
        <v>6</v>
      </c>
      <c r="C1061" s="76" t="s">
        <v>546</v>
      </c>
      <c r="D1061" s="74" t="n">
        <f aca="false">SUMIFS(Ведомость!$N$5:$N$2053,Ведомость!$W$5:$W$2053,A1061,Ведомость!$H$5:$H$2053,B1061,Ведомость!$I$5:$I$2053,C1061)</f>
        <v>29.12</v>
      </c>
      <c r="E1061" s="74" t="n">
        <f aca="false">SUMIFS('Раскрой 11,7м'!$Q$5:$Q$958,'Раскрой 11,7м'!$A$5:$A$958,A1061,'Раскрой 11,7м'!$B$5:$B$958,B1061,'Раскрой 11,7м'!$C$5:$C$958,C1061)</f>
        <v>29.12</v>
      </c>
      <c r="F1061" s="74" t="n">
        <f aca="false">ROUND(D1061-E1061,2)</f>
        <v>0</v>
      </c>
      <c r="G1061" s="88" t="n">
        <f aca="false">SUMIFS('Раскрой 11,7м'!$O$5:$O$958,'Раскрой 11,7м'!$A$5:$A$958,A1061,'Раскрой 11,7м'!$B$5:$B$958,B1061,'Раскрой 11,7м'!$C$5:$C$958,C1061)</f>
        <v>3</v>
      </c>
      <c r="H1061" s="83" t="n">
        <f aca="false">G1061*Исходные!$B$15</f>
        <v>35.1</v>
      </c>
      <c r="I1061" s="41" t="n">
        <f aca="false">IFERROR(INDEX(Исходные!$B$21:$B$33,MATCH(B1061,Исходные!$A$21:$A$33,0)),0)</f>
        <v>0.222</v>
      </c>
      <c r="J1061" s="21" t="n">
        <f aca="false">H1061*I1061</f>
        <v>7.7922</v>
      </c>
      <c r="K1061" s="83" t="n">
        <f aca="false">SUMIFS(Ведомость!$P$5:$P$2053,Ведомость!$W$5:$W$2053,A1061,Ведомость!$H$5:$H$2053,B1061,Ведомость!$I$5:$I$2053,C1061)</f>
        <v>6.46464</v>
      </c>
      <c r="L1061" s="83" t="n">
        <f aca="false">J1061-K1061</f>
        <v>1.32756</v>
      </c>
      <c r="M1061" s="89" t="n">
        <f aca="false">IF(J1061&gt;0,L1061/J1061,0)</f>
        <v>0.17037037037037</v>
      </c>
    </row>
    <row r="1062" customFormat="false" ht="15" hidden="false" customHeight="false" outlineLevel="0" collapsed="false">
      <c r="A1062" s="53" t="n">
        <v>5</v>
      </c>
      <c r="B1062" s="53" t="n">
        <v>5</v>
      </c>
      <c r="C1062" s="76" t="s">
        <v>1119</v>
      </c>
      <c r="D1062" s="74" t="n">
        <f aca="false">SUMIFS(Ведомость!$N$5:$N$2053,Ведомость!$W$5:$W$2053,A1062,Ведомость!$H$5:$H$2053,B1062,Ведомость!$I$5:$I$2053,C1062)</f>
        <v>255.2</v>
      </c>
      <c r="E1062" s="74" t="n">
        <f aca="false">D1062</f>
        <v>255.2</v>
      </c>
      <c r="F1062" s="74" t="n">
        <f aca="false">ROUND(D1062-E1062,2)</f>
        <v>0</v>
      </c>
      <c r="G1062" s="88" t="n">
        <v>0</v>
      </c>
      <c r="H1062" s="83" t="n">
        <f aca="false">G1062*Исходные!$B$15</f>
        <v>0</v>
      </c>
      <c r="I1062" s="41" t="n">
        <f aca="false">IFERROR(INDEX(Исходные!$B$21:$B$33,MATCH(B1062,Исходные!$A$21:$A$33,0)),0)</f>
        <v>0.154</v>
      </c>
      <c r="J1062" s="21" t="n">
        <f aca="false">K1062</f>
        <v>39.3008</v>
      </c>
      <c r="K1062" s="83" t="n">
        <f aca="false">SUMIFS(Ведомость!$P$5:$P$2053,Ведомость!$W$5:$W$2053,A1062,Ведомость!$H$5:$H$2053,B1062,Ведомость!$I$5:$I$2053,C1062)</f>
        <v>39.3008</v>
      </c>
      <c r="L1062" s="83" t="n">
        <f aca="false">J1062-K1062</f>
        <v>0</v>
      </c>
      <c r="M1062" s="89" t="n">
        <f aca="false">IF(J1062&gt;0,L1062/J1062,0)</f>
        <v>0</v>
      </c>
      <c r="N1062" s="22" t="s">
        <v>2153</v>
      </c>
    </row>
    <row r="1063" customFormat="false" ht="15" hidden="false" customHeight="false" outlineLevel="0" collapsed="false">
      <c r="C1063" s="4" t="s">
        <v>271</v>
      </c>
      <c r="D1063" s="87" t="n">
        <f aca="false">SUM(D1046:D1062)</f>
        <v>26154.27</v>
      </c>
      <c r="E1063" s="87" t="n">
        <f aca="false">SUM(E1046:E1062)</f>
        <v>26154.27</v>
      </c>
      <c r="F1063" s="87" t="n">
        <f aca="false">SUM(F1046:F1062)</f>
        <v>0</v>
      </c>
      <c r="G1063" s="49" t="n">
        <f aca="false">SUM(G1046:G1062)</f>
        <v>2258</v>
      </c>
      <c r="H1063" s="87" t="n">
        <f aca="false">SUM(H1046:H1062)</f>
        <v>26418.6</v>
      </c>
      <c r="J1063" s="87" t="n">
        <f aca="false">SUM(J1046:J1062)</f>
        <v>25285.9001</v>
      </c>
      <c r="K1063" s="87" t="n">
        <f aca="false">SUM(K1046:K1062)</f>
        <v>24404.42877</v>
      </c>
      <c r="L1063" s="87" t="n">
        <f aca="false">SUM(L1046:L1062)</f>
        <v>881.471329999997</v>
      </c>
      <c r="M1063" s="90" t="n">
        <f aca="false">IF(J1063&gt;0,L1063/J1063,0)</f>
        <v>0.034860191905923</v>
      </c>
    </row>
    <row r="1065" customFormat="false" ht="15" hidden="false" customHeight="false" outlineLevel="0" collapsed="false">
      <c r="A1065" s="34" t="s">
        <v>2158</v>
      </c>
    </row>
    <row r="1066" customFormat="false" ht="54" hidden="false" customHeight="true" outlineLevel="0" collapsed="false">
      <c r="A1066" s="5"/>
      <c r="B1066" s="5" t="s">
        <v>491</v>
      </c>
      <c r="C1066" s="5" t="s">
        <v>492</v>
      </c>
      <c r="D1066" s="5" t="s">
        <v>2159</v>
      </c>
      <c r="E1066" s="5" t="s">
        <v>16</v>
      </c>
      <c r="F1066" s="5" t="s">
        <v>2151</v>
      </c>
      <c r="G1066" s="5" t="s">
        <v>2152</v>
      </c>
      <c r="H1066" s="5" t="s">
        <v>17</v>
      </c>
      <c r="I1066" s="5" t="s">
        <v>2160</v>
      </c>
      <c r="J1066" s="5" t="s">
        <v>2161</v>
      </c>
    </row>
    <row r="1067" customFormat="false" ht="15" hidden="false" customHeight="false" outlineLevel="0" collapsed="false">
      <c r="A1067" s="20"/>
      <c r="B1067" s="53" t="n">
        <v>32</v>
      </c>
      <c r="C1067" s="76" t="s">
        <v>512</v>
      </c>
      <c r="D1067" s="88" t="n">
        <f aca="false">G962+G983+G1004+G1025+G1046</f>
        <v>124</v>
      </c>
      <c r="E1067" s="21" t="n">
        <f aca="false">J962+J983+J1004+J1025+J1046</f>
        <v>9158.9004</v>
      </c>
      <c r="F1067" s="83" t="n">
        <f aca="false">K962+K983+K1004+K1025+K1046</f>
        <v>8114.0989</v>
      </c>
      <c r="G1067" s="83" t="n">
        <f aca="false">E1067-F1067</f>
        <v>1044.8015</v>
      </c>
      <c r="H1067" s="89" t="n">
        <f aca="false">IF(E1067&gt;0,G1067/E1067,0)</f>
        <v>0.114074993107251</v>
      </c>
      <c r="I1067" s="55" t="n">
        <v>115</v>
      </c>
      <c r="J1067" s="54" t="n">
        <f aca="false">IF(I1067="","",D1067-I1067)</f>
        <v>9</v>
      </c>
    </row>
    <row r="1068" customFormat="false" ht="15" hidden="false" customHeight="false" outlineLevel="0" collapsed="false">
      <c r="A1068" s="20"/>
      <c r="B1068" s="53" t="n">
        <v>28</v>
      </c>
      <c r="C1068" s="76" t="s">
        <v>512</v>
      </c>
      <c r="D1068" s="88" t="n">
        <f aca="false">G963+G984+G1005+G1026+G1047</f>
        <v>505</v>
      </c>
      <c r="E1068" s="21" t="n">
        <f aca="false">J963+J984+J1005+J1026+J1047</f>
        <v>28561.689</v>
      </c>
      <c r="F1068" s="83" t="n">
        <f aca="false">K963+K984+K1005+K1026+K1047</f>
        <v>27107.1384</v>
      </c>
      <c r="G1068" s="83" t="n">
        <f aca="false">E1068-F1068</f>
        <v>1454.5506</v>
      </c>
      <c r="H1068" s="89" t="n">
        <f aca="false">IF(E1068&gt;0,G1068/E1068,0)</f>
        <v>0.0509266311246509</v>
      </c>
      <c r="I1068" s="55" t="n">
        <v>490</v>
      </c>
      <c r="J1068" s="54" t="n">
        <f aca="false">IF(I1068="","",D1068-I1068)</f>
        <v>15</v>
      </c>
    </row>
    <row r="1069" customFormat="false" ht="15" hidden="false" customHeight="false" outlineLevel="0" collapsed="false">
      <c r="A1069" s="20"/>
      <c r="B1069" s="53" t="n">
        <v>25</v>
      </c>
      <c r="C1069" s="76" t="s">
        <v>512</v>
      </c>
      <c r="D1069" s="88" t="n">
        <f aca="false">G964+G985+G1006+G1027+G1048</f>
        <v>380</v>
      </c>
      <c r="E1069" s="21" t="n">
        <f aca="false">J964+J985+J1006+J1027+J1048</f>
        <v>17130.438</v>
      </c>
      <c r="F1069" s="83" t="n">
        <f aca="false">K964+K985+K1006+K1027+K1048</f>
        <v>16551.25504</v>
      </c>
      <c r="G1069" s="83" t="n">
        <f aca="false">E1069-F1069</f>
        <v>579.182960000002</v>
      </c>
      <c r="H1069" s="89" t="n">
        <f aca="false">IF(E1069&gt;0,G1069/E1069,0)</f>
        <v>0.0338101664417455</v>
      </c>
      <c r="I1069" s="55" t="n">
        <v>377</v>
      </c>
      <c r="J1069" s="54" t="n">
        <f aca="false">IF(I1069="","",D1069-I1069)</f>
        <v>3</v>
      </c>
    </row>
    <row r="1070" customFormat="false" ht="15" hidden="false" customHeight="false" outlineLevel="0" collapsed="false">
      <c r="A1070" s="20"/>
      <c r="B1070" s="53" t="n">
        <v>22</v>
      </c>
      <c r="C1070" s="76" t="s">
        <v>512</v>
      </c>
      <c r="D1070" s="88" t="n">
        <f aca="false">G965+G986+G1007+G1028+G1049</f>
        <v>134</v>
      </c>
      <c r="E1070" s="21" t="n">
        <f aca="false">J965+J986+J1007+J1028+J1049</f>
        <v>4678.3152</v>
      </c>
      <c r="F1070" s="83" t="n">
        <f aca="false">K965+K986+K1007+K1028+K1049</f>
        <v>4325.308</v>
      </c>
      <c r="G1070" s="83" t="n">
        <f aca="false">E1070-F1070</f>
        <v>353.0072</v>
      </c>
      <c r="H1070" s="89" t="n">
        <f aca="false">IF(E1070&gt;0,G1070/E1070,0)</f>
        <v>0.0754560530679934</v>
      </c>
      <c r="I1070" s="55" t="n">
        <v>130</v>
      </c>
      <c r="J1070" s="54" t="n">
        <f aca="false">IF(I1070="","",D1070-I1070)</f>
        <v>4</v>
      </c>
    </row>
    <row r="1071" customFormat="false" ht="15" hidden="false" customHeight="false" outlineLevel="0" collapsed="false">
      <c r="A1071" s="20"/>
      <c r="B1071" s="53" t="n">
        <v>20</v>
      </c>
      <c r="C1071" s="76" t="s">
        <v>512</v>
      </c>
      <c r="D1071" s="88" t="n">
        <f aca="false">G966+G987+G1008+G1029+G1050</f>
        <v>341</v>
      </c>
      <c r="E1071" s="21" t="n">
        <f aca="false">J966+J987+J1008+J1029+J1050</f>
        <v>9838.6002</v>
      </c>
      <c r="F1071" s="83" t="n">
        <f aca="false">K966+K987+K1008+K1029+K1050</f>
        <v>8685.79452</v>
      </c>
      <c r="G1071" s="83" t="n">
        <f aca="false">E1071-F1071</f>
        <v>1152.80568</v>
      </c>
      <c r="H1071" s="89" t="n">
        <f aca="false">IF(E1071&gt;0,G1071/E1071,0)</f>
        <v>0.117171717171717</v>
      </c>
      <c r="I1071" s="55" t="n">
        <v>317</v>
      </c>
      <c r="J1071" s="54" t="n">
        <f aca="false">IF(I1071="","",D1071-I1071)</f>
        <v>24</v>
      </c>
    </row>
    <row r="1072" customFormat="false" ht="15" hidden="false" customHeight="false" outlineLevel="0" collapsed="false">
      <c r="A1072" s="20"/>
      <c r="B1072" s="53" t="n">
        <v>18</v>
      </c>
      <c r="C1072" s="76" t="s">
        <v>512</v>
      </c>
      <c r="D1072" s="88" t="n">
        <f aca="false">G967+G988+G1009+G1030+G1051</f>
        <v>362</v>
      </c>
      <c r="E1072" s="21" t="n">
        <f aca="false">J967+J988+J1009+J1030+J1051</f>
        <v>8462.3292</v>
      </c>
      <c r="F1072" s="83" t="n">
        <f aca="false">K967+K988+K1009+K1030+K1051</f>
        <v>7511.12136</v>
      </c>
      <c r="G1072" s="83" t="n">
        <f aca="false">E1072-F1072</f>
        <v>951.20784</v>
      </c>
      <c r="H1072" s="89" t="n">
        <f aca="false">IF(E1072&gt;0,G1072/E1072,0)</f>
        <v>0.112404967653586</v>
      </c>
      <c r="I1072" s="55" t="n">
        <v>362</v>
      </c>
      <c r="J1072" s="54" t="n">
        <f aca="false">IF(I1072="","",D1072-I1072)</f>
        <v>0</v>
      </c>
    </row>
    <row r="1073" customFormat="false" ht="15" hidden="false" customHeight="false" outlineLevel="0" collapsed="false">
      <c r="A1073" s="20"/>
      <c r="B1073" s="53" t="n">
        <v>16</v>
      </c>
      <c r="C1073" s="76" t="s">
        <v>512</v>
      </c>
      <c r="D1073" s="88" t="n">
        <f aca="false">G968+G989+G1010+G1031+G1052</f>
        <v>307</v>
      </c>
      <c r="E1073" s="21" t="n">
        <f aca="false">J968+J989+J1010+J1031+J1052</f>
        <v>5668.0182</v>
      </c>
      <c r="F1073" s="83" t="n">
        <f aca="false">K968+K989+K1010+K1031+K1052</f>
        <v>5524.470696</v>
      </c>
      <c r="G1073" s="83" t="n">
        <f aca="false">E1073-F1073</f>
        <v>143.547504</v>
      </c>
      <c r="H1073" s="89" t="n">
        <f aca="false">IF(E1073&gt;0,G1073/E1073,0)</f>
        <v>0.0253258721011164</v>
      </c>
      <c r="I1073" s="55" t="n">
        <v>305</v>
      </c>
      <c r="J1073" s="54" t="n">
        <f aca="false">IF(I1073="","",D1073-I1073)</f>
        <v>2</v>
      </c>
    </row>
    <row r="1074" customFormat="false" ht="15" hidden="false" customHeight="false" outlineLevel="0" collapsed="false">
      <c r="A1074" s="20"/>
      <c r="B1074" s="53" t="n">
        <v>14</v>
      </c>
      <c r="C1074" s="76" t="s">
        <v>512</v>
      </c>
      <c r="D1074" s="88" t="n">
        <f aca="false">G969+G990+G1011+G1032+G1053</f>
        <v>226</v>
      </c>
      <c r="E1074" s="21" t="n">
        <f aca="false">J969+J990+J1011+J1032+J1053</f>
        <v>3194.1936</v>
      </c>
      <c r="F1074" s="83" t="n">
        <f aca="false">K969+K990+K1011+K1032+K1053</f>
        <v>3078.288416</v>
      </c>
      <c r="G1074" s="83" t="n">
        <f aca="false">E1074-F1074</f>
        <v>115.905184</v>
      </c>
      <c r="H1074" s="89" t="n">
        <f aca="false">IF(E1074&gt;0,G1074/E1074,0)</f>
        <v>0.0362862113304592</v>
      </c>
      <c r="I1074" s="55" t="n">
        <v>223</v>
      </c>
      <c r="J1074" s="54" t="n">
        <f aca="false">IF(I1074="","",D1074-I1074)</f>
        <v>3</v>
      </c>
    </row>
    <row r="1075" customFormat="false" ht="15" hidden="false" customHeight="false" outlineLevel="0" collapsed="false">
      <c r="A1075" s="20"/>
      <c r="B1075" s="53" t="n">
        <v>12</v>
      </c>
      <c r="C1075" s="76" t="s">
        <v>512</v>
      </c>
      <c r="D1075" s="88" t="n">
        <f aca="false">G970+G991+G1012+G1033+G1054</f>
        <v>171</v>
      </c>
      <c r="E1075" s="21" t="n">
        <f aca="false">J970+J991+J1012+J1033+J1054</f>
        <v>1776.6216</v>
      </c>
      <c r="F1075" s="83" t="n">
        <f aca="false">K970+K991+K1012+K1033+K1054</f>
        <v>1687.633344</v>
      </c>
      <c r="G1075" s="83" t="n">
        <f aca="false">E1075-F1075</f>
        <v>88.9882559999999</v>
      </c>
      <c r="H1075" s="89" t="n">
        <f aca="false">IF(E1075&gt;0,G1075/E1075,0)</f>
        <v>0.0500884690358374</v>
      </c>
      <c r="I1075" s="55" t="n">
        <v>168</v>
      </c>
      <c r="J1075" s="54" t="n">
        <f aca="false">IF(I1075="","",D1075-I1075)</f>
        <v>3</v>
      </c>
    </row>
    <row r="1076" customFormat="false" ht="15" hidden="false" customHeight="false" outlineLevel="0" collapsed="false">
      <c r="A1076" s="20"/>
      <c r="B1076" s="53" t="n">
        <v>10</v>
      </c>
      <c r="C1076" s="76" t="s">
        <v>512</v>
      </c>
      <c r="D1076" s="88" t="n">
        <f aca="false">G971+G992+G1013+G1034+G1055</f>
        <v>5558</v>
      </c>
      <c r="E1076" s="21" t="n">
        <f aca="false">J971+J992+J1013+J1034+J1055</f>
        <v>40122.6462</v>
      </c>
      <c r="F1076" s="83" t="n">
        <f aca="false">K971+K992+K1013+K1034+K1055</f>
        <v>39800.48582</v>
      </c>
      <c r="G1076" s="83" t="n">
        <f aca="false">E1076-F1076</f>
        <v>322.160379999994</v>
      </c>
      <c r="H1076" s="89" t="n">
        <f aca="false">IF(E1076&gt;0,G1076/E1076,0)</f>
        <v>0.00802939014525901</v>
      </c>
      <c r="I1076" s="55" t="n">
        <v>5559</v>
      </c>
      <c r="J1076" s="54" t="n">
        <f aca="false">IF(I1076="","",D1076-I1076)</f>
        <v>-1</v>
      </c>
    </row>
    <row r="1077" customFormat="false" ht="15" hidden="false" customHeight="false" outlineLevel="0" collapsed="false">
      <c r="A1077" s="20"/>
      <c r="B1077" s="53" t="n">
        <v>8</v>
      </c>
      <c r="C1077" s="76" t="s">
        <v>512</v>
      </c>
      <c r="D1077" s="88" t="n">
        <f aca="false">G972+G993+G1014+G1035+G1056</f>
        <v>0</v>
      </c>
      <c r="E1077" s="21" t="n">
        <f aca="false">J972+J993+J1014+J1035+J1056</f>
        <v>0</v>
      </c>
      <c r="F1077" s="83" t="n">
        <f aca="false">K972+K993+K1014+K1035+K1056</f>
        <v>0</v>
      </c>
      <c r="G1077" s="83" t="n">
        <f aca="false">E1077-F1077</f>
        <v>0</v>
      </c>
      <c r="H1077" s="89" t="n">
        <f aca="false">IF(E1077&gt;0,G1077/E1077,0)</f>
        <v>0</v>
      </c>
      <c r="I1077" s="55"/>
      <c r="J1077" s="54"/>
    </row>
    <row r="1078" customFormat="false" ht="15" hidden="false" customHeight="false" outlineLevel="0" collapsed="false">
      <c r="A1078" s="20"/>
      <c r="B1078" s="53" t="n">
        <v>16</v>
      </c>
      <c r="C1078" s="76" t="s">
        <v>546</v>
      </c>
      <c r="D1078" s="88" t="n">
        <f aca="false">G973+G994+G1015+G1036+G1057</f>
        <v>5</v>
      </c>
      <c r="E1078" s="21" t="n">
        <f aca="false">J973+J994+J1015+J1036+J1057</f>
        <v>92.313</v>
      </c>
      <c r="F1078" s="83" t="n">
        <f aca="false">K973+K994+K1015+K1036+K1057</f>
        <v>6.6276</v>
      </c>
      <c r="G1078" s="83" t="n">
        <f aca="false">E1078-F1078</f>
        <v>85.6854</v>
      </c>
      <c r="H1078" s="89" t="n">
        <f aca="false">IF(E1078&gt;0,G1078/E1078,0)</f>
        <v>0.928205128205128</v>
      </c>
      <c r="I1078" s="55" t="n">
        <v>1</v>
      </c>
      <c r="J1078" s="54" t="n">
        <f aca="false">IF(I1078="","",D1078-I1078)</f>
        <v>4</v>
      </c>
    </row>
    <row r="1079" customFormat="false" ht="15" hidden="false" customHeight="false" outlineLevel="0" collapsed="false">
      <c r="A1079" s="20"/>
      <c r="B1079" s="53" t="n">
        <v>12</v>
      </c>
      <c r="C1079" s="76" t="s">
        <v>546</v>
      </c>
      <c r="D1079" s="88" t="n">
        <f aca="false">G974+G995+G1016+G1037+G1058</f>
        <v>0</v>
      </c>
      <c r="E1079" s="21" t="n">
        <f aca="false">J974+J995+J1016+J1037+J1058</f>
        <v>0</v>
      </c>
      <c r="F1079" s="83" t="n">
        <f aca="false">K974+K995+K1016+K1037+K1058</f>
        <v>0</v>
      </c>
      <c r="G1079" s="83" t="n">
        <f aca="false">E1079-F1079</f>
        <v>0</v>
      </c>
      <c r="H1079" s="89" t="n">
        <f aca="false">IF(E1079&gt;0,G1079/E1079,0)</f>
        <v>0</v>
      </c>
      <c r="I1079" s="55"/>
      <c r="J1079" s="54"/>
    </row>
    <row r="1080" customFormat="false" ht="15" hidden="false" customHeight="false" outlineLevel="0" collapsed="false">
      <c r="A1080" s="20"/>
      <c r="B1080" s="53" t="n">
        <v>10</v>
      </c>
      <c r="C1080" s="76" t="s">
        <v>546</v>
      </c>
      <c r="D1080" s="88" t="n">
        <f aca="false">G975+G996+G1017+G1038+G1059</f>
        <v>1094</v>
      </c>
      <c r="E1080" s="21" t="n">
        <f aca="false">J975+J996+J1017+J1038+J1059</f>
        <v>7897.4766</v>
      </c>
      <c r="F1080" s="83" t="n">
        <f aca="false">K975+K996+K1017+K1038+K1059</f>
        <v>7790.66156</v>
      </c>
      <c r="G1080" s="83" t="n">
        <f aca="false">E1080-F1080</f>
        <v>106.815039999999</v>
      </c>
      <c r="H1080" s="89" t="n">
        <f aca="false">IF(E1080&gt;0,G1080/E1080,0)</f>
        <v>0.0135252113314269</v>
      </c>
      <c r="I1080" s="55" t="n">
        <v>1091</v>
      </c>
      <c r="J1080" s="54" t="n">
        <f aca="false">IF(I1080="","",D1080-I1080)</f>
        <v>3</v>
      </c>
    </row>
    <row r="1081" customFormat="false" ht="15" hidden="false" customHeight="false" outlineLevel="0" collapsed="false">
      <c r="A1081" s="20"/>
      <c r="B1081" s="53" t="n">
        <v>8</v>
      </c>
      <c r="C1081" s="76" t="s">
        <v>546</v>
      </c>
      <c r="D1081" s="88" t="n">
        <f aca="false">G976+G997+G1018+G1039+G1060</f>
        <v>3291</v>
      </c>
      <c r="E1081" s="21" t="n">
        <f aca="false">J976+J997+J1018+J1039+J1060</f>
        <v>15209.3565</v>
      </c>
      <c r="F1081" s="83" t="n">
        <f aca="false">K976+K997+K1018+K1039+K1060</f>
        <v>15066.34675</v>
      </c>
      <c r="G1081" s="83" t="n">
        <f aca="false">E1081-F1081</f>
        <v>143.009749999999</v>
      </c>
      <c r="H1081" s="89" t="n">
        <f aca="false">IF(E1081&gt;0,G1081/E1081,0)</f>
        <v>0.00940274823592959</v>
      </c>
      <c r="I1081" s="55" t="n">
        <v>3289</v>
      </c>
      <c r="J1081" s="54" t="n">
        <f aca="false">IF(I1081="","",D1081-I1081)</f>
        <v>2</v>
      </c>
    </row>
    <row r="1082" customFormat="false" ht="15" hidden="false" customHeight="false" outlineLevel="0" collapsed="false">
      <c r="A1082" s="20"/>
      <c r="B1082" s="53" t="n">
        <v>6</v>
      </c>
      <c r="C1082" s="76" t="s">
        <v>546</v>
      </c>
      <c r="D1082" s="88" t="n">
        <f aca="false">G977+G998+G1019+G1040+G1061</f>
        <v>15</v>
      </c>
      <c r="E1082" s="21" t="n">
        <f aca="false">J977+J998+J1019+J1040+J1061</f>
        <v>38.961</v>
      </c>
      <c r="F1082" s="83" t="n">
        <f aca="false">K977+K998+K1019+K1040+K1061</f>
        <v>32.75832</v>
      </c>
      <c r="G1082" s="83" t="n">
        <f aca="false">E1082-F1082</f>
        <v>6.20267999999999</v>
      </c>
      <c r="H1082" s="89" t="n">
        <f aca="false">IF(E1082&gt;0,G1082/E1082,0)</f>
        <v>0.159202279202279</v>
      </c>
      <c r="I1082" s="55" t="n">
        <v>13</v>
      </c>
      <c r="J1082" s="54" t="n">
        <f aca="false">IF(I1082="","",D1082-I1082)</f>
        <v>2</v>
      </c>
    </row>
    <row r="1083" customFormat="false" ht="15" hidden="false" customHeight="false" outlineLevel="0" collapsed="false">
      <c r="A1083" s="20"/>
      <c r="B1083" s="53" t="n">
        <v>5</v>
      </c>
      <c r="C1083" s="76" t="s">
        <v>1119</v>
      </c>
      <c r="D1083" s="88" t="n">
        <f aca="false">G978+G999+G1020+G1041+G1062</f>
        <v>0</v>
      </c>
      <c r="E1083" s="21" t="n">
        <f aca="false">J978+J999+J1020+J1041+J1062</f>
        <v>200.3232</v>
      </c>
      <c r="F1083" s="83" t="n">
        <f aca="false">K978+K999+K1020+K1041+K1062</f>
        <v>200.3232</v>
      </c>
      <c r="G1083" s="83" t="n">
        <f aca="false">E1083-F1083</f>
        <v>0</v>
      </c>
      <c r="H1083" s="89" t="n">
        <f aca="false">IF(E1083&gt;0,G1083/E1083,0)</f>
        <v>0</v>
      </c>
      <c r="I1083" s="55"/>
      <c r="J1083" s="54"/>
    </row>
    <row r="1084" customFormat="false" ht="15" hidden="false" customHeight="false" outlineLevel="0" collapsed="false">
      <c r="C1084" s="4" t="s">
        <v>271</v>
      </c>
      <c r="D1084" s="49" t="n">
        <f aca="false">SUM(D1067:D1083)</f>
        <v>12513</v>
      </c>
      <c r="E1084" s="87" t="n">
        <f aca="false">SUM(E1067:E1083)</f>
        <v>152030.1819</v>
      </c>
      <c r="F1084" s="87" t="n">
        <f aca="false">SUM(F1067:F1083)</f>
        <v>145482.311926</v>
      </c>
      <c r="G1084" s="87" t="n">
        <f aca="false">SUM(G1067:G1083)</f>
        <v>6547.86997399999</v>
      </c>
      <c r="H1084" s="90" t="n">
        <f aca="false">IF(E1084&gt;0,G1084/E1084,0)</f>
        <v>0.043069539825368</v>
      </c>
      <c r="I1084" s="49" t="n">
        <f aca="false">SUM(I1067:I1083)</f>
        <v>12440</v>
      </c>
      <c r="J1084" s="49" t="n">
        <f aca="false">SUM(J1067:J1083)</f>
        <v>73</v>
      </c>
    </row>
    <row r="1086" customFormat="false" ht="15" hidden="false" customHeight="true" outlineLevel="0" collapsed="false">
      <c r="A1086" s="91" t="s">
        <v>2162</v>
      </c>
      <c r="B1086" s="91"/>
      <c r="C1086" s="91"/>
      <c r="D1086" s="91"/>
      <c r="E1086" s="91"/>
      <c r="F1086" s="91"/>
      <c r="G1086" s="91"/>
      <c r="H1086" s="91"/>
      <c r="I1086" s="91"/>
      <c r="J1086" s="91"/>
      <c r="K1086" s="91"/>
      <c r="L1086" s="91"/>
      <c r="M1086" s="91"/>
      <c r="N1086" s="91"/>
      <c r="O1086" s="91"/>
      <c r="P1086" s="91"/>
      <c r="Q1086" s="91"/>
      <c r="R1086" s="91"/>
    </row>
    <row r="1087" customFormat="false" ht="30" hidden="false" customHeight="true" outlineLevel="0" collapsed="false">
      <c r="A1087" s="92" t="s">
        <v>2163</v>
      </c>
      <c r="B1087" s="92"/>
      <c r="C1087" s="92"/>
      <c r="D1087" s="92"/>
      <c r="E1087" s="92"/>
      <c r="F1087" s="92"/>
      <c r="G1087" s="92"/>
      <c r="H1087" s="92"/>
      <c r="I1087" s="92"/>
      <c r="J1087" s="92"/>
      <c r="K1087" s="92"/>
      <c r="L1087" s="92"/>
      <c r="M1087" s="92"/>
      <c r="N1087" s="92"/>
      <c r="O1087" s="92"/>
      <c r="P1087" s="92"/>
      <c r="Q1087" s="92"/>
      <c r="R1087" s="92"/>
    </row>
    <row r="1088" customFormat="false" ht="30" hidden="false" customHeight="true" outlineLevel="0" collapsed="false">
      <c r="A1088" s="92" t="s">
        <v>2164</v>
      </c>
      <c r="B1088" s="92"/>
      <c r="C1088" s="92"/>
      <c r="D1088" s="92"/>
      <c r="E1088" s="92"/>
      <c r="F1088" s="92"/>
      <c r="G1088" s="92"/>
      <c r="H1088" s="92"/>
      <c r="I1088" s="92"/>
      <c r="J1088" s="92"/>
      <c r="K1088" s="92"/>
      <c r="L1088" s="92"/>
      <c r="M1088" s="92"/>
      <c r="N1088" s="92"/>
      <c r="O1088" s="92"/>
      <c r="P1088" s="92"/>
      <c r="Q1088" s="92"/>
      <c r="R1088" s="92"/>
    </row>
    <row r="1089" customFormat="false" ht="30" hidden="false" customHeight="true" outlineLevel="0" collapsed="false">
      <c r="A1089" s="92" t="s">
        <v>2165</v>
      </c>
      <c r="B1089" s="92"/>
      <c r="C1089" s="92"/>
      <c r="D1089" s="92"/>
      <c r="E1089" s="92"/>
      <c r="F1089" s="92"/>
      <c r="G1089" s="92"/>
      <c r="H1089" s="92"/>
      <c r="I1089" s="92"/>
      <c r="J1089" s="92"/>
      <c r="K1089" s="92"/>
      <c r="L1089" s="92"/>
      <c r="M1089" s="92"/>
      <c r="N1089" s="92"/>
      <c r="O1089" s="92"/>
      <c r="P1089" s="92"/>
      <c r="Q1089" s="92"/>
      <c r="R1089" s="92"/>
    </row>
  </sheetData>
  <mergeCells count="4">
    <mergeCell ref="A1086:R1086"/>
    <mergeCell ref="A1087:R1087"/>
    <mergeCell ref="A1088:R1088"/>
    <mergeCell ref="A1089:R108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42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58" t="s">
        <v>2166</v>
      </c>
    </row>
    <row r="3" customFormat="false" ht="15" hidden="false" customHeight="true" outlineLevel="0" collapsed="false">
      <c r="A3" s="2" t="s">
        <v>2167</v>
      </c>
      <c r="B3" s="2"/>
    </row>
    <row r="4" customFormat="false" ht="23.85" hidden="false" customHeight="false" outlineLevel="0" collapsed="false">
      <c r="A4" s="93" t="s">
        <v>2168</v>
      </c>
      <c r="B4" s="20" t="s">
        <v>2169</v>
      </c>
    </row>
    <row r="5" customFormat="false" ht="15" hidden="false" customHeight="false" outlineLevel="0" collapsed="false">
      <c r="A5" s="93" t="s">
        <v>2170</v>
      </c>
      <c r="B5" s="20" t="s">
        <v>2171</v>
      </c>
    </row>
    <row r="6" customFormat="false" ht="23.85" hidden="false" customHeight="false" outlineLevel="0" collapsed="false">
      <c r="A6" s="93" t="s">
        <v>2172</v>
      </c>
      <c r="B6" s="20" t="s">
        <v>2173</v>
      </c>
    </row>
    <row r="7" customFormat="false" ht="15" hidden="false" customHeight="false" outlineLevel="0" collapsed="false">
      <c r="A7" s="93" t="s">
        <v>2174</v>
      </c>
      <c r="B7" s="20" t="s">
        <v>2175</v>
      </c>
    </row>
    <row r="8" customFormat="false" ht="15" hidden="false" customHeight="false" outlineLevel="0" collapsed="false">
      <c r="A8" s="93" t="s">
        <v>2176</v>
      </c>
      <c r="B8" s="20" t="s">
        <v>2177</v>
      </c>
    </row>
    <row r="9" customFormat="false" ht="15" hidden="false" customHeight="false" outlineLevel="0" collapsed="false">
      <c r="A9" s="93" t="s">
        <v>2178</v>
      </c>
      <c r="B9" s="20" t="s">
        <v>2179</v>
      </c>
    </row>
    <row r="10" customFormat="false" ht="15" hidden="false" customHeight="false" outlineLevel="0" collapsed="false">
      <c r="A10" s="93" t="s">
        <v>2180</v>
      </c>
      <c r="B10" s="20" t="s">
        <v>2181</v>
      </c>
    </row>
    <row r="11" customFormat="false" ht="15" hidden="false" customHeight="false" outlineLevel="0" collapsed="false">
      <c r="A11" s="93" t="s">
        <v>2182</v>
      </c>
      <c r="B11" s="20" t="s">
        <v>2183</v>
      </c>
    </row>
    <row r="12" customFormat="false" ht="23.85" hidden="false" customHeight="false" outlineLevel="0" collapsed="false">
      <c r="A12" s="93" t="s">
        <v>2184</v>
      </c>
      <c r="B12" s="20" t="s">
        <v>2185</v>
      </c>
    </row>
    <row r="13" customFormat="false" ht="15" hidden="false" customHeight="false" outlineLevel="0" collapsed="false">
      <c r="A13" s="93" t="s">
        <v>2186</v>
      </c>
      <c r="B13" s="20" t="s">
        <v>2187</v>
      </c>
    </row>
    <row r="14" customFormat="false" ht="15" hidden="false" customHeight="false" outlineLevel="0" collapsed="false">
      <c r="A14" s="93" t="s">
        <v>2188</v>
      </c>
      <c r="B14" s="20" t="s">
        <v>2189</v>
      </c>
    </row>
    <row r="15" customFormat="false" ht="15" hidden="false" customHeight="false" outlineLevel="0" collapsed="false">
      <c r="A15" s="93" t="s">
        <v>2190</v>
      </c>
      <c r="B15" s="20" t="s">
        <v>2191</v>
      </c>
    </row>
    <row r="17" customFormat="false" ht="15" hidden="false" customHeight="true" outlineLevel="0" collapsed="false">
      <c r="A17" s="2" t="s">
        <v>2192</v>
      </c>
      <c r="B17" s="2"/>
    </row>
    <row r="18" customFormat="false" ht="15" hidden="false" customHeight="false" outlineLevel="0" collapsed="false">
      <c r="A18" s="20" t="s">
        <v>2193</v>
      </c>
      <c r="B18" s="20" t="s">
        <v>2194</v>
      </c>
    </row>
    <row r="19" customFormat="false" ht="15" hidden="false" customHeight="false" outlineLevel="0" collapsed="false">
      <c r="A19" s="20" t="s">
        <v>2195</v>
      </c>
      <c r="B19" s="20" t="s">
        <v>2196</v>
      </c>
    </row>
    <row r="20" customFormat="false" ht="15" hidden="false" customHeight="false" outlineLevel="0" collapsed="false">
      <c r="A20" s="20" t="s">
        <v>2197</v>
      </c>
      <c r="B20" s="20" t="s">
        <v>2198</v>
      </c>
    </row>
    <row r="21" customFormat="false" ht="15" hidden="false" customHeight="false" outlineLevel="0" collapsed="false">
      <c r="A21" s="20" t="s">
        <v>2199</v>
      </c>
      <c r="B21" s="20" t="s">
        <v>2200</v>
      </c>
    </row>
    <row r="22" customFormat="false" ht="15" hidden="false" customHeight="false" outlineLevel="0" collapsed="false">
      <c r="A22" s="20" t="s">
        <v>2201</v>
      </c>
      <c r="B22" s="20" t="s">
        <v>2202</v>
      </c>
    </row>
    <row r="23" customFormat="false" ht="15" hidden="false" customHeight="false" outlineLevel="0" collapsed="false">
      <c r="A23" s="20" t="s">
        <v>2203</v>
      </c>
      <c r="B23" s="20" t="s">
        <v>2204</v>
      </c>
    </row>
    <row r="24" customFormat="false" ht="15" hidden="false" customHeight="false" outlineLevel="0" collapsed="false">
      <c r="A24" s="20" t="s">
        <v>2205</v>
      </c>
      <c r="B24" s="20" t="s">
        <v>2206</v>
      </c>
    </row>
    <row r="25" customFormat="false" ht="15" hidden="false" customHeight="false" outlineLevel="0" collapsed="false">
      <c r="A25" s="20" t="s">
        <v>2207</v>
      </c>
      <c r="B25" s="20" t="s">
        <v>2208</v>
      </c>
    </row>
    <row r="26" customFormat="false" ht="15" hidden="false" customHeight="false" outlineLevel="0" collapsed="false">
      <c r="A26" s="20" t="s">
        <v>2209</v>
      </c>
      <c r="B26" s="20" t="s">
        <v>2210</v>
      </c>
    </row>
    <row r="27" customFormat="false" ht="15" hidden="false" customHeight="false" outlineLevel="0" collapsed="false">
      <c r="A27" s="20" t="s">
        <v>2211</v>
      </c>
      <c r="B27" s="20" t="s">
        <v>2212</v>
      </c>
    </row>
    <row r="28" customFormat="false" ht="15" hidden="false" customHeight="false" outlineLevel="0" collapsed="false">
      <c r="A28" s="20" t="s">
        <v>2213</v>
      </c>
      <c r="B28" s="20" t="s">
        <v>2214</v>
      </c>
    </row>
    <row r="29" customFormat="false" ht="15" hidden="false" customHeight="false" outlineLevel="0" collapsed="false">
      <c r="A29" s="20" t="s">
        <v>2215</v>
      </c>
      <c r="B29" s="20" t="s">
        <v>2216</v>
      </c>
    </row>
    <row r="30" customFormat="false" ht="15" hidden="false" customHeight="false" outlineLevel="0" collapsed="false">
      <c r="A30" s="20" t="s">
        <v>2217</v>
      </c>
      <c r="B30" s="20" t="s">
        <v>2218</v>
      </c>
    </row>
    <row r="31" customFormat="false" ht="15" hidden="false" customHeight="false" outlineLevel="0" collapsed="false">
      <c r="A31" s="20" t="s">
        <v>2219</v>
      </c>
      <c r="B31" s="20" t="s">
        <v>2220</v>
      </c>
    </row>
    <row r="32" customFormat="false" ht="15" hidden="false" customHeight="false" outlineLevel="0" collapsed="false">
      <c r="A32" s="20" t="s">
        <v>2221</v>
      </c>
      <c r="B32" s="20" t="s">
        <v>2222</v>
      </c>
    </row>
    <row r="33" customFormat="false" ht="15" hidden="false" customHeight="false" outlineLevel="0" collapsed="false">
      <c r="A33" s="20" t="s">
        <v>2223</v>
      </c>
      <c r="B33" s="20" t="s">
        <v>2224</v>
      </c>
    </row>
    <row r="34" customFormat="false" ht="15" hidden="false" customHeight="false" outlineLevel="0" collapsed="false">
      <c r="A34" s="20" t="s">
        <v>2225</v>
      </c>
      <c r="B34" s="20" t="s">
        <v>2226</v>
      </c>
    </row>
    <row r="36" customFormat="false" ht="15" hidden="false" customHeight="true" outlineLevel="0" collapsed="false">
      <c r="A36" s="2" t="s">
        <v>2227</v>
      </c>
      <c r="B36" s="2"/>
    </row>
    <row r="37" customFormat="false" ht="23.85" hidden="false" customHeight="false" outlineLevel="0" collapsed="false">
      <c r="A37" s="93" t="s">
        <v>2228</v>
      </c>
      <c r="B37" s="20" t="s">
        <v>2229</v>
      </c>
    </row>
    <row r="38" customFormat="false" ht="23.85" hidden="false" customHeight="false" outlineLevel="0" collapsed="false">
      <c r="A38" s="93" t="s">
        <v>2230</v>
      </c>
      <c r="B38" s="20" t="s">
        <v>2231</v>
      </c>
    </row>
    <row r="39" customFormat="false" ht="23.85" hidden="false" customHeight="false" outlineLevel="0" collapsed="false">
      <c r="A39" s="93" t="s">
        <v>2232</v>
      </c>
      <c r="B39" s="20" t="s">
        <v>2233</v>
      </c>
    </row>
    <row r="40" customFormat="false" ht="35.05" hidden="false" customHeight="false" outlineLevel="0" collapsed="false">
      <c r="A40" s="93" t="s">
        <v>2234</v>
      </c>
      <c r="B40" s="20" t="s">
        <v>2235</v>
      </c>
    </row>
    <row r="41" customFormat="false" ht="23.85" hidden="false" customHeight="false" outlineLevel="0" collapsed="false">
      <c r="A41" s="93" t="s">
        <v>2236</v>
      </c>
      <c r="B41" s="20" t="s">
        <v>2237</v>
      </c>
    </row>
    <row r="42" customFormat="false" ht="15" hidden="false" customHeight="false" outlineLevel="0" collapsed="false">
      <c r="A42" s="93" t="s">
        <v>2238</v>
      </c>
      <c r="B42" s="20" t="s">
        <v>2239</v>
      </c>
    </row>
    <row r="43" customFormat="false" ht="23.85" hidden="false" customHeight="false" outlineLevel="0" collapsed="false">
      <c r="A43" s="93" t="s">
        <v>2240</v>
      </c>
      <c r="B43" s="20" t="s">
        <v>2241</v>
      </c>
    </row>
    <row r="44" customFormat="false" ht="23.85" hidden="false" customHeight="false" outlineLevel="0" collapsed="false">
      <c r="A44" s="93" t="s">
        <v>2242</v>
      </c>
      <c r="B44" s="20" t="s">
        <v>2243</v>
      </c>
    </row>
    <row r="45" customFormat="false" ht="15" hidden="false" customHeight="false" outlineLevel="0" collapsed="false">
      <c r="A45" s="93" t="s">
        <v>2244</v>
      </c>
      <c r="B45" s="20" t="s">
        <v>2245</v>
      </c>
    </row>
    <row r="46" customFormat="false" ht="15" hidden="false" customHeight="false" outlineLevel="0" collapsed="false">
      <c r="A46" s="93" t="s">
        <v>2246</v>
      </c>
      <c r="B46" s="20" t="s">
        <v>2247</v>
      </c>
    </row>
    <row r="47" customFormat="false" ht="23.85" hidden="false" customHeight="false" outlineLevel="0" collapsed="false">
      <c r="A47" s="93" t="s">
        <v>2248</v>
      </c>
      <c r="B47" s="20" t="s">
        <v>2249</v>
      </c>
    </row>
    <row r="48" customFormat="false" ht="35.05" hidden="false" customHeight="false" outlineLevel="0" collapsed="false">
      <c r="A48" s="93" t="s">
        <v>2250</v>
      </c>
      <c r="B48" s="20" t="s">
        <v>2251</v>
      </c>
    </row>
    <row r="49" customFormat="false" ht="23.85" hidden="false" customHeight="false" outlineLevel="0" collapsed="false">
      <c r="A49" s="93" t="s">
        <v>2252</v>
      </c>
      <c r="B49" s="20" t="s">
        <v>2253</v>
      </c>
    </row>
    <row r="50" customFormat="false" ht="23.85" hidden="false" customHeight="false" outlineLevel="0" collapsed="false">
      <c r="A50" s="93" t="s">
        <v>2254</v>
      </c>
      <c r="B50" s="20" t="s">
        <v>2255</v>
      </c>
    </row>
    <row r="51" customFormat="false" ht="23.85" hidden="false" customHeight="false" outlineLevel="0" collapsed="false">
      <c r="A51" s="93" t="s">
        <v>2256</v>
      </c>
      <c r="B51" s="20" t="s">
        <v>2257</v>
      </c>
    </row>
    <row r="52" customFormat="false" ht="15" hidden="false" customHeight="false" outlineLevel="0" collapsed="false">
      <c r="A52" s="93" t="s">
        <v>2258</v>
      </c>
      <c r="B52" s="20" t="s">
        <v>2259</v>
      </c>
    </row>
    <row r="53" customFormat="false" ht="23.85" hidden="false" customHeight="false" outlineLevel="0" collapsed="false">
      <c r="A53" s="93" t="s">
        <v>2260</v>
      </c>
      <c r="B53" s="20" t="s">
        <v>2261</v>
      </c>
    </row>
    <row r="54" customFormat="false" ht="15" hidden="false" customHeight="false" outlineLevel="0" collapsed="false">
      <c r="A54" s="93" t="s">
        <v>2262</v>
      </c>
      <c r="B54" s="20" t="s">
        <v>2263</v>
      </c>
    </row>
    <row r="55" customFormat="false" ht="23.85" hidden="false" customHeight="false" outlineLevel="0" collapsed="false">
      <c r="A55" s="93" t="s">
        <v>2264</v>
      </c>
      <c r="B55" s="20" t="s">
        <v>2265</v>
      </c>
    </row>
    <row r="56" customFormat="false" ht="23.85" hidden="false" customHeight="false" outlineLevel="0" collapsed="false">
      <c r="A56" s="93" t="s">
        <v>2266</v>
      </c>
      <c r="B56" s="20" t="s">
        <v>2267</v>
      </c>
    </row>
    <row r="57" customFormat="false" ht="15" hidden="false" customHeight="false" outlineLevel="0" collapsed="false">
      <c r="A57" s="93" t="s">
        <v>2268</v>
      </c>
      <c r="B57" s="20" t="s">
        <v>2269</v>
      </c>
    </row>
    <row r="58" customFormat="false" ht="23.85" hidden="false" customHeight="false" outlineLevel="0" collapsed="false">
      <c r="A58" s="93" t="s">
        <v>2270</v>
      </c>
      <c r="B58" s="20" t="s">
        <v>2271</v>
      </c>
    </row>
    <row r="59" customFormat="false" ht="15" hidden="false" customHeight="false" outlineLevel="0" collapsed="false">
      <c r="A59" s="93" t="s">
        <v>2272</v>
      </c>
      <c r="B59" s="20" t="s">
        <v>2273</v>
      </c>
    </row>
    <row r="60" customFormat="false" ht="15" hidden="false" customHeight="false" outlineLevel="0" collapsed="false">
      <c r="A60" s="93" t="s">
        <v>2274</v>
      </c>
      <c r="B60" s="20" t="s">
        <v>2275</v>
      </c>
    </row>
    <row r="61" customFormat="false" ht="15" hidden="false" customHeight="false" outlineLevel="0" collapsed="false">
      <c r="A61" s="93" t="s">
        <v>2276</v>
      </c>
      <c r="B61" s="20" t="s">
        <v>2277</v>
      </c>
    </row>
    <row r="63" customFormat="false" ht="15" hidden="false" customHeight="true" outlineLevel="0" collapsed="false">
      <c r="A63" s="2" t="s">
        <v>2278</v>
      </c>
      <c r="B63" s="2"/>
    </row>
    <row r="64" customFormat="false" ht="23.85" hidden="false" customHeight="false" outlineLevel="0" collapsed="false">
      <c r="A64" s="93" t="s">
        <v>2279</v>
      </c>
      <c r="B64" s="20" t="s">
        <v>2280</v>
      </c>
    </row>
    <row r="65" customFormat="false" ht="15" hidden="false" customHeight="false" outlineLevel="0" collapsed="false">
      <c r="A65" s="93" t="s">
        <v>2281</v>
      </c>
      <c r="B65" s="20" t="s">
        <v>2282</v>
      </c>
    </row>
    <row r="66" customFormat="false" ht="23.85" hidden="false" customHeight="false" outlineLevel="0" collapsed="false">
      <c r="A66" s="93" t="s">
        <v>2283</v>
      </c>
      <c r="B66" s="20" t="s">
        <v>2284</v>
      </c>
    </row>
    <row r="67" customFormat="false" ht="15" hidden="false" customHeight="false" outlineLevel="0" collapsed="false">
      <c r="A67" s="93" t="s">
        <v>2285</v>
      </c>
      <c r="B67" s="20" t="s">
        <v>2286</v>
      </c>
    </row>
    <row r="68" customFormat="false" ht="23.85" hidden="false" customHeight="false" outlineLevel="0" collapsed="false">
      <c r="A68" s="93" t="s">
        <v>2287</v>
      </c>
      <c r="B68" s="20" t="s">
        <v>2288</v>
      </c>
    </row>
    <row r="69" customFormat="false" ht="23.85" hidden="false" customHeight="false" outlineLevel="0" collapsed="false">
      <c r="A69" s="93" t="s">
        <v>2289</v>
      </c>
      <c r="B69" s="20" t="s">
        <v>2290</v>
      </c>
    </row>
    <row r="70" customFormat="false" ht="35.05" hidden="false" customHeight="false" outlineLevel="0" collapsed="false">
      <c r="A70" s="93" t="s">
        <v>2291</v>
      </c>
      <c r="B70" s="20" t="s">
        <v>2292</v>
      </c>
    </row>
    <row r="71" customFormat="false" ht="23.85" hidden="false" customHeight="false" outlineLevel="0" collapsed="false">
      <c r="A71" s="93" t="s">
        <v>2293</v>
      </c>
      <c r="B71" s="20" t="s">
        <v>2294</v>
      </c>
    </row>
    <row r="72" customFormat="false" ht="23.85" hidden="false" customHeight="false" outlineLevel="0" collapsed="false">
      <c r="A72" s="93" t="s">
        <v>2295</v>
      </c>
      <c r="B72" s="20" t="s">
        <v>2296</v>
      </c>
    </row>
    <row r="73" customFormat="false" ht="15" hidden="false" customHeight="false" outlineLevel="0" collapsed="false">
      <c r="A73" s="93" t="s">
        <v>2297</v>
      </c>
      <c r="B73" s="20" t="s">
        <v>2298</v>
      </c>
    </row>
    <row r="74" customFormat="false" ht="35.05" hidden="false" customHeight="false" outlineLevel="0" collapsed="false">
      <c r="A74" s="93" t="s">
        <v>2299</v>
      </c>
      <c r="B74" s="20" t="s">
        <v>2300</v>
      </c>
    </row>
    <row r="75" customFormat="false" ht="15" hidden="false" customHeight="false" outlineLevel="0" collapsed="false">
      <c r="A75" s="93" t="s">
        <v>2301</v>
      </c>
      <c r="B75" s="20" t="s">
        <v>2302</v>
      </c>
    </row>
    <row r="76" customFormat="false" ht="15" hidden="false" customHeight="false" outlineLevel="0" collapsed="false">
      <c r="A76" s="93" t="s">
        <v>2303</v>
      </c>
      <c r="B76" s="20" t="s">
        <v>2304</v>
      </c>
    </row>
    <row r="78" customFormat="false" ht="15" hidden="false" customHeight="true" outlineLevel="0" collapsed="false">
      <c r="A78" s="2" t="s">
        <v>2305</v>
      </c>
      <c r="B78" s="2"/>
    </row>
    <row r="79" customFormat="false" ht="23.85" hidden="false" customHeight="false" outlineLevel="0" collapsed="false">
      <c r="A79" s="93" t="s">
        <v>2306</v>
      </c>
      <c r="B79" s="20" t="s">
        <v>2307</v>
      </c>
    </row>
    <row r="80" customFormat="false" ht="23.85" hidden="false" customHeight="false" outlineLevel="0" collapsed="false">
      <c r="A80" s="93" t="s">
        <v>2308</v>
      </c>
      <c r="B80" s="20" t="s">
        <v>2309</v>
      </c>
    </row>
    <row r="81" customFormat="false" ht="23.85" hidden="false" customHeight="false" outlineLevel="0" collapsed="false">
      <c r="A81" s="93" t="s">
        <v>2310</v>
      </c>
      <c r="B81" s="20" t="s">
        <v>2311</v>
      </c>
    </row>
    <row r="82" customFormat="false" ht="23.85" hidden="false" customHeight="false" outlineLevel="0" collapsed="false">
      <c r="A82" s="93" t="s">
        <v>2312</v>
      </c>
      <c r="B82" s="20" t="s">
        <v>2313</v>
      </c>
    </row>
    <row r="83" customFormat="false" ht="35.05" hidden="false" customHeight="false" outlineLevel="0" collapsed="false">
      <c r="A83" s="93" t="s">
        <v>2314</v>
      </c>
      <c r="B83" s="20" t="s">
        <v>2315</v>
      </c>
    </row>
    <row r="84" customFormat="false" ht="35.05" hidden="false" customHeight="false" outlineLevel="0" collapsed="false">
      <c r="A84" s="93" t="s">
        <v>2316</v>
      </c>
      <c r="B84" s="20" t="s">
        <v>2317</v>
      </c>
    </row>
    <row r="85" customFormat="false" ht="15" hidden="false" customHeight="false" outlineLevel="0" collapsed="false">
      <c r="A85" s="93" t="s">
        <v>2318</v>
      </c>
      <c r="B85" s="20" t="s">
        <v>2319</v>
      </c>
    </row>
    <row r="86" customFormat="false" ht="23.85" hidden="false" customHeight="false" outlineLevel="0" collapsed="false">
      <c r="A86" s="93" t="s">
        <v>2320</v>
      </c>
      <c r="B86" s="20" t="s">
        <v>2321</v>
      </c>
    </row>
    <row r="88" customFormat="false" ht="15" hidden="false" customHeight="true" outlineLevel="0" collapsed="false">
      <c r="A88" s="2" t="s">
        <v>2322</v>
      </c>
      <c r="B88" s="2"/>
    </row>
    <row r="89" customFormat="false" ht="23.85" hidden="false" customHeight="false" outlineLevel="0" collapsed="false">
      <c r="A89" s="93" t="s">
        <v>2323</v>
      </c>
      <c r="B89" s="20" t="s">
        <v>2324</v>
      </c>
    </row>
    <row r="90" customFormat="false" ht="23.85" hidden="false" customHeight="false" outlineLevel="0" collapsed="false">
      <c r="A90" s="93" t="s">
        <v>2325</v>
      </c>
      <c r="B90" s="20" t="s">
        <v>2326</v>
      </c>
    </row>
    <row r="91" customFormat="false" ht="23.85" hidden="false" customHeight="false" outlineLevel="0" collapsed="false">
      <c r="A91" s="93" t="s">
        <v>2327</v>
      </c>
      <c r="B91" s="20" t="s">
        <v>2328</v>
      </c>
    </row>
    <row r="92" customFormat="false" ht="15" hidden="false" customHeight="false" outlineLevel="0" collapsed="false">
      <c r="A92" s="93" t="s">
        <v>2329</v>
      </c>
      <c r="B92" s="20" t="s">
        <v>2330</v>
      </c>
    </row>
    <row r="93" customFormat="false" ht="35.05" hidden="false" customHeight="false" outlineLevel="0" collapsed="false">
      <c r="A93" s="93" t="s">
        <v>2331</v>
      </c>
      <c r="B93" s="20" t="s">
        <v>2332</v>
      </c>
    </row>
    <row r="94" customFormat="false" ht="23.85" hidden="false" customHeight="false" outlineLevel="0" collapsed="false">
      <c r="A94" s="93" t="s">
        <v>2333</v>
      </c>
      <c r="B94" s="20" t="s">
        <v>2334</v>
      </c>
    </row>
    <row r="95" customFormat="false" ht="23.85" hidden="false" customHeight="false" outlineLevel="0" collapsed="false">
      <c r="A95" s="93" t="s">
        <v>2335</v>
      </c>
      <c r="B95" s="20" t="s">
        <v>2336</v>
      </c>
    </row>
    <row r="97" customFormat="false" ht="15" hidden="false" customHeight="true" outlineLevel="0" collapsed="false">
      <c r="A97" s="2" t="s">
        <v>2337</v>
      </c>
      <c r="B97" s="2"/>
    </row>
    <row r="98" customFormat="false" ht="46.25" hidden="false" customHeight="false" outlineLevel="0" collapsed="false">
      <c r="A98" s="93" t="s">
        <v>2338</v>
      </c>
      <c r="B98" s="20" t="s">
        <v>2339</v>
      </c>
    </row>
    <row r="99" customFormat="false" ht="23.85" hidden="false" customHeight="false" outlineLevel="0" collapsed="false">
      <c r="A99" s="93" t="s">
        <v>2340</v>
      </c>
      <c r="B99" s="20" t="s">
        <v>2341</v>
      </c>
    </row>
    <row r="100" customFormat="false" ht="23.85" hidden="false" customHeight="false" outlineLevel="0" collapsed="false">
      <c r="A100" s="93" t="s">
        <v>2342</v>
      </c>
      <c r="B100" s="20" t="s">
        <v>2343</v>
      </c>
    </row>
    <row r="101" customFormat="false" ht="35.05" hidden="false" customHeight="false" outlineLevel="0" collapsed="false">
      <c r="A101" s="93" t="s">
        <v>2344</v>
      </c>
      <c r="B101" s="20" t="s">
        <v>2345</v>
      </c>
    </row>
    <row r="102" customFormat="false" ht="35.05" hidden="false" customHeight="false" outlineLevel="0" collapsed="false">
      <c r="A102" s="93" t="s">
        <v>2346</v>
      </c>
      <c r="B102" s="20" t="s">
        <v>2347</v>
      </c>
    </row>
    <row r="103" customFormat="false" ht="23.85" hidden="false" customHeight="false" outlineLevel="0" collapsed="false">
      <c r="A103" s="93" t="s">
        <v>2348</v>
      </c>
      <c r="B103" s="20" t="s">
        <v>2349</v>
      </c>
    </row>
    <row r="104" customFormat="false" ht="35.05" hidden="false" customHeight="false" outlineLevel="0" collapsed="false">
      <c r="A104" s="93" t="s">
        <v>2350</v>
      </c>
      <c r="B104" s="20" t="s">
        <v>2351</v>
      </c>
    </row>
    <row r="105" customFormat="false" ht="35.05" hidden="false" customHeight="false" outlineLevel="0" collapsed="false">
      <c r="A105" s="93" t="s">
        <v>2352</v>
      </c>
      <c r="B105" s="20" t="s">
        <v>2353</v>
      </c>
    </row>
    <row r="106" customFormat="false" ht="46.25" hidden="false" customHeight="false" outlineLevel="0" collapsed="false">
      <c r="A106" s="93" t="s">
        <v>2354</v>
      </c>
      <c r="B106" s="20" t="s">
        <v>2355</v>
      </c>
    </row>
    <row r="107" customFormat="false" ht="15" hidden="false" customHeight="false" outlineLevel="0" collapsed="false">
      <c r="A107" s="93" t="s">
        <v>2356</v>
      </c>
      <c r="B107" s="20" t="s">
        <v>2357</v>
      </c>
    </row>
    <row r="108" customFormat="false" ht="23.85" hidden="false" customHeight="false" outlineLevel="0" collapsed="false">
      <c r="A108" s="93" t="s">
        <v>2358</v>
      </c>
      <c r="B108" s="20" t="s">
        <v>2359</v>
      </c>
    </row>
    <row r="109" customFormat="false" ht="23.85" hidden="false" customHeight="false" outlineLevel="0" collapsed="false">
      <c r="A109" s="93" t="s">
        <v>2360</v>
      </c>
      <c r="B109" s="20" t="s">
        <v>2361</v>
      </c>
    </row>
    <row r="111" customFormat="false" ht="15" hidden="false" customHeight="true" outlineLevel="0" collapsed="false">
      <c r="A111" s="2" t="s">
        <v>2362</v>
      </c>
      <c r="B111" s="2"/>
    </row>
    <row r="112" customFormat="false" ht="23.85" hidden="false" customHeight="false" outlineLevel="0" collapsed="false">
      <c r="A112" s="93" t="s">
        <v>2363</v>
      </c>
      <c r="B112" s="20" t="s">
        <v>2364</v>
      </c>
    </row>
    <row r="113" customFormat="false" ht="15" hidden="false" customHeight="false" outlineLevel="0" collapsed="false">
      <c r="A113" s="93" t="s">
        <v>2365</v>
      </c>
      <c r="B113" s="20" t="s">
        <v>2366</v>
      </c>
    </row>
    <row r="114" customFormat="false" ht="23.85" hidden="false" customHeight="false" outlineLevel="0" collapsed="false">
      <c r="A114" s="93" t="s">
        <v>2367</v>
      </c>
      <c r="B114" s="20" t="s">
        <v>2368</v>
      </c>
    </row>
    <row r="115" customFormat="false" ht="23.85" hidden="false" customHeight="false" outlineLevel="0" collapsed="false">
      <c r="A115" s="93" t="s">
        <v>2369</v>
      </c>
      <c r="B115" s="20" t="s">
        <v>2370</v>
      </c>
    </row>
    <row r="116" customFormat="false" ht="35.05" hidden="false" customHeight="false" outlineLevel="0" collapsed="false">
      <c r="A116" s="93" t="s">
        <v>2371</v>
      </c>
      <c r="B116" s="20" t="s">
        <v>2372</v>
      </c>
    </row>
    <row r="117" customFormat="false" ht="46.25" hidden="false" customHeight="false" outlineLevel="0" collapsed="false">
      <c r="A117" s="93" t="s">
        <v>2373</v>
      </c>
      <c r="B117" s="20" t="s">
        <v>2374</v>
      </c>
    </row>
    <row r="119" customFormat="false" ht="15" hidden="false" customHeight="true" outlineLevel="0" collapsed="false">
      <c r="A119" s="2" t="s">
        <v>2375</v>
      </c>
      <c r="B119" s="2"/>
    </row>
    <row r="120" customFormat="false" ht="35.05" hidden="false" customHeight="false" outlineLevel="0" collapsed="false">
      <c r="A120" s="93" t="s">
        <v>2363</v>
      </c>
      <c r="B120" s="20" t="s">
        <v>2376</v>
      </c>
    </row>
    <row r="121" customFormat="false" ht="15" hidden="false" customHeight="false" outlineLevel="0" collapsed="false">
      <c r="A121" s="93" t="s">
        <v>2377</v>
      </c>
      <c r="B121" s="20" t="s">
        <v>2378</v>
      </c>
    </row>
    <row r="122" customFormat="false" ht="23.85" hidden="false" customHeight="false" outlineLevel="0" collapsed="false">
      <c r="A122" s="93" t="s">
        <v>2379</v>
      </c>
      <c r="B122" s="20" t="s">
        <v>2380</v>
      </c>
    </row>
    <row r="123" customFormat="false" ht="23.85" hidden="false" customHeight="false" outlineLevel="0" collapsed="false">
      <c r="A123" s="93" t="s">
        <v>2381</v>
      </c>
      <c r="B123" s="20" t="s">
        <v>2382</v>
      </c>
    </row>
    <row r="124" customFormat="false" ht="35.05" hidden="false" customHeight="false" outlineLevel="0" collapsed="false">
      <c r="A124" s="93" t="s">
        <v>2371</v>
      </c>
      <c r="B124" s="20" t="s">
        <v>2383</v>
      </c>
    </row>
    <row r="126" customFormat="false" ht="15" hidden="false" customHeight="true" outlineLevel="0" collapsed="false">
      <c r="A126" s="2" t="s">
        <v>2384</v>
      </c>
      <c r="B126" s="2"/>
    </row>
    <row r="127" customFormat="false" ht="23.85" hidden="false" customHeight="false" outlineLevel="0" collapsed="false">
      <c r="A127" s="93" t="s">
        <v>2363</v>
      </c>
      <c r="B127" s="20" t="s">
        <v>2385</v>
      </c>
    </row>
    <row r="128" customFormat="false" ht="23.85" hidden="false" customHeight="false" outlineLevel="0" collapsed="false">
      <c r="A128" s="93" t="s">
        <v>2386</v>
      </c>
      <c r="B128" s="20" t="s">
        <v>2387</v>
      </c>
    </row>
    <row r="129" customFormat="false" ht="15" hidden="false" customHeight="false" outlineLevel="0" collapsed="false">
      <c r="A129" s="93" t="s">
        <v>2388</v>
      </c>
      <c r="B129" s="20" t="s">
        <v>2389</v>
      </c>
    </row>
    <row r="130" customFormat="false" ht="23.85" hidden="false" customHeight="false" outlineLevel="0" collapsed="false">
      <c r="A130" s="93" t="s">
        <v>2390</v>
      </c>
      <c r="B130" s="20" t="s">
        <v>2391</v>
      </c>
    </row>
    <row r="131" customFormat="false" ht="23.85" hidden="false" customHeight="false" outlineLevel="0" collapsed="false">
      <c r="A131" s="93" t="s">
        <v>2392</v>
      </c>
      <c r="B131" s="20" t="s">
        <v>2393</v>
      </c>
    </row>
    <row r="132" customFormat="false" ht="15" hidden="false" customHeight="false" outlineLevel="0" collapsed="false">
      <c r="A132" s="93" t="s">
        <v>2394</v>
      </c>
      <c r="B132" s="20" t="s">
        <v>2395</v>
      </c>
    </row>
    <row r="133" customFormat="false" ht="35.05" hidden="false" customHeight="false" outlineLevel="0" collapsed="false">
      <c r="A133" s="93" t="s">
        <v>2373</v>
      </c>
      <c r="B133" s="20" t="s">
        <v>2396</v>
      </c>
    </row>
    <row r="134" customFormat="false" ht="35.05" hidden="false" customHeight="false" outlineLevel="0" collapsed="false">
      <c r="A134" s="93" t="s">
        <v>2371</v>
      </c>
      <c r="B134" s="20" t="s">
        <v>2397</v>
      </c>
    </row>
    <row r="136" customFormat="false" ht="15" hidden="false" customHeight="true" outlineLevel="0" collapsed="false">
      <c r="A136" s="2" t="s">
        <v>2398</v>
      </c>
      <c r="B136" s="2"/>
    </row>
    <row r="137" customFormat="false" ht="15" hidden="false" customHeight="false" outlineLevel="0" collapsed="false">
      <c r="A137" s="93" t="s">
        <v>2399</v>
      </c>
      <c r="B137" s="20" t="s">
        <v>2400</v>
      </c>
    </row>
    <row r="138" customFormat="false" ht="15" hidden="false" customHeight="false" outlineLevel="0" collapsed="false">
      <c r="A138" s="93" t="s">
        <v>2401</v>
      </c>
      <c r="B138" s="20" t="s">
        <v>2402</v>
      </c>
    </row>
    <row r="139" customFormat="false" ht="23.85" hidden="false" customHeight="false" outlineLevel="0" collapsed="false">
      <c r="A139" s="93" t="s">
        <v>2403</v>
      </c>
      <c r="B139" s="20" t="s">
        <v>2404</v>
      </c>
    </row>
    <row r="140" customFormat="false" ht="23.85" hidden="false" customHeight="false" outlineLevel="0" collapsed="false">
      <c r="A140" s="93" t="s">
        <v>2405</v>
      </c>
      <c r="B140" s="20" t="s">
        <v>2406</v>
      </c>
    </row>
    <row r="142" customFormat="false" ht="15" hidden="false" customHeight="true" outlineLevel="0" collapsed="false">
      <c r="A142" s="2" t="s">
        <v>2407</v>
      </c>
      <c r="B142" s="2"/>
    </row>
    <row r="143" customFormat="false" ht="23.85" hidden="false" customHeight="false" outlineLevel="0" collapsed="false">
      <c r="A143" s="93" t="s">
        <v>2408</v>
      </c>
      <c r="B143" s="20" t="s">
        <v>2409</v>
      </c>
    </row>
    <row r="144" customFormat="false" ht="35.05" hidden="false" customHeight="false" outlineLevel="0" collapsed="false">
      <c r="A144" s="93" t="s">
        <v>2410</v>
      </c>
      <c r="B144" s="20" t="s">
        <v>2411</v>
      </c>
    </row>
    <row r="145" customFormat="false" ht="23.85" hidden="false" customHeight="false" outlineLevel="0" collapsed="false">
      <c r="A145" s="93" t="s">
        <v>2412</v>
      </c>
      <c r="B145" s="20" t="s">
        <v>2413</v>
      </c>
    </row>
    <row r="146" customFormat="false" ht="23.85" hidden="false" customHeight="false" outlineLevel="0" collapsed="false">
      <c r="A146" s="93" t="s">
        <v>2414</v>
      </c>
      <c r="B146" s="20" t="s">
        <v>2415</v>
      </c>
    </row>
    <row r="147" customFormat="false" ht="15" hidden="false" customHeight="false" outlineLevel="0" collapsed="false">
      <c r="A147" s="93" t="s">
        <v>2416</v>
      </c>
      <c r="B147" s="20" t="s">
        <v>2417</v>
      </c>
    </row>
    <row r="148" customFormat="false" ht="23.85" hidden="false" customHeight="false" outlineLevel="0" collapsed="false">
      <c r="A148" s="93" t="s">
        <v>2418</v>
      </c>
      <c r="B148" s="20" t="s">
        <v>2419</v>
      </c>
    </row>
    <row r="149" customFormat="false" ht="15" hidden="false" customHeight="false" outlineLevel="0" collapsed="false">
      <c r="A149" s="93" t="s">
        <v>2420</v>
      </c>
      <c r="B149" s="20" t="s">
        <v>2421</v>
      </c>
    </row>
    <row r="150" customFormat="false" ht="35.05" hidden="false" customHeight="false" outlineLevel="0" collapsed="false">
      <c r="A150" s="93" t="s">
        <v>2422</v>
      </c>
      <c r="B150" s="20" t="s">
        <v>2423</v>
      </c>
    </row>
    <row r="151" customFormat="false" ht="23.85" hidden="false" customHeight="false" outlineLevel="0" collapsed="false">
      <c r="A151" s="93" t="s">
        <v>2424</v>
      </c>
      <c r="B151" s="20" t="s">
        <v>2425</v>
      </c>
    </row>
    <row r="152" customFormat="false" ht="35.05" hidden="false" customHeight="false" outlineLevel="0" collapsed="false">
      <c r="A152" s="93" t="s">
        <v>2426</v>
      </c>
      <c r="B152" s="20" t="s">
        <v>2427</v>
      </c>
    </row>
    <row r="153" customFormat="false" ht="23.85" hidden="false" customHeight="false" outlineLevel="0" collapsed="false">
      <c r="A153" s="93" t="s">
        <v>2428</v>
      </c>
      <c r="B153" s="20" t="s">
        <v>2429</v>
      </c>
    </row>
    <row r="154" customFormat="false" ht="23.85" hidden="false" customHeight="false" outlineLevel="0" collapsed="false">
      <c r="A154" s="93" t="s">
        <v>2430</v>
      </c>
      <c r="B154" s="20" t="s">
        <v>2431</v>
      </c>
    </row>
    <row r="155" customFormat="false" ht="23.85" hidden="false" customHeight="false" outlineLevel="0" collapsed="false">
      <c r="A155" s="93" t="s">
        <v>2432</v>
      </c>
      <c r="B155" s="20" t="s">
        <v>2433</v>
      </c>
    </row>
    <row r="156" customFormat="false" ht="23.85" hidden="false" customHeight="false" outlineLevel="0" collapsed="false">
      <c r="A156" s="93" t="s">
        <v>2434</v>
      </c>
      <c r="B156" s="20" t="s">
        <v>2435</v>
      </c>
    </row>
    <row r="157" customFormat="false" ht="15" hidden="false" customHeight="false" outlineLevel="0" collapsed="false">
      <c r="A157" s="93" t="s">
        <v>2436</v>
      </c>
      <c r="B157" s="20" t="s">
        <v>2437</v>
      </c>
    </row>
    <row r="159" customFormat="false" ht="15" hidden="false" customHeight="true" outlineLevel="0" collapsed="false">
      <c r="A159" s="2" t="s">
        <v>2438</v>
      </c>
      <c r="B159" s="2"/>
    </row>
    <row r="160" customFormat="false" ht="23.85" hidden="false" customHeight="false" outlineLevel="0" collapsed="false">
      <c r="A160" s="93" t="s">
        <v>2439</v>
      </c>
      <c r="B160" s="20" t="s">
        <v>2440</v>
      </c>
    </row>
    <row r="161" customFormat="false" ht="23.85" hidden="false" customHeight="false" outlineLevel="0" collapsed="false">
      <c r="A161" s="93" t="s">
        <v>2441</v>
      </c>
      <c r="B161" s="20" t="s">
        <v>2442</v>
      </c>
    </row>
    <row r="162" customFormat="false" ht="23.85" hidden="false" customHeight="false" outlineLevel="0" collapsed="false">
      <c r="A162" s="93" t="s">
        <v>2443</v>
      </c>
      <c r="B162" s="20" t="s">
        <v>2444</v>
      </c>
    </row>
    <row r="163" customFormat="false" ht="23.85" hidden="false" customHeight="false" outlineLevel="0" collapsed="false">
      <c r="A163" s="93" t="s">
        <v>2445</v>
      </c>
      <c r="B163" s="20" t="s">
        <v>2446</v>
      </c>
    </row>
    <row r="164" customFormat="false" ht="23.85" hidden="false" customHeight="false" outlineLevel="0" collapsed="false">
      <c r="A164" s="93" t="s">
        <v>2447</v>
      </c>
      <c r="B164" s="20" t="s">
        <v>2448</v>
      </c>
    </row>
    <row r="165" customFormat="false" ht="23.85" hidden="false" customHeight="false" outlineLevel="0" collapsed="false">
      <c r="A165" s="93" t="s">
        <v>2449</v>
      </c>
      <c r="B165" s="20" t="s">
        <v>2450</v>
      </c>
    </row>
    <row r="166" customFormat="false" ht="15" hidden="false" customHeight="false" outlineLevel="0" collapsed="false">
      <c r="A166" s="93" t="s">
        <v>2451</v>
      </c>
      <c r="B166" s="20" t="s">
        <v>2452</v>
      </c>
    </row>
    <row r="167" customFormat="false" ht="15" hidden="false" customHeight="false" outlineLevel="0" collapsed="false">
      <c r="A167" s="93" t="s">
        <v>2453</v>
      </c>
      <c r="B167" s="20" t="s">
        <v>2454</v>
      </c>
    </row>
    <row r="168" customFormat="false" ht="15" hidden="false" customHeight="false" outlineLevel="0" collapsed="false">
      <c r="A168" s="93" t="s">
        <v>2455</v>
      </c>
      <c r="B168" s="20" t="s">
        <v>2456</v>
      </c>
    </row>
    <row r="170" customFormat="false" ht="15" hidden="false" customHeight="true" outlineLevel="0" collapsed="false">
      <c r="A170" s="2" t="s">
        <v>2457</v>
      </c>
      <c r="B170" s="2"/>
    </row>
    <row r="171" customFormat="false" ht="35.05" hidden="false" customHeight="false" outlineLevel="0" collapsed="false">
      <c r="A171" s="93" t="s">
        <v>2458</v>
      </c>
      <c r="B171" s="20" t="s">
        <v>2459</v>
      </c>
    </row>
    <row r="172" customFormat="false" ht="23.85" hidden="false" customHeight="false" outlineLevel="0" collapsed="false">
      <c r="A172" s="93" t="s">
        <v>2460</v>
      </c>
      <c r="B172" s="20" t="s">
        <v>2461</v>
      </c>
    </row>
    <row r="173" customFormat="false" ht="15" hidden="false" customHeight="false" outlineLevel="0" collapsed="false">
      <c r="A173" s="93" t="s">
        <v>2462</v>
      </c>
      <c r="B173" s="20" t="s">
        <v>2463</v>
      </c>
    </row>
    <row r="174" customFormat="false" ht="15" hidden="false" customHeight="false" outlineLevel="0" collapsed="false">
      <c r="A174" s="93" t="s">
        <v>2464</v>
      </c>
      <c r="B174" s="20" t="s">
        <v>2465</v>
      </c>
    </row>
    <row r="176" customFormat="false" ht="15" hidden="false" customHeight="true" outlineLevel="0" collapsed="false">
      <c r="A176" s="2" t="s">
        <v>2466</v>
      </c>
      <c r="B176" s="2"/>
    </row>
    <row r="177" customFormat="false" ht="23.85" hidden="false" customHeight="false" outlineLevel="0" collapsed="false">
      <c r="A177" s="93" t="s">
        <v>2467</v>
      </c>
      <c r="B177" s="20" t="s">
        <v>2468</v>
      </c>
    </row>
    <row r="178" customFormat="false" ht="23.85" hidden="false" customHeight="false" outlineLevel="0" collapsed="false">
      <c r="A178" s="93" t="s">
        <v>2469</v>
      </c>
      <c r="B178" s="20" t="s">
        <v>2470</v>
      </c>
    </row>
    <row r="180" customFormat="false" ht="15" hidden="false" customHeight="true" outlineLevel="0" collapsed="false">
      <c r="A180" s="2" t="s">
        <v>2471</v>
      </c>
      <c r="B180" s="2"/>
    </row>
    <row r="181" customFormat="false" ht="23.85" hidden="false" customHeight="false" outlineLevel="0" collapsed="false">
      <c r="A181" s="93" t="s">
        <v>2472</v>
      </c>
      <c r="B181" s="20" t="s">
        <v>2473</v>
      </c>
    </row>
    <row r="182" customFormat="false" ht="15" hidden="false" customHeight="false" outlineLevel="0" collapsed="false">
      <c r="A182" s="93" t="s">
        <v>2474</v>
      </c>
      <c r="B182" s="20" t="s">
        <v>2475</v>
      </c>
    </row>
    <row r="183" customFormat="false" ht="15" hidden="false" customHeight="false" outlineLevel="0" collapsed="false">
      <c r="A183" s="93" t="s">
        <v>2476</v>
      </c>
      <c r="B183" s="20" t="s">
        <v>2477</v>
      </c>
    </row>
    <row r="184" customFormat="false" ht="15" hidden="false" customHeight="false" outlineLevel="0" collapsed="false">
      <c r="A184" s="93" t="s">
        <v>2478</v>
      </c>
      <c r="B184" s="20" t="s">
        <v>2479</v>
      </c>
    </row>
    <row r="185" customFormat="false" ht="23.85" hidden="false" customHeight="false" outlineLevel="0" collapsed="false">
      <c r="A185" s="93" t="s">
        <v>2480</v>
      </c>
      <c r="B185" s="20" t="s">
        <v>2481</v>
      </c>
    </row>
    <row r="186" customFormat="false" ht="15" hidden="false" customHeight="false" outlineLevel="0" collapsed="false">
      <c r="A186" s="93" t="s">
        <v>2482</v>
      </c>
      <c r="B186" s="20" t="s">
        <v>2483</v>
      </c>
    </row>
    <row r="188" customFormat="false" ht="15" hidden="false" customHeight="true" outlineLevel="0" collapsed="false">
      <c r="A188" s="2" t="s">
        <v>2484</v>
      </c>
      <c r="B188" s="2"/>
    </row>
    <row r="189" customFormat="false" ht="15" hidden="false" customHeight="false" outlineLevel="0" collapsed="false">
      <c r="A189" s="93" t="s">
        <v>2485</v>
      </c>
      <c r="B189" s="94" t="n">
        <f aca="false">Ведомость!P2054</f>
        <v>32440.35277</v>
      </c>
    </row>
    <row r="190" customFormat="false" ht="15" hidden="false" customHeight="false" outlineLevel="0" collapsed="false">
      <c r="A190" s="93" t="s">
        <v>2486</v>
      </c>
      <c r="B190" s="94" t="n">
        <f aca="false">Ведомость!P2055</f>
        <v>30090.918882</v>
      </c>
    </row>
    <row r="191" customFormat="false" ht="15" hidden="false" customHeight="false" outlineLevel="0" collapsed="false">
      <c r="A191" s="93" t="s">
        <v>2487</v>
      </c>
      <c r="B191" s="94" t="n">
        <f aca="false">Ведомость!P2056</f>
        <v>29589.48803</v>
      </c>
    </row>
    <row r="192" customFormat="false" ht="15" hidden="false" customHeight="false" outlineLevel="0" collapsed="false">
      <c r="A192" s="93" t="s">
        <v>2488</v>
      </c>
      <c r="B192" s="94" t="n">
        <f aca="false">Ведомость!P2057</f>
        <v>28957.123474</v>
      </c>
    </row>
    <row r="193" customFormat="false" ht="15" hidden="false" customHeight="false" outlineLevel="0" collapsed="false">
      <c r="A193" s="93" t="s">
        <v>2489</v>
      </c>
      <c r="B193" s="94" t="n">
        <f aca="false">Ведомость!P2058</f>
        <v>24404.42877</v>
      </c>
    </row>
    <row r="194" customFormat="false" ht="15" hidden="false" customHeight="false" outlineLevel="0" collapsed="false">
      <c r="A194" s="93" t="s">
        <v>2490</v>
      </c>
      <c r="B194" s="94" t="n">
        <f aca="false">Ведомость!P2059</f>
        <v>145482.311926</v>
      </c>
    </row>
    <row r="195" customFormat="false" ht="15" hidden="false" customHeight="false" outlineLevel="0" collapsed="false">
      <c r="A195" s="93" t="s">
        <v>2491</v>
      </c>
      <c r="B195" s="95" t="n">
        <f aca="false">ABS('По осям'!AJ28)+ABS('По осям'!AJ74)+ABS('По осям'!AJ120)+ABS('По осям'!AJ166)+ABS('По осям'!AJ212)+ABS(потребность!R25)+ABS('Сверка ПТО'!H47)+ABS('Раскрой 11,7м'!F979)+ABS('Раскрой 11,7м'!F1000)+ABS('Раскрой 11,7м'!F1021)+ABS('Раскрой 11,7м'!F1042)+ABS('Раскрой 11,7м'!F1063)</f>
        <v>0</v>
      </c>
    </row>
    <row r="197" customFormat="false" ht="15" hidden="false" customHeight="false" outlineLevel="0" collapsed="false">
      <c r="A197" s="93" t="s">
        <v>2492</v>
      </c>
      <c r="B197" s="20" t="s">
        <v>2493</v>
      </c>
    </row>
    <row r="199" customFormat="false" ht="15" hidden="false" customHeight="true" outlineLevel="0" collapsed="false">
      <c r="A199" s="2" t="s">
        <v>2494</v>
      </c>
      <c r="B199" s="2"/>
    </row>
    <row r="200" customFormat="false" ht="15" hidden="false" customHeight="false" outlineLevel="0" collapsed="false">
      <c r="A200" s="4" t="s">
        <v>2495</v>
      </c>
      <c r="B200" s="4" t="s">
        <v>2496</v>
      </c>
    </row>
    <row r="201" customFormat="false" ht="15" hidden="false" customHeight="false" outlineLevel="0" collapsed="false">
      <c r="A201" s="20" t="s">
        <v>2497</v>
      </c>
      <c r="B201" s="20" t="s">
        <v>2498</v>
      </c>
    </row>
    <row r="202" customFormat="false" ht="15" hidden="false" customHeight="false" outlineLevel="0" collapsed="false">
      <c r="A202" s="20" t="s">
        <v>2497</v>
      </c>
      <c r="B202" s="20" t="s">
        <v>2499</v>
      </c>
    </row>
    <row r="203" customFormat="false" ht="15" hidden="false" customHeight="false" outlineLevel="0" collapsed="false">
      <c r="A203" s="20" t="s">
        <v>2497</v>
      </c>
      <c r="B203" s="20" t="s">
        <v>2498</v>
      </c>
    </row>
    <row r="204" customFormat="false" ht="15" hidden="false" customHeight="false" outlineLevel="0" collapsed="false">
      <c r="A204" s="20" t="s">
        <v>2500</v>
      </c>
      <c r="B204" s="20" t="s">
        <v>2498</v>
      </c>
    </row>
    <row r="205" customFormat="false" ht="15" hidden="false" customHeight="false" outlineLevel="0" collapsed="false">
      <c r="A205" s="20" t="s">
        <v>2500</v>
      </c>
      <c r="B205" s="20" t="s">
        <v>2499</v>
      </c>
    </row>
    <row r="206" customFormat="false" ht="15" hidden="false" customHeight="false" outlineLevel="0" collapsed="false">
      <c r="A206" s="20" t="s">
        <v>2500</v>
      </c>
      <c r="B206" s="20" t="s">
        <v>2498</v>
      </c>
    </row>
    <row r="207" customFormat="false" ht="15" hidden="false" customHeight="false" outlineLevel="0" collapsed="false">
      <c r="A207" s="20" t="s">
        <v>2501</v>
      </c>
      <c r="B207" s="20" t="s">
        <v>2498</v>
      </c>
    </row>
    <row r="208" customFormat="false" ht="15" hidden="false" customHeight="false" outlineLevel="0" collapsed="false">
      <c r="A208" s="20" t="s">
        <v>2501</v>
      </c>
      <c r="B208" s="20" t="s">
        <v>2499</v>
      </c>
    </row>
    <row r="209" customFormat="false" ht="15" hidden="false" customHeight="false" outlineLevel="0" collapsed="false">
      <c r="A209" s="20" t="s">
        <v>2501</v>
      </c>
      <c r="B209" s="20" t="s">
        <v>2498</v>
      </c>
    </row>
    <row r="210" customFormat="false" ht="15" hidden="false" customHeight="false" outlineLevel="0" collapsed="false">
      <c r="A210" s="20" t="s">
        <v>2502</v>
      </c>
      <c r="B210" s="20" t="s">
        <v>2498</v>
      </c>
    </row>
    <row r="211" customFormat="false" ht="15" hidden="false" customHeight="false" outlineLevel="0" collapsed="false">
      <c r="A211" s="20" t="s">
        <v>2502</v>
      </c>
      <c r="B211" s="20" t="s">
        <v>2499</v>
      </c>
    </row>
    <row r="212" customFormat="false" ht="15" hidden="false" customHeight="false" outlineLevel="0" collapsed="false">
      <c r="A212" s="20" t="s">
        <v>2503</v>
      </c>
      <c r="B212" s="20" t="s">
        <v>2504</v>
      </c>
    </row>
    <row r="213" customFormat="false" ht="15" hidden="false" customHeight="false" outlineLevel="0" collapsed="false">
      <c r="A213" s="20" t="s">
        <v>2503</v>
      </c>
      <c r="B213" s="20" t="s">
        <v>2499</v>
      </c>
    </row>
    <row r="214" customFormat="false" ht="15" hidden="false" customHeight="false" outlineLevel="0" collapsed="false">
      <c r="A214" s="20" t="s">
        <v>2503</v>
      </c>
      <c r="B214" s="20" t="s">
        <v>2498</v>
      </c>
    </row>
    <row r="215" customFormat="false" ht="15" hidden="false" customHeight="false" outlineLevel="0" collapsed="false">
      <c r="A215" s="20" t="s">
        <v>2503</v>
      </c>
      <c r="B215" s="20" t="s">
        <v>2505</v>
      </c>
    </row>
    <row r="216" customFormat="false" ht="15" hidden="false" customHeight="false" outlineLevel="0" collapsed="false">
      <c r="A216" s="20" t="s">
        <v>2506</v>
      </c>
      <c r="B216" s="20" t="s">
        <v>2504</v>
      </c>
    </row>
    <row r="217" customFormat="false" ht="15" hidden="false" customHeight="false" outlineLevel="0" collapsed="false">
      <c r="A217" s="20" t="s">
        <v>2506</v>
      </c>
      <c r="B217" s="20" t="s">
        <v>2499</v>
      </c>
    </row>
    <row r="218" customFormat="false" ht="15" hidden="false" customHeight="false" outlineLevel="0" collapsed="false">
      <c r="A218" s="20" t="s">
        <v>2506</v>
      </c>
      <c r="B218" s="20" t="s">
        <v>2498</v>
      </c>
    </row>
    <row r="219" customFormat="false" ht="15" hidden="false" customHeight="false" outlineLevel="0" collapsed="false">
      <c r="A219" s="20" t="s">
        <v>2506</v>
      </c>
      <c r="B219" s="20" t="s">
        <v>2505</v>
      </c>
    </row>
    <row r="220" customFormat="false" ht="15" hidden="false" customHeight="false" outlineLevel="0" collapsed="false">
      <c r="A220" s="20" t="s">
        <v>2507</v>
      </c>
      <c r="B220" s="20" t="s">
        <v>2504</v>
      </c>
    </row>
    <row r="221" customFormat="false" ht="15" hidden="false" customHeight="false" outlineLevel="0" collapsed="false">
      <c r="A221" s="20" t="s">
        <v>2507</v>
      </c>
      <c r="B221" s="20" t="s">
        <v>2499</v>
      </c>
    </row>
    <row r="222" customFormat="false" ht="15" hidden="false" customHeight="false" outlineLevel="0" collapsed="false">
      <c r="A222" s="20" t="s">
        <v>2508</v>
      </c>
      <c r="B222" s="20" t="s">
        <v>2509</v>
      </c>
    </row>
    <row r="223" customFormat="false" ht="15" hidden="false" customHeight="false" outlineLevel="0" collapsed="false">
      <c r="A223" s="20" t="s">
        <v>2510</v>
      </c>
      <c r="B223" s="20" t="s">
        <v>2505</v>
      </c>
    </row>
    <row r="224" customFormat="false" ht="15" hidden="false" customHeight="false" outlineLevel="0" collapsed="false">
      <c r="A224" s="20" t="s">
        <v>2511</v>
      </c>
      <c r="B224" s="20" t="s">
        <v>2512</v>
      </c>
    </row>
    <row r="225" customFormat="false" ht="15" hidden="false" customHeight="false" outlineLevel="0" collapsed="false">
      <c r="A225" s="20" t="s">
        <v>2513</v>
      </c>
      <c r="B225" s="20" t="s">
        <v>2514</v>
      </c>
    </row>
    <row r="226" customFormat="false" ht="15" hidden="false" customHeight="false" outlineLevel="0" collapsed="false">
      <c r="A226" s="20" t="s">
        <v>2515</v>
      </c>
      <c r="B226" s="20" t="s">
        <v>2516</v>
      </c>
    </row>
    <row r="227" customFormat="false" ht="15" hidden="false" customHeight="false" outlineLevel="0" collapsed="false">
      <c r="A227" s="20" t="s">
        <v>2517</v>
      </c>
      <c r="B227" s="20" t="s">
        <v>2512</v>
      </c>
    </row>
    <row r="228" customFormat="false" ht="15" hidden="false" customHeight="false" outlineLevel="0" collapsed="false">
      <c r="A228" s="20" t="s">
        <v>2518</v>
      </c>
      <c r="B228" s="20" t="s">
        <v>2519</v>
      </c>
    </row>
    <row r="229" customFormat="false" ht="15" hidden="false" customHeight="false" outlineLevel="0" collapsed="false">
      <c r="A229" s="20" t="s">
        <v>2520</v>
      </c>
      <c r="B229" s="20" t="s">
        <v>2521</v>
      </c>
    </row>
    <row r="230" customFormat="false" ht="15" hidden="false" customHeight="false" outlineLevel="0" collapsed="false">
      <c r="A230" s="20" t="s">
        <v>2522</v>
      </c>
      <c r="B230" s="20" t="s">
        <v>2523</v>
      </c>
    </row>
    <row r="231" customFormat="false" ht="15" hidden="false" customHeight="false" outlineLevel="0" collapsed="false">
      <c r="A231" s="20" t="s">
        <v>2522</v>
      </c>
      <c r="B231" s="20" t="s">
        <v>2524</v>
      </c>
    </row>
    <row r="232" customFormat="false" ht="15" hidden="false" customHeight="false" outlineLevel="0" collapsed="false">
      <c r="A232" s="20" t="s">
        <v>2522</v>
      </c>
      <c r="B232" s="20" t="s">
        <v>2523</v>
      </c>
    </row>
    <row r="233" customFormat="false" ht="15" hidden="false" customHeight="false" outlineLevel="0" collapsed="false">
      <c r="A233" s="20" t="s">
        <v>2525</v>
      </c>
      <c r="B233" s="20" t="s">
        <v>2523</v>
      </c>
    </row>
    <row r="234" customFormat="false" ht="15" hidden="false" customHeight="false" outlineLevel="0" collapsed="false">
      <c r="A234" s="20" t="s">
        <v>2525</v>
      </c>
      <c r="B234" s="20" t="s">
        <v>2524</v>
      </c>
    </row>
    <row r="235" customFormat="false" ht="15" hidden="false" customHeight="false" outlineLevel="0" collapsed="false">
      <c r="A235" s="20" t="s">
        <v>2525</v>
      </c>
      <c r="B235" s="20" t="s">
        <v>2523</v>
      </c>
    </row>
    <row r="236" customFormat="false" ht="15" hidden="false" customHeight="false" outlineLevel="0" collapsed="false">
      <c r="A236" s="20" t="s">
        <v>2526</v>
      </c>
      <c r="B236" s="20" t="s">
        <v>2523</v>
      </c>
    </row>
    <row r="237" customFormat="false" ht="15" hidden="false" customHeight="false" outlineLevel="0" collapsed="false">
      <c r="A237" s="20" t="s">
        <v>2526</v>
      </c>
      <c r="B237" s="20" t="s">
        <v>2527</v>
      </c>
    </row>
    <row r="238" customFormat="false" ht="15" hidden="false" customHeight="false" outlineLevel="0" collapsed="false">
      <c r="A238" s="20" t="s">
        <v>2526</v>
      </c>
      <c r="B238" s="20" t="s">
        <v>2523</v>
      </c>
    </row>
    <row r="239" customFormat="false" ht="15" hidden="false" customHeight="false" outlineLevel="0" collapsed="false">
      <c r="A239" s="20" t="s">
        <v>2528</v>
      </c>
      <c r="B239" s="20" t="s">
        <v>2523</v>
      </c>
    </row>
    <row r="240" customFormat="false" ht="15" hidden="false" customHeight="false" outlineLevel="0" collapsed="false">
      <c r="A240" s="20" t="s">
        <v>2528</v>
      </c>
      <c r="B240" s="20" t="s">
        <v>2529</v>
      </c>
    </row>
    <row r="241" customFormat="false" ht="15" hidden="false" customHeight="false" outlineLevel="0" collapsed="false">
      <c r="A241" s="20" t="s">
        <v>2528</v>
      </c>
      <c r="B241" s="20" t="s">
        <v>2529</v>
      </c>
    </row>
    <row r="242" customFormat="false" ht="15" hidden="false" customHeight="false" outlineLevel="0" collapsed="false">
      <c r="A242" s="20" t="s">
        <v>2528</v>
      </c>
      <c r="B242" s="20" t="s">
        <v>2523</v>
      </c>
    </row>
    <row r="243" customFormat="false" ht="15" hidden="false" customHeight="false" outlineLevel="0" collapsed="false">
      <c r="A243" s="20" t="s">
        <v>2528</v>
      </c>
      <c r="B243" s="20" t="s">
        <v>2523</v>
      </c>
    </row>
    <row r="245" customFormat="false" ht="15" hidden="false" customHeight="true" outlineLevel="0" collapsed="false">
      <c r="A245" s="2" t="s">
        <v>2530</v>
      </c>
      <c r="B245" s="2"/>
    </row>
    <row r="246" customFormat="false" ht="15" hidden="false" customHeight="false" outlineLevel="0" collapsed="false">
      <c r="A246" s="4" t="s">
        <v>2495</v>
      </c>
      <c r="B246" s="4" t="s">
        <v>2496</v>
      </c>
    </row>
    <row r="247" customFormat="false" ht="15" hidden="false" customHeight="false" outlineLevel="0" collapsed="false">
      <c r="A247" s="20" t="s">
        <v>2497</v>
      </c>
      <c r="B247" s="20" t="s">
        <v>2498</v>
      </c>
    </row>
    <row r="248" customFormat="false" ht="15" hidden="false" customHeight="false" outlineLevel="0" collapsed="false">
      <c r="A248" s="20" t="s">
        <v>2497</v>
      </c>
      <c r="B248" s="20" t="s">
        <v>2499</v>
      </c>
    </row>
    <row r="249" customFormat="false" ht="15" hidden="false" customHeight="false" outlineLevel="0" collapsed="false">
      <c r="A249" s="20" t="s">
        <v>2497</v>
      </c>
      <c r="B249" s="20" t="s">
        <v>2498</v>
      </c>
    </row>
    <row r="250" customFormat="false" ht="15" hidden="false" customHeight="false" outlineLevel="0" collapsed="false">
      <c r="A250" s="20" t="s">
        <v>2500</v>
      </c>
      <c r="B250" s="20" t="s">
        <v>2498</v>
      </c>
    </row>
    <row r="251" customFormat="false" ht="15" hidden="false" customHeight="false" outlineLevel="0" collapsed="false">
      <c r="A251" s="20" t="s">
        <v>2500</v>
      </c>
      <c r="B251" s="20" t="s">
        <v>2499</v>
      </c>
    </row>
    <row r="252" customFormat="false" ht="15" hidden="false" customHeight="false" outlineLevel="0" collapsed="false">
      <c r="A252" s="20" t="s">
        <v>2500</v>
      </c>
      <c r="B252" s="20" t="s">
        <v>2498</v>
      </c>
    </row>
    <row r="253" customFormat="false" ht="15" hidden="false" customHeight="false" outlineLevel="0" collapsed="false">
      <c r="A253" s="20" t="s">
        <v>2501</v>
      </c>
      <c r="B253" s="20" t="s">
        <v>2498</v>
      </c>
    </row>
    <row r="254" customFormat="false" ht="15" hidden="false" customHeight="false" outlineLevel="0" collapsed="false">
      <c r="A254" s="20" t="s">
        <v>2501</v>
      </c>
      <c r="B254" s="20" t="s">
        <v>2499</v>
      </c>
    </row>
    <row r="255" customFormat="false" ht="15" hidden="false" customHeight="false" outlineLevel="0" collapsed="false">
      <c r="A255" s="20" t="s">
        <v>2501</v>
      </c>
      <c r="B255" s="20" t="s">
        <v>2498</v>
      </c>
    </row>
    <row r="256" customFormat="false" ht="15" hidden="false" customHeight="false" outlineLevel="0" collapsed="false">
      <c r="A256" s="20" t="s">
        <v>2502</v>
      </c>
      <c r="B256" s="20" t="s">
        <v>2498</v>
      </c>
    </row>
    <row r="257" customFormat="false" ht="15" hidden="false" customHeight="false" outlineLevel="0" collapsed="false">
      <c r="A257" s="20" t="s">
        <v>2502</v>
      </c>
      <c r="B257" s="20" t="s">
        <v>2499</v>
      </c>
    </row>
    <row r="258" customFormat="false" ht="15" hidden="false" customHeight="false" outlineLevel="0" collapsed="false">
      <c r="A258" s="20" t="s">
        <v>2503</v>
      </c>
      <c r="B258" s="20" t="s">
        <v>2504</v>
      </c>
    </row>
    <row r="259" customFormat="false" ht="15" hidden="false" customHeight="false" outlineLevel="0" collapsed="false">
      <c r="A259" s="20" t="s">
        <v>2503</v>
      </c>
      <c r="B259" s="20" t="s">
        <v>2499</v>
      </c>
    </row>
    <row r="260" customFormat="false" ht="15" hidden="false" customHeight="false" outlineLevel="0" collapsed="false">
      <c r="A260" s="20" t="s">
        <v>2503</v>
      </c>
      <c r="B260" s="20" t="s">
        <v>2498</v>
      </c>
    </row>
    <row r="261" customFormat="false" ht="15" hidden="false" customHeight="false" outlineLevel="0" collapsed="false">
      <c r="A261" s="20" t="s">
        <v>2503</v>
      </c>
      <c r="B261" s="20" t="s">
        <v>2505</v>
      </c>
    </row>
    <row r="262" customFormat="false" ht="15" hidden="false" customHeight="false" outlineLevel="0" collapsed="false">
      <c r="A262" s="20" t="s">
        <v>2506</v>
      </c>
      <c r="B262" s="20" t="s">
        <v>2504</v>
      </c>
    </row>
    <row r="263" customFormat="false" ht="15" hidden="false" customHeight="false" outlineLevel="0" collapsed="false">
      <c r="A263" s="20" t="s">
        <v>2506</v>
      </c>
      <c r="B263" s="20" t="s">
        <v>2499</v>
      </c>
    </row>
    <row r="264" customFormat="false" ht="15" hidden="false" customHeight="false" outlineLevel="0" collapsed="false">
      <c r="A264" s="20" t="s">
        <v>2506</v>
      </c>
      <c r="B264" s="20" t="s">
        <v>2498</v>
      </c>
    </row>
    <row r="265" customFormat="false" ht="15" hidden="false" customHeight="false" outlineLevel="0" collapsed="false">
      <c r="A265" s="20" t="s">
        <v>2506</v>
      </c>
      <c r="B265" s="20" t="s">
        <v>2505</v>
      </c>
    </row>
    <row r="266" customFormat="false" ht="15" hidden="false" customHeight="false" outlineLevel="0" collapsed="false">
      <c r="A266" s="20" t="s">
        <v>2507</v>
      </c>
      <c r="B266" s="20" t="s">
        <v>2504</v>
      </c>
    </row>
    <row r="267" customFormat="false" ht="15" hidden="false" customHeight="false" outlineLevel="0" collapsed="false">
      <c r="A267" s="20" t="s">
        <v>2507</v>
      </c>
      <c r="B267" s="20" t="s">
        <v>2499</v>
      </c>
    </row>
    <row r="268" customFormat="false" ht="15" hidden="false" customHeight="false" outlineLevel="0" collapsed="false">
      <c r="A268" s="20" t="s">
        <v>2508</v>
      </c>
      <c r="B268" s="20" t="s">
        <v>2509</v>
      </c>
    </row>
    <row r="269" customFormat="false" ht="15" hidden="false" customHeight="false" outlineLevel="0" collapsed="false">
      <c r="A269" s="20" t="s">
        <v>2510</v>
      </c>
      <c r="B269" s="20" t="s">
        <v>2505</v>
      </c>
    </row>
    <row r="270" customFormat="false" ht="15" hidden="false" customHeight="false" outlineLevel="0" collapsed="false">
      <c r="A270" s="20" t="s">
        <v>2511</v>
      </c>
      <c r="B270" s="20" t="s">
        <v>2512</v>
      </c>
    </row>
    <row r="271" customFormat="false" ht="15" hidden="false" customHeight="false" outlineLevel="0" collapsed="false">
      <c r="A271" s="20" t="s">
        <v>2513</v>
      </c>
      <c r="B271" s="20" t="s">
        <v>2514</v>
      </c>
    </row>
    <row r="272" customFormat="false" ht="15" hidden="false" customHeight="false" outlineLevel="0" collapsed="false">
      <c r="A272" s="20" t="s">
        <v>2515</v>
      </c>
      <c r="B272" s="20" t="s">
        <v>2516</v>
      </c>
    </row>
    <row r="273" customFormat="false" ht="15" hidden="false" customHeight="false" outlineLevel="0" collapsed="false">
      <c r="A273" s="20" t="s">
        <v>2517</v>
      </c>
      <c r="B273" s="20" t="s">
        <v>2512</v>
      </c>
    </row>
    <row r="274" customFormat="false" ht="15" hidden="false" customHeight="false" outlineLevel="0" collapsed="false">
      <c r="A274" s="20" t="s">
        <v>2518</v>
      </c>
      <c r="B274" s="20" t="s">
        <v>2519</v>
      </c>
    </row>
    <row r="275" customFormat="false" ht="15" hidden="false" customHeight="false" outlineLevel="0" collapsed="false">
      <c r="A275" s="20" t="s">
        <v>2520</v>
      </c>
      <c r="B275" s="20" t="s">
        <v>2521</v>
      </c>
    </row>
    <row r="276" customFormat="false" ht="15" hidden="false" customHeight="false" outlineLevel="0" collapsed="false">
      <c r="A276" s="20" t="s">
        <v>2531</v>
      </c>
      <c r="B276" s="20" t="s">
        <v>2532</v>
      </c>
    </row>
    <row r="277" customFormat="false" ht="15" hidden="false" customHeight="false" outlineLevel="0" collapsed="false">
      <c r="A277" s="20" t="s">
        <v>2533</v>
      </c>
      <c r="B277" s="20" t="s">
        <v>2534</v>
      </c>
    </row>
    <row r="278" customFormat="false" ht="15" hidden="false" customHeight="false" outlineLevel="0" collapsed="false">
      <c r="A278" s="20" t="s">
        <v>2522</v>
      </c>
      <c r="B278" s="20" t="s">
        <v>2523</v>
      </c>
    </row>
    <row r="279" customFormat="false" ht="15" hidden="false" customHeight="false" outlineLevel="0" collapsed="false">
      <c r="A279" s="20" t="s">
        <v>2522</v>
      </c>
      <c r="B279" s="20" t="s">
        <v>2524</v>
      </c>
    </row>
    <row r="280" customFormat="false" ht="15" hidden="false" customHeight="false" outlineLevel="0" collapsed="false">
      <c r="A280" s="20" t="s">
        <v>2522</v>
      </c>
      <c r="B280" s="20" t="s">
        <v>2523</v>
      </c>
    </row>
    <row r="281" customFormat="false" ht="15" hidden="false" customHeight="false" outlineLevel="0" collapsed="false">
      <c r="A281" s="20" t="s">
        <v>2525</v>
      </c>
      <c r="B281" s="20" t="s">
        <v>2523</v>
      </c>
    </row>
    <row r="282" customFormat="false" ht="15" hidden="false" customHeight="false" outlineLevel="0" collapsed="false">
      <c r="A282" s="20" t="s">
        <v>2525</v>
      </c>
      <c r="B282" s="20" t="s">
        <v>2524</v>
      </c>
    </row>
    <row r="283" customFormat="false" ht="15" hidden="false" customHeight="false" outlineLevel="0" collapsed="false">
      <c r="A283" s="20" t="s">
        <v>2525</v>
      </c>
      <c r="B283" s="20" t="s">
        <v>2523</v>
      </c>
    </row>
    <row r="284" customFormat="false" ht="15" hidden="false" customHeight="false" outlineLevel="0" collapsed="false">
      <c r="A284" s="20" t="s">
        <v>2526</v>
      </c>
      <c r="B284" s="20" t="s">
        <v>2523</v>
      </c>
    </row>
    <row r="285" customFormat="false" ht="15" hidden="false" customHeight="false" outlineLevel="0" collapsed="false">
      <c r="A285" s="20" t="s">
        <v>2526</v>
      </c>
      <c r="B285" s="20" t="s">
        <v>2527</v>
      </c>
    </row>
    <row r="286" customFormat="false" ht="15" hidden="false" customHeight="false" outlineLevel="0" collapsed="false">
      <c r="A286" s="20" t="s">
        <v>2526</v>
      </c>
      <c r="B286" s="20" t="s">
        <v>2523</v>
      </c>
    </row>
    <row r="287" customFormat="false" ht="15" hidden="false" customHeight="false" outlineLevel="0" collapsed="false">
      <c r="A287" s="20" t="s">
        <v>2528</v>
      </c>
      <c r="B287" s="20" t="s">
        <v>2523</v>
      </c>
    </row>
    <row r="288" customFormat="false" ht="15" hidden="false" customHeight="false" outlineLevel="0" collapsed="false">
      <c r="A288" s="20" t="s">
        <v>2528</v>
      </c>
      <c r="B288" s="20" t="s">
        <v>2529</v>
      </c>
    </row>
    <row r="289" customFormat="false" ht="15" hidden="false" customHeight="false" outlineLevel="0" collapsed="false">
      <c r="A289" s="20" t="s">
        <v>2528</v>
      </c>
      <c r="B289" s="20" t="s">
        <v>2529</v>
      </c>
    </row>
    <row r="290" customFormat="false" ht="15" hidden="false" customHeight="false" outlineLevel="0" collapsed="false">
      <c r="A290" s="20" t="s">
        <v>2528</v>
      </c>
      <c r="B290" s="20" t="s">
        <v>2523</v>
      </c>
    </row>
    <row r="291" customFormat="false" ht="15" hidden="false" customHeight="false" outlineLevel="0" collapsed="false">
      <c r="A291" s="20" t="s">
        <v>2528</v>
      </c>
      <c r="B291" s="20" t="s">
        <v>2523</v>
      </c>
    </row>
    <row r="293" customFormat="false" ht="15" hidden="false" customHeight="true" outlineLevel="0" collapsed="false">
      <c r="A293" s="2" t="s">
        <v>2535</v>
      </c>
      <c r="B293" s="2"/>
    </row>
    <row r="294" customFormat="false" ht="15" hidden="false" customHeight="false" outlineLevel="0" collapsed="false">
      <c r="A294" s="4" t="s">
        <v>2495</v>
      </c>
      <c r="B294" s="4" t="s">
        <v>2496</v>
      </c>
    </row>
    <row r="295" customFormat="false" ht="15" hidden="false" customHeight="false" outlineLevel="0" collapsed="false">
      <c r="A295" s="20" t="s">
        <v>2497</v>
      </c>
      <c r="B295" s="20" t="s">
        <v>2498</v>
      </c>
    </row>
    <row r="296" customFormat="false" ht="15" hidden="false" customHeight="false" outlineLevel="0" collapsed="false">
      <c r="A296" s="20" t="s">
        <v>2497</v>
      </c>
      <c r="B296" s="20" t="s">
        <v>2499</v>
      </c>
    </row>
    <row r="297" customFormat="false" ht="15" hidden="false" customHeight="false" outlineLevel="0" collapsed="false">
      <c r="A297" s="20" t="s">
        <v>2497</v>
      </c>
      <c r="B297" s="20" t="s">
        <v>2498</v>
      </c>
    </row>
    <row r="298" customFormat="false" ht="15" hidden="false" customHeight="false" outlineLevel="0" collapsed="false">
      <c r="A298" s="20" t="s">
        <v>2500</v>
      </c>
      <c r="B298" s="20" t="s">
        <v>2498</v>
      </c>
    </row>
    <row r="299" customFormat="false" ht="15" hidden="false" customHeight="false" outlineLevel="0" collapsed="false">
      <c r="A299" s="20" t="s">
        <v>2500</v>
      </c>
      <c r="B299" s="20" t="s">
        <v>2499</v>
      </c>
    </row>
    <row r="300" customFormat="false" ht="15" hidden="false" customHeight="false" outlineLevel="0" collapsed="false">
      <c r="A300" s="20" t="s">
        <v>2500</v>
      </c>
      <c r="B300" s="20" t="s">
        <v>2498</v>
      </c>
    </row>
    <row r="301" customFormat="false" ht="15" hidden="false" customHeight="false" outlineLevel="0" collapsed="false">
      <c r="A301" s="20" t="s">
        <v>2501</v>
      </c>
      <c r="B301" s="20" t="s">
        <v>2498</v>
      </c>
    </row>
    <row r="302" customFormat="false" ht="15" hidden="false" customHeight="false" outlineLevel="0" collapsed="false">
      <c r="A302" s="20" t="s">
        <v>2501</v>
      </c>
      <c r="B302" s="20" t="s">
        <v>2499</v>
      </c>
    </row>
    <row r="303" customFormat="false" ht="15" hidden="false" customHeight="false" outlineLevel="0" collapsed="false">
      <c r="A303" s="20" t="s">
        <v>2501</v>
      </c>
      <c r="B303" s="20" t="s">
        <v>2498</v>
      </c>
    </row>
    <row r="304" customFormat="false" ht="15" hidden="false" customHeight="false" outlineLevel="0" collapsed="false">
      <c r="A304" s="20" t="s">
        <v>2502</v>
      </c>
      <c r="B304" s="20" t="s">
        <v>2498</v>
      </c>
    </row>
    <row r="305" customFormat="false" ht="15" hidden="false" customHeight="false" outlineLevel="0" collapsed="false">
      <c r="A305" s="20" t="s">
        <v>2502</v>
      </c>
      <c r="B305" s="20" t="s">
        <v>2499</v>
      </c>
    </row>
    <row r="306" customFormat="false" ht="15" hidden="false" customHeight="false" outlineLevel="0" collapsed="false">
      <c r="A306" s="20" t="s">
        <v>2503</v>
      </c>
      <c r="B306" s="20" t="s">
        <v>2504</v>
      </c>
    </row>
    <row r="307" customFormat="false" ht="15" hidden="false" customHeight="false" outlineLevel="0" collapsed="false">
      <c r="A307" s="20" t="s">
        <v>2503</v>
      </c>
      <c r="B307" s="20" t="s">
        <v>2499</v>
      </c>
    </row>
    <row r="308" customFormat="false" ht="15" hidden="false" customHeight="false" outlineLevel="0" collapsed="false">
      <c r="A308" s="20" t="s">
        <v>2503</v>
      </c>
      <c r="B308" s="20" t="s">
        <v>2498</v>
      </c>
    </row>
    <row r="309" customFormat="false" ht="15" hidden="false" customHeight="false" outlineLevel="0" collapsed="false">
      <c r="A309" s="20" t="s">
        <v>2503</v>
      </c>
      <c r="B309" s="20" t="s">
        <v>2505</v>
      </c>
    </row>
    <row r="310" customFormat="false" ht="15" hidden="false" customHeight="false" outlineLevel="0" collapsed="false">
      <c r="A310" s="20" t="s">
        <v>2506</v>
      </c>
      <c r="B310" s="20" t="s">
        <v>2504</v>
      </c>
    </row>
    <row r="311" customFormat="false" ht="15" hidden="false" customHeight="false" outlineLevel="0" collapsed="false">
      <c r="A311" s="20" t="s">
        <v>2506</v>
      </c>
      <c r="B311" s="20" t="s">
        <v>2499</v>
      </c>
    </row>
    <row r="312" customFormat="false" ht="15" hidden="false" customHeight="false" outlineLevel="0" collapsed="false">
      <c r="A312" s="20" t="s">
        <v>2506</v>
      </c>
      <c r="B312" s="20" t="s">
        <v>2498</v>
      </c>
    </row>
    <row r="313" customFormat="false" ht="15" hidden="false" customHeight="false" outlineLevel="0" collapsed="false">
      <c r="A313" s="20" t="s">
        <v>2506</v>
      </c>
      <c r="B313" s="20" t="s">
        <v>2505</v>
      </c>
    </row>
    <row r="314" customFormat="false" ht="15" hidden="false" customHeight="false" outlineLevel="0" collapsed="false">
      <c r="A314" s="20" t="s">
        <v>2507</v>
      </c>
      <c r="B314" s="20" t="s">
        <v>2504</v>
      </c>
    </row>
    <row r="315" customFormat="false" ht="15" hidden="false" customHeight="false" outlineLevel="0" collapsed="false">
      <c r="A315" s="20" t="s">
        <v>2507</v>
      </c>
      <c r="B315" s="20" t="s">
        <v>2499</v>
      </c>
    </row>
    <row r="316" customFormat="false" ht="15" hidden="false" customHeight="false" outlineLevel="0" collapsed="false">
      <c r="A316" s="20" t="s">
        <v>2508</v>
      </c>
      <c r="B316" s="20" t="s">
        <v>2509</v>
      </c>
    </row>
    <row r="317" customFormat="false" ht="15" hidden="false" customHeight="false" outlineLevel="0" collapsed="false">
      <c r="A317" s="20" t="s">
        <v>2510</v>
      </c>
      <c r="B317" s="20" t="s">
        <v>2505</v>
      </c>
    </row>
    <row r="318" customFormat="false" ht="15" hidden="false" customHeight="false" outlineLevel="0" collapsed="false">
      <c r="A318" s="20" t="s">
        <v>2511</v>
      </c>
      <c r="B318" s="20" t="s">
        <v>2512</v>
      </c>
    </row>
    <row r="319" customFormat="false" ht="15" hidden="false" customHeight="false" outlineLevel="0" collapsed="false">
      <c r="A319" s="20" t="s">
        <v>2513</v>
      </c>
      <c r="B319" s="20" t="s">
        <v>2514</v>
      </c>
    </row>
    <row r="320" customFormat="false" ht="15" hidden="false" customHeight="false" outlineLevel="0" collapsed="false">
      <c r="A320" s="20" t="s">
        <v>2515</v>
      </c>
      <c r="B320" s="20" t="s">
        <v>2516</v>
      </c>
    </row>
    <row r="321" customFormat="false" ht="15" hidden="false" customHeight="false" outlineLevel="0" collapsed="false">
      <c r="A321" s="20" t="s">
        <v>2517</v>
      </c>
      <c r="B321" s="20" t="s">
        <v>2512</v>
      </c>
    </row>
    <row r="322" customFormat="false" ht="15" hidden="false" customHeight="false" outlineLevel="0" collapsed="false">
      <c r="A322" s="20" t="s">
        <v>2518</v>
      </c>
      <c r="B322" s="20" t="s">
        <v>2519</v>
      </c>
    </row>
    <row r="323" customFormat="false" ht="15" hidden="false" customHeight="false" outlineLevel="0" collapsed="false">
      <c r="A323" s="20" t="s">
        <v>2520</v>
      </c>
      <c r="B323" s="20" t="s">
        <v>2521</v>
      </c>
    </row>
    <row r="324" customFormat="false" ht="15" hidden="false" customHeight="false" outlineLevel="0" collapsed="false">
      <c r="A324" s="20" t="s">
        <v>2531</v>
      </c>
      <c r="B324" s="20" t="s">
        <v>2532</v>
      </c>
    </row>
    <row r="325" customFormat="false" ht="15" hidden="false" customHeight="false" outlineLevel="0" collapsed="false">
      <c r="A325" s="20" t="s">
        <v>2533</v>
      </c>
      <c r="B325" s="20" t="s">
        <v>2534</v>
      </c>
    </row>
    <row r="326" customFormat="false" ht="15" hidden="false" customHeight="false" outlineLevel="0" collapsed="false">
      <c r="A326" s="20" t="s">
        <v>2522</v>
      </c>
      <c r="B326" s="20" t="s">
        <v>2523</v>
      </c>
    </row>
    <row r="327" customFormat="false" ht="15" hidden="false" customHeight="false" outlineLevel="0" collapsed="false">
      <c r="A327" s="20" t="s">
        <v>2522</v>
      </c>
      <c r="B327" s="20" t="s">
        <v>2524</v>
      </c>
    </row>
    <row r="328" customFormat="false" ht="15" hidden="false" customHeight="false" outlineLevel="0" collapsed="false">
      <c r="A328" s="20" t="s">
        <v>2522</v>
      </c>
      <c r="B328" s="20" t="s">
        <v>2523</v>
      </c>
    </row>
    <row r="329" customFormat="false" ht="15" hidden="false" customHeight="false" outlineLevel="0" collapsed="false">
      <c r="A329" s="20" t="s">
        <v>2525</v>
      </c>
      <c r="B329" s="20" t="s">
        <v>2523</v>
      </c>
    </row>
    <row r="330" customFormat="false" ht="15" hidden="false" customHeight="false" outlineLevel="0" collapsed="false">
      <c r="A330" s="20" t="s">
        <v>2525</v>
      </c>
      <c r="B330" s="20" t="s">
        <v>2524</v>
      </c>
    </row>
    <row r="331" customFormat="false" ht="15" hidden="false" customHeight="false" outlineLevel="0" collapsed="false">
      <c r="A331" s="20" t="s">
        <v>2525</v>
      </c>
      <c r="B331" s="20" t="s">
        <v>2523</v>
      </c>
    </row>
    <row r="332" customFormat="false" ht="15" hidden="false" customHeight="false" outlineLevel="0" collapsed="false">
      <c r="A332" s="20" t="s">
        <v>2526</v>
      </c>
      <c r="B332" s="20" t="s">
        <v>2523</v>
      </c>
    </row>
    <row r="333" customFormat="false" ht="15" hidden="false" customHeight="false" outlineLevel="0" collapsed="false">
      <c r="A333" s="20" t="s">
        <v>2526</v>
      </c>
      <c r="B333" s="20" t="s">
        <v>2527</v>
      </c>
    </row>
    <row r="334" customFormat="false" ht="15" hidden="false" customHeight="false" outlineLevel="0" collapsed="false">
      <c r="A334" s="20" t="s">
        <v>2526</v>
      </c>
      <c r="B334" s="20" t="s">
        <v>2523</v>
      </c>
    </row>
    <row r="335" customFormat="false" ht="15" hidden="false" customHeight="false" outlineLevel="0" collapsed="false">
      <c r="A335" s="20" t="s">
        <v>2528</v>
      </c>
      <c r="B335" s="20" t="s">
        <v>2523</v>
      </c>
    </row>
    <row r="336" customFormat="false" ht="15" hidden="false" customHeight="false" outlineLevel="0" collapsed="false">
      <c r="A336" s="20" t="s">
        <v>2528</v>
      </c>
      <c r="B336" s="20" t="s">
        <v>2529</v>
      </c>
    </row>
    <row r="337" customFormat="false" ht="15" hidden="false" customHeight="false" outlineLevel="0" collapsed="false">
      <c r="A337" s="20" t="s">
        <v>2528</v>
      </c>
      <c r="B337" s="20" t="s">
        <v>2529</v>
      </c>
    </row>
    <row r="338" customFormat="false" ht="15" hidden="false" customHeight="false" outlineLevel="0" collapsed="false">
      <c r="A338" s="20" t="s">
        <v>2528</v>
      </c>
      <c r="B338" s="20" t="s">
        <v>2523</v>
      </c>
    </row>
    <row r="339" customFormat="false" ht="15" hidden="false" customHeight="false" outlineLevel="0" collapsed="false">
      <c r="A339" s="20" t="s">
        <v>2528</v>
      </c>
      <c r="B339" s="20" t="s">
        <v>2523</v>
      </c>
    </row>
    <row r="341" customFormat="false" ht="15" hidden="false" customHeight="true" outlineLevel="0" collapsed="false">
      <c r="A341" s="2" t="s">
        <v>2536</v>
      </c>
      <c r="B341" s="2"/>
    </row>
    <row r="342" customFormat="false" ht="15" hidden="false" customHeight="false" outlineLevel="0" collapsed="false">
      <c r="A342" s="4" t="s">
        <v>2495</v>
      </c>
      <c r="B342" s="4" t="s">
        <v>2496</v>
      </c>
    </row>
    <row r="343" customFormat="false" ht="15" hidden="false" customHeight="false" outlineLevel="0" collapsed="false">
      <c r="A343" s="20" t="s">
        <v>2497</v>
      </c>
      <c r="B343" s="20" t="s">
        <v>2498</v>
      </c>
    </row>
    <row r="344" customFormat="false" ht="15" hidden="false" customHeight="false" outlineLevel="0" collapsed="false">
      <c r="A344" s="20" t="s">
        <v>2497</v>
      </c>
      <c r="B344" s="20" t="s">
        <v>2499</v>
      </c>
    </row>
    <row r="345" customFormat="false" ht="15" hidden="false" customHeight="false" outlineLevel="0" collapsed="false">
      <c r="A345" s="20" t="s">
        <v>2497</v>
      </c>
      <c r="B345" s="20" t="s">
        <v>2498</v>
      </c>
    </row>
    <row r="346" customFormat="false" ht="15" hidden="false" customHeight="false" outlineLevel="0" collapsed="false">
      <c r="A346" s="20" t="s">
        <v>2500</v>
      </c>
      <c r="B346" s="20" t="s">
        <v>2498</v>
      </c>
    </row>
    <row r="347" customFormat="false" ht="15" hidden="false" customHeight="false" outlineLevel="0" collapsed="false">
      <c r="A347" s="20" t="s">
        <v>2500</v>
      </c>
      <c r="B347" s="20" t="s">
        <v>2499</v>
      </c>
    </row>
    <row r="348" customFormat="false" ht="15" hidden="false" customHeight="false" outlineLevel="0" collapsed="false">
      <c r="A348" s="20" t="s">
        <v>2500</v>
      </c>
      <c r="B348" s="20" t="s">
        <v>2498</v>
      </c>
    </row>
    <row r="349" customFormat="false" ht="15" hidden="false" customHeight="false" outlineLevel="0" collapsed="false">
      <c r="A349" s="20" t="s">
        <v>2501</v>
      </c>
      <c r="B349" s="20" t="s">
        <v>2498</v>
      </c>
    </row>
    <row r="350" customFormat="false" ht="15" hidden="false" customHeight="false" outlineLevel="0" collapsed="false">
      <c r="A350" s="20" t="s">
        <v>2501</v>
      </c>
      <c r="B350" s="20" t="s">
        <v>2499</v>
      </c>
    </row>
    <row r="351" customFormat="false" ht="15" hidden="false" customHeight="false" outlineLevel="0" collapsed="false">
      <c r="A351" s="20" t="s">
        <v>2501</v>
      </c>
      <c r="B351" s="20" t="s">
        <v>2498</v>
      </c>
    </row>
    <row r="352" customFormat="false" ht="15" hidden="false" customHeight="false" outlineLevel="0" collapsed="false">
      <c r="A352" s="20" t="s">
        <v>2502</v>
      </c>
      <c r="B352" s="20" t="s">
        <v>2498</v>
      </c>
    </row>
    <row r="353" customFormat="false" ht="15" hidden="false" customHeight="false" outlineLevel="0" collapsed="false">
      <c r="A353" s="20" t="s">
        <v>2502</v>
      </c>
      <c r="B353" s="20" t="s">
        <v>2499</v>
      </c>
    </row>
    <row r="354" customFormat="false" ht="15" hidden="false" customHeight="false" outlineLevel="0" collapsed="false">
      <c r="A354" s="20" t="s">
        <v>2503</v>
      </c>
      <c r="B354" s="20" t="s">
        <v>2504</v>
      </c>
    </row>
    <row r="355" customFormat="false" ht="15" hidden="false" customHeight="false" outlineLevel="0" collapsed="false">
      <c r="A355" s="20" t="s">
        <v>2503</v>
      </c>
      <c r="B355" s="20" t="s">
        <v>2499</v>
      </c>
    </row>
    <row r="356" customFormat="false" ht="15" hidden="false" customHeight="false" outlineLevel="0" collapsed="false">
      <c r="A356" s="20" t="s">
        <v>2503</v>
      </c>
      <c r="B356" s="20" t="s">
        <v>2498</v>
      </c>
    </row>
    <row r="357" customFormat="false" ht="15" hidden="false" customHeight="false" outlineLevel="0" collapsed="false">
      <c r="A357" s="20" t="s">
        <v>2503</v>
      </c>
      <c r="B357" s="20" t="s">
        <v>2505</v>
      </c>
    </row>
    <row r="358" customFormat="false" ht="15" hidden="false" customHeight="false" outlineLevel="0" collapsed="false">
      <c r="A358" s="20" t="s">
        <v>2506</v>
      </c>
      <c r="B358" s="20" t="s">
        <v>2504</v>
      </c>
    </row>
    <row r="359" customFormat="false" ht="15" hidden="false" customHeight="false" outlineLevel="0" collapsed="false">
      <c r="A359" s="20" t="s">
        <v>2506</v>
      </c>
      <c r="B359" s="20" t="s">
        <v>2499</v>
      </c>
    </row>
    <row r="360" customFormat="false" ht="15" hidden="false" customHeight="false" outlineLevel="0" collapsed="false">
      <c r="A360" s="20" t="s">
        <v>2506</v>
      </c>
      <c r="B360" s="20" t="s">
        <v>2498</v>
      </c>
    </row>
    <row r="361" customFormat="false" ht="15" hidden="false" customHeight="false" outlineLevel="0" collapsed="false">
      <c r="A361" s="20" t="s">
        <v>2506</v>
      </c>
      <c r="B361" s="20" t="s">
        <v>2505</v>
      </c>
    </row>
    <row r="362" customFormat="false" ht="15" hidden="false" customHeight="false" outlineLevel="0" collapsed="false">
      <c r="A362" s="20" t="s">
        <v>2507</v>
      </c>
      <c r="B362" s="20" t="s">
        <v>2504</v>
      </c>
    </row>
    <row r="363" customFormat="false" ht="15" hidden="false" customHeight="false" outlineLevel="0" collapsed="false">
      <c r="A363" s="20" t="s">
        <v>2507</v>
      </c>
      <c r="B363" s="20" t="s">
        <v>2499</v>
      </c>
    </row>
    <row r="364" customFormat="false" ht="15" hidden="false" customHeight="false" outlineLevel="0" collapsed="false">
      <c r="A364" s="20" t="s">
        <v>2508</v>
      </c>
      <c r="B364" s="20" t="s">
        <v>2509</v>
      </c>
    </row>
    <row r="365" customFormat="false" ht="15" hidden="false" customHeight="false" outlineLevel="0" collapsed="false">
      <c r="A365" s="20" t="s">
        <v>2510</v>
      </c>
      <c r="B365" s="20" t="s">
        <v>2505</v>
      </c>
    </row>
    <row r="366" customFormat="false" ht="15" hidden="false" customHeight="false" outlineLevel="0" collapsed="false">
      <c r="A366" s="20" t="s">
        <v>2511</v>
      </c>
      <c r="B366" s="20" t="s">
        <v>2512</v>
      </c>
    </row>
    <row r="367" customFormat="false" ht="15" hidden="false" customHeight="false" outlineLevel="0" collapsed="false">
      <c r="A367" s="20" t="s">
        <v>2513</v>
      </c>
      <c r="B367" s="20" t="s">
        <v>2514</v>
      </c>
    </row>
    <row r="368" customFormat="false" ht="15" hidden="false" customHeight="false" outlineLevel="0" collapsed="false">
      <c r="A368" s="20" t="s">
        <v>2515</v>
      </c>
      <c r="B368" s="20" t="s">
        <v>2516</v>
      </c>
    </row>
    <row r="369" customFormat="false" ht="15" hidden="false" customHeight="false" outlineLevel="0" collapsed="false">
      <c r="A369" s="20" t="s">
        <v>2517</v>
      </c>
      <c r="B369" s="20" t="s">
        <v>2512</v>
      </c>
    </row>
    <row r="370" customFormat="false" ht="15" hidden="false" customHeight="false" outlineLevel="0" collapsed="false">
      <c r="A370" s="20" t="s">
        <v>2518</v>
      </c>
      <c r="B370" s="20" t="s">
        <v>2519</v>
      </c>
    </row>
    <row r="371" customFormat="false" ht="15" hidden="false" customHeight="false" outlineLevel="0" collapsed="false">
      <c r="A371" s="20" t="s">
        <v>2520</v>
      </c>
      <c r="B371" s="20" t="s">
        <v>2521</v>
      </c>
    </row>
    <row r="372" customFormat="false" ht="15" hidden="false" customHeight="false" outlineLevel="0" collapsed="false">
      <c r="A372" s="20" t="s">
        <v>2531</v>
      </c>
      <c r="B372" s="20" t="s">
        <v>2532</v>
      </c>
    </row>
    <row r="373" customFormat="false" ht="15" hidden="false" customHeight="false" outlineLevel="0" collapsed="false">
      <c r="A373" s="20" t="s">
        <v>2533</v>
      </c>
      <c r="B373" s="20" t="s">
        <v>2534</v>
      </c>
    </row>
    <row r="374" customFormat="false" ht="15" hidden="false" customHeight="false" outlineLevel="0" collapsed="false">
      <c r="A374" s="20" t="s">
        <v>2522</v>
      </c>
      <c r="B374" s="20" t="s">
        <v>2523</v>
      </c>
    </row>
    <row r="375" customFormat="false" ht="15" hidden="false" customHeight="false" outlineLevel="0" collapsed="false">
      <c r="A375" s="20" t="s">
        <v>2522</v>
      </c>
      <c r="B375" s="20" t="s">
        <v>2524</v>
      </c>
    </row>
    <row r="376" customFormat="false" ht="15" hidden="false" customHeight="false" outlineLevel="0" collapsed="false">
      <c r="A376" s="20" t="s">
        <v>2522</v>
      </c>
      <c r="B376" s="20" t="s">
        <v>2523</v>
      </c>
    </row>
    <row r="377" customFormat="false" ht="15" hidden="false" customHeight="false" outlineLevel="0" collapsed="false">
      <c r="A377" s="20" t="s">
        <v>2525</v>
      </c>
      <c r="B377" s="20" t="s">
        <v>2523</v>
      </c>
    </row>
    <row r="378" customFormat="false" ht="15" hidden="false" customHeight="false" outlineLevel="0" collapsed="false">
      <c r="A378" s="20" t="s">
        <v>2525</v>
      </c>
      <c r="B378" s="20" t="s">
        <v>2524</v>
      </c>
    </row>
    <row r="379" customFormat="false" ht="15" hidden="false" customHeight="false" outlineLevel="0" collapsed="false">
      <c r="A379" s="20" t="s">
        <v>2525</v>
      </c>
      <c r="B379" s="20" t="s">
        <v>2523</v>
      </c>
    </row>
    <row r="380" customFormat="false" ht="15" hidden="false" customHeight="false" outlineLevel="0" collapsed="false">
      <c r="A380" s="20" t="s">
        <v>2526</v>
      </c>
      <c r="B380" s="20" t="s">
        <v>2523</v>
      </c>
    </row>
    <row r="381" customFormat="false" ht="15" hidden="false" customHeight="false" outlineLevel="0" collapsed="false">
      <c r="A381" s="20" t="s">
        <v>2526</v>
      </c>
      <c r="B381" s="20" t="s">
        <v>2527</v>
      </c>
    </row>
    <row r="382" customFormat="false" ht="15" hidden="false" customHeight="false" outlineLevel="0" collapsed="false">
      <c r="A382" s="20" t="s">
        <v>2526</v>
      </c>
      <c r="B382" s="20" t="s">
        <v>2523</v>
      </c>
    </row>
    <row r="383" customFormat="false" ht="15" hidden="false" customHeight="false" outlineLevel="0" collapsed="false">
      <c r="A383" s="20" t="s">
        <v>2528</v>
      </c>
      <c r="B383" s="20" t="s">
        <v>2523</v>
      </c>
    </row>
    <row r="384" customFormat="false" ht="15" hidden="false" customHeight="false" outlineLevel="0" collapsed="false">
      <c r="A384" s="20" t="s">
        <v>2528</v>
      </c>
      <c r="B384" s="20" t="s">
        <v>2529</v>
      </c>
    </row>
    <row r="385" customFormat="false" ht="15" hidden="false" customHeight="false" outlineLevel="0" collapsed="false">
      <c r="A385" s="20" t="s">
        <v>2528</v>
      </c>
      <c r="B385" s="20" t="s">
        <v>2529</v>
      </c>
    </row>
    <row r="386" customFormat="false" ht="15" hidden="false" customHeight="false" outlineLevel="0" collapsed="false">
      <c r="A386" s="20" t="s">
        <v>2528</v>
      </c>
      <c r="B386" s="20" t="s">
        <v>2523</v>
      </c>
    </row>
    <row r="387" customFormat="false" ht="15" hidden="false" customHeight="false" outlineLevel="0" collapsed="false">
      <c r="A387" s="20" t="s">
        <v>2528</v>
      </c>
      <c r="B387" s="20" t="s">
        <v>2523</v>
      </c>
    </row>
    <row r="389" customFormat="false" ht="15" hidden="false" customHeight="true" outlineLevel="0" collapsed="false">
      <c r="A389" s="2" t="s">
        <v>2537</v>
      </c>
      <c r="B389" s="2"/>
    </row>
    <row r="390" customFormat="false" ht="15" hidden="false" customHeight="false" outlineLevel="0" collapsed="false">
      <c r="A390" s="4" t="s">
        <v>2495</v>
      </c>
      <c r="B390" s="4" t="s">
        <v>2496</v>
      </c>
    </row>
    <row r="391" customFormat="false" ht="15" hidden="false" customHeight="false" outlineLevel="0" collapsed="false">
      <c r="A391" s="20" t="s">
        <v>2497</v>
      </c>
      <c r="B391" s="20" t="s">
        <v>2498</v>
      </c>
    </row>
    <row r="392" customFormat="false" ht="15" hidden="false" customHeight="false" outlineLevel="0" collapsed="false">
      <c r="A392" s="20" t="s">
        <v>2497</v>
      </c>
      <c r="B392" s="20" t="s">
        <v>2499</v>
      </c>
    </row>
    <row r="393" customFormat="false" ht="15" hidden="false" customHeight="false" outlineLevel="0" collapsed="false">
      <c r="A393" s="20" t="s">
        <v>2497</v>
      </c>
      <c r="B393" s="20" t="s">
        <v>2498</v>
      </c>
    </row>
    <row r="394" customFormat="false" ht="15" hidden="false" customHeight="false" outlineLevel="0" collapsed="false">
      <c r="A394" s="20" t="s">
        <v>2500</v>
      </c>
      <c r="B394" s="20" t="s">
        <v>2498</v>
      </c>
    </row>
    <row r="395" customFormat="false" ht="15" hidden="false" customHeight="false" outlineLevel="0" collapsed="false">
      <c r="A395" s="20" t="s">
        <v>2500</v>
      </c>
      <c r="B395" s="20" t="s">
        <v>2499</v>
      </c>
    </row>
    <row r="396" customFormat="false" ht="15" hidden="false" customHeight="false" outlineLevel="0" collapsed="false">
      <c r="A396" s="20" t="s">
        <v>2500</v>
      </c>
      <c r="B396" s="20" t="s">
        <v>2498</v>
      </c>
    </row>
    <row r="397" customFormat="false" ht="15" hidden="false" customHeight="false" outlineLevel="0" collapsed="false">
      <c r="A397" s="20" t="s">
        <v>2501</v>
      </c>
      <c r="B397" s="20" t="s">
        <v>2498</v>
      </c>
    </row>
    <row r="398" customFormat="false" ht="15" hidden="false" customHeight="false" outlineLevel="0" collapsed="false">
      <c r="A398" s="20" t="s">
        <v>2501</v>
      </c>
      <c r="B398" s="20" t="s">
        <v>2499</v>
      </c>
    </row>
    <row r="399" customFormat="false" ht="15" hidden="false" customHeight="false" outlineLevel="0" collapsed="false">
      <c r="A399" s="20" t="s">
        <v>2501</v>
      </c>
      <c r="B399" s="20" t="s">
        <v>2498</v>
      </c>
    </row>
    <row r="400" customFormat="false" ht="15" hidden="false" customHeight="false" outlineLevel="0" collapsed="false">
      <c r="A400" s="20" t="s">
        <v>2502</v>
      </c>
      <c r="B400" s="20" t="s">
        <v>2498</v>
      </c>
    </row>
    <row r="401" customFormat="false" ht="15" hidden="false" customHeight="false" outlineLevel="0" collapsed="false">
      <c r="A401" s="20" t="s">
        <v>2502</v>
      </c>
      <c r="B401" s="20" t="s">
        <v>2499</v>
      </c>
    </row>
    <row r="402" customFormat="false" ht="15" hidden="false" customHeight="false" outlineLevel="0" collapsed="false">
      <c r="A402" s="20" t="s">
        <v>2503</v>
      </c>
      <c r="B402" s="20" t="s">
        <v>2504</v>
      </c>
    </row>
    <row r="403" customFormat="false" ht="15" hidden="false" customHeight="false" outlineLevel="0" collapsed="false">
      <c r="A403" s="20" t="s">
        <v>2503</v>
      </c>
      <c r="B403" s="20" t="s">
        <v>2499</v>
      </c>
    </row>
    <row r="404" customFormat="false" ht="15" hidden="false" customHeight="false" outlineLevel="0" collapsed="false">
      <c r="A404" s="20" t="s">
        <v>2503</v>
      </c>
      <c r="B404" s="20" t="s">
        <v>2498</v>
      </c>
    </row>
    <row r="405" customFormat="false" ht="15" hidden="false" customHeight="false" outlineLevel="0" collapsed="false">
      <c r="A405" s="20" t="s">
        <v>2503</v>
      </c>
      <c r="B405" s="20" t="s">
        <v>2505</v>
      </c>
    </row>
    <row r="406" customFormat="false" ht="15" hidden="false" customHeight="false" outlineLevel="0" collapsed="false">
      <c r="A406" s="20" t="s">
        <v>2506</v>
      </c>
      <c r="B406" s="20" t="s">
        <v>2504</v>
      </c>
    </row>
    <row r="407" customFormat="false" ht="15" hidden="false" customHeight="false" outlineLevel="0" collapsed="false">
      <c r="A407" s="20" t="s">
        <v>2506</v>
      </c>
      <c r="B407" s="20" t="s">
        <v>2499</v>
      </c>
    </row>
    <row r="408" customFormat="false" ht="15" hidden="false" customHeight="false" outlineLevel="0" collapsed="false">
      <c r="A408" s="20" t="s">
        <v>2506</v>
      </c>
      <c r="B408" s="20" t="s">
        <v>2498</v>
      </c>
    </row>
    <row r="409" customFormat="false" ht="15" hidden="false" customHeight="false" outlineLevel="0" collapsed="false">
      <c r="A409" s="20" t="s">
        <v>2506</v>
      </c>
      <c r="B409" s="20" t="s">
        <v>2505</v>
      </c>
    </row>
    <row r="410" customFormat="false" ht="15" hidden="false" customHeight="false" outlineLevel="0" collapsed="false">
      <c r="A410" s="20" t="s">
        <v>2507</v>
      </c>
      <c r="B410" s="20" t="s">
        <v>2504</v>
      </c>
    </row>
    <row r="411" customFormat="false" ht="15" hidden="false" customHeight="false" outlineLevel="0" collapsed="false">
      <c r="A411" s="20" t="s">
        <v>2507</v>
      </c>
      <c r="B411" s="20" t="s">
        <v>2499</v>
      </c>
    </row>
    <row r="412" customFormat="false" ht="15" hidden="false" customHeight="false" outlineLevel="0" collapsed="false">
      <c r="A412" s="20" t="s">
        <v>2508</v>
      </c>
      <c r="B412" s="20" t="s">
        <v>2509</v>
      </c>
    </row>
    <row r="413" customFormat="false" ht="15" hidden="false" customHeight="false" outlineLevel="0" collapsed="false">
      <c r="A413" s="20" t="s">
        <v>2510</v>
      </c>
      <c r="B413" s="20" t="s">
        <v>2505</v>
      </c>
    </row>
    <row r="414" customFormat="false" ht="15" hidden="false" customHeight="false" outlineLevel="0" collapsed="false">
      <c r="A414" s="20" t="s">
        <v>2511</v>
      </c>
      <c r="B414" s="20" t="s">
        <v>2512</v>
      </c>
    </row>
    <row r="415" customFormat="false" ht="15" hidden="false" customHeight="false" outlineLevel="0" collapsed="false">
      <c r="A415" s="20" t="s">
        <v>2513</v>
      </c>
      <c r="B415" s="20" t="s">
        <v>2514</v>
      </c>
    </row>
    <row r="416" customFormat="false" ht="15" hidden="false" customHeight="false" outlineLevel="0" collapsed="false">
      <c r="A416" s="20" t="s">
        <v>2515</v>
      </c>
      <c r="B416" s="20" t="s">
        <v>2516</v>
      </c>
    </row>
    <row r="417" customFormat="false" ht="15" hidden="false" customHeight="false" outlineLevel="0" collapsed="false">
      <c r="A417" s="20" t="s">
        <v>2517</v>
      </c>
      <c r="B417" s="20" t="s">
        <v>2512</v>
      </c>
    </row>
    <row r="418" customFormat="false" ht="15" hidden="false" customHeight="false" outlineLevel="0" collapsed="false">
      <c r="A418" s="20" t="s">
        <v>2518</v>
      </c>
      <c r="B418" s="20" t="s">
        <v>2519</v>
      </c>
    </row>
    <row r="419" customFormat="false" ht="15" hidden="false" customHeight="false" outlineLevel="0" collapsed="false">
      <c r="A419" s="20" t="s">
        <v>2520</v>
      </c>
      <c r="B419" s="20" t="s">
        <v>2521</v>
      </c>
    </row>
    <row r="420" customFormat="false" ht="15" hidden="false" customHeight="false" outlineLevel="0" collapsed="false">
      <c r="A420" s="20" t="s">
        <v>2531</v>
      </c>
      <c r="B420" s="20" t="s">
        <v>2532</v>
      </c>
    </row>
    <row r="421" customFormat="false" ht="15" hidden="false" customHeight="false" outlineLevel="0" collapsed="false">
      <c r="A421" s="20" t="s">
        <v>2533</v>
      </c>
      <c r="B421" s="20" t="s">
        <v>2534</v>
      </c>
    </row>
  </sheetData>
  <mergeCells count="22">
    <mergeCell ref="A3:B3"/>
    <mergeCell ref="A17:B17"/>
    <mergeCell ref="A36:B36"/>
    <mergeCell ref="A63:B63"/>
    <mergeCell ref="A78:B78"/>
    <mergeCell ref="A88:B88"/>
    <mergeCell ref="A97:B97"/>
    <mergeCell ref="A111:B111"/>
    <mergeCell ref="A119:B119"/>
    <mergeCell ref="A126:B126"/>
    <mergeCell ref="A136:B136"/>
    <mergeCell ref="A142:B142"/>
    <mergeCell ref="A159:B159"/>
    <mergeCell ref="A170:B170"/>
    <mergeCell ref="A176:B176"/>
    <mergeCell ref="A180:B180"/>
    <mergeCell ref="A188:B188"/>
    <mergeCell ref="A199:B199"/>
    <mergeCell ref="A245:B245"/>
    <mergeCell ref="A293:B293"/>
    <mergeCell ref="A341:B341"/>
    <mergeCell ref="A389:B38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2026-10-12T08:09:17Z</dcterms:created>
  <dc:creator>openpyxl</dc:creator>
  <dc:description/>
  <dc:language>en-US</dc:language>
  <cp:lastModifiedBy/>
  <dcterms:modified xsi:type="dcterms:W3CDTF">2026-10-12T08:09:20Z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