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требность" sheetId="1" state="visible" r:id="rId3"/>
    <sheet name="По осям" sheetId="2" state="visible" r:id="rId4"/>
    <sheet name="Сверка ПТО" sheetId="3" state="visible" r:id="rId5"/>
    <sheet name="Исходные" sheetId="4" state="visible" r:id="rId6"/>
    <sheet name="Ведомость" sheetId="5" state="visible" r:id="rId7"/>
    <sheet name="Раскрой 11,7м" sheetId="6" state="visible" r:id="rId8"/>
    <sheet name="Проверки" sheetId="7" state="visible" r:id="rId9"/>
  </sheets>
  <definedNames>
    <definedName function="false" hidden="false" localSheetId="4" name="_xlnm.Print_Titles" vbProcedure="false">Ведомость!$4:$4</definedName>
    <definedName function="false" hidden="true" localSheetId="4" name="_xlnm._FilterDatabase" vbProcedure="false">Ведомость!$A$4:$W$846</definedName>
    <definedName function="false" hidden="false" localSheetId="5" name="_xlnm.Print_Titles" vbProcedure="false">'Раскрой 11,7м'!$4:$4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Дм: (колонна 600×600 + полки 700×400 + ребро ×400) × (4,0 − 0,12 плита).</t>
        </r>
      </text>
    </comment>
    <comment ref="B77" authorId="0">
      <text>
        <r>
          <rPr>
            <sz val="10"/>
            <rFont val="Arial"/>
            <family val="2"/>
          </rPr>
          <t xml:space="preserve">Дм: (колонна 600×600 + полки 700×400 + ребро ×400) × (3,6 − 0,12 плита).</t>
        </r>
      </text>
    </comment>
    <comment ref="D31" authorId="0">
      <text>
        <r>
          <rPr>
            <sz val="10"/>
            <rFont val="Arial"/>
            <family val="2"/>
          </rPr>
          <t xml:space="preserve">Колонны 600×600 × (4,0 − 0,12), включая узел с ригелем.</t>
        </r>
      </text>
    </comment>
    <comment ref="D77" authorId="0">
      <text>
        <r>
          <rPr>
            <sz val="10"/>
            <rFont val="Arial"/>
            <family val="2"/>
          </rPr>
          <t xml:space="preserve">Колонны 600×600 × (3,6 − 0,12), включая узел с ригелем.</t>
        </r>
      </text>
    </comment>
    <comment ref="E31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41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(Б-Б АС-31). Аш балок плиты не считались.</t>
        </r>
      </text>
    </comment>
    <comment ref="E77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87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(Б-Б АС-31). Аш балок плиты не считались.</t>
        </r>
      </text>
    </comment>
    <comment ref="V31" authorId="0">
      <text>
        <r>
          <rPr>
            <sz val="10"/>
            <rFont val="Arial"/>
            <family val="2"/>
          </rPr>
          <t xml:space="preserve">Площадь плиты по контуру АС-47 за вычетом проёмов = 542.03 м² × 0,12 м.</t>
        </r>
      </text>
    </comment>
    <comment ref="V77" authorId="0">
      <text>
        <r>
          <rPr>
            <sz val="10"/>
            <rFont val="Arial"/>
            <family val="2"/>
          </rPr>
          <t xml:space="preserve">Площадь плиты по контуру АС-48 за вычетом проёмов = 541.54 м² × 0,12 м.</t>
        </r>
      </text>
    </comment>
    <comment ref="AC40" authorId="0">
      <text>
        <r>
          <rPr>
            <sz val="10"/>
            <rFont val="Arial"/>
            <family val="2"/>
          </rPr>
          <t xml:space="preserve">АС-68 узел «2»: «Аш-6» на концах 18Ø18 у балки. По таблице АС-33 для Ø18 — Аш-3. Посчитано как Аш-6 по узлу — уточнить.</t>
        </r>
      </text>
    </comment>
    <comment ref="AF40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  <comment ref="AF86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</commentList>
</comments>
</file>

<file path=xl/sharedStrings.xml><?xml version="1.0" encoding="utf-8"?>
<sst xmlns="http://schemas.openxmlformats.org/spreadsheetml/2006/main" count="11635" uniqueCount="1605">
  <si>
    <t xml:space="preserve">Блок 14, ул. Токомбаева — потребность по этажам</t>
  </si>
  <si>
    <t xml:space="preserve">Арматура (чистая проектная масса, без запаса)</t>
  </si>
  <si>
    <t xml:space="preserve">Диаметр</t>
  </si>
  <si>
    <t xml:space="preserve">Ед. изм.</t>
  </si>
  <si>
    <t xml:space="preserve">1 этаж (-0.050…+3.950)</t>
  </si>
  <si>
    <t xml:space="preserve">2 этаж (+3.950…+7.550)</t>
  </si>
  <si>
    <t xml:space="preserve">Итого 1+2 этаж</t>
  </si>
  <si>
    <t xml:space="preserve">Итого × К зап</t>
  </si>
  <si>
    <t xml:space="preserve">Заказ (раскрой поэтажно под прутки 11,7 м)</t>
  </si>
  <si>
    <t xml:space="preserve">Колонны, диафрагмы</t>
  </si>
  <si>
    <t xml:space="preserve">Плита перекрытия, балки, ригели, С-1</t>
  </si>
  <si>
    <t xml:space="preserve">Лестницы и лест. рамы</t>
  </si>
  <si>
    <t xml:space="preserve">Прутков 11,7 м, шт</t>
  </si>
  <si>
    <t xml:space="preserve">Масса заказа, кг</t>
  </si>
  <si>
    <t xml:space="preserve">Отход, %</t>
  </si>
  <si>
    <t xml:space="preserve">Диаметр 32 А500С</t>
  </si>
  <si>
    <t xml:space="preserve">кг</t>
  </si>
  <si>
    <t xml:space="preserve">Диаметр 28 А500С</t>
  </si>
  <si>
    <t xml:space="preserve">Диаметр 25 А500С</t>
  </si>
  <si>
    <t xml:space="preserve">Диаметр 22 А500С</t>
  </si>
  <si>
    <t xml:space="preserve">Диаметр 20 А500С</t>
  </si>
  <si>
    <t xml:space="preserve">Диаметр 18 А500С</t>
  </si>
  <si>
    <t xml:space="preserve">Диаметр 16 А500С</t>
  </si>
  <si>
    <t xml:space="preserve">Диаметр 14 А500С</t>
  </si>
  <si>
    <t xml:space="preserve">Диаметр 12 А500С</t>
  </si>
  <si>
    <t xml:space="preserve">Диаметр 10 А500С</t>
  </si>
  <si>
    <t xml:space="preserve">Диаметр 8 А500С</t>
  </si>
  <si>
    <t xml:space="preserve">Диаметр 16 А240</t>
  </si>
  <si>
    <t xml:space="preserve">Диаметр 12 А240</t>
  </si>
  <si>
    <t xml:space="preserve">Диаметр 10 А240</t>
  </si>
  <si>
    <t xml:space="preserve">Диаметр 8 А240</t>
  </si>
  <si>
    <t xml:space="preserve">Диаметр 6 А240</t>
  </si>
  <si>
    <t xml:space="preserve">Сетка Ø5 Вр-I 100×100 (лестница)</t>
  </si>
  <si>
    <t xml:space="preserve">Итого:</t>
  </si>
  <si>
    <t xml:space="preserve">т</t>
  </si>
  <si>
    <t xml:space="preserve">Итого по этажу, кг</t>
  </si>
  <si>
    <t xml:space="preserve">Контроль: = «Ведомость» и «По осям»</t>
  </si>
  <si>
    <t xml:space="preserve">← должно быть 0</t>
  </si>
  <si>
    <t xml:space="preserve">Бетон</t>
  </si>
  <si>
    <t xml:space="preserve">Марка</t>
  </si>
  <si>
    <t xml:space="preserve">В25</t>
  </si>
  <si>
    <t xml:space="preserve">м3</t>
  </si>
  <si>
    <t xml:space="preserve">Прочие материалы</t>
  </si>
  <si>
    <t xml:space="preserve">Наименование</t>
  </si>
  <si>
    <t xml:space="preserve">Анкерная шайба АШ-1 (14)</t>
  </si>
  <si>
    <t xml:space="preserve">шт.</t>
  </si>
  <si>
    <t xml:space="preserve">Анкерная шайба АШ-2 (16)</t>
  </si>
  <si>
    <t xml:space="preserve">Анкерная шайба АШ-3 (18)</t>
  </si>
  <si>
    <t xml:space="preserve">Анкерная шайба АШ-4 (20)</t>
  </si>
  <si>
    <t xml:space="preserve">Анкерная шайба АШ-5 (22)</t>
  </si>
  <si>
    <t xml:space="preserve">Анкерная шайба АШ-6 (25)</t>
  </si>
  <si>
    <t xml:space="preserve">Анкерная шайба АШ-7 (28)</t>
  </si>
  <si>
    <t xml:space="preserve">Анкерная шайба АШ-8 (32)</t>
  </si>
  <si>
    <t xml:space="preserve">Ванночка d32 (стыков ванной сваркой)</t>
  </si>
  <si>
    <t xml:space="preserve">Ванночка d28 (стыков ванной сваркой)</t>
  </si>
  <si>
    <t xml:space="preserve">Ванночка d25 (стыков ванной сваркой)</t>
  </si>
  <si>
    <t xml:space="preserve">Ванночка d22 (стыков ванной сваркой)</t>
  </si>
  <si>
    <t xml:space="preserve">Ванночка d20 (стыков ванной сваркой)</t>
  </si>
  <si>
    <t xml:space="preserve">Примечания:</t>
  </si>
  <si>
    <t xml:space="preserve">1. Колонки этажей — чистая проектная масса (с нахлёстами, где они нужны), без запаса. «Итого × К зап» — с коэффициентом из листа «Исходные» (1,07, как в вашем шаблоне).</t>
  </si>
  <si>
    <t xml:space="preserve">2. Заказ — по фактическому раскрою под прутки 11,7 м поэтажно (лист «Раскрой 11,7м»); при совместном заказе 1+2 этажа прутков меньше (там же, колонка «Справочно»).</t>
  </si>
  <si>
    <t xml:space="preserve">3. Сетки-гребёнки С-1 отнесены к «плите, балкам, ригелям» (узлы колонна–ригель на уровне перекрытия). Лестница: 1 этаж — марши 1, 2, площадка 1.920, Лрм-1; 2 этаж — марши 3, 4, площадка 5.800, Лрм-2.</t>
  </si>
  <si>
    <t xml:space="preserve">4. Сомнительные места и принятые допущения — лист «Проверки».</t>
  </si>
  <si>
    <t xml:space="preserve">Блок 14, ул. Токомбаева — подсчёт арматуры по осям: 1 этаж и 2 этаж (м.п. → кг)</t>
  </si>
  <si>
    <t xml:space="preserve">К зап</t>
  </si>
  <si>
    <t xml:space="preserve">К зап бетон</t>
  </si>
  <si>
    <t xml:space="preserve">м.п. = SUMIFS из «Ведомости» (этаж, Ø, класс, колонка); Всего = м.п. × кг/м × К зап (как в шаблоне); чистая масса без запаса — отдельной строкой</t>
  </si>
  <si>
    <t xml:space="preserve">1 ЭТАЖ</t>
  </si>
  <si>
    <t xml:space="preserve">Рамы</t>
  </si>
  <si>
    <t xml:space="preserve">Балки</t>
  </si>
  <si>
    <t xml:space="preserve">Перекрытие</t>
  </si>
  <si>
    <t xml:space="preserve">Сетки С-1</t>
  </si>
  <si>
    <t xml:space="preserve">Лестничный марш</t>
  </si>
  <si>
    <t xml:space="preserve">Ригели, балки, плита, С-1</t>
  </si>
  <si>
    <t xml:space="preserve">Лестницы</t>
  </si>
  <si>
    <t xml:space="preserve">На отметке -0.050…+3.950</t>
  </si>
  <si>
    <t xml:space="preserve">По оси А</t>
  </si>
  <si>
    <t xml:space="preserve">По оси Б</t>
  </si>
  <si>
    <t xml:space="preserve">По оси В</t>
  </si>
  <si>
    <t xml:space="preserve">По оси Г</t>
  </si>
  <si>
    <t xml:space="preserve">По оси 1/5</t>
  </si>
  <si>
    <t xml:space="preserve">По оси 2</t>
  </si>
  <si>
    <t xml:space="preserve">По оси 3</t>
  </si>
  <si>
    <t xml:space="preserve">По оси 4</t>
  </si>
  <si>
    <t xml:space="preserve">Основная</t>
  </si>
  <si>
    <t xml:space="preserve">Хомуты</t>
  </si>
  <si>
    <t xml:space="preserve">Допник</t>
  </si>
  <si>
    <t xml:space="preserve">Отверстия</t>
  </si>
  <si>
    <t xml:space="preserve">Край</t>
  </si>
  <si>
    <t xml:space="preserve">С-1</t>
  </si>
  <si>
    <t xml:space="preserve">Л1</t>
  </si>
  <si>
    <t xml:space="preserve">Л2</t>
  </si>
  <si>
    <t xml:space="preserve">Площадка</t>
  </si>
  <si>
    <t xml:space="preserve">Рама</t>
  </si>
  <si>
    <t xml:space="preserve">Масса ед. кг</t>
  </si>
  <si>
    <t xml:space="preserve">Всего</t>
  </si>
  <si>
    <t xml:space="preserve">(1 этаж)</t>
  </si>
  <si>
    <t xml:space="preserve">Дм-1</t>
  </si>
  <si>
    <t xml:space="preserve">Дм-2</t>
  </si>
  <si>
    <t xml:space="preserve">К 1-1 (3)</t>
  </si>
  <si>
    <t xml:space="preserve">Ригель 4-4</t>
  </si>
  <si>
    <t xml:space="preserve">К 1-1 (5)</t>
  </si>
  <si>
    <t xml:space="preserve">К 1-1 (2)</t>
  </si>
  <si>
    <t xml:space="preserve">Дм-3</t>
  </si>
  <si>
    <t xml:space="preserve">Дм-4</t>
  </si>
  <si>
    <t xml:space="preserve">Дм-5</t>
  </si>
  <si>
    <t xml:space="preserve">Ригель 5-5 (×2)</t>
  </si>
  <si>
    <t xml:space="preserve">Ригель 5-5</t>
  </si>
  <si>
    <t xml:space="preserve">Ø18 L=1200</t>
  </si>
  <si>
    <t xml:space="preserve">Ф-1, шп.</t>
  </si>
  <si>
    <t xml:space="preserve">Низ</t>
  </si>
  <si>
    <t xml:space="preserve">Верх</t>
  </si>
  <si>
    <t xml:space="preserve">сеч.6-6</t>
  </si>
  <si>
    <t xml:space="preserve">240 шт</t>
  </si>
  <si>
    <t xml:space="preserve">марш 1</t>
  </si>
  <si>
    <t xml:space="preserve">марш 2</t>
  </si>
  <si>
    <t xml:space="preserve">отм. 1.920</t>
  </si>
  <si>
    <t xml:space="preserve">Лрм-1</t>
  </si>
  <si>
    <t xml:space="preserve">(м.п.)</t>
  </si>
  <si>
    <t xml:space="preserve">Арматура, (м.п.)</t>
  </si>
  <si>
    <t xml:space="preserve">Диаметр 32 А500С, L=м.п.</t>
  </si>
  <si>
    <t xml:space="preserve">Диаметр 28 А500С, L=м.п.</t>
  </si>
  <si>
    <t xml:space="preserve">Диаметр 25 А500С, L=м.п.</t>
  </si>
  <si>
    <t xml:space="preserve">Диаметр 22 А500С, L=м.п.</t>
  </si>
  <si>
    <t xml:space="preserve">Диаметр 20 А500С, L=м.п.</t>
  </si>
  <si>
    <t xml:space="preserve">Диаметр 18 А500С, L=м.п.</t>
  </si>
  <si>
    <t xml:space="preserve">Диаметр 16 А500С, L=м.п.</t>
  </si>
  <si>
    <t xml:space="preserve">Диаметр 14 А500С, L=м.п.</t>
  </si>
  <si>
    <t xml:space="preserve">Диаметр 12 А500С, L=м.п.</t>
  </si>
  <si>
    <t xml:space="preserve">Диаметр 10 А500С, L=м.п.</t>
  </si>
  <si>
    <t xml:space="preserve">Диаметр 8 А500С, L=м.п.</t>
  </si>
  <si>
    <t xml:space="preserve">Диаметр 16 А240, L=м.п.</t>
  </si>
  <si>
    <t xml:space="preserve">Диаметр 12 А240, L=м.п.</t>
  </si>
  <si>
    <t xml:space="preserve">Диаметр 10 А240, L=м.п.</t>
  </si>
  <si>
    <t xml:space="preserve">Диаметр 8 А240, L=м.п.</t>
  </si>
  <si>
    <t xml:space="preserve">Диаметр 6 А240, L=м.п.</t>
  </si>
  <si>
    <t xml:space="preserve">Сетка Ø5 Вр-I 100×100, м²</t>
  </si>
  <si>
    <t xml:space="preserve">Масса чистая (без К зап), кг</t>
  </si>
  <si>
    <t xml:space="preserve">Всего с К зап, кг</t>
  </si>
  <si>
    <t xml:space="preserve">Итого (кг):</t>
  </si>
  <si>
    <t xml:space="preserve">Итого (т):</t>
  </si>
  <si>
    <t xml:space="preserve">Контроль: чистая масса = «Ведомость», 1 этаж</t>
  </si>
  <si>
    <t xml:space="preserve">Бетон, (м3)</t>
  </si>
  <si>
    <t xml:space="preserve">Бетон В25, м3</t>
  </si>
  <si>
    <t xml:space="preserve">Удельный расход (чистый), кг/м³</t>
  </si>
  <si>
    <t xml:space="preserve">Прочие материалы, (шт.)</t>
  </si>
  <si>
    <t xml:space="preserve">АШ-1, д14, шт.</t>
  </si>
  <si>
    <t xml:space="preserve">АШ-2, д16, шт.</t>
  </si>
  <si>
    <t xml:space="preserve">АШ-3, д18, шт.</t>
  </si>
  <si>
    <t xml:space="preserve">АШ-4, д20, шт.</t>
  </si>
  <si>
    <t xml:space="preserve">АШ-5, д22, шт.</t>
  </si>
  <si>
    <t xml:space="preserve">АШ-6, д25, шт.</t>
  </si>
  <si>
    <t xml:space="preserve">АШ-7, д28, шт.</t>
  </si>
  <si>
    <t xml:space="preserve">АШ-8, д32, шт.</t>
  </si>
  <si>
    <t xml:space="preserve">ВН32, шт. (стыки ванной сваркой)</t>
  </si>
  <si>
    <t xml:space="preserve">ВН28, шт. (стыки ванной сваркой)</t>
  </si>
  <si>
    <t xml:space="preserve">ВН25, шт. (стыки ванной сваркой)</t>
  </si>
  <si>
    <t xml:space="preserve">ВН22, шт. (стыки ванной сваркой)</t>
  </si>
  <si>
    <t xml:space="preserve">ВН20, шт. (стыки ванной сваркой)</t>
  </si>
  <si>
    <t xml:space="preserve">2 ЭТАЖ</t>
  </si>
  <si>
    <t xml:space="preserve">На отметке +3.950…+7.550</t>
  </si>
  <si>
    <t xml:space="preserve">(2 этаж)</t>
  </si>
  <si>
    <t xml:space="preserve">К 2-2 (3)</t>
  </si>
  <si>
    <t xml:space="preserve">К 2-2 (5)</t>
  </si>
  <si>
    <t xml:space="preserve">К 2-2 (2)</t>
  </si>
  <si>
    <t xml:space="preserve">марш 3</t>
  </si>
  <si>
    <t xml:space="preserve">марш 4</t>
  </si>
  <si>
    <t xml:space="preserve">отм. 5.800</t>
  </si>
  <si>
    <t xml:space="preserve">Лрм-2</t>
  </si>
  <si>
    <t xml:space="preserve">Контроль: чистая масса = «Ведомость», 2 этаж</t>
  </si>
  <si>
    <t xml:space="preserve">1. Порядок колонок — как в вашем шаблоне «Лист1»: ось А (Дм-1, Дм-2, колонны, ригель) → ось Б → ось В → ось Г (колонны, Дм-3, Дм-4, Дм-5, ригель) → ригели по цифровым осям → балки → перекрытие → С-1 → лестница.</t>
  </si>
  <si>
    <t xml:space="preserve">2. Добавлены колонки: «Край» плиты (2Ø14 сеч.6-6 + пешки), «С-1» (сетки-гребёнки) и «Площадка» лестницы — в шаблоне для них места не было.</t>
  </si>
  <si>
    <t xml:space="preserve">3. Ригель «1/5» — две рамы (оси 1 и 5, лист АС-24) — ×2. Колонны: К 1-1 / К 2-2 (кол-во в скобках) — без колонн в составе Дм.</t>
  </si>
  <si>
    <t xml:space="preserve">4. Ванная сварка: вертикали Дм и колонн Ø≥20 — 1 стык на стержень на этаж; продольные Ø28 ригелей и Ø25 балок &gt; 11,7 м — стыки прутков.</t>
  </si>
  <si>
    <t xml:space="preserve">5. Отверстия: отдельного армирования нет — проёмы обрамлены балками 2-2, 4-4, 5-5 (в «Балки»).</t>
  </si>
  <si>
    <t xml:space="preserve">Сверка с расчётом коллеги ПТО — 1 этаж, Блок 14 (по 2 этажу данных коллеги нет)</t>
  </si>
  <si>
    <t xml:space="preserve">К(зап) в таблице коллеги (предположение, как в образце 1,07):</t>
  </si>
  <si>
    <t xml:space="preserve">Данные коллеги — синие (скриншот, колонки «1 этаж: вертикалка / перекрытие»); мои — формулы с листа «потребность» (1 этаж) × К(зап).</t>
  </si>
  <si>
    <t xml:space="preserve">Коллега: вертикалка, кг</t>
  </si>
  <si>
    <t xml:space="preserve">Коллега: перекрытие, кг</t>
  </si>
  <si>
    <t xml:space="preserve">Коллега: всего, кг</t>
  </si>
  <si>
    <t xml:space="preserve">Мой ×К: вертикалка (колонны, Дм), кг</t>
  </si>
  <si>
    <t xml:space="preserve">Мой ×К: перекрытие (плита, балки, ригели, ЛВ-1, С-1), кг</t>
  </si>
  <si>
    <t xml:space="preserve">Мой ×К: всего, кг</t>
  </si>
  <si>
    <t xml:space="preserve">Разница (коллега − мой), кг</t>
  </si>
  <si>
    <t xml:space="preserve">Разница, %</t>
  </si>
  <si>
    <t xml:space="preserve">Вероятная причина / что сверить</t>
  </si>
  <si>
    <t xml:space="preserve">У коллеги в «вертикалке» стержни сечения 2-2 (2 этаж) в «переходе» — см. сверку по элементам ниже.</t>
  </si>
  <si>
    <t xml:space="preserve">Лестница ЛВ-1 (Ø18) у меня в «перекрытии».</t>
  </si>
  <si>
    <t xml:space="preserve">Горизонтали Дм — у меня обе стены, у коллеги одна.</t>
  </si>
  <si>
    <t xml:space="preserve">У меня сетки-гребёнки С-1 (591 кг) и Ø10 лестницы.</t>
  </si>
  <si>
    <t xml:space="preserve">Хомуты Ø10 ригелей в заштрихованных зонах (поз.13, 15) — у коллеги нет.</t>
  </si>
  <si>
    <t xml:space="preserve">Зеркально к Ø10 А240.</t>
  </si>
  <si>
    <t xml:space="preserve">Сетка Ø5 Вр-I (лестн. С-1)</t>
  </si>
  <si>
    <t xml:space="preserve">Сетка С-1 лестницы — у коллеги нет.</t>
  </si>
  <si>
    <t xml:space="preserve">ИТОГО</t>
  </si>
  <si>
    <t xml:space="preserve">По сумме близко, но по диаметрам расхождения взаимно гасятся.</t>
  </si>
  <si>
    <t xml:space="preserve">Без К(зап): мой проектный расход 1 этажа, кг</t>
  </si>
  <si>
    <t xml:space="preserve">Коллега без К(зап) (если в его числах 1,07), кг</t>
  </si>
  <si>
    <t xml:space="preserve">СВЕРКА ПО ЭЛЕМЕНТАМ — файл коллеги «14.xlsx» (листы «верт 1», «перекр 1»), чистая масса без К(зап), кг</t>
  </si>
  <si>
    <t xml:space="preserve">Позиция</t>
  </si>
  <si>
    <t xml:space="preserve">Коллега, кг</t>
  </si>
  <si>
    <t xml:space="preserve">Источник у коллеги</t>
  </si>
  <si>
    <t xml:space="preserve">Мой расчёт, кг</t>
  </si>
  <si>
    <t xml:space="preserve">Причина расхождения (по чертежам)</t>
  </si>
  <si>
    <t xml:space="preserve">Колонны: вертикали 1-1 (4Ø32+8Ø20)</t>
  </si>
  <si>
    <t xml:space="preserve">«верт 1» стр.2–3, 8–9</t>
  </si>
  <si>
    <t xml:space="preserve">У коллеги 4 колонны по 3,6 м, 11 — по 4,0 м. Высота 1 этажа −0.050…+3.950 = 4,0 м.</t>
  </si>
  <si>
    <t xml:space="preserve">Колонны: хомуты поз.10, 11</t>
  </si>
  <si>
    <t xml:space="preserve">«верт 1» стр.4–5, 10–11</t>
  </si>
  <si>
    <t xml:space="preserve">Совпадает.</t>
  </si>
  <si>
    <t xml:space="preserve">Колонны: «переход 2-2» (4Ø28+8Ø20 L=2,0 × 4 шт)</t>
  </si>
  <si>
    <t xml:space="preserve">«верт 1» стр.6–7</t>
  </si>
  <si>
    <t xml:space="preserve">Сечение 2-2 — это 2 этаж: в этой книге посчитано во 2 этаже (колонны К 2-2).</t>
  </si>
  <si>
    <t xml:space="preserve">Дм-1…5: вертикали сеч.1-1</t>
  </si>
  <si>
    <t xml:space="preserve">«верт 1» блоки «дм-1…5»</t>
  </si>
  <si>
    <t xml:space="preserve">У коллеги L=3,6 м; на 1 этаже 4,0 м (+8d у Ø18).</t>
  </si>
  <si>
    <t xml:space="preserve">Дм-1…5: «переход 2-2» (L=4,0)</t>
  </si>
  <si>
    <t xml:space="preserve">«верт 1» блоки «переход 2-2»</t>
  </si>
  <si>
    <t xml:space="preserve">Стержни сечения 2-2 — 2 этаж (в этой книге — во 2 этаже, L=3,6 м).</t>
  </si>
  <si>
    <t xml:space="preserve">Дм: горизонтальные «Осн. стержни»</t>
  </si>
  <si>
    <t xml:space="preserve">«верт 1» стр.25, 47, 64, 98</t>
  </si>
  <si>
    <t xml:space="preserve">У коллеги по одной стене на Дм; по развёрткам — обе стены.</t>
  </si>
  <si>
    <t xml:space="preserve">Дм: доп. стержни у отм. −0.050</t>
  </si>
  <si>
    <t xml:space="preserve">нет</t>
  </si>
  <si>
    <t xml:space="preserve">«Доп. стержень 10Ø20 L=1950», «6Ø20 L=1200», «10Ø22 L=1300» и др. — у коллеги не учтены.</t>
  </si>
  <si>
    <t xml:space="preserve">Дм: хомуты, шпильки, П-образные</t>
  </si>
  <si>
    <t xml:space="preserve">Разное число внутренних хомутов и шпилек; поз.12* Ø8/Ø10.</t>
  </si>
  <si>
    <t xml:space="preserve">Ригели: продольные 4Ø28 + 2Ø18 + 2Ø16</t>
  </si>
  <si>
    <t xml:space="preserve">«перекр 1»</t>
  </si>
  <si>
    <t xml:space="preserve">У коллеги нахлёсты Ø28 (по АС-19 — ванная сварка встык).</t>
  </si>
  <si>
    <t xml:space="preserve">Ригели: ОС, Ос (бок)</t>
  </si>
  <si>
    <t xml:space="preserve">«перекр 1» по рамам</t>
  </si>
  <si>
    <t xml:space="preserve">Практически совпадает.</t>
  </si>
  <si>
    <t xml:space="preserve">Ригели: хомуты и шпильки</t>
  </si>
  <si>
    <t xml:space="preserve">«перекр 1» «поз 12, 16, 17»</t>
  </si>
  <si>
    <t xml:space="preserve">У коллеги все хомуты Ø8; в заштрихованных зонах — Ø10 поз.13/15.</t>
  </si>
  <si>
    <t xml:space="preserve">Балки монолитной плиты</t>
  </si>
  <si>
    <t xml:space="preserve">«перекр 1» стр.129–140</t>
  </si>
  <si>
    <t xml:space="preserve">Совпадает (±0,5 %).</t>
  </si>
  <si>
    <t xml:space="preserve">Плита: основная сетка + фиксаторы + шпильки</t>
  </si>
  <si>
    <t xml:space="preserve">«перекр 1» стр.153–156</t>
  </si>
  <si>
    <t xml:space="preserve">У меня нахлёсты сетки &gt; 11,7 м и эркеры по контуру АС-47.</t>
  </si>
  <si>
    <t xml:space="preserve">Плита: доп. стержни, край, пешки</t>
  </si>
  <si>
    <t xml:space="preserve">«перекр 1» стр.141–152</t>
  </si>
  <si>
    <t xml:space="preserve">У меня край плиты 2Ø14 (сеч.6-6) и 4 доп. Ø20 L=3000.</t>
  </si>
  <si>
    <t xml:space="preserve">Сетки-гребёнки С-1 (240 шт)</t>
  </si>
  <si>
    <t xml:space="preserve">У коллеги не учтены.</t>
  </si>
  <si>
    <t xml:space="preserve">Лестница ЛВ-1 + рама Лрм-1</t>
  </si>
  <si>
    <t xml:space="preserve">У коллеги не учтена.</t>
  </si>
  <si>
    <t xml:space="preserve">ИТОГО (без К(зап))</t>
  </si>
  <si>
    <t xml:space="preserve">Мой итог = «Ведомость», 1 этаж.</t>
  </si>
  <si>
    <t xml:space="preserve">Контроль: мой итог по элементам = «Ведомость» 1 этаж</t>
  </si>
  <si>
    <t xml:space="preserve">Исходные данные, нормативы и принятые допущения</t>
  </si>
  <si>
    <t xml:space="preserve">Объект</t>
  </si>
  <si>
    <t xml:space="preserve">5,7,9-эт. жилые дома с объектами СКБ, подземным автопаркингом и помещениями футбольной академии на 1 этажах, ул. Токомбаева (Блоки 11–15)</t>
  </si>
  <si>
    <t xml:space="preserve">Корпус/блок</t>
  </si>
  <si>
    <t xml:space="preserve">Блок 14 (проект ОсОО «Билд-Форм», стадия РП, раздел АС)</t>
  </si>
  <si>
    <t xml:space="preserve">1 этаж</t>
  </si>
  <si>
    <t xml:space="preserve">Дм-1…Дм-5 и 15 колонн от -0.050 до +3.950 (H=4,0 м, сечения 1-1); ригели и плита перекрытия +3.950 (АС-47); С-1; лестница ЛВ-1: марши 0.000→1.920→4.000, площадка 1.920, рама Лрм-1</t>
  </si>
  <si>
    <t xml:space="preserve">2 этаж</t>
  </si>
  <si>
    <t xml:space="preserve">Дм-1…Дм-5 и 15 колонн от +3.950 до +7.550 (H=3,6 м, сечения 2-2 / 3-3 «2 этаж»); ригели и плита перекрытия +7.550 (АС-48); С-1; лестница ЛВ-1: марши 4.000→5.800→7.600, площадка 5.800, рама Лрм-2</t>
  </si>
  <si>
    <t xml:space="preserve">Цель расчёта</t>
  </si>
  <si>
    <t xml:space="preserve">Чистый проектный расход + раскрой под прутки 11,7 м для заказа, поэтажно</t>
  </si>
  <si>
    <t xml:space="preserve">В25 (прим. АС-19, АС-34, АС-55)</t>
  </si>
  <si>
    <t xml:space="preserve">Арматура</t>
  </si>
  <si>
    <t xml:space="preserve">А500С, А240 по ГОСТ 34028-2016; сетка Ø5 Вр-I</t>
  </si>
  <si>
    <t xml:space="preserve">Параметры (синим — вводимые значения)</t>
  </si>
  <si>
    <t xml:space="preserve">Длина стандартного прутка, м</t>
  </si>
  <si>
    <t xml:space="preserve">К(зап) арматура</t>
  </si>
  <si>
    <t xml:space="preserve">как в вашем шаблоне (Лист1!AA2 = 1,07). Умножает только колонки «Всего» на листе «По осям». Чистая проектная масса (без запаса) показана отдельно везде.</t>
  </si>
  <si>
    <t xml:space="preserve">К(зап) бетон</t>
  </si>
  <si>
    <t xml:space="preserve">Теоретическая масса 1 м.п. (ГОСТ 34028-2016)</t>
  </si>
  <si>
    <t xml:space="preserve">Ø, мм</t>
  </si>
  <si>
    <t xml:space="preserve">кг/м</t>
  </si>
  <si>
    <t xml:space="preserve">Сетка Ø5 Вр-I 100×100, кг/м²</t>
  </si>
  <si>
    <t xml:space="preserve">20 м проволоки на 1 м² (10 + 10 стержней)</t>
  </si>
  <si>
    <t xml:space="preserve">Нахлёсты и стыки</t>
  </si>
  <si>
    <t xml:space="preserve">Сетки плиты Ø10 / Ø12 / Ø14</t>
  </si>
  <si>
    <t xml:space="preserve">нахлёст 400 / 500 / 560 мм вразбежку (АС-58 «Деталь стыка арматуры армирования плиты»)</t>
  </si>
  <si>
    <t xml:space="preserve">Стержни Ø20 и более</t>
  </si>
  <si>
    <t xml:space="preserve">ванная сварка в инвентарных медных формах встык, без нахлёста (АС-19 прим.1; АС-34 прим.1)</t>
  </si>
  <si>
    <t xml:space="preserve">Стержни Ø18 и менее (вертикали Дм, ригели)</t>
  </si>
  <si>
    <t xml:space="preserve">нахлёст с электродуговой сваркой Lшва=8d (АС-19, АС-34 прим.1) → +8d к длине</t>
  </si>
  <si>
    <t xml:space="preserve">Выпуски вертикалей Дм и колонн</t>
  </si>
  <si>
    <t xml:space="preserve">перепуск 800/500 мм над перекрытием (АС-34 прим.3, АС-32) → длина стержня на этаж = высота этажа: 1 этаж 4,0 м, 2 этаж 3,6 м</t>
  </si>
  <si>
    <t xml:space="preserve">Защитный слой</t>
  </si>
  <si>
    <t xml:space="preserve">сетки плиты — 20 мм до оси (АС-55); торцы стержней — 25 мм</t>
  </si>
  <si>
    <t xml:space="preserve">Использованные листы (стр. PDF → лист)</t>
  </si>
  <si>
    <t xml:space="preserve">Стр. PDF</t>
  </si>
  <si>
    <t xml:space="preserve">Лист</t>
  </si>
  <si>
    <t xml:space="preserve">Содержание</t>
  </si>
  <si>
    <t xml:space="preserve">Использование</t>
  </si>
  <si>
    <t xml:space="preserve">АС-19</t>
  </si>
  <si>
    <t xml:space="preserve">Монтажная схема рам, примечания</t>
  </si>
  <si>
    <t xml:space="preserve">расположение Дм-1…Дм-5, число колонн, правила стыков</t>
  </si>
  <si>
    <t xml:space="preserve">3–10</t>
  </si>
  <si>
    <t xml:space="preserve">АС-20…АС-27</t>
  </si>
  <si>
    <t xml:space="preserve">Рамы по осям А, Б, В, Г, 1, 5, 2, 3, 4</t>
  </si>
  <si>
    <t xml:space="preserve">ригели +3.950 и +7.550: ОС, Ос (бок), привязки, штриховка хомутов; сечения колонн 1-1 / 2-2 по этажам</t>
  </si>
  <si>
    <t xml:space="preserve">АС-28</t>
  </si>
  <si>
    <t xml:space="preserve">Сечения колонн 1-1…3-3, ригелей 4-4, 5-5; ведомость деталей; Фрагмент №1</t>
  </si>
  <si>
    <t xml:space="preserve">колонны 1 эт. 4Ø32+8Ø20, 2 эт. 4Ø28+8Ø20; ригели 4Ø28+2Ø18+2Ø16; хомуты поз.10–17</t>
  </si>
  <si>
    <t xml:space="preserve">12–14</t>
  </si>
  <si>
    <t xml:space="preserve">АС-29…АС-31</t>
  </si>
  <si>
    <t xml:space="preserve">Узлы, расстановка хомутов ригелей, сетка-гребёнка С-1</t>
  </si>
  <si>
    <t xml:space="preserve">С-1 «попарно шаг 90», 7Ø10 × 570</t>
  </si>
  <si>
    <t xml:space="preserve">АС-32</t>
  </si>
  <si>
    <t xml:space="preserve">Схема расстановки хомутов колонн</t>
  </si>
  <si>
    <t xml:space="preserve">1 этаж: 100×12 + 200 + 100×12 (30 шт); 2÷4 этаж 3600: 28 шт</t>
  </si>
  <si>
    <t xml:space="preserve">АС-33</t>
  </si>
  <si>
    <t xml:space="preserve">Таблица анкерующих шайб</t>
  </si>
  <si>
    <t xml:space="preserve">марки Аш-1…Аш-8</t>
  </si>
  <si>
    <t xml:space="preserve">17–25</t>
  </si>
  <si>
    <t xml:space="preserve">АС-34…АС-42</t>
  </si>
  <si>
    <t xml:space="preserve">Дм-1…Дм-5: развертки, сечения 1-1 «Подвал, 1 этаж», 2-2 / 3-3 «2 этаж», ведомость деталей</t>
  </si>
  <si>
    <t xml:space="preserve">вся арматура диафрагм обоих этажей</t>
  </si>
  <si>
    <t xml:space="preserve">АС-47</t>
  </si>
  <si>
    <t xml:space="preserve">План перекрытия на отм. 3.950</t>
  </si>
  <si>
    <t xml:space="preserve">контур плиты 1 эт., проёмы, балки, доп. 1Ø20 L=3000</t>
  </si>
  <si>
    <t xml:space="preserve">АС-48</t>
  </si>
  <si>
    <t xml:space="preserve">План перекрытия на отм. 7.550</t>
  </si>
  <si>
    <t xml:space="preserve">контур плиты 2 эт. (край 420), проём лестницы, балка 4-4, доп. 2Ø20 L=3000, 1Ø18 L=3000 и L=1700</t>
  </si>
  <si>
    <t xml:space="preserve">АС-50</t>
  </si>
  <si>
    <t xml:space="preserve">Нижняя сетка перекрытия 3.950÷14.750</t>
  </si>
  <si>
    <t xml:space="preserve">осн. сетка, доп. нижние зоны (одинаково для +3.950 и +7.550)</t>
  </si>
  <si>
    <t xml:space="preserve">АС-51</t>
  </si>
  <si>
    <t xml:space="preserve">Верхняя сетка перекрытия 3.950÷14.750</t>
  </si>
  <si>
    <t xml:space="preserve">доп. верхние зоны, Ø12 (одинаково для обоих этажей)</t>
  </si>
  <si>
    <t xml:space="preserve">35–38</t>
  </si>
  <si>
    <t xml:space="preserve">АС-55…АС-58</t>
  </si>
  <si>
    <t xml:space="preserve">Сечения балок 1-1…6-6, узлы, ведомость деталей</t>
  </si>
  <si>
    <t xml:space="preserve">балки, край плиты, фиксаторы, пешки, нахлёсты</t>
  </si>
  <si>
    <t xml:space="preserve">скрин</t>
  </si>
  <si>
    <t xml:space="preserve">АС-67…АС-69</t>
  </si>
  <si>
    <t xml:space="preserve">Лестница ЛВ-1, узлы, сечения; рама Лрм-1 (Лрм-2)</t>
  </si>
  <si>
    <t xml:space="preserve">марши 1–4, площадки 1.920 и 5.800, Лрм-1, Лрм-2, А-1, Зд-1, сетка С-1</t>
  </si>
  <si>
    <t xml:space="preserve">Рабочая ведомость подсчёта арматуры — Блок 14, 1 и 2 этаж (Дм-1…Дм-5, колонны, ригели, плита, балки, С-1, ЛВ-1)</t>
  </si>
  <si>
    <t xml:space="preserve">Общая длина = Кол-во элементов × Стержней в 1 элементе × Длина 1 шт.;  Масса = Общая длина × кг/м. Синим — исходные данные из чертежей. Колонки V, W — ключи для листов «По осям» и «потребность».</t>
  </si>
  <si>
    <t xml:space="preserve">№</t>
  </si>
  <si>
    <t xml:space="preserve">Этаж/отметка</t>
  </si>
  <si>
    <t xml:space="preserve">Конструкция</t>
  </si>
  <si>
    <t xml:space="preserve">Оси/участок</t>
  </si>
  <si>
    <t xml:space="preserve">Марка элемента</t>
  </si>
  <si>
    <t xml:space="preserve">Поз.</t>
  </si>
  <si>
    <t xml:space="preserve">Описание</t>
  </si>
  <si>
    <t xml:space="preserve">Ø</t>
  </si>
  <si>
    <t xml:space="preserve">Класс</t>
  </si>
  <si>
    <t xml:space="preserve">Шаг, мм</t>
  </si>
  <si>
    <t xml:space="preserve">Кол-во элементов</t>
  </si>
  <si>
    <t xml:space="preserve">Стержней в 1 элементе</t>
  </si>
  <si>
    <t xml:space="preserve">Длина 1 шт., м</t>
  </si>
  <si>
    <t xml:space="preserve">Общая длина, м</t>
  </si>
  <si>
    <t xml:space="preserve">Масса, кг</t>
  </si>
  <si>
    <t xml:space="preserve">Основание</t>
  </si>
  <si>
    <t xml:space="preserve">Статус</t>
  </si>
  <si>
    <t xml:space="preserve">Примечание / расшифровка</t>
  </si>
  <si>
    <t xml:space="preserve">Группа</t>
  </si>
  <si>
    <t xml:space="preserve">Допущение (1/0)</t>
  </si>
  <si>
    <t xml:space="preserve">Колонка листа «По осям»</t>
  </si>
  <si>
    <t xml:space="preserve">Этаж №</t>
  </si>
  <si>
    <t xml:space="preserve">1 ЭТАЖ (-0.050…+3.950)</t>
  </si>
  <si>
    <t xml:space="preserve">1.1. ДИАФРАГМЫ Дм-1…Дм-5 — отм. -0.050…+3.950, сечения 1-1 «Подвал, 1 этаж»</t>
  </si>
  <si>
    <t xml:space="preserve">1 этаж (отм. -0.050…+3.950)</t>
  </si>
  <si>
    <t xml:space="preserve">Диафрагмы</t>
  </si>
  <si>
    <t xml:space="preserve">А/4</t>
  </si>
  <si>
    <t xml:space="preserve">1</t>
  </si>
  <si>
    <t xml:space="preserve">Вертикальные: колонна, угловые</t>
  </si>
  <si>
    <t xml:space="preserve">А500С</t>
  </si>
  <si>
    <t xml:space="preserve">—</t>
  </si>
  <si>
    <t xml:space="preserve">АС-34 сеч.1-1 «Подвал, 1 этаж»; прим.1,3</t>
  </si>
  <si>
    <t xml:space="preserve">по проекту</t>
  </si>
  <si>
    <t xml:space="preserve">стык ванной сваркой (Ø≥20), длина = высота этажа. поз.1 4Ø32</t>
  </si>
  <si>
    <t xml:space="preserve">5</t>
  </si>
  <si>
    <t xml:space="preserve">Вертикальные: колонна, промежуточные</t>
  </si>
  <si>
    <t xml:space="preserve">стык ванной сваркой (Ø≥20), длина = высота этажа. поз.5 8Ø20</t>
  </si>
  <si>
    <t xml:space="preserve">2</t>
  </si>
  <si>
    <t xml:space="preserve">Вертикальные: полка (2 торцевых эл-та × 11)</t>
  </si>
  <si>
    <t xml:space="preserve">стык ванной сваркой (Ø≥20), длина = высота этажа. выноска «6Ø28» на 6 стержней + 5 симметричных без выноски</t>
  </si>
  <si>
    <t xml:space="preserve">3</t>
  </si>
  <si>
    <t xml:space="preserve">Вертикальные: полка, стенка (2 × 4)</t>
  </si>
  <si>
    <t xml:space="preserve">стык ванной сваркой (Ø≥20), длина = высота этажа. выноска «2Ø25» + 2 симметричных</t>
  </si>
  <si>
    <t xml:space="preserve">Вертикальные: ребро, торцевой элемент</t>
  </si>
  <si>
    <t xml:space="preserve">стык ванной сваркой (Ø≥20), длина = высота этажа. выноска «5Ø28» + 5 симметричных</t>
  </si>
  <si>
    <t xml:space="preserve">Вертикальные: ребро, стенка</t>
  </si>
  <si>
    <t xml:space="preserve">стык ванной сваркой (Ø≥20), длина = высота этажа. выноска «4Ø20» + 4 симметричных</t>
  </si>
  <si>
    <t xml:space="preserve">6</t>
  </si>
  <si>
    <t xml:space="preserve">Вертикальные: ребро, стенка (4+4) + 1 на торце</t>
  </si>
  <si>
    <t xml:space="preserve">нахлёст 8d со сваркой (Ø≤18), учтён в длине. выноски «4Ø18» и «1Ø18»</t>
  </si>
  <si>
    <t xml:space="preserve">гор.</t>
  </si>
  <si>
    <t xml:space="preserve">Горизонтальные «Осн. стержни»: полка вдоль оси А, L=2000-2×25</t>
  </si>
  <si>
    <t xml:space="preserve">АС-34 развертка, шаг 200x16+100 (18 рядов × 2 грани)</t>
  </si>
  <si>
    <t xml:space="preserve">по геометрии (уточнить)</t>
  </si>
  <si>
    <t xml:space="preserve">L=1950 как у доп. стержней полки</t>
  </si>
  <si>
    <t xml:space="preserve">Горизонтальные «Осн. стержни»: ребро вдоль оси 4, L=2300-2×25</t>
  </si>
  <si>
    <t xml:space="preserve">ребро 1700 + колонна 600</t>
  </si>
  <si>
    <t xml:space="preserve">доп.</t>
  </si>
  <si>
    <t xml:space="preserve">Доп. стержни: полка у отм. -0.050, 10Ø20 L=1950</t>
  </si>
  <si>
    <t xml:space="preserve">АС-34 развертка, выноска «Доп. стержень»</t>
  </si>
  <si>
    <t xml:space="preserve">Доп. стержни: ребро у отм. -0.050, 6Ø20 L=1200</t>
  </si>
  <si>
    <t xml:space="preserve">Доп. стержни: ребро у отм. -0.050, 4Ø10 L=1200</t>
  </si>
  <si>
    <t xml:space="preserve">14</t>
  </si>
  <si>
    <t xml:space="preserve">П-образный стержень на торцах стенки: 3 шт/ряд × 18 рядов</t>
  </si>
  <si>
    <t xml:space="preserve">А240</t>
  </si>
  <si>
    <t xml:space="preserve">200</t>
  </si>
  <si>
    <t xml:space="preserve">сечение 1-1; АС-42 ведомость деталей поз.14 L=1330</t>
  </si>
  <si>
    <t xml:space="preserve">12*</t>
  </si>
  <si>
    <t xml:space="preserve">Хомут торцевого элемента полки: 2 шт/ряд × 18</t>
  </si>
  <si>
    <t xml:space="preserve">сечение 1-1 «хом.Ø10 ш.200»; АС-42 ведомость деталей поз.12 L=1560</t>
  </si>
  <si>
    <t xml:space="preserve">15*</t>
  </si>
  <si>
    <t xml:space="preserve">Хомут торцевого элемента ребра: 1 шт/ряд × 18</t>
  </si>
  <si>
    <t xml:space="preserve">сечение 1-1; АС-42 ведомость деталей поз.15,(15*) L=1760</t>
  </si>
  <si>
    <t xml:space="preserve">10</t>
  </si>
  <si>
    <t xml:space="preserve">Хомут колонны наружный (шаг 100 у опор ×12, 200 в середине) — 30 шт</t>
  </si>
  <si>
    <t xml:space="preserve">АС-32 схема хомутов колонн; АС-42 ведомость деталей поз.10 L=2440</t>
  </si>
  <si>
    <t xml:space="preserve">11</t>
  </si>
  <si>
    <t xml:space="preserve">Хомут колонны внутренний: 2 шт/ряд × 18</t>
  </si>
  <si>
    <t xml:space="preserve">сечение 1-1 «ш.200»; АС-42 ведомость деталей поз.11 L=1960</t>
  </si>
  <si>
    <t xml:space="preserve">13</t>
  </si>
  <si>
    <t xml:space="preserve">Шпилька ш.400 в шахм. порядке: 10 мест × 9 рядов</t>
  </si>
  <si>
    <t xml:space="preserve">сечение 1-1, прим.6; АС-42 ведомость деталей поз.13 L=530</t>
  </si>
  <si>
    <t xml:space="preserve">А/2</t>
  </si>
  <si>
    <t xml:space="preserve">АС-36 сеч.1-1 «Подвал, 1 этаж»; прим.1,3</t>
  </si>
  <si>
    <t xml:space="preserve">Вертикальные: колонна (1 этаж — поз.3 2Ø25 + 2 симметр.)</t>
  </si>
  <si>
    <t xml:space="preserve">стык ванной сваркой (Ø≥20), длина = высота этажа. «2,(3) 2Ø28 (2Ø25)»; в скобках — 1 этаж</t>
  </si>
  <si>
    <t xml:space="preserve">Вертикальные: колонна (2Ø20 + 2 симметр.)</t>
  </si>
  <si>
    <t xml:space="preserve">стык ванной сваркой (Ø≥20), длина = высота этажа. поз.5 2Ø20</t>
  </si>
  <si>
    <t xml:space="preserve">Вертикальные: полка, торцевой эл-т</t>
  </si>
  <si>
    <t xml:space="preserve">стык ванной сваркой (Ø≥20), длина = высота этажа. выноска «6Ø28» + 5 симметр.</t>
  </si>
  <si>
    <t xml:space="preserve">Вертикальные: полка, стенка</t>
  </si>
  <si>
    <t xml:space="preserve">стык ванной сваркой (Ø≥20), длина = высота этажа. «2Ø25» + 2 симметр.</t>
  </si>
  <si>
    <t xml:space="preserve">Вертикальные: ребро, торцевой эл-т</t>
  </si>
  <si>
    <t xml:space="preserve">4</t>
  </si>
  <si>
    <t xml:space="preserve">стык ванной сваркой (Ø≥20), длина = высота этажа. две выноски «4Ø22» + 8 симметр.</t>
  </si>
  <si>
    <t xml:space="preserve">Горизонтальные «Осн. стержни»: полка вдоль оси А, L=1300-2×25</t>
  </si>
  <si>
    <t xml:space="preserve">АС-36 развертка, шаг 200x16+100 (18 рядов × 2 грани)</t>
  </si>
  <si>
    <t xml:space="preserve">L=1250 как у доп. стержней полки</t>
  </si>
  <si>
    <t xml:space="preserve">Горизонтальные «Осн. стержни»: ребро вдоль оси 2, L=2300-2×25</t>
  </si>
  <si>
    <t xml:space="preserve">Доп. стержни: ребро у отм. -0.050, 10Ø20 L=1200</t>
  </si>
  <si>
    <t xml:space="preserve">АС-36 развертка, выноска «Доп. стержень»</t>
  </si>
  <si>
    <t xml:space="preserve">П-образный стержень на торцах стенки: 2 шт/ряд × 18 рядов</t>
  </si>
  <si>
    <t xml:space="preserve">Хомут торцевого элемента полки: 1 шт/ряд × 18</t>
  </si>
  <si>
    <t xml:space="preserve">Шпилька ш.400 в шахм. порядке: 7 мест × 9 рядов</t>
  </si>
  <si>
    <t xml:space="preserve">Г/2</t>
  </si>
  <si>
    <t xml:space="preserve">АС-38 сеч.1-1 «Подвал, 1 этаж»; прим.1,3</t>
  </si>
  <si>
    <t xml:space="preserve">стык ванной сваркой (Ø≥20), длина = высота этажа. поз.1</t>
  </si>
  <si>
    <t xml:space="preserve">стык ванной сваркой (Ø≥20), длина = высота этажа. «6Ø28» + 5 симметр. в каждом</t>
  </si>
  <si>
    <t xml:space="preserve">стык ванной сваркой (Ø≥20), длина = высота этажа. «2Ø22» + 2 симметр.</t>
  </si>
  <si>
    <t xml:space="preserve">стык ванной сваркой (Ø≥20), длина = высота этажа. «3Ø22» + 3 симметр.</t>
  </si>
  <si>
    <t xml:space="preserve">стык ванной сваркой (Ø≥20), длина = высота этажа. «5Ø25» + 5 симметр.</t>
  </si>
  <si>
    <t xml:space="preserve">Вертикальные: ребро, торец</t>
  </si>
  <si>
    <t xml:space="preserve">нахлёст 8d со сваркой (Ø≤18), учтён в длине. «1Ø18»</t>
  </si>
  <si>
    <t xml:space="preserve">Горизонтальные «Осн. стержни»: полка вдоль оси Г, L=2000-2×25</t>
  </si>
  <si>
    <t xml:space="preserve">АС-38 развертка, шаг 200x16+100 (18 рядов × 2 грани)</t>
  </si>
  <si>
    <t xml:space="preserve">Горизонтальные «Осн. стержни»: ребро вдоль оси 2, L=1500-2×25</t>
  </si>
  <si>
    <t xml:space="preserve">L=1450 как у доп. стержней</t>
  </si>
  <si>
    <t xml:space="preserve">Доп. стержни: полка у отм. -0.050, 10Ø22 L=1300</t>
  </si>
  <si>
    <t xml:space="preserve">АС-38 развертка, выноска «Доп. стержень»</t>
  </si>
  <si>
    <t xml:space="preserve">Доп. стержни: ребро у отм. -0.050, 10Ø18 L=1450</t>
  </si>
  <si>
    <t xml:space="preserve">Доп. стержни: вертикальные у отм. +3.950 «по 4Ø16 L=1600» × 2 места</t>
  </si>
  <si>
    <t xml:space="preserve">15</t>
  </si>
  <si>
    <t xml:space="preserve">Шпилька ш.400 в шахм. порядке: 9 мест × 9 рядов</t>
  </si>
  <si>
    <t xml:space="preserve">Г/3</t>
  </si>
  <si>
    <t xml:space="preserve">АС-40 сеч.1-1 «Подвал, 1 этаж»; прим.1,3</t>
  </si>
  <si>
    <t xml:space="preserve">Вертикальные: колонна (2Ø28 + 2 симметр.)</t>
  </si>
  <si>
    <t xml:space="preserve">стык ванной сваркой (Ø≥20), длина = высота этажа. поз.2 2Ø28</t>
  </si>
  <si>
    <t xml:space="preserve">Вертикальные: стенка</t>
  </si>
  <si>
    <t xml:space="preserve">стык ванной сваркой (Ø≥20), длина = высота этажа. «3Ø20» + 3 симметр.</t>
  </si>
  <si>
    <t xml:space="preserve">Вертикальные: торцевой эл-т</t>
  </si>
  <si>
    <t xml:space="preserve">стык ванной сваркой (Ø≥20), длина = высота этажа. «5Ø28» + 5 симметр.</t>
  </si>
  <si>
    <t xml:space="preserve">Горизонтальные «Осн. стержни»: вдоль оси Г, L=1500-2×25</t>
  </si>
  <si>
    <t xml:space="preserve">АС-40 развертка, шаг 200x16+100 (18 рядов × 2 грани)</t>
  </si>
  <si>
    <t xml:space="preserve">Доп. стержни: у отм. -0.050, 10Ø18 L=1450</t>
  </si>
  <si>
    <t xml:space="preserve">АС-40 развертка, выноска «Доп. стержень»</t>
  </si>
  <si>
    <t xml:space="preserve">П-образный стержень на торцах стенки: 1 шт/ряд × 18 рядов</t>
  </si>
  <si>
    <t xml:space="preserve">Шпилька ш.400 в шахм. порядке: 4 мест × 9 рядов</t>
  </si>
  <si>
    <t xml:space="preserve">Г/4</t>
  </si>
  <si>
    <t xml:space="preserve">АС-41 сеч.1-1 «Подвал, 1 этаж»; прим.1,3</t>
  </si>
  <si>
    <t xml:space="preserve">стык ванной сваркой (Ø≥20), длина = высота этажа. поз.2</t>
  </si>
  <si>
    <t xml:space="preserve">стык ванной сваркой (Ø≥20), длина = высота этажа. поз.5</t>
  </si>
  <si>
    <t xml:space="preserve">стык ванной сваркой (Ø≥20), длина = высота этажа. «2Ø20» + 2 симметр.</t>
  </si>
  <si>
    <t xml:space="preserve">Горизонтальные «Осн. стержни»: полка вдоль оси Г, L=1300-2×25</t>
  </si>
  <si>
    <t xml:space="preserve">АС-41 развертка, шаг 200x16+100 (18 рядов × 2 грани)</t>
  </si>
  <si>
    <t xml:space="preserve">L=1250 как у доп. стержней</t>
  </si>
  <si>
    <t xml:space="preserve">Горизонтальные «Осн. стержни»: ребро вдоль оси 4, L=1500-2×25</t>
  </si>
  <si>
    <t xml:space="preserve">Доп. стержни: полка у отм. -0.050, 6Ø10 L=1250</t>
  </si>
  <si>
    <t xml:space="preserve">АС-41 развертка, выноска «Доп. стержень»</t>
  </si>
  <si>
    <t xml:space="preserve">Доп. стержни: ребро у отм. -0.050, 6Ø14 L=1450</t>
  </si>
  <si>
    <t xml:space="preserve">Шпилька ш.400 в шахм. порядке: 6 мест × 9 рядов</t>
  </si>
  <si>
    <t xml:space="preserve">1.2. КОЛОННЫ 600×600 вне диафрагм (15 шт) — сеч.1-1 (4Ø32+8Ø20), H=4,0 м</t>
  </si>
  <si>
    <t xml:space="preserve">Колонны</t>
  </si>
  <si>
    <t xml:space="preserve">ось А: А/1, А/3, А/5</t>
  </si>
  <si>
    <t xml:space="preserve">К-А</t>
  </si>
  <si>
    <t xml:space="preserve">Вертикальные: угловые 4Ø32 (сеч.1-1)</t>
  </si>
  <si>
    <t xml:space="preserve">АС-28 сеч.1-1 поз.1; сечение по рамам АС-20…23 (1-1 у отм. -3.900…-0.050, принято и для 1 этажа)</t>
  </si>
  <si>
    <t xml:space="preserve">принято (уточнить)</t>
  </si>
  <si>
    <t xml:space="preserve">Длина = высота этажа 4,0 м (стык ванной сваркой, разбежка 800/500 — АС-32, АС-19 прим.1).</t>
  </si>
  <si>
    <t xml:space="preserve">Вертикальные: промежуточные 8Ø20 (сеч.1-1)</t>
  </si>
  <si>
    <t xml:space="preserve">АС-28 сеч.1-1 поз.5</t>
  </si>
  <si>
    <t xml:space="preserve">Длина = высота этажа 4,0 м, стык ванной сваркой.</t>
  </si>
  <si>
    <t xml:space="preserve">Хомут наружный Ø8 L=2440: 13 (100×12 низ) + 4 (ш.200) + 13 (100×12 верх) = 30 шт</t>
  </si>
  <si>
    <t xml:space="preserve">100/200</t>
  </si>
  <si>
    <t xml:space="preserve">АС-32 схема хомутов колонн (1 этаж: 50+100×12+200×n+100×12+50+600); АС-28 поз.10 L=2440</t>
  </si>
  <si>
    <t xml:space="preserve">Хомут внутренний Ø8 L=1960 ш.200: 2 шт × 18 рядов</t>
  </si>
  <si>
    <t xml:space="preserve">АС-28 сеч.1-1 «11 хом.Ø8 ш.200», поз.11 L=1960</t>
  </si>
  <si>
    <t xml:space="preserve">ось Б: Б/1, Б/2, Б/3, Б/4, Б/5</t>
  </si>
  <si>
    <t xml:space="preserve">К-Б</t>
  </si>
  <si>
    <t xml:space="preserve">ось В: В/1, В/2, В/3, В/4, В/5</t>
  </si>
  <si>
    <t xml:space="preserve">К-В</t>
  </si>
  <si>
    <t xml:space="preserve">ось Г: Г/1, Г/5</t>
  </si>
  <si>
    <t xml:space="preserve">К-Г</t>
  </si>
  <si>
    <t xml:space="preserve">1.3. РИГЕЛИ РАМ (450×600, сеч.4-4/5-5), 9 рам — отм. +3.950</t>
  </si>
  <si>
    <t xml:space="preserve">Ригели</t>
  </si>
  <si>
    <t xml:space="preserve">ось А (отм. +3.950)</t>
  </si>
  <si>
    <t xml:space="preserve">Р-А</t>
  </si>
  <si>
    <t xml:space="preserve">Продольные угловые 4Ø28 (сеч.4-4/5-5), сквозные, концы с Аш</t>
  </si>
  <si>
    <t xml:space="preserve">АС-20 рама + АС-28 сеч.4-4/5-5 поз.2; длина = 25000+2×250 (до 50 мм от наружной грани крайней колонны)</t>
  </si>
  <si>
    <t xml:space="preserve">по геометрии чертежа</t>
  </si>
  <si>
    <t xml:space="preserve">Стыки ванной сваркой без нахлёста: 2 на стержень (всего 8).</t>
  </si>
  <si>
    <t xml:space="preserve">Продольные средние верх/низ 2Ø18 (сеч.4-4/5-5)</t>
  </si>
  <si>
    <t xml:space="preserve">АС-28 сеч.4-4/5-5 поз.6</t>
  </si>
  <si>
    <t xml:space="preserve">6-нахл</t>
  </si>
  <si>
    <t xml:space="preserve">Нахлёсты стыков к поз. «Продольные средние верх/низ 2Ø18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</si>
  <si>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144 мм</t>
  </si>
  <si>
    <t xml:space="preserve">по проекту (стыковка прутков 11,7 м)</t>
  </si>
  <si>
    <t xml:space="preserve">Чистая длина 25.500 м; кусков 3; стыков 2; Lнахл=2×0.144=0.288 м на стержень</t>
  </si>
  <si>
    <t xml:space="preserve">7</t>
  </si>
  <si>
    <t xml:space="preserve">Боковые стержни 2Ø16 (сеч.4-4/5-5)</t>
  </si>
  <si>
    <t xml:space="preserve">АС-28 сеч.4-4/5-5 «Боковые стержни 2Ø16»</t>
  </si>
  <si>
    <t xml:space="preserve">7-нахл</t>
  </si>
  <si>
    <t xml:space="preserve">Нахлёсты стыков к поз. «Боковые стержни 2Ø16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</si>
  <si>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128 мм</t>
  </si>
  <si>
    <t xml:space="preserve">Чистая длина 25.500 м; кусков 3; стыков 2; Lнахл=2×0.128=0.256 м на стержень</t>
  </si>
  <si>
    <t xml:space="preserve">ОС</t>
  </si>
  <si>
    <t xml:space="preserve">ОС верх: 2Ø28, участок 0…1800 мм + 250 до торца</t>
  </si>
  <si>
    <t xml:space="preserve">АС-20: выноска «ОС 2Ø28 А500С»; длина по привязкам отдельных стержней</t>
  </si>
  <si>
    <t xml:space="preserve">Координаты от оси 1: 0…1800 мм; конец заведён до торца крайней колонны (+250)</t>
  </si>
  <si>
    <t xml:space="preserve">ОС верх: 2Ø25, участок 4700…9200 мм</t>
  </si>
  <si>
    <t xml:space="preserve">АС-20: выноска «ОС 2Ø25 А500С»; длина по привязкам отдельных стержней</t>
  </si>
  <si>
    <t xml:space="preserve">Координаты от оси 1: 4700…9200 мм</t>
  </si>
  <si>
    <t xml:space="preserve">ОС верх ств.: 2Ø22, участок 4700…9200 мм</t>
  </si>
  <si>
    <t xml:space="preserve">АС-20: выноска «ОС 2Ø22 А500С»; длина по привязкам отдельных стержней</t>
  </si>
  <si>
    <t xml:space="preserve">ОС верх: 2Ø32, участок 11800…15100 мм</t>
  </si>
  <si>
    <t xml:space="preserve">АС-20: выноска «ОС 2Ø32 А500С»; длина по привязкам отдельных стержней</t>
  </si>
  <si>
    <t xml:space="preserve">Координаты от оси 1: 11800…15100 мм</t>
  </si>
  <si>
    <t xml:space="preserve">ОС верх: 2Ø25, участок 17400…25000 мм + 250 до торца</t>
  </si>
  <si>
    <t xml:space="preserve">Координаты от оси 1: 17400…25000 мм; конец заведён до торца крайней колонны (+250)</t>
  </si>
  <si>
    <t xml:space="preserve">ОС верх ств.: 2Ø25, участок 17400…25000 мм + 250 до торца</t>
  </si>
  <si>
    <t xml:space="preserve">ОС низ: 2Ø16, участок 0…9200 мм + 250 до торца</t>
  </si>
  <si>
    <t xml:space="preserve">АС-20: выноска «ОС 2Ø16 А500С»; длина по привязкам отдельных стержней</t>
  </si>
  <si>
    <t xml:space="preserve">Координаты от оси 1: 0…9200 мм; конец заведён до торца крайней колонны (+250)</t>
  </si>
  <si>
    <t xml:space="preserve">ОС низ: 2Ø16, участок 11800…15100 мм</t>
  </si>
  <si>
    <t xml:space="preserve">ОС низ: 2Ø28, участок 17400…25000 мм + 250 до торца</t>
  </si>
  <si>
    <t xml:space="preserve">12</t>
  </si>
  <si>
    <t xml:space="preserve">Хомут Ø8 L=2060 ш.100 у опор (100×12), ш.150 в пролёте, 80×4 у балок плиты — вне заштрихованных участков</t>
  </si>
  <si>
    <t xml:space="preserve">100/150</t>
  </si>
  <si>
    <t xml:space="preserve">АС-28 сеч.4-4/5-5 поз.12; АС-29 «Расстановка хомутов в ригелях»</t>
  </si>
  <si>
    <t xml:space="preserve">Пролёты в свету [(300, 6200), (7500, 13200), (13800, 19000), (21000, 24700)], сумма 20500 мм</t>
  </si>
  <si>
    <t xml:space="preserve">Хомут наружный Ø10 L=2060 ш.100 — заштрихованные участки рамы</t>
  </si>
  <si>
    <t xml:space="preserve">АС-20 штриховка «100×15»; АС-28 Фрагмент №1, поз.13</t>
  </si>
  <si>
    <t xml:space="preserve">Участки (мм): одинарные [(7500, 8700), (17500, 18900)], двойные [(21000, 22200)]</t>
  </si>
  <si>
    <t xml:space="preserve">Хомут внутренний Ø10 L=1600 ш.100 — участки двойных хомутов</t>
  </si>
  <si>
    <t xml:space="preserve">АС-20 двойная штриховка; АС-28 Фрагмент №1, поз.15</t>
  </si>
  <si>
    <t xml:space="preserve">17</t>
  </si>
  <si>
    <t xml:space="preserve">Шпилька вертикальная Ø8 L=750: ш.200 у опор, ш.150 в пролёте (нет в зонах двойных хомутов)</t>
  </si>
  <si>
    <t xml:space="preserve">200/150</t>
  </si>
  <si>
    <t xml:space="preserve">АС-28 сеч.4-4/5-5 поз.17</t>
  </si>
  <si>
    <t xml:space="preserve">16</t>
  </si>
  <si>
    <t xml:space="preserve">Шпилька горизонтальная Ø8 L=580 ш.300 (связь боковых 2Ø16)</t>
  </si>
  <si>
    <t xml:space="preserve">АС-28 сеч.4-4/5-5 «шп.Ø8 А240 ш.300», поз.16 L=580</t>
  </si>
  <si>
    <t xml:space="preserve">Номер позиции на сечении не указан — принята поз.16 (L=580) по ведомости деталей.</t>
  </si>
  <si>
    <t xml:space="preserve">ось Б (отм. +3.950)</t>
  </si>
  <si>
    <t xml:space="preserve">Р-Б</t>
  </si>
  <si>
    <t xml:space="preserve">АС-21 рама + АС-28 сеч.4-4/5-5 поз.2; длина = 25000+2×250 (до 50 мм от наружной грани крайней колонны)</t>
  </si>
  <si>
    <t xml:space="preserve">ОС верх: 2Ø25, участок 0…1800 мм + 250 до торца</t>
  </si>
  <si>
    <t xml:space="preserve">АС-21: выноска «ОС 2Ø25 А500С»; длина по привязкам отдельных стержней</t>
  </si>
  <si>
    <t xml:space="preserve">ОС верх: 2Ø32, участок 4700…8400 мм</t>
  </si>
  <si>
    <t xml:space="preserve">АС-21: выноска «ОС 2Ø32 А500С»; длина по привязкам отдельных стержней</t>
  </si>
  <si>
    <t xml:space="preserve">Координаты от оси 1: 4700…8400 мм</t>
  </si>
  <si>
    <t xml:space="preserve">ОС верх: 2Ø28, участок 11600…15300 мм</t>
  </si>
  <si>
    <t xml:space="preserve">АС-21: выноска «ОС 2Ø28 А500С»; длина по привязкам отдельных стержней</t>
  </si>
  <si>
    <t xml:space="preserve">Координаты от оси 1: 11600…15300 мм</t>
  </si>
  <si>
    <t xml:space="preserve">ОС верх: 2Ø28, участок 18200…21800 мм</t>
  </si>
  <si>
    <t xml:space="preserve">Координаты от оси 1: 18200…21800 мм</t>
  </si>
  <si>
    <t xml:space="preserve">ОС верх: 2Ø25, участок 23200…25000 мм + 250 до торца</t>
  </si>
  <si>
    <t xml:space="preserve">Координаты от оси 1: 23200…25000 мм; конец заведён до торца крайней колонны (+250)</t>
  </si>
  <si>
    <t xml:space="preserve">ОС низ: 2Ø16, участок 1800…4700 мм</t>
  </si>
  <si>
    <t xml:space="preserve">АС-21: выноска «ОС 2Ø16 А500С»; длина по привязкам отдельных стержней</t>
  </si>
  <si>
    <t xml:space="preserve">Координаты от оси 1: 1800…4700 мм</t>
  </si>
  <si>
    <t xml:space="preserve">ОС низ: 2Ø22, участок 8400…11600 мм</t>
  </si>
  <si>
    <t xml:space="preserve">АС-21: выноска «ОС 2Ø22 А500С»; длина по привязкам отдельных стержней</t>
  </si>
  <si>
    <t xml:space="preserve">Координаты от оси 1: 8400…11600 мм</t>
  </si>
  <si>
    <t xml:space="preserve">ОС низ: 2Ø16, участок 15300…18200 мм</t>
  </si>
  <si>
    <t xml:space="preserve">Координаты от оси 1: 15300…18200 мм</t>
  </si>
  <si>
    <t xml:space="preserve">ОС низ 2-й ряд: 2Ø14, участок 4700…8400 мм</t>
  </si>
  <si>
    <t xml:space="preserve">АС-21: выноска «ОС 2Ø14 А500С»; длина по привязкам отдельных стержней</t>
  </si>
  <si>
    <t xml:space="preserve">ОС низ 2-й ряд: 2Ø14, участок 11600…15300 мм</t>
  </si>
  <si>
    <t xml:space="preserve">Ос (бок) бок: 2Ø12, участок 4700…15300 мм</t>
  </si>
  <si>
    <t xml:space="preserve">АС-21: выноска «Ос (бок) 2Ø12 А500С» (бок); длина по привязкам отдельных стержней</t>
  </si>
  <si>
    <t xml:space="preserve">Координаты от оси 1: 4700…15300 мм</t>
  </si>
  <si>
    <t xml:space="preserve">Ос (бок) бок: 2Ø12, участок 18200…21800 мм</t>
  </si>
  <si>
    <t xml:space="preserve">Пролёты в свету [(300, 6200), (6800, 13200), (13800, 19700), (20300, 24700)], сумма 22600 мм</t>
  </si>
  <si>
    <t xml:space="preserve">АС-21 штриховка «100×15»; АС-28 Фрагмент №1, поз.13</t>
  </si>
  <si>
    <t xml:space="preserve">Участки (мм): одинарные [(0, 1500), (7700, 12300), (13500, 14700), (18200, 20000)], двойные [(6500, 7700), (12300, 13500)]</t>
  </si>
  <si>
    <t xml:space="preserve">АС-21 двойная штриховка; АС-28 Фрагмент №1, поз.15</t>
  </si>
  <si>
    <t xml:space="preserve">ось В (отм. +3.950)</t>
  </si>
  <si>
    <t xml:space="preserve">Р-В</t>
  </si>
  <si>
    <t xml:space="preserve">АС-22 рама + АС-28 сеч.4-4/5-5 поз.2; длина = 25000+2×250 (до 50 мм от наружной грани крайней колонны)</t>
  </si>
  <si>
    <t xml:space="preserve">АС-22: выноска «ОС 2Ø28 А500С»; длина по привязкам отдельных стержней</t>
  </si>
  <si>
    <t xml:space="preserve">АС-22: выноска «ОС 2Ø32 А500С»; длина по привязкам отдельных стержней</t>
  </si>
  <si>
    <t xml:space="preserve">ОС верх: 2Ø32, участок 11600…15300 мм</t>
  </si>
  <si>
    <t xml:space="preserve">АС-22: выноска «ОС 2Ø25 А500С»; длина по привязкам отдельных стержней</t>
  </si>
  <si>
    <t xml:space="preserve">ОС верх 2-й ряд: 2Ø14, участок 7900…12100 мм</t>
  </si>
  <si>
    <t xml:space="preserve">АС-22: выноска «ОС 2Ø14 А500С»; длина по привязкам отдельных стержней</t>
  </si>
  <si>
    <t xml:space="preserve">Координаты от оси 1: 7900…12100 мм</t>
  </si>
  <si>
    <t xml:space="preserve">ОС верх 2-й ряд: 2Ø14, участок 14800…18700 мм</t>
  </si>
  <si>
    <t xml:space="preserve">Координаты от оси 1: 14800…18700 мм</t>
  </si>
  <si>
    <t xml:space="preserve">АС-22: выноска «ОС 2Ø16 А500С»; длина по привязкам отдельных стержней</t>
  </si>
  <si>
    <t xml:space="preserve">АС-22: выноска «ОС 2Ø22 А500С»; длина по привязкам отдельных стержней</t>
  </si>
  <si>
    <t xml:space="preserve">ОС низ 2-й ряд: 2Ø14, участок 11600…15800 мм</t>
  </si>
  <si>
    <t xml:space="preserve">Координаты от оси 1: 11600…15800 мм</t>
  </si>
  <si>
    <t xml:space="preserve">Ос (бок) бок: 4Ø12, участок 4700…21800 мм</t>
  </si>
  <si>
    <t xml:space="preserve">АС-22: выноска «Ос (бок) 4Ø12 А500С» (бок); длина по привязкам отдельных стержней</t>
  </si>
  <si>
    <t xml:space="preserve">Координаты от оси 1: 4700…21800 мм</t>
  </si>
  <si>
    <t xml:space="preserve">ОС-нахл</t>
  </si>
  <si>
    <t xml:space="preserve">Нахлёсты стыков к поз. «Ос (бок) бок: 4Ø12, участок 4700…21800 мм» (L=17.100 м &gt; 11,7 м): 2 куска, 1 стык(а) на стержень × 4 стерж.</t>
  </si>
  <si>
    <t xml:space="preserve">АС-19 прим.1: Ø18 и менее — внахлёстку электродуговой сваркой, Lшва=8d = 96 мм</t>
  </si>
  <si>
    <t xml:space="preserve">Чистая длина 17.100 м; кусков 2; стыков 1; Lнахл=1×0.096=0.096 м на стержень</t>
  </si>
  <si>
    <t xml:space="preserve">АС-22 штриховка «100×15»; АС-28 Фрагмент №1, поз.13</t>
  </si>
  <si>
    <t xml:space="preserve">Участки (мм): одинарные [(0, 1200)], двойные [(6500, 20000)]</t>
  </si>
  <si>
    <t xml:space="preserve">АС-22 двойная штриховка; АС-28 Фрагмент №1, поз.15</t>
  </si>
  <si>
    <t xml:space="preserve">ось Г (отм. +3.950)</t>
  </si>
  <si>
    <t xml:space="preserve">Р-Г</t>
  </si>
  <si>
    <t xml:space="preserve">АС-23 рама + АС-28 сеч.4-4/5-5 поз.2; длина = 25000+2×250 (до 50 мм от наружной грани крайней колонны)</t>
  </si>
  <si>
    <t xml:space="preserve">ОС верх: 2Ø28, участок 0…1600 мм + 250 до торца</t>
  </si>
  <si>
    <t xml:space="preserve">АС-23: выноска «ОС 2Ø28 А500С»; длина по привязкам отдельных стержней</t>
  </si>
  <si>
    <t xml:space="preserve">Координаты от оси 1: 0…1600 мм; конец заведён до торца крайней колонны (+250)</t>
  </si>
  <si>
    <t xml:space="preserve">ОС верх: 2Ø28, участок 3900…9400 мм</t>
  </si>
  <si>
    <t xml:space="preserve">Координаты от оси 1: 3900…9400 мм</t>
  </si>
  <si>
    <t xml:space="preserve">ОС верх ств.: 2Ø22, участок 3900…9400 мм</t>
  </si>
  <si>
    <t xml:space="preserve">АС-23: выноска «ОС 2Ø22 А500С»; длина по привязкам отдельных стержней</t>
  </si>
  <si>
    <t xml:space="preserve">ОС верх: 2Ø28, участок 11300…16000 мм</t>
  </si>
  <si>
    <t xml:space="preserve">Координаты от оси 1: 11300…16000 мм</t>
  </si>
  <si>
    <t xml:space="preserve">ОС верх ств.: 2Ø22, участок 11300…16000 мм</t>
  </si>
  <si>
    <t xml:space="preserve">ОС верх: 2Ø32, участок 17500…21800 мм</t>
  </si>
  <si>
    <t xml:space="preserve">АС-23: выноска «ОС 2Ø32 А500С»; длина по привязкам отдельных стержней</t>
  </si>
  <si>
    <t xml:space="preserve">Координаты от оси 1: 17500…21800 мм</t>
  </si>
  <si>
    <t xml:space="preserve">АС-23: выноска «ОС 2Ø25 А500С»; длина по привязкам отдельных стержней</t>
  </si>
  <si>
    <t xml:space="preserve">ОС низ: 2Ø16, участок 0…1600 мм + 250 до торца</t>
  </si>
  <si>
    <t xml:space="preserve">АС-23: выноска «ОС 2Ø16 А500С»; длина по привязкам отдельных стержней</t>
  </si>
  <si>
    <t xml:space="preserve">ОС низ: 2Ø22, участок 3900…9400 мм</t>
  </si>
  <si>
    <t xml:space="preserve">ОС низ: 2Ø28, участок 11300…16000 мм</t>
  </si>
  <si>
    <t xml:space="preserve">ОС низ: 2Ø28, участок 17500…21800 мм</t>
  </si>
  <si>
    <t xml:space="preserve">ОС низ: 2Ø22, участок 23200…25000 мм + 250 до торца</t>
  </si>
  <si>
    <t xml:space="preserve">Пролёты в свету [(300, 5500), (7500, 13200), (14500, 19000), (20300, 24700)], сумма 19800 мм</t>
  </si>
  <si>
    <t xml:space="preserve">АС-23 штриховка «100×15»; АС-28 Фрагмент №1, поз.13</t>
  </si>
  <si>
    <t xml:space="preserve">Участки (мм): одинарные [(4000, 5500), (7500, 9000), (17500, 19000)], двойные []</t>
  </si>
  <si>
    <t xml:space="preserve">оси 1, 5 (отм. +3.950)</t>
  </si>
  <si>
    <t xml:space="preserve">Р-1, 5</t>
  </si>
  <si>
    <t xml:space="preserve">АС-24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</si>
  <si>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8).</t>
  </si>
  <si>
    <t xml:space="preserve">Нахлёсты стыков к поз. «Продольные средние верх/низ 2Ø18 (сеч.4-4/5-5)» (L=20.500 м &gt; 11,7 м): 2 куска, 1 стык(а) на стержень × 4 стерж.</t>
  </si>
  <si>
    <t xml:space="preserve">Чистая длина 20.500 м; кусков 2; стыков 1; Lнахл=1×0.144=0.144 м на стержень</t>
  </si>
  <si>
    <t xml:space="preserve">Нахлёсты стыков к поз. «Боковые стержни 2Ø16 (сеч.4-4/5-5)» (L=20.500 м &gt; 11,7 м): 2 куска, 1 стык(а) на стержень × 4 стерж.</t>
  </si>
  <si>
    <t xml:space="preserve">Чистая длина 20.500 м; кусков 2; стыков 1; Lнахл=1×0.128=0.128 м на стержень</t>
  </si>
  <si>
    <t xml:space="preserve">АС-24: выноска «ОС 2Ø25 А500С»; длина по привязкам отдельных стержней</t>
  </si>
  <si>
    <t xml:space="preserve">Координаты от оси А: 0…1800 мм; конец заведён до торца крайней колонны (+250)</t>
  </si>
  <si>
    <t xml:space="preserve">ОС верх: 2Ø28, участок 4700…8500 мм</t>
  </si>
  <si>
    <t xml:space="preserve">АС-24: выноска «ОС 2Ø28 А500С»; длина по привязкам отдельных стержней</t>
  </si>
  <si>
    <t xml:space="preserve">Координаты от оси А: 4700…8500 мм</t>
  </si>
  <si>
    <t xml:space="preserve">ОС верх: 2Ø32, участок 11500…15300 мм</t>
  </si>
  <si>
    <t xml:space="preserve">АС-24: выноска «ОС 2Ø32 А500С»; длина по привязкам отдельных стержней</t>
  </si>
  <si>
    <t xml:space="preserve">Координаты от оси А: 11500…15300 мм</t>
  </si>
  <si>
    <t xml:space="preserve">ОС верх: 2Ø28, участок 18200…20000 мм + 250 до торца</t>
  </si>
  <si>
    <t xml:space="preserve">Координаты от оси А: 18200…20000 мм; конец заведён до торца крайней колонны (+250)</t>
  </si>
  <si>
    <t xml:space="preserve">ОС низ: 2Ø16, участок 0…4700 мм + 250 до торца</t>
  </si>
  <si>
    <t xml:space="preserve">АС-24: выноска «ОС 2Ø16 А500С»; длина по привязкам отдельных стержней</t>
  </si>
  <si>
    <t xml:space="preserve">Координаты от оси А: 0…4700 мм; конец заведён до торца крайней колонны (+250)</t>
  </si>
  <si>
    <t xml:space="preserve">ОС низ: 2Ø16, участок 8500…11500 мм</t>
  </si>
  <si>
    <t xml:space="preserve">Координаты от оси А: 8500…11500 мм</t>
  </si>
  <si>
    <t xml:space="preserve">Координаты от оси А: 15300…18200 мм</t>
  </si>
  <si>
    <t xml:space="preserve">Ос (бок) бок: 4Ø12, участок 0…1800 мм + 250 до торца</t>
  </si>
  <si>
    <t xml:space="preserve">АС-24: выноска «Ос (бок) 4Ø12 А500С» (бок); длина по привязкам отдельных стержней</t>
  </si>
  <si>
    <t xml:space="preserve">Пролёты в свету [(300, 6200), (6800, 13200), (13800, 19700)], сумма 18200 мм</t>
  </si>
  <si>
    <t xml:space="preserve">АС-24 штриховка «100×15»; АС-28 Фрагмент №1, поз.13</t>
  </si>
  <si>
    <t xml:space="preserve">Участки (мм): одинарные [(300, 1700), (5100, 7900)], двойные []</t>
  </si>
  <si>
    <t xml:space="preserve">ось 2 (отм. +3.950)</t>
  </si>
  <si>
    <t xml:space="preserve">Р-2</t>
  </si>
  <si>
    <t xml:space="preserve">АС-25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</si>
  <si>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4).</t>
  </si>
  <si>
    <t xml:space="preserve">Нахлёсты стыков к поз. «Продольные средние верх/низ 2Ø18 (сеч.4-4/5-5)» (L=20.500 м &gt; 11,7 м): 2 куска, 1 стык(а) на стержень × 2 стерж.</t>
  </si>
  <si>
    <t xml:space="preserve">Нахлёсты стыков к поз. «Боковые стержни 2Ø16 (сеч.4-4/5-5)» (L=20.500 м &gt; 11,7 м): 2 куска, 1 стык(а) на стержень × 2 стерж.</t>
  </si>
  <si>
    <t xml:space="preserve">ОС верх 2-й ряд: 1Ø20, участок 1000…3400 мм</t>
  </si>
  <si>
    <t xml:space="preserve">АС-25: выноска «ОС 1Ø20 А500С»; длина по привязкам отдельных стержней</t>
  </si>
  <si>
    <t xml:space="preserve">Координаты от оси А: 1000…3400 мм</t>
  </si>
  <si>
    <t xml:space="preserve">ОС верх 2-й ряд: 2Ø14, участок 8000…12000 мм</t>
  </si>
  <si>
    <t xml:space="preserve">АС-25: выноска «ОС 2Ø14 А500С»; длина по привязкам отдельных стержней</t>
  </si>
  <si>
    <t xml:space="preserve">Координаты от оси А: 8000…12000 мм</t>
  </si>
  <si>
    <t xml:space="preserve">ОС верх: 2Ø32, участок 1000…8500 мм</t>
  </si>
  <si>
    <t xml:space="preserve">АС-25: выноска «ОС 2Ø32 А500С»; длина по привязкам отдельных стержней</t>
  </si>
  <si>
    <t xml:space="preserve">Координаты от оси А: 1000…8500 мм</t>
  </si>
  <si>
    <t xml:space="preserve">ОС верх: 2Ø32, участок 11500…15100 мм</t>
  </si>
  <si>
    <t xml:space="preserve">Координаты от оси А: 11500…15100 мм</t>
  </si>
  <si>
    <t xml:space="preserve">ОС верх: 2Ø32, участок 17400…20000 мм + 250 до торца</t>
  </si>
  <si>
    <t xml:space="preserve">Координаты от оси А: 17400…20000 мм; конец заведён до торца крайней колонны (+250)</t>
  </si>
  <si>
    <t xml:space="preserve">ОС низ: 2Ø25, участок 1000…11500 мм</t>
  </si>
  <si>
    <t xml:space="preserve">АС-25: выноска «ОС 2Ø25 А500С»; длина по привязкам отдельных стержней</t>
  </si>
  <si>
    <t xml:space="preserve">Координаты от оси А: 1000…11500 мм</t>
  </si>
  <si>
    <t xml:space="preserve">ОС низ: 2Ø20, участок 17400…20000 мм + 250 до торца</t>
  </si>
  <si>
    <t xml:space="preserve">АС-25: выноска «ОС 2Ø20 А500С»; длина по привязкам отдельных стержней</t>
  </si>
  <si>
    <t xml:space="preserve">ОС низ 2-й ряд: 2Ø16, участок 11500…15100 мм</t>
  </si>
  <si>
    <t xml:space="preserve">АС-25: выноска «ОС 2Ø16 А500С»; длина по привязкам отдельных стержней</t>
  </si>
  <si>
    <t xml:space="preserve">Ос (бок) бок: 2Ø14, участок 1000…3400 мм</t>
  </si>
  <si>
    <t xml:space="preserve">АС-25: выноска «Ос (бок) 2Ø14 А500С» (бок); длина по привязкам отдельных стержней</t>
  </si>
  <si>
    <t xml:space="preserve">Ос (бок) бок: 2Ø14, участок 5100…14200 мм</t>
  </si>
  <si>
    <t xml:space="preserve">Координаты от оси А: 5100…14200 мм</t>
  </si>
  <si>
    <t xml:space="preserve">Ос (бок) бок: 2Ø14, участок 17400…20000 мм + 250 до торца</t>
  </si>
  <si>
    <t xml:space="preserve">Пролёты в свету [(2000, 6200), (6800, 13200), (13800, 19000)], сумма 15800 мм</t>
  </si>
  <si>
    <t xml:space="preserve">АС-25 штриховка «100×15»; АС-28 Фрагмент №1, поз.13</t>
  </si>
  <si>
    <t xml:space="preserve">Участки (мм): одинарные [(16400, 17400)], двойные [(2000, 3200), (6500, 13500), (17400, 19000)]</t>
  </si>
  <si>
    <t xml:space="preserve">АС-25 двойная штриховка; АС-28 Фрагмент №1, поз.15</t>
  </si>
  <si>
    <t xml:space="preserve">ось 3 (отм. +3.950)</t>
  </si>
  <si>
    <t xml:space="preserve">Р-3</t>
  </si>
  <si>
    <t xml:space="preserve">АС-26 рама + АС-28 сеч.4-4/5-5 поз.2; длина = 20000+2×250 (до 50 мм от наружной грани крайней колонны)</t>
  </si>
  <si>
    <t xml:space="preserve">АС-26: выноска «ОС 2Ø28 А500С»; длина по привязкам отдельных стержней</t>
  </si>
  <si>
    <t xml:space="preserve">ОС верх ств.: 2Ø25, участок 4700…8500 мм</t>
  </si>
  <si>
    <t xml:space="preserve">АС-26: выноска «ОС 2Ø25 А500С»; длина по привязкам отдельных стержней</t>
  </si>
  <si>
    <t xml:space="preserve">ОС верх: 2Ø25, участок 11500…15300 мм</t>
  </si>
  <si>
    <t xml:space="preserve">ОС верх ств.: 2Ø25, участок 11500…15300 мм</t>
  </si>
  <si>
    <t xml:space="preserve">ОС верх: 2Ø32, участок 18200…20000 мм + 250 до торца</t>
  </si>
  <si>
    <t xml:space="preserve">АС-26: выноска «ОС 2Ø32 А500С»; длина по привязкам отдельных стержней</t>
  </si>
  <si>
    <t xml:space="preserve">АС-26: выноска «ОС 2Ø16 А500С»; длина по привязкам отдельных стержней</t>
  </si>
  <si>
    <t xml:space="preserve">Координаты от оси А: 1800…4700 мм</t>
  </si>
  <si>
    <t xml:space="preserve">ОС низ: 2Ø28, участок 8500…11500 мм</t>
  </si>
  <si>
    <t xml:space="preserve">ОС низ: 2Ø16, участок 15300…20000 мм + 250 до торца</t>
  </si>
  <si>
    <t xml:space="preserve">Координаты от оси А: 15300…20000 мм; конец заведён до торца крайней колонны (+250)</t>
  </si>
  <si>
    <t xml:space="preserve">Ос (бок) бок: 4Ø12, участок 4700…8500 мм</t>
  </si>
  <si>
    <t xml:space="preserve">АС-26: выноска «Ос (бок) 4Ø12 А500С» (бок); длина по привязкам отдельных стержней</t>
  </si>
  <si>
    <t xml:space="preserve">Ос (бок) бок: 4Ø12, участок 11500…15300 мм</t>
  </si>
  <si>
    <t xml:space="preserve">Ос (бок) бок: 4Ø12, участок 18200…20000 мм + 250 до торца</t>
  </si>
  <si>
    <t xml:space="preserve">АС-26 штриховка «100×15»; АС-28 Фрагмент №1, поз.13</t>
  </si>
  <si>
    <t xml:space="preserve">Участки (мм): одинарные [(0, 1500), (5000, 6500), (8500, 9500), (10500, 11500), (13500, 15000)], двойные [(6500, 8500), (11500, 13500), (18200, 20000)]</t>
  </si>
  <si>
    <t xml:space="preserve">АС-26 двойная штриховка; АС-28 Фрагмент №1, поз.15</t>
  </si>
  <si>
    <t xml:space="preserve">ось 4 (отм. +3.950)</t>
  </si>
  <si>
    <t xml:space="preserve">Р-4</t>
  </si>
  <si>
    <t xml:space="preserve">АС-27 рама + АС-28 сеч.4-4/5-5 поз.2; длина = 20000+2×250 (до 50 мм от наружной грани крайней колонны)</t>
  </si>
  <si>
    <t xml:space="preserve">ОС верх: 2Ø32, участок 1000…3400 мм</t>
  </si>
  <si>
    <t xml:space="preserve">АС-27: выноска «ОС 2Ø32 А500С»; длина по привязкам отдельных стержней</t>
  </si>
  <si>
    <t xml:space="preserve">ОС верх: 2Ø32, участок 5100…8500 мм</t>
  </si>
  <si>
    <t xml:space="preserve">Координаты от оси А: 5100…8500 мм</t>
  </si>
  <si>
    <t xml:space="preserve">ОС верх: 2Ø28, участок 11500…15100 мм</t>
  </si>
  <si>
    <t xml:space="preserve">АС-27: выноска «ОС 2Ø28 А500С»; длина по привязкам отдельных стержней</t>
  </si>
  <si>
    <t xml:space="preserve">ОС низ: 2Ø25, участок 1000…7200 мм</t>
  </si>
  <si>
    <t xml:space="preserve">АС-27: выноска «ОС 2Ø25 А500С»; длина по привязкам отдельных стержней</t>
  </si>
  <si>
    <t xml:space="preserve">Координаты от оси А: 1000…7200 мм</t>
  </si>
  <si>
    <t xml:space="preserve">ОС низ: 2Ø20, участок 8500…11500 мм</t>
  </si>
  <si>
    <t xml:space="preserve">АС-27: выноска «ОС 2Ø20 А500С»; длина по привязкам отдельных стержней</t>
  </si>
  <si>
    <t xml:space="preserve">ОС низ: 2Ø16, участок 17400…19700 мм</t>
  </si>
  <si>
    <t xml:space="preserve">АС-27: выноска «ОС 2Ø16 А500С»; длина по привязкам отдельных стержней</t>
  </si>
  <si>
    <t xml:space="preserve">Координаты от оси А: 17400…19700 мм</t>
  </si>
  <si>
    <t xml:space="preserve">Ос (бок) бок: 4Ø12, участок 1000…3400 мм</t>
  </si>
  <si>
    <t xml:space="preserve">АС-27: выноска «Ос (бок) 4Ø12 А500С» (бок); длина по привязкам отдельных стержней</t>
  </si>
  <si>
    <t xml:space="preserve">Ос (бок) бок: 4Ø12, участок 5100…8500 мм</t>
  </si>
  <si>
    <t xml:space="preserve">Ос (бок) бок: 4Ø12, участок 11500…15100 мм</t>
  </si>
  <si>
    <t xml:space="preserve">Ос (бок) бок: 4Ø12, участок 17400…19700 мм</t>
  </si>
  <si>
    <t xml:space="preserve">АС-27 штриховка «100×15»; АС-28 Фрагмент №1, поз.13</t>
  </si>
  <si>
    <t xml:space="preserve">Участки (мм): одинарные [(6500, 9500), (10500, 13500), (16400, 17400)], двойные [(2000, 3200), (17400, 19000)]</t>
  </si>
  <si>
    <t xml:space="preserve">АС-27 двойная штриховка; АС-28 Фрагмент №1, поз.15</t>
  </si>
  <si>
    <t xml:space="preserve">1.4. ПЛИТА ПЕРЕКРЫТИЯ: сетки, доп. зоны, край, фиксаторы — отм. +3.950 (АС-47)</t>
  </si>
  <si>
    <t xml:space="preserve">Плита перекрытия</t>
  </si>
  <si>
    <t xml:space="preserve">1–5 / А–Г</t>
  </si>
  <si>
    <t xml:space="preserve">ПМ-3.950</t>
  </si>
  <si>
    <t xml:space="preserve">НX</t>
  </si>
  <si>
    <t xml:space="preserve">Нижняя осн. сетка, направление X (вдоль осей 1–5)</t>
  </si>
  <si>
    <t xml:space="preserve">АС-50/АС-51 «Осн. сетка Ø10 А500С ш.200×200»; контур — АС-47</t>
  </si>
  <si>
    <t xml:space="preserve">П-сетка</t>
  </si>
  <si>
    <t xml:space="preserve">НX-нахл</t>
  </si>
  <si>
    <t xml:space="preserve">Нахлёсты стыков к поз. «Нижняя осн. сетка, направление X (вдоль осей 1–5)» (L=27.350 м &gt; 11,7 м): 3 куска, 2 стык(а) на стержень × 26 стерж.</t>
  </si>
  <si>
    <t xml:space="preserve">АС-58 «Деталь стыка арматуры армирования плиты»: нахлёст 400 мм для Ø10</t>
  </si>
  <si>
    <t xml:space="preserve">Чистая длина 27.350 м; кусков 3; стыков 2; Lнахл=2×0.400=0.8 м на стержень</t>
  </si>
  <si>
    <t xml:space="preserve">Нахлёсты стыков к поз. «Нижняя осн. сетка, направление X (вдоль осей 1–5)» (L=25.620 м &gt; 11,7 м): 3 куска, 2 стык(а) на стержень × 49 стерж.</t>
  </si>
  <si>
    <t xml:space="preserve">Чистая длина 25.620 м; кусков 3; стыков 2; Lнахл=2×0.400=0.8 м на стержень</t>
  </si>
  <si>
    <t xml:space="preserve">Нахлёсты стыков к поз. «Нижняя осн. сетка, направление X (вдоль осей 1–5)» (L=22.200 м &gt; 11,7 м): 2 куска, 1 стык(а) на стержень × 1 стерж.</t>
  </si>
  <si>
    <t xml:space="preserve">Чистая длина 22.200 м; кусков 2; стыков 1; Lнахл=1×0.400=0.4 м на стержень</t>
  </si>
  <si>
    <t xml:space="preserve">Нахлёсты стыков к поз. «Нижняя осн. сетка, направление X (вдоль осей 1–5)» (L=15.620 м &gt; 11,7 м): 2 куска, 1 стык(а) на стержень × 16 стерж.</t>
  </si>
  <si>
    <t xml:space="preserve">Чистая длина 15.620 м; кусков 2; стыков 1; Lнахл=1×0.400=0.4 м на стержень</t>
  </si>
  <si>
    <t xml:space="preserve">Нахлёсты стыков к поз. «Нижняя осн. сетка, направление X (вдоль осей 1–5)» (L=13.900 м &gt; 11,7 м): 2 куска, 1 стык(а) на стержень × 12 стерж.</t>
  </si>
  <si>
    <t xml:space="preserve">Чистая длина 13.900 м; кусков 2; стыков 1; Lнахл=1×0.400=0.4 м на стержень</t>
  </si>
  <si>
    <t xml:space="preserve">НY</t>
  </si>
  <si>
    <t xml:space="preserve">Нижняя осн. сетка, направление Y (вдоль осей А–Г)</t>
  </si>
  <si>
    <t xml:space="preserve">НY-нахл</t>
  </si>
  <si>
    <t xml:space="preserve">Нахлёсты стыков к поз. «Нижняя осн. сетка, направление Y (вдоль осей А–Г)» (L=22.350 м &gt; 11,7 м): 2 куска, 1 стык(а) на стержень × 40 стерж.</t>
  </si>
  <si>
    <t xml:space="preserve">Чистая длина 22.350 м; кусков 2; стыков 1; Lнахл=1×0.400=0.4 м на стержень</t>
  </si>
  <si>
    <t xml:space="preserve">Нахлёсты стыков к поз. «Нижняя осн. сетка, направление Y (вдоль осей А–Г)» (L=20.620 м &gt; 11,7 м): 2 куска, 1 стык(а) на стержень × 39 стерж.</t>
  </si>
  <si>
    <t xml:space="preserve">Чистая длина 20.620 м; кусков 2; стыков 1; Lнахл=1×0.400=0.4 м на стержень</t>
  </si>
  <si>
    <t xml:space="preserve">Нахлёсты стыков к поз. «Нижняя осн. сетка, направление Y (вдоль осей А–Г)» (L=20.480 м &gt; 11,7 м): 2 куска, 1 стык(а) на стержень × 26 стерж.</t>
  </si>
  <si>
    <t xml:space="preserve">Чистая длина 20.480 м; кусков 2; стыков 1; Lнахл=1×0.400=0.4 м на стержень</t>
  </si>
  <si>
    <t xml:space="preserve">Нахлёсты стыков к поз. «Нижняя осн. сетка, направление Y (вдоль осей А–Г)» (L=19.010 м &gt; 11,7 м): 2 куска, 1 стык(а) на стержень × 2 стерж.</t>
  </si>
  <si>
    <t xml:space="preserve">Чистая длина 19.010 м; кусков 2; стыков 1; Lнахл=1×0.400=0.4 м на стержень</t>
  </si>
  <si>
    <t xml:space="preserve">Нахлёсты стыков к поз. «Нижняя осн. сетка, направление Y (вдоль осей А–Г)» (L=17.280 м &gt; 11,7 м): 2 куска, 1 стык(а) на стержень × 5 стерж.</t>
  </si>
  <si>
    <t xml:space="preserve">Чистая длина 17.280 м; кусков 2; стыков 1; Lнахл=1×0.400=0.4 м на стержень</t>
  </si>
  <si>
    <t xml:space="preserve">Нахлёсты стыков к поз. «Нижняя осн. сетка, направление Y (вдоль осей А–Г)» (L=15.600 м &gt; 11,7 м): 2 куска, 1 стык(а) на стержень × 17 стерж.</t>
  </si>
  <si>
    <t xml:space="preserve">Чистая длина 15.600 м; кусков 2; стыков 1; Lнахл=1×0.400=0.4 м на стержень</t>
  </si>
  <si>
    <t xml:space="preserve">ВX</t>
  </si>
  <si>
    <t xml:space="preserve">Верхняя осн. сетка, направление X (вдоль осей 1–5)</t>
  </si>
  <si>
    <t xml:space="preserve">ВX-нахл</t>
  </si>
  <si>
    <t xml:space="preserve">Нахлёсты стыков к поз. «Верхняя осн. сетка, направление X (вдоль осей 1–5)» (L=27.350 м &gt; 11,7 м): 3 куска, 2 стык(а) на стержень × 26 стерж.</t>
  </si>
  <si>
    <t xml:space="preserve">Нахлёсты стыков к поз. «Верхняя осн. сетка, направление X (вдоль осей 1–5)» (L=25.620 м &gt; 11,7 м): 3 куска, 2 стык(а) на стержень × 49 стерж.</t>
  </si>
  <si>
    <t xml:space="preserve">Нахлёсты стыков к поз. «Верхняя осн. сетка, направление X (вдоль осей 1–5)» (L=22.200 м &gt; 11,7 м): 2 куска, 1 стык(а) на стержень × 1 стерж.</t>
  </si>
  <si>
    <t xml:space="preserve">Нахлёсты стыков к поз. «Верхняя осн. сетка, направление X (вдоль осей 1–5)» (L=15.620 м &gt; 11,7 м): 2 куска, 1 стык(а) на стержень × 16 стерж.</t>
  </si>
  <si>
    <t xml:space="preserve">Нахлёсты стыков к поз. «Верхняя осн. сетка, направление X (вдоль осей 1–5)» (L=13.900 м &gt; 11,7 м): 2 куска, 1 стык(а) на стержень × 12 стерж.</t>
  </si>
  <si>
    <t xml:space="preserve">ВY</t>
  </si>
  <si>
    <t xml:space="preserve">Верхняя осн. сетка, направление Y (вдоль осей А–Г)</t>
  </si>
  <si>
    <t xml:space="preserve">ВY-нахл</t>
  </si>
  <si>
    <t xml:space="preserve">Нахлёсты стыков к поз. «Верхняя осн. сетка, направление Y (вдоль осей А–Г)» (L=22.350 м &gt; 11,7 м): 2 куска, 1 стык(а) на стержень × 40 стерж.</t>
  </si>
  <si>
    <t xml:space="preserve">Нахлёсты стыков к поз. «Верхняя осн. сетка, направление Y (вдоль осей А–Г)» (L=20.620 м &gt; 11,7 м): 2 куска, 1 стык(а) на стержень × 39 стерж.</t>
  </si>
  <si>
    <t xml:space="preserve">Нахлёсты стыков к поз. «Верхняя осн. сетка, направление Y (вдоль осей А–Г)» (L=20.480 м &gt; 11,7 м): 2 куска, 1 стык(а) на стержень × 26 стерж.</t>
  </si>
  <si>
    <t xml:space="preserve">Нахлёсты стыков к поз. «Верхняя осн. сетка, направление Y (вдоль осей А–Г)» (L=19.010 м &gt; 11,7 м): 2 куска, 1 стык(а) на стержень × 2 стерж.</t>
  </si>
  <si>
    <t xml:space="preserve">Нахлёсты стыков к поз. «Верхняя осн. сетка, направление Y (вдоль осей А–Г)» (L=17.280 м &gt; 11,7 м): 2 куска, 1 стык(а) на стержень × 5 стерж.</t>
  </si>
  <si>
    <t xml:space="preserve">Нахлёсты стыков к поз. «Верхняя осн. сетка, направление Y (вдоль осей А–Г)» (L=15.600 м &gt; 11,7 м): 2 куска, 1 стык(а) на стержень × 17 стерж.</t>
  </si>
  <si>
    <t xml:space="preserve">см. описание</t>
  </si>
  <si>
    <t xml:space="preserve">дн</t>
  </si>
  <si>
    <t xml:space="preserve">Доп. нижние, зона оси 2–3 / Б–В, вдоль X (7500…12550)</t>
  </si>
  <si>
    <t xml:space="preserve">АС-50 + прим. «неуказанные доп. стержни Ø10 А500С ш.200»</t>
  </si>
  <si>
    <t xml:space="preserve">П-доп-низ</t>
  </si>
  <si>
    <t xml:space="preserve">Доп. нижние, зона оси 2–3 / Б–В, вдоль Y (8000…12500)</t>
  </si>
  <si>
    <t xml:space="preserve">Доп. нижние, зона оси 3–4 / Б–В, вдоль X (14800…18425)</t>
  </si>
  <si>
    <t xml:space="preserve">Доп. нижние, зона оси 3–4 / Б–В, вдоль Y (8000…12500)</t>
  </si>
  <si>
    <t xml:space="preserve">Доп. нижние, эркер у оси А (оси 1–2), вдоль Y (−1000…+200)</t>
  </si>
  <si>
    <t xml:space="preserve">дв</t>
  </si>
  <si>
    <t xml:space="preserve">Доп. верхние, эркер у оси 1 (Г–В), вдоль X, −1000…+200</t>
  </si>
  <si>
    <t xml:space="preserve">АС-51 (число стержней — по штриховке, шаг 200); прим. «неуказанные Ø10 ш.200»</t>
  </si>
  <si>
    <t xml:space="preserve">П-доп-верх</t>
  </si>
  <si>
    <t xml:space="preserve">Доп. верхние, ригель оси 2 (Г–В), вдоль X, 6300…7500</t>
  </si>
  <si>
    <t xml:space="preserve">Доп. верхние, эркер у оси 1 (В–Б), вдоль X, −1000…+200</t>
  </si>
  <si>
    <t xml:space="preserve">Доп. верхние, ригель оси 2 (В–Б), вдоль X, 6300…7700 — Ø12 (выноска «Ø12 А500С ш.200», Y 10260…12620)</t>
  </si>
  <si>
    <t xml:space="preserve">Доп. верхние, ригель оси 2 (В–Б), вдоль X, 6300…7700 — остальные</t>
  </si>
  <si>
    <t xml:space="preserve">Доп. верхние, ригель оси 3 (В–Б), вдоль X, 12300…14500 — Ø12 (выноска «Ø12»)</t>
  </si>
  <si>
    <t xml:space="preserve">Доп. верхние, ригель оси 3 (В–Б), вдоль X, 12300…14500 — остальные</t>
  </si>
  <si>
    <t xml:space="preserve">Доп. верхние, ригель оси 4 (В–Б), вдоль X, 19000…20200</t>
  </si>
  <si>
    <t xml:space="preserve">Доп. верхние, ригель оси 2 (Б–А), вдоль X, 5500…7500</t>
  </si>
  <si>
    <t xml:space="preserve">Доп. верхние, ригель оси 4 (Б–А), вдоль X, 19000…20200</t>
  </si>
  <si>
    <t xml:space="preserve">Доп. верхние, эркер у оси А (1–2), вдоль Y, −1000…+200</t>
  </si>
  <si>
    <t xml:space="preserve">Доп. верхние, эркер у оси А (2–4), вдоль Y, −1000…+200</t>
  </si>
  <si>
    <t xml:space="preserve">Доп. верхние, ригель оси В, вдоль Y, 12300…13700 (оси 2–3 лев. часть)</t>
  </si>
  <si>
    <t xml:space="preserve">Доп. верхние, ригель оси В, вдоль Y, 12300…14500 (оси 2–3 прав. часть)</t>
  </si>
  <si>
    <t xml:space="preserve">Доп. верхние, ригель оси В, вдоль Y, 12300…13700 (оси 3–4)</t>
  </si>
  <si>
    <t xml:space="preserve">Доп. верхние, ригель оси Б, вдоль Y, 5500…7700 (оси 2–4)</t>
  </si>
  <si>
    <t xml:space="preserve">В,Б × оси 2,3 (4 места)</t>
  </si>
  <si>
    <t xml:space="preserve">Доп. стержень в верхней зоне балки над ригелем 1Ø20 L=3000</t>
  </si>
  <si>
    <t xml:space="preserve">АС-47 выноски (4 шт.)</t>
  </si>
  <si>
    <t xml:space="preserve">край по оси Г и оси 5</t>
  </si>
  <si>
    <t xml:space="preserve">8</t>
  </si>
  <si>
    <t xml:space="preserve">Торцевой стержень края плиты (сеч.6-6) 2Ø14, по оси Г</t>
  </si>
  <si>
    <t xml:space="preserve">АС-55 сеч.6-6 поз.8; длина края по АС-47</t>
  </si>
  <si>
    <t xml:space="preserve">П-край</t>
  </si>
  <si>
    <t xml:space="preserve">8-нахл</t>
  </si>
  <si>
    <t xml:space="preserve">Нахлёсты стыков к поз. «Торцевой стержень края плиты (сеч.6-6) 2Ø14, по оси Г» (L=25.825 м &gt; 11,7 м): 3 куска, 2 стык(а) на стержень × 2 стерж.</t>
  </si>
  <si>
    <t xml:space="preserve">АС-58 «Деталь стыка арматуры армирования плиты»: нахлёст 560 мм для Ø14</t>
  </si>
  <si>
    <t xml:space="preserve">Чистая длина 25.825 м; кусков 3; стыков 2; Lнахл=2×0.560=1.12 м на стержень</t>
  </si>
  <si>
    <t xml:space="preserve">Торцевой стержень края плиты (сеч.6-6) 2Ø14, по оси 5</t>
  </si>
  <si>
    <t xml:space="preserve">АС-55 сеч.6-6 поз.8</t>
  </si>
  <si>
    <t xml:space="preserve">Нахлёсты стыков к поз. «Торцевой стержень края плиты (сеч.6-6) 2Ø14, по оси 5» (L=20.525 м &gt; 11,7 м): 2 куска, 1 стык(а) на стержень × 2 стерж.</t>
  </si>
  <si>
    <t xml:space="preserve">Чистая длина 20.525 м; кусков 2; стыков 1; Lнахл=1×0.560=0.56 м на стержень</t>
  </si>
  <si>
    <t xml:space="preserve">Пешка (П-образная) края плиты ш.400: 25825/400+1=66 + 20525/400+1=53</t>
  </si>
  <si>
    <t xml:space="preserve">АС-55 сеч.6-6 поз.14; АС-58 поз.14 L=700</t>
  </si>
  <si>
    <t xml:space="preserve">вся плита</t>
  </si>
  <si>
    <t xml:space="preserve">Ф-1</t>
  </si>
  <si>
    <t xml:space="preserve">Фиксатор верхней сетки Ø10 ш.800×800 шахм.: 542.0 м² / 0,64 = 847 шт</t>
  </si>
  <si>
    <t xml:space="preserve">800×800</t>
  </si>
  <si>
    <t xml:space="preserve">АС-55 «Фиксатор» (длина в проекте не указана)</t>
  </si>
  <si>
    <t xml:space="preserve">ДЛИНА ПРИНЯТА (уточнить)</t>
  </si>
  <si>
    <t xml:space="preserve">П-фикс</t>
  </si>
  <si>
    <t xml:space="preserve">шп</t>
  </si>
  <si>
    <t xml:space="preserve">Шпилька Ø8 ш.800 шахм. между сетками: 847 шт</t>
  </si>
  <si>
    <t xml:space="preserve">800</t>
  </si>
  <si>
    <t xml:space="preserve">АС-55 «Фрагмент армирования перекрытия» (длина в проекте не указана)</t>
  </si>
  <si>
    <t xml:space="preserve">1.5. БАЛКИ МОНОЛИТНОЙ ПЛИТЫ (сеч. 1-1…5-5) — отм. +3.950</t>
  </si>
  <si>
    <t xml:space="preserve">Плита перекрытия — балки</t>
  </si>
  <si>
    <t xml:space="preserve">ось ~3250, А–Г</t>
  </si>
  <si>
    <t xml:space="preserve">Б-1 (1-1)</t>
  </si>
  <si>
    <t xml:space="preserve">Балка VB1: продольные 2Ø25 верх + 2Ø25 низ</t>
  </si>
  <si>
    <t xml:space="preserve">АС-55 сеч.1-1; АС-57 узлы «1»,«2» (до наружной грани ригеля, Аш)</t>
  </si>
  <si>
    <t xml:space="preserve">Б-основная</t>
  </si>
  <si>
    <t xml:space="preserve">ось ~9800, А–Г</t>
  </si>
  <si>
    <t xml:space="preserve">Балка VB2: продольные 2Ø25 верх + 2Ø25 низ</t>
  </si>
  <si>
    <t xml:space="preserve">ось ~17275, А–В</t>
  </si>
  <si>
    <t xml:space="preserve">Балка VB3: продольные 2Ø25 верх + 2Ø25 низ</t>
  </si>
  <si>
    <t xml:space="preserve">ось ~22000, А–Г</t>
  </si>
  <si>
    <t xml:space="preserve">Балка VB4: продольные 2Ø25 верх + 2Ø25 низ</t>
  </si>
  <si>
    <t xml:space="preserve">Y≈3250, оси 1–5</t>
  </si>
  <si>
    <t xml:space="preserve">Балка HB1: продольные 2Ø25 верх + 2Ø25 низ</t>
  </si>
  <si>
    <t xml:space="preserve">Y≈10000, оси 1–5</t>
  </si>
  <si>
    <t xml:space="preserve">Балка HB2: продольные 2Ø25 верх + 2Ø25 низ</t>
  </si>
  <si>
    <t xml:space="preserve">Y≈16750, оси 1–3</t>
  </si>
  <si>
    <t xml:space="preserve">Балка HB3a: продольные 2Ø25 верх + 2Ø25 низ</t>
  </si>
  <si>
    <t xml:space="preserve">Y≈16960, оси 3–5</t>
  </si>
  <si>
    <t xml:space="preserve">Б-5 (5-5)+Б-1</t>
  </si>
  <si>
    <t xml:space="preserve">Балка HB3b: продольные 2Ø25 верх + 2Ø25 низ</t>
  </si>
  <si>
    <t xml:space="preserve">АС-55 сеч.5-5; АС-57 узлы «1»,«2» (до наружной грани ригеля, Аш)</t>
  </si>
  <si>
    <t xml:space="preserve">X≈17550, В–балка 5-5</t>
  </si>
  <si>
    <t xml:space="preserve">Б-2 (2-2)</t>
  </si>
  <si>
    <t xml:space="preserve">Балка B2a: продольные 2Ø25 верх + 2Ø25 низ</t>
  </si>
  <si>
    <t xml:space="preserve">АС-55 сеч.2-2; АС-57 узлы «1»,«2» (до наружной грани ригеля, Аш)</t>
  </si>
  <si>
    <t xml:space="preserve">X≈18650, балка 5-5–Г</t>
  </si>
  <si>
    <t xml:space="preserve">Балка B2b: продольные 2Ø25 верх + 2Ø25 низ</t>
  </si>
  <si>
    <t xml:space="preserve">Y≈14310, 14800…17400</t>
  </si>
  <si>
    <t xml:space="preserve">Б-4 (4-4)</t>
  </si>
  <si>
    <t xml:space="preserve">Балка B4a: продольные 2Ø20 верх + 2Ø20 низ</t>
  </si>
  <si>
    <t xml:space="preserve">АС-55 сеч.4-4; АС-57 узлы «1»,«2» (до наружной грани ригеля, Аш)</t>
  </si>
  <si>
    <t xml:space="preserve">X≈14700, В–балка 5-5</t>
  </si>
  <si>
    <t xml:space="preserve">Балка B4b: продольные 2Ø20 верх + 2Ø20 низ</t>
  </si>
  <si>
    <t xml:space="preserve">Y≈12965, 13725…17125</t>
  </si>
  <si>
    <t xml:space="preserve">Балка B4c: продольные 2Ø20 верх + 2Ø20 низ</t>
  </si>
  <si>
    <t xml:space="preserve">Y≈8940, 22150…24775</t>
  </si>
  <si>
    <t xml:space="preserve">Балка B4d: продольные 2Ø20 верх + 2Ø20 низ</t>
  </si>
  <si>
    <t xml:space="preserve">Э1 (эркер у оси 1, Г–В)</t>
  </si>
  <si>
    <t xml:space="preserve">Б-3 (3-3)</t>
  </si>
  <si>
    <t xml:space="preserve">Краевая балка эркера, участок 1: 4Ø22 (2 верх + 2 низ)</t>
  </si>
  <si>
    <t xml:space="preserve">АС-55 сеч.3-3 поз.4; контур АС-47</t>
  </si>
  <si>
    <t xml:space="preserve">Краевая балка эркера, участок 2: 4Ø22 (2 верх + 2 низ)</t>
  </si>
  <si>
    <t xml:space="preserve">Краевая балка эркера, участок 3: 4Ø22 (2 верх + 2 низ)</t>
  </si>
  <si>
    <t xml:space="preserve">Э2 (эркер у оси 1, В–Б)</t>
  </si>
  <si>
    <t xml:space="preserve">Э3 (эркер у оси А, 1–2)</t>
  </si>
  <si>
    <t xml:space="preserve">Э4 (эркер у оси А, 2–4)</t>
  </si>
  <si>
    <t xml:space="preserve">Краевая балка эркера, участок 4: 4Ø22 (2 верх + 2 низ)</t>
  </si>
  <si>
    <t xml:space="preserve">углы эркеров, концы балок</t>
  </si>
  <si>
    <t xml:space="preserve">узлы «Б»,«В»,«Г»</t>
  </si>
  <si>
    <t xml:space="preserve">Угловой Г-образный стержень Ø18 L=1200 (узлы Б×11, Г×8 по 2 шт.; В×1 по 4 шт.)</t>
  </si>
  <si>
    <t xml:space="preserve">АС-56 узлы «Б»,«В»; АС-57 узел «Г»</t>
  </si>
  <si>
    <t xml:space="preserve">Б-допник</t>
  </si>
  <si>
    <t xml:space="preserve">все балки сечения 1-1</t>
  </si>
  <si>
    <t xml:space="preserve">Б (1-1)</t>
  </si>
  <si>
    <t xml:space="preserve">Хомуты балок сеч.1-1: хом.Ø8 L=1240 (поз.10); шаг 100 у опор (×10 при L&gt;6 м, ×7 при L&lt;6 м) и ×3 у пересечений, 200 в пролёте</t>
  </si>
  <si>
    <t xml:space="preserve">АС-55 сеч.1-1; АС-57 «Шаг хомутов»; АС-56/57 узел «Д»; АС-58 ведомость</t>
  </si>
  <si>
    <t xml:space="preserve">Б-хомуты</t>
  </si>
  <si>
    <t xml:space="preserve">все балки сечения 2-2</t>
  </si>
  <si>
    <t xml:space="preserve">Б (2-2)</t>
  </si>
  <si>
    <t xml:space="preserve">Хомуты балок сеч.2-2: хом.Ø8 L=1240 (поз.10); шаг 100 у опор (×10 при L&gt;6 м, ×7 при L&lt;6 м) и ×3 у пересечений, 200 в пролёте</t>
  </si>
  <si>
    <t xml:space="preserve">АС-55 сеч.2-2; АС-57 «Шаг хомутов»; АС-56/57 узел «Д»; АС-58 ведомость</t>
  </si>
  <si>
    <t xml:space="preserve">все балки сечения 5-5</t>
  </si>
  <si>
    <t xml:space="preserve">Б (5-5)</t>
  </si>
  <si>
    <t xml:space="preserve">Хомуты балок сеч.5-5: хом.Ø8 L=1440 (поз.12); шаг 100 у опор (×10 при L&gt;6 м, ×7 при L&lt;6 м) и ×3 у пересечений, 200 в пролёте</t>
  </si>
  <si>
    <t xml:space="preserve">АС-55 сеч.5-5; АС-57 «Шаг хомутов»; АС-56/57 узел «Д»; АС-58 ведомость</t>
  </si>
  <si>
    <t xml:space="preserve">все балки сечения 4-4</t>
  </si>
  <si>
    <t xml:space="preserve">Б (4-4)</t>
  </si>
  <si>
    <t xml:space="preserve">Хомуты балок сеч.4-4: хом.Ø8 L=1040 (поз.13); шаг 100 у опор (×10 при L&gt;6 м, ×7 при L&lt;6 м) и ×3 у пересечений, 200 в пролёте</t>
  </si>
  <si>
    <t xml:space="preserve">АС-55 сеч.4-4; АС-57 «Шаг хомутов»; АС-56/57 узел «Д»; АС-58 ведомость</t>
  </si>
  <si>
    <t xml:space="preserve">все балки сечения 3-3</t>
  </si>
  <si>
    <t xml:space="preserve">Б (3-3)</t>
  </si>
  <si>
    <t xml:space="preserve">Хомуты балок сеч.3-3: хом.Ø8 L=1140 (поз.11); шаг 100 у опор (×10 при L&gt;6 м, ×7 при L&lt;6 м) и ×3 у пересечений, 200 в пролёте</t>
  </si>
  <si>
    <t xml:space="preserve">АС-55 сеч.3-3; АС-57 «Шаг хомутов»; АС-56/57 узел «Д»; АС-58 ведомость</t>
  </si>
  <si>
    <t xml:space="preserve">1.6. СЕТКИ-ГРЕБЁНКИ С-1 в узлах колонна–ригель — отм. +3.950</t>
  </si>
  <si>
    <t xml:space="preserve">Сетки-гребёнки С-1</t>
  </si>
  <si>
    <t xml:space="preserve">узлы колонна–ригель, отм. +3.950 (20 узлов)</t>
  </si>
  <si>
    <t xml:space="preserve">С-1: 7Ø10 (1 гребень + 6 зубьев по 570 мм); 20 узлов × 6 ярусов (шаг 90) × 2 (попарно) = 240 сеток</t>
  </si>
  <si>
    <t xml:space="preserve">АС-30 «Сетка гребенка С-1»; АС-29/30/31 узлы «2»,«5»,«6»,«7»</t>
  </si>
  <si>
    <t xml:space="preserve">1.7. ЛЕСТНИЦА ЛВ-1 и рама Лрм — марш 1 0.000→1.920, марш 2 1.920→4.000, площадка 1.920, Лрм-1</t>
  </si>
  <si>
    <t xml:space="preserve">Лестница ЛВ-1</t>
  </si>
  <si>
    <t xml:space="preserve">оси 3–4 / Г (А-А АС-67)</t>
  </si>
  <si>
    <t xml:space="preserve">ЛВ-1 марш 1</t>
  </si>
  <si>
    <t xml:space="preserve">Рабочие продольные 18Ø18 ш.150 (9 верх + 9 низ), марш 1 (0.000→1.920), 12×160 / 12×300; сквозные через площадку 1.920 до Лрм-1</t>
  </si>
  <si>
    <t xml:space="preserve">АС-68 сеч.а-а «18Ø18 А500С ш.150», узлы «2»–«6»; АС-67 разрез</t>
  </si>
  <si>
    <t xml:space="preserve">L = 0.50 (узел «2» АС-68: заход в ж/б балку перекрытия (принято 0,50 м)) + 4.080 (наклон √(3.6²+1.92²)) + 1.35 (площадка до Лрм-1)</t>
  </si>
  <si>
    <t xml:space="preserve">оси 3–4 / Г</t>
  </si>
  <si>
    <t xml:space="preserve">Поперечные Ø10 А500С ш.50/100/200 (2 ряда), L=1250−2×30</t>
  </si>
  <si>
    <t xml:space="preserve">50/100/200</t>
  </si>
  <si>
    <t xml:space="preserve">АС-68 сеч.а-а поз.2; узлы «2»–«6» «50×4, 100×4, 200×n» от каждого конца марша</t>
  </si>
  <si>
    <t xml:space="preserve">31 шт в ряду × 2 ряда; длина марша по наклону 4.080 м</t>
  </si>
  <si>
    <t xml:space="preserve">П-образный Ø10 А240 L=520 по двум продольным краям марша, ш.50/100/200</t>
  </si>
  <si>
    <t xml:space="preserve">АС-68 сеч.а-а поз.4 «Ø10 А240 ш.50,100,200 L=520»; АС-67 «П-образный Ø10 А240 L=520»</t>
  </si>
  <si>
    <t xml:space="preserve">Шпилька Ø6 А240 L=280 ш.300 в шахматном порядке</t>
  </si>
  <si>
    <t xml:space="preserve">300 шахм.</t>
  </si>
  <si>
    <t xml:space="preserve">АС-68 сеч.а-а поз.3 «Ø6 А240 L=280 шаг 300 в шахм. порядке»</t>
  </si>
  <si>
    <t xml:space="preserve">По площади: 4.080 × 0,90 (между краевыми каркасами) / 0,09 м² = 41 шт</t>
  </si>
  <si>
    <t xml:space="preserve">Сетка С-1 5/5/100/100 (Ø5 Вр-I, яч. 100×100) по ступеням: проволока 20 м на 1 м²</t>
  </si>
  <si>
    <t xml:space="preserve">Вр-I</t>
  </si>
  <si>
    <t xml:space="preserve">100×100</t>
  </si>
  <si>
    <t xml:space="preserve">АС-68 узлы «2»–«6» «Сетка С-1 5/5/100/100»</t>
  </si>
  <si>
    <t xml:space="preserve">Площадь = развёртка ступеней (12×0,16 + 12×0,30 = 5.52 м) × 1,25 = 6.9 м²; масса 20 м/м² × 0,154 = 3,08 кг/м²</t>
  </si>
  <si>
    <t xml:space="preserve">ЛВ-1 марш 2</t>
  </si>
  <si>
    <t xml:space="preserve">Рабочие продольные 18Ø18 ш.150 (9 верх + 9 низ), марш 2 (1.920→4.000), 13×160 / 12×300; сквозные через площадку 1.920 до Лрм-1</t>
  </si>
  <si>
    <t xml:space="preserve">L = 1.00 (узлы «3», «4» АС-68: заход в плиту перекрытия 1000 мм) + 4.158 (наклон √(3.6²+2.08²)) + 1.35 (площадка до Лрм-1)</t>
  </si>
  <si>
    <t xml:space="preserve">32 шт в ряду × 2 ряда; длина марша по наклону 4.158 м</t>
  </si>
  <si>
    <t xml:space="preserve">По площади: 4.158 × 0,90 (между краевыми каркасами) / 0,09 м² = 42 шт</t>
  </si>
  <si>
    <t xml:space="preserve">Площадь = развёртка ступеней (13×0,16 + 12×0,30 = 5.68 м) × 1,25 = 7.1 м²; масса 20 м/м² × 0,154 = 3,08 кг/м²</t>
  </si>
  <si>
    <t xml:space="preserve">ось 3 / Г, отм. 1.920</t>
  </si>
  <si>
    <t xml:space="preserve">ЛВ-1 площадка</t>
  </si>
  <si>
    <t xml:space="preserve">Поперечные Ø10 А500С ш.100 в площадке (2 полосы × 2 ряда), L=1190</t>
  </si>
  <si>
    <t xml:space="preserve">АС-68 сеч.б-б поз.2; узлы «5», «6» «100×n»</t>
  </si>
  <si>
    <t xml:space="preserve">14 шт в ряду на длине 1.35 м</t>
  </si>
  <si>
    <t xml:space="preserve">Л-пл</t>
  </si>
  <si>
    <t xml:space="preserve">П-образный Ø10 А240 L=520 по краям полос площадки</t>
  </si>
  <si>
    <t xml:space="preserve">АС-68 сеч.б-б поз.4</t>
  </si>
  <si>
    <t xml:space="preserve">Связь полос Ø10 А500С ш.100 L=600 (верх и низ) через шов 130 мм</t>
  </si>
  <si>
    <t xml:space="preserve">АС-68 сеч.б-б поз.5 «Ø10 А500С ш.100 L=600»</t>
  </si>
  <si>
    <t xml:space="preserve">Шпилька Ø6 А240 L=280 ш.300 в шахм. порядке</t>
  </si>
  <si>
    <t xml:space="preserve">АС-68 сеч.б-б поз.3</t>
  </si>
  <si>
    <t xml:space="preserve">2 × 1.35 × 0,90 / 0,09 = 28 шт</t>
  </si>
  <si>
    <t xml:space="preserve">Зд-1</t>
  </si>
  <si>
    <t xml:space="preserve">Анкеры закладной Зд-1: 2Ø10 + 2Ø10 А500С L=480 на 1 Зд-1, Зд-1 — 2 шт</t>
  </si>
  <si>
    <t xml:space="preserve">АС-67 узел «1», «Зд-1» поз.2</t>
  </si>
  <si>
    <t xml:space="preserve">Кол-во Зд-1 принято по числу анкеров А-1 (привязка «Анкер А-1» на АС-69).</t>
  </si>
  <si>
    <t xml:space="preserve">ось 3, от оси Г 2855</t>
  </si>
  <si>
    <t xml:space="preserve">Ригель рамы 300×300: 4Ø25 (концы с Аш-6)</t>
  </si>
  <si>
    <t xml:space="preserve">АС-69 «Рама Лрм-1», сеч.2-2 поз.1 «4Ø25 А500С»</t>
  </si>
  <si>
    <t xml:space="preserve">L = 2855 − 40 (защ. слой у стойки) + 250 (заход в ригель/колонну по оси Г до Аш-6)</t>
  </si>
  <si>
    <t xml:space="preserve">Л-рама</t>
  </si>
  <si>
    <t xml:space="preserve">Стойка рамы 300×300: 4Ø25 (низ — 550 ниже -0.050 с Аш-6)</t>
  </si>
  <si>
    <t xml:space="preserve">АС-69 сеч.1-1 поз.1 «4Ø25 А500С»; «550» ниже отм. -0.050</t>
  </si>
  <si>
    <t xml:space="preserve">L = 500 (ниже -0.050, до Аш-6) + 1820 (-0.050…1.770) − 40 (защ. слой)</t>
  </si>
  <si>
    <t xml:space="preserve">ось 3</t>
  </si>
  <si>
    <t xml:space="preserve">1 (хом.)</t>
  </si>
  <si>
    <t xml:space="preserve">Хомут стойки Ø8 А240 L=1280 ш.100 (50 + 100×n + 50 на высоту 1520)</t>
  </si>
  <si>
    <t xml:space="preserve">АС-69 сеч.1-1, «Позиция 1 L=1280»</t>
  </si>
  <si>
    <t xml:space="preserve">2 (хом.)</t>
  </si>
  <si>
    <t xml:space="preserve">Хомут ригеля Ø8 А240 L=1160 ш.100 (50 + 100×n + 50 на пролёте 2225)</t>
  </si>
  <si>
    <t xml:space="preserve">АС-69 сеч.2-2, «Позиция 2 L=1160»</t>
  </si>
  <si>
    <t xml:space="preserve">А-1</t>
  </si>
  <si>
    <t xml:space="preserve">Анкер А-1 Ø16 А240 L=420 (опора площадки на Лрм)</t>
  </si>
  <si>
    <t xml:space="preserve">АС-67 узел «1» и «Вид в-в» «Анкер А-1 Ø16 А240 L=420»; привязка на АС-69</t>
  </si>
  <si>
    <t xml:space="preserve">На АС-69 сеч.2-2 этот стержень подписан «Ø16 А240 L=310» — противоречие, принято 420 по узлу «1».</t>
  </si>
  <si>
    <t xml:space="preserve">2 ЭТАЖ (+3.950…+7.550)</t>
  </si>
  <si>
    <t xml:space="preserve">2.1. ДИАФРАГМЫ Дм-1…Дм-5 — отм. +3.950…+7.550, сечения 2-2 / 3-3 «2 этаж»</t>
  </si>
  <si>
    <t xml:space="preserve">2 этаж (отм. +3.950…+7.550)</t>
  </si>
  <si>
    <t xml:space="preserve">Вертикальные: колонна, угловые 4Ø28</t>
  </si>
  <si>
    <t xml:space="preserve">АС-35 сеч.2-2 «2 этаж»; прим.1,3</t>
  </si>
  <si>
    <t xml:space="preserve">стык ванной сваркой (Ø≥20), длина = высота этажа 3,6 м. поз.2 4Ø28</t>
  </si>
  <si>
    <t xml:space="preserve">Вертикальные: колонна 8Ø20</t>
  </si>
  <si>
    <t xml:space="preserve">стык ванной сваркой (Ø≥20), длина = высота этажа 3,6 м. поз.5 8Ø20</t>
  </si>
  <si>
    <t xml:space="preserve">Вертикальные: полка: 2 торцевых эл-та по 6 (выноски «3Ø25» + 3 симметр.)</t>
  </si>
  <si>
    <t xml:space="preserve">стык ванной сваркой (Ø≥20), длина = высота этажа 3,6 м. выноски «3Ø25» на нижний ряд + верхний ряд симметрично</t>
  </si>
  <si>
    <t xml:space="preserve">Вертикальные: полка, стенка (выноски «2Ø16» + 2 симметр., ×2 стороны)</t>
  </si>
  <si>
    <t xml:space="preserve">нахлёст 8d со сваркой (Ø≤18), учтён в длине. «6 2Ø16» ×2</t>
  </si>
  <si>
    <t xml:space="preserve">Вертикальные: ребро, торцевой эл-т (выноска «3Ø25» + 3 симметр.)</t>
  </si>
  <si>
    <t xml:space="preserve">стык ванной сваркой (Ø≥20), длина = высота этажа 3,6 м. «3 3Ø25»</t>
  </si>
  <si>
    <t xml:space="preserve">Вертикальные: ребро, стенка (выноска «2Ø16» + 2 симметр.)</t>
  </si>
  <si>
    <t xml:space="preserve">нахлёст 8d со сваркой (Ø≤18), учтён в длине. «6 2Ø16»</t>
  </si>
  <si>
    <t xml:space="preserve">Вертикальные: ребро, стенка (выноска «4Ø14» + 4 симметр.)</t>
  </si>
  <si>
    <t xml:space="preserve">нахлёст 8d со сваркой (Ø≤18), учтён в длине. «7 4Ø14»</t>
  </si>
  <si>
    <t xml:space="preserve">АС-35 развертка 2 этажа, шаг 200x14+100 (16 рядов × 2 грани)</t>
  </si>
  <si>
    <t xml:space="preserve">развертка «Осн. стержни Ø14» (2 этаж)</t>
  </si>
  <si>
    <t xml:space="preserve">развертка «Осн. стержни Ø16» (2 этаж)</t>
  </si>
  <si>
    <t xml:space="preserve">Доп. стержни: ось А над +3.950, 10Ø14 L=1950</t>
  </si>
  <si>
    <t xml:space="preserve">АС-35 развертка, выноска «Доп. стержень»</t>
  </si>
  <si>
    <t xml:space="preserve">Доп. стержни: ось А под ригелем +7.550, 14Ø12 L=1950</t>
  </si>
  <si>
    <t xml:space="preserve">Доп. стержни: ось 4 над +3.950, 6Ø14 L=1200</t>
  </si>
  <si>
    <t xml:space="preserve">Доп. стержни: ось 4 под ригелем +7.550, 6Ø14 L=1200</t>
  </si>
  <si>
    <t xml:space="preserve">П-образный стержень на торцах: 3 шт/ряд × 16 рядов</t>
  </si>
  <si>
    <t xml:space="preserve">сечение 2-2; АС-42 ведомость деталей поз.14 L=1330</t>
  </si>
  <si>
    <t xml:space="preserve">Хомут торцевого элемента полки Ø8: 2 шт/ряд × 16</t>
  </si>
  <si>
    <t xml:space="preserve">сечение 2-2 «12 хом.Ø8 ш.200»; АС-42 ведомость деталей поз.12 L=1560</t>
  </si>
  <si>
    <t xml:space="preserve">Хомут торцевого элемента Ø8: 1 шт/ряд × 16</t>
  </si>
  <si>
    <t xml:space="preserve">сечение 2-2 «15 хом.Ø8 ш.200»; АС-42 ведомость деталей поз.15 L=1760</t>
  </si>
  <si>
    <t xml:space="preserve">Хомут колонны наружный (100×12 у опор, 200 в середине) — 28 шт</t>
  </si>
  <si>
    <t xml:space="preserve">АС-32 (2÷4 этаж: 50+100×12+200×n+100×12+50+600); АС-42 ведомость деталей поз.10 L=2440</t>
  </si>
  <si>
    <t xml:space="preserve">Хомут колонны внутренний: 2 шт/ряд × 16</t>
  </si>
  <si>
    <t xml:space="preserve">сечение 2-2 «ш.200»; АС-42 ведомость деталей поз.11 L=1960</t>
  </si>
  <si>
    <t xml:space="preserve">Шпилька ш.400 в шахм. порядке: 9 мест × 8 рядов</t>
  </si>
  <si>
    <t xml:space="preserve">сечение 2-2, прим.6; АС-42 ведомость деталей поз.13 L=530</t>
  </si>
  <si>
    <t xml:space="preserve">АС-37 сеч.3-3 «2 этаж»; прим.1,3</t>
  </si>
  <si>
    <t xml:space="preserve">стык ванной сваркой (Ø≥20), длина = высота этажа 3,6 м. поз.2</t>
  </si>
  <si>
    <t xml:space="preserve">Вертикальные: колонна 8Ø20 (выноски «2Ø20» ×2 + симметр.)</t>
  </si>
  <si>
    <t xml:space="preserve">стык ванной сваркой (Ø≥20), длина = высота этажа 3,6 м. поз.5</t>
  </si>
  <si>
    <t xml:space="preserve">Вертикальные: полка, стенка (выноска «2Ø20» + 2 симметр.)</t>
  </si>
  <si>
    <t xml:space="preserve">стык ванной сваркой (Ø≥20), длина = высота этажа 3,6 м. «5 2Ø20»</t>
  </si>
  <si>
    <t xml:space="preserve">Вертикальные: полка, торцевой эл-т (выноска «3Ø25» + 3 симметр.)</t>
  </si>
  <si>
    <t xml:space="preserve">Вертикальные: ребро, стенка (выноски «2Ø18» и «4Ø18» + симметр.)</t>
  </si>
  <si>
    <t xml:space="preserve">нахлёст 8d со сваркой (Ø≤18), учтён в длине. «6 2Ø18» + «6 4Ø18»</t>
  </si>
  <si>
    <t xml:space="preserve">АС-37 развертка 2 этажа, шаг 200x14+100 (16 рядов × 2 грани)</t>
  </si>
  <si>
    <t xml:space="preserve">Доп. стержни: ось А над +3.950, 10Ø12 L=1250</t>
  </si>
  <si>
    <t xml:space="preserve">АС-37 развертка, выноска «Доп. стержень»</t>
  </si>
  <si>
    <t xml:space="preserve">Доп. стержни: ось 2 над +3.950, 6Ø14 L=1200</t>
  </si>
  <si>
    <t xml:space="preserve">Доп. стержни: ось 2 под ригелем +7.550, 6Ø12 L=1200</t>
  </si>
  <si>
    <t xml:space="preserve">П-образный стержень на торцах: 2 шт/ряд × 16 рядов</t>
  </si>
  <si>
    <t xml:space="preserve">сечение 3-3; АС-42 ведомость деталей поз.14 L=1330</t>
  </si>
  <si>
    <t xml:space="preserve">Хомут торцевого элемента полки Ø8: 1 шт/ряд × 16</t>
  </si>
  <si>
    <t xml:space="preserve">сечение 3-3 «12 хом.Ø8 ш.200»; АС-42 ведомость деталей поз.12 L=1560</t>
  </si>
  <si>
    <t xml:space="preserve">сечение 3-3 «15 хом.Ø8 ш.200»; АС-42 ведомость деталей поз.15 L=1760</t>
  </si>
  <si>
    <t xml:space="preserve">сечение 3-3 «ш.200»; АС-42 ведомость деталей поз.11 L=1960</t>
  </si>
  <si>
    <t xml:space="preserve">Шпилька ш.400 в шахм. порядке: 5 мест × 8 рядов</t>
  </si>
  <si>
    <t xml:space="preserve">сечение 3-3, прим.6; АС-42 ведомость деталей поз.13 L=530</t>
  </si>
  <si>
    <t xml:space="preserve">АС-39 сеч.2-2 «2 этаж»; прим.1,3</t>
  </si>
  <si>
    <t xml:space="preserve">Вертикальные: полка: 2 торцевых эл-та по 6 («3Ø25» + 3 симметр.)</t>
  </si>
  <si>
    <t xml:space="preserve">стык ванной сваркой (Ø≥20), длина = высота этажа 3,6 м. «3 3Ø25» ×2</t>
  </si>
  <si>
    <t xml:space="preserve">Вертикальные: полка, стенка («2Ø18» + 2 симметр., ×2 стороны)</t>
  </si>
  <si>
    <t xml:space="preserve">нахлёст 8d со сваркой (Ø≤18), учтён в длине. «6 2Ø18» ×2</t>
  </si>
  <si>
    <t xml:space="preserve">Вертикальные: ребро, стенка («3Ø18» + 3 симметр.)</t>
  </si>
  <si>
    <t xml:space="preserve">нахлёст 8d со сваркой (Ø≤18), учтён в длине. «6 3Ø18»</t>
  </si>
  <si>
    <t xml:space="preserve">Вертикальные: ребро, торцевой эл-т («3Ø25» + 3 симметр.)</t>
  </si>
  <si>
    <t xml:space="preserve">АС-39 развертка 2 этажа, шаг 200x14+100 (16 рядов × 2 грани)</t>
  </si>
  <si>
    <t xml:space="preserve">Доп. стержни: ось Г над +3.950, 8Ø16 L=1950</t>
  </si>
  <si>
    <t xml:space="preserve">АС-39 развертка, выноска «Доп. стержень»</t>
  </si>
  <si>
    <t xml:space="preserve">Доп. стержни: ось Г под ригелем +7.550, 6Ø10 L=1950</t>
  </si>
  <si>
    <t xml:space="preserve">Доп. стержни: ось 2 над +3.950, 10Ø16 L=1450</t>
  </si>
  <si>
    <t xml:space="preserve">Доп. стержни: ось 2 под ригелем +7.550, 6Ø10 L=1450</t>
  </si>
  <si>
    <t xml:space="preserve">Шпилька ш.400 в шахм. порядке: 8 мест × 8 рядов</t>
  </si>
  <si>
    <t xml:space="preserve">АС-40 сеч.2-2 «2 этаж»; прим.1,3</t>
  </si>
  <si>
    <t xml:space="preserve">Вертикальные: колонна 8Ø20 («2Ø20» ×2 + симметр.)</t>
  </si>
  <si>
    <t xml:space="preserve">Вертикальные: стенка («3Ø16» + 3 симметр.)</t>
  </si>
  <si>
    <t xml:space="preserve">нахлёст 8d со сваркой (Ø≤18), учтён в длине. «7 3Ø16»</t>
  </si>
  <si>
    <t xml:space="preserve">Вертикальные: торцевой эл-т («3Ø25» + 3 симметр.)</t>
  </si>
  <si>
    <t xml:space="preserve">АС-40 развертка 2 этажа, шаг 200x14+100 (16 рядов × 2 грани)</t>
  </si>
  <si>
    <t xml:space="preserve">Доп. стержни: над +3.950, 6Ø14 L=1450</t>
  </si>
  <si>
    <t xml:space="preserve">Доп. стержни: под ригелем +7.550, 6Ø14 L=1450</t>
  </si>
  <si>
    <t xml:space="preserve">П-образный стержень на торцах: 1 шт/ряд × 16 рядов</t>
  </si>
  <si>
    <t xml:space="preserve">Шпилька ш.400 в шахм. порядке: 3 мест × 8 рядов</t>
  </si>
  <si>
    <t xml:space="preserve">АС-42 сеч.2-2 «2 этаж»; прим.1,3</t>
  </si>
  <si>
    <t xml:space="preserve">Вертикальные: полка, торцевой эл-т («3Ø25» + 3 симметр.)</t>
  </si>
  <si>
    <t xml:space="preserve">Вертикальные: полка, стенка («2Ø16» + 2 симметр.)</t>
  </si>
  <si>
    <t xml:space="preserve">нахлёст 8d со сваркой (Ø≤18), учтён в длине. «7 2Ø16»</t>
  </si>
  <si>
    <t xml:space="preserve">Вертикальные: ребро, торцевой эл-т («3Ø22» + 3 симметр.)</t>
  </si>
  <si>
    <t xml:space="preserve">стык ванной сваркой (Ø≥20), длина = высота этажа 3,6 м. «4 3Ø22»</t>
  </si>
  <si>
    <t xml:space="preserve">АС-42 развертка 2 этажа, шаг 200x14+100 (16 рядов × 2 грани)</t>
  </si>
  <si>
    <t xml:space="preserve">развертка «Осн. стержни Ø12» (2 этаж)</t>
  </si>
  <si>
    <t xml:space="preserve">Доп. стержни: ось Г над +3.950, 10Ø12 L=1250</t>
  </si>
  <si>
    <t xml:space="preserve">АС-42 развертка, выноска «Доп. стержень»</t>
  </si>
  <si>
    <t xml:space="preserve">Доп. стержни: ось Г под ригелем +7.550, 6Ø12 L=1250 (половина выноски «12Ø12» на два яруса)</t>
  </si>
  <si>
    <t xml:space="preserve">Доп. стержни: ось 4 над +3.950, 6Ø14 L=1450</t>
  </si>
  <si>
    <t xml:space="preserve">Доп. стержни: ось 4 под ригелем +7.550, 6Ø14 L=1450</t>
  </si>
  <si>
    <t xml:space="preserve">2.2. КОЛОННЫ 600×600 вне диафрагм (15 шт) — сеч.2-2 (4Ø28+8Ø20), H=3,6 м</t>
  </si>
  <si>
    <t xml:space="preserve">Вертикальные: угловые 4Ø28 (сеч.2-2)</t>
  </si>
  <si>
    <t xml:space="preserve">АС-28 сеч.«1-1 (2-2)» поз.(2) 4Ø28; на рамах АС-20…23 выноска «2-2 4Ø28 / 8Ø20» во 2 этаже</t>
  </si>
  <si>
    <t xml:space="preserve">Длина = высота этажа 3,6 м (стык ванной сваркой, разбежка 800/500).</t>
  </si>
  <si>
    <t xml:space="preserve">Вертикальные: промежуточные 8Ø20 (сеч.2-2)</t>
  </si>
  <si>
    <t xml:space="preserve">АС-28 сеч.2-2 поз.5</t>
  </si>
  <si>
    <t xml:space="preserve">Длина = 3,6 м, стык ванной сваркой.</t>
  </si>
  <si>
    <t xml:space="preserve">Хомут наружный Ø8 L=2440: 13 + 2 + 13 = 28 шт</t>
  </si>
  <si>
    <t xml:space="preserve">АС-32 схема хомутов колонн (2÷4 этаж 3600: 50+100×12+200×n+100×12+50+600); АС-28 поз.10 L=2440</t>
  </si>
  <si>
    <t xml:space="preserve">Хомут внутренний Ø8 L=1960 ш.200: 2 шт × 16 рядов</t>
  </si>
  <si>
    <t xml:space="preserve">АС-28 «11 хом.Ø8 ш.200», поз.11 L=1960</t>
  </si>
  <si>
    <t xml:space="preserve">2.3. РИГЕЛИ РАМ (450×600, сеч.4-4/5-5), 9 рам — отм. +7.550</t>
  </si>
  <si>
    <t xml:space="preserve">ось А (отм. +7.550)</t>
  </si>
  <si>
    <t xml:space="preserve">АС-20 рама + АС-28 сеч.4-4/5-5 поз.2; длина = 25000+2×250</t>
  </si>
  <si>
    <t xml:space="preserve">АС-20 (отм. 7.550): выноска «ОС 2Ø28 А500С»; длина по привязкам отдельных стержней</t>
  </si>
  <si>
    <t xml:space="preserve">Координаты от оси 1: 0…1800 мм; конец до торца крайней колонны (+250)</t>
  </si>
  <si>
    <t xml:space="preserve">АС-20 (отм. 7.550): выноска «ОС 2Ø25 А500С»; длина по привязкам отдельных стержней</t>
  </si>
  <si>
    <t xml:space="preserve">АС-20 (отм. 7.550): выноска «ОС 2Ø22 А500С»; длина по привязкам отдельных стержней</t>
  </si>
  <si>
    <t xml:space="preserve">АС-20 (отм. 7.550): выноска «ОС 2Ø32 А500С»; длина по привязкам отдельных стержней</t>
  </si>
  <si>
    <t xml:space="preserve">Координаты от оси 1: 17400…25000 мм; конец до торца крайней колонны (+250)</t>
  </si>
  <si>
    <t xml:space="preserve">АС-20 (отм. 7.550): выноска «ОС 2Ø16 А500С»; длина по привязкам отдельных стержней</t>
  </si>
  <si>
    <t xml:space="preserve">Координаты от оси 1: 0…9200 мм; конец до торца крайней колонны (+250)</t>
  </si>
  <si>
    <t xml:space="preserve">ОС низ: 2Ø20, участок 11800…15100 мм</t>
  </si>
  <si>
    <t xml:space="preserve">АС-20 (отм. 7.550): выноска «ОС 2Ø20 А500С»; длина по привязкам отдельных стержней</t>
  </si>
  <si>
    <t xml:space="preserve">ОС низ: 2Ø32, участок 17400…25000 мм + 250 до торца</t>
  </si>
  <si>
    <t xml:space="preserve">ОС низ 2-й ряд: 1Ø18, участок 17400…22200 мм</t>
  </si>
  <si>
    <t xml:space="preserve">АС-20 (отм. 7.550): выноска «ОС 1Ø18 А500С»; длина по привязкам отдельных стержней</t>
  </si>
  <si>
    <t xml:space="preserve">Координаты от оси 1: 17400…22200 мм</t>
  </si>
  <si>
    <t xml:space="preserve">Хомут Ø8 L=2060 ш.100 у опор, ш.150 в пролёте, 80×4 у балок — вне заштрихованных участков</t>
  </si>
  <si>
    <t xml:space="preserve">АС-28 поз.12; АС-29 «Расстановка хомутов в ригелях»</t>
  </si>
  <si>
    <t xml:space="preserve">Пролёты в свету [(300, 6200), (7500, 13200), (13800, 19000), (21000, 24700)]</t>
  </si>
  <si>
    <t xml:space="preserve">Хомут наружный Ø10 L=2060 ш.100 — заштрихованные участки</t>
  </si>
  <si>
    <t xml:space="preserve">АС-20 штриховка у отм. 7.550; АС-28 Фрагмент №1, поз.13</t>
  </si>
  <si>
    <t xml:space="preserve">Участки (мм): одинарные [(7500, 8700), (12100, 14900), (17600, 19000)], двойные [(21000, 22200)]</t>
  </si>
  <si>
    <t xml:space="preserve">Шпилька вертикальная Ø8 L=750: ш.200 у опор, ш.150 в пролёте</t>
  </si>
  <si>
    <t xml:space="preserve">Шпилька горизонтальная Ø8 L=580 ш.300</t>
  </si>
  <si>
    <t xml:space="preserve">АС-28 «шп.Ø8 А240 ш.300», поз.16 L=580</t>
  </si>
  <si>
    <t xml:space="preserve">ось Б (отм. +7.550)</t>
  </si>
  <si>
    <t xml:space="preserve">АС-21 рама + АС-28 сеч.4-4/5-5 поз.2; длина = 25000+2×250</t>
  </si>
  <si>
    <t xml:space="preserve">АС-21 (отм. 7.550): выноска «ОС 2Ø28 А500С»; длина по привязкам отдельных стержней</t>
  </si>
  <si>
    <t xml:space="preserve">ОС верх: 2Ø28, участок 4700…8400 мм</t>
  </si>
  <si>
    <t xml:space="preserve">ОС верх ств.: 2Ø22, участок 4700…8400 мм</t>
  </si>
  <si>
    <t xml:space="preserve">АС-21 (отм. 7.550): выноска «ОС 2Ø22 А500С»; длина по привязкам отдельных стержней</t>
  </si>
  <si>
    <t xml:space="preserve">ОС верх: 2Ø28, участок 23200…25000 мм + 250 до торца</t>
  </si>
  <si>
    <t xml:space="preserve">Координаты от оси 1: 23200…25000 мм; конец до торца крайней колонны (+250)</t>
  </si>
  <si>
    <t xml:space="preserve">АС-21 (отм. 7.550): выноска «ОС 2Ø16 А500С»; длина по привязкам отдельных стержней</t>
  </si>
  <si>
    <t xml:space="preserve">ОС низ: 2Ø16, участок 15300…21800 мм</t>
  </si>
  <si>
    <t xml:space="preserve">Координаты от оси 1: 15300…21800 мм</t>
  </si>
  <si>
    <t xml:space="preserve">ОС низ: 2Ø16, участок 23200…25000 мм + 250 до торца</t>
  </si>
  <si>
    <t xml:space="preserve">АС-21 (отм. 7.550): выноска «ОС 2Ø14 А500С»; длина по привязкам отдельных стержней</t>
  </si>
  <si>
    <t xml:space="preserve">АС-21 (отм. 7.550): выноска «Ос (бок) 4Ø12 А500С»; длина по привязкам отдельных стержней</t>
  </si>
  <si>
    <t xml:space="preserve">Пролёты в свету [(300, 6200), (6800, 13200), (13800, 19700), (20300, 24700)]</t>
  </si>
  <si>
    <t xml:space="preserve">АС-21 штриховка у отм. 7.550; АС-28 Фрагмент №1, поз.13</t>
  </si>
  <si>
    <t xml:space="preserve">Участки (мм): одинарные [(0, 1500), (7700, 12300), (13500, 14700), (16800, 18800)], двойные [(6500, 7700), (12300, 13500), (18800, 20000)]</t>
  </si>
  <si>
    <t xml:space="preserve">ось В (отм. +7.550)</t>
  </si>
  <si>
    <t xml:space="preserve">АС-22 рама + АС-28 сеч.4-4/5-5 поз.2; длина = 25000+2×250</t>
  </si>
  <si>
    <t xml:space="preserve">АС-22 (отм. 7.550): выноска «ОС 2Ø28 А500С»; длина по привязкам отдельных стержней</t>
  </si>
  <si>
    <t xml:space="preserve">ОС верх 2-й ряд: 2Ø22, участок 7900…12100 мм</t>
  </si>
  <si>
    <t xml:space="preserve">АС-22 (отм. 7.550): выноска «ОС 2Ø22 А500С»; длина по привязкам отдельных стержней</t>
  </si>
  <si>
    <t xml:space="preserve">АС-22 (отм. 7.550): выноска «ОС 2Ø32 А500С»; длина по привязкам отдельных стержней</t>
  </si>
  <si>
    <t xml:space="preserve">ОС верх: 2Ø32, участок 18200…21800 мм</t>
  </si>
  <si>
    <t xml:space="preserve">АС-22 (отм. 7.550): выноска «ОС 2Ø25 А500С»; длина по привязкам отдельных стержней</t>
  </si>
  <si>
    <t xml:space="preserve">АС-22 (отм. 7.550): выноска «ОС 2Ø14 А500С»; длина по привязкам отдельных стержней</t>
  </si>
  <si>
    <t xml:space="preserve">АС-22 (отм. 7.550): выноска «ОС 2Ø16 А500С»; длина по привязкам отдельных стержней</t>
  </si>
  <si>
    <t xml:space="preserve">АС-22 (отм. 7.550): выноска «Ос (бок) 4Ø12 А500С»; длина по привязкам отдельных стержней</t>
  </si>
  <si>
    <t xml:space="preserve">АС-22 штриховка у отм. 7.550; АС-28 Фрагмент №1, поз.13</t>
  </si>
  <si>
    <t xml:space="preserve">ось Г (отм. +7.550)</t>
  </si>
  <si>
    <t xml:space="preserve">АС-23 рама + АС-28 сеч.4-4/5-5 поз.2; длина = 25000+2×250</t>
  </si>
  <si>
    <t xml:space="preserve">ОС верх: 2Ø25, участок 0…1600 мм + 250 до торца</t>
  </si>
  <si>
    <t xml:space="preserve">АС-23 (отм. 7.550): выноска «ОС 2Ø25 А500С»; длина по привязкам отдельных стержней</t>
  </si>
  <si>
    <t xml:space="preserve">Координаты от оси 1: 0…1600 мм; конец до торца крайней колонны (+250)</t>
  </si>
  <si>
    <t xml:space="preserve">АС-23 (отм. 7.550): выноска «ОС 2Ø28 А500С»; длина по привязкам отдельных стержней</t>
  </si>
  <si>
    <t xml:space="preserve">ОС верх ств.: 2Ø25, участок 3900…9400 мм</t>
  </si>
  <si>
    <t xml:space="preserve">ОС верх ств.: 2Ø25, участок 11300…16000 мм</t>
  </si>
  <si>
    <t xml:space="preserve">ОС верх: 2Ø25, участок 17500…21800 мм</t>
  </si>
  <si>
    <t xml:space="preserve">ОС верх ств.: 2Ø22, участок 17500…21800 мм</t>
  </si>
  <si>
    <t xml:space="preserve">АС-23 (отм. 7.550): выноска «ОС 2Ø22 А500С»; длина по привязкам отдельных стержней</t>
  </si>
  <si>
    <t xml:space="preserve">АС-23 (отм. 7.550): выноска «ОС 2Ø16 А500С»; длина по привязкам отдельных стержней</t>
  </si>
  <si>
    <t xml:space="preserve">ОС низ: 2Ø25, участок 3900…9400 мм</t>
  </si>
  <si>
    <t xml:space="preserve">ОС низ ств.: 1Ø20, участок 11300…16000 мм</t>
  </si>
  <si>
    <t xml:space="preserve">АС-23 (отм. 7.550): выноска «ОС 1Ø20 А500С»; длина по привязкам отдельных стержней</t>
  </si>
  <si>
    <t xml:space="preserve">Ос (бок) бок: 2Ø12, участок 3900…9400 мм</t>
  </si>
  <si>
    <t xml:space="preserve">АС-23 (отм. 7.550): выноска «Ос (бок) 2Ø12 А500С»; длина по привязкам отдельных стержней</t>
  </si>
  <si>
    <t xml:space="preserve">Пролёты в свету [(300, 5500), (7500, 13200), (14500, 19000), (20300, 24700)]</t>
  </si>
  <si>
    <t xml:space="preserve">АС-23 штриховка у отм. 7.550; АС-28 Фрагмент №1, поз.13</t>
  </si>
  <si>
    <t xml:space="preserve">Участки (мм): одинарные [(4000, 5500), (7500, 9000), (12000, 13500), (17500, 19000)], двойные []</t>
  </si>
  <si>
    <t xml:space="preserve">оси 1, 5 (отм. +7.550)</t>
  </si>
  <si>
    <t xml:space="preserve">АС-24 рама + АС-28 сеч.4-4/5-5 поз.2; длина = 20000+2×250</t>
  </si>
  <si>
    <t xml:space="preserve">АС-24 (отм. 7.550): выноска «ОС 2Ø25 А500С»; длина по привязкам отдельных стержней</t>
  </si>
  <si>
    <t xml:space="preserve">Координаты от оси А: 0…1800 мм; конец до торца крайней колонны (+250)</t>
  </si>
  <si>
    <t xml:space="preserve">АС-24 (отм. 7.550): выноска «ОС 2Ø28 А500С»; длина по привязкам отдельных стержней</t>
  </si>
  <si>
    <t xml:space="preserve">АС-24 (отм. 7.550): выноска «ОС 2Ø32 А500С»; длина по привязкам отдельных стержней</t>
  </si>
  <si>
    <t xml:space="preserve">Координаты от оси А: 18200…20000 мм; конец до торца крайней колонны (+250)</t>
  </si>
  <si>
    <t xml:space="preserve">АС-24 (отм. 7.550): выноска «ОС 2Ø16 А500С»; длина по привязкам отдельных стержней</t>
  </si>
  <si>
    <t xml:space="preserve">АС-24 (отм. 7.550): выноска «Ос (бок) 4Ø12 А500С»; длина по привязкам отдельных стержней</t>
  </si>
  <si>
    <t xml:space="preserve">Пролёты в свету [(300, 6200), (6800, 13200), (13800, 19700)]</t>
  </si>
  <si>
    <t xml:space="preserve">АС-24 штриховка у отм. 7.550; АС-28 Фрагмент №1, поз.13</t>
  </si>
  <si>
    <t xml:space="preserve">Участки (мм): одинарные [(300, 1700), (5100, 7900), (12100, 13500)], двойные []</t>
  </si>
  <si>
    <t xml:space="preserve">ось 2 (отм. +7.550)</t>
  </si>
  <si>
    <t xml:space="preserve">АС-25 рама + АС-28 сеч.4-4/5-5 поз.2; длина = 20000+2×250</t>
  </si>
  <si>
    <t xml:space="preserve">АС-25 (отм. 7.550): выноска «ОС 2Ø32 А500С»; длина по привязкам отдельных стержней</t>
  </si>
  <si>
    <t xml:space="preserve">Координаты от оси А: 17400…20000 мм; конец до торца крайней колонны (+250)</t>
  </si>
  <si>
    <t xml:space="preserve">ОС верх 2-й ряд: 1Ø22, участок 1000…3400 мм</t>
  </si>
  <si>
    <t xml:space="preserve">АС-25 (отм. 7.550): выноска «ОС 1Ø22 А500С»; длина по привязкам отдельных стержней</t>
  </si>
  <si>
    <t xml:space="preserve">АС-25 (отм. 7.550): выноска «ОС 2Ø14 А500С»; длина по привязкам отдельных стержней</t>
  </si>
  <si>
    <t xml:space="preserve">ОС низ: 2Ø28, участок 1000…11500 мм</t>
  </si>
  <si>
    <t xml:space="preserve">АС-25 (отм. 7.550): выноска «ОС 2Ø28 А500С»; длина по привязкам отдельных стержней</t>
  </si>
  <si>
    <t xml:space="preserve">ОС низ: 2Ø20, участок 12800…15100 мм</t>
  </si>
  <si>
    <t xml:space="preserve">АС-25 (отм. 7.550): выноска «ОС 2Ø20 А500С»; длина по привязкам отдельных стержней</t>
  </si>
  <si>
    <t xml:space="preserve">Координаты от оси А: 12800…15100 мм</t>
  </si>
  <si>
    <t xml:space="preserve">ОС низ 2-й ряд: 2Ø14, участок 11500…14200 мм</t>
  </si>
  <si>
    <t xml:space="preserve">Координаты от оси А: 11500…14200 мм</t>
  </si>
  <si>
    <t xml:space="preserve">АС-25 (отм. 7.550): выноска «Ос (бок) 2Ø14 А500С»; длина по привязкам отдельных стержней</t>
  </si>
  <si>
    <t xml:space="preserve">Ос (бок) бок: 4Ø14, участок 5100…14200 мм</t>
  </si>
  <si>
    <t xml:space="preserve">АС-25 (отм. 7.550): выноска «Ос (бок) 4Ø14 А500С»; длина по привязкам отдельных стержней</t>
  </si>
  <si>
    <t xml:space="preserve">Пролёты в свету [(2000, 6200), (6800, 13200), (13800, 19000)]</t>
  </si>
  <si>
    <t xml:space="preserve">АС-25 штриховка у отм. 7.550; АС-28 Фрагмент №1, поз.13</t>
  </si>
  <si>
    <t xml:space="preserve">ось 3 (отм. +7.550)</t>
  </si>
  <si>
    <t xml:space="preserve">АС-26 рама + АС-28 сеч.4-4/5-5 поз.2; длина = 20000+2×250</t>
  </si>
  <si>
    <t xml:space="preserve">АС-26 (отм. 7.550): выноска «ОС 2Ø28 А500С»; длина по привязкам отдельных стержней</t>
  </si>
  <si>
    <t xml:space="preserve">АС-26 (отм. 7.550): выноска «ОС 2Ø25 А500С»; длина по привязкам отдельных стержней</t>
  </si>
  <si>
    <t xml:space="preserve">ОС верх: 2Ø28, участок 11500…15300 мм</t>
  </si>
  <si>
    <t xml:space="preserve">АС-26 (отм. 7.550): выноска «ОС 2Ø32 А500С»; длина по привязкам отдельных стержней</t>
  </si>
  <si>
    <t xml:space="preserve">АС-26 (отм. 7.550): выноска «ОС 2Ø16 А500С»; длина по привязкам отдельных стержней</t>
  </si>
  <si>
    <t xml:space="preserve">ОС низ: 2Ø18, участок 15300…20000 мм + 250 до торца</t>
  </si>
  <si>
    <t xml:space="preserve">АС-26 (отм. 7.550): выноска «ОС 2Ø18 А500С»; длина по привязкам отдельных стержней</t>
  </si>
  <si>
    <t xml:space="preserve">Координаты от оси А: 15300…20000 мм; конец до торца крайней колонны (+250)</t>
  </si>
  <si>
    <t xml:space="preserve">АС-26 (отм. 7.550): выноска «Ос (бок) 4Ø12 А500С»; длина по привязкам отдельных стержней</t>
  </si>
  <si>
    <t xml:space="preserve">АС-26 штриховка у отм. 7.550; АС-28 Фрагмент №1, поз.13</t>
  </si>
  <si>
    <t xml:space="preserve">Участки (мм): одинарные [(0, 1500), (5000, 6500), (8500, 9400), (10400, 11400), (13500, 15000)], двойные [(6500, 8500), (11400, 13500), (18200, 20000)]</t>
  </si>
  <si>
    <t xml:space="preserve">ось 4 (отм. +7.550)</t>
  </si>
  <si>
    <t xml:space="preserve">АС-27 рама + АС-28 сеч.4-4/5-5 поз.2; длина = 20000+2×250</t>
  </si>
  <si>
    <t xml:space="preserve">ОС верх: 2Ø25, участок 1000…3400 мм</t>
  </si>
  <si>
    <t xml:space="preserve">АС-27 (отм. 7.550): выноска «ОС 2Ø25 А500С»; длина по привязкам отдельных стержней</t>
  </si>
  <si>
    <t xml:space="preserve">ОС верх ств.: 2Ø25, участок 1000…3400 мм</t>
  </si>
  <si>
    <t xml:space="preserve">АС-27 (отм. 7.550): выноска «ОС 2Ø32 А500С»; длина по привязкам отдельных стержней</t>
  </si>
  <si>
    <t xml:space="preserve">ОС низ: 2Ø28, участок 1000…7200 мм</t>
  </si>
  <si>
    <t xml:space="preserve">АС-27 (отм. 7.550): выноска «ОС 2Ø28 А500С»; длина по привязкам отдельных стержней</t>
  </si>
  <si>
    <t xml:space="preserve">АС-27 (отм. 7.550): выноска «ОС 2Ø20 А500С»; длина по привязкам отдельных стержней</t>
  </si>
  <si>
    <t xml:space="preserve">ОС низ: 2Ø16, участок 11500…15100 мм</t>
  </si>
  <si>
    <t xml:space="preserve">АС-27 (отм. 7.550): выноска «ОС 2Ø16 А500С»; длина по привязкам отдельных стержней</t>
  </si>
  <si>
    <t xml:space="preserve">ОС низ 2-й ряд: 2Ø14, участок 5100…8500 мм</t>
  </si>
  <si>
    <t xml:space="preserve">АС-27 (отм. 7.550): выноска «ОС 2Ø14 А500С»; длина по привязкам отдельных стержней</t>
  </si>
  <si>
    <t xml:space="preserve">АС-27 (отм. 7.550): выноска «Ос (бок) 4Ø12 А500С»; длина по привязкам отдельных стержней</t>
  </si>
  <si>
    <t xml:space="preserve">АС-27 штриховка у отм. 7.550; АС-28 Фрагмент №1, поз.13</t>
  </si>
  <si>
    <t xml:space="preserve">Участки (мм): одинарные [(8400, 9400), (10400, 11400), (16400, 17400)], двойные [(2000, 3200), (6500, 8400), (11400, 13500), (17400, 19000)]</t>
  </si>
  <si>
    <t xml:space="preserve">2.4. ПЛИТА ПЕРЕКРЫТИЯ: сетки, доп. зоны, край, фиксаторы — отм. +7.550 (АС-48)</t>
  </si>
  <si>
    <t xml:space="preserve">ПМ-7.550</t>
  </si>
  <si>
    <t xml:space="preserve">АС-50/АС-51 «Осн. сетка Ø10 А500С ш.200×200»; контур — АС-48 (край 420, проём лестницы 13725…18200)</t>
  </si>
  <si>
    <t xml:space="preserve">Нахлёсты стыков к поз. «Нижняя осн. сетка, направление X (вдоль осей 1–5)» (L=27.320 м &gt; 11,7 м): 3 куска, 2 стык(а) на стержень × 26 стерж.</t>
  </si>
  <si>
    <t xml:space="preserve">Чистая длина 27.320 м; кусков 3; стыков 2; Lнахл=2×0.400=0.8 м на стержень</t>
  </si>
  <si>
    <t xml:space="preserve">Нахлёсты стыков к поз. «Нижняя осн. сетка, направление X (вдоль осей 1–5)» (L=25.600 м &gt; 11,7 м): 3 куска, 2 стык(а) на стержень × 49 стерж.</t>
  </si>
  <si>
    <t xml:space="preserve">Чистая длина 25.600 м; кусков 3; стыков 2; Lнахл=2×0.400=0.8 м на стержень</t>
  </si>
  <si>
    <t xml:space="preserve">Нахлёсты стыков к поз. «Нижняя осн. сетка, направление Y (вдоль осей А–Г)» (L=22.320 м &gt; 11,7 м): 2 куска, 1 стык(а) на стержень × 40 стерж.</t>
  </si>
  <si>
    <t xml:space="preserve">Чистая длина 22.320 м; кусков 2; стыков 1; Lнахл=1×0.400=0.4 м на стержень</t>
  </si>
  <si>
    <t xml:space="preserve">Нахлёсты стыков к поз. «Нижняя осн. сетка, направление Y (вдоль осей А–Г)» (L=20.600 м &gt; 11,7 м): 2 куска, 1 стык(а) на стержень × 41 стерж.</t>
  </si>
  <si>
    <t xml:space="preserve">Чистая длина 20.600 м; кусков 2; стыков 1; Lнахл=1×0.400=0.4 м на стержень</t>
  </si>
  <si>
    <t xml:space="preserve">Нахлёсты стыков к поз. «Нижняя осн. сетка, направление Y (вдоль осей А–Г)» (L=17.280 м &gt; 11,7 м): 2 куска, 1 стык(а) на стержень × 3 стерж.</t>
  </si>
  <si>
    <t xml:space="preserve">Нахлёсты стыков к поз. «Верхняя осн. сетка, направление X (вдоль осей 1–5)» (L=27.320 м &gt; 11,7 м): 3 куска, 2 стык(а) на стержень × 26 стерж.</t>
  </si>
  <si>
    <t xml:space="preserve">Нахлёсты стыков к поз. «Верхняя осн. сетка, направление X (вдоль осей 1–5)» (L=25.600 м &gt; 11,7 м): 3 куска, 2 стык(а) на стержень × 49 стерж.</t>
  </si>
  <si>
    <t xml:space="preserve">Нахлёсты стыков к поз. «Верхняя осн. сетка, направление Y (вдоль осей А–Г)» (L=22.320 м &gt; 11,7 м): 2 куска, 1 стык(а) на стержень × 40 стерж.</t>
  </si>
  <si>
    <t xml:space="preserve">Нахлёсты стыков к поз. «Верхняя осн. сетка, направление Y (вдоль осей А–Г)» (L=20.600 м &gt; 11,7 м): 2 куска, 1 стык(а) на стержень × 41 стерж.</t>
  </si>
  <si>
    <t xml:space="preserve">Нахлёсты стыков к поз. «Верхняя осн. сетка, направление Y (вдоль осей А–Г)» (L=17.280 м &gt; 11,7 м): 2 куска, 1 стык(а) на стержень × 3 стерж.</t>
  </si>
  <si>
    <t xml:space="preserve">АС-50 «Нижняя сетка 3.950÷14.750» (одна для всех этажей)</t>
  </si>
  <si>
    <t xml:space="preserve">АС-51 «Верхняя сетка 3.950÷14.750» (одна для всех этажей)</t>
  </si>
  <si>
    <t xml:space="preserve">Доп. стержни в верхней зоне над ригелем 2Ø20 L=3000 (4 места)</t>
  </si>
  <si>
    <t xml:space="preserve">АС-48 выноски «Доп. стер. в верх. зоне 2Ø20 L=3000» (на 3.950 было 1Ø20)</t>
  </si>
  <si>
    <t xml:space="preserve">Б–В / оси 3–4</t>
  </si>
  <si>
    <t xml:space="preserve">Доп. стержень в верхней зоне 1Ø18 L=3000</t>
  </si>
  <si>
    <t xml:space="preserve">АС-48 выноска «1Ø18 L=3000»</t>
  </si>
  <si>
    <t xml:space="preserve">у лифтовой шахты</t>
  </si>
  <si>
    <t xml:space="preserve">Доп. стержень в верхней зоне 1Ø18 L=1700</t>
  </si>
  <si>
    <t xml:space="preserve">АС-48 выноска «1Ø18 L=1700»</t>
  </si>
  <si>
    <t xml:space="preserve">АС-55 сеч.6-6 поз.8; край 420 по АС-48</t>
  </si>
  <si>
    <t xml:space="preserve">Нахлёсты стыков к поз. «Торцевой стержень края плиты (сеч.6-6) 2Ø14, по оси Г» (L=25.795 м &gt; 11,7 м): 3 куска, 2 стык(а) на стержень × 2 стерж.</t>
  </si>
  <si>
    <t xml:space="preserve">Чистая длина 25.795 м; кусков 3; стыков 2; Lнахл=2×0.560=1.12 м на стержень</t>
  </si>
  <si>
    <t xml:space="preserve">Нахлёсты стыков к поз. «Торцевой стержень края плиты (сеч.6-6) 2Ø14, по оси 5» (L=20.495 м &gt; 11,7 м): 2 куска, 1 стык(а) на стержень × 2 стерж.</t>
  </si>
  <si>
    <t xml:space="preserve">Чистая длина 20.495 м; кусков 2; стыков 1; Lнахл=1×0.560=0.56 м на стержень</t>
  </si>
  <si>
    <t xml:space="preserve">Пешка (П-образная) края плиты ш.400: 119 шт</t>
  </si>
  <si>
    <t xml:space="preserve">Фиксатор верхней сетки Ø10 ш.800×800 шахм.: 541.5 м² / 0,64 = 847 шт</t>
  </si>
  <si>
    <t xml:space="preserve">АС-55 «Фиксатор»</t>
  </si>
  <si>
    <t xml:space="preserve">АС-55 «Фрагмент армирования перекрытия»</t>
  </si>
  <si>
    <t xml:space="preserve">2.5. БАЛКИ МОНОЛИТНОЙ ПЛИТЫ (сеч. 1-1…5-5) — отм. +7.550</t>
  </si>
  <si>
    <t xml:space="preserve">АС-55 сеч.1-1; АС-48 план 7.550; АС-57 узлы «1»,«2»</t>
  </si>
  <si>
    <t xml:space="preserve">АС-55 сеч.5-5; АС-48 план 7.550; АС-57 узлы «1»,«2»</t>
  </si>
  <si>
    <t xml:space="preserve">АС-55 сеч.2-2; АС-48 план 7.550; АС-57 узлы «1»,«2»</t>
  </si>
  <si>
    <t xml:space="preserve">АС-55 сеч.4-4; АС-48 план 7.550; АС-57 узлы «1»,«2»</t>
  </si>
  <si>
    <t xml:space="preserve">X≈5900, В–балка Y≈10000 (новая на 7.550)</t>
  </si>
  <si>
    <t xml:space="preserve">Балка B4e: продольные 2Ø20 верх + 2Ø20 низ</t>
  </si>
  <si>
    <t xml:space="preserve">АС-55 сеч.3-3 поз.4; контур АС-48</t>
  </si>
  <si>
    <t xml:space="preserve">Угловой Г-образный стержень Ø18 L=1200 (как на 3.950)</t>
  </si>
  <si>
    <t xml:space="preserve">АС-56 узлы «Б»,«В»; АС-57 узел «Г»; АС-48</t>
  </si>
  <si>
    <t xml:space="preserve">Хомуты балок сеч.1-1: хом.Ø8 L=1240 (поз.10); шаг 100 у опор и у пересечений, 200 в пролёте</t>
  </si>
  <si>
    <t xml:space="preserve">АС-55 сеч.1-1; АС-57 «Шаг хомутов»; АС-58 ведомость</t>
  </si>
  <si>
    <t xml:space="preserve">Хомуты балок сеч.2-2: хом.Ø8 L=1240 (поз.10); шаг 100 у опор и у пересечений, 200 в пролёте</t>
  </si>
  <si>
    <t xml:space="preserve">АС-55 сеч.2-2; АС-57 «Шаг хомутов»; АС-58 ведомость</t>
  </si>
  <si>
    <t xml:space="preserve">Хомуты балок сеч.5-5: хом.Ø8 L=1440 (поз.12); шаг 100 у опор и у пересечений, 200 в пролёте</t>
  </si>
  <si>
    <t xml:space="preserve">АС-55 сеч.5-5; АС-57 «Шаг хомутов»; АС-58 ведомость</t>
  </si>
  <si>
    <t xml:space="preserve">Хомуты балок сеч.4-4: хом.Ø8 L=1040 (поз.13); шаг 100 у опор и у пересечений, 200 в пролёте</t>
  </si>
  <si>
    <t xml:space="preserve">АС-55 сеч.4-4; АС-57 «Шаг хомутов»; АС-58 ведомость</t>
  </si>
  <si>
    <t xml:space="preserve">Хомуты балок сеч.3-3: хом.Ø8 L=1140 (поз.11); шаг 100 у опор и у пересечений, 200 в пролёте</t>
  </si>
  <si>
    <t xml:space="preserve">АС-55 сеч.3-3; АС-57 «Шаг хомутов»; АС-58 ведомость</t>
  </si>
  <si>
    <t xml:space="preserve">2.6. СЕТКИ-ГРЕБЁНКИ С-1 в узлах колонна–ригель — отм. +7.550</t>
  </si>
  <si>
    <t xml:space="preserve">узлы колонна–ригель, отм. +7.550 (20 узлов)</t>
  </si>
  <si>
    <t xml:space="preserve">С-1: 7Ø10 (гребень + 6 зубьев по 570 мм); 20 узлов × 6 ярусов × 2 = 240 сеток</t>
  </si>
  <si>
    <t xml:space="preserve">АС-30 «Сетка гребенка С-1»; узлы «2»,«5»,«6»,«7» (все этажи)</t>
  </si>
  <si>
    <t xml:space="preserve">2.7. ЛЕСТНИЦА ЛВ-1 и рама Лрм — марш 3 4.000→5.800, марш 4 5.800→7.600, площадка 5.800, Лрм-2</t>
  </si>
  <si>
    <t xml:space="preserve">ЛВ-1 марш 3</t>
  </si>
  <si>
    <t xml:space="preserve">Рабочие продольные 18Ø18 ш.150 (9 верх + 9 низ), марш 3 (4.000→5.800), 12×150 / 11×300; через площадку 5.800 до Лрм-2</t>
  </si>
  <si>
    <t xml:space="preserve">АС-68 сеч.а-а «18Ø18 А500С ш.150»; АС-67 разрез (2 этаж: 150×12, 300×11)</t>
  </si>
  <si>
    <t xml:space="preserve">L = 1.00 (заход в плиту, узлы «3»,«4») + 3.759 (наклон √(3.3²+1.8²)) + 1.35 (площадка до Лрм-2)</t>
  </si>
  <si>
    <t xml:space="preserve">Поперечные Ø10 А500С ш.50/100/200 (2 ряда), L=1190</t>
  </si>
  <si>
    <t xml:space="preserve">АС-68 сеч.а-а поз.2</t>
  </si>
  <si>
    <t xml:space="preserve">30 шт в ряду × 2 ряда; марш по наклону 3.759 м</t>
  </si>
  <si>
    <t xml:space="preserve">П-образный Ø10 А240 L=520 по краям марша</t>
  </si>
  <si>
    <t xml:space="preserve">АС-68 сеч.а-а поз.4</t>
  </si>
  <si>
    <t xml:space="preserve">АС-68 сеч.а-а поз.3</t>
  </si>
  <si>
    <t xml:space="preserve">3.759 × 0,90 / 0,09 = 38 шт</t>
  </si>
  <si>
    <t xml:space="preserve">Сетка С-1 5/5/100/100 (Ø5 Вр-I) по ступеням: проволока 20 м на 1 м²</t>
  </si>
  <si>
    <t xml:space="preserve">АС-68 «Сетка С-1 5/5/100/100»</t>
  </si>
  <si>
    <t xml:space="preserve">(12×0,15 + 11×0,30 = 5.10 м) × 1,25 = 6.38 м²</t>
  </si>
  <si>
    <t xml:space="preserve">ЛВ-1 марш 4</t>
  </si>
  <si>
    <t xml:space="preserve">Рабочие продольные 18Ø18 ш.150 (9 верх + 9 низ), марш 4 (5.800→7.600), 12×150 / 11×300; через площадку 5.800 до Лрм-2</t>
  </si>
  <si>
    <t xml:space="preserve">ось 3 / Г, отм. 5.800</t>
  </si>
  <si>
    <t xml:space="preserve">ЛВ-1 площадка 5.800</t>
  </si>
  <si>
    <t xml:space="preserve">Поперечные Ø10 А500С ш.100 (2 полосы × 2 ряда), L=1190</t>
  </si>
  <si>
    <t xml:space="preserve">АС-68 сеч.б-б поз.2</t>
  </si>
  <si>
    <t xml:space="preserve">П-образный Ø10 А240 L=520 по краям полос</t>
  </si>
  <si>
    <t xml:space="preserve">Связь полос Ø10 А500С ш.100 L=600</t>
  </si>
  <si>
    <t xml:space="preserve">АС-68 сеч.б-б поз.5</t>
  </si>
  <si>
    <t xml:space="preserve">Шпилька Ø6 А240 L=280 ш.300 шахм.</t>
  </si>
  <si>
    <t xml:space="preserve">Анкеры закладной Зд-1: 4Ø10 L=480 на 1 Зд-1, 2 шт</t>
  </si>
  <si>
    <t xml:space="preserve">АС-67 узел «1», «Зд-1»</t>
  </si>
  <si>
    <t xml:space="preserve">АС-69 «Рама Лрм-1 (Лрм-2)» сеч.2-2</t>
  </si>
  <si>
    <t xml:space="preserve">Стойка рамы 300×300: 4Ø25 (550 ниже +3.950 с Аш-6; высота 1700)</t>
  </si>
  <si>
    <t xml:space="preserve">АС-69 «Рама Лрм-1 (Лрм-2)» сеч.1-1 «550» ниже опоры (Лрм-2: 3.950÷5.650, высота 1700)</t>
  </si>
  <si>
    <t xml:space="preserve">L = 550 + 1700 − 40</t>
  </si>
  <si>
    <t xml:space="preserve">Хомут стойки Ø8 L=1280 ш.100 (на высоту 1400)</t>
  </si>
  <si>
    <t xml:space="preserve">АС-69 «Позиция 1 L=1280»</t>
  </si>
  <si>
    <t xml:space="preserve">Хомут ригеля Ø8 L=1160 ш.100</t>
  </si>
  <si>
    <t xml:space="preserve">АС-69 «Позиция 2 L=1160»</t>
  </si>
  <si>
    <t xml:space="preserve">Анкер А-1 Ø16 А240 L=420</t>
  </si>
  <si>
    <t xml:space="preserve">АС-67 узел «1»</t>
  </si>
  <si>
    <t xml:space="preserve">ИТОГО 1 этаж</t>
  </si>
  <si>
    <t xml:space="preserve">ИТОГО 2 этаж</t>
  </si>
  <si>
    <t xml:space="preserve">ИТОГО 1 + 2 этаж</t>
  </si>
  <si>
    <t xml:space="preserve">Раскрой арматуры под стандартные прутки 11,7 м — поэтажно (алгоритм «лучший подходящий по убыванию», отдельно по этажу, Ø и классу)</t>
  </si>
  <si>
    <t xml:space="preserve">Детали: стержни ≤11,7 м — целиком; длиннее 11,7 м — прутки 11,7 + «хвост» (Ø10–14, Ø16–18 ригелей — с нахлёстами; Ø≥20 — встык ванной сваркой). Раскрой не смешивается с проектной массой.</t>
  </si>
  <si>
    <t xml:space="preserve">Этаж</t>
  </si>
  <si>
    <t xml:space="preserve">Схема №</t>
  </si>
  <si>
    <t xml:space="preserve">Деталь 1, м</t>
  </si>
  <si>
    <t xml:space="preserve">шт</t>
  </si>
  <si>
    <t xml:space="preserve">Деталь 2, м</t>
  </si>
  <si>
    <t xml:space="preserve">Деталь 3, м</t>
  </si>
  <si>
    <t xml:space="preserve">Деталь 4, м</t>
  </si>
  <si>
    <t xml:space="preserve">Использовано из прутка, м</t>
  </si>
  <si>
    <t xml:space="preserve">Остаток, м</t>
  </si>
  <si>
    <t xml:space="preserve">Кол-во прутков, шт</t>
  </si>
  <si>
    <t xml:space="preserve">Деталей всего, шт</t>
  </si>
  <si>
    <t xml:space="preserve">Длина деталей всего, м</t>
  </si>
  <si>
    <t xml:space="preserve">Отход всего, м</t>
  </si>
  <si>
    <t xml:space="preserve">Сводка раскроя — 1 этаж</t>
  </si>
  <si>
    <t xml:space="preserve">Длина по ведомости (с нахлёстами), м</t>
  </si>
  <si>
    <t xml:space="preserve">Длина деталей в раскрое, м</t>
  </si>
  <si>
    <t xml:space="preserve">Проверка (разница), м</t>
  </si>
  <si>
    <t xml:space="preserve">Длина заказа, м</t>
  </si>
  <si>
    <t xml:space="preserve">Проектная масса, кг</t>
  </si>
  <si>
    <t xml:space="preserve">Отход, кг</t>
  </si>
  <si>
    <t xml:space="preserve">сетка С-1 лестницы — заказ в м² сетки, не раскраивается</t>
  </si>
  <si>
    <t xml:space="preserve">Сводка раскроя — 2 этаж</t>
  </si>
  <si>
    <t xml:space="preserve">Сводка раскроя — 1 + 2 этаж (сумма поэтажных заказов)</t>
  </si>
  <si>
    <t xml:space="preserve">Прутков 11,7 м (поэтажно), шт</t>
  </si>
  <si>
    <t xml:space="preserve">Справочно: прутков при совместном раскрое 1+2 эт., шт</t>
  </si>
  <si>
    <t xml:space="preserve">Экономия, прутков</t>
  </si>
  <si>
    <t xml:space="preserve">Примечания к раскрою:</t>
  </si>
  <si>
    <t xml:space="preserve">1. Вертикали Дм и колонн 1 этажа L=4,0 м: из прутка 11,7 м — 2 детали + остаток 3,7 м (отход Ø32/Ø20 18–23 %). Остаток 3,7 м подходит под вертикали 2 этажа L=3,6 м — поэтому при совместном заказе 1+2 этажа прутков меньше (колонка «Справочно»).</t>
  </si>
  <si>
    <t xml:space="preserve">2. Стыки балок Ø25 (ванная сварка) по проекту — на 1/3 пролёта (АС-57): при нарезке проверить, чтобы стык не попал в зону у опоры.</t>
  </si>
  <si>
    <t xml:space="preserve">3. Стыки сеток вразбежку (АС-58): не более 50 % стержней в одном сечении.</t>
  </si>
  <si>
    <t xml:space="preserve">Проверки, чек-листы и сомнительные места (1 и 2 этаж)</t>
  </si>
  <si>
    <t xml:space="preserve">ПРОВЕРКА НА ДВОЙНОЙ УЧЁТ (1 этаж; для 2 этажа — то же)</t>
  </si>
  <si>
    <t xml:space="preserve">Выпуски вертикалей Дм</t>
  </si>
  <si>
    <t xml:space="preserve">Каждый вертикальный стержень считан один раз длиной 4,0 м «стык–стык» (выпуск +800/+500 над +3.950 входит в стержень 1 этажа, нижний выпуск — в стержень подвала). ✔</t>
  </si>
  <si>
    <t xml:space="preserve">Колонны внутри Дм</t>
  </si>
  <si>
    <t xml:space="preserve">Колонны в составе Дм (А/2, А/4, Г/2, Г/3, Г/4) учтены ТОЛЬКО в Дм; отдельно посчитаны остальные 15 колонн. ✔</t>
  </si>
  <si>
    <t xml:space="preserve">Ригели и диафрагмы</t>
  </si>
  <si>
    <t xml:space="preserve">Продольные стержни ригелей проходят через Дм и считаны в ригелях; хомуты ригелей — только в пролётах в свету между гранями колонн и Дм; горизонтали Дм в зоне ригеля (600 мм) не ставились. ✔</t>
  </si>
  <si>
    <t xml:space="preserve">Ригели и С-1</t>
  </si>
  <si>
    <t xml:space="preserve">В узле колонна–ригель хомутов ригеля и колонны нет — там С-1 (посчитаны отдельно). ✔</t>
  </si>
  <si>
    <t xml:space="preserve">Доп. зоны сеток vs основная сетка</t>
  </si>
  <si>
    <t xml:space="preserve">Доп. стержни АС-50/51 считаны отдельно от основной сетки Ø10/200 (это стержни сверх основной сетки). ✔</t>
  </si>
  <si>
    <t xml:space="preserve">Доп. нижние/верхние Ø12 и Ø10 в одной зоне</t>
  </si>
  <si>
    <t xml:space="preserve">12 стержней Ø12 (по выноске) вычтены из числа Ø10 той же зоны (30 = 12 + 18). ✔</t>
  </si>
  <si>
    <t xml:space="preserve">Балки и сетка</t>
  </si>
  <si>
    <t xml:space="preserve">Сетка плиты проходит над ригелями и балками непрерывно (по проекту); продольные стержни и хомуты балок и ригелей — отдельные строки. ✔</t>
  </si>
  <si>
    <t xml:space="preserve">С-1 и хомуты колонн</t>
  </si>
  <si>
    <t xml:space="preserve">В зоне узла (630 мм) хомутов колонн нет — там С-1; хомуты колонн Дм считаны только в пределах этажа (зоны 100×12 + 200). ✔</t>
  </si>
  <si>
    <t xml:space="preserve">Нахлёсты</t>
  </si>
  <si>
    <t xml:space="preserve">Нахлёсты стыковки прутков 11,7 м добавлены отдельными строками только для Ø10/Ø14 длиной &gt;11,7 м; в длинах основных позиций их нет. Для Ø≥20 — ванная сварка, нахлёст не добавлялся. ✔</t>
  </si>
  <si>
    <t xml:space="preserve">Вертикальные Ø18 Дм</t>
  </si>
  <si>
    <t xml:space="preserve">+8d (144 мм) к длине — один раз на стержень (один стык на этаж). ✔</t>
  </si>
  <si>
    <t xml:space="preserve">Доп. стержни «по 4Ø16 L=1600» Дм-3 у +3.950</t>
  </si>
  <si>
    <t xml:space="preserve">Отнесены к 1 этажу (устанавливаются до бетонирования перекрытия +3.950); на 2 этаже их не считать. ⚠</t>
  </si>
  <si>
    <t xml:space="preserve">Короткие стержни сетки &lt; 300 мм</t>
  </si>
  <si>
    <t xml:space="preserve">Отрезки сетки в полосах 200–300 мм между проёмами (зона балок 4-4) не включены — там работает арматура балок.</t>
  </si>
  <si>
    <t xml:space="preserve">УЧТЕНО (чек-лист)</t>
  </si>
  <si>
    <t xml:space="preserve">☑ нижняя арматура</t>
  </si>
  <si>
    <t xml:space="preserve">сетка плиты низ X и Y, доп. нижние зоны АС-50, нижние стержни балок</t>
  </si>
  <si>
    <t xml:space="preserve">☑ верхняя</t>
  </si>
  <si>
    <t xml:space="preserve">сетка верх X и Y, доп. верхние зоны АС-51 (в т.ч. Ø12), верхние стержни балок, 1Ø20 L=3000</t>
  </si>
  <si>
    <t xml:space="preserve">☑ направление X / Y</t>
  </si>
  <si>
    <t xml:space="preserve">каждая сетка — отдельными строками по X и по Y</t>
  </si>
  <si>
    <t xml:space="preserve">☑ дополнительные зоны</t>
  </si>
  <si>
    <t xml:space="preserve">16 зон верх, 5 зон низ — число стержней по штриховке (шаг 200)</t>
  </si>
  <si>
    <t xml:space="preserve">☑ проёмы</t>
  </si>
  <si>
    <t xml:space="preserve">проёмы лестницы/лифта О1…О4 вычтены из сетки; обрамление — балки 2-2, 4-4, 5-5</t>
  </si>
  <si>
    <t xml:space="preserve">☑ выпуски</t>
  </si>
  <si>
    <t xml:space="preserve">выпуски вертикалей Дм (в длине 4,0 м); выпуски для лестниц/ЛРМ (АС-55 прим.10) — не детализированы в проекте</t>
  </si>
  <si>
    <t xml:space="preserve">☑ нахлёсты</t>
  </si>
  <si>
    <t xml:space="preserve">только при длине &gt;11,7 м (Ø10: 400, Ø14: 560 мм); Ø18 Дм — 8d</t>
  </si>
  <si>
    <t xml:space="preserve">☑ анкеровка</t>
  </si>
  <si>
    <t xml:space="preserve">балки — до наружной грани ригеля (узел «1», 425 мм); горизонтали Дм — до торцов (П-стержни поз.14)</t>
  </si>
  <si>
    <t xml:space="preserve">☑ хомуты</t>
  </si>
  <si>
    <t xml:space="preserve">колонны Дм (поз.10, 11), торцевые элементы Дм (12*, 15/15*), балки (поз.10–13 АС-58) по зонам шага</t>
  </si>
  <si>
    <t xml:space="preserve">☑ шпильки</t>
  </si>
  <si>
    <t xml:space="preserve">Дм поз.13 ш.400 шахм.; плита Ø8 ш.800 шахм. (длина принята)</t>
  </si>
  <si>
    <t xml:space="preserve">☑ углы</t>
  </si>
  <si>
    <t xml:space="preserve">угловые Г-стержни Ø18 L=1200 (узлы Б, В, Г)</t>
  </si>
  <si>
    <t xml:space="preserve">☑ пересечения</t>
  </si>
  <si>
    <t xml:space="preserve">сгущение хомутов 100×3 у пересечений балок (узел «Д»)</t>
  </si>
  <si>
    <t xml:space="preserve">☑ защитный слой</t>
  </si>
  <si>
    <t xml:space="preserve">20 мм (сетки), 25 мм торцы; хомуты — по ведомости деталей</t>
  </si>
  <si>
    <t xml:space="preserve">☑ повторяющиеся элементы</t>
  </si>
  <si>
    <t xml:space="preserve">Дм-1…Дм-5 — все разные, считались индивидуально по 1 шт.; С-1 — 20 узлов</t>
  </si>
  <si>
    <t xml:space="preserve">☑ двойной учёт проверен</t>
  </si>
  <si>
    <t xml:space="preserve">см. блок выше</t>
  </si>
  <si>
    <t xml:space="preserve">☑ лестница ЛВ-1</t>
  </si>
  <si>
    <t xml:space="preserve">марши 1 и 2, площадка 1.920, Лрм-1, анкеры А-1, Зд-1, сетка С-1 (АС-67…69)</t>
  </si>
  <si>
    <t xml:space="preserve">☒ спецификация/ведомость расхода стали</t>
  </si>
  <si>
    <t xml:space="preserve">Не обнаружено в предоставленных чертежах — сравнение невозможно</t>
  </si>
  <si>
    <t xml:space="preserve">СОМНИТЕЛЬНЫЕ МЕСТА — 1 ЭТАЖ</t>
  </si>
  <si>
    <t xml:space="preserve">1. Симметричные стержни Дм (АС-34…41, сечения 1-1)</t>
  </si>
  <si>
    <t xml:space="preserve">Выносками подписана только одна грань (напр. «6Ø28» на 6 из 11 стержней торцевого элемента). Симметричные стержни без выноски УЧТЕНЫ по тому же диаметру. Если проектировщик имел в виду иное — масса меньше на ≈1 621 кг (Ø28 −49 шт, Ø25 −18, Ø22 −18, Ø20 −15, Ø18 −4).</t>
  </si>
  <si>
    <t xml:space="preserve">2. ОБНАРУЖЕНО ПРОТИВОРЕЧИЕ: поз.12* Дм</t>
  </si>
  <si>
    <t xml:space="preserve">лист АС-34…41 (сечения) показывает «12* хом.Ø10 А240»; лист АС-42 (ведомость деталей) — «12,(12*) Хомут Ø8 А240 L=1560». Принято Ø10 по сечению. Требуется уточнение.</t>
  </si>
  <si>
    <t xml:space="preserve">3. ОБНАРУЖЕНО ПРОТИВОРЕЧИЕ: масса С-1</t>
  </si>
  <si>
    <t xml:space="preserve">лист АС-30 указывает «вес 4,22 кг»; по геометрии 7Ø10 × 0,57 м = 3,99 м × 0,617 = 2,46 кг. Принято по геометрии. При массе 4,22 кг итог С-1 был бы 1 013 кг вместо 591 кг.</t>
  </si>
  <si>
    <t xml:space="preserve">4. Количество С-1</t>
  </si>
  <si>
    <t xml:space="preserve">«установить попарно шаг 90» в узле высотой 630 (зона 500 мм между верхними и нижними стержнями ригеля) → 6 ярусов × 2 = 12 шт/узел; на чертеже узла условно показано 5 линий (→10 шт). Узлов на +3.950 — 20 (все колонны сетки 5×4, вкл. 5 колонн в Дм; на узлах «5» и «7» выноски С-1 нет, но изображение то же).</t>
  </si>
  <si>
    <t xml:space="preserve">5. Горизонтальные стержни Дм</t>
  </si>
  <si>
    <t xml:space="preserve">Длина в проекте не указана — принята = длина стены по наружным граням − 2×25 мм (совпадает с L доп. стержней тех же стен 1950/1250/1450). Ряды — по цепочке «200x16+100» (18 рядов), в зоне ригеля 600 мм не ставятся.</t>
  </si>
  <si>
    <t xml:space="preserve">6. Шпильки Дм поз.13 «ш.400 в шахм. порядке»</t>
  </si>
  <si>
    <t xml:space="preserve">Принято: показанные на сечении места × 9 рядов (каждый 2-й горизонтальный ряд). Шпильки внутри торцевых элементов отнесены к поз.13.</t>
  </si>
  <si>
    <t xml:space="preserve">7. Фиксаторы Ф-1 и шпильки плиты</t>
  </si>
  <si>
    <t xml:space="preserve">Длины в проекте не указаны: приняты 0,42 м (Ф-1 Ø10) и 0,22 м (шп. Ø8); количество — площадь / 0,64 м² (сетка 800×800). Уточнить у проектировщика/по ППР.</t>
  </si>
  <si>
    <t xml:space="preserve">8. Угловые Ø18 L=1200 (узлы Б, В, Г)</t>
  </si>
  <si>
    <t xml:space="preserve">Узлы обозначены на плане выборочно; принято по всем аналогичным местам: Б — 11, Г — 8 (по 2 стержня), В — 1 (4 стержня) = 42 шт.</t>
  </si>
  <si>
    <t xml:space="preserve">9. Полоса 200 мм между проёмами О2/О3 (АС-47)</t>
  </si>
  <si>
    <t xml:space="preserve">Сечение не указано — принята балка 4-4 (200×300, 2Ø20+2Ø20).</t>
  </si>
  <si>
    <t xml:space="preserve">10. Балка 4-4 под ригелем В (оси 3–4, Y≈12 965)</t>
  </si>
  <si>
    <t xml:space="preserve">Принята по плану АС-47 (сечение 4-4), длина 3400 + анкеровка.</t>
  </si>
  <si>
    <t xml:space="preserve">11. Привязка контура плиты</t>
  </si>
  <si>
    <t xml:space="preserve">Края: по оси Г — +450 (до X=20 300), далее +300; по оси 5 — +450; по осям 1 и А — по грани ригеля (225 мм). Низ проёмов О2/О4 и верх эркера Э2 — В+200 (по размеру 425 на АС-47).</t>
  </si>
  <si>
    <t xml:space="preserve">12. Лестница ЛВ-1 — длины поз.1</t>
  </si>
  <si>
    <t xml:space="preserve">Листы АС-67…69 получены скриншотами низкого разрешения. Поз.1 18Ø18 приняты непрерывными от опоры до опоры через площадку: марш 1 — 0,50 (заход в балку, узел «2», принят) + 4,080 + 1,35 (площадка) = 5,93 м; марш 2 — 1,35 + 4,158 + 1,00 (заход в плиту, узлы «3», «4») = 6,51 м. В узлах «5», «6» показан заход 500 мм за перелом — если стержни в переломе не гнутые, а перекрещиваются, добавится ≈0,5 м на стержень.</t>
  </si>
  <si>
    <t xml:space="preserve">12а. ЛВ-1 — шпильки поз.3 и сетка С-1</t>
  </si>
  <si>
    <t xml:space="preserve">Поз.3 Ø6 «ш.300 в шахм. порядке» — по площади (0,9 м ширины между краевыми каркасами / 0,09 м²). Сетка С-1 5/5/100/100 — по развёртке ступеней × 1,25 м = 14,0 м² (3,08 кг/м²).</t>
  </si>
  <si>
    <t xml:space="preserve">12б. ОБНАРУЖЕНО ПРОТИВОРЕЧИЕ: анкер А-1</t>
  </si>
  <si>
    <t xml:space="preserve">АС-67 узел «1» и «Вид в-в» — «Анкер А-1 Ø16 А240 L=420»; АС-69 сеч.2-2 — «Ø16 А240 L=310». Принято 420. Кол-во А-1 и Зд-1 — по 2 шт (по привязке «Анкер А-1» на АС-69) — уточнить.</t>
  </si>
  <si>
    <t xml:space="preserve">12в. ОБНАРУЖЕНО ПРОТИВОРЕЧИЕ: Аш в узле «2»</t>
  </si>
  <si>
    <t xml:space="preserve">Узел «2» АС-68: на концах стержней Ø18 указано «Аш-6», а по таблице АС-33 Аш-6 — для Ø25 (для Ø18 — Аш-3). Посчитано 18 шт как Аш-6 по узлу — уточнить марку.</t>
  </si>
  <si>
    <t xml:space="preserve">13. Стр. 1 PDF (лист АС-18)</t>
  </si>
  <si>
    <t xml:space="preserve">Относится к другому объекту (адм. здание, ул. Турусбекова–Пушкина) — не использовался.</t>
  </si>
  <si>
    <t xml:space="preserve">14. Отметка «1 этаж» для плиты</t>
  </si>
  <si>
    <t xml:space="preserve">Принята плита +3.950 (перекрытие над 1 этажом), как в вашем примере «1 этаж — на отм. +2,950». Плита -0.050 (над подвалом) имеет своё армирование (АС-43…46) и сюда НЕ включена.</t>
  </si>
  <si>
    <t xml:space="preserve">15. Отсутствующие листы</t>
  </si>
  <si>
    <t xml:space="preserve">В PDF нет АС-44, АС-49, АС-53 (вероятно сечения/спецификации перекрытий) — при наличии сверить.</t>
  </si>
  <si>
    <t xml:space="preserve">16. Сечение колонн на 1 этаже</t>
  </si>
  <si>
    <t xml:space="preserve">На рамах АС-20…23 сечение «1-1 (4Ø32+8Ø20)» подписано в подвале, «2-2 (4Ø28+8Ø20)» — со 2 этажа; на 1 этаже подписи нет. Принято 1-1 (как у Дм: «Подвал, 1 этаж»). Если на 1 этаже 2-2 — Ø32 меняется на Ø28 (−354 кг Ø32, +271 кг Ø28).</t>
  </si>
  <si>
    <t xml:space="preserve">17. Длины ОС ригелей</t>
  </si>
  <si>
    <t xml:space="preserve">Сняты с чертежа по выноскам и цепочке «Привязка отдельных стержней» с округлением до 100 мм; у торцов рам стержень доведён до наружной грани колонны (+250 мм от оси, защитный слой 50).</t>
  </si>
  <si>
    <t xml:space="preserve">18. «ств.» в выносках ОС</t>
  </si>
  <si>
    <t xml:space="preserve">Например «2Ø25 + 2Ø22 ств.» — принято как 2 дополнительных стержня второго ряда той же длины.</t>
  </si>
  <si>
    <t xml:space="preserve">19. Зоны хомутов Ø10 (штриховка «100×15»)</t>
  </si>
  <si>
    <t xml:space="preserve">Границы одинарной/двойной штриховки сняты с чертежа рам по масштабу (±100 мм). На раме В двойные хомуты по всей длине между осями 2 и 4, на раме 2 — между Б и В.</t>
  </si>
  <si>
    <t xml:space="preserve">20. Шпильки ригелей</t>
  </si>
  <si>
    <t xml:space="preserve">Поз.17 «ш.200 у опор и ш.150 в пролёте» — принято буквально; горизонтальная шпилька «шп.Ø8 ш.300» без номера — принята поз.16 (L=580).</t>
  </si>
  <si>
    <t xml:space="preserve">21. Анкерные шайбы Аш</t>
  </si>
  <si>
    <t xml:space="preserve">Посчитаны по правилу Б-Б АС-31 «Аш-… свыше Ø20»: концы 4Ø28 и ОС Ø&gt;20 у торцов рам. Аш балок плиты (узел «1» АС-57) не считались.</t>
  </si>
  <si>
    <t xml:space="preserve">22. Рама «1, 5»</t>
  </si>
  <si>
    <t xml:space="preserve">Лист АС-24 — одна рама на две оси; посчитана ×2.</t>
  </si>
  <si>
    <t xml:space="preserve">2 ЭТАЖ — ПРИНЯТЫЕ РЕШЕНИЯ И СОМНИТЕЛЬНЫЕ МЕСТА</t>
  </si>
  <si>
    <t xml:space="preserve">2.1. Сечения Дм 2 этажа</t>
  </si>
  <si>
    <t xml:space="preserve">Дм-1, Дм-3, Дм-4, Дм-5 — сечение 2-2 «2-этаж», Дм-2 — сечение 3-3 (АС-34…41). Колонна в Дм 4Ø28+8Ø20. Симметричные стержни без выноски учтены по тому же диаметру (как на 1 этаже).</t>
  </si>
  <si>
    <t xml:space="preserve">2.2. Высота этажа и длины вертикалей</t>
  </si>
  <si>
    <t xml:space="preserve">+3.950…+7.550 = 3,6 м. Ø≥20 — L=3,6 м (ванная сварка встык); Ø≤18 — 3,6 м + 8d (нахлёст со сваркой). Выпуски 800/500 входят в длину этажа.</t>
  </si>
  <si>
    <t xml:space="preserve">2.3. Горизонтали Дм 2 этажа</t>
  </si>
  <si>
    <t xml:space="preserve">Ряды по цепочке «200×14+100» → 16 рядов × 2 грани; длины — как на 1 этаже (по наружным граням − 2×25). Диаметры — по «Осн. стержни» развёрток 2 этажа: Дм-1 А Ø14 / 4 Ø16; Дм-2 Ø14 / Ø16; Дм-3 Ø14 / Ø14; Дм-4 Ø14; Дм-5 Ø12 / Ø14.</t>
  </si>
  <si>
    <t xml:space="preserve">2.4. Доп. стержни Дм</t>
  </si>
  <si>
    <t xml:space="preserve">Группы над +3.950 и под ригелем +7.550 отнесены ко 2 этажу (группы под +3.950 — в 1 этаже, над +7.550 — 3 этаж). Двойного учёта нет.</t>
  </si>
  <si>
    <t xml:space="preserve">2.5. ТРЕБУЕТСЯ УТОЧНЕНИЕ: Дм-5 «12Ø12»</t>
  </si>
  <si>
    <t xml:space="preserve">Выноска «Доп. стержень 12Ø12 L=1250» на развёртке Дм-5 (ось Г) указывает на два яруса (под ригелем +7.550 и над ним) — во 2 этаж взято 6 шт (половина).</t>
  </si>
  <si>
    <t xml:space="preserve">2.6. ТРЕБУЕТСЯ УТОЧНЕНИЕ: Дм-5 сечение 2-2</t>
  </si>
  <si>
    <t xml:space="preserve">В торцевом элементе ребра показаны мелкие точки с выноской «Доп. стержни» — отдельными вертикалями не считались (приняты как доп. стержни развёртки).</t>
  </si>
  <si>
    <t xml:space="preserve">2.7. Колонны 2 этажа</t>
  </si>
  <si>
    <t xml:space="preserve">15 колонн вне Дм, сечение 2-2: 4Ø28 + 8Ø20, L=3,6 м; хомуты поз.10 — 28 шт (АС-32 «2÷4 этаж»: 100×12 у опор + 200 в середине), поз.11 — 2 × 16 рядов.</t>
  </si>
  <si>
    <t xml:space="preserve">2.8. Ригели +7.550</t>
  </si>
  <si>
    <t xml:space="preserve">ОС и Ос (бок) — по рамам АС-20…27 (верхний ярус, отм. 7.550), привязки сняты с чертежа ±100 мм; зоны одинарной/двойной штриховки хомутов Ø10 — по чертежу (±100 мм).</t>
  </si>
  <si>
    <t xml:space="preserve">2.9. Плита +7.550 (АС-48)</t>
  </si>
  <si>
    <t xml:space="preserve">Отличия от +3.950: край плиты 420 (вместо 450), проём лестницы до Y=18 200 (на 300 короче); доп. в верхней зоне 2Ø20 L=3000 × 4 места (на +3.950 — 1Ø20), 1Ø18 L=3000 и 1Ø18 L=1700; балка 4-4 L≈3,78 м (4Ø20) — новая. Сетки и доп. зоны — АС-50/51 (одни для 3.950÷14.750).</t>
  </si>
  <si>
    <t xml:space="preserve">2.10. Угловые Ø18 L=1200 на +7.550</t>
  </si>
  <si>
    <t xml:space="preserve">Приняты как на +3.950 (42 шт) — узлы «Б», «В», «Г» на АС-48 те же. Уточнить.</t>
  </si>
  <si>
    <t xml:space="preserve">2.11. Лестница 2 этажа</t>
  </si>
  <si>
    <t xml:space="preserve">Марши 3 (4.000→5.800) и 4 (5.800→7.600): 12 подступенков × 150, 11 проступей × 300 (АС-67). Поз.1 18Ø18: 1,00 (заход в плиту) + 3,766 (наклон √(3,3²+1,8²)) + 1,35 (площадка) = 6,11 м на марш. Остальное армирование маршей и площадки 5.800 — как на 1 этаже. Лрм-2 — по АС-69 «Рама Лрм-1 (Лрм-2)»: стойка 1700 + заход 550.</t>
  </si>
  <si>
    <t xml:space="preserve">2.12. Аш на 2 этаже</t>
  </si>
  <si>
    <t xml:space="preserve">Ригели +7.550 — по тому же правилу (Ø&gt;20 у торцов рам); марш 3 опирается на плиту (Аш не считались); Лрм-2 — 16 шт Аш-6.</t>
  </si>
  <si>
    <t xml:space="preserve">2.13. С-1 на +7.550</t>
  </si>
  <si>
    <t xml:space="preserve">240 шт (20 узлов × 6 ярусов × 2) — как на +3.950.</t>
  </si>
  <si>
    <t xml:space="preserve">ЗАМЕЧАНИЯ К ВАШЕЙ ТАБЛИЦЕ (раскладка 1 этажа в «Лист1»)</t>
  </si>
  <si>
    <t xml:space="preserve">1. E8 (ригель А, Ø32)</t>
  </si>
  <si>
    <t xml:space="preserve">Записано 16 м.п., по расчёту 6,6 м.п. → лишние 9,4 м = +59 кг.</t>
  </si>
  <si>
    <t xml:space="preserve">2. C17 = 957 (Ø10 А500С в колонке Дм-2)</t>
  </si>
  <si>
    <t xml:space="preserve">Это сетки-гребёнки С-1 (957,6 м). В общей сумме не теряются, но в «потребности» попадают в «Колонны, стены». Здесь — отдельная колонка «С-1».</t>
  </si>
  <si>
    <t xml:space="preserve">3. Формула AJ8:AJ23 (сумма «Ригели, балки, плита»)</t>
  </si>
  <si>
    <t xml:space="preserve">В формуле SUM(E,G,S:Z,N:R) пропущена колонка I (ригель по оси В), и в AG её тоже нет. В «потребность» не попадает 1 346,6 кг (с К 1,07 — 1 440,9 кг). Здесь суммы по группам собраны так, что каждая колонка входит ровно в одну группу.</t>
  </si>
  <si>
    <t xml:space="preserve">4. Не перенесено из моего расчёта</t>
  </si>
  <si>
    <t xml:space="preserve">площадка лестницы 1.920 (Ø10 А500С 87,3 м, Ø10 А240 29,1 м; Ø6 7,8 м попал в «Рама»), П-образные марша 2 (Ø10 А240 33,3 м), анкер А-1 Ø16 А240 (0,8 м), сетка С-1 лестницы (14,0 м²), край плиты 2Ø14 (96,1 м) и пешки Ø10 А240 (83,3 м). Итого в таблице на 249 кг меньше расчёта (без К).</t>
  </si>
  <si>
    <t xml:space="preserve">ФИНАЛЬНЫЙ АУДИТ</t>
  </si>
  <si>
    <t xml:space="preserve">Все листы по конструкциям просмотрены?</t>
  </si>
  <si>
    <t xml:space="preserve">Да: Дм — АС-19, 28, 32, 34–42 (сечения 1-1 и 2-2/3-3, развёртки обоих этажей); колонны и ригели — АС-19…33; плиты — АС-47, АС-48, 50, 51, 55–58; С-1 — АС-29–31; ЛВ-1 — АС-67…69.</t>
  </si>
  <si>
    <t xml:space="preserve">Стержни «подписано 4, а их 8»?</t>
  </si>
  <si>
    <t xml:space="preserve">Да — по каждому сечению Дм обоих этажей симметричные стержни добавлены.</t>
  </si>
  <si>
    <t xml:space="preserve">Оба направления, верх и низ сетки?</t>
  </si>
  <si>
    <t xml:space="preserve">Да — по каждому этажу 4 группы строк (низ X, низ Y, верх X, верх Y).</t>
  </si>
  <si>
    <t xml:space="preserve">Нахлёсты только где нужны?</t>
  </si>
  <si>
    <t xml:space="preserve">Да — Ø10/Ø12/Ø14 и Ø16/Ø18 ригелей при L&gt;11,7 м; Ø≥20 — встык; вертикали Ø≤18 Дм — 8d.</t>
  </si>
  <si>
    <t xml:space="preserve">Этажи не перепутаны?</t>
  </si>
  <si>
    <t xml:space="preserve">Сечения 1-1 → 1 этаж, 2-2 / 3-3 «2 этаж» → 2 этаж; доп. стержни распределены по уровню; «переход 2-2» коллеги = 2 этаж этой книги.</t>
  </si>
  <si>
    <t xml:space="preserve">Перевод м → кг?</t>
  </si>
  <si>
    <t xml:space="preserve">Формулой «Общая длина × кг/м» (ГОСТ 34028, лист «Исходные»); контроль на листах «По осям» и «потребность» (разница с ведомостью = 0).</t>
  </si>
  <si>
    <t xml:space="preserve">КОНТРОЛЬНЫЕ ЦИФРЫ</t>
  </si>
  <si>
    <t xml:space="preserve">Чистая масса, 1 этаж, кг</t>
  </si>
  <si>
    <t xml:space="preserve">Чистая масса, 2 этаж, кг</t>
  </si>
  <si>
    <t xml:space="preserve">Чистая масса, 1 + 2 этаж, кг</t>
  </si>
  <si>
    <t xml:space="preserve">Сумма всех контрольных разниц (должна быть 0)</t>
  </si>
  <si>
    <t xml:space="preserve">Проект (ведомость расхода стали), кг</t>
  </si>
  <si>
    <t xml:space="preserve">в предоставленных листах отсутствует — сравнение не выполнено</t>
  </si>
  <si>
    <t xml:space="preserve">РАСШИФРОВКА ХОМУТОВ БАЛОК — 1 этаж</t>
  </si>
  <si>
    <t xml:space="preserve">Балка / сечение</t>
  </si>
  <si>
    <t xml:space="preserve">Чистый пролёт, мм | зона 100 у опор | пересечений | хомутов, шт</t>
  </si>
  <si>
    <t xml:space="preserve">VB1 (1-1)</t>
  </si>
  <si>
    <t xml:space="preserve">6050 | 1000 (10×100) | 1 | 42</t>
  </si>
  <si>
    <t xml:space="preserve">6550 | 1000 (10×100) | 1 | 46</t>
  </si>
  <si>
    <t xml:space="preserve">VB2 (1-1)</t>
  </si>
  <si>
    <t xml:space="preserve">VB4 (1-1)</t>
  </si>
  <si>
    <t xml:space="preserve">VB3 (1-1)</t>
  </si>
  <si>
    <t xml:space="preserve">HB1 (1-1)</t>
  </si>
  <si>
    <t xml:space="preserve">6050 | 1000 (10×100) | 1 | 43</t>
  </si>
  <si>
    <t xml:space="preserve">4550 | 700 (7×100) | 1 | 32</t>
  </si>
  <si>
    <t xml:space="preserve">HB2 (1-1)</t>
  </si>
  <si>
    <t xml:space="preserve">HB3a (1-1)</t>
  </si>
  <si>
    <t xml:space="preserve">HB3b (5-5)</t>
  </si>
  <si>
    <t xml:space="preserve">6050 | 1000 (10×100) | 3 | 44</t>
  </si>
  <si>
    <t xml:space="preserve">HB3b (1-1)</t>
  </si>
  <si>
    <t xml:space="preserve">B2a (2-2)</t>
  </si>
  <si>
    <t xml:space="preserve">3085 | 700 (7×100) | 0 | 23</t>
  </si>
  <si>
    <t xml:space="preserve">B2b (2-2)</t>
  </si>
  <si>
    <t xml:space="preserve">2665 | 700 (7×100) | 0 | 21</t>
  </si>
  <si>
    <t xml:space="preserve">B4a (4-4)</t>
  </si>
  <si>
    <t xml:space="preserve">2600 | 700 (7×100) | 0 | 20</t>
  </si>
  <si>
    <t xml:space="preserve">B4b (4-4)</t>
  </si>
  <si>
    <t xml:space="preserve">B4c (4-4)</t>
  </si>
  <si>
    <t xml:space="preserve">3400 | 700 (7×100) | 0 | 24</t>
  </si>
  <si>
    <t xml:space="preserve">B4d (4-4)</t>
  </si>
  <si>
    <t xml:space="preserve">2625 | 700 (7×100) | 0 | 21</t>
  </si>
  <si>
    <t xml:space="preserve">Э1 (3-3)</t>
  </si>
  <si>
    <t xml:space="preserve">1475 | 700 (7×100) | 0 | 16</t>
  </si>
  <si>
    <t xml:space="preserve">3700 | 700 (7×100) | 0 | 26</t>
  </si>
  <si>
    <t xml:space="preserve">Э2 (3-3)</t>
  </si>
  <si>
    <t xml:space="preserve">Э3 (3-3)</t>
  </si>
  <si>
    <t xml:space="preserve">3325 | 700 (7×100) | 0 | 24</t>
  </si>
  <si>
    <t xml:space="preserve">Э4 (3-3)</t>
  </si>
  <si>
    <t xml:space="preserve">3625 | 700 (7×100) | 0 | 26</t>
  </si>
  <si>
    <t xml:space="preserve">РАСШИФРОВКА ХОМУТОВ БАЛОК — 2 этаж</t>
  </si>
  <si>
    <t xml:space="preserve">B4e (4-4)</t>
  </si>
  <si>
    <t xml:space="preserve">3080 | 700 (7×100) | 0 | 23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</si>
</sst>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.0;\-0.0;\–"/>
    <numFmt numFmtId="166" formatCode="0;\-0;\–"/>
    <numFmt numFmtId="167" formatCode="0.0%"/>
    <numFmt numFmtId="168" formatCode="0.000"/>
    <numFmt numFmtId="169" formatCode="#,##0.0"/>
    <numFmt numFmtId="170" formatCode="0.0"/>
    <numFmt numFmtId="171" formatCode="0.00"/>
    <numFmt numFmtId="172" formatCode="0;\-0;&quot;&quot;"/>
    <numFmt numFmtId="173" formatCode="0"/>
    <numFmt numFmtId="174" formatCode="0.0;\-0.0;&quot;&quot;"/>
    <numFmt numFmtId="175" formatCode="0.00;\-0.00;&quot;&quot;"/>
    <numFmt numFmtId="176" formatCode="#,##0.00;\-#,##0.00;\–"/>
    <numFmt numFmtId="177" formatCode="#,##0.0;\-#,##0.0;\–"/>
    <numFmt numFmtId="178" formatCode="\+#,##0.0;\-#,##0.0;\–"/>
    <numFmt numFmtId="179" formatCode="\+0.0%;\-0.0%;\–"/>
    <numFmt numFmtId="180" formatCode="\+#,##0.0;\-#,##0.0"/>
    <numFmt numFmtId="181" formatCode="\+0.0%;\-0.0%"/>
    <numFmt numFmtId="182" formatCode="#,##0"/>
    <numFmt numFmtId="183" formatCode="0.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6CCFF"/>
        <bgColor rgb="FF93DBFF"/>
      </patternFill>
    </fill>
    <fill>
      <patternFill patternType="solid">
        <fgColor rgb="FF93DBFF"/>
        <bgColor rgb="FFBDE9FF"/>
      </patternFill>
    </fill>
    <fill>
      <patternFill patternType="solid">
        <fgColor rgb="FFBDE9FF"/>
        <bgColor rgb="FFCCFFFF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66CCFF"/>
          <bgColor rgb="FF000000"/>
        </patternFill>
      </fill>
    </dxf>
    <dxf>
      <fill>
        <patternFill patternType="solid">
          <fgColor rgb="FF93DBFF"/>
          <bgColor rgb="FF000000"/>
        </patternFill>
      </fill>
    </dxf>
    <dxf>
      <fill>
        <patternFill patternType="solid">
          <fgColor rgb="FFBDE9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BD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3DBFF"/>
      <rgbColor rgb="FFFF99CC"/>
      <rgbColor rgb="FFCC99FF"/>
      <rgbColor rgb="FFFFCC99"/>
      <rgbColor rgb="FF3366FF"/>
      <rgbColor rgb="FF66CCF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23.85" hidden="false" customHeight="true" outlineLevel="0" collapsed="false">
      <c r="A3" s="5" t="s">
        <v>2</v>
      </c>
      <c r="B3" s="5" t="s">
        <v>3</v>
      </c>
      <c r="C3" s="5" t="s">
        <v>4</v>
      </c>
      <c r="D3" s="5"/>
      <c r="E3" s="5"/>
      <c r="F3" s="5" t="s">
        <v>5</v>
      </c>
      <c r="G3" s="5"/>
      <c r="H3" s="5"/>
      <c r="I3" s="5" t="s">
        <v>6</v>
      </c>
      <c r="J3" s="5" t="s">
        <v>7</v>
      </c>
      <c r="K3" s="5" t="s">
        <v>8</v>
      </c>
      <c r="L3" s="5"/>
      <c r="M3" s="5"/>
    </row>
    <row r="4" customFormat="false" ht="48" hidden="false" customHeight="true" outlineLevel="0" collapsed="false">
      <c r="A4" s="5"/>
      <c r="B4" s="5"/>
      <c r="C4" s="5" t="s">
        <v>9</v>
      </c>
      <c r="D4" s="5" t="s">
        <v>10</v>
      </c>
      <c r="E4" s="5" t="s">
        <v>11</v>
      </c>
      <c r="F4" s="5" t="s">
        <v>9</v>
      </c>
      <c r="G4" s="5" t="s">
        <v>10</v>
      </c>
      <c r="H4" s="5" t="s">
        <v>11</v>
      </c>
      <c r="I4" s="5"/>
      <c r="J4" s="5"/>
      <c r="K4" s="5" t="s">
        <v>12</v>
      </c>
      <c r="L4" s="5" t="s">
        <v>13</v>
      </c>
      <c r="M4" s="5" t="s">
        <v>14</v>
      </c>
    </row>
    <row r="5" customFormat="false" ht="15" hidden="false" customHeight="false" outlineLevel="0" collapsed="false">
      <c r="A5" s="6" t="s">
        <v>15</v>
      </c>
      <c r="B5" s="7" t="s">
        <v>16</v>
      </c>
      <c r="C5" s="8" t="n">
        <f aca="false">'По осям'!AJ8*'По осям'!AK8</f>
        <v>2020.16</v>
      </c>
      <c r="D5" s="8" t="n">
        <f aca="false">'По осям'!AM8*'По осям'!AN8</f>
        <v>643.2947</v>
      </c>
      <c r="E5" s="8" t="n">
        <f aca="false">'По осям'!AP8*'По осям'!AQ8</f>
        <v>0</v>
      </c>
      <c r="F5" s="8" t="n">
        <f aca="false">'По осям'!AJ54*'По осям'!AK54</f>
        <v>0</v>
      </c>
      <c r="G5" s="8" t="n">
        <f aca="false">'По осям'!AM54*'По осям'!AN54</f>
        <v>707.056</v>
      </c>
      <c r="H5" s="8" t="n">
        <f aca="false">'По осям'!AP54*'По осям'!AQ54</f>
        <v>0</v>
      </c>
      <c r="I5" s="9" t="n">
        <f aca="false">SUM(C5:H5)</f>
        <v>3370.5107</v>
      </c>
      <c r="J5" s="10" t="n">
        <f aca="false">I5*Исходные!$B$13</f>
        <v>3606.446449</v>
      </c>
      <c r="K5" s="11" t="n">
        <f aca="false">'Раскрой 11,7м'!D447</f>
        <v>55</v>
      </c>
      <c r="L5" s="8" t="n">
        <f aca="false">'Раскрой 11,7м'!E447</f>
        <v>4062.4155</v>
      </c>
      <c r="M5" s="12" t="n">
        <f aca="false">'Раскрой 11,7м'!H447</f>
        <v>0.17031857031857</v>
      </c>
    </row>
    <row r="6" customFormat="false" ht="15" hidden="false" customHeight="false" outlineLevel="0" collapsed="false">
      <c r="A6" s="6" t="s">
        <v>17</v>
      </c>
      <c r="B6" s="7" t="s">
        <v>16</v>
      </c>
      <c r="C6" s="8" t="n">
        <f aca="false">'По осям'!AJ9*'По осям'!AK9</f>
        <v>2010.944</v>
      </c>
      <c r="D6" s="8" t="n">
        <f aca="false">'По осям'!AM9*'По осям'!AN9</f>
        <v>4612.1194</v>
      </c>
      <c r="E6" s="8" t="n">
        <f aca="false">'По осям'!AP9*'По осям'!AQ9</f>
        <v>0</v>
      </c>
      <c r="F6" s="8" t="n">
        <f aca="false">'По осям'!AJ55*'По осям'!AK55</f>
        <v>1392.192</v>
      </c>
      <c r="G6" s="8" t="n">
        <f aca="false">'По осям'!AM55*'По осям'!AN55</f>
        <v>4718.4674</v>
      </c>
      <c r="H6" s="8" t="n">
        <f aca="false">'По осям'!AP55*'По осям'!AQ55</f>
        <v>0</v>
      </c>
      <c r="I6" s="9" t="n">
        <f aca="false">SUM(C6:H6)</f>
        <v>12733.7228</v>
      </c>
      <c r="J6" s="10" t="n">
        <f aca="false">I6*Исходные!$B$13</f>
        <v>13625.083396</v>
      </c>
      <c r="K6" s="11" t="n">
        <f aca="false">'Раскрой 11,7м'!D448</f>
        <v>244</v>
      </c>
      <c r="L6" s="8" t="n">
        <f aca="false">'Раскрой 11,7м'!E448</f>
        <v>13800.1032</v>
      </c>
      <c r="M6" s="12" t="n">
        <f aca="false">'Раскрой 11,7м'!H448</f>
        <v>0.0772733641586099</v>
      </c>
    </row>
    <row r="7" customFormat="false" ht="15" hidden="false" customHeight="false" outlineLevel="0" collapsed="false">
      <c r="A7" s="6" t="s">
        <v>18</v>
      </c>
      <c r="B7" s="7" t="s">
        <v>16</v>
      </c>
      <c r="C7" s="8" t="n">
        <f aca="false">'По осям'!AJ10*'По осям'!AK10</f>
        <v>554.832</v>
      </c>
      <c r="D7" s="8" t="n">
        <f aca="false">'По осям'!AM10*'По осям'!AN10</f>
        <v>2915.1798</v>
      </c>
      <c r="E7" s="8" t="n">
        <f aca="false">'По осям'!AP10*'По осям'!AQ10</f>
        <v>82.37714</v>
      </c>
      <c r="F7" s="8" t="n">
        <f aca="false">'По осям'!AJ56*'По осям'!AK56</f>
        <v>832.248</v>
      </c>
      <c r="G7" s="8" t="n">
        <f aca="false">'По осям'!AM56*'По осям'!AN56</f>
        <v>2930.9771</v>
      </c>
      <c r="H7" s="8" t="n">
        <f aca="false">'По осям'!AP56*'По осям'!AQ56</f>
        <v>81.2983</v>
      </c>
      <c r="I7" s="9" t="n">
        <f aca="false">SUM(C7:H7)</f>
        <v>7396.91234</v>
      </c>
      <c r="J7" s="10" t="n">
        <f aca="false">I7*Исходные!$B$13</f>
        <v>7914.6962038</v>
      </c>
      <c r="K7" s="11" t="n">
        <f aca="false">'Раскрой 11,7м'!D449</f>
        <v>171</v>
      </c>
      <c r="L7" s="8" t="n">
        <f aca="false">'Раскрой 11,7м'!E449</f>
        <v>7708.6971</v>
      </c>
      <c r="M7" s="12" t="n">
        <f aca="false">'Раскрой 11,7м'!H449</f>
        <v>0.0404458439546158</v>
      </c>
    </row>
    <row r="8" customFormat="false" ht="15" hidden="false" customHeight="false" outlineLevel="0" collapsed="false">
      <c r="A8" s="6" t="s">
        <v>19</v>
      </c>
      <c r="B8" s="7" t="s">
        <v>16</v>
      </c>
      <c r="C8" s="8" t="n">
        <f aca="false">'По осям'!AJ11*'По осям'!AK11</f>
        <v>468.488</v>
      </c>
      <c r="D8" s="8" t="n">
        <f aca="false">'По осям'!AM11*'По осям'!AN11</f>
        <v>644.8424</v>
      </c>
      <c r="E8" s="8" t="n">
        <f aca="false">'По осям'!AP11*'По осям'!AQ11</f>
        <v>0</v>
      </c>
      <c r="F8" s="8" t="n">
        <f aca="false">'По осям'!AJ57*'По осям'!AK57</f>
        <v>64.4544</v>
      </c>
      <c r="G8" s="8" t="n">
        <f aca="false">'По осям'!AM57*'По осям'!AN57</f>
        <v>631.116</v>
      </c>
      <c r="H8" s="8" t="n">
        <f aca="false">'По осям'!AP57*'По осям'!AQ57</f>
        <v>0</v>
      </c>
      <c r="I8" s="9" t="n">
        <f aca="false">SUM(C8:H8)</f>
        <v>1808.9008</v>
      </c>
      <c r="J8" s="10" t="n">
        <f aca="false">I8*Исходные!$B$13</f>
        <v>1935.523856</v>
      </c>
      <c r="K8" s="11" t="n">
        <f aca="false">'Раскрой 11,7м'!D450</f>
        <v>56</v>
      </c>
      <c r="L8" s="8" t="n">
        <f aca="false">'Раскрой 11,7м'!E450</f>
        <v>1955.1168</v>
      </c>
      <c r="M8" s="12" t="n">
        <f aca="false">'Раскрой 11,7м'!H450</f>
        <v>0.0747863247863249</v>
      </c>
    </row>
    <row r="9" customFormat="false" ht="15" hidden="false" customHeight="false" outlineLevel="0" collapsed="false">
      <c r="A9" s="6" t="s">
        <v>20</v>
      </c>
      <c r="B9" s="7" t="s">
        <v>16</v>
      </c>
      <c r="C9" s="8" t="n">
        <f aca="false">'По осям'!AJ12*'По осям'!AK12</f>
        <v>1732.8582</v>
      </c>
      <c r="D9" s="8" t="n">
        <f aca="false">'По осям'!AM12*'По осям'!AN12</f>
        <v>205.02324</v>
      </c>
      <c r="E9" s="8" t="n">
        <f aca="false">'По осям'!AP12*'По осям'!AQ12</f>
        <v>0</v>
      </c>
      <c r="F9" s="8" t="n">
        <f aca="false">'По осям'!AJ58*'По осям'!AK58</f>
        <v>1455.9264</v>
      </c>
      <c r="G9" s="8" t="n">
        <f aca="false">'По осям'!AM58*'По осям'!AN58</f>
        <v>305.19216</v>
      </c>
      <c r="H9" s="8" t="n">
        <f aca="false">'По осям'!AP58*'По осям'!AQ58</f>
        <v>0</v>
      </c>
      <c r="I9" s="9" t="n">
        <f aca="false">SUM(C9:H9)</f>
        <v>3699</v>
      </c>
      <c r="J9" s="10" t="n">
        <f aca="false">I9*Исходные!$B$13</f>
        <v>3957.93</v>
      </c>
      <c r="K9" s="11" t="n">
        <f aca="false">'Раскрой 11,7м'!D451</f>
        <v>154</v>
      </c>
      <c r="L9" s="8" t="n">
        <f aca="false">'Раскрой 11,7м'!E451</f>
        <v>4443.2388</v>
      </c>
      <c r="M9" s="12" t="n">
        <f aca="false">'Раскрой 11,7м'!H451</f>
        <v>0.167499167499168</v>
      </c>
    </row>
    <row r="10" customFormat="false" ht="15" hidden="false" customHeight="false" outlineLevel="0" collapsed="false">
      <c r="A10" s="6" t="s">
        <v>21</v>
      </c>
      <c r="B10" s="7" t="s">
        <v>16</v>
      </c>
      <c r="C10" s="8" t="n">
        <f aca="false">'По осям'!AJ13*'По осям'!AK13</f>
        <v>280.99872</v>
      </c>
      <c r="D10" s="8" t="n">
        <f aca="false">'По осям'!AM13*'По осям'!AN13</f>
        <v>925.361712</v>
      </c>
      <c r="E10" s="8" t="n">
        <f aca="false">'По осям'!AP13*'По осям'!AQ13</f>
        <v>447.320232</v>
      </c>
      <c r="F10" s="8" t="n">
        <f aca="false">'По осям'!AJ59*'По осям'!AK59</f>
        <v>239.376384</v>
      </c>
      <c r="G10" s="8" t="n">
        <f aca="false">'По осям'!AM59*'По осям'!AN59</f>
        <v>964.122912</v>
      </c>
      <c r="H10" s="8" t="n">
        <f aca="false">'По осям'!AP59*'По осям'!AQ59</f>
        <v>439.408152</v>
      </c>
      <c r="I10" s="9" t="n">
        <f aca="false">SUM(C10:H10)</f>
        <v>3296.588112</v>
      </c>
      <c r="J10" s="10" t="n">
        <f aca="false">I10*Исходные!$B$13</f>
        <v>3527.34927984</v>
      </c>
      <c r="K10" s="11" t="n">
        <f aca="false">'Раскрой 11,7м'!D452</f>
        <v>146</v>
      </c>
      <c r="L10" s="8" t="n">
        <f aca="false">'Раскрой 11,7м'!E452</f>
        <v>3412.9836</v>
      </c>
      <c r="M10" s="12" t="n">
        <f aca="false">'Раскрой 11,7м'!H452</f>
        <v>0.0341037349256525</v>
      </c>
    </row>
    <row r="11" customFormat="false" ht="15" hidden="false" customHeight="false" outlineLevel="0" collapsed="false">
      <c r="A11" s="6" t="s">
        <v>22</v>
      </c>
      <c r="B11" s="7" t="s">
        <v>16</v>
      </c>
      <c r="C11" s="8" t="n">
        <f aca="false">'По осям'!AJ14*'По осям'!AK14</f>
        <v>693.3732</v>
      </c>
      <c r="D11" s="8" t="n">
        <f aca="false">'По осям'!AM14*'По осям'!AN14</f>
        <v>845.220984</v>
      </c>
      <c r="E11" s="8" t="n">
        <f aca="false">'По осям'!AP14*'По осям'!AQ14</f>
        <v>0</v>
      </c>
      <c r="F11" s="8" t="n">
        <f aca="false">'По осям'!AJ60*'По осям'!AK60</f>
        <v>404.151048</v>
      </c>
      <c r="G11" s="8" t="n">
        <f aca="false">'По осям'!AM60*'По осям'!AN60</f>
        <v>823.602384</v>
      </c>
      <c r="H11" s="8" t="n">
        <f aca="false">'По осям'!AP60*'По осям'!AQ60</f>
        <v>0</v>
      </c>
      <c r="I11" s="9" t="n">
        <f aca="false">SUM(C11:H11)</f>
        <v>2766.347616</v>
      </c>
      <c r="J11" s="10" t="n">
        <f aca="false">I11*Исходные!$B$13</f>
        <v>2959.99194912</v>
      </c>
      <c r="K11" s="11" t="n">
        <f aca="false">'Раскрой 11,7м'!D453</f>
        <v>153</v>
      </c>
      <c r="L11" s="8" t="n">
        <f aca="false">'Раскрой 11,7м'!E453</f>
        <v>2824.7778</v>
      </c>
      <c r="M11" s="12" t="n">
        <f aca="false">'Раскрой 11,7м'!H453</f>
        <v>0.0206848779397798</v>
      </c>
    </row>
    <row r="12" customFormat="false" ht="15" hidden="false" customHeight="false" outlineLevel="0" collapsed="false">
      <c r="A12" s="6" t="s">
        <v>23</v>
      </c>
      <c r="B12" s="7" t="s">
        <v>16</v>
      </c>
      <c r="C12" s="8" t="n">
        <f aca="false">'По осям'!AJ15*'По осям'!AK15</f>
        <v>73.5672</v>
      </c>
      <c r="D12" s="8" t="n">
        <f aca="false">'По осям'!AM15*'По осям'!AN15</f>
        <v>216.90848</v>
      </c>
      <c r="E12" s="8" t="n">
        <f aca="false">'По осям'!AP15*'По осям'!AQ15</f>
        <v>0</v>
      </c>
      <c r="F12" s="8" t="n">
        <f aca="false">'По осям'!AJ61*'По осям'!AK61</f>
        <v>494.791968</v>
      </c>
      <c r="G12" s="8" t="n">
        <f aca="false">'По осям'!AM61*'По осям'!AN61</f>
        <v>243.33952</v>
      </c>
      <c r="H12" s="8" t="n">
        <f aca="false">'По осям'!AP61*'По осям'!AQ61</f>
        <v>0</v>
      </c>
      <c r="I12" s="9" t="n">
        <f aca="false">SUM(C12:H12)</f>
        <v>1028.607168</v>
      </c>
      <c r="J12" s="10" t="n">
        <f aca="false">I12*Исходные!$B$13</f>
        <v>1100.60966976</v>
      </c>
      <c r="K12" s="11" t="n">
        <f aca="false">'Раскрой 11,7м'!D454</f>
        <v>75</v>
      </c>
      <c r="L12" s="8" t="n">
        <f aca="false">'Раскрой 11,7м'!E454</f>
        <v>1060.02</v>
      </c>
      <c r="M12" s="12" t="n">
        <f aca="false">'Раскрой 11,7м'!H454</f>
        <v>0.029634188034188</v>
      </c>
    </row>
    <row r="13" customFormat="false" ht="15" hidden="false" customHeight="false" outlineLevel="0" collapsed="false">
      <c r="A13" s="6" t="s">
        <v>24</v>
      </c>
      <c r="B13" s="7" t="s">
        <v>16</v>
      </c>
      <c r="C13" s="8" t="n">
        <f aca="false">'По осям'!AJ16*'По осям'!AK16</f>
        <v>0</v>
      </c>
      <c r="D13" s="8" t="n">
        <f aca="false">'По осям'!AM16*'По осям'!AN16</f>
        <v>215.059392</v>
      </c>
      <c r="E13" s="8" t="n">
        <f aca="false">'По осям'!AP16*'По осям'!AQ16</f>
        <v>0</v>
      </c>
      <c r="F13" s="8" t="n">
        <f aca="false">'По осям'!AJ62*'По осям'!AK62</f>
        <v>95.016</v>
      </c>
      <c r="G13" s="8" t="n">
        <f aca="false">'По осям'!AM62*'По осям'!AN62</f>
        <v>260.688384</v>
      </c>
      <c r="H13" s="8" t="n">
        <f aca="false">'По осям'!AP62*'По осям'!AQ62</f>
        <v>0</v>
      </c>
      <c r="I13" s="9" t="n">
        <f aca="false">SUM(C13:H13)</f>
        <v>570.763776</v>
      </c>
      <c r="J13" s="10" t="n">
        <f aca="false">I13*Исходные!$B$13</f>
        <v>610.71724032</v>
      </c>
      <c r="K13" s="11" t="n">
        <f aca="false">'Раскрой 11,7м'!D455</f>
        <v>58</v>
      </c>
      <c r="L13" s="8" t="n">
        <f aca="false">'Раскрой 11,7м'!E455</f>
        <v>602.5968</v>
      </c>
      <c r="M13" s="12" t="n">
        <f aca="false">'Раскрой 11,7м'!H455</f>
        <v>0.052826407309166</v>
      </c>
    </row>
    <row r="14" customFormat="false" ht="15" hidden="false" customHeight="false" outlineLevel="0" collapsed="false">
      <c r="A14" s="6" t="s">
        <v>25</v>
      </c>
      <c r="B14" s="7" t="s">
        <v>16</v>
      </c>
      <c r="C14" s="8" t="n">
        <f aca="false">'По осям'!AJ17*'По осям'!AK17</f>
        <v>7.5891</v>
      </c>
      <c r="D14" s="8" t="n">
        <f aca="false">'По осям'!AM17*'По осям'!AN17</f>
        <v>8016.47122</v>
      </c>
      <c r="E14" s="8" t="n">
        <f aca="false">'По осям'!AP17*'По осям'!AQ17</f>
        <v>146.36474</v>
      </c>
      <c r="F14" s="8" t="n">
        <f aca="false">'По осям'!AJ63*'По осям'!AK63</f>
        <v>12.5868</v>
      </c>
      <c r="G14" s="8" t="n">
        <f aca="false">'По осям'!AM63*'По осям'!AN63</f>
        <v>8021.75274</v>
      </c>
      <c r="H14" s="8" t="n">
        <f aca="false">'По осям'!AP63*'По осям'!AQ63</f>
        <v>141.95936</v>
      </c>
      <c r="I14" s="9" t="n">
        <f aca="false">SUM(C14:H14)</f>
        <v>16346.72396</v>
      </c>
      <c r="J14" s="10" t="n">
        <f aca="false">I14*Исходные!$B$13</f>
        <v>17490.9946372</v>
      </c>
      <c r="K14" s="11" t="n">
        <f aca="false">'Раскрой 11,7м'!D456</f>
        <v>2284</v>
      </c>
      <c r="L14" s="8" t="n">
        <f aca="false">'Раскрой 11,7м'!E456</f>
        <v>16487.9676</v>
      </c>
      <c r="M14" s="12" t="n">
        <f aca="false">'Раскрой 11,7м'!H456</f>
        <v>0.00856646758573207</v>
      </c>
    </row>
    <row r="15" customFormat="false" ht="15" hidden="false" customHeight="false" outlineLevel="0" collapsed="false">
      <c r="A15" s="6" t="s">
        <v>26</v>
      </c>
      <c r="B15" s="7" t="s">
        <v>16</v>
      </c>
      <c r="C15" s="8" t="n">
        <f aca="false">'По осям'!AJ18*'По осям'!AK18</f>
        <v>0</v>
      </c>
      <c r="D15" s="8" t="n">
        <f aca="false">'По осям'!AM18*'По осям'!AN18</f>
        <v>0</v>
      </c>
      <c r="E15" s="8" t="n">
        <f aca="false">'По осям'!AP18*'По осям'!AQ18</f>
        <v>0</v>
      </c>
      <c r="F15" s="8" t="n">
        <f aca="false">'По осям'!AJ64*'По осям'!AK64</f>
        <v>0</v>
      </c>
      <c r="G15" s="8" t="n">
        <f aca="false">'По осям'!AM64*'По осям'!AN64</f>
        <v>0</v>
      </c>
      <c r="H15" s="8" t="n">
        <f aca="false">'По осям'!AP64*'По осям'!AQ64</f>
        <v>0</v>
      </c>
      <c r="I15" s="9" t="n">
        <f aca="false">SUM(C15:H15)</f>
        <v>0</v>
      </c>
      <c r="J15" s="10" t="n">
        <f aca="false">I15*Исходные!$B$13</f>
        <v>0</v>
      </c>
      <c r="K15" s="11" t="n">
        <f aca="false">'Раскрой 11,7м'!D457</f>
        <v>0</v>
      </c>
      <c r="L15" s="8" t="n">
        <f aca="false">'Раскрой 11,7м'!E457</f>
        <v>0</v>
      </c>
      <c r="M15" s="12" t="n">
        <f aca="false">'Раскрой 11,7м'!H457</f>
        <v>0</v>
      </c>
    </row>
    <row r="16" customFormat="false" ht="15" hidden="false" customHeight="false" outlineLevel="0" collapsed="false">
      <c r="A16" s="6" t="s">
        <v>27</v>
      </c>
      <c r="B16" s="7" t="s">
        <v>16</v>
      </c>
      <c r="C16" s="8" t="n">
        <f aca="false">'По осям'!AJ19*'По осям'!AK19</f>
        <v>0</v>
      </c>
      <c r="D16" s="8" t="n">
        <f aca="false">'По осям'!AM19*'По осям'!AN19</f>
        <v>0</v>
      </c>
      <c r="E16" s="8" t="n">
        <f aca="false">'По осям'!AP19*'По осям'!AQ19</f>
        <v>1.32552</v>
      </c>
      <c r="F16" s="8" t="n">
        <f aca="false">'По осям'!AJ65*'По осям'!AK65</f>
        <v>0</v>
      </c>
      <c r="G16" s="8" t="n">
        <f aca="false">'По осям'!AM65*'По осям'!AN65</f>
        <v>0</v>
      </c>
      <c r="H16" s="8" t="n">
        <f aca="false">'По осям'!AP65*'По осям'!AQ65</f>
        <v>1.32552</v>
      </c>
      <c r="I16" s="9" t="n">
        <f aca="false">SUM(C16:H16)</f>
        <v>2.65104</v>
      </c>
      <c r="J16" s="10" t="n">
        <f aca="false">I16*Исходные!$B$13</f>
        <v>2.8366128</v>
      </c>
      <c r="K16" s="11" t="n">
        <f aca="false">'Раскрой 11,7м'!D458</f>
        <v>2</v>
      </c>
      <c r="L16" s="8" t="n">
        <f aca="false">'Раскрой 11,7м'!E458</f>
        <v>36.9252</v>
      </c>
      <c r="M16" s="12" t="n">
        <f aca="false">'Раскрой 11,7м'!H458</f>
        <v>0.928205128205128</v>
      </c>
    </row>
    <row r="17" customFormat="false" ht="15" hidden="false" customHeight="false" outlineLevel="0" collapsed="false">
      <c r="A17" s="6" t="s">
        <v>28</v>
      </c>
      <c r="B17" s="7" t="s">
        <v>16</v>
      </c>
      <c r="C17" s="8" t="n">
        <f aca="false">'По осям'!AJ20*'По осям'!AK20</f>
        <v>0</v>
      </c>
      <c r="D17" s="8" t="n">
        <f aca="false">'По осям'!AM20*'По осям'!AN20</f>
        <v>0</v>
      </c>
      <c r="E17" s="8" t="n">
        <f aca="false">'По осям'!AP20*'По осям'!AQ20</f>
        <v>0</v>
      </c>
      <c r="F17" s="8" t="n">
        <f aca="false">'По осям'!AJ66*'По осям'!AK66</f>
        <v>0</v>
      </c>
      <c r="G17" s="8" t="n">
        <f aca="false">'По осям'!AM66*'По осям'!AN66</f>
        <v>0</v>
      </c>
      <c r="H17" s="8" t="n">
        <f aca="false">'По осям'!AP66*'По осям'!AQ66</f>
        <v>0</v>
      </c>
      <c r="I17" s="9" t="n">
        <f aca="false">SUM(C17:H17)</f>
        <v>0</v>
      </c>
      <c r="J17" s="10" t="n">
        <f aca="false">I17*Исходные!$B$13</f>
        <v>0</v>
      </c>
      <c r="K17" s="11" t="n">
        <f aca="false">'Раскрой 11,7м'!D459</f>
        <v>0</v>
      </c>
      <c r="L17" s="8" t="n">
        <f aca="false">'Раскрой 11,7м'!E459</f>
        <v>0</v>
      </c>
      <c r="M17" s="12" t="n">
        <f aca="false">'Раскрой 11,7м'!H459</f>
        <v>0</v>
      </c>
    </row>
    <row r="18" customFormat="false" ht="15" hidden="false" customHeight="false" outlineLevel="0" collapsed="false">
      <c r="A18" s="6" t="s">
        <v>29</v>
      </c>
      <c r="B18" s="7" t="s">
        <v>16</v>
      </c>
      <c r="C18" s="8" t="n">
        <f aca="false">'По осям'!AJ21*'По осям'!AK21</f>
        <v>325.07262</v>
      </c>
      <c r="D18" s="8" t="n">
        <f aca="false">'По осям'!AM21*'По осям'!AN21</f>
        <v>1403.51458</v>
      </c>
      <c r="E18" s="8" t="n">
        <f aca="false">'По осям'!AP21*'По осям'!AQ21</f>
        <v>58.39288</v>
      </c>
      <c r="F18" s="8" t="n">
        <f aca="false">'По осям'!AJ67*'По осям'!AK67</f>
        <v>144.42736</v>
      </c>
      <c r="G18" s="8" t="n">
        <f aca="false">'По осям'!AM67*'По осям'!AN67</f>
        <v>1531.8259</v>
      </c>
      <c r="H18" s="8" t="n">
        <f aca="false">'По осям'!AP67*'По осям'!AQ67</f>
        <v>56.46784</v>
      </c>
      <c r="I18" s="9" t="n">
        <f aca="false">SUM(C18:H18)</f>
        <v>3519.70118</v>
      </c>
      <c r="J18" s="10" t="n">
        <f aca="false">I18*Исходные!$B$13</f>
        <v>3766.0802626</v>
      </c>
      <c r="K18" s="11" t="n">
        <f aca="false">'Раскрой 11,7м'!D460</f>
        <v>494</v>
      </c>
      <c r="L18" s="8" t="n">
        <f aca="false">'Раскрой 11,7м'!E460</f>
        <v>3566.1366</v>
      </c>
      <c r="M18" s="12" t="n">
        <f aca="false">'Раскрой 11,7м'!H460</f>
        <v>0.0130212118066369</v>
      </c>
    </row>
    <row r="19" customFormat="false" ht="15" hidden="false" customHeight="false" outlineLevel="0" collapsed="false">
      <c r="A19" s="6" t="s">
        <v>30</v>
      </c>
      <c r="B19" s="7" t="s">
        <v>16</v>
      </c>
      <c r="C19" s="8" t="n">
        <f aca="false">'По осям'!AJ22*'По осям'!AK22</f>
        <v>1228.5606</v>
      </c>
      <c r="D19" s="8" t="n">
        <f aca="false">'По осям'!AM22*'По осям'!AN22</f>
        <v>1748.66895</v>
      </c>
      <c r="E19" s="8" t="n">
        <f aca="false">'По осям'!AP22*'По осям'!AQ22</f>
        <v>17.6644</v>
      </c>
      <c r="F19" s="8" t="n">
        <f aca="false">'По осям'!AJ68*'По осям'!AK68</f>
        <v>1200.2312</v>
      </c>
      <c r="G19" s="8" t="n">
        <f aca="false">'По осям'!AM68*'По осям'!AN68</f>
        <v>1698.11685</v>
      </c>
      <c r="H19" s="8" t="n">
        <f aca="false">'По осям'!AP68*'По осям'!AQ68</f>
        <v>17.1588</v>
      </c>
      <c r="I19" s="9" t="n">
        <f aca="false">SUM(C19:H19)</f>
        <v>5910.4008</v>
      </c>
      <c r="J19" s="10" t="n">
        <f aca="false">I19*Исходные!$B$13</f>
        <v>6324.128856</v>
      </c>
      <c r="K19" s="11" t="n">
        <f aca="false">'Раскрой 11,7м'!D461</f>
        <v>1291</v>
      </c>
      <c r="L19" s="8" t="n">
        <f aca="false">'Раскрой 11,7м'!E461</f>
        <v>5966.3565</v>
      </c>
      <c r="M19" s="12" t="n">
        <f aca="false">'Раскрой 11,7м'!H461</f>
        <v>0.00937853780611325</v>
      </c>
    </row>
    <row r="20" customFormat="false" ht="15" hidden="false" customHeight="false" outlineLevel="0" collapsed="false">
      <c r="A20" s="6" t="s">
        <v>31</v>
      </c>
      <c r="B20" s="7" t="s">
        <v>16</v>
      </c>
      <c r="C20" s="8" t="n">
        <f aca="false">'По осям'!AJ23*'По осям'!AK23</f>
        <v>0</v>
      </c>
      <c r="D20" s="8" t="n">
        <f aca="false">'По осям'!AM23*'По осям'!AN23</f>
        <v>0</v>
      </c>
      <c r="E20" s="8" t="n">
        <f aca="false">'По осям'!AP23*'По осям'!AQ23</f>
        <v>6.89976</v>
      </c>
      <c r="F20" s="8" t="n">
        <f aca="false">'По осям'!AJ69*'По осям'!AK69</f>
        <v>0</v>
      </c>
      <c r="G20" s="8" t="n">
        <f aca="false">'По осям'!AM69*'По осям'!AN69</f>
        <v>0</v>
      </c>
      <c r="H20" s="8" t="n">
        <f aca="false">'По осям'!AP69*'По осям'!AQ69</f>
        <v>6.46464</v>
      </c>
      <c r="I20" s="9" t="n">
        <f aca="false">SUM(C20:H20)</f>
        <v>13.3644</v>
      </c>
      <c r="J20" s="10" t="n">
        <f aca="false">I20*Исходные!$B$13</f>
        <v>14.299908</v>
      </c>
      <c r="K20" s="11" t="n">
        <f aca="false">'Раскрой 11,7м'!D462</f>
        <v>6</v>
      </c>
      <c r="L20" s="8" t="n">
        <f aca="false">'Раскрой 11,7м'!E462</f>
        <v>15.5844</v>
      </c>
      <c r="M20" s="12" t="n">
        <f aca="false">'Раскрой 11,7м'!H462</f>
        <v>0.142450142450142</v>
      </c>
    </row>
    <row r="21" customFormat="false" ht="15" hidden="false" customHeight="false" outlineLevel="0" collapsed="false">
      <c r="A21" s="6" t="s">
        <v>32</v>
      </c>
      <c r="B21" s="7" t="s">
        <v>16</v>
      </c>
      <c r="C21" s="8" t="n">
        <f aca="false">'По осям'!AJ24*'По осям'!AK24</f>
        <v>0</v>
      </c>
      <c r="D21" s="8" t="n">
        <f aca="false">'По осям'!AM24*'По осям'!AN24</f>
        <v>0</v>
      </c>
      <c r="E21" s="8" t="n">
        <f aca="false">'По осям'!AP24*'По осям'!AQ24</f>
        <v>43.12</v>
      </c>
      <c r="F21" s="8" t="n">
        <f aca="false">'По осям'!AJ70*'По осям'!AK70</f>
        <v>0</v>
      </c>
      <c r="G21" s="8" t="n">
        <f aca="false">'По осям'!AM70*'По осям'!AN70</f>
        <v>0</v>
      </c>
      <c r="H21" s="8" t="n">
        <f aca="false">'По осям'!AP70*'По осям'!AQ70</f>
        <v>39.3008</v>
      </c>
      <c r="I21" s="9" t="n">
        <f aca="false">SUM(C21:H21)</f>
        <v>82.4208</v>
      </c>
      <c r="J21" s="10" t="n">
        <f aca="false">I21*Исходные!$B$13</f>
        <v>88.190256</v>
      </c>
      <c r="K21" s="11" t="n">
        <f aca="false">'Раскрой 11,7м'!D463</f>
        <v>0</v>
      </c>
      <c r="L21" s="8" t="n">
        <f aca="false">'Раскрой 11,7м'!E463</f>
        <v>82.4208</v>
      </c>
      <c r="M21" s="12" t="n">
        <f aca="false">'Раскрой 11,7м'!H463</f>
        <v>0</v>
      </c>
    </row>
    <row r="22" customFormat="false" ht="15" hidden="false" customHeight="false" outlineLevel="0" collapsed="false">
      <c r="A22" s="13" t="s">
        <v>33</v>
      </c>
      <c r="B22" s="14" t="s">
        <v>16</v>
      </c>
      <c r="C22" s="9" t="n">
        <f aca="false">SUM(C5:C21)</f>
        <v>9396.44364</v>
      </c>
      <c r="D22" s="9" t="n">
        <f aca="false">SUM(D5:D21)</f>
        <v>22391.664858</v>
      </c>
      <c r="E22" s="9" t="n">
        <f aca="false">SUM(E5:E21)</f>
        <v>803.464672</v>
      </c>
      <c r="F22" s="9" t="n">
        <f aca="false">SUM(F5:F21)</f>
        <v>6335.40156</v>
      </c>
      <c r="G22" s="9" t="n">
        <f aca="false">SUM(G5:G21)</f>
        <v>22836.25735</v>
      </c>
      <c r="H22" s="9" t="n">
        <f aca="false">SUM(H5:H21)</f>
        <v>783.383412</v>
      </c>
      <c r="I22" s="9" t="n">
        <f aca="false">SUM(I5:I21)</f>
        <v>62546.615492</v>
      </c>
      <c r="J22" s="9" t="n">
        <f aca="false">SUM(J5:J21)</f>
        <v>66924.87857644</v>
      </c>
      <c r="K22" s="15" t="n">
        <f aca="false">SUM(K5:K21)</f>
        <v>5189</v>
      </c>
      <c r="L22" s="9" t="n">
        <f aca="false">SUM(L5:L21)</f>
        <v>66025.3407</v>
      </c>
      <c r="M22" s="12" t="n">
        <f aca="false">'Раскрой 11,7м'!H464</f>
        <v>0.0526877282437105</v>
      </c>
    </row>
    <row r="23" customFormat="false" ht="15" hidden="false" customHeight="false" outlineLevel="0" collapsed="false">
      <c r="A23" s="13" t="s">
        <v>33</v>
      </c>
      <c r="B23" s="14" t="s">
        <v>34</v>
      </c>
      <c r="C23" s="16" t="n">
        <f aca="false">C22/1000</f>
        <v>9.39644364</v>
      </c>
      <c r="D23" s="16" t="n">
        <f aca="false">D22/1000</f>
        <v>22.391664858</v>
      </c>
      <c r="E23" s="16" t="n">
        <f aca="false">E22/1000</f>
        <v>0.803464672</v>
      </c>
      <c r="F23" s="16" t="n">
        <f aca="false">F22/1000</f>
        <v>6.33540156</v>
      </c>
      <c r="G23" s="16" t="n">
        <f aca="false">G22/1000</f>
        <v>22.83625735</v>
      </c>
      <c r="H23" s="16" t="n">
        <f aca="false">H22/1000</f>
        <v>0.783383412</v>
      </c>
      <c r="I23" s="16" t="n">
        <f aca="false">I22/1000</f>
        <v>62.546615492</v>
      </c>
      <c r="J23" s="16" t="n">
        <f aca="false">J22/1000</f>
        <v>66.92487857644</v>
      </c>
      <c r="L23" s="16" t="n">
        <f aca="false">L22/1000</f>
        <v>66.0253407</v>
      </c>
    </row>
    <row r="24" customFormat="false" ht="15" hidden="false" customHeight="false" outlineLevel="0" collapsed="false">
      <c r="A24" s="17" t="s">
        <v>35</v>
      </c>
      <c r="B24" s="18" t="s">
        <v>16</v>
      </c>
      <c r="C24" s="19" t="n">
        <f aca="false">SUM(C22:E22)</f>
        <v>32591.57317</v>
      </c>
      <c r="D24" s="19"/>
      <c r="E24" s="19"/>
      <c r="F24" s="19" t="n">
        <f aca="false">SUM(F22:H22)</f>
        <v>29955.042322</v>
      </c>
      <c r="G24" s="19"/>
      <c r="H24" s="19"/>
      <c r="I24" s="19" t="n">
        <f aca="false">I22</f>
        <v>62546.615492</v>
      </c>
    </row>
    <row r="25" customFormat="false" ht="15" hidden="false" customHeight="false" outlineLevel="0" collapsed="false">
      <c r="A25" s="20" t="s">
        <v>36</v>
      </c>
      <c r="I25" s="21" t="n">
        <f aca="false">ROUND(I22-Ведомость!P849,1)+ROUND(I22-'По осям'!AI25-'По осям'!AI71,1)</f>
        <v>0</v>
      </c>
      <c r="J25" s="22" t="s">
        <v>37</v>
      </c>
    </row>
    <row r="27" customFormat="false" ht="15" hidden="false" customHeight="false" outlineLevel="0" collapsed="false">
      <c r="A27" s="4" t="s">
        <v>38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A28" s="5" t="s">
        <v>39</v>
      </c>
      <c r="B28" s="5" t="s">
        <v>3</v>
      </c>
      <c r="C28" s="5" t="s">
        <v>4</v>
      </c>
      <c r="D28" s="5"/>
      <c r="E28" s="5"/>
      <c r="F28" s="5" t="s">
        <v>5</v>
      </c>
      <c r="G28" s="5"/>
      <c r="H28" s="5"/>
      <c r="I28" s="5" t="s">
        <v>6</v>
      </c>
    </row>
    <row r="29" customFormat="false" ht="48" hidden="false" customHeight="true" outlineLevel="0" collapsed="false">
      <c r="A29" s="5"/>
      <c r="B29" s="5"/>
      <c r="C29" s="5" t="s">
        <v>9</v>
      </c>
      <c r="D29" s="5" t="s">
        <v>10</v>
      </c>
      <c r="E29" s="5" t="s">
        <v>11</v>
      </c>
      <c r="F29" s="5" t="s">
        <v>9</v>
      </c>
      <c r="G29" s="5" t="s">
        <v>10</v>
      </c>
      <c r="H29" s="5" t="s">
        <v>11</v>
      </c>
      <c r="I29" s="5"/>
    </row>
    <row r="30" customFormat="false" ht="15" hidden="false" customHeight="false" outlineLevel="0" collapsed="false">
      <c r="A30" s="6" t="s">
        <v>40</v>
      </c>
      <c r="B30" s="7" t="s">
        <v>41</v>
      </c>
      <c r="C30" s="23" t="n">
        <f aca="false">'По осям'!AL31</f>
        <v>43.9216</v>
      </c>
      <c r="D30" s="23" t="n">
        <f aca="false">'По осям'!AO31</f>
        <v>112.11321</v>
      </c>
      <c r="E30" s="23" t="n">
        <f aca="false">'По осям'!AR31</f>
        <v>3.29071718761118</v>
      </c>
      <c r="F30" s="23" t="n">
        <f aca="false">'По осям'!AL77</f>
        <v>39.3936</v>
      </c>
      <c r="G30" s="23" t="n">
        <f aca="false">'По осям'!AO77</f>
        <v>112.16529</v>
      </c>
      <c r="H30" s="23" t="n">
        <f aca="false">'По осям'!AR77</f>
        <v>3.06997095969094</v>
      </c>
      <c r="I30" s="24" t="n">
        <f aca="false">SUM(C30:H30)</f>
        <v>313.954388147302</v>
      </c>
    </row>
    <row r="32" customFormat="false" ht="15" hidden="false" customHeight="false" outlineLevel="0" collapsed="false">
      <c r="A32" s="4" t="s">
        <v>42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5" t="s">
        <v>43</v>
      </c>
      <c r="B33" s="5" t="s">
        <v>3</v>
      </c>
      <c r="C33" s="5" t="s">
        <v>4</v>
      </c>
      <c r="D33" s="5"/>
      <c r="E33" s="5"/>
      <c r="F33" s="5" t="s">
        <v>5</v>
      </c>
      <c r="G33" s="5"/>
      <c r="H33" s="5"/>
      <c r="I33" s="5" t="s">
        <v>6</v>
      </c>
    </row>
    <row r="34" customFormat="false" ht="48" hidden="false" customHeight="true" outlineLevel="0" collapsed="false">
      <c r="A34" s="5"/>
      <c r="B34" s="5"/>
      <c r="C34" s="5" t="s">
        <v>9</v>
      </c>
      <c r="D34" s="5" t="s">
        <v>10</v>
      </c>
      <c r="E34" s="5" t="s">
        <v>11</v>
      </c>
      <c r="F34" s="5" t="s">
        <v>9</v>
      </c>
      <c r="G34" s="5" t="s">
        <v>10</v>
      </c>
      <c r="H34" s="5" t="s">
        <v>11</v>
      </c>
      <c r="I34" s="5"/>
    </row>
    <row r="35" customFormat="false" ht="15" hidden="false" customHeight="false" outlineLevel="0" collapsed="false">
      <c r="A35" s="6" t="s">
        <v>44</v>
      </c>
      <c r="B35" s="7" t="s">
        <v>45</v>
      </c>
      <c r="C35" s="25" t="n">
        <f aca="false">'По осям'!AJ35</f>
        <v>0</v>
      </c>
      <c r="D35" s="25" t="n">
        <f aca="false">'По осям'!AM35</f>
        <v>0</v>
      </c>
      <c r="E35" s="25" t="n">
        <f aca="false">'По осям'!AP35</f>
        <v>0</v>
      </c>
      <c r="F35" s="25" t="n">
        <f aca="false">'По осям'!AJ81</f>
        <v>0</v>
      </c>
      <c r="G35" s="25" t="n">
        <f aca="false">'По осям'!AM81</f>
        <v>0</v>
      </c>
      <c r="H35" s="25" t="n">
        <f aca="false">'По осям'!AP81</f>
        <v>0</v>
      </c>
      <c r="I35" s="26" t="n">
        <f aca="false">SUM(C35:H35)</f>
        <v>0</v>
      </c>
    </row>
    <row r="36" customFormat="false" ht="15" hidden="false" customHeight="false" outlineLevel="0" collapsed="false">
      <c r="A36" s="6" t="s">
        <v>46</v>
      </c>
      <c r="B36" s="7" t="s">
        <v>45</v>
      </c>
      <c r="C36" s="25" t="n">
        <f aca="false">'По осям'!AJ36</f>
        <v>0</v>
      </c>
      <c r="D36" s="25" t="n">
        <f aca="false">'По осям'!AM36</f>
        <v>0</v>
      </c>
      <c r="E36" s="25" t="n">
        <f aca="false">'По осям'!AP36</f>
        <v>0</v>
      </c>
      <c r="F36" s="25" t="n">
        <f aca="false">'По осям'!AJ82</f>
        <v>0</v>
      </c>
      <c r="G36" s="25" t="n">
        <f aca="false">'По осям'!AM82</f>
        <v>0</v>
      </c>
      <c r="H36" s="25" t="n">
        <f aca="false">'По осям'!AP82</f>
        <v>0</v>
      </c>
      <c r="I36" s="26" t="n">
        <f aca="false">SUM(C36:H36)</f>
        <v>0</v>
      </c>
    </row>
    <row r="37" customFormat="false" ht="15" hidden="false" customHeight="false" outlineLevel="0" collapsed="false">
      <c r="A37" s="6" t="s">
        <v>47</v>
      </c>
      <c r="B37" s="7" t="s">
        <v>45</v>
      </c>
      <c r="C37" s="25" t="n">
        <f aca="false">'По осям'!AJ37</f>
        <v>0</v>
      </c>
      <c r="D37" s="25" t="n">
        <f aca="false">'По осям'!AM37</f>
        <v>0</v>
      </c>
      <c r="E37" s="25" t="n">
        <f aca="false">'По осям'!AP37</f>
        <v>0</v>
      </c>
      <c r="F37" s="25" t="n">
        <f aca="false">'По осям'!AJ83</f>
        <v>0</v>
      </c>
      <c r="G37" s="25" t="n">
        <f aca="false">'По осям'!AM83</f>
        <v>0</v>
      </c>
      <c r="H37" s="25" t="n">
        <f aca="false">'По осям'!AP83</f>
        <v>0</v>
      </c>
      <c r="I37" s="26" t="n">
        <f aca="false">SUM(C37:H37)</f>
        <v>0</v>
      </c>
    </row>
    <row r="38" customFormat="false" ht="15" hidden="false" customHeight="false" outlineLevel="0" collapsed="false">
      <c r="A38" s="6" t="s">
        <v>48</v>
      </c>
      <c r="B38" s="7" t="s">
        <v>45</v>
      </c>
      <c r="C38" s="25" t="n">
        <f aca="false">'По осям'!AJ38</f>
        <v>0</v>
      </c>
      <c r="D38" s="25" t="n">
        <f aca="false">'По осям'!AM38</f>
        <v>0</v>
      </c>
      <c r="E38" s="25" t="n">
        <f aca="false">'По осям'!AP38</f>
        <v>0</v>
      </c>
      <c r="F38" s="25" t="n">
        <f aca="false">'По осям'!AJ84</f>
        <v>0</v>
      </c>
      <c r="G38" s="25" t="n">
        <f aca="false">'По осям'!AM84</f>
        <v>0</v>
      </c>
      <c r="H38" s="25" t="n">
        <f aca="false">'По осям'!AP84</f>
        <v>0</v>
      </c>
      <c r="I38" s="26" t="n">
        <f aca="false">SUM(C38:H38)</f>
        <v>0</v>
      </c>
    </row>
    <row r="39" customFormat="false" ht="15" hidden="false" customHeight="false" outlineLevel="0" collapsed="false">
      <c r="A39" s="6" t="s">
        <v>49</v>
      </c>
      <c r="B39" s="7" t="s">
        <v>45</v>
      </c>
      <c r="C39" s="25" t="n">
        <f aca="false">'По осям'!AJ39</f>
        <v>0</v>
      </c>
      <c r="D39" s="25" t="n">
        <f aca="false">'По осям'!AM39</f>
        <v>2</v>
      </c>
      <c r="E39" s="25" t="n">
        <f aca="false">'По осям'!AP39</f>
        <v>0</v>
      </c>
      <c r="F39" s="25" t="n">
        <f aca="false">'По осям'!AJ85</f>
        <v>0</v>
      </c>
      <c r="G39" s="25" t="n">
        <f aca="false">'По осям'!AM85</f>
        <v>2</v>
      </c>
      <c r="H39" s="25" t="n">
        <f aca="false">'По осям'!AP85</f>
        <v>0</v>
      </c>
      <c r="I39" s="26" t="n">
        <f aca="false">SUM(C39:H39)</f>
        <v>4</v>
      </c>
    </row>
    <row r="40" customFormat="false" ht="15" hidden="false" customHeight="false" outlineLevel="0" collapsed="false">
      <c r="A40" s="6" t="s">
        <v>50</v>
      </c>
      <c r="B40" s="7" t="s">
        <v>45</v>
      </c>
      <c r="C40" s="25" t="n">
        <f aca="false">'По осям'!AJ40</f>
        <v>0</v>
      </c>
      <c r="D40" s="25" t="n">
        <f aca="false">'По осям'!AM40</f>
        <v>16</v>
      </c>
      <c r="E40" s="25" t="n">
        <f aca="false">'По осям'!AP40</f>
        <v>34</v>
      </c>
      <c r="F40" s="25" t="n">
        <f aca="false">'По осям'!AJ86</f>
        <v>0</v>
      </c>
      <c r="G40" s="25" t="n">
        <f aca="false">'По осям'!AM86</f>
        <v>14</v>
      </c>
      <c r="H40" s="25" t="n">
        <f aca="false">'По осям'!AP86</f>
        <v>16</v>
      </c>
      <c r="I40" s="26" t="n">
        <f aca="false">SUM(C40:H40)</f>
        <v>80</v>
      </c>
    </row>
    <row r="41" customFormat="false" ht="15" hidden="false" customHeight="false" outlineLevel="0" collapsed="false">
      <c r="A41" s="6" t="s">
        <v>51</v>
      </c>
      <c r="B41" s="7" t="s">
        <v>45</v>
      </c>
      <c r="C41" s="25" t="n">
        <f aca="false">'По осям'!AJ41</f>
        <v>0</v>
      </c>
      <c r="D41" s="25" t="n">
        <f aca="false">'По осям'!AM41</f>
        <v>86</v>
      </c>
      <c r="E41" s="25" t="n">
        <f aca="false">'По осям'!AP41</f>
        <v>0</v>
      </c>
      <c r="F41" s="25" t="n">
        <f aca="false">'По осям'!AJ87</f>
        <v>0</v>
      </c>
      <c r="G41" s="25" t="n">
        <f aca="false">'По осям'!AM87</f>
        <v>82</v>
      </c>
      <c r="H41" s="25" t="n">
        <f aca="false">'По осям'!AP87</f>
        <v>0</v>
      </c>
      <c r="I41" s="26" t="n">
        <f aca="false">SUM(C41:H41)</f>
        <v>168</v>
      </c>
    </row>
    <row r="42" customFormat="false" ht="15" hidden="false" customHeight="false" outlineLevel="0" collapsed="false">
      <c r="A42" s="6" t="s">
        <v>52</v>
      </c>
      <c r="B42" s="7" t="s">
        <v>45</v>
      </c>
      <c r="C42" s="25" t="n">
        <f aca="false">'По осям'!AJ42</f>
        <v>0</v>
      </c>
      <c r="D42" s="25" t="n">
        <f aca="false">'По осям'!AM42</f>
        <v>6</v>
      </c>
      <c r="E42" s="25" t="n">
        <f aca="false">'По осям'!AP42</f>
        <v>0</v>
      </c>
      <c r="F42" s="25" t="n">
        <f aca="false">'По осям'!AJ88</f>
        <v>0</v>
      </c>
      <c r="G42" s="25" t="n">
        <f aca="false">'По осям'!AM88</f>
        <v>12</v>
      </c>
      <c r="H42" s="25" t="n">
        <f aca="false">'По осям'!AP88</f>
        <v>0</v>
      </c>
      <c r="I42" s="26" t="n">
        <f aca="false">SUM(C42:H42)</f>
        <v>18</v>
      </c>
    </row>
    <row r="43" customFormat="false" ht="15" hidden="false" customHeight="false" outlineLevel="0" collapsed="false">
      <c r="A43" s="6" t="s">
        <v>53</v>
      </c>
      <c r="B43" s="7" t="s">
        <v>45</v>
      </c>
      <c r="C43" s="25" t="n">
        <f aca="false">'По осям'!AJ43</f>
        <v>80</v>
      </c>
      <c r="D43" s="25" t="n">
        <f aca="false">'По осям'!AM43</f>
        <v>0</v>
      </c>
      <c r="E43" s="25" t="n">
        <f aca="false">'По осям'!AP43</f>
        <v>0</v>
      </c>
      <c r="F43" s="25" t="n">
        <f aca="false">'По осям'!AJ89</f>
        <v>0</v>
      </c>
      <c r="G43" s="25" t="n">
        <f aca="false">'По осям'!AM89</f>
        <v>0</v>
      </c>
      <c r="H43" s="25" t="n">
        <f aca="false">'По осям'!AP89</f>
        <v>0</v>
      </c>
      <c r="I43" s="26" t="n">
        <f aca="false">SUM(C43:H43)</f>
        <v>80</v>
      </c>
    </row>
    <row r="44" customFormat="false" ht="15" hidden="false" customHeight="false" outlineLevel="0" collapsed="false">
      <c r="A44" s="6" t="s">
        <v>54</v>
      </c>
      <c r="B44" s="7" t="s">
        <v>45</v>
      </c>
      <c r="C44" s="25" t="n">
        <f aca="false">'По осям'!AJ44</f>
        <v>104</v>
      </c>
      <c r="D44" s="25" t="n">
        <f aca="false">'По осям'!AM44</f>
        <v>52</v>
      </c>
      <c r="E44" s="25" t="n">
        <f aca="false">'По осям'!AP44</f>
        <v>0</v>
      </c>
      <c r="F44" s="25" t="n">
        <f aca="false">'По осям'!AJ90</f>
        <v>80</v>
      </c>
      <c r="G44" s="25" t="n">
        <f aca="false">'По осям'!AM90</f>
        <v>52</v>
      </c>
      <c r="H44" s="25" t="n">
        <f aca="false">'По осям'!AP90</f>
        <v>0</v>
      </c>
      <c r="I44" s="26" t="n">
        <f aca="false">SUM(C44:H44)</f>
        <v>288</v>
      </c>
    </row>
    <row r="45" customFormat="false" ht="15" hidden="false" customHeight="false" outlineLevel="0" collapsed="false">
      <c r="A45" s="6" t="s">
        <v>55</v>
      </c>
      <c r="B45" s="7" t="s">
        <v>45</v>
      </c>
      <c r="C45" s="25" t="n">
        <f aca="false">'По осям'!AJ45</f>
        <v>36</v>
      </c>
      <c r="D45" s="25" t="n">
        <f aca="false">'По осям'!AM45</f>
        <v>40</v>
      </c>
      <c r="E45" s="25" t="n">
        <f aca="false">'По осям'!AP45</f>
        <v>0</v>
      </c>
      <c r="F45" s="25" t="n">
        <f aca="false">'По осям'!AJ91</f>
        <v>60</v>
      </c>
      <c r="G45" s="25" t="n">
        <f aca="false">'По осям'!AM91</f>
        <v>40</v>
      </c>
      <c r="H45" s="25" t="n">
        <f aca="false">'По осям'!AP91</f>
        <v>0</v>
      </c>
      <c r="I45" s="26" t="n">
        <f aca="false">SUM(C45:H45)</f>
        <v>176</v>
      </c>
    </row>
    <row r="46" customFormat="false" ht="15" hidden="false" customHeight="false" outlineLevel="0" collapsed="false">
      <c r="A46" s="6" t="s">
        <v>56</v>
      </c>
      <c r="B46" s="7" t="s">
        <v>45</v>
      </c>
      <c r="C46" s="25" t="n">
        <f aca="false">'По осям'!AJ46</f>
        <v>36</v>
      </c>
      <c r="D46" s="25" t="n">
        <f aca="false">'По осям'!AM46</f>
        <v>0</v>
      </c>
      <c r="E46" s="25" t="n">
        <f aca="false">'По осям'!AP46</f>
        <v>0</v>
      </c>
      <c r="F46" s="25" t="n">
        <f aca="false">'По осям'!AJ92</f>
        <v>6</v>
      </c>
      <c r="G46" s="25" t="n">
        <f aca="false">'По осям'!AM92</f>
        <v>0</v>
      </c>
      <c r="H46" s="25" t="n">
        <f aca="false">'По осям'!AP92</f>
        <v>0</v>
      </c>
      <c r="I46" s="26" t="n">
        <f aca="false">SUM(C46:H46)</f>
        <v>42</v>
      </c>
    </row>
    <row r="47" customFormat="false" ht="15" hidden="false" customHeight="false" outlineLevel="0" collapsed="false">
      <c r="A47" s="6" t="s">
        <v>57</v>
      </c>
      <c r="B47" s="7" t="s">
        <v>45</v>
      </c>
      <c r="C47" s="25" t="n">
        <f aca="false">'По осям'!AJ47</f>
        <v>166</v>
      </c>
      <c r="D47" s="25" t="n">
        <f aca="false">'По осям'!AM47</f>
        <v>0</v>
      </c>
      <c r="E47" s="25" t="n">
        <f aca="false">'По осям'!AP47</f>
        <v>0</v>
      </c>
      <c r="F47" s="25" t="n">
        <f aca="false">'По осям'!AJ93</f>
        <v>164</v>
      </c>
      <c r="G47" s="25" t="n">
        <f aca="false">'По осям'!AM93</f>
        <v>0</v>
      </c>
      <c r="H47" s="25" t="n">
        <f aca="false">'По осям'!AP93</f>
        <v>0</v>
      </c>
      <c r="I47" s="26" t="n">
        <f aca="false">SUM(C47:H47)</f>
        <v>330</v>
      </c>
    </row>
    <row r="49" customFormat="false" ht="15" hidden="false" customHeight="false" outlineLevel="0" collapsed="false">
      <c r="A49" s="27" t="s">
        <v>58</v>
      </c>
    </row>
    <row r="50" customFormat="false" ht="15" hidden="false" customHeight="false" outlineLevel="0" collapsed="false">
      <c r="A50" s="28" t="s">
        <v>59</v>
      </c>
    </row>
    <row r="51" customFormat="false" ht="15" hidden="false" customHeight="false" outlineLevel="0" collapsed="false">
      <c r="A51" s="28" t="s">
        <v>60</v>
      </c>
    </row>
    <row r="52" customFormat="false" ht="15" hidden="false" customHeight="false" outlineLevel="0" collapsed="false">
      <c r="A52" s="28" t="s">
        <v>61</v>
      </c>
    </row>
    <row r="53" customFormat="false" ht="15" hidden="false" customHeight="false" outlineLevel="0" collapsed="false">
      <c r="A53" s="28" t="s">
        <v>62</v>
      </c>
    </row>
  </sheetData>
  <mergeCells count="19">
    <mergeCell ref="A3:A4"/>
    <mergeCell ref="B3:B4"/>
    <mergeCell ref="C3:E3"/>
    <mergeCell ref="F3:H3"/>
    <mergeCell ref="I3:I4"/>
    <mergeCell ref="J3:J4"/>
    <mergeCell ref="K3:M3"/>
    <mergeCell ref="C24:E24"/>
    <mergeCell ref="F24:H24"/>
    <mergeCell ref="A28:A29"/>
    <mergeCell ref="B28:B29"/>
    <mergeCell ref="C28:E28"/>
    <mergeCell ref="F28:H28"/>
    <mergeCell ref="I28:I29"/>
    <mergeCell ref="A33:A34"/>
    <mergeCell ref="B33:B34"/>
    <mergeCell ref="C33:E33"/>
    <mergeCell ref="F33:H33"/>
    <mergeCell ref="I33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R1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2" min="2" style="0" width="10.51"/>
    <col collapsed="false" customWidth="true" hidden="false" outlineLevel="0" max="44" min="33" style="0" width="9.51"/>
  </cols>
  <sheetData>
    <row r="1" customFormat="false" ht="23.85" hidden="false" customHeight="false" outlineLevel="0" collapsed="false">
      <c r="A1" s="29" t="s">
        <v>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J1" s="5" t="s">
        <v>64</v>
      </c>
      <c r="AK1" s="5" t="s">
        <v>65</v>
      </c>
    </row>
    <row r="2" customFormat="false" ht="15" hidden="false" customHeight="false" outlineLevel="0" collapsed="false">
      <c r="A2" s="28" t="s">
        <v>66</v>
      </c>
      <c r="AJ2" s="30" t="n">
        <f aca="false">Исходные!$B$13</f>
        <v>1.07</v>
      </c>
      <c r="AK2" s="30" t="n">
        <f aca="false">Исходные!$B$14</f>
        <v>1</v>
      </c>
    </row>
    <row r="4" customFormat="false" ht="30" hidden="false" customHeight="true" outlineLevel="0" collapsed="false">
      <c r="A4" s="31" t="s">
        <v>67</v>
      </c>
      <c r="B4" s="31" t="s">
        <v>68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 t="s">
        <v>69</v>
      </c>
      <c r="T4" s="31"/>
      <c r="U4" s="31"/>
      <c r="V4" s="31" t="s">
        <v>70</v>
      </c>
      <c r="W4" s="31"/>
      <c r="X4" s="31"/>
      <c r="Y4" s="31"/>
      <c r="Z4" s="31"/>
      <c r="AA4" s="31"/>
      <c r="AB4" s="31" t="s">
        <v>71</v>
      </c>
      <c r="AC4" s="31" t="s">
        <v>72</v>
      </c>
      <c r="AD4" s="31"/>
      <c r="AE4" s="31"/>
      <c r="AF4" s="31"/>
      <c r="AG4" s="31"/>
      <c r="AH4" s="31"/>
      <c r="AI4" s="31"/>
      <c r="AJ4" s="31" t="s">
        <v>9</v>
      </c>
      <c r="AK4" s="31"/>
      <c r="AL4" s="31"/>
      <c r="AM4" s="31" t="s">
        <v>73</v>
      </c>
      <c r="AN4" s="31"/>
      <c r="AO4" s="31"/>
      <c r="AP4" s="31" t="s">
        <v>74</v>
      </c>
      <c r="AQ4" s="31"/>
      <c r="AR4" s="31"/>
    </row>
    <row r="5" customFormat="false" ht="30" hidden="false" customHeight="true" outlineLevel="0" collapsed="false">
      <c r="A5" s="5" t="s">
        <v>75</v>
      </c>
      <c r="B5" s="5" t="s">
        <v>76</v>
      </c>
      <c r="C5" s="5" t="s">
        <v>76</v>
      </c>
      <c r="D5" s="5" t="s">
        <v>76</v>
      </c>
      <c r="E5" s="5" t="s">
        <v>76</v>
      </c>
      <c r="F5" s="5" t="s">
        <v>77</v>
      </c>
      <c r="G5" s="5" t="s">
        <v>77</v>
      </c>
      <c r="H5" s="5" t="s">
        <v>78</v>
      </c>
      <c r="I5" s="5" t="s">
        <v>78</v>
      </c>
      <c r="J5" s="5" t="s">
        <v>79</v>
      </c>
      <c r="K5" s="5" t="s">
        <v>79</v>
      </c>
      <c r="L5" s="5" t="s">
        <v>79</v>
      </c>
      <c r="M5" s="5" t="s">
        <v>79</v>
      </c>
      <c r="N5" s="5" t="s">
        <v>79</v>
      </c>
      <c r="O5" s="5" t="s">
        <v>80</v>
      </c>
      <c r="P5" s="5" t="s">
        <v>81</v>
      </c>
      <c r="Q5" s="5" t="s">
        <v>82</v>
      </c>
      <c r="R5" s="5" t="s">
        <v>83</v>
      </c>
      <c r="S5" s="5" t="s">
        <v>84</v>
      </c>
      <c r="T5" s="5" t="s">
        <v>85</v>
      </c>
      <c r="U5" s="5" t="s">
        <v>86</v>
      </c>
      <c r="V5" s="5" t="s">
        <v>84</v>
      </c>
      <c r="W5" s="5" t="s">
        <v>85</v>
      </c>
      <c r="X5" s="5" t="s">
        <v>87</v>
      </c>
      <c r="Y5" s="5" t="s">
        <v>86</v>
      </c>
      <c r="Z5" s="5"/>
      <c r="AA5" s="5" t="s">
        <v>88</v>
      </c>
      <c r="AB5" s="5" t="s">
        <v>89</v>
      </c>
      <c r="AC5" s="5" t="s">
        <v>90</v>
      </c>
      <c r="AD5" s="5" t="s">
        <v>91</v>
      </c>
      <c r="AE5" s="5" t="s">
        <v>92</v>
      </c>
      <c r="AF5" s="5" t="s">
        <v>93</v>
      </c>
      <c r="AG5" s="5" t="s">
        <v>33</v>
      </c>
      <c r="AH5" s="5" t="s">
        <v>94</v>
      </c>
      <c r="AI5" s="5" t="s">
        <v>95</v>
      </c>
      <c r="AJ5" s="5" t="s">
        <v>33</v>
      </c>
      <c r="AK5" s="5" t="s">
        <v>94</v>
      </c>
      <c r="AL5" s="5" t="s">
        <v>95</v>
      </c>
      <c r="AM5" s="5" t="s">
        <v>33</v>
      </c>
      <c r="AN5" s="5" t="s">
        <v>94</v>
      </c>
      <c r="AO5" s="5" t="s">
        <v>95</v>
      </c>
      <c r="AP5" s="5" t="s">
        <v>33</v>
      </c>
      <c r="AQ5" s="5" t="s">
        <v>94</v>
      </c>
      <c r="AR5" s="5" t="s">
        <v>95</v>
      </c>
    </row>
    <row r="6" customFormat="false" ht="30" hidden="false" customHeight="true" outlineLevel="0" collapsed="false">
      <c r="A6" s="5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5" t="s">
        <v>100</v>
      </c>
      <c r="H6" s="5" t="s">
        <v>101</v>
      </c>
      <c r="I6" s="5" t="s">
        <v>100</v>
      </c>
      <c r="J6" s="5" t="s">
        <v>102</v>
      </c>
      <c r="K6" s="5" t="s">
        <v>103</v>
      </c>
      <c r="L6" s="5" t="s">
        <v>104</v>
      </c>
      <c r="M6" s="5" t="s">
        <v>105</v>
      </c>
      <c r="N6" s="5" t="s">
        <v>100</v>
      </c>
      <c r="O6" s="5" t="s">
        <v>106</v>
      </c>
      <c r="P6" s="5" t="s">
        <v>107</v>
      </c>
      <c r="Q6" s="5" t="s">
        <v>107</v>
      </c>
      <c r="R6" s="5" t="s">
        <v>107</v>
      </c>
      <c r="S6" s="5"/>
      <c r="T6" s="5"/>
      <c r="U6" s="5" t="s">
        <v>108</v>
      </c>
      <c r="V6" s="5"/>
      <c r="W6" s="5" t="s">
        <v>109</v>
      </c>
      <c r="X6" s="5"/>
      <c r="Y6" s="5" t="s">
        <v>110</v>
      </c>
      <c r="Z6" s="5" t="s">
        <v>111</v>
      </c>
      <c r="AA6" s="5" t="s">
        <v>112</v>
      </c>
      <c r="AB6" s="5" t="s">
        <v>113</v>
      </c>
      <c r="AC6" s="5" t="s">
        <v>114</v>
      </c>
      <c r="AD6" s="5" t="s">
        <v>115</v>
      </c>
      <c r="AE6" s="5" t="s">
        <v>116</v>
      </c>
      <c r="AF6" s="5" t="s">
        <v>117</v>
      </c>
      <c r="AG6" s="5" t="s">
        <v>118</v>
      </c>
      <c r="AH6" s="5"/>
      <c r="AI6" s="5" t="s">
        <v>16</v>
      </c>
      <c r="AJ6" s="5" t="s">
        <v>118</v>
      </c>
      <c r="AK6" s="5"/>
      <c r="AL6" s="5" t="s">
        <v>16</v>
      </c>
      <c r="AM6" s="5" t="s">
        <v>118</v>
      </c>
      <c r="AN6" s="5"/>
      <c r="AO6" s="5" t="s">
        <v>16</v>
      </c>
      <c r="AP6" s="5" t="s">
        <v>118</v>
      </c>
      <c r="AQ6" s="5"/>
      <c r="AR6" s="5" t="s">
        <v>16</v>
      </c>
    </row>
    <row r="7" customFormat="false" ht="15" hidden="false" customHeight="false" outlineLevel="0" collapsed="false">
      <c r="A7" s="4" t="s">
        <v>119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customFormat="false" ht="15" hidden="false" customHeight="false" outlineLevel="0" collapsed="false">
      <c r="A8" s="6" t="s">
        <v>120</v>
      </c>
      <c r="B8" s="32" t="n">
        <f aca="false">SUMIFS(Ведомость!$N$5:$N$846,Ведомость!$H$5:$H$846,32,Ведомость!$I$5:$I$846,"А500С",Ведомость!$V$5:$V$846,"Дм-1",Ведомость!$W$5:$W$846,1)</f>
        <v>16</v>
      </c>
      <c r="C8" s="32" t="n">
        <f aca="false">SUMIFS(Ведомость!$N$5:$N$846,Ведомость!$H$5:$H$846,32,Ведомость!$I$5:$I$846,"А500С",Ведомость!$V$5:$V$846,"Дм-2",Ведомость!$W$5:$W$846,1)</f>
        <v>16</v>
      </c>
      <c r="D8" s="32" t="n">
        <f aca="false">SUMIFS(Ведомость!$N$5:$N$846,Ведомость!$H$5:$H$846,32,Ведомость!$I$5:$I$846,"А500С",Ведомость!$V$5:$V$846,"К-А",Ведомость!$W$5:$W$846,1)</f>
        <v>48</v>
      </c>
      <c r="E8" s="32" t="n">
        <f aca="false">SUMIFS(Ведомость!$N$5:$N$846,Ведомость!$H$5:$H$846,32,Ведомость!$I$5:$I$846,"А500С",Ведомость!$V$5:$V$846,"Р-А",Ведомость!$W$5:$W$846,1)</f>
        <v>6.6</v>
      </c>
      <c r="F8" s="32" t="n">
        <f aca="false">SUMIFS(Ведомость!$N$5:$N$846,Ведомость!$H$5:$H$846,32,Ведомость!$I$5:$I$846,"А500С",Ведомость!$V$5:$V$846,"К-Б",Ведомость!$W$5:$W$846,1)</f>
        <v>80</v>
      </c>
      <c r="G8" s="32" t="n">
        <f aca="false">SUMIFS(Ведомость!$N$5:$N$846,Ведомость!$H$5:$H$846,32,Ведомость!$I$5:$I$846,"А500С",Ведомость!$V$5:$V$846,"Р-Б",Ведомость!$W$5:$W$846,1)</f>
        <v>7.4</v>
      </c>
      <c r="H8" s="32" t="n">
        <f aca="false">SUMIFS(Ведомость!$N$5:$N$846,Ведомость!$H$5:$H$846,32,Ведомость!$I$5:$I$846,"А500С",Ведомость!$V$5:$V$846,"К-В",Ведомость!$W$5:$W$846,1)</f>
        <v>80</v>
      </c>
      <c r="I8" s="32" t="n">
        <f aca="false">SUMIFS(Ведомость!$N$5:$N$846,Ведомость!$H$5:$H$846,32,Ведомость!$I$5:$I$846,"А500С",Ведомость!$V$5:$V$846,"Р-В",Ведомость!$W$5:$W$846,1)</f>
        <v>14.8</v>
      </c>
      <c r="J8" s="32" t="n">
        <f aca="false">SUMIFS(Ведомость!$N$5:$N$846,Ведомость!$H$5:$H$846,32,Ведомость!$I$5:$I$846,"А500С",Ведомость!$V$5:$V$846,"К-Г",Ведомость!$W$5:$W$846,1)</f>
        <v>32</v>
      </c>
      <c r="K8" s="32" t="n">
        <f aca="false">SUMIFS(Ведомость!$N$5:$N$846,Ведомость!$H$5:$H$846,32,Ведомость!$I$5:$I$846,"А500С",Ведомость!$V$5:$V$846,"Дм-3",Ведомость!$W$5:$W$846,1)</f>
        <v>16</v>
      </c>
      <c r="L8" s="32" t="n">
        <f aca="false">SUMIFS(Ведомость!$N$5:$N$846,Ведомость!$H$5:$H$846,32,Ведомость!$I$5:$I$846,"А500С",Ведомость!$V$5:$V$846,"Дм-4",Ведомость!$W$5:$W$846,1)</f>
        <v>16</v>
      </c>
      <c r="M8" s="32" t="n">
        <f aca="false">SUMIFS(Ведомость!$N$5:$N$846,Ведомость!$H$5:$H$846,32,Ведомость!$I$5:$I$846,"А500С",Ведомость!$V$5:$V$846,"Дм-5",Ведомость!$W$5:$W$846,1)</f>
        <v>16</v>
      </c>
      <c r="N8" s="32" t="n">
        <f aca="false">SUMIFS(Ведомость!$N$5:$N$846,Ведомость!$H$5:$H$846,32,Ведомость!$I$5:$I$846,"А500С",Ведомость!$V$5:$V$846,"Р-Г",Ведомость!$W$5:$W$846,1)</f>
        <v>8.6</v>
      </c>
      <c r="O8" s="32" t="n">
        <f aca="false">SUMIFS(Ведомость!$N$5:$N$846,Ведомость!$H$5:$H$846,32,Ведомость!$I$5:$I$846,"А500С",Ведомость!$V$5:$V$846,"Р-1, 5",Ведомость!$W$5:$W$846,1)</f>
        <v>15.2</v>
      </c>
      <c r="P8" s="32" t="n">
        <f aca="false">SUMIFS(Ведомость!$N$5:$N$846,Ведомость!$H$5:$H$846,32,Ведомость!$I$5:$I$846,"А500С",Ведомость!$V$5:$V$846,"Р-2",Ведомость!$W$5:$W$846,1)</f>
        <v>27.9</v>
      </c>
      <c r="Q8" s="32" t="n">
        <f aca="false">SUMIFS(Ведомость!$N$5:$N$846,Ведомость!$H$5:$H$846,32,Ведомость!$I$5:$I$846,"А500С",Ведомость!$V$5:$V$846,"Р-3",Ведомость!$W$5:$W$846,1)</f>
        <v>4.1</v>
      </c>
      <c r="R8" s="32" t="n">
        <f aca="false">SUMIFS(Ведомость!$N$5:$N$846,Ведомость!$H$5:$H$846,32,Ведомость!$I$5:$I$846,"А500С",Ведомость!$V$5:$V$846,"Р-4",Ведомость!$W$5:$W$846,1)</f>
        <v>17.3</v>
      </c>
      <c r="S8" s="32" t="n">
        <f aca="false">SUMIFS(Ведомость!$N$5:$N$846,Ведомость!$H$5:$H$846,32,Ведомость!$I$5:$I$846,"А500С",Ведомость!$V$5:$V$846,"Б-основная",Ведомость!$W$5:$W$846,1)</f>
        <v>0</v>
      </c>
      <c r="T8" s="32" t="n">
        <f aca="false">SUMIFS(Ведомость!$N$5:$N$846,Ведомость!$H$5:$H$846,32,Ведомость!$I$5:$I$846,"А500С",Ведомость!$V$5:$V$846,"Б-хомуты",Ведомость!$W$5:$W$846,1)</f>
        <v>0</v>
      </c>
      <c r="U8" s="32" t="n">
        <f aca="false">SUMIFS(Ведомость!$N$5:$N$846,Ведомость!$H$5:$H$846,32,Ведомость!$I$5:$I$846,"А500С",Ведомость!$V$5:$V$846,"Б-допник",Ведомость!$W$5:$W$846,1)</f>
        <v>0</v>
      </c>
      <c r="V8" s="32" t="n">
        <f aca="false">SUMIFS(Ведомость!$N$5:$N$846,Ведомость!$H$5:$H$846,32,Ведомость!$I$5:$I$846,"А500С",Ведомость!$V$5:$V$846,"П-сетка",Ведомость!$W$5:$W$846,1)</f>
        <v>0</v>
      </c>
      <c r="W8" s="32" t="n">
        <f aca="false">SUMIFS(Ведомость!$N$5:$N$846,Ведомость!$H$5:$H$846,32,Ведомость!$I$5:$I$846,"А500С",Ведомость!$V$5:$V$846,"П-фикс",Ведомость!$W$5:$W$846,1)</f>
        <v>0</v>
      </c>
      <c r="X8" s="32" t="n">
        <f aca="false">SUMIFS(Ведомость!$N$5:$N$846,Ведомость!$H$5:$H$846,32,Ведомость!$I$5:$I$846,"А500С",Ведомость!$V$5:$V$846,"П-отв",Ведомость!$W$5:$W$846,1)</f>
        <v>0</v>
      </c>
      <c r="Y8" s="32" t="n">
        <f aca="false">SUMIFS(Ведомость!$N$5:$N$846,Ведомость!$H$5:$H$846,32,Ведомость!$I$5:$I$846,"А500С",Ведомость!$V$5:$V$846,"П-доп-низ",Ведомость!$W$5:$W$846,1)</f>
        <v>0</v>
      </c>
      <c r="Z8" s="32" t="n">
        <f aca="false">SUMIFS(Ведомость!$N$5:$N$846,Ведомость!$H$5:$H$846,32,Ведомость!$I$5:$I$846,"А500С",Ведомость!$V$5:$V$846,"П-доп-верх",Ведомость!$W$5:$W$846,1)</f>
        <v>0</v>
      </c>
      <c r="AA8" s="32" t="n">
        <f aca="false">SUMIFS(Ведомость!$N$5:$N$846,Ведомость!$H$5:$H$846,32,Ведомость!$I$5:$I$846,"А500С",Ведомость!$V$5:$V$846,"П-край",Ведомость!$W$5:$W$846,1)</f>
        <v>0</v>
      </c>
      <c r="AB8" s="32" t="n">
        <f aca="false">SUMIFS(Ведомость!$N$5:$N$846,Ведомость!$H$5:$H$846,32,Ведомость!$I$5:$I$846,"А500С",Ведомость!$V$5:$V$846,"С-1",Ведомость!$W$5:$W$846,1)</f>
        <v>0</v>
      </c>
      <c r="AC8" s="32" t="n">
        <f aca="false">SUMIFS(Ведомость!$N$5:$N$846,Ведомость!$H$5:$H$846,32,Ведомость!$I$5:$I$846,"А500С",Ведомость!$V$5:$V$846,"Л1",Ведомость!$W$5:$W$846,1)</f>
        <v>0</v>
      </c>
      <c r="AD8" s="32" t="n">
        <f aca="false">SUMIFS(Ведомость!$N$5:$N$846,Ведомость!$H$5:$H$846,32,Ведомость!$I$5:$I$846,"А500С",Ведомость!$V$5:$V$846,"Л2",Ведомость!$W$5:$W$846,1)</f>
        <v>0</v>
      </c>
      <c r="AE8" s="32" t="n">
        <f aca="false">SUMIFS(Ведомость!$N$5:$N$846,Ведомость!$H$5:$H$846,32,Ведомость!$I$5:$I$846,"А500С",Ведомость!$V$5:$V$846,"Л-пл",Ведомость!$W$5:$W$846,1)</f>
        <v>0</v>
      </c>
      <c r="AF8" s="32" t="n">
        <f aca="false">SUMIFS(Ведомость!$N$5:$N$846,Ведомость!$H$5:$H$846,32,Ведомость!$I$5:$I$846,"А500С",Ведомость!$V$5:$V$846,"Л-рама",Ведомость!$W$5:$W$846,1)</f>
        <v>0</v>
      </c>
      <c r="AG8" s="33" t="n">
        <f aca="false">SUM(B8:AF8)</f>
        <v>421.9</v>
      </c>
      <c r="AH8" s="34" t="n">
        <f aca="false">IFERROR(INDEX(Исходные!$B$18:$B$30,MATCH(32,Исходные!$A$18:$A$30,0)),0)</f>
        <v>6.313</v>
      </c>
      <c r="AI8" s="33" t="n">
        <f aca="false">AG8*AH8*$AJ$2</f>
        <v>2849.896529</v>
      </c>
      <c r="AJ8" s="35" t="n">
        <f aca="false">SUM(B8:D8,F8,H8,J8:M8)</f>
        <v>320</v>
      </c>
      <c r="AK8" s="36" t="n">
        <f aca="false">AH8</f>
        <v>6.313</v>
      </c>
      <c r="AL8" s="37" t="n">
        <f aca="false">AJ8*AK8*$AJ$2</f>
        <v>2161.5712</v>
      </c>
      <c r="AM8" s="35" t="n">
        <f aca="false">SUM(E8,G8,I8,N8:AB8)</f>
        <v>101.9</v>
      </c>
      <c r="AN8" s="36" t="n">
        <f aca="false">AH8</f>
        <v>6.313</v>
      </c>
      <c r="AO8" s="37" t="n">
        <f aca="false">AM8*AN8*$AJ$2</f>
        <v>688.325329</v>
      </c>
      <c r="AP8" s="35" t="n">
        <f aca="false">SUM(AC8:AF8)</f>
        <v>0</v>
      </c>
      <c r="AQ8" s="36" t="n">
        <f aca="false">AH8</f>
        <v>6.313</v>
      </c>
      <c r="AR8" s="37" t="n">
        <f aca="false">AP8*AQ8*$AJ$2</f>
        <v>0</v>
      </c>
    </row>
    <row r="9" customFormat="false" ht="15" hidden="false" customHeight="false" outlineLevel="0" collapsed="false">
      <c r="A9" s="6" t="s">
        <v>121</v>
      </c>
      <c r="B9" s="32" t="n">
        <f aca="false">SUMIFS(Ведомость!$N$5:$N$846,Ведомость!$H$5:$H$846,28,Ведомость!$I$5:$I$846,"А500С",Ведомость!$V$5:$V$846,"Дм-1",Ведомость!$W$5:$W$846,1)</f>
        <v>128</v>
      </c>
      <c r="C9" s="32" t="n">
        <f aca="false">SUMIFS(Ведомость!$N$5:$N$846,Ведомость!$H$5:$H$846,28,Ведомость!$I$5:$I$846,"А500С",Ведомость!$V$5:$V$846,"Дм-2",Ведомость!$W$5:$W$846,1)</f>
        <v>88</v>
      </c>
      <c r="D9" s="32" t="n">
        <f aca="false">SUMIFS(Ведомость!$N$5:$N$846,Ведомость!$H$5:$H$846,28,Ведомость!$I$5:$I$846,"А500С",Ведомость!$V$5:$V$846,"К-А",Ведомость!$W$5:$W$846,1)</f>
        <v>0</v>
      </c>
      <c r="E9" s="32" t="n">
        <f aca="false">SUMIFS(Ведомость!$N$5:$N$846,Ведомость!$H$5:$H$846,28,Ведомость!$I$5:$I$846,"А500С",Ведомость!$V$5:$V$846,"Р-А",Ведомость!$W$5:$W$846,1)</f>
        <v>121.8</v>
      </c>
      <c r="F9" s="32" t="n">
        <f aca="false">SUMIFS(Ведомость!$N$5:$N$846,Ведомость!$H$5:$H$846,28,Ведомость!$I$5:$I$846,"А500С",Ведомость!$V$5:$V$846,"К-Б",Ведомость!$W$5:$W$846,1)</f>
        <v>0</v>
      </c>
      <c r="G9" s="32" t="n">
        <f aca="false">SUMIFS(Ведомость!$N$5:$N$846,Ведомость!$H$5:$H$846,28,Ведомость!$I$5:$I$846,"А500С",Ведомость!$V$5:$V$846,"Р-Б",Ведомость!$W$5:$W$846,1)</f>
        <v>116.6</v>
      </c>
      <c r="H9" s="32" t="n">
        <f aca="false">SUMIFS(Ведомость!$N$5:$N$846,Ведомость!$H$5:$H$846,28,Ведомость!$I$5:$I$846,"А500С",Ведомость!$V$5:$V$846,"К-В",Ведомость!$W$5:$W$846,1)</f>
        <v>0</v>
      </c>
      <c r="I9" s="32" t="n">
        <f aca="false">SUMIFS(Ведомость!$N$5:$N$846,Ведомость!$H$5:$H$846,28,Ведомость!$I$5:$I$846,"А500С",Ведомость!$V$5:$V$846,"Р-В",Ведомость!$W$5:$W$846,1)</f>
        <v>113.3</v>
      </c>
      <c r="J9" s="32" t="n">
        <f aca="false">SUMIFS(Ведомость!$N$5:$N$846,Ведомость!$H$5:$H$846,28,Ведомость!$I$5:$I$846,"А500С",Ведомость!$V$5:$V$846,"К-Г",Ведомость!$W$5:$W$846,1)</f>
        <v>0</v>
      </c>
      <c r="K9" s="32" t="n">
        <f aca="false">SUMIFS(Ведомость!$N$5:$N$846,Ведомость!$H$5:$H$846,28,Ведомость!$I$5:$I$846,"А500С",Ведомость!$V$5:$V$846,"Дм-3",Ведомость!$W$5:$W$846,1)</f>
        <v>88</v>
      </c>
      <c r="L9" s="32" t="n">
        <f aca="false">SUMIFS(Ведомость!$N$5:$N$846,Ведомость!$H$5:$H$846,28,Ведомость!$I$5:$I$846,"А500С",Ведомость!$V$5:$V$846,"Дм-4",Ведомость!$W$5:$W$846,1)</f>
        <v>56</v>
      </c>
      <c r="M9" s="32" t="n">
        <f aca="false">SUMIFS(Ведомость!$N$5:$N$846,Ведомость!$H$5:$H$846,28,Ведомость!$I$5:$I$846,"А500С",Ведомость!$V$5:$V$846,"Дм-5",Ведомость!$W$5:$W$846,1)</f>
        <v>56</v>
      </c>
      <c r="N9" s="32" t="n">
        <f aca="false">SUMIFS(Ведомость!$N$5:$N$846,Ведомость!$H$5:$H$846,28,Ведомость!$I$5:$I$846,"А500С",Ведомость!$V$5:$V$846,"Р-Г",Ведомость!$W$5:$W$846,1)</f>
        <v>144.1</v>
      </c>
      <c r="O9" s="32" t="n">
        <f aca="false">SUMIFS(Ведомость!$N$5:$N$846,Ведомость!$H$5:$H$846,28,Ведомость!$I$5:$I$846,"А500С",Ведомость!$V$5:$V$846,"Р-1, 5",Ведомость!$W$5:$W$846,1)</f>
        <v>187.4</v>
      </c>
      <c r="P9" s="32" t="n">
        <f aca="false">SUMIFS(Ведомость!$N$5:$N$846,Ведомость!$H$5:$H$846,28,Ведомость!$I$5:$I$846,"А500С",Ведомость!$V$5:$V$846,"Р-2",Ведомость!$W$5:$W$846,1)</f>
        <v>82</v>
      </c>
      <c r="Q9" s="32" t="n">
        <f aca="false">SUMIFS(Ведомость!$N$5:$N$846,Ведомость!$H$5:$H$846,28,Ведомость!$I$5:$I$846,"А500С",Ведомость!$V$5:$V$846,"Р-3",Ведомость!$W$5:$W$846,1)</f>
        <v>99.7</v>
      </c>
      <c r="R9" s="32" t="n">
        <f aca="false">SUMIFS(Ведомость!$N$5:$N$846,Ведомость!$H$5:$H$846,28,Ведомость!$I$5:$I$846,"А500С",Ведомость!$V$5:$V$846,"Р-4",Ведомость!$W$5:$W$846,1)</f>
        <v>89.2</v>
      </c>
      <c r="S9" s="32" t="n">
        <f aca="false">SUMIFS(Ведомость!$N$5:$N$846,Ведомость!$H$5:$H$846,28,Ведомость!$I$5:$I$846,"А500С",Ведомость!$V$5:$V$846,"Б-основная",Ведомость!$W$5:$W$846,1)</f>
        <v>0</v>
      </c>
      <c r="T9" s="32" t="n">
        <f aca="false">SUMIFS(Ведомость!$N$5:$N$846,Ведомость!$H$5:$H$846,28,Ведомость!$I$5:$I$846,"А500С",Ведомость!$V$5:$V$846,"Б-хомуты",Ведомость!$W$5:$W$846,1)</f>
        <v>0</v>
      </c>
      <c r="U9" s="32" t="n">
        <f aca="false">SUMIFS(Ведомость!$N$5:$N$846,Ведомость!$H$5:$H$846,28,Ведомость!$I$5:$I$846,"А500С",Ведомость!$V$5:$V$846,"Б-допник",Ведомость!$W$5:$W$846,1)</f>
        <v>0</v>
      </c>
      <c r="V9" s="32" t="n">
        <f aca="false">SUMIFS(Ведомость!$N$5:$N$846,Ведомость!$H$5:$H$846,28,Ведомость!$I$5:$I$846,"А500С",Ведомость!$V$5:$V$846,"П-сетка",Ведомость!$W$5:$W$846,1)</f>
        <v>0</v>
      </c>
      <c r="W9" s="32" t="n">
        <f aca="false">SUMIFS(Ведомость!$N$5:$N$846,Ведомость!$H$5:$H$846,28,Ведомость!$I$5:$I$846,"А500С",Ведомость!$V$5:$V$846,"П-фикс",Ведомость!$W$5:$W$846,1)</f>
        <v>0</v>
      </c>
      <c r="X9" s="32" t="n">
        <f aca="false">SUMIFS(Ведомость!$N$5:$N$846,Ведомость!$H$5:$H$846,28,Ведомость!$I$5:$I$846,"А500С",Ведомость!$V$5:$V$846,"П-отв",Ведомость!$W$5:$W$846,1)</f>
        <v>0</v>
      </c>
      <c r="Y9" s="32" t="n">
        <f aca="false">SUMIFS(Ведомость!$N$5:$N$846,Ведомость!$H$5:$H$846,28,Ведомость!$I$5:$I$846,"А500С",Ведомость!$V$5:$V$846,"П-доп-низ",Ведомость!$W$5:$W$846,1)</f>
        <v>0</v>
      </c>
      <c r="Z9" s="32" t="n">
        <f aca="false">SUMIFS(Ведомость!$N$5:$N$846,Ведомость!$H$5:$H$846,28,Ведомость!$I$5:$I$846,"А500С",Ведомость!$V$5:$V$846,"П-доп-верх",Ведомость!$W$5:$W$846,1)</f>
        <v>0</v>
      </c>
      <c r="AA9" s="32" t="n">
        <f aca="false">SUMIFS(Ведомость!$N$5:$N$846,Ведомость!$H$5:$H$846,28,Ведомость!$I$5:$I$846,"А500С",Ведомость!$V$5:$V$846,"П-край",Ведомость!$W$5:$W$846,1)</f>
        <v>0</v>
      </c>
      <c r="AB9" s="32" t="n">
        <f aca="false">SUMIFS(Ведомость!$N$5:$N$846,Ведомость!$H$5:$H$846,28,Ведомость!$I$5:$I$846,"А500С",Ведомость!$V$5:$V$846,"С-1",Ведомость!$W$5:$W$846,1)</f>
        <v>0</v>
      </c>
      <c r="AC9" s="32" t="n">
        <f aca="false">SUMIFS(Ведомость!$N$5:$N$846,Ведомость!$H$5:$H$846,28,Ведомость!$I$5:$I$846,"А500С",Ведомость!$V$5:$V$846,"Л1",Ведомость!$W$5:$W$846,1)</f>
        <v>0</v>
      </c>
      <c r="AD9" s="32" t="n">
        <f aca="false">SUMIFS(Ведомость!$N$5:$N$846,Ведомость!$H$5:$H$846,28,Ведомость!$I$5:$I$846,"А500С",Ведомость!$V$5:$V$846,"Л2",Ведомость!$W$5:$W$846,1)</f>
        <v>0</v>
      </c>
      <c r="AE9" s="32" t="n">
        <f aca="false">SUMIFS(Ведомость!$N$5:$N$846,Ведомость!$H$5:$H$846,28,Ведомость!$I$5:$I$846,"А500С",Ведомость!$V$5:$V$846,"Л-пл",Ведомость!$W$5:$W$846,1)</f>
        <v>0</v>
      </c>
      <c r="AF9" s="32" t="n">
        <f aca="false">SUMIFS(Ведомость!$N$5:$N$846,Ведомость!$H$5:$H$846,28,Ведомость!$I$5:$I$846,"А500С",Ведомость!$V$5:$V$846,"Л-рама",Ведомость!$W$5:$W$846,1)</f>
        <v>0</v>
      </c>
      <c r="AG9" s="33" t="n">
        <f aca="false">SUM(B9:AF9)</f>
        <v>1370.1</v>
      </c>
      <c r="AH9" s="34" t="n">
        <f aca="false">IFERROR(INDEX(Исходные!$B$18:$B$30,MATCH(28,Исходные!$A$18:$A$30,0)),0)</f>
        <v>4.834</v>
      </c>
      <c r="AI9" s="33" t="n">
        <f aca="false">AG9*AH9*$AJ$2</f>
        <v>7086.677838</v>
      </c>
      <c r="AJ9" s="35" t="n">
        <f aca="false">SUM(B9:D9,F9,H9,J9:M9)</f>
        <v>416</v>
      </c>
      <c r="AK9" s="36" t="n">
        <f aca="false">AH9</f>
        <v>4.834</v>
      </c>
      <c r="AL9" s="37" t="n">
        <f aca="false">AJ9*AK9*$AJ$2</f>
        <v>2151.71008</v>
      </c>
      <c r="AM9" s="35" t="n">
        <f aca="false">SUM(E9,G9,I9,N9:AB9)</f>
        <v>954.1</v>
      </c>
      <c r="AN9" s="36" t="n">
        <f aca="false">AH9</f>
        <v>4.834</v>
      </c>
      <c r="AO9" s="37" t="n">
        <f aca="false">AM9*AN9*$AJ$2</f>
        <v>4934.967758</v>
      </c>
      <c r="AP9" s="35" t="n">
        <f aca="false">SUM(AC9:AF9)</f>
        <v>0</v>
      </c>
      <c r="AQ9" s="36" t="n">
        <f aca="false">AH9</f>
        <v>4.834</v>
      </c>
      <c r="AR9" s="37" t="n">
        <f aca="false">AP9*AQ9*$AJ$2</f>
        <v>0</v>
      </c>
    </row>
    <row r="10" customFormat="false" ht="15" hidden="false" customHeight="false" outlineLevel="0" collapsed="false">
      <c r="A10" s="6" t="s">
        <v>122</v>
      </c>
      <c r="B10" s="32" t="n">
        <f aca="false">SUMIFS(Ведомость!$N$5:$N$846,Ведомость!$H$5:$H$846,25,Ведомость!$I$5:$I$846,"А500С",Ведомость!$V$5:$V$846,"Дм-1",Ведомость!$W$5:$W$846,1)</f>
        <v>32</v>
      </c>
      <c r="C10" s="32" t="n">
        <f aca="false">SUMIFS(Ведомость!$N$5:$N$846,Ведомость!$H$5:$H$846,25,Ведомость!$I$5:$I$846,"А500С",Ведомость!$V$5:$V$846,"Дм-2",Ведомость!$W$5:$W$846,1)</f>
        <v>32</v>
      </c>
      <c r="D10" s="32" t="n">
        <f aca="false">SUMIFS(Ведомость!$N$5:$N$846,Ведомость!$H$5:$H$846,25,Ведомость!$I$5:$I$846,"А500С",Ведомость!$V$5:$V$846,"К-А",Ведомость!$W$5:$W$846,1)</f>
        <v>0</v>
      </c>
      <c r="E10" s="32" t="n">
        <f aca="false">SUMIFS(Ведомость!$N$5:$N$846,Ведомость!$H$5:$H$846,25,Ведомость!$I$5:$I$846,"А500С",Ведомость!$V$5:$V$846,"Р-А",Ведомость!$W$5:$W$846,1)</f>
        <v>40.4</v>
      </c>
      <c r="F10" s="32" t="n">
        <f aca="false">SUMIFS(Ведомость!$N$5:$N$846,Ведомость!$H$5:$H$846,25,Ведомость!$I$5:$I$846,"А500С",Ведомость!$V$5:$V$846,"К-Б",Ведомость!$W$5:$W$846,1)</f>
        <v>0</v>
      </c>
      <c r="G10" s="32" t="n">
        <f aca="false">SUMIFS(Ведомость!$N$5:$N$846,Ведомость!$H$5:$H$846,25,Ведомость!$I$5:$I$846,"А500С",Ведомость!$V$5:$V$846,"Р-Б",Ведомость!$W$5:$W$846,1)</f>
        <v>8.2</v>
      </c>
      <c r="H10" s="32" t="n">
        <f aca="false">SUMIFS(Ведомость!$N$5:$N$846,Ведомость!$H$5:$H$846,25,Ведомость!$I$5:$I$846,"А500С",Ведомость!$V$5:$V$846,"К-В",Ведомость!$W$5:$W$846,1)</f>
        <v>0</v>
      </c>
      <c r="I10" s="32" t="n">
        <f aca="false">SUMIFS(Ведомость!$N$5:$N$846,Ведомость!$H$5:$H$846,25,Ведомость!$I$5:$I$846,"А500С",Ведомость!$V$5:$V$846,"Р-В",Ведомость!$W$5:$W$846,1)</f>
        <v>4.1</v>
      </c>
      <c r="J10" s="32" t="n">
        <f aca="false">SUMIFS(Ведомость!$N$5:$N$846,Ведомость!$H$5:$H$846,25,Ведомость!$I$5:$I$846,"А500С",Ведомость!$V$5:$V$846,"К-Г",Ведомость!$W$5:$W$846,1)</f>
        <v>0</v>
      </c>
      <c r="K10" s="32" t="n">
        <f aca="false">SUMIFS(Ведомость!$N$5:$N$846,Ведомость!$H$5:$H$846,25,Ведомость!$I$5:$I$846,"А500С",Ведомость!$V$5:$V$846,"Дм-3",Ведомость!$W$5:$W$846,1)</f>
        <v>40</v>
      </c>
      <c r="L10" s="32" t="n">
        <f aca="false">SUMIFS(Ведомость!$N$5:$N$846,Ведомость!$H$5:$H$846,25,Ведомость!$I$5:$I$846,"А500С",Ведомость!$V$5:$V$846,"Дм-4",Ведомость!$W$5:$W$846,1)</f>
        <v>0</v>
      </c>
      <c r="M10" s="32" t="n">
        <f aca="false">SUMIFS(Ведомость!$N$5:$N$846,Ведомость!$H$5:$H$846,25,Ведомость!$I$5:$I$846,"А500С",Ведомость!$V$5:$V$846,"Дм-5",Ведомость!$W$5:$W$846,1)</f>
        <v>40</v>
      </c>
      <c r="N10" s="32" t="n">
        <f aca="false">SUMIFS(Ведомость!$N$5:$N$846,Ведомость!$H$5:$H$846,25,Ведомость!$I$5:$I$846,"А500С",Ведомость!$V$5:$V$846,"Р-Г",Ведомость!$W$5:$W$846,1)</f>
        <v>4.1</v>
      </c>
      <c r="O10" s="32" t="n">
        <f aca="false">SUMIFS(Ведомость!$N$5:$N$846,Ведомость!$H$5:$H$846,25,Ведомость!$I$5:$I$846,"А500С",Ведомость!$V$5:$V$846,"Р-1, 5",Ведомость!$W$5:$W$846,1)</f>
        <v>8.2</v>
      </c>
      <c r="P10" s="32" t="n">
        <f aca="false">SUMIFS(Ведомость!$N$5:$N$846,Ведомость!$H$5:$H$846,25,Ведомость!$I$5:$I$846,"А500С",Ведомость!$V$5:$V$846,"Р-2",Ведомость!$W$5:$W$846,1)</f>
        <v>21</v>
      </c>
      <c r="Q10" s="32" t="n">
        <f aca="false">SUMIFS(Ведомость!$N$5:$N$846,Ведомость!$H$5:$H$846,25,Ведомость!$I$5:$I$846,"А500С",Ведомость!$V$5:$V$846,"Р-3",Ведомость!$W$5:$W$846,1)</f>
        <v>22.8</v>
      </c>
      <c r="R10" s="32" t="n">
        <f aca="false">SUMIFS(Ведомость!$N$5:$N$846,Ведомость!$H$5:$H$846,25,Ведомость!$I$5:$I$846,"А500С",Ведомость!$V$5:$V$846,"Р-4",Ведомость!$W$5:$W$846,1)</f>
        <v>12.4</v>
      </c>
      <c r="S10" s="32" t="n">
        <f aca="false">SUMIFS(Ведомость!$N$5:$N$846,Ведомость!$H$5:$H$846,25,Ведомость!$I$5:$I$846,"А500С",Ведомость!$V$5:$V$846,"Б-основная",Ведомость!$W$5:$W$846,1)</f>
        <v>635.4</v>
      </c>
      <c r="T10" s="32" t="n">
        <f aca="false">SUMIFS(Ведомость!$N$5:$N$846,Ведомость!$H$5:$H$846,25,Ведомость!$I$5:$I$846,"А500С",Ведомость!$V$5:$V$846,"Б-хомуты",Ведомость!$W$5:$W$846,1)</f>
        <v>0</v>
      </c>
      <c r="U10" s="32" t="n">
        <f aca="false">SUMIFS(Ведомость!$N$5:$N$846,Ведомость!$H$5:$H$846,25,Ведомость!$I$5:$I$846,"А500С",Ведомость!$V$5:$V$846,"Б-допник",Ведомость!$W$5:$W$846,1)</f>
        <v>0</v>
      </c>
      <c r="V10" s="32" t="n">
        <f aca="false">SUMIFS(Ведомость!$N$5:$N$846,Ведомость!$H$5:$H$846,25,Ведомость!$I$5:$I$846,"А500С",Ведомость!$V$5:$V$846,"П-сетка",Ведомость!$W$5:$W$846,1)</f>
        <v>0</v>
      </c>
      <c r="W10" s="32" t="n">
        <f aca="false">SUMIFS(Ведомость!$N$5:$N$846,Ведомость!$H$5:$H$846,25,Ведомость!$I$5:$I$846,"А500С",Ведомость!$V$5:$V$846,"П-фикс",Ведомость!$W$5:$W$846,1)</f>
        <v>0</v>
      </c>
      <c r="X10" s="32" t="n">
        <f aca="false">SUMIFS(Ведомость!$N$5:$N$846,Ведомость!$H$5:$H$846,25,Ведомость!$I$5:$I$846,"А500С",Ведомость!$V$5:$V$846,"П-отв",Ведомость!$W$5:$W$846,1)</f>
        <v>0</v>
      </c>
      <c r="Y10" s="32" t="n">
        <f aca="false">SUMIFS(Ведомость!$N$5:$N$846,Ведомость!$H$5:$H$846,25,Ведомость!$I$5:$I$846,"А500С",Ведомость!$V$5:$V$846,"П-доп-низ",Ведомость!$W$5:$W$846,1)</f>
        <v>0</v>
      </c>
      <c r="Z10" s="32" t="n">
        <f aca="false">SUMIFS(Ведомость!$N$5:$N$846,Ведомость!$H$5:$H$846,25,Ведомость!$I$5:$I$846,"А500С",Ведомость!$V$5:$V$846,"П-доп-верх",Ведомость!$W$5:$W$846,1)</f>
        <v>0</v>
      </c>
      <c r="AA10" s="32" t="n">
        <f aca="false">SUMIFS(Ведомость!$N$5:$N$846,Ведомость!$H$5:$H$846,25,Ведомость!$I$5:$I$846,"А500С",Ведомость!$V$5:$V$846,"П-край",Ведомость!$W$5:$W$846,1)</f>
        <v>0</v>
      </c>
      <c r="AB10" s="32" t="n">
        <f aca="false">SUMIFS(Ведомость!$N$5:$N$846,Ведомость!$H$5:$H$846,25,Ведомость!$I$5:$I$846,"А500С",Ведомость!$V$5:$V$846,"С-1",Ведомость!$W$5:$W$846,1)</f>
        <v>0</v>
      </c>
      <c r="AC10" s="32" t="n">
        <f aca="false">SUMIFS(Ведомость!$N$5:$N$846,Ведомость!$H$5:$H$846,25,Ведомость!$I$5:$I$846,"А500С",Ведомость!$V$5:$V$846,"Л1",Ведомость!$W$5:$W$846,1)</f>
        <v>0</v>
      </c>
      <c r="AD10" s="32" t="n">
        <f aca="false">SUMIFS(Ведомость!$N$5:$N$846,Ведомость!$H$5:$H$846,25,Ведомость!$I$5:$I$846,"А500С",Ведомость!$V$5:$V$846,"Л2",Ведомость!$W$5:$W$846,1)</f>
        <v>0</v>
      </c>
      <c r="AE10" s="32" t="n">
        <f aca="false">SUMIFS(Ведомость!$N$5:$N$846,Ведомость!$H$5:$H$846,25,Ведомость!$I$5:$I$846,"А500С",Ведомость!$V$5:$V$846,"Л-пл",Ведомость!$W$5:$W$846,1)</f>
        <v>0</v>
      </c>
      <c r="AF10" s="32" t="n">
        <f aca="false">SUMIFS(Ведомость!$N$5:$N$846,Ведомость!$H$5:$H$846,25,Ведомость!$I$5:$I$846,"А500С",Ведомость!$V$5:$V$846,"Л-рама",Ведомость!$W$5:$W$846,1)</f>
        <v>21.38</v>
      </c>
      <c r="AG10" s="33" t="n">
        <f aca="false">SUM(B10:AF10)</f>
        <v>921.98</v>
      </c>
      <c r="AH10" s="34" t="n">
        <f aca="false">IFERROR(INDEX(Исходные!$B$18:$B$30,MATCH(25,Исходные!$A$18:$A$30,0)),0)</f>
        <v>3.853</v>
      </c>
      <c r="AI10" s="33" t="n">
        <f aca="false">AG10*AH10*$AJ$2</f>
        <v>3801.0561658</v>
      </c>
      <c r="AJ10" s="35" t="n">
        <f aca="false">SUM(B10:D10,F10,H10,J10:M10)</f>
        <v>144</v>
      </c>
      <c r="AK10" s="36" t="n">
        <f aca="false">AH10</f>
        <v>3.853</v>
      </c>
      <c r="AL10" s="37" t="n">
        <f aca="false">AJ10*AK10*$AJ$2</f>
        <v>593.67024</v>
      </c>
      <c r="AM10" s="35" t="n">
        <f aca="false">SUM(E10,G10,I10,N10:AB10)</f>
        <v>756.6</v>
      </c>
      <c r="AN10" s="36" t="n">
        <f aca="false">AH10</f>
        <v>3.853</v>
      </c>
      <c r="AO10" s="37" t="n">
        <f aca="false">AM10*AN10*$AJ$2</f>
        <v>3119.242386</v>
      </c>
      <c r="AP10" s="35" t="n">
        <f aca="false">SUM(AC10:AF10)</f>
        <v>21.38</v>
      </c>
      <c r="AQ10" s="36" t="n">
        <f aca="false">AH10</f>
        <v>3.853</v>
      </c>
      <c r="AR10" s="37" t="n">
        <f aca="false">AP10*AQ10*$AJ$2</f>
        <v>88.1435398</v>
      </c>
    </row>
    <row r="11" customFormat="false" ht="15" hidden="false" customHeight="false" outlineLevel="0" collapsed="false">
      <c r="A11" s="6" t="s">
        <v>123</v>
      </c>
      <c r="B11" s="32" t="n">
        <f aca="false">SUMIFS(Ведомость!$N$5:$N$846,Ведомость!$H$5:$H$846,22,Ведомость!$I$5:$I$846,"А500С",Ведомость!$V$5:$V$846,"Дм-1",Ведомость!$W$5:$W$846,1)</f>
        <v>0</v>
      </c>
      <c r="C11" s="32" t="n">
        <f aca="false">SUMIFS(Ведомость!$N$5:$N$846,Ведомость!$H$5:$H$846,22,Ведомость!$I$5:$I$846,"А500С",Ведомость!$V$5:$V$846,"Дм-2",Ведомость!$W$5:$W$846,1)</f>
        <v>64</v>
      </c>
      <c r="D11" s="32" t="n">
        <f aca="false">SUMIFS(Ведомость!$N$5:$N$846,Ведомость!$H$5:$H$846,22,Ведомость!$I$5:$I$846,"А500С",Ведомость!$V$5:$V$846,"К-А",Ведомость!$W$5:$W$846,1)</f>
        <v>0</v>
      </c>
      <c r="E11" s="32" t="n">
        <f aca="false">SUMIFS(Ведомость!$N$5:$N$846,Ведомость!$H$5:$H$846,22,Ведомость!$I$5:$I$846,"А500С",Ведомость!$V$5:$V$846,"Р-А",Ведомость!$W$5:$W$846,1)</f>
        <v>9</v>
      </c>
      <c r="F11" s="32" t="n">
        <f aca="false">SUMIFS(Ведомость!$N$5:$N$846,Ведомость!$H$5:$H$846,22,Ведомость!$I$5:$I$846,"А500С",Ведомость!$V$5:$V$846,"К-Б",Ведомость!$W$5:$W$846,1)</f>
        <v>0</v>
      </c>
      <c r="G11" s="32" t="n">
        <f aca="false">SUMIFS(Ведомость!$N$5:$N$846,Ведомость!$H$5:$H$846,22,Ведомость!$I$5:$I$846,"А500С",Ведомость!$V$5:$V$846,"Р-Б",Ведомость!$W$5:$W$846,1)</f>
        <v>6.4</v>
      </c>
      <c r="H11" s="32" t="n">
        <f aca="false">SUMIFS(Ведомость!$N$5:$N$846,Ведомость!$H$5:$H$846,22,Ведомость!$I$5:$I$846,"А500С",Ведомость!$V$5:$V$846,"К-В",Ведомость!$W$5:$W$846,1)</f>
        <v>0</v>
      </c>
      <c r="I11" s="32" t="n">
        <f aca="false">SUMIFS(Ведомость!$N$5:$N$846,Ведомость!$H$5:$H$846,22,Ведомость!$I$5:$I$846,"А500С",Ведомость!$V$5:$V$846,"Р-В",Ведомость!$W$5:$W$846,1)</f>
        <v>6.4</v>
      </c>
      <c r="J11" s="32" t="n">
        <f aca="false">SUMIFS(Ведомость!$N$5:$N$846,Ведомость!$H$5:$H$846,22,Ведомость!$I$5:$I$846,"А500С",Ведомость!$V$5:$V$846,"К-Г",Ведомость!$W$5:$W$846,1)</f>
        <v>0</v>
      </c>
      <c r="K11" s="32" t="n">
        <f aca="false">SUMIFS(Ведомость!$N$5:$N$846,Ведомость!$H$5:$H$846,22,Ведомость!$I$5:$I$846,"А500С",Ведомость!$V$5:$V$846,"Дм-3",Ведомость!$W$5:$W$846,1)</f>
        <v>69</v>
      </c>
      <c r="L11" s="32" t="n">
        <f aca="false">SUMIFS(Ведомость!$N$5:$N$846,Ведомость!$H$5:$H$846,22,Ведомость!$I$5:$I$846,"А500С",Ведомость!$V$5:$V$846,"Дм-4",Ведомость!$W$5:$W$846,1)</f>
        <v>0</v>
      </c>
      <c r="M11" s="32" t="n">
        <f aca="false">SUMIFS(Ведомость!$N$5:$N$846,Ведомость!$H$5:$H$846,22,Ведомость!$I$5:$I$846,"А500С",Ведомость!$V$5:$V$846,"Дм-5",Ведомость!$W$5:$W$846,1)</f>
        <v>24</v>
      </c>
      <c r="N11" s="32" t="n">
        <f aca="false">SUMIFS(Ведомость!$N$5:$N$846,Ведомость!$H$5:$H$846,22,Ведомость!$I$5:$I$846,"А500С",Ведомость!$V$5:$V$846,"Р-Г",Ведомость!$W$5:$W$846,1)</f>
        <v>35.5</v>
      </c>
      <c r="O11" s="32" t="n">
        <f aca="false">SUMIFS(Ведомость!$N$5:$N$846,Ведомость!$H$5:$H$846,22,Ведомость!$I$5:$I$846,"А500С",Ведомость!$V$5:$V$846,"Р-1, 5",Ведомость!$W$5:$W$846,1)</f>
        <v>0</v>
      </c>
      <c r="P11" s="32" t="n">
        <f aca="false">SUMIFS(Ведомость!$N$5:$N$846,Ведомость!$H$5:$H$846,22,Ведомость!$I$5:$I$846,"А500С",Ведомость!$V$5:$V$846,"Р-2",Ведомость!$W$5:$W$846,1)</f>
        <v>0</v>
      </c>
      <c r="Q11" s="32" t="n">
        <f aca="false">SUMIFS(Ведомость!$N$5:$N$846,Ведомость!$H$5:$H$846,22,Ведомость!$I$5:$I$846,"А500С",Ведомость!$V$5:$V$846,"Р-3",Ведомость!$W$5:$W$846,1)</f>
        <v>0</v>
      </c>
      <c r="R11" s="32" t="n">
        <f aca="false">SUMIFS(Ведомость!$N$5:$N$846,Ведомость!$H$5:$H$846,22,Ведомость!$I$5:$I$846,"А500С",Ведомость!$V$5:$V$846,"Р-4",Ведомость!$W$5:$W$846,1)</f>
        <v>0</v>
      </c>
      <c r="S11" s="32" t="n">
        <f aca="false">SUMIFS(Ведомость!$N$5:$N$846,Ведомость!$H$5:$H$846,22,Ведомость!$I$5:$I$846,"А500С",Ведомость!$V$5:$V$846,"Б-основная",Ведомость!$W$5:$W$846,1)</f>
        <v>158.8</v>
      </c>
      <c r="T11" s="32" t="n">
        <f aca="false">SUMIFS(Ведомость!$N$5:$N$846,Ведомость!$H$5:$H$846,22,Ведомость!$I$5:$I$846,"А500С",Ведомость!$V$5:$V$846,"Б-хомуты",Ведомость!$W$5:$W$846,1)</f>
        <v>0</v>
      </c>
      <c r="U11" s="32" t="n">
        <f aca="false">SUMIFS(Ведомость!$N$5:$N$846,Ведомость!$H$5:$H$846,22,Ведомость!$I$5:$I$846,"А500С",Ведомость!$V$5:$V$846,"Б-допник",Ведомость!$W$5:$W$846,1)</f>
        <v>0</v>
      </c>
      <c r="V11" s="32" t="n">
        <f aca="false">SUMIFS(Ведомость!$N$5:$N$846,Ведомость!$H$5:$H$846,22,Ведомость!$I$5:$I$846,"А500С",Ведомость!$V$5:$V$846,"П-сетка",Ведомость!$W$5:$W$846,1)</f>
        <v>0</v>
      </c>
      <c r="W11" s="32" t="n">
        <f aca="false">SUMIFS(Ведомость!$N$5:$N$846,Ведомость!$H$5:$H$846,22,Ведомость!$I$5:$I$846,"А500С",Ведомость!$V$5:$V$846,"П-фикс",Ведомость!$W$5:$W$846,1)</f>
        <v>0</v>
      </c>
      <c r="X11" s="32" t="n">
        <f aca="false">SUMIFS(Ведомость!$N$5:$N$846,Ведомость!$H$5:$H$846,22,Ведомость!$I$5:$I$846,"А500С",Ведомость!$V$5:$V$846,"П-отв",Ведомость!$W$5:$W$846,1)</f>
        <v>0</v>
      </c>
      <c r="Y11" s="32" t="n">
        <f aca="false">SUMIFS(Ведомость!$N$5:$N$846,Ведомость!$H$5:$H$846,22,Ведомость!$I$5:$I$846,"А500С",Ведомость!$V$5:$V$846,"П-доп-низ",Ведомость!$W$5:$W$846,1)</f>
        <v>0</v>
      </c>
      <c r="Z11" s="32" t="n">
        <f aca="false">SUMIFS(Ведомость!$N$5:$N$846,Ведомость!$H$5:$H$846,22,Ведомость!$I$5:$I$846,"А500С",Ведомость!$V$5:$V$846,"П-доп-верх",Ведомость!$W$5:$W$846,1)</f>
        <v>0</v>
      </c>
      <c r="AA11" s="32" t="n">
        <f aca="false">SUMIFS(Ведомость!$N$5:$N$846,Ведомость!$H$5:$H$846,22,Ведомость!$I$5:$I$846,"А500С",Ведомость!$V$5:$V$846,"П-край",Ведомость!$W$5:$W$846,1)</f>
        <v>0</v>
      </c>
      <c r="AB11" s="32" t="n">
        <f aca="false">SUMIFS(Ведомость!$N$5:$N$846,Ведомость!$H$5:$H$846,22,Ведомость!$I$5:$I$846,"А500С",Ведомость!$V$5:$V$846,"С-1",Ведомость!$W$5:$W$846,1)</f>
        <v>0</v>
      </c>
      <c r="AC11" s="32" t="n">
        <f aca="false">SUMIFS(Ведомость!$N$5:$N$846,Ведомость!$H$5:$H$846,22,Ведомость!$I$5:$I$846,"А500С",Ведомость!$V$5:$V$846,"Л1",Ведомость!$W$5:$W$846,1)</f>
        <v>0</v>
      </c>
      <c r="AD11" s="32" t="n">
        <f aca="false">SUMIFS(Ведомость!$N$5:$N$846,Ведомость!$H$5:$H$846,22,Ведомость!$I$5:$I$846,"А500С",Ведомость!$V$5:$V$846,"Л2",Ведомость!$W$5:$W$846,1)</f>
        <v>0</v>
      </c>
      <c r="AE11" s="32" t="n">
        <f aca="false">SUMIFS(Ведомость!$N$5:$N$846,Ведомость!$H$5:$H$846,22,Ведомость!$I$5:$I$846,"А500С",Ведомость!$V$5:$V$846,"Л-пл",Ведомость!$W$5:$W$846,1)</f>
        <v>0</v>
      </c>
      <c r="AF11" s="32" t="n">
        <f aca="false">SUMIFS(Ведомость!$N$5:$N$846,Ведомость!$H$5:$H$846,22,Ведомость!$I$5:$I$846,"А500С",Ведомость!$V$5:$V$846,"Л-рама",Ведомость!$W$5:$W$846,1)</f>
        <v>0</v>
      </c>
      <c r="AG11" s="33" t="n">
        <f aca="false">SUM(B11:AF11)</f>
        <v>373.1</v>
      </c>
      <c r="AH11" s="34" t="n">
        <f aca="false">IFERROR(INDEX(Исходные!$B$18:$B$30,MATCH(22,Исходные!$A$18:$A$30,0)),0)</f>
        <v>2.984</v>
      </c>
      <c r="AI11" s="33" t="n">
        <f aca="false">AG11*AH11*$AJ$2</f>
        <v>1191.263528</v>
      </c>
      <c r="AJ11" s="35" t="n">
        <f aca="false">SUM(B11:D11,F11,H11,J11:M11)</f>
        <v>157</v>
      </c>
      <c r="AK11" s="36" t="n">
        <f aca="false">AH11</f>
        <v>2.984</v>
      </c>
      <c r="AL11" s="37" t="n">
        <f aca="false">AJ11*AK11*$AJ$2</f>
        <v>501.28216</v>
      </c>
      <c r="AM11" s="35" t="n">
        <f aca="false">SUM(E11,G11,I11,N11:AB11)</f>
        <v>216.1</v>
      </c>
      <c r="AN11" s="36" t="n">
        <f aca="false">AH11</f>
        <v>2.984</v>
      </c>
      <c r="AO11" s="37" t="n">
        <f aca="false">AM11*AN11*$AJ$2</f>
        <v>689.981368</v>
      </c>
      <c r="AP11" s="35" t="n">
        <f aca="false">SUM(AC11:AF11)</f>
        <v>0</v>
      </c>
      <c r="AQ11" s="36" t="n">
        <f aca="false">AH11</f>
        <v>2.984</v>
      </c>
      <c r="AR11" s="37" t="n">
        <f aca="false">AP11*AQ11*$AJ$2</f>
        <v>0</v>
      </c>
    </row>
    <row r="12" customFormat="false" ht="15" hidden="false" customHeight="false" outlineLevel="0" collapsed="false">
      <c r="A12" s="6" t="s">
        <v>124</v>
      </c>
      <c r="B12" s="32" t="n">
        <f aca="false">SUMIFS(Ведомость!$N$5:$N$846,Ведомость!$H$5:$H$846,20,Ведомость!$I$5:$I$846,"А500С",Ведомость!$V$5:$V$846,"Дм-1",Ведомость!$W$5:$W$846,1)</f>
        <v>90.7</v>
      </c>
      <c r="C12" s="32" t="n">
        <f aca="false">SUMIFS(Ведомость!$N$5:$N$846,Ведомость!$H$5:$H$846,20,Ведомость!$I$5:$I$846,"А500С",Ведомость!$V$5:$V$846,"Дм-2",Ведомость!$W$5:$W$846,1)</f>
        <v>28</v>
      </c>
      <c r="D12" s="32" t="n">
        <f aca="false">SUMIFS(Ведомость!$N$5:$N$846,Ведомость!$H$5:$H$846,20,Ведомость!$I$5:$I$846,"А500С",Ведомость!$V$5:$V$846,"К-А",Ведомость!$W$5:$W$846,1)</f>
        <v>96</v>
      </c>
      <c r="E12" s="32" t="n">
        <f aca="false">SUMIFS(Ведомость!$N$5:$N$846,Ведомость!$H$5:$H$846,20,Ведомость!$I$5:$I$846,"А500С",Ведомость!$V$5:$V$846,"Р-А",Ведомость!$W$5:$W$846,1)</f>
        <v>0</v>
      </c>
      <c r="F12" s="32" t="n">
        <f aca="false">SUMIFS(Ведомость!$N$5:$N$846,Ведомость!$H$5:$H$846,20,Ведомость!$I$5:$I$846,"А500С",Ведомость!$V$5:$V$846,"К-Б",Ведомость!$W$5:$W$846,1)</f>
        <v>160</v>
      </c>
      <c r="G12" s="32" t="n">
        <f aca="false">SUMIFS(Ведомость!$N$5:$N$846,Ведомость!$H$5:$H$846,20,Ведомость!$I$5:$I$846,"А500С",Ведомость!$V$5:$V$846,"Р-Б",Ведомость!$W$5:$W$846,1)</f>
        <v>0</v>
      </c>
      <c r="H12" s="32" t="n">
        <f aca="false">SUMIFS(Ведомость!$N$5:$N$846,Ведомость!$H$5:$H$846,20,Ведомость!$I$5:$I$846,"А500С",Ведомость!$V$5:$V$846,"К-В",Ведомость!$W$5:$W$846,1)</f>
        <v>160</v>
      </c>
      <c r="I12" s="32" t="n">
        <f aca="false">SUMIFS(Ведомость!$N$5:$N$846,Ведомость!$H$5:$H$846,20,Ведомость!$I$5:$I$846,"А500С",Ведомость!$V$5:$V$846,"Р-В",Ведомость!$W$5:$W$846,1)</f>
        <v>0</v>
      </c>
      <c r="J12" s="32" t="n">
        <f aca="false">SUMIFS(Ведомость!$N$5:$N$846,Ведомость!$H$5:$H$846,20,Ведомость!$I$5:$I$846,"А500С",Ведомость!$V$5:$V$846,"К-Г",Ведомость!$W$5:$W$846,1)</f>
        <v>64</v>
      </c>
      <c r="K12" s="32" t="n">
        <f aca="false">SUMIFS(Ведомость!$N$5:$N$846,Ведомость!$H$5:$H$846,20,Ведомость!$I$5:$I$846,"А500С",Ведомость!$V$5:$V$846,"Дм-3",Ведомость!$W$5:$W$846,1)</f>
        <v>32</v>
      </c>
      <c r="L12" s="32" t="n">
        <f aca="false">SUMIFS(Ведомость!$N$5:$N$846,Ведомость!$H$5:$H$846,20,Ведомость!$I$5:$I$846,"А500С",Ведомость!$V$5:$V$846,"Дм-4",Ведомость!$W$5:$W$846,1)</f>
        <v>40</v>
      </c>
      <c r="M12" s="32" t="n">
        <f aca="false">SUMIFS(Ведомость!$N$5:$N$846,Ведомость!$H$5:$H$846,20,Ведомость!$I$5:$I$846,"А500С",Ведомость!$V$5:$V$846,"Дм-5",Ведомость!$W$5:$W$846,1)</f>
        <v>32</v>
      </c>
      <c r="N12" s="32" t="n">
        <f aca="false">SUMIFS(Ведомость!$N$5:$N$846,Ведомость!$H$5:$H$846,20,Ведомость!$I$5:$I$846,"А500С",Ведомость!$V$5:$V$846,"Р-Г",Ведомость!$W$5:$W$846,1)</f>
        <v>0</v>
      </c>
      <c r="O12" s="32" t="n">
        <f aca="false">SUMIFS(Ведомость!$N$5:$N$846,Ведомость!$H$5:$H$846,20,Ведомость!$I$5:$I$846,"А500С",Ведомость!$V$5:$V$846,"Р-1, 5",Ведомость!$W$5:$W$846,1)</f>
        <v>0</v>
      </c>
      <c r="P12" s="32" t="n">
        <f aca="false">SUMIFS(Ведомость!$N$5:$N$846,Ведомость!$H$5:$H$846,20,Ведомость!$I$5:$I$846,"А500С",Ведомость!$V$5:$V$846,"Р-2",Ведомость!$W$5:$W$846,1)</f>
        <v>8.1</v>
      </c>
      <c r="Q12" s="32" t="n">
        <f aca="false">SUMIFS(Ведомость!$N$5:$N$846,Ведомость!$H$5:$H$846,20,Ведомость!$I$5:$I$846,"А500С",Ведомость!$V$5:$V$846,"Р-3",Ведомость!$W$5:$W$846,1)</f>
        <v>0</v>
      </c>
      <c r="R12" s="32" t="n">
        <f aca="false">SUMIFS(Ведомость!$N$5:$N$846,Ведомость!$H$5:$H$846,20,Ведомость!$I$5:$I$846,"А500С",Ведомость!$V$5:$V$846,"Р-4",Ведомость!$W$5:$W$846,1)</f>
        <v>6</v>
      </c>
      <c r="S12" s="32" t="n">
        <f aca="false">SUMIFS(Ведомость!$N$5:$N$846,Ведомость!$H$5:$H$846,20,Ведомость!$I$5:$I$846,"А500С",Ведомость!$V$5:$V$846,"Б-основная",Ведомость!$W$5:$W$846,1)</f>
        <v>57.04</v>
      </c>
      <c r="T12" s="32" t="n">
        <f aca="false">SUMIFS(Ведомость!$N$5:$N$846,Ведомость!$H$5:$H$846,20,Ведомость!$I$5:$I$846,"А500С",Ведомость!$V$5:$V$846,"Б-хомуты",Ведомость!$W$5:$W$846,1)</f>
        <v>0</v>
      </c>
      <c r="U12" s="32" t="n">
        <f aca="false">SUMIFS(Ведомость!$N$5:$N$846,Ведомость!$H$5:$H$846,20,Ведомость!$I$5:$I$846,"А500С",Ведомость!$V$5:$V$846,"Б-допник",Ведомость!$W$5:$W$846,1)</f>
        <v>0</v>
      </c>
      <c r="V12" s="32" t="n">
        <f aca="false">SUMIFS(Ведомость!$N$5:$N$846,Ведомость!$H$5:$H$846,20,Ведомость!$I$5:$I$846,"А500С",Ведомость!$V$5:$V$846,"П-сетка",Ведомость!$W$5:$W$846,1)</f>
        <v>0</v>
      </c>
      <c r="W12" s="32" t="n">
        <f aca="false">SUMIFS(Ведомость!$N$5:$N$846,Ведомость!$H$5:$H$846,20,Ведомость!$I$5:$I$846,"А500С",Ведомость!$V$5:$V$846,"П-фикс",Ведомость!$W$5:$W$846,1)</f>
        <v>0</v>
      </c>
      <c r="X12" s="32" t="n">
        <f aca="false">SUMIFS(Ведомость!$N$5:$N$846,Ведомость!$H$5:$H$846,20,Ведомость!$I$5:$I$846,"А500С",Ведомость!$V$5:$V$846,"П-отв",Ведомость!$W$5:$W$846,1)</f>
        <v>0</v>
      </c>
      <c r="Y12" s="32" t="n">
        <f aca="false">SUMIFS(Ведомость!$N$5:$N$846,Ведомость!$H$5:$H$846,20,Ведомость!$I$5:$I$846,"А500С",Ведомость!$V$5:$V$846,"П-доп-низ",Ведомость!$W$5:$W$846,1)</f>
        <v>0</v>
      </c>
      <c r="Z12" s="32" t="n">
        <f aca="false">SUMIFS(Ведомость!$N$5:$N$846,Ведомость!$H$5:$H$846,20,Ведомость!$I$5:$I$846,"А500С",Ведомость!$V$5:$V$846,"П-доп-верх",Ведомость!$W$5:$W$846,1)</f>
        <v>12</v>
      </c>
      <c r="AA12" s="32" t="n">
        <f aca="false">SUMIFS(Ведомость!$N$5:$N$846,Ведомость!$H$5:$H$846,20,Ведомость!$I$5:$I$846,"А500С",Ведомость!$V$5:$V$846,"П-край",Ведомость!$W$5:$W$846,1)</f>
        <v>0</v>
      </c>
      <c r="AB12" s="32" t="n">
        <f aca="false">SUMIFS(Ведомость!$N$5:$N$846,Ведомость!$H$5:$H$846,20,Ведомость!$I$5:$I$846,"А500С",Ведомость!$V$5:$V$846,"С-1",Ведомость!$W$5:$W$846,1)</f>
        <v>0</v>
      </c>
      <c r="AC12" s="32" t="n">
        <f aca="false">SUMIFS(Ведомость!$N$5:$N$846,Ведомость!$H$5:$H$846,20,Ведомость!$I$5:$I$846,"А500С",Ведомость!$V$5:$V$846,"Л1",Ведомость!$W$5:$W$846,1)</f>
        <v>0</v>
      </c>
      <c r="AD12" s="32" t="n">
        <f aca="false">SUMIFS(Ведомость!$N$5:$N$846,Ведомость!$H$5:$H$846,20,Ведомость!$I$5:$I$846,"А500С",Ведомость!$V$5:$V$846,"Л2",Ведомость!$W$5:$W$846,1)</f>
        <v>0</v>
      </c>
      <c r="AE12" s="32" t="n">
        <f aca="false">SUMIFS(Ведомость!$N$5:$N$846,Ведомость!$H$5:$H$846,20,Ведомость!$I$5:$I$846,"А500С",Ведомость!$V$5:$V$846,"Л-пл",Ведомость!$W$5:$W$846,1)</f>
        <v>0</v>
      </c>
      <c r="AF12" s="32" t="n">
        <f aca="false">SUMIFS(Ведомость!$N$5:$N$846,Ведомость!$H$5:$H$846,20,Ведомость!$I$5:$I$846,"А500С",Ведомость!$V$5:$V$846,"Л-рама",Ведомость!$W$5:$W$846,1)</f>
        <v>0</v>
      </c>
      <c r="AG12" s="33" t="n">
        <f aca="false">SUM(B12:AF12)</f>
        <v>785.84</v>
      </c>
      <c r="AH12" s="34" t="n">
        <f aca="false">IFERROR(INDEX(Исходные!$B$18:$B$30,MATCH(20,Исходные!$A$18:$A$30,0)),0)</f>
        <v>2.466</v>
      </c>
      <c r="AI12" s="33" t="n">
        <f aca="false">AG12*AH12*$AJ$2</f>
        <v>2073.5331408</v>
      </c>
      <c r="AJ12" s="35" t="n">
        <f aca="false">SUM(B12:D12,F12,H12,J12:M12)</f>
        <v>702.7</v>
      </c>
      <c r="AK12" s="36" t="n">
        <f aca="false">AH12</f>
        <v>2.466</v>
      </c>
      <c r="AL12" s="37" t="n">
        <f aca="false">AJ12*AK12*$AJ$2</f>
        <v>1854.158274</v>
      </c>
      <c r="AM12" s="35" t="n">
        <f aca="false">SUM(E12,G12,I12,N12:AB12)</f>
        <v>83.14</v>
      </c>
      <c r="AN12" s="36" t="n">
        <f aca="false">AH12</f>
        <v>2.466</v>
      </c>
      <c r="AO12" s="37" t="n">
        <f aca="false">AM12*AN12*$AJ$2</f>
        <v>219.3748668</v>
      </c>
      <c r="AP12" s="35" t="n">
        <f aca="false">SUM(AC12:AF12)</f>
        <v>0</v>
      </c>
      <c r="AQ12" s="36" t="n">
        <f aca="false">AH12</f>
        <v>2.466</v>
      </c>
      <c r="AR12" s="37" t="n">
        <f aca="false">AP12*AQ12*$AJ$2</f>
        <v>0</v>
      </c>
    </row>
    <row r="13" customFormat="false" ht="15" hidden="false" customHeight="false" outlineLevel="0" collapsed="false">
      <c r="A13" s="6" t="s">
        <v>125</v>
      </c>
      <c r="B13" s="32" t="n">
        <f aca="false">SUMIFS(Ведомость!$N$5:$N$846,Ведомость!$H$5:$H$846,18,Ведомость!$I$5:$I$846,"А500С",Ведомость!$V$5:$V$846,"Дм-1",Ведомость!$W$5:$W$846,1)</f>
        <v>107.496</v>
      </c>
      <c r="C13" s="32" t="n">
        <f aca="false">SUMIFS(Ведомость!$N$5:$N$846,Ведомость!$H$5:$H$846,18,Ведомость!$I$5:$I$846,"А500С",Ведомость!$V$5:$V$846,"Дм-2",Ведомость!$W$5:$W$846,1)</f>
        <v>0</v>
      </c>
      <c r="D13" s="32" t="n">
        <f aca="false">SUMIFS(Ведомость!$N$5:$N$846,Ведомость!$H$5:$H$846,18,Ведомость!$I$5:$I$846,"А500С",Ведомость!$V$5:$V$846,"К-А",Ведомость!$W$5:$W$846,1)</f>
        <v>0</v>
      </c>
      <c r="E13" s="32" t="n">
        <f aca="false">SUMIFS(Ведомость!$N$5:$N$846,Ведомость!$H$5:$H$846,18,Ведомость!$I$5:$I$846,"А500С",Ведомость!$V$5:$V$846,"Р-А",Ведомость!$W$5:$W$846,1)</f>
        <v>51.576</v>
      </c>
      <c r="F13" s="32" t="n">
        <f aca="false">SUMIFS(Ведомость!$N$5:$N$846,Ведомость!$H$5:$H$846,18,Ведомость!$I$5:$I$846,"А500С",Ведомость!$V$5:$V$846,"К-Б",Ведомость!$W$5:$W$846,1)</f>
        <v>0</v>
      </c>
      <c r="G13" s="32" t="n">
        <f aca="false">SUMIFS(Ведомость!$N$5:$N$846,Ведомость!$H$5:$H$846,18,Ведомость!$I$5:$I$846,"А500С",Ведомость!$V$5:$V$846,"Р-Б",Ведомость!$W$5:$W$846,1)</f>
        <v>51.576</v>
      </c>
      <c r="H13" s="32" t="n">
        <f aca="false">SUMIFS(Ведомость!$N$5:$N$846,Ведомость!$H$5:$H$846,18,Ведомость!$I$5:$I$846,"А500С",Ведомость!$V$5:$V$846,"К-В",Ведомость!$W$5:$W$846,1)</f>
        <v>0</v>
      </c>
      <c r="I13" s="32" t="n">
        <f aca="false">SUMIFS(Ведомость!$N$5:$N$846,Ведомость!$H$5:$H$846,18,Ведомость!$I$5:$I$846,"А500С",Ведомость!$V$5:$V$846,"Р-В",Ведомость!$W$5:$W$846,1)</f>
        <v>51.576</v>
      </c>
      <c r="J13" s="32" t="n">
        <f aca="false">SUMIFS(Ведомость!$N$5:$N$846,Ведомость!$H$5:$H$846,18,Ведомость!$I$5:$I$846,"А500С",Ведомость!$V$5:$V$846,"К-Г",Ведомость!$W$5:$W$846,1)</f>
        <v>0</v>
      </c>
      <c r="K13" s="32" t="n">
        <f aca="false">SUMIFS(Ведомость!$N$5:$N$846,Ведомость!$H$5:$H$846,18,Ведомость!$I$5:$I$846,"А500С",Ведомость!$V$5:$V$846,"Дм-3",Ведомость!$W$5:$W$846,1)</f>
        <v>18.644</v>
      </c>
      <c r="L13" s="32" t="n">
        <f aca="false">SUMIFS(Ведомость!$N$5:$N$846,Ведомость!$H$5:$H$846,18,Ведомость!$I$5:$I$846,"А500С",Ведомость!$V$5:$V$846,"Дм-4",Ведомость!$W$5:$W$846,1)</f>
        <v>14.5</v>
      </c>
      <c r="M13" s="32" t="n">
        <f aca="false">SUMIFS(Ведомость!$N$5:$N$846,Ведомость!$H$5:$H$846,18,Ведомость!$I$5:$I$846,"А500С",Ведомость!$V$5:$V$846,"Дм-5",Ведомость!$W$5:$W$846,1)</f>
        <v>0</v>
      </c>
      <c r="N13" s="32" t="n">
        <f aca="false">SUMIFS(Ведомость!$N$5:$N$846,Ведомость!$H$5:$H$846,18,Ведомость!$I$5:$I$846,"А500С",Ведомость!$V$5:$V$846,"Р-Г",Ведомость!$W$5:$W$846,1)</f>
        <v>51.576</v>
      </c>
      <c r="O13" s="32" t="n">
        <f aca="false">SUMIFS(Ведомость!$N$5:$N$846,Ведомость!$H$5:$H$846,18,Ведомость!$I$5:$I$846,"А500С",Ведомость!$V$5:$V$846,"Р-1, 5",Ведомость!$W$5:$W$846,1)</f>
        <v>82.576</v>
      </c>
      <c r="P13" s="32" t="n">
        <f aca="false">SUMIFS(Ведомость!$N$5:$N$846,Ведомость!$H$5:$H$846,18,Ведомость!$I$5:$I$846,"А500С",Ведомость!$V$5:$V$846,"Р-2",Ведомость!$W$5:$W$846,1)</f>
        <v>41.288</v>
      </c>
      <c r="Q13" s="32" t="n">
        <f aca="false">SUMIFS(Ведомость!$N$5:$N$846,Ведомость!$H$5:$H$846,18,Ведомость!$I$5:$I$846,"А500С",Ведомость!$V$5:$V$846,"Р-3",Ведомость!$W$5:$W$846,1)</f>
        <v>41.288</v>
      </c>
      <c r="R13" s="32" t="n">
        <f aca="false">SUMIFS(Ведомость!$N$5:$N$846,Ведомость!$H$5:$H$846,18,Ведомость!$I$5:$I$846,"А500С",Ведомость!$V$5:$V$846,"Р-4",Ведомость!$W$5:$W$846,1)</f>
        <v>41.288</v>
      </c>
      <c r="S13" s="32" t="n">
        <f aca="false">SUMIFS(Ведомость!$N$5:$N$846,Ведомость!$H$5:$H$846,18,Ведомость!$I$5:$I$846,"А500С",Ведомость!$V$5:$V$846,"Б-основная",Ведомость!$W$5:$W$846,1)</f>
        <v>0</v>
      </c>
      <c r="T13" s="32" t="n">
        <f aca="false">SUMIFS(Ведомость!$N$5:$N$846,Ведомость!$H$5:$H$846,18,Ведомость!$I$5:$I$846,"А500С",Ведомость!$V$5:$V$846,"Б-хомуты",Ведомость!$W$5:$W$846,1)</f>
        <v>0</v>
      </c>
      <c r="U13" s="32" t="n">
        <f aca="false">SUMIFS(Ведомость!$N$5:$N$846,Ведомость!$H$5:$H$846,18,Ведомость!$I$5:$I$846,"А500С",Ведомость!$V$5:$V$846,"Б-допник",Ведомость!$W$5:$W$846,1)</f>
        <v>50.4</v>
      </c>
      <c r="V13" s="32" t="n">
        <f aca="false">SUMIFS(Ведомость!$N$5:$N$846,Ведомость!$H$5:$H$846,18,Ведомость!$I$5:$I$846,"А500С",Ведомость!$V$5:$V$846,"П-сетка",Ведомость!$W$5:$W$846,1)</f>
        <v>0</v>
      </c>
      <c r="W13" s="32" t="n">
        <f aca="false">SUMIFS(Ведомость!$N$5:$N$846,Ведомость!$H$5:$H$846,18,Ведомость!$I$5:$I$846,"А500С",Ведомость!$V$5:$V$846,"П-фикс",Ведомость!$W$5:$W$846,1)</f>
        <v>0</v>
      </c>
      <c r="X13" s="32" t="n">
        <f aca="false">SUMIFS(Ведомость!$N$5:$N$846,Ведомость!$H$5:$H$846,18,Ведомость!$I$5:$I$846,"А500С",Ведомость!$V$5:$V$846,"П-отв",Ведомость!$W$5:$W$846,1)</f>
        <v>0</v>
      </c>
      <c r="Y13" s="32" t="n">
        <f aca="false">SUMIFS(Ведомость!$N$5:$N$846,Ведомость!$H$5:$H$846,18,Ведомость!$I$5:$I$846,"А500С",Ведомость!$V$5:$V$846,"П-доп-низ",Ведомость!$W$5:$W$846,1)</f>
        <v>0</v>
      </c>
      <c r="Z13" s="32" t="n">
        <f aca="false">SUMIFS(Ведомость!$N$5:$N$846,Ведомость!$H$5:$H$846,18,Ведомость!$I$5:$I$846,"А500С",Ведомость!$V$5:$V$846,"П-доп-верх",Ведомость!$W$5:$W$846,1)</f>
        <v>0</v>
      </c>
      <c r="AA13" s="32" t="n">
        <f aca="false">SUMIFS(Ведомость!$N$5:$N$846,Ведомость!$H$5:$H$846,18,Ведомость!$I$5:$I$846,"А500С",Ведомость!$V$5:$V$846,"П-край",Ведомость!$W$5:$W$846,1)</f>
        <v>0</v>
      </c>
      <c r="AB13" s="32" t="n">
        <f aca="false">SUMIFS(Ведомость!$N$5:$N$846,Ведомость!$H$5:$H$846,18,Ведомость!$I$5:$I$846,"А500С",Ведомость!$V$5:$V$846,"С-1",Ведомость!$W$5:$W$846,1)</f>
        <v>0</v>
      </c>
      <c r="AC13" s="32" t="n">
        <f aca="false">SUMIFS(Ведомость!$N$5:$N$846,Ведомость!$H$5:$H$846,18,Ведомость!$I$5:$I$846,"А500С",Ведомость!$V$5:$V$846,"Л1",Ведомость!$W$5:$W$846,1)</f>
        <v>106.74</v>
      </c>
      <c r="AD13" s="32" t="n">
        <f aca="false">SUMIFS(Ведомость!$N$5:$N$846,Ведомость!$H$5:$H$846,18,Ведомость!$I$5:$I$846,"А500С",Ведомость!$V$5:$V$846,"Л2",Ведомость!$W$5:$W$846,1)</f>
        <v>117.144</v>
      </c>
      <c r="AE13" s="32" t="n">
        <f aca="false">SUMIFS(Ведомость!$N$5:$N$846,Ведомость!$H$5:$H$846,18,Ведомость!$I$5:$I$846,"А500С",Ведомость!$V$5:$V$846,"Л-пл",Ведомость!$W$5:$W$846,1)</f>
        <v>0</v>
      </c>
      <c r="AF13" s="32" t="n">
        <f aca="false">SUMIFS(Ведомость!$N$5:$N$846,Ведомость!$H$5:$H$846,18,Ведомость!$I$5:$I$846,"А500С",Ведомость!$V$5:$V$846,"Л-рама",Ведомость!$W$5:$W$846,1)</f>
        <v>0</v>
      </c>
      <c r="AG13" s="33" t="n">
        <f aca="false">SUM(B13:AF13)</f>
        <v>827.668</v>
      </c>
      <c r="AH13" s="34" t="n">
        <f aca="false">IFERROR(INDEX(Исходные!$B$18:$B$30,MATCH(18,Исходные!$A$18:$A$30,0)),0)</f>
        <v>1.998</v>
      </c>
      <c r="AI13" s="33" t="n">
        <f aca="false">AG13*AH13*$AJ$2</f>
        <v>1769.43831048</v>
      </c>
      <c r="AJ13" s="35" t="n">
        <f aca="false">SUM(B13:D13,F13,H13,J13:M13)</f>
        <v>140.64</v>
      </c>
      <c r="AK13" s="36" t="n">
        <f aca="false">AH13</f>
        <v>1.998</v>
      </c>
      <c r="AL13" s="37" t="n">
        <f aca="false">AJ13*AK13*$AJ$2</f>
        <v>300.6686304</v>
      </c>
      <c r="AM13" s="35" t="n">
        <f aca="false">SUM(E13,G13,I13,N13:AB13)</f>
        <v>463.144</v>
      </c>
      <c r="AN13" s="36" t="n">
        <f aca="false">AH13</f>
        <v>1.998</v>
      </c>
      <c r="AO13" s="37" t="n">
        <f aca="false">AM13*AN13*$AJ$2</f>
        <v>990.13703184</v>
      </c>
      <c r="AP13" s="35" t="n">
        <f aca="false">SUM(AC13:AF13)</f>
        <v>223.884</v>
      </c>
      <c r="AQ13" s="36" t="n">
        <f aca="false">AH13</f>
        <v>1.998</v>
      </c>
      <c r="AR13" s="37" t="n">
        <f aca="false">AP13*AQ13*$AJ$2</f>
        <v>478.63264824</v>
      </c>
    </row>
    <row r="14" customFormat="false" ht="15" hidden="false" customHeight="false" outlineLevel="0" collapsed="false">
      <c r="A14" s="6" t="s">
        <v>126</v>
      </c>
      <c r="B14" s="32" t="n">
        <f aca="false">SUMIFS(Ведомость!$N$5:$N$846,Ведомость!$H$5:$H$846,16,Ведомость!$I$5:$I$846,"А500С",Ведомость!$V$5:$V$846,"Дм-1",Ведомость!$W$5:$W$846,1)</f>
        <v>81</v>
      </c>
      <c r="C14" s="32" t="n">
        <f aca="false">SUMIFS(Ведомость!$N$5:$N$846,Ведомость!$H$5:$H$846,16,Ведомость!$I$5:$I$846,"А500С",Ведомость!$V$5:$V$846,"Дм-2",Ведомость!$W$5:$W$846,1)</f>
        <v>126</v>
      </c>
      <c r="D14" s="32" t="n">
        <f aca="false">SUMIFS(Ведомость!$N$5:$N$846,Ведомость!$H$5:$H$846,16,Ведомость!$I$5:$I$846,"А500С",Ведомость!$V$5:$V$846,"К-А",Ведомость!$W$5:$W$846,1)</f>
        <v>0</v>
      </c>
      <c r="E14" s="32" t="n">
        <f aca="false">SUMIFS(Ведомость!$N$5:$N$846,Ведомость!$H$5:$H$846,16,Ведомость!$I$5:$I$846,"А500С",Ведомость!$V$5:$V$846,"Р-А",Ведомость!$W$5:$W$846,1)</f>
        <v>77.012</v>
      </c>
      <c r="F14" s="32" t="n">
        <f aca="false">SUMIFS(Ведомость!$N$5:$N$846,Ведомость!$H$5:$H$846,16,Ведомость!$I$5:$I$846,"А500С",Ведомость!$V$5:$V$846,"К-Б",Ведомость!$W$5:$W$846,1)</f>
        <v>0</v>
      </c>
      <c r="G14" s="32" t="n">
        <f aca="false">SUMIFS(Ведомость!$N$5:$N$846,Ведомость!$H$5:$H$846,16,Ведомость!$I$5:$I$846,"А500С",Ведомость!$V$5:$V$846,"Р-Б",Ведомость!$W$5:$W$846,1)</f>
        <v>63.112</v>
      </c>
      <c r="H14" s="32" t="n">
        <f aca="false">SUMIFS(Ведомость!$N$5:$N$846,Ведомость!$H$5:$H$846,16,Ведомость!$I$5:$I$846,"А500С",Ведомость!$V$5:$V$846,"К-В",Ведомость!$W$5:$W$846,1)</f>
        <v>0</v>
      </c>
      <c r="I14" s="32" t="n">
        <f aca="false">SUMIFS(Ведомость!$N$5:$N$846,Ведомость!$H$5:$H$846,16,Ведомость!$I$5:$I$846,"А500С",Ведомость!$V$5:$V$846,"Р-В",Ведомость!$W$5:$W$846,1)</f>
        <v>63.112</v>
      </c>
      <c r="J14" s="32" t="n">
        <f aca="false">SUMIFS(Ведомость!$N$5:$N$846,Ведомость!$H$5:$H$846,16,Ведомость!$I$5:$I$846,"А500С",Ведомость!$V$5:$V$846,"К-Г",Ведомость!$W$5:$W$846,1)</f>
        <v>0</v>
      </c>
      <c r="K14" s="32" t="n">
        <f aca="false">SUMIFS(Ведомость!$N$5:$N$846,Ведомость!$H$5:$H$846,16,Ведомость!$I$5:$I$846,"А500С",Ведомость!$V$5:$V$846,"Дм-3",Ведомость!$W$5:$W$846,1)</f>
        <v>83</v>
      </c>
      <c r="L14" s="32" t="n">
        <f aca="false">SUMIFS(Ведомость!$N$5:$N$846,Ведомость!$H$5:$H$846,16,Ведомость!$I$5:$I$846,"А500С",Ведомость!$V$5:$V$846,"Дм-4",Ведомость!$W$5:$W$846,1)</f>
        <v>52.2</v>
      </c>
      <c r="M14" s="32" t="n">
        <f aca="false">SUMIFS(Ведомость!$N$5:$N$846,Ведомость!$H$5:$H$846,16,Ведомость!$I$5:$I$846,"А500С",Ведомость!$V$5:$V$846,"Дм-5",Ведомость!$W$5:$W$846,1)</f>
        <v>97.2</v>
      </c>
      <c r="N14" s="32" t="n">
        <f aca="false">SUMIFS(Ведомость!$N$5:$N$846,Ведомость!$H$5:$H$846,16,Ведомость!$I$5:$I$846,"А500С",Ведомость!$V$5:$V$846,"Р-Г",Ведомость!$W$5:$W$846,1)</f>
        <v>55.212</v>
      </c>
      <c r="O14" s="32" t="n">
        <f aca="false">SUMIFS(Ведомость!$N$5:$N$846,Ведомость!$H$5:$H$846,16,Ведомость!$I$5:$I$846,"А500С",Ведомость!$V$5:$V$846,"Р-1, 5",Ведомость!$W$5:$W$846,1)</f>
        <v>125.912</v>
      </c>
      <c r="P14" s="32" t="n">
        <f aca="false">SUMIFS(Ведомость!$N$5:$N$846,Ведомость!$H$5:$H$846,16,Ведомость!$I$5:$I$846,"А500С",Ведомость!$V$5:$V$846,"Р-2",Ведомость!$W$5:$W$846,1)</f>
        <v>48.456</v>
      </c>
      <c r="Q14" s="32" t="n">
        <f aca="false">SUMIFS(Ведомость!$N$5:$N$846,Ведомость!$H$5:$H$846,16,Ведомость!$I$5:$I$846,"А500С",Ведомость!$V$5:$V$846,"Р-3",Ведомость!$W$5:$W$846,1)</f>
        <v>56.956</v>
      </c>
      <c r="R14" s="32" t="n">
        <f aca="false">SUMIFS(Ведомость!$N$5:$N$846,Ведомость!$H$5:$H$846,16,Ведомость!$I$5:$I$846,"А500С",Ведомость!$V$5:$V$846,"Р-4",Ведомость!$W$5:$W$846,1)</f>
        <v>45.856</v>
      </c>
      <c r="S14" s="32" t="n">
        <f aca="false">SUMIFS(Ведомость!$N$5:$N$846,Ведомость!$H$5:$H$846,16,Ведомость!$I$5:$I$846,"А500С",Ведомость!$V$5:$V$846,"Б-основная",Ведомость!$W$5:$W$846,1)</f>
        <v>0</v>
      </c>
      <c r="T14" s="32" t="n">
        <f aca="false">SUMIFS(Ведомость!$N$5:$N$846,Ведомость!$H$5:$H$846,16,Ведомость!$I$5:$I$846,"А500С",Ведомость!$V$5:$V$846,"Б-хомуты",Ведомость!$W$5:$W$846,1)</f>
        <v>0</v>
      </c>
      <c r="U14" s="32" t="n">
        <f aca="false">SUMIFS(Ведомость!$N$5:$N$846,Ведомость!$H$5:$H$846,16,Ведомость!$I$5:$I$846,"А500С",Ведомость!$V$5:$V$846,"Б-допник",Ведомость!$W$5:$W$846,1)</f>
        <v>0</v>
      </c>
      <c r="V14" s="32" t="n">
        <f aca="false">SUMIFS(Ведомость!$N$5:$N$846,Ведомость!$H$5:$H$846,16,Ведомость!$I$5:$I$846,"А500С",Ведомость!$V$5:$V$846,"П-сетка",Ведомость!$W$5:$W$846,1)</f>
        <v>0</v>
      </c>
      <c r="W14" s="32" t="n">
        <f aca="false">SUMIFS(Ведомость!$N$5:$N$846,Ведомость!$H$5:$H$846,16,Ведомость!$I$5:$I$846,"А500С",Ведомость!$V$5:$V$846,"П-фикс",Ведомость!$W$5:$W$846,1)</f>
        <v>0</v>
      </c>
      <c r="X14" s="32" t="n">
        <f aca="false">SUMIFS(Ведомость!$N$5:$N$846,Ведомость!$H$5:$H$846,16,Ведомость!$I$5:$I$846,"А500С",Ведомость!$V$5:$V$846,"П-отв",Ведомость!$W$5:$W$846,1)</f>
        <v>0</v>
      </c>
      <c r="Y14" s="32" t="n">
        <f aca="false">SUMIFS(Ведомость!$N$5:$N$846,Ведомость!$H$5:$H$846,16,Ведомость!$I$5:$I$846,"А500С",Ведомость!$V$5:$V$846,"П-доп-низ",Ведомость!$W$5:$W$846,1)</f>
        <v>0</v>
      </c>
      <c r="Z14" s="32" t="n">
        <f aca="false">SUMIFS(Ведомость!$N$5:$N$846,Ведомость!$H$5:$H$846,16,Ведомость!$I$5:$I$846,"А500С",Ведомость!$V$5:$V$846,"П-доп-верх",Ведомость!$W$5:$W$846,1)</f>
        <v>0</v>
      </c>
      <c r="AA14" s="32" t="n">
        <f aca="false">SUMIFS(Ведомость!$N$5:$N$846,Ведомость!$H$5:$H$846,16,Ведомость!$I$5:$I$846,"А500С",Ведомость!$V$5:$V$846,"П-край",Ведомость!$W$5:$W$846,1)</f>
        <v>0</v>
      </c>
      <c r="AB14" s="32" t="n">
        <f aca="false">SUMIFS(Ведомость!$N$5:$N$846,Ведомость!$H$5:$H$846,16,Ведомость!$I$5:$I$846,"А500С",Ведомость!$V$5:$V$846,"С-1",Ведомость!$W$5:$W$846,1)</f>
        <v>0</v>
      </c>
      <c r="AC14" s="32" t="n">
        <f aca="false">SUMIFS(Ведомость!$N$5:$N$846,Ведомость!$H$5:$H$846,16,Ведомость!$I$5:$I$846,"А500С",Ведомость!$V$5:$V$846,"Л1",Ведомость!$W$5:$W$846,1)</f>
        <v>0</v>
      </c>
      <c r="AD14" s="32" t="n">
        <f aca="false">SUMIFS(Ведомость!$N$5:$N$846,Ведомость!$H$5:$H$846,16,Ведомость!$I$5:$I$846,"А500С",Ведомость!$V$5:$V$846,"Л2",Ведомость!$W$5:$W$846,1)</f>
        <v>0</v>
      </c>
      <c r="AE14" s="32" t="n">
        <f aca="false">SUMIFS(Ведомость!$N$5:$N$846,Ведомость!$H$5:$H$846,16,Ведомость!$I$5:$I$846,"А500С",Ведомость!$V$5:$V$846,"Л-пл",Ведомость!$W$5:$W$846,1)</f>
        <v>0</v>
      </c>
      <c r="AF14" s="32" t="n">
        <f aca="false">SUMIFS(Ведомость!$N$5:$N$846,Ведомость!$H$5:$H$846,16,Ведомость!$I$5:$I$846,"А500С",Ведомость!$V$5:$V$846,"Л-рама",Ведомость!$W$5:$W$846,1)</f>
        <v>0</v>
      </c>
      <c r="AG14" s="33" t="n">
        <f aca="false">SUM(B14:AF14)</f>
        <v>975.028</v>
      </c>
      <c r="AH14" s="34" t="n">
        <f aca="false">IFERROR(INDEX(Исходные!$B$18:$B$30,MATCH(16,Исходные!$A$18:$A$30,0)),0)</f>
        <v>1.578</v>
      </c>
      <c r="AI14" s="33" t="n">
        <f aca="false">AG14*AH14*$AJ$2</f>
        <v>1646.29577688</v>
      </c>
      <c r="AJ14" s="35" t="n">
        <f aca="false">SUM(B14:D14,F14,H14,J14:M14)</f>
        <v>439.4</v>
      </c>
      <c r="AK14" s="36" t="n">
        <f aca="false">AH14</f>
        <v>1.578</v>
      </c>
      <c r="AL14" s="37" t="n">
        <f aca="false">AJ14*AK14*$AJ$2</f>
        <v>741.909324</v>
      </c>
      <c r="AM14" s="35" t="n">
        <f aca="false">SUM(E14,G14,I14,N14:AB14)</f>
        <v>535.628</v>
      </c>
      <c r="AN14" s="36" t="n">
        <f aca="false">AH14</f>
        <v>1.578</v>
      </c>
      <c r="AO14" s="37" t="n">
        <f aca="false">AM14*AN14*$AJ$2</f>
        <v>904.38645288</v>
      </c>
      <c r="AP14" s="35" t="n">
        <f aca="false">SUM(AC14:AF14)</f>
        <v>0</v>
      </c>
      <c r="AQ14" s="36" t="n">
        <f aca="false">AH14</f>
        <v>1.578</v>
      </c>
      <c r="AR14" s="37" t="n">
        <f aca="false">AP14*AQ14*$AJ$2</f>
        <v>0</v>
      </c>
    </row>
    <row r="15" customFormat="false" ht="15" hidden="false" customHeight="false" outlineLevel="0" collapsed="false">
      <c r="A15" s="6" t="s">
        <v>127</v>
      </c>
      <c r="B15" s="32" t="n">
        <f aca="false">SUMIFS(Ведомость!$N$5:$N$846,Ведомость!$H$5:$H$846,14,Ведомость!$I$5:$I$846,"А500С",Ведомость!$V$5:$V$846,"Дм-1",Ведомость!$W$5:$W$846,1)</f>
        <v>0</v>
      </c>
      <c r="C15" s="32" t="n">
        <f aca="false">SUMIFS(Ведомость!$N$5:$N$846,Ведомость!$H$5:$H$846,14,Ведомость!$I$5:$I$846,"А500С",Ведомость!$V$5:$V$846,"Дм-2",Ведомость!$W$5:$W$846,1)</f>
        <v>0</v>
      </c>
      <c r="D15" s="32" t="n">
        <f aca="false">SUMIFS(Ведомость!$N$5:$N$846,Ведомость!$H$5:$H$846,14,Ведомость!$I$5:$I$846,"А500С",Ведомость!$V$5:$V$846,"К-А",Ведомость!$W$5:$W$846,1)</f>
        <v>0</v>
      </c>
      <c r="E15" s="32" t="n">
        <f aca="false">SUMIFS(Ведомость!$N$5:$N$846,Ведомость!$H$5:$H$846,14,Ведомость!$I$5:$I$846,"А500С",Ведомость!$V$5:$V$846,"Р-А",Ведомость!$W$5:$W$846,1)</f>
        <v>0</v>
      </c>
      <c r="F15" s="32" t="n">
        <f aca="false">SUMIFS(Ведомость!$N$5:$N$846,Ведомость!$H$5:$H$846,14,Ведомость!$I$5:$I$846,"А500С",Ведомость!$V$5:$V$846,"К-Б",Ведомость!$W$5:$W$846,1)</f>
        <v>0</v>
      </c>
      <c r="G15" s="32" t="n">
        <f aca="false">SUMIFS(Ведомость!$N$5:$N$846,Ведомость!$H$5:$H$846,14,Ведомость!$I$5:$I$846,"А500С",Ведомость!$V$5:$V$846,"Р-Б",Ведомость!$W$5:$W$846,1)</f>
        <v>14.8</v>
      </c>
      <c r="H15" s="32" t="n">
        <f aca="false">SUMIFS(Ведомость!$N$5:$N$846,Ведомость!$H$5:$H$846,14,Ведомость!$I$5:$I$846,"А500С",Ведомость!$V$5:$V$846,"К-В",Ведомость!$W$5:$W$846,1)</f>
        <v>0</v>
      </c>
      <c r="I15" s="32" t="n">
        <f aca="false">SUMIFS(Ведомость!$N$5:$N$846,Ведомость!$H$5:$H$846,14,Ведомость!$I$5:$I$846,"А500С",Ведомость!$V$5:$V$846,"Р-В",Ведомость!$W$5:$W$846,1)</f>
        <v>32</v>
      </c>
      <c r="J15" s="32" t="n">
        <f aca="false">SUMIFS(Ведомость!$N$5:$N$846,Ведомость!$H$5:$H$846,14,Ведомость!$I$5:$I$846,"А500С",Ведомость!$V$5:$V$846,"К-Г",Ведомость!$W$5:$W$846,1)</f>
        <v>0</v>
      </c>
      <c r="K15" s="32" t="n">
        <f aca="false">SUMIFS(Ведомость!$N$5:$N$846,Ведомость!$H$5:$H$846,14,Ведомость!$I$5:$I$846,"А500С",Ведомость!$V$5:$V$846,"Дм-3",Ведомость!$W$5:$W$846,1)</f>
        <v>52.2</v>
      </c>
      <c r="L15" s="32" t="n">
        <f aca="false">SUMIFS(Ведомость!$N$5:$N$846,Ведомость!$H$5:$H$846,14,Ведомость!$I$5:$I$846,"А500С",Ведомость!$V$5:$V$846,"Дм-4",Ведомость!$W$5:$W$846,1)</f>
        <v>0</v>
      </c>
      <c r="M15" s="32" t="n">
        <f aca="false">SUMIFS(Ведомость!$N$5:$N$846,Ведомость!$H$5:$H$846,14,Ведомость!$I$5:$I$846,"А500С",Ведомость!$V$5:$V$846,"Дм-5",Ведомость!$W$5:$W$846,1)</f>
        <v>8.7</v>
      </c>
      <c r="N15" s="32" t="n">
        <f aca="false">SUMIFS(Ведомость!$N$5:$N$846,Ведомость!$H$5:$H$846,14,Ведомость!$I$5:$I$846,"А500С",Ведомость!$V$5:$V$846,"Р-Г",Ведомость!$W$5:$W$846,1)</f>
        <v>0</v>
      </c>
      <c r="O15" s="32" t="n">
        <f aca="false">SUMIFS(Ведомость!$N$5:$N$846,Ведомость!$H$5:$H$846,14,Ведомость!$I$5:$I$846,"А500С",Ведомость!$V$5:$V$846,"Р-1, 5",Ведомость!$W$5:$W$846,1)</f>
        <v>0</v>
      </c>
      <c r="P15" s="32" t="n">
        <f aca="false">SUMIFS(Ведомость!$N$5:$N$846,Ведомость!$H$5:$H$846,14,Ведомость!$I$5:$I$846,"А500С",Ведомость!$V$5:$V$846,"Р-2",Ведомость!$W$5:$W$846,1)</f>
        <v>36.7</v>
      </c>
      <c r="Q15" s="32" t="n">
        <f aca="false">SUMIFS(Ведомость!$N$5:$N$846,Ведомость!$H$5:$H$846,14,Ведомость!$I$5:$I$846,"А500С",Ведомость!$V$5:$V$846,"Р-3",Ведомость!$W$5:$W$846,1)</f>
        <v>0</v>
      </c>
      <c r="R15" s="32" t="n">
        <f aca="false">SUMIFS(Ведомость!$N$5:$N$846,Ведомость!$H$5:$H$846,14,Ведомость!$I$5:$I$846,"А500С",Ведомость!$V$5:$V$846,"Р-4",Ведомость!$W$5:$W$846,1)</f>
        <v>0</v>
      </c>
      <c r="S15" s="32" t="n">
        <f aca="false">SUMIFS(Ведомость!$N$5:$N$846,Ведомость!$H$5:$H$846,14,Ведомость!$I$5:$I$846,"А500С",Ведомость!$V$5:$V$846,"Б-основная",Ведомость!$W$5:$W$846,1)</f>
        <v>0</v>
      </c>
      <c r="T15" s="32" t="n">
        <f aca="false">SUMIFS(Ведомость!$N$5:$N$846,Ведомость!$H$5:$H$846,14,Ведомость!$I$5:$I$846,"А500С",Ведомость!$V$5:$V$846,"Б-хомуты",Ведомость!$W$5:$W$846,1)</f>
        <v>0</v>
      </c>
      <c r="U15" s="32" t="n">
        <f aca="false">SUMIFS(Ведомость!$N$5:$N$846,Ведомость!$H$5:$H$846,14,Ведомость!$I$5:$I$846,"А500С",Ведомость!$V$5:$V$846,"Б-допник",Ведомость!$W$5:$W$846,1)</f>
        <v>0</v>
      </c>
      <c r="V15" s="32" t="n">
        <f aca="false">SUMIFS(Ведомость!$N$5:$N$846,Ведомость!$H$5:$H$846,14,Ведомость!$I$5:$I$846,"А500С",Ведомость!$V$5:$V$846,"П-сетка",Ведомость!$W$5:$W$846,1)</f>
        <v>0</v>
      </c>
      <c r="W15" s="32" t="n">
        <f aca="false">SUMIFS(Ведомость!$N$5:$N$846,Ведомость!$H$5:$H$846,14,Ведомость!$I$5:$I$846,"А500С",Ведомость!$V$5:$V$846,"П-фикс",Ведомость!$W$5:$W$846,1)</f>
        <v>0</v>
      </c>
      <c r="X15" s="32" t="n">
        <f aca="false">SUMIFS(Ведомость!$N$5:$N$846,Ведомость!$H$5:$H$846,14,Ведомость!$I$5:$I$846,"А500С",Ведомость!$V$5:$V$846,"П-отв",Ведомость!$W$5:$W$846,1)</f>
        <v>0</v>
      </c>
      <c r="Y15" s="32" t="n">
        <f aca="false">SUMIFS(Ведомость!$N$5:$N$846,Ведомость!$H$5:$H$846,14,Ведомость!$I$5:$I$846,"А500С",Ведомость!$V$5:$V$846,"П-доп-низ",Ведомость!$W$5:$W$846,1)</f>
        <v>0</v>
      </c>
      <c r="Z15" s="32" t="n">
        <f aca="false">SUMIFS(Ведомость!$N$5:$N$846,Ведомость!$H$5:$H$846,14,Ведомость!$I$5:$I$846,"А500С",Ведомость!$V$5:$V$846,"П-доп-верх",Ведомость!$W$5:$W$846,1)</f>
        <v>0</v>
      </c>
      <c r="AA15" s="32" t="n">
        <f aca="false">SUMIFS(Ведомость!$N$5:$N$846,Ведомость!$H$5:$H$846,14,Ведомость!$I$5:$I$846,"А500С",Ведомость!$V$5:$V$846,"П-край",Ведомость!$W$5:$W$846,1)</f>
        <v>96.06</v>
      </c>
      <c r="AB15" s="32" t="n">
        <f aca="false">SUMIFS(Ведомость!$N$5:$N$846,Ведомость!$H$5:$H$846,14,Ведомость!$I$5:$I$846,"А500С",Ведомость!$V$5:$V$846,"С-1",Ведомость!$W$5:$W$846,1)</f>
        <v>0</v>
      </c>
      <c r="AC15" s="32" t="n">
        <f aca="false">SUMIFS(Ведомость!$N$5:$N$846,Ведомость!$H$5:$H$846,14,Ведомость!$I$5:$I$846,"А500С",Ведомость!$V$5:$V$846,"Л1",Ведомость!$W$5:$W$846,1)</f>
        <v>0</v>
      </c>
      <c r="AD15" s="32" t="n">
        <f aca="false">SUMIFS(Ведомость!$N$5:$N$846,Ведомость!$H$5:$H$846,14,Ведомость!$I$5:$I$846,"А500С",Ведомость!$V$5:$V$846,"Л2",Ведомость!$W$5:$W$846,1)</f>
        <v>0</v>
      </c>
      <c r="AE15" s="32" t="n">
        <f aca="false">SUMIFS(Ведомость!$N$5:$N$846,Ведомость!$H$5:$H$846,14,Ведомость!$I$5:$I$846,"А500С",Ведомость!$V$5:$V$846,"Л-пл",Ведомость!$W$5:$W$846,1)</f>
        <v>0</v>
      </c>
      <c r="AF15" s="32" t="n">
        <f aca="false">SUMIFS(Ведомость!$N$5:$N$846,Ведомость!$H$5:$H$846,14,Ведомость!$I$5:$I$846,"А500С",Ведомость!$V$5:$V$846,"Л-рама",Ведомость!$W$5:$W$846,1)</f>
        <v>0</v>
      </c>
      <c r="AG15" s="33" t="n">
        <f aca="false">SUM(B15:AF15)</f>
        <v>240.46</v>
      </c>
      <c r="AH15" s="34" t="n">
        <f aca="false">IFERROR(INDEX(Исходные!$B$18:$B$30,MATCH(14,Исходные!$A$18:$A$30,0)),0)</f>
        <v>1.208</v>
      </c>
      <c r="AI15" s="33" t="n">
        <f aca="false">AG15*AH15*$AJ$2</f>
        <v>310.8089776</v>
      </c>
      <c r="AJ15" s="35" t="n">
        <f aca="false">SUM(B15:D15,F15,H15,J15:M15)</f>
        <v>60.9</v>
      </c>
      <c r="AK15" s="36" t="n">
        <f aca="false">AH15</f>
        <v>1.208</v>
      </c>
      <c r="AL15" s="37" t="n">
        <f aca="false">AJ15*AK15*$AJ$2</f>
        <v>78.716904</v>
      </c>
      <c r="AM15" s="35" t="n">
        <f aca="false">SUM(E15,G15,I15,N15:AB15)</f>
        <v>179.56</v>
      </c>
      <c r="AN15" s="36" t="n">
        <f aca="false">AH15</f>
        <v>1.208</v>
      </c>
      <c r="AO15" s="37" t="n">
        <f aca="false">AM15*AN15*$AJ$2</f>
        <v>232.0920736</v>
      </c>
      <c r="AP15" s="35" t="n">
        <f aca="false">SUM(AC15:AF15)</f>
        <v>0</v>
      </c>
      <c r="AQ15" s="36" t="n">
        <f aca="false">AH15</f>
        <v>1.208</v>
      </c>
      <c r="AR15" s="37" t="n">
        <f aca="false">AP15*AQ15*$AJ$2</f>
        <v>0</v>
      </c>
    </row>
    <row r="16" customFormat="false" ht="15" hidden="false" customHeight="false" outlineLevel="0" collapsed="false">
      <c r="A16" s="6" t="s">
        <v>128</v>
      </c>
      <c r="B16" s="32" t="n">
        <f aca="false">SUMIFS(Ведомость!$N$5:$N$846,Ведомость!$H$5:$H$846,12,Ведомость!$I$5:$I$846,"А500С",Ведомость!$V$5:$V$846,"Дм-1",Ведомость!$W$5:$W$846,1)</f>
        <v>0</v>
      </c>
      <c r="C16" s="32" t="n">
        <f aca="false">SUMIFS(Ведомость!$N$5:$N$846,Ведомость!$H$5:$H$846,12,Ведомость!$I$5:$I$846,"А500С",Ведомость!$V$5:$V$846,"Дм-2",Ведомость!$W$5:$W$846,1)</f>
        <v>0</v>
      </c>
      <c r="D16" s="32" t="n">
        <f aca="false">SUMIFS(Ведомость!$N$5:$N$846,Ведомость!$H$5:$H$846,12,Ведомость!$I$5:$I$846,"А500С",Ведомость!$V$5:$V$846,"К-А",Ведомость!$W$5:$W$846,1)</f>
        <v>0</v>
      </c>
      <c r="E16" s="32" t="n">
        <f aca="false">SUMIFS(Ведомость!$N$5:$N$846,Ведомость!$H$5:$H$846,12,Ведомость!$I$5:$I$846,"А500С",Ведомость!$V$5:$V$846,"Р-А",Ведомость!$W$5:$W$846,1)</f>
        <v>0</v>
      </c>
      <c r="F16" s="32" t="n">
        <f aca="false">SUMIFS(Ведомость!$N$5:$N$846,Ведомость!$H$5:$H$846,12,Ведомость!$I$5:$I$846,"А500С",Ведомость!$V$5:$V$846,"К-Б",Ведомость!$W$5:$W$846,1)</f>
        <v>0</v>
      </c>
      <c r="G16" s="32" t="n">
        <f aca="false">SUMIFS(Ведомость!$N$5:$N$846,Ведомость!$H$5:$H$846,12,Ведомость!$I$5:$I$846,"А500С",Ведомость!$V$5:$V$846,"Р-Б",Ведомость!$W$5:$W$846,1)</f>
        <v>28.4</v>
      </c>
      <c r="H16" s="32" t="n">
        <f aca="false">SUMIFS(Ведомость!$N$5:$N$846,Ведомость!$H$5:$H$846,12,Ведомость!$I$5:$I$846,"А500С",Ведомость!$V$5:$V$846,"К-В",Ведомость!$W$5:$W$846,1)</f>
        <v>0</v>
      </c>
      <c r="I16" s="32" t="n">
        <f aca="false">SUMIFS(Ведомость!$N$5:$N$846,Ведомость!$H$5:$H$846,12,Ведомость!$I$5:$I$846,"А500С",Ведомость!$V$5:$V$846,"Р-В",Ведомость!$W$5:$W$846,1)</f>
        <v>68.784</v>
      </c>
      <c r="J16" s="32" t="n">
        <f aca="false">SUMIFS(Ведомость!$N$5:$N$846,Ведомость!$H$5:$H$846,12,Ведомость!$I$5:$I$846,"А500С",Ведомость!$V$5:$V$846,"К-Г",Ведомость!$W$5:$W$846,1)</f>
        <v>0</v>
      </c>
      <c r="K16" s="32" t="n">
        <f aca="false">SUMIFS(Ведомость!$N$5:$N$846,Ведомость!$H$5:$H$846,12,Ведомость!$I$5:$I$846,"А500С",Ведомость!$V$5:$V$846,"Дм-3",Ведомость!$W$5:$W$846,1)</f>
        <v>0</v>
      </c>
      <c r="L16" s="32" t="n">
        <f aca="false">SUMIFS(Ведомость!$N$5:$N$846,Ведомость!$H$5:$H$846,12,Ведомость!$I$5:$I$846,"А500С",Ведомость!$V$5:$V$846,"Дм-4",Ведомость!$W$5:$W$846,1)</f>
        <v>0</v>
      </c>
      <c r="M16" s="32" t="n">
        <f aca="false">SUMIFS(Ведомость!$N$5:$N$846,Ведомость!$H$5:$H$846,12,Ведомость!$I$5:$I$846,"А500С",Ведомость!$V$5:$V$846,"Дм-5",Ведомость!$W$5:$W$846,1)</f>
        <v>0</v>
      </c>
      <c r="N16" s="32" t="n">
        <f aca="false">SUMIFS(Ведомость!$N$5:$N$846,Ведомость!$H$5:$H$846,12,Ведомость!$I$5:$I$846,"А500С",Ведомость!$V$5:$V$846,"Р-Г",Ведомость!$W$5:$W$846,1)</f>
        <v>0</v>
      </c>
      <c r="O16" s="32" t="n">
        <f aca="false">SUMIFS(Ведомость!$N$5:$N$846,Ведомость!$H$5:$H$846,12,Ведомость!$I$5:$I$846,"А500С",Ведомость!$V$5:$V$846,"Р-1, 5",Ведомость!$W$5:$W$846,1)</f>
        <v>16.4</v>
      </c>
      <c r="P16" s="32" t="n">
        <f aca="false">SUMIFS(Ведомость!$N$5:$N$846,Ведомость!$H$5:$H$846,12,Ведомость!$I$5:$I$846,"А500С",Ведомость!$V$5:$V$846,"Р-2",Ведомость!$W$5:$W$846,1)</f>
        <v>0</v>
      </c>
      <c r="Q16" s="32" t="n">
        <f aca="false">SUMIFS(Ведомость!$N$5:$N$846,Ведомость!$H$5:$H$846,12,Ведомость!$I$5:$I$846,"А500С",Ведомость!$V$5:$V$846,"Р-3",Ведомость!$W$5:$W$846,1)</f>
        <v>38.6</v>
      </c>
      <c r="R16" s="32" t="n">
        <f aca="false">SUMIFS(Ведомость!$N$5:$N$846,Ведомость!$H$5:$H$846,12,Ведомость!$I$5:$I$846,"А500С",Ведомость!$V$5:$V$846,"Р-4",Ведомость!$W$5:$W$846,1)</f>
        <v>46.8</v>
      </c>
      <c r="S16" s="32" t="n">
        <f aca="false">SUMIFS(Ведомость!$N$5:$N$846,Ведомость!$H$5:$H$846,12,Ведомость!$I$5:$I$846,"А500С",Ведомость!$V$5:$V$846,"Б-основная",Ведомость!$W$5:$W$846,1)</f>
        <v>0</v>
      </c>
      <c r="T16" s="32" t="n">
        <f aca="false">SUMIFS(Ведомость!$N$5:$N$846,Ведомость!$H$5:$H$846,12,Ведомость!$I$5:$I$846,"А500С",Ведомость!$V$5:$V$846,"Б-хомуты",Ведомость!$W$5:$W$846,1)</f>
        <v>0</v>
      </c>
      <c r="U16" s="32" t="n">
        <f aca="false">SUMIFS(Ведомость!$N$5:$N$846,Ведомость!$H$5:$H$846,12,Ведомость!$I$5:$I$846,"А500С",Ведомость!$V$5:$V$846,"Б-допник",Ведомость!$W$5:$W$846,1)</f>
        <v>0</v>
      </c>
      <c r="V16" s="32" t="n">
        <f aca="false">SUMIFS(Ведомость!$N$5:$N$846,Ведомость!$H$5:$H$846,12,Ведомость!$I$5:$I$846,"А500С",Ведомость!$V$5:$V$846,"П-сетка",Ведомость!$W$5:$W$846,1)</f>
        <v>0</v>
      </c>
      <c r="W16" s="32" t="n">
        <f aca="false">SUMIFS(Ведомость!$N$5:$N$846,Ведомость!$H$5:$H$846,12,Ведомость!$I$5:$I$846,"А500С",Ведомость!$V$5:$V$846,"П-фикс",Ведомость!$W$5:$W$846,1)</f>
        <v>0</v>
      </c>
      <c r="X16" s="32" t="n">
        <f aca="false">SUMIFS(Ведомость!$N$5:$N$846,Ведомость!$H$5:$H$846,12,Ведомость!$I$5:$I$846,"А500С",Ведомость!$V$5:$V$846,"П-отв",Ведомость!$W$5:$W$846,1)</f>
        <v>0</v>
      </c>
      <c r="Y16" s="32" t="n">
        <f aca="false">SUMIFS(Ведомость!$N$5:$N$846,Ведомость!$H$5:$H$846,12,Ведомость!$I$5:$I$846,"А500С",Ведомость!$V$5:$V$846,"П-доп-низ",Ведомость!$W$5:$W$846,1)</f>
        <v>0</v>
      </c>
      <c r="Z16" s="32" t="n">
        <f aca="false">SUMIFS(Ведомость!$N$5:$N$846,Ведомость!$H$5:$H$846,12,Ведомость!$I$5:$I$846,"А500С",Ведомость!$V$5:$V$846,"П-доп-верх",Ведомость!$W$5:$W$846,1)</f>
        <v>43.2</v>
      </c>
      <c r="AA16" s="32" t="n">
        <f aca="false">SUMIFS(Ведомость!$N$5:$N$846,Ведомость!$H$5:$H$846,12,Ведомость!$I$5:$I$846,"А500С",Ведомость!$V$5:$V$846,"П-край",Ведомость!$W$5:$W$846,1)</f>
        <v>0</v>
      </c>
      <c r="AB16" s="32" t="n">
        <f aca="false">SUMIFS(Ведомость!$N$5:$N$846,Ведомость!$H$5:$H$846,12,Ведомость!$I$5:$I$846,"А500С",Ведомость!$V$5:$V$846,"С-1",Ведомость!$W$5:$W$846,1)</f>
        <v>0</v>
      </c>
      <c r="AC16" s="32" t="n">
        <f aca="false">SUMIFS(Ведомость!$N$5:$N$846,Ведомость!$H$5:$H$846,12,Ведомость!$I$5:$I$846,"А500С",Ведомость!$V$5:$V$846,"Л1",Ведомость!$W$5:$W$846,1)</f>
        <v>0</v>
      </c>
      <c r="AD16" s="32" t="n">
        <f aca="false">SUMIFS(Ведомость!$N$5:$N$846,Ведомость!$H$5:$H$846,12,Ведомость!$I$5:$I$846,"А500С",Ведомость!$V$5:$V$846,"Л2",Ведомость!$W$5:$W$846,1)</f>
        <v>0</v>
      </c>
      <c r="AE16" s="32" t="n">
        <f aca="false">SUMIFS(Ведомость!$N$5:$N$846,Ведомость!$H$5:$H$846,12,Ведомость!$I$5:$I$846,"А500С",Ведомость!$V$5:$V$846,"Л-пл",Ведомость!$W$5:$W$846,1)</f>
        <v>0</v>
      </c>
      <c r="AF16" s="32" t="n">
        <f aca="false">SUMIFS(Ведомость!$N$5:$N$846,Ведомость!$H$5:$H$846,12,Ведомость!$I$5:$I$846,"А500С",Ведомость!$V$5:$V$846,"Л-рама",Ведомость!$W$5:$W$846,1)</f>
        <v>0</v>
      </c>
      <c r="AG16" s="33" t="n">
        <f aca="false">SUM(B16:AF16)</f>
        <v>242.184</v>
      </c>
      <c r="AH16" s="34" t="n">
        <f aca="false">IFERROR(INDEX(Исходные!$B$18:$B$30,MATCH(12,Исходные!$A$18:$A$30,0)),0)</f>
        <v>0.888</v>
      </c>
      <c r="AI16" s="33" t="n">
        <f aca="false">AG16*AH16*$AJ$2</f>
        <v>230.11354944</v>
      </c>
      <c r="AJ16" s="35" t="n">
        <f aca="false">SUM(B16:D16,F16,H16,J16:M16)</f>
        <v>0</v>
      </c>
      <c r="AK16" s="36" t="n">
        <f aca="false">AH16</f>
        <v>0.888</v>
      </c>
      <c r="AL16" s="37" t="n">
        <f aca="false">AJ16*AK16*$AJ$2</f>
        <v>0</v>
      </c>
      <c r="AM16" s="35" t="n">
        <f aca="false">SUM(E16,G16,I16,N16:AB16)</f>
        <v>242.184</v>
      </c>
      <c r="AN16" s="36" t="n">
        <f aca="false">AH16</f>
        <v>0.888</v>
      </c>
      <c r="AO16" s="37" t="n">
        <f aca="false">AM16*AN16*$AJ$2</f>
        <v>230.11354944</v>
      </c>
      <c r="AP16" s="35" t="n">
        <f aca="false">SUM(AC16:AF16)</f>
        <v>0</v>
      </c>
      <c r="AQ16" s="36" t="n">
        <f aca="false">AH16</f>
        <v>0.888</v>
      </c>
      <c r="AR16" s="37" t="n">
        <f aca="false">AP16*AQ16*$AJ$2</f>
        <v>0</v>
      </c>
    </row>
    <row r="17" customFormat="false" ht="15" hidden="false" customHeight="false" outlineLevel="0" collapsed="false">
      <c r="A17" s="6" t="s">
        <v>129</v>
      </c>
      <c r="B17" s="32" t="n">
        <f aca="false">SUMIFS(Ведомость!$N$5:$N$846,Ведомость!$H$5:$H$846,10,Ведомость!$I$5:$I$846,"А500С",Ведомость!$V$5:$V$846,"Дм-1",Ведомость!$W$5:$W$846,1)</f>
        <v>4.8</v>
      </c>
      <c r="C17" s="32" t="n">
        <f aca="false">SUMIFS(Ведомость!$N$5:$N$846,Ведомость!$H$5:$H$846,10,Ведомость!$I$5:$I$846,"А500С",Ведомость!$V$5:$V$846,"Дм-2",Ведомость!$W$5:$W$846,1)</f>
        <v>0</v>
      </c>
      <c r="D17" s="32" t="n">
        <f aca="false">SUMIFS(Ведомость!$N$5:$N$846,Ведомость!$H$5:$H$846,10,Ведомость!$I$5:$I$846,"А500С",Ведомость!$V$5:$V$846,"К-А",Ведомость!$W$5:$W$846,1)</f>
        <v>0</v>
      </c>
      <c r="E17" s="32" t="n">
        <f aca="false">SUMIFS(Ведомость!$N$5:$N$846,Ведомость!$H$5:$H$846,10,Ведомость!$I$5:$I$846,"А500С",Ведомость!$V$5:$V$846,"Р-А",Ведомость!$W$5:$W$846,1)</f>
        <v>0</v>
      </c>
      <c r="F17" s="32" t="n">
        <f aca="false">SUMIFS(Ведомость!$N$5:$N$846,Ведомость!$H$5:$H$846,10,Ведомость!$I$5:$I$846,"А500С",Ведомость!$V$5:$V$846,"К-Б",Ведомость!$W$5:$W$846,1)</f>
        <v>0</v>
      </c>
      <c r="G17" s="32" t="n">
        <f aca="false">SUMIFS(Ведомость!$N$5:$N$846,Ведомость!$H$5:$H$846,10,Ведомость!$I$5:$I$846,"А500С",Ведомость!$V$5:$V$846,"Р-Б",Ведомость!$W$5:$W$846,1)</f>
        <v>0</v>
      </c>
      <c r="H17" s="32" t="n">
        <f aca="false">SUMIFS(Ведомость!$N$5:$N$846,Ведомость!$H$5:$H$846,10,Ведомость!$I$5:$I$846,"А500С",Ведомость!$V$5:$V$846,"К-В",Ведомость!$W$5:$W$846,1)</f>
        <v>0</v>
      </c>
      <c r="I17" s="32" t="n">
        <f aca="false">SUMIFS(Ведомость!$N$5:$N$846,Ведомость!$H$5:$H$846,10,Ведомость!$I$5:$I$846,"А500С",Ведомость!$V$5:$V$846,"Р-В",Ведомость!$W$5:$W$846,1)</f>
        <v>0</v>
      </c>
      <c r="J17" s="32" t="n">
        <f aca="false">SUMIFS(Ведомость!$N$5:$N$846,Ведомость!$H$5:$H$846,10,Ведомость!$I$5:$I$846,"А500С",Ведомость!$V$5:$V$846,"К-Г",Ведомость!$W$5:$W$846,1)</f>
        <v>0</v>
      </c>
      <c r="K17" s="32" t="n">
        <f aca="false">SUMIFS(Ведомость!$N$5:$N$846,Ведомость!$H$5:$H$846,10,Ведомость!$I$5:$I$846,"А500С",Ведомость!$V$5:$V$846,"Дм-3",Ведомость!$W$5:$W$846,1)</f>
        <v>0</v>
      </c>
      <c r="L17" s="32" t="n">
        <f aca="false">SUMIFS(Ведомость!$N$5:$N$846,Ведомость!$H$5:$H$846,10,Ведомость!$I$5:$I$846,"А500С",Ведомость!$V$5:$V$846,"Дм-4",Ведомость!$W$5:$W$846,1)</f>
        <v>0</v>
      </c>
      <c r="M17" s="32" t="n">
        <f aca="false">SUMIFS(Ведомость!$N$5:$N$846,Ведомость!$H$5:$H$846,10,Ведомость!$I$5:$I$846,"А500С",Ведомость!$V$5:$V$846,"Дм-5",Ведомость!$W$5:$W$846,1)</f>
        <v>7.5</v>
      </c>
      <c r="N17" s="32" t="n">
        <f aca="false">SUMIFS(Ведомость!$N$5:$N$846,Ведомость!$H$5:$H$846,10,Ведомость!$I$5:$I$846,"А500С",Ведомость!$V$5:$V$846,"Р-Г",Ведомость!$W$5:$W$846,1)</f>
        <v>0</v>
      </c>
      <c r="O17" s="32" t="n">
        <f aca="false">SUMIFS(Ведомость!$N$5:$N$846,Ведомость!$H$5:$H$846,10,Ведомость!$I$5:$I$846,"А500С",Ведомость!$V$5:$V$846,"Р-1, 5",Ведомость!$W$5:$W$846,1)</f>
        <v>0</v>
      </c>
      <c r="P17" s="32" t="n">
        <f aca="false">SUMIFS(Ведомость!$N$5:$N$846,Ведомость!$H$5:$H$846,10,Ведомость!$I$5:$I$846,"А500С",Ведомость!$V$5:$V$846,"Р-2",Ведомость!$W$5:$W$846,1)</f>
        <v>0</v>
      </c>
      <c r="Q17" s="32" t="n">
        <f aca="false">SUMIFS(Ведомость!$N$5:$N$846,Ведомость!$H$5:$H$846,10,Ведомость!$I$5:$I$846,"А500С",Ведомость!$V$5:$V$846,"Р-3",Ведомость!$W$5:$W$846,1)</f>
        <v>0</v>
      </c>
      <c r="R17" s="32" t="n">
        <f aca="false">SUMIFS(Ведомость!$N$5:$N$846,Ведомость!$H$5:$H$846,10,Ведомость!$I$5:$I$846,"А500С",Ведомость!$V$5:$V$846,"Р-4",Ведомость!$W$5:$W$846,1)</f>
        <v>0</v>
      </c>
      <c r="S17" s="32" t="n">
        <f aca="false">SUMIFS(Ведомость!$N$5:$N$846,Ведомость!$H$5:$H$846,10,Ведомость!$I$5:$I$846,"А500С",Ведомость!$V$5:$V$846,"Б-основная",Ведомость!$W$5:$W$846,1)</f>
        <v>0</v>
      </c>
      <c r="T17" s="32" t="n">
        <f aca="false">SUMIFS(Ведомость!$N$5:$N$846,Ведомость!$H$5:$H$846,10,Ведомость!$I$5:$I$846,"А500С",Ведомость!$V$5:$V$846,"Б-хомуты",Ведомость!$W$5:$W$846,1)</f>
        <v>0</v>
      </c>
      <c r="U17" s="32" t="n">
        <f aca="false">SUMIFS(Ведомость!$N$5:$N$846,Ведомость!$H$5:$H$846,10,Ведомость!$I$5:$I$846,"А500С",Ведомость!$V$5:$V$846,"Б-допник",Ведомость!$W$5:$W$846,1)</f>
        <v>0</v>
      </c>
      <c r="V17" s="32" t="n">
        <f aca="false">SUMIFS(Ведомость!$N$5:$N$846,Ведомость!$H$5:$H$846,10,Ведомость!$I$5:$I$846,"А500С",Ведомость!$V$5:$V$846,"П-сетка",Ведомость!$W$5:$W$846,1)</f>
        <v>11113.06</v>
      </c>
      <c r="W17" s="32" t="n">
        <f aca="false">SUMIFS(Ведомость!$N$5:$N$846,Ведомость!$H$5:$H$846,10,Ведомость!$I$5:$I$846,"А500С",Ведомость!$V$5:$V$846,"П-фикс",Ведомость!$W$5:$W$846,1)</f>
        <v>0</v>
      </c>
      <c r="X17" s="32" t="n">
        <f aca="false">SUMIFS(Ведомость!$N$5:$N$846,Ведомость!$H$5:$H$846,10,Ведомость!$I$5:$I$846,"А500С",Ведомость!$V$5:$V$846,"П-отв",Ведомость!$W$5:$W$846,1)</f>
        <v>0</v>
      </c>
      <c r="Y17" s="32" t="n">
        <f aca="false">SUMIFS(Ведомость!$N$5:$N$846,Ведомость!$H$5:$H$846,10,Ведомость!$I$5:$I$846,"А500С",Ведомость!$V$5:$V$846,"П-доп-низ",Ведомость!$W$5:$W$846,1)</f>
        <v>393</v>
      </c>
      <c r="Z17" s="32" t="n">
        <f aca="false">SUMIFS(Ведомость!$N$5:$N$846,Ведомость!$H$5:$H$846,10,Ведомость!$I$5:$I$846,"А500С",Ведомость!$V$5:$V$846,"П-доп-верх",Ведомость!$W$5:$W$846,1)</f>
        <v>529</v>
      </c>
      <c r="AA17" s="32" t="n">
        <f aca="false">SUMIFS(Ведомость!$N$5:$N$846,Ведомость!$H$5:$H$846,10,Ведомость!$I$5:$I$846,"А500С",Ведомость!$V$5:$V$846,"П-край",Ведомость!$W$5:$W$846,1)</f>
        <v>0</v>
      </c>
      <c r="AB17" s="32" t="n">
        <f aca="false">SUMIFS(Ведомость!$N$5:$N$846,Ведомость!$H$5:$H$846,10,Ведомость!$I$5:$I$846,"А500С",Ведомость!$V$5:$V$846,"С-1",Ведомость!$W$5:$W$846,1)</f>
        <v>957.6</v>
      </c>
      <c r="AC17" s="32" t="n">
        <f aca="false">SUMIFS(Ведомость!$N$5:$N$846,Ведомость!$H$5:$H$846,10,Ведомость!$I$5:$I$846,"А500С",Ведомость!$V$5:$V$846,"Л1",Ведомость!$W$5:$W$846,1)</f>
        <v>73.78</v>
      </c>
      <c r="AD17" s="32" t="n">
        <f aca="false">SUMIFS(Ведомость!$N$5:$N$846,Ведомость!$H$5:$H$846,10,Ведомость!$I$5:$I$846,"А500С",Ведомость!$V$5:$V$846,"Л2",Ведомость!$W$5:$W$846,1)</f>
        <v>76.16</v>
      </c>
      <c r="AE17" s="32" t="n">
        <f aca="false">SUMIFS(Ведомость!$N$5:$N$846,Ведомость!$H$5:$H$846,10,Ведомость!$I$5:$I$846,"А500С",Ведомость!$V$5:$V$846,"Л-пл",Ведомость!$W$5:$W$846,1)</f>
        <v>87.28</v>
      </c>
      <c r="AF17" s="32" t="n">
        <f aca="false">SUMIFS(Ведомость!$N$5:$N$846,Ведомость!$H$5:$H$846,10,Ведомость!$I$5:$I$846,"А500С",Ведомость!$V$5:$V$846,"Л-рама",Ведомость!$W$5:$W$846,1)</f>
        <v>0</v>
      </c>
      <c r="AG17" s="33" t="n">
        <f aca="false">SUM(B17:AF17)</f>
        <v>13242.18</v>
      </c>
      <c r="AH17" s="34" t="n">
        <f aca="false">IFERROR(INDEX(Исходные!$B$18:$B$30,MATCH(10,Исходные!$A$18:$A$30,0)),0)</f>
        <v>0.617</v>
      </c>
      <c r="AI17" s="33" t="n">
        <f aca="false">AG17*AH17*$AJ$2</f>
        <v>8742.3548142</v>
      </c>
      <c r="AJ17" s="35" t="n">
        <f aca="false">SUM(B17:D17,F17,H17,J17:M17)</f>
        <v>12.3</v>
      </c>
      <c r="AK17" s="36" t="n">
        <f aca="false">AH17</f>
        <v>0.617</v>
      </c>
      <c r="AL17" s="37" t="n">
        <f aca="false">AJ17*AK17*$AJ$2</f>
        <v>8.120337</v>
      </c>
      <c r="AM17" s="35" t="n">
        <f aca="false">SUM(E17,G17,I17,N17:AB17)</f>
        <v>12992.66</v>
      </c>
      <c r="AN17" s="36" t="n">
        <f aca="false">AH17</f>
        <v>0.617</v>
      </c>
      <c r="AO17" s="37" t="n">
        <f aca="false">AM17*AN17*$AJ$2</f>
        <v>8577.6242054</v>
      </c>
      <c r="AP17" s="35" t="n">
        <f aca="false">SUM(AC17:AF17)</f>
        <v>237.22</v>
      </c>
      <c r="AQ17" s="36" t="n">
        <f aca="false">AH17</f>
        <v>0.617</v>
      </c>
      <c r="AR17" s="37" t="n">
        <f aca="false">AP17*AQ17*$AJ$2</f>
        <v>156.6102718</v>
      </c>
    </row>
    <row r="18" customFormat="false" ht="15" hidden="false" customHeight="false" outlineLevel="0" collapsed="false">
      <c r="A18" s="6" t="s">
        <v>130</v>
      </c>
      <c r="B18" s="32" t="n">
        <f aca="false">SUMIFS(Ведомость!$N$5:$N$846,Ведомость!$H$5:$H$846,8,Ведомость!$I$5:$I$846,"А500С",Ведомость!$V$5:$V$846,"Дм-1",Ведомость!$W$5:$W$846,1)</f>
        <v>0</v>
      </c>
      <c r="C18" s="32" t="n">
        <f aca="false">SUMIFS(Ведомость!$N$5:$N$846,Ведомость!$H$5:$H$846,8,Ведомость!$I$5:$I$846,"А500С",Ведомость!$V$5:$V$846,"Дм-2",Ведомость!$W$5:$W$846,1)</f>
        <v>0</v>
      </c>
      <c r="D18" s="32" t="n">
        <f aca="false">SUMIFS(Ведомость!$N$5:$N$846,Ведомость!$H$5:$H$846,8,Ведомость!$I$5:$I$846,"А500С",Ведомость!$V$5:$V$846,"К-А",Ведомость!$W$5:$W$846,1)</f>
        <v>0</v>
      </c>
      <c r="E18" s="32" t="n">
        <f aca="false">SUMIFS(Ведомость!$N$5:$N$846,Ведомость!$H$5:$H$846,8,Ведомость!$I$5:$I$846,"А500С",Ведомость!$V$5:$V$846,"Р-А",Ведомость!$W$5:$W$846,1)</f>
        <v>0</v>
      </c>
      <c r="F18" s="32" t="n">
        <f aca="false">SUMIFS(Ведомость!$N$5:$N$846,Ведомость!$H$5:$H$846,8,Ведомость!$I$5:$I$846,"А500С",Ведомость!$V$5:$V$846,"К-Б",Ведомость!$W$5:$W$846,1)</f>
        <v>0</v>
      </c>
      <c r="G18" s="32" t="n">
        <f aca="false">SUMIFS(Ведомость!$N$5:$N$846,Ведомость!$H$5:$H$846,8,Ведомость!$I$5:$I$846,"А500С",Ведомость!$V$5:$V$846,"Р-Б",Ведомость!$W$5:$W$846,1)</f>
        <v>0</v>
      </c>
      <c r="H18" s="32" t="n">
        <f aca="false">SUMIFS(Ведомость!$N$5:$N$846,Ведомость!$H$5:$H$846,8,Ведомость!$I$5:$I$846,"А500С",Ведомость!$V$5:$V$846,"К-В",Ведомость!$W$5:$W$846,1)</f>
        <v>0</v>
      </c>
      <c r="I18" s="32" t="n">
        <f aca="false">SUMIFS(Ведомость!$N$5:$N$846,Ведомость!$H$5:$H$846,8,Ведомость!$I$5:$I$846,"А500С",Ведомость!$V$5:$V$846,"Р-В",Ведомость!$W$5:$W$846,1)</f>
        <v>0</v>
      </c>
      <c r="J18" s="32" t="n">
        <f aca="false">SUMIFS(Ведомость!$N$5:$N$846,Ведомость!$H$5:$H$846,8,Ведомость!$I$5:$I$846,"А500С",Ведомость!$V$5:$V$846,"К-Г",Ведомость!$W$5:$W$846,1)</f>
        <v>0</v>
      </c>
      <c r="K18" s="32" t="n">
        <f aca="false">SUMIFS(Ведомость!$N$5:$N$846,Ведомость!$H$5:$H$846,8,Ведомость!$I$5:$I$846,"А500С",Ведомость!$V$5:$V$846,"Дм-3",Ведомость!$W$5:$W$846,1)</f>
        <v>0</v>
      </c>
      <c r="L18" s="32" t="n">
        <f aca="false">SUMIFS(Ведомость!$N$5:$N$846,Ведомость!$H$5:$H$846,8,Ведомость!$I$5:$I$846,"А500С",Ведомость!$V$5:$V$846,"Дм-4",Ведомость!$W$5:$W$846,1)</f>
        <v>0</v>
      </c>
      <c r="M18" s="32" t="n">
        <f aca="false">SUMIFS(Ведомость!$N$5:$N$846,Ведомость!$H$5:$H$846,8,Ведомость!$I$5:$I$846,"А500С",Ведомость!$V$5:$V$846,"Дм-5",Ведомость!$W$5:$W$846,1)</f>
        <v>0</v>
      </c>
      <c r="N18" s="32" t="n">
        <f aca="false">SUMIFS(Ведомость!$N$5:$N$846,Ведомость!$H$5:$H$846,8,Ведомость!$I$5:$I$846,"А500С",Ведомость!$V$5:$V$846,"Р-Г",Ведомость!$W$5:$W$846,1)</f>
        <v>0</v>
      </c>
      <c r="O18" s="32" t="n">
        <f aca="false">SUMIFS(Ведомость!$N$5:$N$846,Ведомость!$H$5:$H$846,8,Ведомость!$I$5:$I$846,"А500С",Ведомость!$V$5:$V$846,"Р-1, 5",Ведомость!$W$5:$W$846,1)</f>
        <v>0</v>
      </c>
      <c r="P18" s="32" t="n">
        <f aca="false">SUMIFS(Ведомость!$N$5:$N$846,Ведомость!$H$5:$H$846,8,Ведомость!$I$5:$I$846,"А500С",Ведомость!$V$5:$V$846,"Р-2",Ведомость!$W$5:$W$846,1)</f>
        <v>0</v>
      </c>
      <c r="Q18" s="32" t="n">
        <f aca="false">SUMIFS(Ведомость!$N$5:$N$846,Ведомость!$H$5:$H$846,8,Ведомость!$I$5:$I$846,"А500С",Ведомость!$V$5:$V$846,"Р-3",Ведомость!$W$5:$W$846,1)</f>
        <v>0</v>
      </c>
      <c r="R18" s="32" t="n">
        <f aca="false">SUMIFS(Ведомость!$N$5:$N$846,Ведомость!$H$5:$H$846,8,Ведомость!$I$5:$I$846,"А500С",Ведомость!$V$5:$V$846,"Р-4",Ведомость!$W$5:$W$846,1)</f>
        <v>0</v>
      </c>
      <c r="S18" s="32" t="n">
        <f aca="false">SUMIFS(Ведомость!$N$5:$N$846,Ведомость!$H$5:$H$846,8,Ведомость!$I$5:$I$846,"А500С",Ведомость!$V$5:$V$846,"Б-основная",Ведомость!$W$5:$W$846,1)</f>
        <v>0</v>
      </c>
      <c r="T18" s="32" t="n">
        <f aca="false">SUMIFS(Ведомость!$N$5:$N$846,Ведомость!$H$5:$H$846,8,Ведомость!$I$5:$I$846,"А500С",Ведомость!$V$5:$V$846,"Б-хомуты",Ведомость!$W$5:$W$846,1)</f>
        <v>0</v>
      </c>
      <c r="U18" s="32" t="n">
        <f aca="false">SUMIFS(Ведомость!$N$5:$N$846,Ведомость!$H$5:$H$846,8,Ведомость!$I$5:$I$846,"А500С",Ведомость!$V$5:$V$846,"Б-допник",Ведомость!$W$5:$W$846,1)</f>
        <v>0</v>
      </c>
      <c r="V18" s="32" t="n">
        <f aca="false">SUMIFS(Ведомость!$N$5:$N$846,Ведомость!$H$5:$H$846,8,Ведомость!$I$5:$I$846,"А500С",Ведомость!$V$5:$V$846,"П-сетка",Ведомость!$W$5:$W$846,1)</f>
        <v>0</v>
      </c>
      <c r="W18" s="32" t="n">
        <f aca="false">SUMIFS(Ведомость!$N$5:$N$846,Ведомость!$H$5:$H$846,8,Ведомость!$I$5:$I$846,"А500С",Ведомость!$V$5:$V$846,"П-фикс",Ведомость!$W$5:$W$846,1)</f>
        <v>0</v>
      </c>
      <c r="X18" s="32" t="n">
        <f aca="false">SUMIFS(Ведомость!$N$5:$N$846,Ведомость!$H$5:$H$846,8,Ведомость!$I$5:$I$846,"А500С",Ведомость!$V$5:$V$846,"П-отв",Ведомость!$W$5:$W$846,1)</f>
        <v>0</v>
      </c>
      <c r="Y18" s="32" t="n">
        <f aca="false">SUMIFS(Ведомость!$N$5:$N$846,Ведомость!$H$5:$H$846,8,Ведомость!$I$5:$I$846,"А500С",Ведомость!$V$5:$V$846,"П-доп-низ",Ведомость!$W$5:$W$846,1)</f>
        <v>0</v>
      </c>
      <c r="Z18" s="32" t="n">
        <f aca="false">SUMIFS(Ведомость!$N$5:$N$846,Ведомость!$H$5:$H$846,8,Ведомость!$I$5:$I$846,"А500С",Ведомость!$V$5:$V$846,"П-доп-верх",Ведомость!$W$5:$W$846,1)</f>
        <v>0</v>
      </c>
      <c r="AA18" s="32" t="n">
        <f aca="false">SUMIFS(Ведомость!$N$5:$N$846,Ведомость!$H$5:$H$846,8,Ведомость!$I$5:$I$846,"А500С",Ведомость!$V$5:$V$846,"П-край",Ведомость!$W$5:$W$846,1)</f>
        <v>0</v>
      </c>
      <c r="AB18" s="32" t="n">
        <f aca="false">SUMIFS(Ведомость!$N$5:$N$846,Ведомость!$H$5:$H$846,8,Ведомость!$I$5:$I$846,"А500С",Ведомость!$V$5:$V$846,"С-1",Ведомость!$W$5:$W$846,1)</f>
        <v>0</v>
      </c>
      <c r="AC18" s="32" t="n">
        <f aca="false">SUMIFS(Ведомость!$N$5:$N$846,Ведомость!$H$5:$H$846,8,Ведомость!$I$5:$I$846,"А500С",Ведомость!$V$5:$V$846,"Л1",Ведомость!$W$5:$W$846,1)</f>
        <v>0</v>
      </c>
      <c r="AD18" s="32" t="n">
        <f aca="false">SUMIFS(Ведомость!$N$5:$N$846,Ведомость!$H$5:$H$846,8,Ведомость!$I$5:$I$846,"А500С",Ведомость!$V$5:$V$846,"Л2",Ведомость!$W$5:$W$846,1)</f>
        <v>0</v>
      </c>
      <c r="AE18" s="32" t="n">
        <f aca="false">SUMIFS(Ведомость!$N$5:$N$846,Ведомость!$H$5:$H$846,8,Ведомость!$I$5:$I$846,"А500С",Ведомость!$V$5:$V$846,"Л-пл",Ведомость!$W$5:$W$846,1)</f>
        <v>0</v>
      </c>
      <c r="AF18" s="32" t="n">
        <f aca="false">SUMIFS(Ведомость!$N$5:$N$846,Ведомость!$H$5:$H$846,8,Ведомость!$I$5:$I$846,"А500С",Ведомость!$V$5:$V$846,"Л-рама",Ведомость!$W$5:$W$846,1)</f>
        <v>0</v>
      </c>
      <c r="AG18" s="33" t="n">
        <f aca="false">SUM(B18:AF18)</f>
        <v>0</v>
      </c>
      <c r="AH18" s="34" t="n">
        <f aca="false">IFERROR(INDEX(Исходные!$B$18:$B$30,MATCH(8,Исходные!$A$18:$A$30,0)),0)</f>
        <v>0.395</v>
      </c>
      <c r="AI18" s="33" t="n">
        <f aca="false">AG18*AH18*$AJ$2</f>
        <v>0</v>
      </c>
      <c r="AJ18" s="35" t="n">
        <f aca="false">SUM(B18:D18,F18,H18,J18:M18)</f>
        <v>0</v>
      </c>
      <c r="AK18" s="36" t="n">
        <f aca="false">AH18</f>
        <v>0.395</v>
      </c>
      <c r="AL18" s="37" t="n">
        <f aca="false">AJ18*AK18*$AJ$2</f>
        <v>0</v>
      </c>
      <c r="AM18" s="35" t="n">
        <f aca="false">SUM(E18,G18,I18,N18:AB18)</f>
        <v>0</v>
      </c>
      <c r="AN18" s="36" t="n">
        <f aca="false">AH18</f>
        <v>0.395</v>
      </c>
      <c r="AO18" s="37" t="n">
        <f aca="false">AM18*AN18*$AJ$2</f>
        <v>0</v>
      </c>
      <c r="AP18" s="35" t="n">
        <f aca="false">SUM(AC18:AF18)</f>
        <v>0</v>
      </c>
      <c r="AQ18" s="36" t="n">
        <f aca="false">AH18</f>
        <v>0.395</v>
      </c>
      <c r="AR18" s="37" t="n">
        <f aca="false">AP18*AQ18*$AJ$2</f>
        <v>0</v>
      </c>
    </row>
    <row r="19" customFormat="false" ht="15" hidden="false" customHeight="false" outlineLevel="0" collapsed="false">
      <c r="A19" s="6" t="s">
        <v>131</v>
      </c>
      <c r="B19" s="32" t="n">
        <f aca="false">SUMIFS(Ведомость!$N$5:$N$846,Ведомость!$H$5:$H$846,16,Ведомость!$I$5:$I$846,"А240",Ведомость!$V$5:$V$846,"Дм-1",Ведомость!$W$5:$W$846,1)</f>
        <v>0</v>
      </c>
      <c r="C19" s="32" t="n">
        <f aca="false">SUMIFS(Ведомость!$N$5:$N$846,Ведомость!$H$5:$H$846,16,Ведомость!$I$5:$I$846,"А240",Ведомость!$V$5:$V$846,"Дм-2",Ведомость!$W$5:$W$846,1)</f>
        <v>0</v>
      </c>
      <c r="D19" s="32" t="n">
        <f aca="false">SUMIFS(Ведомость!$N$5:$N$846,Ведомость!$H$5:$H$846,16,Ведомость!$I$5:$I$846,"А240",Ведомость!$V$5:$V$846,"К-А",Ведомость!$W$5:$W$846,1)</f>
        <v>0</v>
      </c>
      <c r="E19" s="32" t="n">
        <f aca="false">SUMIFS(Ведомость!$N$5:$N$846,Ведомость!$H$5:$H$846,16,Ведомость!$I$5:$I$846,"А240",Ведомость!$V$5:$V$846,"Р-А",Ведомость!$W$5:$W$846,1)</f>
        <v>0</v>
      </c>
      <c r="F19" s="32" t="n">
        <f aca="false">SUMIFS(Ведомость!$N$5:$N$846,Ведомость!$H$5:$H$846,16,Ведомость!$I$5:$I$846,"А240",Ведомость!$V$5:$V$846,"К-Б",Ведомость!$W$5:$W$846,1)</f>
        <v>0</v>
      </c>
      <c r="G19" s="32" t="n">
        <f aca="false">SUMIFS(Ведомость!$N$5:$N$846,Ведомость!$H$5:$H$846,16,Ведомость!$I$5:$I$846,"А240",Ведомость!$V$5:$V$846,"Р-Б",Ведомость!$W$5:$W$846,1)</f>
        <v>0</v>
      </c>
      <c r="H19" s="32" t="n">
        <f aca="false">SUMIFS(Ведомость!$N$5:$N$846,Ведомость!$H$5:$H$846,16,Ведомость!$I$5:$I$846,"А240",Ведомость!$V$5:$V$846,"К-В",Ведомость!$W$5:$W$846,1)</f>
        <v>0</v>
      </c>
      <c r="I19" s="32" t="n">
        <f aca="false">SUMIFS(Ведомость!$N$5:$N$846,Ведомость!$H$5:$H$846,16,Ведомость!$I$5:$I$846,"А240",Ведомость!$V$5:$V$846,"Р-В",Ведомость!$W$5:$W$846,1)</f>
        <v>0</v>
      </c>
      <c r="J19" s="32" t="n">
        <f aca="false">SUMIFS(Ведомость!$N$5:$N$846,Ведомость!$H$5:$H$846,16,Ведомость!$I$5:$I$846,"А240",Ведомость!$V$5:$V$846,"К-Г",Ведомость!$W$5:$W$846,1)</f>
        <v>0</v>
      </c>
      <c r="K19" s="32" t="n">
        <f aca="false">SUMIFS(Ведомость!$N$5:$N$846,Ведомость!$H$5:$H$846,16,Ведомость!$I$5:$I$846,"А240",Ведомость!$V$5:$V$846,"Дм-3",Ведомость!$W$5:$W$846,1)</f>
        <v>0</v>
      </c>
      <c r="L19" s="32" t="n">
        <f aca="false">SUMIFS(Ведомость!$N$5:$N$846,Ведомость!$H$5:$H$846,16,Ведомость!$I$5:$I$846,"А240",Ведомость!$V$5:$V$846,"Дм-4",Ведомость!$W$5:$W$846,1)</f>
        <v>0</v>
      </c>
      <c r="M19" s="32" t="n">
        <f aca="false">SUMIFS(Ведомость!$N$5:$N$846,Ведомость!$H$5:$H$846,16,Ведомость!$I$5:$I$846,"А240",Ведомость!$V$5:$V$846,"Дм-5",Ведомость!$W$5:$W$846,1)</f>
        <v>0</v>
      </c>
      <c r="N19" s="32" t="n">
        <f aca="false">SUMIFS(Ведомость!$N$5:$N$846,Ведомость!$H$5:$H$846,16,Ведомость!$I$5:$I$846,"А240",Ведомость!$V$5:$V$846,"Р-Г",Ведомость!$W$5:$W$846,1)</f>
        <v>0</v>
      </c>
      <c r="O19" s="32" t="n">
        <f aca="false">SUMIFS(Ведомость!$N$5:$N$846,Ведомость!$H$5:$H$846,16,Ведомость!$I$5:$I$846,"А240",Ведомость!$V$5:$V$846,"Р-1, 5",Ведомость!$W$5:$W$846,1)</f>
        <v>0</v>
      </c>
      <c r="P19" s="32" t="n">
        <f aca="false">SUMIFS(Ведомость!$N$5:$N$846,Ведомость!$H$5:$H$846,16,Ведомость!$I$5:$I$846,"А240",Ведомость!$V$5:$V$846,"Р-2",Ведомость!$W$5:$W$846,1)</f>
        <v>0</v>
      </c>
      <c r="Q19" s="32" t="n">
        <f aca="false">SUMIFS(Ведомость!$N$5:$N$846,Ведомость!$H$5:$H$846,16,Ведомость!$I$5:$I$846,"А240",Ведомость!$V$5:$V$846,"Р-3",Ведомость!$W$5:$W$846,1)</f>
        <v>0</v>
      </c>
      <c r="R19" s="32" t="n">
        <f aca="false">SUMIFS(Ведомость!$N$5:$N$846,Ведомость!$H$5:$H$846,16,Ведомость!$I$5:$I$846,"А240",Ведомость!$V$5:$V$846,"Р-4",Ведомость!$W$5:$W$846,1)</f>
        <v>0</v>
      </c>
      <c r="S19" s="32" t="n">
        <f aca="false">SUMIFS(Ведомость!$N$5:$N$846,Ведомость!$H$5:$H$846,16,Ведомость!$I$5:$I$846,"А240",Ведомость!$V$5:$V$846,"Б-основная",Ведомость!$W$5:$W$846,1)</f>
        <v>0</v>
      </c>
      <c r="T19" s="32" t="n">
        <f aca="false">SUMIFS(Ведомость!$N$5:$N$846,Ведомость!$H$5:$H$846,16,Ведомость!$I$5:$I$846,"А240",Ведомость!$V$5:$V$846,"Б-хомуты",Ведомость!$W$5:$W$846,1)</f>
        <v>0</v>
      </c>
      <c r="U19" s="32" t="n">
        <f aca="false">SUMIFS(Ведомость!$N$5:$N$846,Ведомость!$H$5:$H$846,16,Ведомость!$I$5:$I$846,"А240",Ведомость!$V$5:$V$846,"Б-допник",Ведомость!$W$5:$W$846,1)</f>
        <v>0</v>
      </c>
      <c r="V19" s="32" t="n">
        <f aca="false">SUMIFS(Ведомость!$N$5:$N$846,Ведомость!$H$5:$H$846,16,Ведомость!$I$5:$I$846,"А240",Ведомость!$V$5:$V$846,"П-сетка",Ведомость!$W$5:$W$846,1)</f>
        <v>0</v>
      </c>
      <c r="W19" s="32" t="n">
        <f aca="false">SUMIFS(Ведомость!$N$5:$N$846,Ведомость!$H$5:$H$846,16,Ведомость!$I$5:$I$846,"А240",Ведомость!$V$5:$V$846,"П-фикс",Ведомость!$W$5:$W$846,1)</f>
        <v>0</v>
      </c>
      <c r="X19" s="32" t="n">
        <f aca="false">SUMIFS(Ведомость!$N$5:$N$846,Ведомость!$H$5:$H$846,16,Ведомость!$I$5:$I$846,"А240",Ведомость!$V$5:$V$846,"П-отв",Ведомость!$W$5:$W$846,1)</f>
        <v>0</v>
      </c>
      <c r="Y19" s="32" t="n">
        <f aca="false">SUMIFS(Ведомость!$N$5:$N$846,Ведомость!$H$5:$H$846,16,Ведомость!$I$5:$I$846,"А240",Ведомость!$V$5:$V$846,"П-доп-низ",Ведомость!$W$5:$W$846,1)</f>
        <v>0</v>
      </c>
      <c r="Z19" s="32" t="n">
        <f aca="false">SUMIFS(Ведомость!$N$5:$N$846,Ведомость!$H$5:$H$846,16,Ведомость!$I$5:$I$846,"А240",Ведомость!$V$5:$V$846,"П-доп-верх",Ведомость!$W$5:$W$846,1)</f>
        <v>0</v>
      </c>
      <c r="AA19" s="32" t="n">
        <f aca="false">SUMIFS(Ведомость!$N$5:$N$846,Ведомость!$H$5:$H$846,16,Ведомость!$I$5:$I$846,"А240",Ведомость!$V$5:$V$846,"П-край",Ведомость!$W$5:$W$846,1)</f>
        <v>0</v>
      </c>
      <c r="AB19" s="32" t="n">
        <f aca="false">SUMIFS(Ведомость!$N$5:$N$846,Ведомость!$H$5:$H$846,16,Ведомость!$I$5:$I$846,"А240",Ведомость!$V$5:$V$846,"С-1",Ведомость!$W$5:$W$846,1)</f>
        <v>0</v>
      </c>
      <c r="AC19" s="32" t="n">
        <f aca="false">SUMIFS(Ведомость!$N$5:$N$846,Ведомость!$H$5:$H$846,16,Ведомость!$I$5:$I$846,"А240",Ведомость!$V$5:$V$846,"Л1",Ведомость!$W$5:$W$846,1)</f>
        <v>0</v>
      </c>
      <c r="AD19" s="32" t="n">
        <f aca="false">SUMIFS(Ведомость!$N$5:$N$846,Ведомость!$H$5:$H$846,16,Ведомость!$I$5:$I$846,"А240",Ведомость!$V$5:$V$846,"Л2",Ведомость!$W$5:$W$846,1)</f>
        <v>0</v>
      </c>
      <c r="AE19" s="32" t="n">
        <f aca="false">SUMIFS(Ведомость!$N$5:$N$846,Ведомость!$H$5:$H$846,16,Ведомость!$I$5:$I$846,"А240",Ведомость!$V$5:$V$846,"Л-пл",Ведомость!$W$5:$W$846,1)</f>
        <v>0</v>
      </c>
      <c r="AF19" s="32" t="n">
        <f aca="false">SUMIFS(Ведомость!$N$5:$N$846,Ведомость!$H$5:$H$846,16,Ведомость!$I$5:$I$846,"А240",Ведомость!$V$5:$V$846,"Л-рама",Ведомость!$W$5:$W$846,1)</f>
        <v>0.84</v>
      </c>
      <c r="AG19" s="33" t="n">
        <f aca="false">SUM(B19:AF19)</f>
        <v>0.84</v>
      </c>
      <c r="AH19" s="34" t="n">
        <f aca="false">IFERROR(INDEX(Исходные!$B$18:$B$30,MATCH(16,Исходные!$A$18:$A$30,0)),0)</f>
        <v>1.578</v>
      </c>
      <c r="AI19" s="33" t="n">
        <f aca="false">AG19*AH19*$AJ$2</f>
        <v>1.4183064</v>
      </c>
      <c r="AJ19" s="35" t="n">
        <f aca="false">SUM(B19:D19,F19,H19,J19:M19)</f>
        <v>0</v>
      </c>
      <c r="AK19" s="36" t="n">
        <f aca="false">AH19</f>
        <v>1.578</v>
      </c>
      <c r="AL19" s="37" t="n">
        <f aca="false">AJ19*AK19*$AJ$2</f>
        <v>0</v>
      </c>
      <c r="AM19" s="35" t="n">
        <f aca="false">SUM(E19,G19,I19,N19:AB19)</f>
        <v>0</v>
      </c>
      <c r="AN19" s="36" t="n">
        <f aca="false">AH19</f>
        <v>1.578</v>
      </c>
      <c r="AO19" s="37" t="n">
        <f aca="false">AM19*AN19*$AJ$2</f>
        <v>0</v>
      </c>
      <c r="AP19" s="35" t="n">
        <f aca="false">SUM(AC19:AF19)</f>
        <v>0.84</v>
      </c>
      <c r="AQ19" s="36" t="n">
        <f aca="false">AH19</f>
        <v>1.578</v>
      </c>
      <c r="AR19" s="37" t="n">
        <f aca="false">AP19*AQ19*$AJ$2</f>
        <v>1.4183064</v>
      </c>
    </row>
    <row r="20" customFormat="false" ht="15" hidden="false" customHeight="false" outlineLevel="0" collapsed="false">
      <c r="A20" s="6" t="s">
        <v>132</v>
      </c>
      <c r="B20" s="32" t="n">
        <f aca="false">SUMIFS(Ведомость!$N$5:$N$846,Ведомость!$H$5:$H$846,12,Ведомость!$I$5:$I$846,"А240",Ведомость!$V$5:$V$846,"Дм-1",Ведомость!$W$5:$W$846,1)</f>
        <v>0</v>
      </c>
      <c r="C20" s="32" t="n">
        <f aca="false">SUMIFS(Ведомость!$N$5:$N$846,Ведомость!$H$5:$H$846,12,Ведомость!$I$5:$I$846,"А240",Ведомость!$V$5:$V$846,"Дм-2",Ведомость!$W$5:$W$846,1)</f>
        <v>0</v>
      </c>
      <c r="D20" s="32" t="n">
        <f aca="false">SUMIFS(Ведомость!$N$5:$N$846,Ведомость!$H$5:$H$846,12,Ведомость!$I$5:$I$846,"А240",Ведомость!$V$5:$V$846,"К-А",Ведомость!$W$5:$W$846,1)</f>
        <v>0</v>
      </c>
      <c r="E20" s="32" t="n">
        <f aca="false">SUMIFS(Ведомость!$N$5:$N$846,Ведомость!$H$5:$H$846,12,Ведомость!$I$5:$I$846,"А240",Ведомость!$V$5:$V$846,"Р-А",Ведомость!$W$5:$W$846,1)</f>
        <v>0</v>
      </c>
      <c r="F20" s="32" t="n">
        <f aca="false">SUMIFS(Ведомость!$N$5:$N$846,Ведомость!$H$5:$H$846,12,Ведомость!$I$5:$I$846,"А240",Ведомость!$V$5:$V$846,"К-Б",Ведомость!$W$5:$W$846,1)</f>
        <v>0</v>
      </c>
      <c r="G20" s="32" t="n">
        <f aca="false">SUMIFS(Ведомость!$N$5:$N$846,Ведомость!$H$5:$H$846,12,Ведомость!$I$5:$I$846,"А240",Ведомость!$V$5:$V$846,"Р-Б",Ведомость!$W$5:$W$846,1)</f>
        <v>0</v>
      </c>
      <c r="H20" s="32" t="n">
        <f aca="false">SUMIFS(Ведомость!$N$5:$N$846,Ведомость!$H$5:$H$846,12,Ведомость!$I$5:$I$846,"А240",Ведомость!$V$5:$V$846,"К-В",Ведомость!$W$5:$W$846,1)</f>
        <v>0</v>
      </c>
      <c r="I20" s="32" t="n">
        <f aca="false">SUMIFS(Ведомость!$N$5:$N$846,Ведомость!$H$5:$H$846,12,Ведомость!$I$5:$I$846,"А240",Ведомость!$V$5:$V$846,"Р-В",Ведомость!$W$5:$W$846,1)</f>
        <v>0</v>
      </c>
      <c r="J20" s="32" t="n">
        <f aca="false">SUMIFS(Ведомость!$N$5:$N$846,Ведомость!$H$5:$H$846,12,Ведомость!$I$5:$I$846,"А240",Ведомость!$V$5:$V$846,"К-Г",Ведомость!$W$5:$W$846,1)</f>
        <v>0</v>
      </c>
      <c r="K20" s="32" t="n">
        <f aca="false">SUMIFS(Ведомость!$N$5:$N$846,Ведомость!$H$5:$H$846,12,Ведомость!$I$5:$I$846,"А240",Ведомость!$V$5:$V$846,"Дм-3",Ведомость!$W$5:$W$846,1)</f>
        <v>0</v>
      </c>
      <c r="L20" s="32" t="n">
        <f aca="false">SUMIFS(Ведомость!$N$5:$N$846,Ведомость!$H$5:$H$846,12,Ведомость!$I$5:$I$846,"А240",Ведомость!$V$5:$V$846,"Дм-4",Ведомость!$W$5:$W$846,1)</f>
        <v>0</v>
      </c>
      <c r="M20" s="32" t="n">
        <f aca="false">SUMIFS(Ведомость!$N$5:$N$846,Ведомость!$H$5:$H$846,12,Ведомость!$I$5:$I$846,"А240",Ведомость!$V$5:$V$846,"Дм-5",Ведомость!$W$5:$W$846,1)</f>
        <v>0</v>
      </c>
      <c r="N20" s="32" t="n">
        <f aca="false">SUMIFS(Ведомость!$N$5:$N$846,Ведомость!$H$5:$H$846,12,Ведомость!$I$5:$I$846,"А240",Ведомость!$V$5:$V$846,"Р-Г",Ведомость!$W$5:$W$846,1)</f>
        <v>0</v>
      </c>
      <c r="O20" s="32" t="n">
        <f aca="false">SUMIFS(Ведомость!$N$5:$N$846,Ведомость!$H$5:$H$846,12,Ведомость!$I$5:$I$846,"А240",Ведомость!$V$5:$V$846,"Р-1, 5",Ведомость!$W$5:$W$846,1)</f>
        <v>0</v>
      </c>
      <c r="P20" s="32" t="n">
        <f aca="false">SUMIFS(Ведомость!$N$5:$N$846,Ведомость!$H$5:$H$846,12,Ведомость!$I$5:$I$846,"А240",Ведомость!$V$5:$V$846,"Р-2",Ведомость!$W$5:$W$846,1)</f>
        <v>0</v>
      </c>
      <c r="Q20" s="32" t="n">
        <f aca="false">SUMIFS(Ведомость!$N$5:$N$846,Ведомость!$H$5:$H$846,12,Ведомость!$I$5:$I$846,"А240",Ведомость!$V$5:$V$846,"Р-3",Ведомость!$W$5:$W$846,1)</f>
        <v>0</v>
      </c>
      <c r="R20" s="32" t="n">
        <f aca="false">SUMIFS(Ведомость!$N$5:$N$846,Ведомость!$H$5:$H$846,12,Ведомость!$I$5:$I$846,"А240",Ведомость!$V$5:$V$846,"Р-4",Ведомость!$W$5:$W$846,1)</f>
        <v>0</v>
      </c>
      <c r="S20" s="32" t="n">
        <f aca="false">SUMIFS(Ведомость!$N$5:$N$846,Ведомость!$H$5:$H$846,12,Ведомость!$I$5:$I$846,"А240",Ведомость!$V$5:$V$846,"Б-основная",Ведомость!$W$5:$W$846,1)</f>
        <v>0</v>
      </c>
      <c r="T20" s="32" t="n">
        <f aca="false">SUMIFS(Ведомость!$N$5:$N$846,Ведомость!$H$5:$H$846,12,Ведомость!$I$5:$I$846,"А240",Ведомость!$V$5:$V$846,"Б-хомуты",Ведомость!$W$5:$W$846,1)</f>
        <v>0</v>
      </c>
      <c r="U20" s="32" t="n">
        <f aca="false">SUMIFS(Ведомость!$N$5:$N$846,Ведомость!$H$5:$H$846,12,Ведомость!$I$5:$I$846,"А240",Ведомость!$V$5:$V$846,"Б-допник",Ведомость!$W$5:$W$846,1)</f>
        <v>0</v>
      </c>
      <c r="V20" s="32" t="n">
        <f aca="false">SUMIFS(Ведомость!$N$5:$N$846,Ведомость!$H$5:$H$846,12,Ведомость!$I$5:$I$846,"А240",Ведомость!$V$5:$V$846,"П-сетка",Ведомость!$W$5:$W$846,1)</f>
        <v>0</v>
      </c>
      <c r="W20" s="32" t="n">
        <f aca="false">SUMIFS(Ведомость!$N$5:$N$846,Ведомость!$H$5:$H$846,12,Ведомость!$I$5:$I$846,"А240",Ведомость!$V$5:$V$846,"П-фикс",Ведомость!$W$5:$W$846,1)</f>
        <v>0</v>
      </c>
      <c r="X20" s="32" t="n">
        <f aca="false">SUMIFS(Ведомость!$N$5:$N$846,Ведомость!$H$5:$H$846,12,Ведомость!$I$5:$I$846,"А240",Ведомость!$V$5:$V$846,"П-отв",Ведомость!$W$5:$W$846,1)</f>
        <v>0</v>
      </c>
      <c r="Y20" s="32" t="n">
        <f aca="false">SUMIFS(Ведомость!$N$5:$N$846,Ведомость!$H$5:$H$846,12,Ведомость!$I$5:$I$846,"А240",Ведомость!$V$5:$V$846,"П-доп-низ",Ведомость!$W$5:$W$846,1)</f>
        <v>0</v>
      </c>
      <c r="Z20" s="32" t="n">
        <f aca="false">SUMIFS(Ведомость!$N$5:$N$846,Ведомость!$H$5:$H$846,12,Ведомость!$I$5:$I$846,"А240",Ведомость!$V$5:$V$846,"П-доп-верх",Ведомость!$W$5:$W$846,1)</f>
        <v>0</v>
      </c>
      <c r="AA20" s="32" t="n">
        <f aca="false">SUMIFS(Ведомость!$N$5:$N$846,Ведомость!$H$5:$H$846,12,Ведомость!$I$5:$I$846,"А240",Ведомость!$V$5:$V$846,"П-край",Ведомость!$W$5:$W$846,1)</f>
        <v>0</v>
      </c>
      <c r="AB20" s="32" t="n">
        <f aca="false">SUMIFS(Ведомость!$N$5:$N$846,Ведомость!$H$5:$H$846,12,Ведомость!$I$5:$I$846,"А240",Ведомость!$V$5:$V$846,"С-1",Ведомость!$W$5:$W$846,1)</f>
        <v>0</v>
      </c>
      <c r="AC20" s="32" t="n">
        <f aca="false">SUMIFS(Ведомость!$N$5:$N$846,Ведомость!$H$5:$H$846,12,Ведомость!$I$5:$I$846,"А240",Ведомость!$V$5:$V$846,"Л1",Ведомость!$W$5:$W$846,1)</f>
        <v>0</v>
      </c>
      <c r="AD20" s="32" t="n">
        <f aca="false">SUMIFS(Ведомость!$N$5:$N$846,Ведомость!$H$5:$H$846,12,Ведомость!$I$5:$I$846,"А240",Ведомость!$V$5:$V$846,"Л2",Ведомость!$W$5:$W$846,1)</f>
        <v>0</v>
      </c>
      <c r="AE20" s="32" t="n">
        <f aca="false">SUMIFS(Ведомость!$N$5:$N$846,Ведомость!$H$5:$H$846,12,Ведомость!$I$5:$I$846,"А240",Ведомость!$V$5:$V$846,"Л-пл",Ведомость!$W$5:$W$846,1)</f>
        <v>0</v>
      </c>
      <c r="AF20" s="32" t="n">
        <f aca="false">SUMIFS(Ведомость!$N$5:$N$846,Ведомость!$H$5:$H$846,12,Ведомость!$I$5:$I$846,"А240",Ведомость!$V$5:$V$846,"Л-рама",Ведомость!$W$5:$W$846,1)</f>
        <v>0</v>
      </c>
      <c r="AG20" s="33" t="n">
        <f aca="false">SUM(B20:AF20)</f>
        <v>0</v>
      </c>
      <c r="AH20" s="34" t="n">
        <f aca="false">IFERROR(INDEX(Исходные!$B$18:$B$30,MATCH(12,Исходные!$A$18:$A$30,0)),0)</f>
        <v>0.888</v>
      </c>
      <c r="AI20" s="33" t="n">
        <f aca="false">AG20*AH20*$AJ$2</f>
        <v>0</v>
      </c>
      <c r="AJ20" s="35" t="n">
        <f aca="false">SUM(B20:D20,F20,H20,J20:M20)</f>
        <v>0</v>
      </c>
      <c r="AK20" s="36" t="n">
        <f aca="false">AH20</f>
        <v>0.888</v>
      </c>
      <c r="AL20" s="37" t="n">
        <f aca="false">AJ20*AK20*$AJ$2</f>
        <v>0</v>
      </c>
      <c r="AM20" s="35" t="n">
        <f aca="false">SUM(E20,G20,I20,N20:AB20)</f>
        <v>0</v>
      </c>
      <c r="AN20" s="36" t="n">
        <f aca="false">AH20</f>
        <v>0.888</v>
      </c>
      <c r="AO20" s="37" t="n">
        <f aca="false">AM20*AN20*$AJ$2</f>
        <v>0</v>
      </c>
      <c r="AP20" s="35" t="n">
        <f aca="false">SUM(AC20:AF20)</f>
        <v>0</v>
      </c>
      <c r="AQ20" s="36" t="n">
        <f aca="false">AH20</f>
        <v>0.888</v>
      </c>
      <c r="AR20" s="37" t="n">
        <f aca="false">AP20*AQ20*$AJ$2</f>
        <v>0</v>
      </c>
    </row>
    <row r="21" customFormat="false" ht="15" hidden="false" customHeight="false" outlineLevel="0" collapsed="false">
      <c r="A21" s="6" t="s">
        <v>133</v>
      </c>
      <c r="B21" s="32" t="n">
        <f aca="false">SUMIFS(Ведомость!$N$5:$N$846,Ведомость!$H$5:$H$846,10,Ведомость!$I$5:$I$846,"А240",Ведомость!$V$5:$V$846,"Дм-1",Ведомость!$W$5:$W$846,1)</f>
        <v>159.66</v>
      </c>
      <c r="C21" s="32" t="n">
        <f aca="false">SUMIFS(Ведомость!$N$5:$N$846,Ведомость!$H$5:$H$846,10,Ведомость!$I$5:$I$846,"А240",Ведомость!$V$5:$V$846,"Дм-2",Ведомость!$W$5:$W$846,1)</f>
        <v>107.64</v>
      </c>
      <c r="D21" s="32" t="n">
        <f aca="false">SUMIFS(Ведомость!$N$5:$N$846,Ведомость!$H$5:$H$846,10,Ведомость!$I$5:$I$846,"А240",Ведомость!$V$5:$V$846,"К-А",Ведомость!$W$5:$W$846,1)</f>
        <v>0</v>
      </c>
      <c r="E21" s="32" t="n">
        <f aca="false">SUMIFS(Ведомость!$N$5:$N$846,Ведомость!$H$5:$H$846,10,Ведомость!$I$5:$I$846,"А240",Ведомость!$V$5:$V$846,"Р-А",Ведомость!$W$5:$W$846,1)</f>
        <v>84.9</v>
      </c>
      <c r="F21" s="32" t="n">
        <f aca="false">SUMIFS(Ведомость!$N$5:$N$846,Ведомость!$H$5:$H$846,10,Ведомость!$I$5:$I$846,"А240",Ведомость!$V$5:$V$846,"К-Б",Ведомость!$W$5:$W$846,1)</f>
        <v>0</v>
      </c>
      <c r="G21" s="32" t="n">
        <f aca="false">SUMIFS(Ведомость!$N$5:$N$846,Ведомость!$H$5:$H$846,10,Ведомость!$I$5:$I$846,"А240",Ведомость!$V$5:$V$846,"Р-Б",Ведомость!$W$5:$W$846,1)</f>
        <v>226.1</v>
      </c>
      <c r="H21" s="32" t="n">
        <f aca="false">SUMIFS(Ведомость!$N$5:$N$846,Ведомость!$H$5:$H$846,10,Ведомость!$I$5:$I$846,"А240",Ведомость!$V$5:$V$846,"К-В",Ведомость!$W$5:$W$846,1)</f>
        <v>0</v>
      </c>
      <c r="I21" s="32" t="n">
        <f aca="false">SUMIFS(Ведомость!$N$5:$N$846,Ведомость!$H$5:$H$846,10,Ведомость!$I$5:$I$846,"А240",Ведомость!$V$5:$V$846,"Р-В",Ведомость!$W$5:$W$846,1)</f>
        <v>439.44</v>
      </c>
      <c r="J21" s="32" t="n">
        <f aca="false">SUMIFS(Ведомость!$N$5:$N$846,Ведомость!$H$5:$H$846,10,Ведомость!$I$5:$I$846,"А240",Ведомость!$V$5:$V$846,"К-Г",Ведомость!$W$5:$W$846,1)</f>
        <v>0</v>
      </c>
      <c r="K21" s="32" t="n">
        <f aca="false">SUMIFS(Ведомость!$N$5:$N$846,Ведомость!$H$5:$H$846,10,Ведомость!$I$5:$I$846,"А240",Ведомость!$V$5:$V$846,"Дм-3",Ведомость!$W$5:$W$846,1)</f>
        <v>127.98</v>
      </c>
      <c r="L21" s="32" t="n">
        <f aca="false">SUMIFS(Ведомость!$N$5:$N$846,Ведомость!$H$5:$H$846,10,Ведомость!$I$5:$I$846,"А240",Ведомость!$V$5:$V$846,"Дм-4",Ведомость!$W$5:$W$846,1)</f>
        <v>55.62</v>
      </c>
      <c r="M21" s="32" t="n">
        <f aca="false">SUMIFS(Ведомость!$N$5:$N$846,Ведомость!$H$5:$H$846,10,Ведомость!$I$5:$I$846,"А240",Ведомость!$V$5:$V$846,"Дм-5",Ведомость!$W$5:$W$846,1)</f>
        <v>75.96</v>
      </c>
      <c r="N21" s="32" t="n">
        <f aca="false">SUMIFS(Ведомость!$N$5:$N$846,Ведомость!$H$5:$H$846,10,Ведомость!$I$5:$I$846,"А240",Ведомость!$V$5:$V$846,"Р-Г",Ведомость!$W$5:$W$846,1)</f>
        <v>92.7</v>
      </c>
      <c r="O21" s="32" t="n">
        <f aca="false">SUMIFS(Ведомость!$N$5:$N$846,Ведомость!$H$5:$H$846,10,Ведомость!$I$5:$I$846,"А240",Ведомость!$V$5:$V$846,"Р-1, 5",Ведомость!$W$5:$W$846,1)</f>
        <v>148.32</v>
      </c>
      <c r="P21" s="32" t="n">
        <f aca="false">SUMIFS(Ведомость!$N$5:$N$846,Ведомость!$H$5:$H$846,10,Ведомость!$I$5:$I$846,"А240",Ведомость!$V$5:$V$846,"Р-2",Ведомость!$W$5:$W$846,1)</f>
        <v>327.12</v>
      </c>
      <c r="Q21" s="32" t="n">
        <f aca="false">SUMIFS(Ведомость!$N$5:$N$846,Ведомость!$H$5:$H$846,10,Ведомость!$I$5:$I$846,"А240",Ведомость!$V$5:$V$846,"Р-3",Ведомость!$W$5:$W$846,1)</f>
        <v>298.36</v>
      </c>
      <c r="R21" s="32" t="n">
        <f aca="false">SUMIFS(Ведомость!$N$5:$N$846,Ведомость!$H$5:$H$846,10,Ведомость!$I$5:$I$846,"А240",Ведомость!$V$5:$V$846,"Р-4",Ведомость!$W$5:$W$846,1)</f>
        <v>218.76</v>
      </c>
      <c r="S21" s="32" t="n">
        <f aca="false">SUMIFS(Ведомость!$N$5:$N$846,Ведомость!$H$5:$H$846,10,Ведомость!$I$5:$I$846,"А240",Ведомость!$V$5:$V$846,"Б-основная",Ведомость!$W$5:$W$846,1)</f>
        <v>0</v>
      </c>
      <c r="T21" s="32" t="n">
        <f aca="false">SUMIFS(Ведомость!$N$5:$N$846,Ведомость!$H$5:$H$846,10,Ведомость!$I$5:$I$846,"А240",Ведомость!$V$5:$V$846,"Б-хомуты",Ведомость!$W$5:$W$846,1)</f>
        <v>0</v>
      </c>
      <c r="U21" s="32" t="n">
        <f aca="false">SUMIFS(Ведомость!$N$5:$N$846,Ведомость!$H$5:$H$846,10,Ведомость!$I$5:$I$846,"А240",Ведомость!$V$5:$V$846,"Б-допник",Ведомость!$W$5:$W$846,1)</f>
        <v>0</v>
      </c>
      <c r="V21" s="32" t="n">
        <f aca="false">SUMIFS(Ведомость!$N$5:$N$846,Ведомость!$H$5:$H$846,10,Ведомость!$I$5:$I$846,"А240",Ведомость!$V$5:$V$846,"П-сетка",Ведомость!$W$5:$W$846,1)</f>
        <v>0</v>
      </c>
      <c r="W21" s="32" t="n">
        <f aca="false">SUMIFS(Ведомость!$N$5:$N$846,Ведомость!$H$5:$H$846,10,Ведомость!$I$5:$I$846,"А240",Ведомость!$V$5:$V$846,"П-фикс",Ведомость!$W$5:$W$846,1)</f>
        <v>355.74</v>
      </c>
      <c r="X21" s="32" t="n">
        <f aca="false">SUMIFS(Ведомость!$N$5:$N$846,Ведомость!$H$5:$H$846,10,Ведомость!$I$5:$I$846,"А240",Ведомость!$V$5:$V$846,"П-отв",Ведомость!$W$5:$W$846,1)</f>
        <v>0</v>
      </c>
      <c r="Y21" s="32" t="n">
        <f aca="false">SUMIFS(Ведомость!$N$5:$N$846,Ведомость!$H$5:$H$846,10,Ведомость!$I$5:$I$846,"А240",Ведомость!$V$5:$V$846,"П-доп-низ",Ведомость!$W$5:$W$846,1)</f>
        <v>0</v>
      </c>
      <c r="Z21" s="32" t="n">
        <f aca="false">SUMIFS(Ведомость!$N$5:$N$846,Ведомость!$H$5:$H$846,10,Ведомость!$I$5:$I$846,"А240",Ведомость!$V$5:$V$846,"П-доп-верх",Ведомость!$W$5:$W$846,1)</f>
        <v>0</v>
      </c>
      <c r="AA21" s="32" t="n">
        <f aca="false">SUMIFS(Ведомость!$N$5:$N$846,Ведомость!$H$5:$H$846,10,Ведомость!$I$5:$I$846,"А240",Ведомость!$V$5:$V$846,"П-край",Ведомость!$W$5:$W$846,1)</f>
        <v>83.3</v>
      </c>
      <c r="AB21" s="32" t="n">
        <f aca="false">SUMIFS(Ведомость!$N$5:$N$846,Ведомость!$H$5:$H$846,10,Ведомость!$I$5:$I$846,"А240",Ведомость!$V$5:$V$846,"С-1",Ведомость!$W$5:$W$846,1)</f>
        <v>0</v>
      </c>
      <c r="AC21" s="32" t="n">
        <f aca="false">SUMIFS(Ведомость!$N$5:$N$846,Ведомость!$H$5:$H$846,10,Ведомость!$I$5:$I$846,"А240",Ведомость!$V$5:$V$846,"Л1",Ведомость!$W$5:$W$846,1)</f>
        <v>32.24</v>
      </c>
      <c r="AD21" s="32" t="n">
        <f aca="false">SUMIFS(Ведомость!$N$5:$N$846,Ведомость!$H$5:$H$846,10,Ведомость!$I$5:$I$846,"А240",Ведомость!$V$5:$V$846,"Л2",Ведомость!$W$5:$W$846,1)</f>
        <v>33.28</v>
      </c>
      <c r="AE21" s="32" t="n">
        <f aca="false">SUMIFS(Ведомость!$N$5:$N$846,Ведомость!$H$5:$H$846,10,Ведомость!$I$5:$I$846,"А240",Ведомость!$V$5:$V$846,"Л-пл",Ведомость!$W$5:$W$846,1)</f>
        <v>29.12</v>
      </c>
      <c r="AF21" s="32" t="n">
        <f aca="false">SUMIFS(Ведомость!$N$5:$N$846,Ведомость!$H$5:$H$846,10,Ведомость!$I$5:$I$846,"А240",Ведомость!$V$5:$V$846,"Л-рама",Ведомость!$W$5:$W$846,1)</f>
        <v>0</v>
      </c>
      <c r="AG21" s="33" t="n">
        <f aca="false">SUM(B21:AF21)</f>
        <v>2896.24</v>
      </c>
      <c r="AH21" s="34" t="n">
        <f aca="false">IFERROR(INDEX(Исходные!$B$18:$B$30,MATCH(10,Исходные!$A$18:$A$30,0)),0)</f>
        <v>0.617</v>
      </c>
      <c r="AI21" s="33" t="n">
        <f aca="false">AG21*AH21*$AJ$2</f>
        <v>1912.0686856</v>
      </c>
      <c r="AJ21" s="35" t="n">
        <f aca="false">SUM(B21:D21,F21,H21,J21:M21)</f>
        <v>526.86</v>
      </c>
      <c r="AK21" s="36" t="n">
        <f aca="false">AH21</f>
        <v>0.617</v>
      </c>
      <c r="AL21" s="37" t="n">
        <f aca="false">AJ21*AK21*$AJ$2</f>
        <v>347.8277034</v>
      </c>
      <c r="AM21" s="35" t="n">
        <f aca="false">SUM(E21,G21,I21,N21:AB21)</f>
        <v>2274.74</v>
      </c>
      <c r="AN21" s="36" t="n">
        <f aca="false">AH21</f>
        <v>0.617</v>
      </c>
      <c r="AO21" s="37" t="n">
        <f aca="false">AM21*AN21*$AJ$2</f>
        <v>1501.7606006</v>
      </c>
      <c r="AP21" s="35" t="n">
        <f aca="false">SUM(AC21:AF21)</f>
        <v>94.64</v>
      </c>
      <c r="AQ21" s="36" t="n">
        <f aca="false">AH21</f>
        <v>0.617</v>
      </c>
      <c r="AR21" s="37" t="n">
        <f aca="false">AP21*AQ21*$AJ$2</f>
        <v>62.4803816</v>
      </c>
    </row>
    <row r="22" customFormat="false" ht="15" hidden="false" customHeight="false" outlineLevel="0" collapsed="false">
      <c r="A22" s="6" t="s">
        <v>134</v>
      </c>
      <c r="B22" s="32" t="n">
        <f aca="false">SUMIFS(Ведомость!$N$5:$N$846,Ведомость!$H$5:$H$846,8,Ведомость!$I$5:$I$846,"А240",Ведомость!$V$5:$V$846,"Дм-1",Ведомость!$W$5:$W$846,1)</f>
        <v>191.46</v>
      </c>
      <c r="C22" s="32" t="n">
        <f aca="false">SUMIFS(Ведомость!$N$5:$N$846,Ведомость!$H$5:$H$846,8,Ведомость!$I$5:$I$846,"А240",Ведомость!$V$5:$V$846,"Дм-2",Ведомость!$W$5:$W$846,1)</f>
        <v>177.15</v>
      </c>
      <c r="D22" s="32" t="n">
        <f aca="false">SUMIFS(Ведомость!$N$5:$N$846,Ведомость!$H$5:$H$846,8,Ведомость!$I$5:$I$846,"А240",Ведомость!$V$5:$V$846,"К-А",Ведомость!$W$5:$W$846,1)</f>
        <v>431.28</v>
      </c>
      <c r="E22" s="32" t="n">
        <f aca="false">SUMIFS(Ведомость!$N$5:$N$846,Ведомость!$H$5:$H$846,8,Ведомость!$I$5:$I$846,"А240",Ведомость!$V$5:$V$846,"Р-А",Ведомость!$W$5:$W$846,1)</f>
        <v>395.39</v>
      </c>
      <c r="F22" s="32" t="n">
        <f aca="false">SUMIFS(Ведомость!$N$5:$N$846,Ведомость!$H$5:$H$846,8,Ведомость!$I$5:$I$846,"А240",Ведомость!$V$5:$V$846,"К-Б",Ведомость!$W$5:$W$846,1)</f>
        <v>718.8</v>
      </c>
      <c r="G22" s="32" t="n">
        <f aca="false">SUMIFS(Ведомость!$N$5:$N$846,Ведомость!$H$5:$H$846,8,Ведомость!$I$5:$I$846,"А240",Ведомость!$V$5:$V$846,"Р-Б",Ведомость!$W$5:$W$846,1)</f>
        <v>333.35</v>
      </c>
      <c r="H22" s="32" t="n">
        <f aca="false">SUMIFS(Ведомость!$N$5:$N$846,Ведомость!$H$5:$H$846,8,Ведомость!$I$5:$I$846,"А240",Ведомость!$V$5:$V$846,"К-В",Ведомость!$W$5:$W$846,1)</f>
        <v>718.8</v>
      </c>
      <c r="I22" s="32" t="n">
        <f aca="false">SUMIFS(Ведомость!$N$5:$N$846,Ведомость!$H$5:$H$846,8,Ведомость!$I$5:$I$846,"А240",Ведомость!$V$5:$V$846,"Р-В",Ведомость!$W$5:$W$846,1)</f>
        <v>245.84</v>
      </c>
      <c r="J22" s="32" t="n">
        <f aca="false">SUMIFS(Ведомость!$N$5:$N$846,Ведомость!$H$5:$H$846,8,Ведомость!$I$5:$I$846,"А240",Ведомость!$V$5:$V$846,"К-Г",Ведомость!$W$5:$W$846,1)</f>
        <v>287.52</v>
      </c>
      <c r="K22" s="32" t="n">
        <f aca="false">SUMIFS(Ведомость!$N$5:$N$846,Ведомость!$H$5:$H$846,8,Ведомость!$I$5:$I$846,"А240",Ведомость!$V$5:$V$846,"Дм-3",Ведомость!$W$5:$W$846,1)</f>
        <v>218.37</v>
      </c>
      <c r="L22" s="32" t="n">
        <f aca="false">SUMIFS(Ведомость!$N$5:$N$846,Ведомость!$H$5:$H$846,8,Ведомость!$I$5:$I$846,"А240",Ведомость!$V$5:$V$846,"Дм-4",Ведомость!$W$5:$W$846,1)</f>
        <v>162.84</v>
      </c>
      <c r="M22" s="32" t="n">
        <f aca="false">SUMIFS(Ведомость!$N$5:$N$846,Ведомость!$H$5:$H$846,8,Ведомость!$I$5:$I$846,"А240",Ведомость!$V$5:$V$846,"Дм-5",Ведомость!$W$5:$W$846,1)</f>
        <v>204.06</v>
      </c>
      <c r="N22" s="32" t="n">
        <f aca="false">SUMIFS(Ведомость!$N$5:$N$846,Ведомость!$H$5:$H$846,8,Ведомость!$I$5:$I$846,"А240",Ведомость!$V$5:$V$846,"Р-Г",Ведомость!$W$5:$W$846,1)</f>
        <v>375.86</v>
      </c>
      <c r="O22" s="32" t="n">
        <f aca="false">SUMIFS(Ведомость!$N$5:$N$846,Ведомость!$H$5:$H$846,8,Ведомость!$I$5:$I$846,"А240",Ведомость!$V$5:$V$846,"Р-1, 5",Ведомость!$W$5:$W$846,1)</f>
        <v>681.86</v>
      </c>
      <c r="P22" s="32" t="n">
        <f aca="false">SUMIFS(Ведомость!$N$5:$N$846,Ведомость!$H$5:$H$846,8,Ведомость!$I$5:$I$846,"А240",Ведомость!$V$5:$V$846,"Р-2",Ведомость!$W$5:$W$846,1)</f>
        <v>154.39</v>
      </c>
      <c r="Q22" s="32" t="n">
        <f aca="false">SUMIFS(Ведомость!$N$5:$N$846,Ведомость!$H$5:$H$846,8,Ведомость!$I$5:$I$846,"А240",Ведомость!$V$5:$V$846,"Р-3",Ведомость!$W$5:$W$846,1)</f>
        <v>197.83</v>
      </c>
      <c r="R22" s="32" t="n">
        <f aca="false">SUMIFS(Ведомость!$N$5:$N$846,Ведомость!$H$5:$H$846,8,Ведомость!$I$5:$I$846,"А240",Ведомость!$V$5:$V$846,"Р-4",Ведомость!$W$5:$W$846,1)</f>
        <v>189.63</v>
      </c>
      <c r="S22" s="32" t="n">
        <f aca="false">SUMIFS(Ведомость!$N$5:$N$846,Ведомость!$H$5:$H$846,8,Ведомость!$I$5:$I$846,"А240",Ведомость!$V$5:$V$846,"Б-основная",Ведомость!$W$5:$W$846,1)</f>
        <v>0</v>
      </c>
      <c r="T22" s="32" t="n">
        <f aca="false">SUMIFS(Ведомость!$N$5:$N$846,Ведомость!$H$5:$H$846,8,Ведомость!$I$5:$I$846,"А240",Ведомость!$V$5:$V$846,"Б-хомуты",Ведомость!$W$5:$W$846,1)</f>
        <v>1666.52</v>
      </c>
      <c r="U22" s="32" t="n">
        <f aca="false">SUMIFS(Ведомость!$N$5:$N$846,Ведомость!$H$5:$H$846,8,Ведомость!$I$5:$I$846,"А240",Ведомость!$V$5:$V$846,"Б-допник",Ведомость!$W$5:$W$846,1)</f>
        <v>0</v>
      </c>
      <c r="V22" s="32" t="n">
        <f aca="false">SUMIFS(Ведомость!$N$5:$N$846,Ведомость!$H$5:$H$846,8,Ведомость!$I$5:$I$846,"А240",Ведомость!$V$5:$V$846,"П-сетка",Ведомость!$W$5:$W$846,1)</f>
        <v>0</v>
      </c>
      <c r="W22" s="32" t="n">
        <f aca="false">SUMIFS(Ведомость!$N$5:$N$846,Ведомость!$H$5:$H$846,8,Ведомость!$I$5:$I$846,"А240",Ведомость!$V$5:$V$846,"П-фикс",Ведомость!$W$5:$W$846,1)</f>
        <v>186.34</v>
      </c>
      <c r="X22" s="32" t="n">
        <f aca="false">SUMIFS(Ведомость!$N$5:$N$846,Ведомость!$H$5:$H$846,8,Ведомость!$I$5:$I$846,"А240",Ведомость!$V$5:$V$846,"П-отв",Ведомость!$W$5:$W$846,1)</f>
        <v>0</v>
      </c>
      <c r="Y22" s="32" t="n">
        <f aca="false">SUMIFS(Ведомость!$N$5:$N$846,Ведомость!$H$5:$H$846,8,Ведомость!$I$5:$I$846,"А240",Ведомость!$V$5:$V$846,"П-доп-низ",Ведомость!$W$5:$W$846,1)</f>
        <v>0</v>
      </c>
      <c r="Z22" s="32" t="n">
        <f aca="false">SUMIFS(Ведомость!$N$5:$N$846,Ведомость!$H$5:$H$846,8,Ведомость!$I$5:$I$846,"А240",Ведомость!$V$5:$V$846,"П-доп-верх",Ведомость!$W$5:$W$846,1)</f>
        <v>0</v>
      </c>
      <c r="AA22" s="32" t="n">
        <f aca="false">SUMIFS(Ведомость!$N$5:$N$846,Ведомость!$H$5:$H$846,8,Ведомость!$I$5:$I$846,"А240",Ведомость!$V$5:$V$846,"П-край",Ведомость!$W$5:$W$846,1)</f>
        <v>0</v>
      </c>
      <c r="AB22" s="32" t="n">
        <f aca="false">SUMIFS(Ведомость!$N$5:$N$846,Ведомость!$H$5:$H$846,8,Ведомость!$I$5:$I$846,"А240",Ведомость!$V$5:$V$846,"С-1",Ведомость!$W$5:$W$846,1)</f>
        <v>0</v>
      </c>
      <c r="AC22" s="32" t="n">
        <f aca="false">SUMIFS(Ведомость!$N$5:$N$846,Ведомость!$H$5:$H$846,8,Ведомость!$I$5:$I$846,"А240",Ведомость!$V$5:$V$846,"Л1",Ведомость!$W$5:$W$846,1)</f>
        <v>0</v>
      </c>
      <c r="AD22" s="32" t="n">
        <f aca="false">SUMIFS(Ведомость!$N$5:$N$846,Ведомость!$H$5:$H$846,8,Ведомость!$I$5:$I$846,"А240",Ведомость!$V$5:$V$846,"Л2",Ведомость!$W$5:$W$846,1)</f>
        <v>0</v>
      </c>
      <c r="AE22" s="32" t="n">
        <f aca="false">SUMIFS(Ведомость!$N$5:$N$846,Ведомость!$H$5:$H$846,8,Ведомость!$I$5:$I$846,"А240",Ведомость!$V$5:$V$846,"Л-пл",Ведомость!$W$5:$W$846,1)</f>
        <v>0</v>
      </c>
      <c r="AF22" s="32" t="n">
        <f aca="false">SUMIFS(Ведомость!$N$5:$N$846,Ведомость!$H$5:$H$846,8,Ведомость!$I$5:$I$846,"А240",Ведомость!$V$5:$V$846,"Л-рама",Ведомость!$W$5:$W$846,1)</f>
        <v>44.72</v>
      </c>
      <c r="AG22" s="33" t="n">
        <f aca="false">SUM(B22:AF22)</f>
        <v>7582.01</v>
      </c>
      <c r="AH22" s="34" t="n">
        <f aca="false">IFERROR(INDEX(Исходные!$B$18:$B$30,MATCH(8,Исходные!$A$18:$A$30,0)),0)</f>
        <v>0.395</v>
      </c>
      <c r="AI22" s="33" t="n">
        <f aca="false">AG22*AH22*$AJ$2</f>
        <v>3204.5365265</v>
      </c>
      <c r="AJ22" s="35" t="n">
        <f aca="false">SUM(B22:D22,F22,H22,J22:M22)</f>
        <v>3110.28</v>
      </c>
      <c r="AK22" s="36" t="n">
        <f aca="false">AH22</f>
        <v>0.395</v>
      </c>
      <c r="AL22" s="37" t="n">
        <f aca="false">AJ22*AK22*$AJ$2</f>
        <v>1314.559842</v>
      </c>
      <c r="AM22" s="35" t="n">
        <f aca="false">SUM(E22,G22,I22,N22:AB22)</f>
        <v>4427.01</v>
      </c>
      <c r="AN22" s="36" t="n">
        <f aca="false">AH22</f>
        <v>0.395</v>
      </c>
      <c r="AO22" s="37" t="n">
        <f aca="false">AM22*AN22*$AJ$2</f>
        <v>1871.0757765</v>
      </c>
      <c r="AP22" s="35" t="n">
        <f aca="false">SUM(AC22:AF22)</f>
        <v>44.72</v>
      </c>
      <c r="AQ22" s="36" t="n">
        <f aca="false">AH22</f>
        <v>0.395</v>
      </c>
      <c r="AR22" s="37" t="n">
        <f aca="false">AP22*AQ22*$AJ$2</f>
        <v>18.900908</v>
      </c>
    </row>
    <row r="23" customFormat="false" ht="15" hidden="false" customHeight="false" outlineLevel="0" collapsed="false">
      <c r="A23" s="6" t="s">
        <v>135</v>
      </c>
      <c r="B23" s="32" t="n">
        <f aca="false">SUMIFS(Ведомость!$N$5:$N$846,Ведомость!$H$5:$H$846,6,Ведомость!$I$5:$I$846,"А240",Ведомость!$V$5:$V$846,"Дм-1",Ведомость!$W$5:$W$846,1)</f>
        <v>0</v>
      </c>
      <c r="C23" s="32" t="n">
        <f aca="false">SUMIFS(Ведомость!$N$5:$N$846,Ведомость!$H$5:$H$846,6,Ведомость!$I$5:$I$846,"А240",Ведомость!$V$5:$V$846,"Дм-2",Ведомость!$W$5:$W$846,1)</f>
        <v>0</v>
      </c>
      <c r="D23" s="32" t="n">
        <f aca="false">SUMIFS(Ведомость!$N$5:$N$846,Ведомость!$H$5:$H$846,6,Ведомость!$I$5:$I$846,"А240",Ведомость!$V$5:$V$846,"К-А",Ведомость!$W$5:$W$846,1)</f>
        <v>0</v>
      </c>
      <c r="E23" s="32" t="n">
        <f aca="false">SUMIFS(Ведомость!$N$5:$N$846,Ведомость!$H$5:$H$846,6,Ведомость!$I$5:$I$846,"А240",Ведомость!$V$5:$V$846,"Р-А",Ведомость!$W$5:$W$846,1)</f>
        <v>0</v>
      </c>
      <c r="F23" s="32" t="n">
        <f aca="false">SUMIFS(Ведомость!$N$5:$N$846,Ведомость!$H$5:$H$846,6,Ведомость!$I$5:$I$846,"А240",Ведомость!$V$5:$V$846,"К-Б",Ведомость!$W$5:$W$846,1)</f>
        <v>0</v>
      </c>
      <c r="G23" s="32" t="n">
        <f aca="false">SUMIFS(Ведомость!$N$5:$N$846,Ведомость!$H$5:$H$846,6,Ведомость!$I$5:$I$846,"А240",Ведомость!$V$5:$V$846,"Р-Б",Ведомость!$W$5:$W$846,1)</f>
        <v>0</v>
      </c>
      <c r="H23" s="32" t="n">
        <f aca="false">SUMIFS(Ведомость!$N$5:$N$846,Ведомость!$H$5:$H$846,6,Ведомость!$I$5:$I$846,"А240",Ведомость!$V$5:$V$846,"К-В",Ведомость!$W$5:$W$846,1)</f>
        <v>0</v>
      </c>
      <c r="I23" s="32" t="n">
        <f aca="false">SUMIFS(Ведомость!$N$5:$N$846,Ведомость!$H$5:$H$846,6,Ведомость!$I$5:$I$846,"А240",Ведомость!$V$5:$V$846,"Р-В",Ведомость!$W$5:$W$846,1)</f>
        <v>0</v>
      </c>
      <c r="J23" s="32" t="n">
        <f aca="false">SUMIFS(Ведомость!$N$5:$N$846,Ведомость!$H$5:$H$846,6,Ведомость!$I$5:$I$846,"А240",Ведомость!$V$5:$V$846,"К-Г",Ведомость!$W$5:$W$846,1)</f>
        <v>0</v>
      </c>
      <c r="K23" s="32" t="n">
        <f aca="false">SUMIFS(Ведомость!$N$5:$N$846,Ведомость!$H$5:$H$846,6,Ведомость!$I$5:$I$846,"А240",Ведомость!$V$5:$V$846,"Дм-3",Ведомость!$W$5:$W$846,1)</f>
        <v>0</v>
      </c>
      <c r="L23" s="32" t="n">
        <f aca="false">SUMIFS(Ведомость!$N$5:$N$846,Ведомость!$H$5:$H$846,6,Ведомость!$I$5:$I$846,"А240",Ведомость!$V$5:$V$846,"Дм-4",Ведомость!$W$5:$W$846,1)</f>
        <v>0</v>
      </c>
      <c r="M23" s="32" t="n">
        <f aca="false">SUMIFS(Ведомость!$N$5:$N$846,Ведомость!$H$5:$H$846,6,Ведомость!$I$5:$I$846,"А240",Ведомость!$V$5:$V$846,"Дм-5",Ведомость!$W$5:$W$846,1)</f>
        <v>0</v>
      </c>
      <c r="N23" s="32" t="n">
        <f aca="false">SUMIFS(Ведомость!$N$5:$N$846,Ведомость!$H$5:$H$846,6,Ведомость!$I$5:$I$846,"А240",Ведомость!$V$5:$V$846,"Р-Г",Ведомость!$W$5:$W$846,1)</f>
        <v>0</v>
      </c>
      <c r="O23" s="32" t="n">
        <f aca="false">SUMIFS(Ведомость!$N$5:$N$846,Ведомость!$H$5:$H$846,6,Ведомость!$I$5:$I$846,"А240",Ведомость!$V$5:$V$846,"Р-1, 5",Ведомость!$W$5:$W$846,1)</f>
        <v>0</v>
      </c>
      <c r="P23" s="32" t="n">
        <f aca="false">SUMIFS(Ведомость!$N$5:$N$846,Ведомость!$H$5:$H$846,6,Ведомость!$I$5:$I$846,"А240",Ведомость!$V$5:$V$846,"Р-2",Ведомость!$W$5:$W$846,1)</f>
        <v>0</v>
      </c>
      <c r="Q23" s="32" t="n">
        <f aca="false">SUMIFS(Ведомость!$N$5:$N$846,Ведомость!$H$5:$H$846,6,Ведомость!$I$5:$I$846,"А240",Ведомость!$V$5:$V$846,"Р-3",Ведомость!$W$5:$W$846,1)</f>
        <v>0</v>
      </c>
      <c r="R23" s="32" t="n">
        <f aca="false">SUMIFS(Ведомость!$N$5:$N$846,Ведомость!$H$5:$H$846,6,Ведомость!$I$5:$I$846,"А240",Ведомость!$V$5:$V$846,"Р-4",Ведомость!$W$5:$W$846,1)</f>
        <v>0</v>
      </c>
      <c r="S23" s="32" t="n">
        <f aca="false">SUMIFS(Ведомость!$N$5:$N$846,Ведомость!$H$5:$H$846,6,Ведомость!$I$5:$I$846,"А240",Ведомость!$V$5:$V$846,"Б-основная",Ведомость!$W$5:$W$846,1)</f>
        <v>0</v>
      </c>
      <c r="T23" s="32" t="n">
        <f aca="false">SUMIFS(Ведомость!$N$5:$N$846,Ведомость!$H$5:$H$846,6,Ведомость!$I$5:$I$846,"А240",Ведомость!$V$5:$V$846,"Б-хомуты",Ведомость!$W$5:$W$846,1)</f>
        <v>0</v>
      </c>
      <c r="U23" s="32" t="n">
        <f aca="false">SUMIFS(Ведомость!$N$5:$N$846,Ведомость!$H$5:$H$846,6,Ведомость!$I$5:$I$846,"А240",Ведомость!$V$5:$V$846,"Б-допник",Ведомость!$W$5:$W$846,1)</f>
        <v>0</v>
      </c>
      <c r="V23" s="32" t="n">
        <f aca="false">SUMIFS(Ведомость!$N$5:$N$846,Ведомость!$H$5:$H$846,6,Ведомость!$I$5:$I$846,"А240",Ведомость!$V$5:$V$846,"П-сетка",Ведомость!$W$5:$W$846,1)</f>
        <v>0</v>
      </c>
      <c r="W23" s="32" t="n">
        <f aca="false">SUMIFS(Ведомость!$N$5:$N$846,Ведомость!$H$5:$H$846,6,Ведомость!$I$5:$I$846,"А240",Ведомость!$V$5:$V$846,"П-фикс",Ведомость!$W$5:$W$846,1)</f>
        <v>0</v>
      </c>
      <c r="X23" s="32" t="n">
        <f aca="false">SUMIFS(Ведомость!$N$5:$N$846,Ведомость!$H$5:$H$846,6,Ведомость!$I$5:$I$846,"А240",Ведомость!$V$5:$V$846,"П-отв",Ведомость!$W$5:$W$846,1)</f>
        <v>0</v>
      </c>
      <c r="Y23" s="32" t="n">
        <f aca="false">SUMIFS(Ведомость!$N$5:$N$846,Ведомость!$H$5:$H$846,6,Ведомость!$I$5:$I$846,"А240",Ведомость!$V$5:$V$846,"П-доп-низ",Ведомость!$W$5:$W$846,1)</f>
        <v>0</v>
      </c>
      <c r="Z23" s="32" t="n">
        <f aca="false">SUMIFS(Ведомость!$N$5:$N$846,Ведомость!$H$5:$H$846,6,Ведомость!$I$5:$I$846,"А240",Ведомость!$V$5:$V$846,"П-доп-верх",Ведомость!$W$5:$W$846,1)</f>
        <v>0</v>
      </c>
      <c r="AA23" s="32" t="n">
        <f aca="false">SUMIFS(Ведомость!$N$5:$N$846,Ведомость!$H$5:$H$846,6,Ведомость!$I$5:$I$846,"А240",Ведомость!$V$5:$V$846,"П-край",Ведомость!$W$5:$W$846,1)</f>
        <v>0</v>
      </c>
      <c r="AB23" s="32" t="n">
        <f aca="false">SUMIFS(Ведомость!$N$5:$N$846,Ведомость!$H$5:$H$846,6,Ведомость!$I$5:$I$846,"А240",Ведомость!$V$5:$V$846,"С-1",Ведомость!$W$5:$W$846,1)</f>
        <v>0</v>
      </c>
      <c r="AC23" s="32" t="n">
        <f aca="false">SUMIFS(Ведомость!$N$5:$N$846,Ведомость!$H$5:$H$846,6,Ведомость!$I$5:$I$846,"А240",Ведомость!$V$5:$V$846,"Л1",Ведомость!$W$5:$W$846,1)</f>
        <v>11.48</v>
      </c>
      <c r="AD23" s="32" t="n">
        <f aca="false">SUMIFS(Ведомость!$N$5:$N$846,Ведомость!$H$5:$H$846,6,Ведомость!$I$5:$I$846,"А240",Ведомость!$V$5:$V$846,"Л2",Ведомость!$W$5:$W$846,1)</f>
        <v>11.76</v>
      </c>
      <c r="AE23" s="32" t="n">
        <f aca="false">SUMIFS(Ведомость!$N$5:$N$846,Ведомость!$H$5:$H$846,6,Ведомость!$I$5:$I$846,"А240",Ведомость!$V$5:$V$846,"Л-пл",Ведомость!$W$5:$W$846,1)</f>
        <v>7.84</v>
      </c>
      <c r="AF23" s="32" t="n">
        <f aca="false">SUMIFS(Ведомость!$N$5:$N$846,Ведомость!$H$5:$H$846,6,Ведомость!$I$5:$I$846,"А240",Ведомость!$V$5:$V$846,"Л-рама",Ведомость!$W$5:$W$846,1)</f>
        <v>0</v>
      </c>
      <c r="AG23" s="33" t="n">
        <f aca="false">SUM(B23:AF23)</f>
        <v>31.08</v>
      </c>
      <c r="AH23" s="34" t="n">
        <f aca="false">IFERROR(INDEX(Исходные!$B$18:$B$30,MATCH(6,Исходные!$A$18:$A$30,0)),0)</f>
        <v>0.222</v>
      </c>
      <c r="AI23" s="33" t="n">
        <f aca="false">AG23*AH23*$AJ$2</f>
        <v>7.3827432</v>
      </c>
      <c r="AJ23" s="35" t="n">
        <f aca="false">SUM(B23:D23,F23,H23,J23:M23)</f>
        <v>0</v>
      </c>
      <c r="AK23" s="36" t="n">
        <f aca="false">AH23</f>
        <v>0.222</v>
      </c>
      <c r="AL23" s="37" t="n">
        <f aca="false">AJ23*AK23*$AJ$2</f>
        <v>0</v>
      </c>
      <c r="AM23" s="35" t="n">
        <f aca="false">SUM(E23,G23,I23,N23:AB23)</f>
        <v>0</v>
      </c>
      <c r="AN23" s="36" t="n">
        <f aca="false">AH23</f>
        <v>0.222</v>
      </c>
      <c r="AO23" s="37" t="n">
        <f aca="false">AM23*AN23*$AJ$2</f>
        <v>0</v>
      </c>
      <c r="AP23" s="35" t="n">
        <f aca="false">SUM(AC23:AF23)</f>
        <v>31.08</v>
      </c>
      <c r="AQ23" s="36" t="n">
        <f aca="false">AH23</f>
        <v>0.222</v>
      </c>
      <c r="AR23" s="37" t="n">
        <f aca="false">AP23*AQ23*$AJ$2</f>
        <v>7.3827432</v>
      </c>
    </row>
    <row r="24" customFormat="false" ht="15" hidden="false" customHeight="false" outlineLevel="0" collapsed="false">
      <c r="A24" s="6" t="s">
        <v>136</v>
      </c>
      <c r="B24" s="38" t="n">
        <f aca="false">SUMIFS(Ведомость!$K$5:$K$846,Ведомость!$H$5:$H$846,5,Ведомость!$I$5:$I$846,"Вр-I",Ведомость!$V$5:$V$846,"Дм-1",Ведомость!$W$5:$W$846,1)</f>
        <v>0</v>
      </c>
      <c r="C24" s="38" t="n">
        <f aca="false">SUMIFS(Ведомость!$K$5:$K$846,Ведомость!$H$5:$H$846,5,Ведомость!$I$5:$I$846,"Вр-I",Ведомость!$V$5:$V$846,"Дм-2",Ведомость!$W$5:$W$846,1)</f>
        <v>0</v>
      </c>
      <c r="D24" s="38" t="n">
        <f aca="false">SUMIFS(Ведомость!$K$5:$K$846,Ведомость!$H$5:$H$846,5,Ведомость!$I$5:$I$846,"Вр-I",Ведомость!$V$5:$V$846,"К-А",Ведомость!$W$5:$W$846,1)</f>
        <v>0</v>
      </c>
      <c r="E24" s="38" t="n">
        <f aca="false">SUMIFS(Ведомость!$K$5:$K$846,Ведомость!$H$5:$H$846,5,Ведомость!$I$5:$I$846,"Вр-I",Ведомость!$V$5:$V$846,"Р-А",Ведомость!$W$5:$W$846,1)</f>
        <v>0</v>
      </c>
      <c r="F24" s="38" t="n">
        <f aca="false">SUMIFS(Ведомость!$K$5:$K$846,Ведомость!$H$5:$H$846,5,Ведомость!$I$5:$I$846,"Вр-I",Ведомость!$V$5:$V$846,"К-Б",Ведомость!$W$5:$W$846,1)</f>
        <v>0</v>
      </c>
      <c r="G24" s="38" t="n">
        <f aca="false">SUMIFS(Ведомость!$K$5:$K$846,Ведомость!$H$5:$H$846,5,Ведомость!$I$5:$I$846,"Вр-I",Ведомость!$V$5:$V$846,"Р-Б",Ведомость!$W$5:$W$846,1)</f>
        <v>0</v>
      </c>
      <c r="H24" s="38" t="n">
        <f aca="false">SUMIFS(Ведомость!$K$5:$K$846,Ведомость!$H$5:$H$846,5,Ведомость!$I$5:$I$846,"Вр-I",Ведомость!$V$5:$V$846,"К-В",Ведомость!$W$5:$W$846,1)</f>
        <v>0</v>
      </c>
      <c r="I24" s="38" t="n">
        <f aca="false">SUMIFS(Ведомость!$K$5:$K$846,Ведомость!$H$5:$H$846,5,Ведомость!$I$5:$I$846,"Вр-I",Ведомость!$V$5:$V$846,"Р-В",Ведомость!$W$5:$W$846,1)</f>
        <v>0</v>
      </c>
      <c r="J24" s="38" t="n">
        <f aca="false">SUMIFS(Ведомость!$K$5:$K$846,Ведомость!$H$5:$H$846,5,Ведомость!$I$5:$I$846,"Вр-I",Ведомость!$V$5:$V$846,"К-Г",Ведомость!$W$5:$W$846,1)</f>
        <v>0</v>
      </c>
      <c r="K24" s="38" t="n">
        <f aca="false">SUMIFS(Ведомость!$K$5:$K$846,Ведомость!$H$5:$H$846,5,Ведомость!$I$5:$I$846,"Вр-I",Ведомость!$V$5:$V$846,"Дм-3",Ведомость!$W$5:$W$846,1)</f>
        <v>0</v>
      </c>
      <c r="L24" s="38" t="n">
        <f aca="false">SUMIFS(Ведомость!$K$5:$K$846,Ведомость!$H$5:$H$846,5,Ведомость!$I$5:$I$846,"Вр-I",Ведомость!$V$5:$V$846,"Дм-4",Ведомость!$W$5:$W$846,1)</f>
        <v>0</v>
      </c>
      <c r="M24" s="38" t="n">
        <f aca="false">SUMIFS(Ведомость!$K$5:$K$846,Ведомость!$H$5:$H$846,5,Ведомость!$I$5:$I$846,"Вр-I",Ведомость!$V$5:$V$846,"Дм-5",Ведомость!$W$5:$W$846,1)</f>
        <v>0</v>
      </c>
      <c r="N24" s="38" t="n">
        <f aca="false">SUMIFS(Ведомость!$K$5:$K$846,Ведомость!$H$5:$H$846,5,Ведомость!$I$5:$I$846,"Вр-I",Ведомость!$V$5:$V$846,"Р-Г",Ведомость!$W$5:$W$846,1)</f>
        <v>0</v>
      </c>
      <c r="O24" s="38" t="n">
        <f aca="false">SUMIFS(Ведомость!$K$5:$K$846,Ведомость!$H$5:$H$846,5,Ведомость!$I$5:$I$846,"Вр-I",Ведомость!$V$5:$V$846,"Р-1, 5",Ведомость!$W$5:$W$846,1)</f>
        <v>0</v>
      </c>
      <c r="P24" s="38" t="n">
        <f aca="false">SUMIFS(Ведомость!$K$5:$K$846,Ведомость!$H$5:$H$846,5,Ведомость!$I$5:$I$846,"Вр-I",Ведомость!$V$5:$V$846,"Р-2",Ведомость!$W$5:$W$846,1)</f>
        <v>0</v>
      </c>
      <c r="Q24" s="38" t="n">
        <f aca="false">SUMIFS(Ведомость!$K$5:$K$846,Ведомость!$H$5:$H$846,5,Ведомость!$I$5:$I$846,"Вр-I",Ведомость!$V$5:$V$846,"Р-3",Ведомость!$W$5:$W$846,1)</f>
        <v>0</v>
      </c>
      <c r="R24" s="38" t="n">
        <f aca="false">SUMIFS(Ведомость!$K$5:$K$846,Ведомость!$H$5:$H$846,5,Ведомость!$I$5:$I$846,"Вр-I",Ведомость!$V$5:$V$846,"Р-4",Ведомость!$W$5:$W$846,1)</f>
        <v>0</v>
      </c>
      <c r="S24" s="38" t="n">
        <f aca="false">SUMIFS(Ведомость!$K$5:$K$846,Ведомость!$H$5:$H$846,5,Ведомость!$I$5:$I$846,"Вр-I",Ведомость!$V$5:$V$846,"Б-основная",Ведомость!$W$5:$W$846,1)</f>
        <v>0</v>
      </c>
      <c r="T24" s="38" t="n">
        <f aca="false">SUMIFS(Ведомость!$K$5:$K$846,Ведомость!$H$5:$H$846,5,Ведомость!$I$5:$I$846,"Вр-I",Ведомость!$V$5:$V$846,"Б-хомуты",Ведомость!$W$5:$W$846,1)</f>
        <v>0</v>
      </c>
      <c r="U24" s="38" t="n">
        <f aca="false">SUMIFS(Ведомость!$K$5:$K$846,Ведомость!$H$5:$H$846,5,Ведомость!$I$5:$I$846,"Вр-I",Ведомость!$V$5:$V$846,"Б-допник",Ведомость!$W$5:$W$846,1)</f>
        <v>0</v>
      </c>
      <c r="V24" s="38" t="n">
        <f aca="false">SUMIFS(Ведомость!$K$5:$K$846,Ведомость!$H$5:$H$846,5,Ведомость!$I$5:$I$846,"Вр-I",Ведомость!$V$5:$V$846,"П-сетка",Ведомость!$W$5:$W$846,1)</f>
        <v>0</v>
      </c>
      <c r="W24" s="38" t="n">
        <f aca="false">SUMIFS(Ведомость!$K$5:$K$846,Ведомость!$H$5:$H$846,5,Ведомость!$I$5:$I$846,"Вр-I",Ведомость!$V$5:$V$846,"П-фикс",Ведомость!$W$5:$W$846,1)</f>
        <v>0</v>
      </c>
      <c r="X24" s="38" t="n">
        <f aca="false">SUMIFS(Ведомость!$K$5:$K$846,Ведомость!$H$5:$H$846,5,Ведомость!$I$5:$I$846,"Вр-I",Ведомость!$V$5:$V$846,"П-отв",Ведомость!$W$5:$W$846,1)</f>
        <v>0</v>
      </c>
      <c r="Y24" s="38" t="n">
        <f aca="false">SUMIFS(Ведомость!$K$5:$K$846,Ведомость!$H$5:$H$846,5,Ведомость!$I$5:$I$846,"Вр-I",Ведомость!$V$5:$V$846,"П-доп-низ",Ведомость!$W$5:$W$846,1)</f>
        <v>0</v>
      </c>
      <c r="Z24" s="38" t="n">
        <f aca="false">SUMIFS(Ведомость!$K$5:$K$846,Ведомость!$H$5:$H$846,5,Ведомость!$I$5:$I$846,"Вр-I",Ведомость!$V$5:$V$846,"П-доп-верх",Ведомость!$W$5:$W$846,1)</f>
        <v>0</v>
      </c>
      <c r="AA24" s="38" t="n">
        <f aca="false">SUMIFS(Ведомость!$K$5:$K$846,Ведомость!$H$5:$H$846,5,Ведомость!$I$5:$I$846,"Вр-I",Ведомость!$V$5:$V$846,"П-край",Ведомость!$W$5:$W$846,1)</f>
        <v>0</v>
      </c>
      <c r="AB24" s="38" t="n">
        <f aca="false">SUMIFS(Ведомость!$K$5:$K$846,Ведомость!$H$5:$H$846,5,Ведомость!$I$5:$I$846,"Вр-I",Ведомость!$V$5:$V$846,"С-1",Ведомость!$W$5:$W$846,1)</f>
        <v>0</v>
      </c>
      <c r="AC24" s="38" t="n">
        <f aca="false">SUMIFS(Ведомость!$K$5:$K$846,Ведомость!$H$5:$H$846,5,Ведомость!$I$5:$I$846,"Вр-I",Ведомость!$V$5:$V$846,"Л1",Ведомость!$W$5:$W$846,1)</f>
        <v>6.9</v>
      </c>
      <c r="AD24" s="38" t="n">
        <f aca="false">SUMIFS(Ведомость!$K$5:$K$846,Ведомость!$H$5:$H$846,5,Ведомость!$I$5:$I$846,"Вр-I",Ведомость!$V$5:$V$846,"Л2",Ведомость!$W$5:$W$846,1)</f>
        <v>7.1</v>
      </c>
      <c r="AE24" s="38" t="n">
        <f aca="false">SUMIFS(Ведомость!$K$5:$K$846,Ведомость!$H$5:$H$846,5,Ведомость!$I$5:$I$846,"Вр-I",Ведомость!$V$5:$V$846,"Л-пл",Ведомость!$W$5:$W$846,1)</f>
        <v>0</v>
      </c>
      <c r="AF24" s="38" t="n">
        <f aca="false">SUMIFS(Ведомость!$K$5:$K$846,Ведомость!$H$5:$H$846,5,Ведомость!$I$5:$I$846,"Вр-I",Ведомость!$V$5:$V$846,"Л-рама",Ведомость!$W$5:$W$846,1)</f>
        <v>0</v>
      </c>
      <c r="AG24" s="33" t="n">
        <f aca="false">SUM(B24:AF24)</f>
        <v>14</v>
      </c>
      <c r="AH24" s="34" t="n">
        <f aca="false">Исходные!$B$31</f>
        <v>3.08</v>
      </c>
      <c r="AI24" s="33" t="n">
        <f aca="false">AG24*AH24*$AJ$2</f>
        <v>46.1384</v>
      </c>
      <c r="AJ24" s="35" t="n">
        <f aca="false">SUM(B24:D24,F24,H24,J24:M24)</f>
        <v>0</v>
      </c>
      <c r="AK24" s="36" t="n">
        <f aca="false">AH24</f>
        <v>3.08</v>
      </c>
      <c r="AL24" s="37" t="n">
        <f aca="false">AJ24*AK24*$AJ$2</f>
        <v>0</v>
      </c>
      <c r="AM24" s="35" t="n">
        <f aca="false">SUM(E24,G24,I24,N24:AB24)</f>
        <v>0</v>
      </c>
      <c r="AN24" s="36" t="n">
        <f aca="false">AH24</f>
        <v>3.08</v>
      </c>
      <c r="AO24" s="37" t="n">
        <f aca="false">AM24*AN24*$AJ$2</f>
        <v>0</v>
      </c>
      <c r="AP24" s="35" t="n">
        <f aca="false">SUM(AC24:AF24)</f>
        <v>14</v>
      </c>
      <c r="AQ24" s="36" t="n">
        <f aca="false">AH24</f>
        <v>3.08</v>
      </c>
      <c r="AR24" s="37" t="n">
        <f aca="false">AP24*AQ24*$AJ$2</f>
        <v>46.1384</v>
      </c>
    </row>
    <row r="25" customFormat="false" ht="15" hidden="false" customHeight="false" outlineLevel="0" collapsed="false">
      <c r="A25" s="39" t="s">
        <v>137</v>
      </c>
      <c r="B25" s="40" t="n">
        <f aca="false">SUMPRODUCT(B8:B24,$AH$8:$AH$24)</f>
        <v>1586.415728</v>
      </c>
      <c r="C25" s="40" t="n">
        <f aca="false">SUMPRODUCT(C8:C24,$AH$8:$AH$24)</f>
        <v>1244.93613</v>
      </c>
      <c r="D25" s="40" t="n">
        <f aca="false">SUMPRODUCT(D8:D24,$AH$8:$AH$24)</f>
        <v>710.1156</v>
      </c>
      <c r="E25" s="40" t="n">
        <f aca="false">SUMPRODUCT(E8:E24,$AH$8:$AH$24)</f>
        <v>1246.100334</v>
      </c>
      <c r="F25" s="40" t="n">
        <f aca="false">SUMPRODUCT(F8:F24,$AH$8:$AH$24)</f>
        <v>1183.526</v>
      </c>
      <c r="G25" s="40" t="n">
        <f aca="false">SUMPRODUCT(G8:G24,$AH$8:$AH$24)</f>
        <v>1177.966934</v>
      </c>
      <c r="H25" s="40" t="n">
        <f aca="false">SUMPRODUCT(H8:H24,$AH$8:$AH$24)</f>
        <v>1183.526</v>
      </c>
      <c r="I25" s="40" t="n">
        <f aca="false">SUMPRODUCT(I8:I24,$AH$8:$AH$24)</f>
        <v>1346.636556</v>
      </c>
      <c r="J25" s="40" t="n">
        <f aca="false">SUMPRODUCT(J8:J24,$AH$8:$AH$24)</f>
        <v>473.4104</v>
      </c>
      <c r="K25" s="40" t="n">
        <f aca="false">SUMPRODUCT(K8:K24,$AH$8:$AH$24)</f>
        <v>1361.830122</v>
      </c>
      <c r="L25" s="40" t="n">
        <f aca="false">SUMPRODUCT(L8:L24,$AH$8:$AH$24)</f>
        <v>680.33394</v>
      </c>
      <c r="M25" s="40" t="n">
        <f aca="false">SUMPRODUCT(M8:M24,$AH$8:$AH$24)</f>
        <v>972.34972</v>
      </c>
      <c r="N25" s="40" t="n">
        <f aca="false">SUMPRODUCT(N8:N24,$AH$8:$AH$24)</f>
        <v>1268.434484</v>
      </c>
      <c r="O25" s="40" t="n">
        <f aca="false">SUMPRODUCT(O8:O24,$AH$8:$AH$24)</f>
        <v>1772.531124</v>
      </c>
      <c r="P25" s="40" t="n">
        <f aca="false">SUMPRODUCT(P8:P24,$AH$8:$AH$24)</f>
        <v>1139.515982</v>
      </c>
      <c r="Q25" s="40" t="n">
        <f aca="false">SUMPRODUCT(Q8:Q24,$AH$8:$AH$24)</f>
        <v>1064.559262</v>
      </c>
      <c r="R25" s="40" t="n">
        <f aca="false">SUMPRODUCT(R8:R24,$AH$8:$AH$24)</f>
        <v>1009.272262</v>
      </c>
      <c r="S25" s="40" t="n">
        <f aca="false">SUMPRODUCT(S8:S24,$AH$8:$AH$24)</f>
        <v>3062.71604</v>
      </c>
      <c r="T25" s="40" t="n">
        <f aca="false">SUMPRODUCT(T8:T24,$AH$8:$AH$24)</f>
        <v>658.2754</v>
      </c>
      <c r="U25" s="40" t="n">
        <f aca="false">SUMPRODUCT(U8:U24,$AH$8:$AH$24)</f>
        <v>100.6992</v>
      </c>
      <c r="V25" s="40" t="n">
        <f aca="false">SUMPRODUCT(V8:V24,$AH$8:$AH$24)</f>
        <v>6856.75802</v>
      </c>
      <c r="W25" s="40" t="n">
        <f aca="false">SUMPRODUCT(W8:W24,$AH$8:$AH$24)</f>
        <v>293.09588</v>
      </c>
      <c r="X25" s="40" t="n">
        <f aca="false">SUMPRODUCT(X8:X24,$AH$8:$AH$24)</f>
        <v>0</v>
      </c>
      <c r="Y25" s="40" t="n">
        <f aca="false">SUMPRODUCT(Y8:Y24,$AH$8:$AH$24)</f>
        <v>242.481</v>
      </c>
      <c r="Z25" s="40" t="n">
        <f aca="false">SUMPRODUCT(Z8:Z24,$AH$8:$AH$24)</f>
        <v>394.3466</v>
      </c>
      <c r="AA25" s="40" t="n">
        <f aca="false">SUMPRODUCT(AA8:AA24,$AH$8:$AH$24)</f>
        <v>167.43658</v>
      </c>
      <c r="AB25" s="40" t="n">
        <f aca="false">SUMPRODUCT(AB8:AB24,$AH$8:$AH$24)</f>
        <v>590.8392</v>
      </c>
      <c r="AC25" s="40" t="n">
        <f aca="false">SUMPRODUCT(AC8:AC24,$AH$8:$AH$24)</f>
        <v>302.48142</v>
      </c>
      <c r="AD25" s="40" t="n">
        <f aca="false">SUMPRODUCT(AD8:AD24,$AH$8:$AH$24)</f>
        <v>326.056912</v>
      </c>
      <c r="AE25" s="40" t="n">
        <f aca="false">SUMPRODUCT(AE8:AE24,$AH$8:$AH$24)</f>
        <v>73.55928</v>
      </c>
      <c r="AF25" s="40" t="n">
        <f aca="false">SUMPRODUCT(AF8:AF24,$AH$8:$AH$24)</f>
        <v>101.36706</v>
      </c>
      <c r="AG25" s="39"/>
      <c r="AH25" s="18" t="s">
        <v>33</v>
      </c>
      <c r="AI25" s="41" t="n">
        <f aca="false">SUMPRODUCT(AG8:AG24,AH8:AH24)</f>
        <v>32591.57317</v>
      </c>
      <c r="AJ25" s="39"/>
      <c r="AK25" s="18" t="s">
        <v>33</v>
      </c>
      <c r="AL25" s="41" t="n">
        <f aca="false">SUMPRODUCT(AJ8:AJ24,AK8:AK24)</f>
        <v>9396.44364</v>
      </c>
      <c r="AM25" s="39"/>
      <c r="AN25" s="18" t="s">
        <v>33</v>
      </c>
      <c r="AO25" s="41" t="n">
        <f aca="false">SUMPRODUCT(AM8:AM24,AN8:AN24)</f>
        <v>22391.664858</v>
      </c>
      <c r="AP25" s="39"/>
      <c r="AQ25" s="18" t="s">
        <v>33</v>
      </c>
      <c r="AR25" s="41" t="n">
        <f aca="false">SUMPRODUCT(AP8:AP24,AQ8:AQ24)</f>
        <v>803.464672</v>
      </c>
    </row>
    <row r="26" customFormat="false" ht="23.85" hidden="false" customHeight="false" outlineLevel="0" collapsed="false">
      <c r="A26" s="4" t="s">
        <v>138</v>
      </c>
      <c r="B26" s="42" t="n">
        <f aca="false">B25*$AJ$2</f>
        <v>1697.46482896</v>
      </c>
      <c r="C26" s="42" t="n">
        <f aca="false">C25*$AJ$2</f>
        <v>1332.0816591</v>
      </c>
      <c r="D26" s="42" t="n">
        <f aca="false">D25*$AJ$2</f>
        <v>759.823692</v>
      </c>
      <c r="E26" s="42" t="n">
        <f aca="false">E25*$AJ$2</f>
        <v>1333.32735738</v>
      </c>
      <c r="F26" s="42" t="n">
        <f aca="false">F25*$AJ$2</f>
        <v>1266.37282</v>
      </c>
      <c r="G26" s="42" t="n">
        <f aca="false">G25*$AJ$2</f>
        <v>1260.42461938</v>
      </c>
      <c r="H26" s="42" t="n">
        <f aca="false">H25*$AJ$2</f>
        <v>1266.37282</v>
      </c>
      <c r="I26" s="42" t="n">
        <f aca="false">I25*$AJ$2</f>
        <v>1440.90111492</v>
      </c>
      <c r="J26" s="42" t="n">
        <f aca="false">J25*$AJ$2</f>
        <v>506.549128</v>
      </c>
      <c r="K26" s="42" t="n">
        <f aca="false">K25*$AJ$2</f>
        <v>1457.15823054</v>
      </c>
      <c r="L26" s="42" t="n">
        <f aca="false">L25*$AJ$2</f>
        <v>727.9573158</v>
      </c>
      <c r="M26" s="42" t="n">
        <f aca="false">M25*$AJ$2</f>
        <v>1040.4142004</v>
      </c>
      <c r="N26" s="42" t="n">
        <f aca="false">N25*$AJ$2</f>
        <v>1357.22489788</v>
      </c>
      <c r="O26" s="42" t="n">
        <f aca="false">O25*$AJ$2</f>
        <v>1896.60830268</v>
      </c>
      <c r="P26" s="42" t="n">
        <f aca="false">P25*$AJ$2</f>
        <v>1219.28210074</v>
      </c>
      <c r="Q26" s="42" t="n">
        <f aca="false">Q25*$AJ$2</f>
        <v>1139.07841034</v>
      </c>
      <c r="R26" s="42" t="n">
        <f aca="false">R25*$AJ$2</f>
        <v>1079.92132034</v>
      </c>
      <c r="S26" s="42" t="n">
        <f aca="false">S25*$AJ$2</f>
        <v>3277.1061628</v>
      </c>
      <c r="T26" s="42" t="n">
        <f aca="false">T25*$AJ$2</f>
        <v>704.354678</v>
      </c>
      <c r="U26" s="42" t="n">
        <f aca="false">U25*$AJ$2</f>
        <v>107.748144</v>
      </c>
      <c r="V26" s="42" t="n">
        <f aca="false">V25*$AJ$2</f>
        <v>7336.7310814</v>
      </c>
      <c r="W26" s="42" t="n">
        <f aca="false">W25*$AJ$2</f>
        <v>313.6125916</v>
      </c>
      <c r="X26" s="42" t="n">
        <f aca="false">X25*$AJ$2</f>
        <v>0</v>
      </c>
      <c r="Y26" s="42" t="n">
        <f aca="false">Y25*$AJ$2</f>
        <v>259.45467</v>
      </c>
      <c r="Z26" s="42" t="n">
        <f aca="false">Z25*$AJ$2</f>
        <v>421.950862</v>
      </c>
      <c r="AA26" s="42" t="n">
        <f aca="false">AA25*$AJ$2</f>
        <v>179.1571406</v>
      </c>
      <c r="AB26" s="42" t="n">
        <f aca="false">AB25*$AJ$2</f>
        <v>632.197944</v>
      </c>
      <c r="AC26" s="42" t="n">
        <f aca="false">AC25*$AJ$2</f>
        <v>323.6551194</v>
      </c>
      <c r="AD26" s="42" t="n">
        <f aca="false">AD25*$AJ$2</f>
        <v>348.88089584</v>
      </c>
      <c r="AE26" s="42" t="n">
        <f aca="false">AE25*$AJ$2</f>
        <v>78.7084296</v>
      </c>
      <c r="AF26" s="42" t="n">
        <f aca="false">AF25*$AJ$2</f>
        <v>108.4627542</v>
      </c>
      <c r="AG26" s="4"/>
      <c r="AH26" s="5" t="s">
        <v>139</v>
      </c>
      <c r="AI26" s="43" t="n">
        <f aca="false">SUM(AI8:AI24)</f>
        <v>34872.9832919</v>
      </c>
      <c r="AJ26" s="4"/>
      <c r="AK26" s="5" t="s">
        <v>139</v>
      </c>
      <c r="AL26" s="43" t="n">
        <f aca="false">SUM(AL8:AL24)</f>
        <v>10054.1946948</v>
      </c>
      <c r="AM26" s="4"/>
      <c r="AN26" s="5" t="s">
        <v>139</v>
      </c>
      <c r="AO26" s="43" t="n">
        <f aca="false">SUM(AO8:AO24)</f>
        <v>23959.08139806</v>
      </c>
      <c r="AP26" s="4"/>
      <c r="AQ26" s="5" t="s">
        <v>139</v>
      </c>
      <c r="AR26" s="43" t="n">
        <f aca="false">SUM(AR8:AR24)</f>
        <v>859.70719904</v>
      </c>
    </row>
    <row r="27" customFormat="false" ht="15" hidden="false" customHeight="false" outlineLevel="0" collapsed="false">
      <c r="AH27" s="5" t="s">
        <v>140</v>
      </c>
      <c r="AI27" s="44" t="n">
        <f aca="false">AI26/1000</f>
        <v>34.8729832919</v>
      </c>
      <c r="AK27" s="5" t="s">
        <v>140</v>
      </c>
      <c r="AL27" s="44" t="n">
        <f aca="false">AL26/1000</f>
        <v>10.0541946948</v>
      </c>
      <c r="AN27" s="5" t="s">
        <v>140</v>
      </c>
      <c r="AO27" s="44" t="n">
        <f aca="false">AO26/1000</f>
        <v>23.95908139806</v>
      </c>
      <c r="AQ27" s="5" t="s">
        <v>140</v>
      </c>
      <c r="AR27" s="44" t="n">
        <f aca="false">AR26/1000</f>
        <v>0.85970719904</v>
      </c>
    </row>
    <row r="28" customFormat="false" ht="23.85" hidden="false" customHeight="false" outlineLevel="0" collapsed="false">
      <c r="A28" s="20" t="s">
        <v>141</v>
      </c>
      <c r="AI28" s="21" t="n">
        <f aca="false">ROUND(AI25-Ведомость!P847,1)</f>
        <v>0</v>
      </c>
      <c r="AJ28" s="28" t="s">
        <v>37</v>
      </c>
    </row>
    <row r="30" customFormat="false" ht="15" hidden="false" customHeight="false" outlineLevel="0" collapsed="false">
      <c r="A30" s="4" t="s">
        <v>142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customFormat="false" ht="15" hidden="false" customHeight="false" outlineLevel="0" collapsed="false">
      <c r="A31" s="6" t="s">
        <v>143</v>
      </c>
      <c r="B31" s="38" t="n">
        <f aca="false">(0.6*0.6+2*0.7*0.4+1.7*0.4)*(4-0.12)</f>
        <v>6.208</v>
      </c>
      <c r="C31" s="38" t="n">
        <f aca="false">(0.6*0.6+0.7*0.4+1.7*0.4)*(4-0.12)</f>
        <v>5.1216</v>
      </c>
      <c r="D31" s="38" t="n">
        <f aca="false">3*0.6*0.6*(4-0.12)</f>
        <v>4.1904</v>
      </c>
      <c r="E31" s="38" t="n">
        <f aca="false">1*0.45*(0.6-0.12)*20.5</f>
        <v>4.428</v>
      </c>
      <c r="F31" s="38" t="n">
        <f aca="false">5*0.6*0.6*(4-0.12)</f>
        <v>6.984</v>
      </c>
      <c r="G31" s="38" t="n">
        <f aca="false">1*0.45*(0.6-0.12)*22.6</f>
        <v>4.8816</v>
      </c>
      <c r="H31" s="38" t="n">
        <f aca="false">5*0.6*0.6*(4-0.12)</f>
        <v>6.984</v>
      </c>
      <c r="I31" s="38" t="n">
        <f aca="false">1*0.45*(0.6-0.12)*22.6</f>
        <v>4.8816</v>
      </c>
      <c r="J31" s="38" t="n">
        <f aca="false">2*0.6*0.6*(4-0.12)</f>
        <v>2.7936</v>
      </c>
      <c r="K31" s="38" t="n">
        <f aca="false">(0.6*0.6+2*0.7*0.4+0.9*0.4)*(4-0.12)</f>
        <v>4.9664</v>
      </c>
      <c r="L31" s="38" t="n">
        <f aca="false">(0.6*0.6+0.9*0.4)*(4-0.12)</f>
        <v>2.7936</v>
      </c>
      <c r="M31" s="38" t="n">
        <f aca="false">(0.6*0.6+0.7*0.4+0.9*0.4)*(4-0.12)</f>
        <v>3.88</v>
      </c>
      <c r="N31" s="38" t="n">
        <f aca="false">1*0.45*(0.6-0.12)*19.8</f>
        <v>4.2768</v>
      </c>
      <c r="O31" s="38" t="n">
        <f aca="false">2*0.45*(0.6-0.12)*18.2</f>
        <v>7.8624</v>
      </c>
      <c r="P31" s="38" t="n">
        <f aca="false">1*0.45*(0.6-0.12)*15.8</f>
        <v>3.4128</v>
      </c>
      <c r="Q31" s="38" t="n">
        <f aca="false">1*0.45*(0.6-0.12)*18.2</f>
        <v>3.9312</v>
      </c>
      <c r="R31" s="38" t="n">
        <f aca="false">1*0.45*(0.6-0.12)*15.8</f>
        <v>3.4128</v>
      </c>
      <c r="S31" s="38" t="n">
        <f aca="false">137.85*0.3*(0.3-0.12)+6.05*0.3*(0.4-0.12)+11.71*0.2*(0.3-0.12)+35.75*0.25*(0.3-0.12)</f>
        <v>9.98241</v>
      </c>
      <c r="T31" s="38"/>
      <c r="U31" s="38"/>
      <c r="V31" s="38" t="n">
        <f aca="false">542.03*0.12</f>
        <v>65.0436</v>
      </c>
      <c r="W31" s="38"/>
      <c r="X31" s="38"/>
      <c r="Y31" s="38"/>
      <c r="Z31" s="38"/>
      <c r="AA31" s="38"/>
      <c r="AB31" s="38"/>
      <c r="AC31" s="38" t="n">
        <f aca="false">SQRT(3.6^2+1.92^2)*1.25*0.15+12*0.3*0.16/2*1.25</f>
        <v>1.125</v>
      </c>
      <c r="AD31" s="38" t="n">
        <f aca="false">SQRT(3.6^2+2.08^2)*1.25*0.15+13*0.3*0.16/2*1.25</f>
        <v>1.16956718761118</v>
      </c>
      <c r="AE31" s="38" t="n">
        <f aca="false">1.4*2.89*0.15</f>
        <v>0.6069</v>
      </c>
      <c r="AF31" s="38" t="n">
        <f aca="false">0.3*0.3*(1.82-0.3+0.55)+0.3*0.3*2.255</f>
        <v>0.38925</v>
      </c>
      <c r="AG31" s="45" t="n">
        <f aca="false">SUM(B31:AF31)</f>
        <v>159.325527187611</v>
      </c>
      <c r="AH31" s="20"/>
      <c r="AI31" s="45" t="n">
        <f aca="false">AG31*$AK$2</f>
        <v>159.325527187611</v>
      </c>
      <c r="AJ31" s="46" t="n">
        <f aca="false">SUM(B31:D31,F31,H31,J31:M31)</f>
        <v>43.9216</v>
      </c>
      <c r="AK31" s="6"/>
      <c r="AL31" s="24" t="n">
        <f aca="false">AJ31*$AK$2</f>
        <v>43.9216</v>
      </c>
      <c r="AM31" s="46" t="n">
        <f aca="false">SUM(E31,G31,I31,N31:AB31)</f>
        <v>112.11321</v>
      </c>
      <c r="AN31" s="6"/>
      <c r="AO31" s="24" t="n">
        <f aca="false">AM31*$AK$2</f>
        <v>112.11321</v>
      </c>
      <c r="AP31" s="46" t="n">
        <f aca="false">SUM(AC31:AF31)</f>
        <v>3.29071718761118</v>
      </c>
      <c r="AQ31" s="6"/>
      <c r="AR31" s="24" t="n">
        <f aca="false">AP31*$AK$2</f>
        <v>3.29071718761118</v>
      </c>
    </row>
    <row r="32" customFormat="false" ht="15" hidden="false" customHeight="false" outlineLevel="0" collapsed="false">
      <c r="A32" s="20" t="s">
        <v>144</v>
      </c>
      <c r="AI32" s="47" t="n">
        <f aca="false">IF(AG31&gt;0,AI25/AG31,0)</f>
        <v>204.559644303717</v>
      </c>
      <c r="AL32" s="48" t="n">
        <f aca="false">IF(AJ31&gt;0,AL25/AJ31,0)</f>
        <v>213.936733634476</v>
      </c>
      <c r="AO32" s="48" t="n">
        <f aca="false">IF(AM31&gt;0,AO25/AM31,0)</f>
        <v>199.72369766239</v>
      </c>
      <c r="AR32" s="48" t="n">
        <f aca="false">IF(AP31&gt;0,AR25/AP31,0)</f>
        <v>244.16096133234</v>
      </c>
    </row>
    <row r="34" customFormat="false" ht="15" hidden="false" customHeight="false" outlineLevel="0" collapsed="false">
      <c r="A34" s="4" t="s">
        <v>145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customFormat="false" ht="15" hidden="false" customHeight="false" outlineLevel="0" collapsed="false">
      <c r="A35" s="6" t="s">
        <v>146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50" t="n">
        <f aca="false">SUM(B35:AF35)</f>
        <v>0</v>
      </c>
      <c r="AJ35" s="51" t="n">
        <f aca="false">SUM(B35:D35,F35,H35,J35:M35)</f>
        <v>0</v>
      </c>
      <c r="AM35" s="51" t="n">
        <f aca="false">SUM(E35,G35,I35,N35:AB35)</f>
        <v>0</v>
      </c>
      <c r="AP35" s="51" t="n">
        <f aca="false">SUM(AC35:AF35)</f>
        <v>0</v>
      </c>
    </row>
    <row r="36" customFormat="false" ht="15" hidden="false" customHeight="false" outlineLevel="0" collapsed="false">
      <c r="A36" s="6" t="s">
        <v>147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50" t="n">
        <f aca="false">SUM(B36:AF36)</f>
        <v>0</v>
      </c>
      <c r="AJ36" s="51" t="n">
        <f aca="false">SUM(B36:D36,F36,H36,J36:M36)</f>
        <v>0</v>
      </c>
      <c r="AM36" s="51" t="n">
        <f aca="false">SUM(E36,G36,I36,N36:AB36)</f>
        <v>0</v>
      </c>
      <c r="AP36" s="51" t="n">
        <f aca="false">SUM(AC36:AF36)</f>
        <v>0</v>
      </c>
    </row>
    <row r="37" customFormat="false" ht="15" hidden="false" customHeight="false" outlineLevel="0" collapsed="false">
      <c r="A37" s="6" t="s">
        <v>148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50" t="n">
        <f aca="false">SUM(B37:AF37)</f>
        <v>0</v>
      </c>
      <c r="AJ37" s="51" t="n">
        <f aca="false">SUM(B37:D37,F37,H37,J37:M37)</f>
        <v>0</v>
      </c>
      <c r="AM37" s="51" t="n">
        <f aca="false">SUM(E37,G37,I37,N37:AB37)</f>
        <v>0</v>
      </c>
      <c r="AP37" s="51" t="n">
        <f aca="false">SUM(AC37:AF37)</f>
        <v>0</v>
      </c>
    </row>
    <row r="38" customFormat="false" ht="15" hidden="false" customHeight="false" outlineLevel="0" collapsed="false">
      <c r="A38" s="6" t="s">
        <v>149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50" t="n">
        <f aca="false">SUM(B38:AF38)</f>
        <v>0</v>
      </c>
      <c r="AJ38" s="51" t="n">
        <f aca="false">SUM(B38:D38,F38,H38,J38:M38)</f>
        <v>0</v>
      </c>
      <c r="AM38" s="51" t="n">
        <f aca="false">SUM(E38,G38,I38,N38:AB38)</f>
        <v>0</v>
      </c>
      <c r="AP38" s="51" t="n">
        <f aca="false">SUM(AC38:AF38)</f>
        <v>0</v>
      </c>
    </row>
    <row r="39" customFormat="false" ht="15" hidden="false" customHeight="false" outlineLevel="0" collapsed="false">
      <c r="A39" s="6" t="s">
        <v>150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 t="n">
        <v>2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50" t="n">
        <f aca="false">SUM(B39:AF39)</f>
        <v>2</v>
      </c>
      <c r="AJ39" s="51" t="n">
        <f aca="false">SUM(B39:D39,F39,H39,J39:M39)</f>
        <v>0</v>
      </c>
      <c r="AM39" s="51" t="n">
        <f aca="false">SUM(E39,G39,I39,N39:AB39)</f>
        <v>2</v>
      </c>
      <c r="AP39" s="51" t="n">
        <f aca="false">SUM(AC39:AF39)</f>
        <v>0</v>
      </c>
    </row>
    <row r="40" customFormat="false" ht="15" hidden="false" customHeight="false" outlineLevel="0" collapsed="false">
      <c r="A40" s="6" t="s">
        <v>151</v>
      </c>
      <c r="B40" s="49"/>
      <c r="C40" s="49"/>
      <c r="D40" s="49"/>
      <c r="E40" s="49" t="n">
        <v>4</v>
      </c>
      <c r="F40" s="49"/>
      <c r="G40" s="49" t="n">
        <v>4</v>
      </c>
      <c r="H40" s="49"/>
      <c r="I40" s="49" t="n">
        <v>2</v>
      </c>
      <c r="J40" s="49"/>
      <c r="K40" s="49"/>
      <c r="L40" s="49"/>
      <c r="M40" s="49"/>
      <c r="N40" s="49" t="n">
        <v>2</v>
      </c>
      <c r="O40" s="49" t="n">
        <v>4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 t="n">
        <v>18</v>
      </c>
      <c r="AD40" s="49"/>
      <c r="AE40" s="49"/>
      <c r="AF40" s="49" t="n">
        <v>16</v>
      </c>
      <c r="AG40" s="50" t="n">
        <f aca="false">SUM(B40:AF40)</f>
        <v>50</v>
      </c>
      <c r="AJ40" s="51" t="n">
        <f aca="false">SUM(B40:D40,F40,H40,J40:M40)</f>
        <v>0</v>
      </c>
      <c r="AM40" s="51" t="n">
        <f aca="false">SUM(E40,G40,I40,N40:AB40)</f>
        <v>16</v>
      </c>
      <c r="AP40" s="51" t="n">
        <f aca="false">SUM(AC40:AF40)</f>
        <v>34</v>
      </c>
    </row>
    <row r="41" customFormat="false" ht="15" hidden="false" customHeight="false" outlineLevel="0" collapsed="false">
      <c r="A41" s="6" t="s">
        <v>152</v>
      </c>
      <c r="B41" s="49"/>
      <c r="C41" s="49"/>
      <c r="D41" s="49"/>
      <c r="E41" s="49" t="n">
        <v>12</v>
      </c>
      <c r="F41" s="49"/>
      <c r="G41" s="49" t="n">
        <v>8</v>
      </c>
      <c r="H41" s="49"/>
      <c r="I41" s="49" t="n">
        <v>10</v>
      </c>
      <c r="J41" s="49"/>
      <c r="K41" s="49"/>
      <c r="L41" s="49"/>
      <c r="M41" s="49"/>
      <c r="N41" s="49" t="n">
        <v>10</v>
      </c>
      <c r="O41" s="49" t="n">
        <v>20</v>
      </c>
      <c r="P41" s="49" t="n">
        <v>8</v>
      </c>
      <c r="Q41" s="49" t="n">
        <v>10</v>
      </c>
      <c r="R41" s="49" t="n">
        <v>8</v>
      </c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50" t="n">
        <f aca="false">SUM(B41:AF41)</f>
        <v>86</v>
      </c>
      <c r="AJ41" s="51" t="n">
        <f aca="false">SUM(B41:D41,F41,H41,J41:M41)</f>
        <v>0</v>
      </c>
      <c r="AM41" s="51" t="n">
        <f aca="false">SUM(E41,G41,I41,N41:AB41)</f>
        <v>86</v>
      </c>
      <c r="AP41" s="51" t="n">
        <f aca="false">SUM(AC41:AF41)</f>
        <v>0</v>
      </c>
    </row>
    <row r="42" customFormat="false" ht="15" hidden="false" customHeight="false" outlineLevel="0" collapsed="false">
      <c r="A42" s="6" t="s">
        <v>153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n">
        <v>2</v>
      </c>
      <c r="Q42" s="49" t="n">
        <v>2</v>
      </c>
      <c r="R42" s="49" t="n">
        <v>2</v>
      </c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0" t="n">
        <f aca="false">SUM(B42:AF42)</f>
        <v>6</v>
      </c>
      <c r="AJ42" s="51" t="n">
        <f aca="false">SUM(B42:D42,F42,H42,J42:M42)</f>
        <v>0</v>
      </c>
      <c r="AM42" s="51" t="n">
        <f aca="false">SUM(E42,G42,I42,N42:AB42)</f>
        <v>6</v>
      </c>
      <c r="AP42" s="51" t="n">
        <f aca="false">SUM(AC42:AF42)</f>
        <v>0</v>
      </c>
    </row>
    <row r="43" customFormat="false" ht="15" hidden="false" customHeight="false" outlineLevel="0" collapsed="false">
      <c r="A43" s="6" t="s">
        <v>154</v>
      </c>
      <c r="B43" s="49" t="n">
        <v>4</v>
      </c>
      <c r="C43" s="49" t="n">
        <v>4</v>
      </c>
      <c r="D43" s="49" t="n">
        <v>12</v>
      </c>
      <c r="E43" s="49"/>
      <c r="F43" s="49" t="n">
        <v>20</v>
      </c>
      <c r="G43" s="49"/>
      <c r="H43" s="49" t="n">
        <v>20</v>
      </c>
      <c r="I43" s="49"/>
      <c r="J43" s="49" t="n">
        <v>8</v>
      </c>
      <c r="K43" s="49" t="n">
        <v>4</v>
      </c>
      <c r="L43" s="49" t="n">
        <v>4</v>
      </c>
      <c r="M43" s="49" t="n">
        <v>4</v>
      </c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0" t="n">
        <f aca="false">SUM(B43:AF43)</f>
        <v>80</v>
      </c>
      <c r="AJ43" s="51" t="n">
        <f aca="false">SUM(B43:D43,F43,H43,J43:M43)</f>
        <v>80</v>
      </c>
      <c r="AM43" s="51" t="n">
        <f aca="false">SUM(E43,G43,I43,N43:AB43)</f>
        <v>0</v>
      </c>
      <c r="AP43" s="51" t="n">
        <f aca="false">SUM(AC43:AF43)</f>
        <v>0</v>
      </c>
    </row>
    <row r="44" customFormat="false" ht="15" hidden="false" customHeight="false" outlineLevel="0" collapsed="false">
      <c r="A44" s="6" t="s">
        <v>155</v>
      </c>
      <c r="B44" s="49" t="n">
        <v>32</v>
      </c>
      <c r="C44" s="49" t="n">
        <v>22</v>
      </c>
      <c r="D44" s="49"/>
      <c r="E44" s="49" t="n">
        <v>8</v>
      </c>
      <c r="F44" s="49"/>
      <c r="G44" s="49" t="n">
        <v>8</v>
      </c>
      <c r="H44" s="49"/>
      <c r="I44" s="49" t="n">
        <v>8</v>
      </c>
      <c r="J44" s="49"/>
      <c r="K44" s="49" t="n">
        <v>22</v>
      </c>
      <c r="L44" s="49" t="n">
        <v>14</v>
      </c>
      <c r="M44" s="49" t="n">
        <v>14</v>
      </c>
      <c r="N44" s="49" t="n">
        <v>8</v>
      </c>
      <c r="O44" s="49" t="n">
        <v>8</v>
      </c>
      <c r="P44" s="49" t="n">
        <v>4</v>
      </c>
      <c r="Q44" s="49" t="n">
        <v>4</v>
      </c>
      <c r="R44" s="49" t="n">
        <v>4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0" t="n">
        <f aca="false">SUM(B44:AF44)</f>
        <v>156</v>
      </c>
      <c r="AJ44" s="51" t="n">
        <f aca="false">SUM(B44:D44,F44,H44,J44:M44)</f>
        <v>104</v>
      </c>
      <c r="AM44" s="51" t="n">
        <f aca="false">SUM(E44,G44,I44,N44:AB44)</f>
        <v>52</v>
      </c>
      <c r="AP44" s="51" t="n">
        <f aca="false">SUM(AC44:AF44)</f>
        <v>0</v>
      </c>
    </row>
    <row r="45" customFormat="false" ht="15" hidden="false" customHeight="false" outlineLevel="0" collapsed="false">
      <c r="A45" s="6" t="s">
        <v>156</v>
      </c>
      <c r="B45" s="49" t="n">
        <v>8</v>
      </c>
      <c r="C45" s="49" t="n">
        <v>8</v>
      </c>
      <c r="D45" s="49"/>
      <c r="E45" s="49"/>
      <c r="F45" s="49"/>
      <c r="G45" s="49"/>
      <c r="H45" s="49"/>
      <c r="I45" s="49"/>
      <c r="J45" s="49"/>
      <c r="K45" s="49" t="n">
        <v>10</v>
      </c>
      <c r="L45" s="49"/>
      <c r="M45" s="49" t="n">
        <v>10</v>
      </c>
      <c r="N45" s="49"/>
      <c r="O45" s="49"/>
      <c r="P45" s="49"/>
      <c r="Q45" s="49"/>
      <c r="R45" s="49"/>
      <c r="S45" s="49" t="n">
        <v>40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0" t="n">
        <f aca="false">SUM(B45:AF45)</f>
        <v>76</v>
      </c>
      <c r="AJ45" s="51" t="n">
        <f aca="false">SUM(B45:D45,F45,H45,J45:M45)</f>
        <v>36</v>
      </c>
      <c r="AM45" s="51" t="n">
        <f aca="false">SUM(E45,G45,I45,N45:AB45)</f>
        <v>40</v>
      </c>
      <c r="AP45" s="51" t="n">
        <f aca="false">SUM(AC45:AF45)</f>
        <v>0</v>
      </c>
    </row>
    <row r="46" customFormat="false" ht="15" hidden="false" customHeight="false" outlineLevel="0" collapsed="false">
      <c r="A46" s="6" t="s">
        <v>157</v>
      </c>
      <c r="B46" s="49"/>
      <c r="C46" s="49" t="n">
        <v>16</v>
      </c>
      <c r="D46" s="49"/>
      <c r="E46" s="49"/>
      <c r="F46" s="49"/>
      <c r="G46" s="49"/>
      <c r="H46" s="49"/>
      <c r="I46" s="49"/>
      <c r="J46" s="49"/>
      <c r="K46" s="49" t="n">
        <v>14</v>
      </c>
      <c r="L46" s="49"/>
      <c r="M46" s="49" t="n">
        <v>6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0" t="n">
        <f aca="false">SUM(B46:AF46)</f>
        <v>36</v>
      </c>
      <c r="AJ46" s="51" t="n">
        <f aca="false">SUM(B46:D46,F46,H46,J46:M46)</f>
        <v>36</v>
      </c>
      <c r="AM46" s="51" t="n">
        <f aca="false">SUM(E46,G46,I46,N46:AB46)</f>
        <v>0</v>
      </c>
      <c r="AP46" s="51" t="n">
        <f aca="false">SUM(AC46:AF46)</f>
        <v>0</v>
      </c>
    </row>
    <row r="47" customFormat="false" ht="15" hidden="false" customHeight="false" outlineLevel="0" collapsed="false">
      <c r="A47" s="6" t="s">
        <v>158</v>
      </c>
      <c r="B47" s="49" t="n">
        <v>16</v>
      </c>
      <c r="C47" s="49" t="n">
        <v>4</v>
      </c>
      <c r="D47" s="49" t="n">
        <v>24</v>
      </c>
      <c r="E47" s="49"/>
      <c r="F47" s="49" t="n">
        <v>40</v>
      </c>
      <c r="G47" s="49"/>
      <c r="H47" s="49" t="n">
        <v>40</v>
      </c>
      <c r="I47" s="49"/>
      <c r="J47" s="49" t="n">
        <v>16</v>
      </c>
      <c r="K47" s="49" t="n">
        <v>8</v>
      </c>
      <c r="L47" s="49" t="n">
        <v>10</v>
      </c>
      <c r="M47" s="49" t="n">
        <v>8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50" t="n">
        <f aca="false">SUM(B47:AF47)</f>
        <v>166</v>
      </c>
      <c r="AJ47" s="51" t="n">
        <f aca="false">SUM(B47:D47,F47,H47,J47:M47)</f>
        <v>166</v>
      </c>
      <c r="AM47" s="51" t="n">
        <f aca="false">SUM(E47,G47,I47,N47:AB47)</f>
        <v>0</v>
      </c>
      <c r="AP47" s="51" t="n">
        <f aca="false">SUM(AC47:AF47)</f>
        <v>0</v>
      </c>
    </row>
    <row r="50" customFormat="false" ht="30" hidden="false" customHeight="true" outlineLevel="0" collapsed="false">
      <c r="A50" s="31" t="s">
        <v>159</v>
      </c>
      <c r="B50" s="31" t="s">
        <v>68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 t="s">
        <v>69</v>
      </c>
      <c r="T50" s="31"/>
      <c r="U50" s="31"/>
      <c r="V50" s="31" t="s">
        <v>70</v>
      </c>
      <c r="W50" s="31"/>
      <c r="X50" s="31"/>
      <c r="Y50" s="31"/>
      <c r="Z50" s="31"/>
      <c r="AA50" s="31"/>
      <c r="AB50" s="31" t="s">
        <v>71</v>
      </c>
      <c r="AC50" s="31" t="s">
        <v>72</v>
      </c>
      <c r="AD50" s="31"/>
      <c r="AE50" s="31"/>
      <c r="AF50" s="31"/>
      <c r="AG50" s="31"/>
      <c r="AH50" s="31"/>
      <c r="AI50" s="31"/>
      <c r="AJ50" s="31" t="s">
        <v>9</v>
      </c>
      <c r="AK50" s="31"/>
      <c r="AL50" s="31"/>
      <c r="AM50" s="31" t="s">
        <v>73</v>
      </c>
      <c r="AN50" s="31"/>
      <c r="AO50" s="31"/>
      <c r="AP50" s="31" t="s">
        <v>74</v>
      </c>
      <c r="AQ50" s="31"/>
      <c r="AR50" s="31"/>
    </row>
    <row r="51" customFormat="false" ht="30" hidden="false" customHeight="true" outlineLevel="0" collapsed="false">
      <c r="A51" s="5" t="s">
        <v>160</v>
      </c>
      <c r="B51" s="5" t="s">
        <v>76</v>
      </c>
      <c r="C51" s="5" t="s">
        <v>76</v>
      </c>
      <c r="D51" s="5" t="s">
        <v>76</v>
      </c>
      <c r="E51" s="5" t="s">
        <v>76</v>
      </c>
      <c r="F51" s="5" t="s">
        <v>77</v>
      </c>
      <c r="G51" s="5" t="s">
        <v>77</v>
      </c>
      <c r="H51" s="5" t="s">
        <v>78</v>
      </c>
      <c r="I51" s="5" t="s">
        <v>78</v>
      </c>
      <c r="J51" s="5" t="s">
        <v>79</v>
      </c>
      <c r="K51" s="5" t="s">
        <v>79</v>
      </c>
      <c r="L51" s="5" t="s">
        <v>79</v>
      </c>
      <c r="M51" s="5" t="s">
        <v>79</v>
      </c>
      <c r="N51" s="5" t="s">
        <v>79</v>
      </c>
      <c r="O51" s="5" t="s">
        <v>80</v>
      </c>
      <c r="P51" s="5" t="s">
        <v>81</v>
      </c>
      <c r="Q51" s="5" t="s">
        <v>82</v>
      </c>
      <c r="R51" s="5" t="s">
        <v>83</v>
      </c>
      <c r="S51" s="5" t="s">
        <v>84</v>
      </c>
      <c r="T51" s="5" t="s">
        <v>85</v>
      </c>
      <c r="U51" s="5" t="s">
        <v>86</v>
      </c>
      <c r="V51" s="5" t="s">
        <v>84</v>
      </c>
      <c r="W51" s="5" t="s">
        <v>85</v>
      </c>
      <c r="X51" s="5" t="s">
        <v>87</v>
      </c>
      <c r="Y51" s="5" t="s">
        <v>86</v>
      </c>
      <c r="Z51" s="5"/>
      <c r="AA51" s="5" t="s">
        <v>88</v>
      </c>
      <c r="AB51" s="5" t="s">
        <v>89</v>
      </c>
      <c r="AC51" s="5" t="s">
        <v>90</v>
      </c>
      <c r="AD51" s="5" t="s">
        <v>91</v>
      </c>
      <c r="AE51" s="5" t="s">
        <v>92</v>
      </c>
      <c r="AF51" s="5" t="s">
        <v>93</v>
      </c>
      <c r="AG51" s="5" t="s">
        <v>33</v>
      </c>
      <c r="AH51" s="5" t="s">
        <v>94</v>
      </c>
      <c r="AI51" s="5" t="s">
        <v>95</v>
      </c>
      <c r="AJ51" s="5" t="s">
        <v>33</v>
      </c>
      <c r="AK51" s="5" t="s">
        <v>94</v>
      </c>
      <c r="AL51" s="5" t="s">
        <v>95</v>
      </c>
      <c r="AM51" s="5" t="s">
        <v>33</v>
      </c>
      <c r="AN51" s="5" t="s">
        <v>94</v>
      </c>
      <c r="AO51" s="5" t="s">
        <v>95</v>
      </c>
      <c r="AP51" s="5" t="s">
        <v>33</v>
      </c>
      <c r="AQ51" s="5" t="s">
        <v>94</v>
      </c>
      <c r="AR51" s="5" t="s">
        <v>95</v>
      </c>
    </row>
    <row r="52" customFormat="false" ht="30" hidden="false" customHeight="true" outlineLevel="0" collapsed="false">
      <c r="A52" s="5" t="s">
        <v>161</v>
      </c>
      <c r="B52" s="5" t="s">
        <v>97</v>
      </c>
      <c r="C52" s="5" t="s">
        <v>98</v>
      </c>
      <c r="D52" s="5" t="s">
        <v>162</v>
      </c>
      <c r="E52" s="5" t="s">
        <v>100</v>
      </c>
      <c r="F52" s="5" t="s">
        <v>163</v>
      </c>
      <c r="G52" s="5" t="s">
        <v>100</v>
      </c>
      <c r="H52" s="5" t="s">
        <v>163</v>
      </c>
      <c r="I52" s="5" t="s">
        <v>100</v>
      </c>
      <c r="J52" s="5" t="s">
        <v>164</v>
      </c>
      <c r="K52" s="5" t="s">
        <v>103</v>
      </c>
      <c r="L52" s="5" t="s">
        <v>104</v>
      </c>
      <c r="M52" s="5" t="s">
        <v>105</v>
      </c>
      <c r="N52" s="5" t="s">
        <v>100</v>
      </c>
      <c r="O52" s="5" t="s">
        <v>106</v>
      </c>
      <c r="P52" s="5" t="s">
        <v>107</v>
      </c>
      <c r="Q52" s="5" t="s">
        <v>107</v>
      </c>
      <c r="R52" s="5" t="s">
        <v>107</v>
      </c>
      <c r="S52" s="5"/>
      <c r="T52" s="5"/>
      <c r="U52" s="5" t="s">
        <v>108</v>
      </c>
      <c r="V52" s="5"/>
      <c r="W52" s="5" t="s">
        <v>109</v>
      </c>
      <c r="X52" s="5"/>
      <c r="Y52" s="5" t="s">
        <v>110</v>
      </c>
      <c r="Z52" s="5" t="s">
        <v>111</v>
      </c>
      <c r="AA52" s="5" t="s">
        <v>112</v>
      </c>
      <c r="AB52" s="5" t="s">
        <v>113</v>
      </c>
      <c r="AC52" s="5" t="s">
        <v>165</v>
      </c>
      <c r="AD52" s="5" t="s">
        <v>166</v>
      </c>
      <c r="AE52" s="5" t="s">
        <v>167</v>
      </c>
      <c r="AF52" s="5" t="s">
        <v>168</v>
      </c>
      <c r="AG52" s="5" t="s">
        <v>118</v>
      </c>
      <c r="AH52" s="5"/>
      <c r="AI52" s="5" t="s">
        <v>16</v>
      </c>
      <c r="AJ52" s="5" t="s">
        <v>118</v>
      </c>
      <c r="AK52" s="5"/>
      <c r="AL52" s="5" t="s">
        <v>16</v>
      </c>
      <c r="AM52" s="5" t="s">
        <v>118</v>
      </c>
      <c r="AN52" s="5"/>
      <c r="AO52" s="5" t="s">
        <v>16</v>
      </c>
      <c r="AP52" s="5" t="s">
        <v>118</v>
      </c>
      <c r="AQ52" s="5"/>
      <c r="AR52" s="5" t="s">
        <v>16</v>
      </c>
    </row>
    <row r="53" customFormat="false" ht="15" hidden="false" customHeight="false" outlineLevel="0" collapsed="false">
      <c r="A53" s="4" t="s">
        <v>119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customFormat="false" ht="15" hidden="false" customHeight="false" outlineLevel="0" collapsed="false">
      <c r="A54" s="6" t="s">
        <v>120</v>
      </c>
      <c r="B54" s="32" t="n">
        <f aca="false">SUMIFS(Ведомость!$N$5:$N$846,Ведомость!$H$5:$H$846,32,Ведомость!$I$5:$I$846,"А500С",Ведомость!$V$5:$V$846,"Дм-1",Ведомость!$W$5:$W$846,2)</f>
        <v>0</v>
      </c>
      <c r="C54" s="32" t="n">
        <f aca="false">SUMIFS(Ведомость!$N$5:$N$846,Ведомость!$H$5:$H$846,32,Ведомость!$I$5:$I$846,"А500С",Ведомость!$V$5:$V$846,"Дм-2",Ведомость!$W$5:$W$846,2)</f>
        <v>0</v>
      </c>
      <c r="D54" s="32" t="n">
        <f aca="false">SUMIFS(Ведомость!$N$5:$N$846,Ведомость!$H$5:$H$846,32,Ведомость!$I$5:$I$846,"А500С",Ведомость!$V$5:$V$846,"К-А",Ведомость!$W$5:$W$846,2)</f>
        <v>0</v>
      </c>
      <c r="E54" s="32" t="n">
        <f aca="false">SUMIFS(Ведомость!$N$5:$N$846,Ведомость!$H$5:$H$846,32,Ведомость!$I$5:$I$846,"А500С",Ведомость!$V$5:$V$846,"Р-А",Ведомость!$W$5:$W$846,2)</f>
        <v>22.3</v>
      </c>
      <c r="F54" s="32" t="n">
        <f aca="false">SUMIFS(Ведомость!$N$5:$N$846,Ведомость!$H$5:$H$846,32,Ведомость!$I$5:$I$846,"А500С",Ведомость!$V$5:$V$846,"К-Б",Ведомость!$W$5:$W$846,2)</f>
        <v>0</v>
      </c>
      <c r="G54" s="32" t="n">
        <f aca="false">SUMIFS(Ведомость!$N$5:$N$846,Ведомость!$H$5:$H$846,32,Ведомость!$I$5:$I$846,"А500С",Ведомость!$V$5:$V$846,"Р-Б",Ведомость!$W$5:$W$846,2)</f>
        <v>0</v>
      </c>
      <c r="H54" s="32" t="n">
        <f aca="false">SUMIFS(Ведомость!$N$5:$N$846,Ведомость!$H$5:$H$846,32,Ведомость!$I$5:$I$846,"А500С",Ведомость!$V$5:$V$846,"К-В",Ведомость!$W$5:$W$846,2)</f>
        <v>0</v>
      </c>
      <c r="I54" s="32" t="n">
        <f aca="false">SUMIFS(Ведомость!$N$5:$N$846,Ведомость!$H$5:$H$846,32,Ведомость!$I$5:$I$846,"А500С",Ведомость!$V$5:$V$846,"Р-В",Ведомость!$W$5:$W$846,2)</f>
        <v>14.6</v>
      </c>
      <c r="J54" s="32" t="n">
        <f aca="false">SUMIFS(Ведомость!$N$5:$N$846,Ведомость!$H$5:$H$846,32,Ведомость!$I$5:$I$846,"А500С",Ведомость!$V$5:$V$846,"К-Г",Ведомость!$W$5:$W$846,2)</f>
        <v>0</v>
      </c>
      <c r="K54" s="32" t="n">
        <f aca="false">SUMIFS(Ведомость!$N$5:$N$846,Ведомость!$H$5:$H$846,32,Ведомость!$I$5:$I$846,"А500С",Ведомость!$V$5:$V$846,"Дм-3",Ведомость!$W$5:$W$846,2)</f>
        <v>0</v>
      </c>
      <c r="L54" s="32" t="n">
        <f aca="false">SUMIFS(Ведомость!$N$5:$N$846,Ведомость!$H$5:$H$846,32,Ведомость!$I$5:$I$846,"А500С",Ведомость!$V$5:$V$846,"Дм-4",Ведомость!$W$5:$W$846,2)</f>
        <v>0</v>
      </c>
      <c r="M54" s="32" t="n">
        <f aca="false">SUMIFS(Ведомость!$N$5:$N$846,Ведомость!$H$5:$H$846,32,Ведомость!$I$5:$I$846,"А500С",Ведомость!$V$5:$V$846,"Дм-5",Ведомость!$W$5:$W$846,2)</f>
        <v>0</v>
      </c>
      <c r="N54" s="32" t="n">
        <f aca="false">SUMIFS(Ведомость!$N$5:$N$846,Ведомость!$H$5:$H$846,32,Ведомость!$I$5:$I$846,"А500С",Ведомость!$V$5:$V$846,"Р-Г",Ведомость!$W$5:$W$846,2)</f>
        <v>0</v>
      </c>
      <c r="O54" s="32" t="n">
        <f aca="false">SUMIFS(Ведомость!$N$5:$N$846,Ведомость!$H$5:$H$846,32,Ведомость!$I$5:$I$846,"А500С",Ведомость!$V$5:$V$846,"Р-1, 5",Ведомость!$W$5:$W$846,2)</f>
        <v>23.4</v>
      </c>
      <c r="P54" s="32" t="n">
        <f aca="false">SUMIFS(Ведомость!$N$5:$N$846,Ведомость!$H$5:$H$846,32,Ведомость!$I$5:$I$846,"А500С",Ведомость!$V$5:$V$846,"Р-2",Ведомость!$W$5:$W$846,2)</f>
        <v>27.9</v>
      </c>
      <c r="Q54" s="32" t="n">
        <f aca="false">SUMIFS(Ведомость!$N$5:$N$846,Ведомость!$H$5:$H$846,32,Ведомость!$I$5:$I$846,"А500С",Ведомость!$V$5:$V$846,"Р-3",Ведомость!$W$5:$W$846,2)</f>
        <v>4.1</v>
      </c>
      <c r="R54" s="32" t="n">
        <f aca="false">SUMIFS(Ведомость!$N$5:$N$846,Ведомость!$H$5:$H$846,32,Ведомость!$I$5:$I$846,"А500С",Ведомость!$V$5:$V$846,"Р-4",Ведомость!$W$5:$W$846,2)</f>
        <v>19.7</v>
      </c>
      <c r="S54" s="32" t="n">
        <f aca="false">SUMIFS(Ведомость!$N$5:$N$846,Ведомость!$H$5:$H$846,32,Ведомость!$I$5:$I$846,"А500С",Ведомость!$V$5:$V$846,"Б-основная",Ведомость!$W$5:$W$846,2)</f>
        <v>0</v>
      </c>
      <c r="T54" s="32" t="n">
        <f aca="false">SUMIFS(Ведомость!$N$5:$N$846,Ведомость!$H$5:$H$846,32,Ведомость!$I$5:$I$846,"А500С",Ведомость!$V$5:$V$846,"Б-хомуты",Ведомость!$W$5:$W$846,2)</f>
        <v>0</v>
      </c>
      <c r="U54" s="32" t="n">
        <f aca="false">SUMIFS(Ведомость!$N$5:$N$846,Ведомость!$H$5:$H$846,32,Ведомость!$I$5:$I$846,"А500С",Ведомость!$V$5:$V$846,"Б-допник",Ведомость!$W$5:$W$846,2)</f>
        <v>0</v>
      </c>
      <c r="V54" s="32" t="n">
        <f aca="false">SUMIFS(Ведомость!$N$5:$N$846,Ведомость!$H$5:$H$846,32,Ведомость!$I$5:$I$846,"А500С",Ведомость!$V$5:$V$846,"П-сетка",Ведомость!$W$5:$W$846,2)</f>
        <v>0</v>
      </c>
      <c r="W54" s="32" t="n">
        <f aca="false">SUMIFS(Ведомость!$N$5:$N$846,Ведомость!$H$5:$H$846,32,Ведомость!$I$5:$I$846,"А500С",Ведомость!$V$5:$V$846,"П-фикс",Ведомость!$W$5:$W$846,2)</f>
        <v>0</v>
      </c>
      <c r="X54" s="32" t="n">
        <f aca="false">SUMIFS(Ведомость!$N$5:$N$846,Ведомость!$H$5:$H$846,32,Ведомость!$I$5:$I$846,"А500С",Ведомость!$V$5:$V$846,"П-отв",Ведомость!$W$5:$W$846,2)</f>
        <v>0</v>
      </c>
      <c r="Y54" s="32" t="n">
        <f aca="false">SUMIFS(Ведомость!$N$5:$N$846,Ведомость!$H$5:$H$846,32,Ведомость!$I$5:$I$846,"А500С",Ведомость!$V$5:$V$846,"П-доп-низ",Ведомость!$W$5:$W$846,2)</f>
        <v>0</v>
      </c>
      <c r="Z54" s="32" t="n">
        <f aca="false">SUMIFS(Ведомость!$N$5:$N$846,Ведомость!$H$5:$H$846,32,Ведомость!$I$5:$I$846,"А500С",Ведомость!$V$5:$V$846,"П-доп-верх",Ведомость!$W$5:$W$846,2)</f>
        <v>0</v>
      </c>
      <c r="AA54" s="32" t="n">
        <f aca="false">SUMIFS(Ведомость!$N$5:$N$846,Ведомость!$H$5:$H$846,32,Ведомость!$I$5:$I$846,"А500С",Ведомость!$V$5:$V$846,"П-край",Ведомость!$W$5:$W$846,2)</f>
        <v>0</v>
      </c>
      <c r="AB54" s="32" t="n">
        <f aca="false">SUMIFS(Ведомость!$N$5:$N$846,Ведомость!$H$5:$H$846,32,Ведомость!$I$5:$I$846,"А500С",Ведомость!$V$5:$V$846,"С-1",Ведомость!$W$5:$W$846,2)</f>
        <v>0</v>
      </c>
      <c r="AC54" s="32" t="n">
        <f aca="false">SUMIFS(Ведомость!$N$5:$N$846,Ведомость!$H$5:$H$846,32,Ведомость!$I$5:$I$846,"А500С",Ведомость!$V$5:$V$846,"Л1",Ведомость!$W$5:$W$846,2)</f>
        <v>0</v>
      </c>
      <c r="AD54" s="32" t="n">
        <f aca="false">SUMIFS(Ведомость!$N$5:$N$846,Ведомость!$H$5:$H$846,32,Ведомость!$I$5:$I$846,"А500С",Ведомость!$V$5:$V$846,"Л2",Ведомость!$W$5:$W$846,2)</f>
        <v>0</v>
      </c>
      <c r="AE54" s="32" t="n">
        <f aca="false">SUMIFS(Ведомость!$N$5:$N$846,Ведомость!$H$5:$H$846,32,Ведомость!$I$5:$I$846,"А500С",Ведомость!$V$5:$V$846,"Л-пл",Ведомость!$W$5:$W$846,2)</f>
        <v>0</v>
      </c>
      <c r="AF54" s="32" t="n">
        <f aca="false">SUMIFS(Ведомость!$N$5:$N$846,Ведомость!$H$5:$H$846,32,Ведомость!$I$5:$I$846,"А500С",Ведомость!$V$5:$V$846,"Л-рама",Ведомость!$W$5:$W$846,2)</f>
        <v>0</v>
      </c>
      <c r="AG54" s="33" t="n">
        <f aca="false">SUM(B54:AF54)</f>
        <v>112</v>
      </c>
      <c r="AH54" s="34" t="n">
        <f aca="false">IFERROR(INDEX(Исходные!$B$18:$B$30,MATCH(32,Исходные!$A$18:$A$30,0)),0)</f>
        <v>6.313</v>
      </c>
      <c r="AI54" s="33" t="n">
        <f aca="false">AG54*AH54*$AJ$2</f>
        <v>756.54992</v>
      </c>
      <c r="AJ54" s="35" t="n">
        <f aca="false">SUM(B54:D54,F54,H54,J54:M54)</f>
        <v>0</v>
      </c>
      <c r="AK54" s="36" t="n">
        <f aca="false">AH54</f>
        <v>6.313</v>
      </c>
      <c r="AL54" s="37" t="n">
        <f aca="false">AJ54*AK54*$AJ$2</f>
        <v>0</v>
      </c>
      <c r="AM54" s="35" t="n">
        <f aca="false">SUM(E54,G54,I54,N54:AB54)</f>
        <v>112</v>
      </c>
      <c r="AN54" s="36" t="n">
        <f aca="false">AH54</f>
        <v>6.313</v>
      </c>
      <c r="AO54" s="37" t="n">
        <f aca="false">AM54*AN54*$AJ$2</f>
        <v>756.54992</v>
      </c>
      <c r="AP54" s="35" t="n">
        <f aca="false">SUM(AC54:AF54)</f>
        <v>0</v>
      </c>
      <c r="AQ54" s="36" t="n">
        <f aca="false">AH54</f>
        <v>6.313</v>
      </c>
      <c r="AR54" s="37" t="n">
        <f aca="false">AP54*AQ54*$AJ$2</f>
        <v>0</v>
      </c>
    </row>
    <row r="55" customFormat="false" ht="15" hidden="false" customHeight="false" outlineLevel="0" collapsed="false">
      <c r="A55" s="6" t="s">
        <v>121</v>
      </c>
      <c r="B55" s="32" t="n">
        <f aca="false">SUMIFS(Ведомость!$N$5:$N$846,Ведомость!$H$5:$H$846,28,Ведомость!$I$5:$I$846,"А500С",Ведомость!$V$5:$V$846,"Дм-1",Ведомость!$W$5:$W$846,2)</f>
        <v>14.4</v>
      </c>
      <c r="C55" s="32" t="n">
        <f aca="false">SUMIFS(Ведомость!$N$5:$N$846,Ведомость!$H$5:$H$846,28,Ведомость!$I$5:$I$846,"А500С",Ведомость!$V$5:$V$846,"Дм-2",Ведомость!$W$5:$W$846,2)</f>
        <v>14.4</v>
      </c>
      <c r="D55" s="32" t="n">
        <f aca="false">SUMIFS(Ведомость!$N$5:$N$846,Ведомость!$H$5:$H$846,28,Ведомость!$I$5:$I$846,"А500С",Ведомость!$V$5:$V$846,"К-А",Ведомость!$W$5:$W$846,2)</f>
        <v>43.2</v>
      </c>
      <c r="E55" s="32" t="n">
        <f aca="false">SUMIFS(Ведомость!$N$5:$N$846,Ведомость!$H$5:$H$846,28,Ведомость!$I$5:$I$846,"А500С",Ведомость!$V$5:$V$846,"Р-А",Ведомость!$W$5:$W$846,2)</f>
        <v>106.1</v>
      </c>
      <c r="F55" s="32" t="n">
        <f aca="false">SUMIFS(Ведомость!$N$5:$N$846,Ведомость!$H$5:$H$846,28,Ведомость!$I$5:$I$846,"А500С",Ведомость!$V$5:$V$846,"К-Б",Ведомость!$W$5:$W$846,2)</f>
        <v>72</v>
      </c>
      <c r="G55" s="32" t="n">
        <f aca="false">SUMIFS(Ведомость!$N$5:$N$846,Ведомость!$H$5:$H$846,28,Ведомость!$I$5:$I$846,"А500С",Ведомость!$V$5:$V$846,"Р-Б",Ведомость!$W$5:$W$846,2)</f>
        <v>132.2</v>
      </c>
      <c r="H55" s="32" t="n">
        <f aca="false">SUMIFS(Ведомость!$N$5:$N$846,Ведомость!$H$5:$H$846,28,Ведомость!$I$5:$I$846,"А500С",Ведомость!$V$5:$V$846,"К-В",Ведомость!$W$5:$W$846,2)</f>
        <v>72</v>
      </c>
      <c r="I55" s="32" t="n">
        <f aca="false">SUMIFS(Ведомость!$N$5:$N$846,Ведомость!$H$5:$H$846,28,Ведомость!$I$5:$I$846,"А500С",Ведомость!$V$5:$V$846,"Р-В",Ведомость!$W$5:$W$846,2)</f>
        <v>113.5</v>
      </c>
      <c r="J55" s="32" t="n">
        <f aca="false">SUMIFS(Ведомость!$N$5:$N$846,Ведомость!$H$5:$H$846,28,Ведомость!$I$5:$I$846,"А500С",Ведомость!$V$5:$V$846,"К-Г",Ведомость!$W$5:$W$846,2)</f>
        <v>28.8</v>
      </c>
      <c r="K55" s="32" t="n">
        <f aca="false">SUMIFS(Ведомость!$N$5:$N$846,Ведомость!$H$5:$H$846,28,Ведомость!$I$5:$I$846,"А500С",Ведомость!$V$5:$V$846,"Дм-3",Ведомость!$W$5:$W$846,2)</f>
        <v>14.4</v>
      </c>
      <c r="L55" s="32" t="n">
        <f aca="false">SUMIFS(Ведомость!$N$5:$N$846,Ведомость!$H$5:$H$846,28,Ведомость!$I$5:$I$846,"А500С",Ведомость!$V$5:$V$846,"Дм-4",Ведомость!$W$5:$W$846,2)</f>
        <v>14.4</v>
      </c>
      <c r="M55" s="32" t="n">
        <f aca="false">SUMIFS(Ведомость!$N$5:$N$846,Ведомость!$H$5:$H$846,28,Ведомость!$I$5:$I$846,"А500С",Ведомость!$V$5:$V$846,"Дм-5",Ведомость!$W$5:$W$846,2)</f>
        <v>14.4</v>
      </c>
      <c r="N55" s="32" t="n">
        <f aca="false">SUMIFS(Ведомость!$N$5:$N$846,Ведомость!$H$5:$H$846,28,Ведомость!$I$5:$I$846,"А500С",Ведомость!$V$5:$V$846,"Р-Г",Ведомость!$W$5:$W$846,2)</f>
        <v>140.4</v>
      </c>
      <c r="O55" s="32" t="n">
        <f aca="false">SUMIFS(Ведомость!$N$5:$N$846,Ведомость!$H$5:$H$846,28,Ведомость!$I$5:$I$846,"А500С",Ведомость!$V$5:$V$846,"Р-1, 5",Ведомость!$W$5:$W$846,2)</f>
        <v>179.2</v>
      </c>
      <c r="P55" s="32" t="n">
        <f aca="false">SUMIFS(Ведомость!$N$5:$N$846,Ведомость!$H$5:$H$846,28,Ведомость!$I$5:$I$846,"А500С",Ведомость!$V$5:$V$846,"Р-2",Ведомость!$W$5:$W$846,2)</f>
        <v>103</v>
      </c>
      <c r="Q55" s="32" t="n">
        <f aca="false">SUMIFS(Ведомость!$N$5:$N$846,Ведомость!$H$5:$H$846,28,Ведомость!$I$5:$I$846,"А500С",Ведомость!$V$5:$V$846,"Р-3",Ведомость!$W$5:$W$846,2)</f>
        <v>107.3</v>
      </c>
      <c r="R55" s="32" t="n">
        <f aca="false">SUMIFS(Ведомость!$N$5:$N$846,Ведомость!$H$5:$H$846,28,Ведомость!$I$5:$I$846,"А500С",Ведомость!$V$5:$V$846,"Р-4",Ведомость!$W$5:$W$846,2)</f>
        <v>94.4</v>
      </c>
      <c r="S55" s="32" t="n">
        <f aca="false">SUMIFS(Ведомость!$N$5:$N$846,Ведомость!$H$5:$H$846,28,Ведомость!$I$5:$I$846,"А500С",Ведомость!$V$5:$V$846,"Б-основная",Ведомость!$W$5:$W$846,2)</f>
        <v>0</v>
      </c>
      <c r="T55" s="32" t="n">
        <f aca="false">SUMIFS(Ведомость!$N$5:$N$846,Ведомость!$H$5:$H$846,28,Ведомость!$I$5:$I$846,"А500С",Ведомость!$V$5:$V$846,"Б-хомуты",Ведомость!$W$5:$W$846,2)</f>
        <v>0</v>
      </c>
      <c r="U55" s="32" t="n">
        <f aca="false">SUMIFS(Ведомость!$N$5:$N$846,Ведомость!$H$5:$H$846,28,Ведомость!$I$5:$I$846,"А500С",Ведомость!$V$5:$V$846,"Б-допник",Ведомость!$W$5:$W$846,2)</f>
        <v>0</v>
      </c>
      <c r="V55" s="32" t="n">
        <f aca="false">SUMIFS(Ведомость!$N$5:$N$846,Ведомость!$H$5:$H$846,28,Ведомость!$I$5:$I$846,"А500С",Ведомость!$V$5:$V$846,"П-сетка",Ведомость!$W$5:$W$846,2)</f>
        <v>0</v>
      </c>
      <c r="W55" s="32" t="n">
        <f aca="false">SUMIFS(Ведомость!$N$5:$N$846,Ведомость!$H$5:$H$846,28,Ведомость!$I$5:$I$846,"А500С",Ведомость!$V$5:$V$846,"П-фикс",Ведомость!$W$5:$W$846,2)</f>
        <v>0</v>
      </c>
      <c r="X55" s="32" t="n">
        <f aca="false">SUMIFS(Ведомость!$N$5:$N$846,Ведомость!$H$5:$H$846,28,Ведомость!$I$5:$I$846,"А500С",Ведомость!$V$5:$V$846,"П-отв",Ведомость!$W$5:$W$846,2)</f>
        <v>0</v>
      </c>
      <c r="Y55" s="32" t="n">
        <f aca="false">SUMIFS(Ведомость!$N$5:$N$846,Ведомость!$H$5:$H$846,28,Ведомость!$I$5:$I$846,"А500С",Ведомость!$V$5:$V$846,"П-доп-низ",Ведомость!$W$5:$W$846,2)</f>
        <v>0</v>
      </c>
      <c r="Z55" s="32" t="n">
        <f aca="false">SUMIFS(Ведомость!$N$5:$N$846,Ведомость!$H$5:$H$846,28,Ведомость!$I$5:$I$846,"А500С",Ведомость!$V$5:$V$846,"П-доп-верх",Ведомость!$W$5:$W$846,2)</f>
        <v>0</v>
      </c>
      <c r="AA55" s="32" t="n">
        <f aca="false">SUMIFS(Ведомость!$N$5:$N$846,Ведомость!$H$5:$H$846,28,Ведомость!$I$5:$I$846,"А500С",Ведомость!$V$5:$V$846,"П-край",Ведомость!$W$5:$W$846,2)</f>
        <v>0</v>
      </c>
      <c r="AB55" s="32" t="n">
        <f aca="false">SUMIFS(Ведомость!$N$5:$N$846,Ведомость!$H$5:$H$846,28,Ведомость!$I$5:$I$846,"А500С",Ведомость!$V$5:$V$846,"С-1",Ведомость!$W$5:$W$846,2)</f>
        <v>0</v>
      </c>
      <c r="AC55" s="32" t="n">
        <f aca="false">SUMIFS(Ведомость!$N$5:$N$846,Ведомость!$H$5:$H$846,28,Ведомость!$I$5:$I$846,"А500С",Ведомость!$V$5:$V$846,"Л1",Ведомость!$W$5:$W$846,2)</f>
        <v>0</v>
      </c>
      <c r="AD55" s="32" t="n">
        <f aca="false">SUMIFS(Ведомость!$N$5:$N$846,Ведомость!$H$5:$H$846,28,Ведомость!$I$5:$I$846,"А500С",Ведомость!$V$5:$V$846,"Л2",Ведомость!$W$5:$W$846,2)</f>
        <v>0</v>
      </c>
      <c r="AE55" s="32" t="n">
        <f aca="false">SUMIFS(Ведомость!$N$5:$N$846,Ведомость!$H$5:$H$846,28,Ведомость!$I$5:$I$846,"А500С",Ведомость!$V$5:$V$846,"Л-пл",Ведомость!$W$5:$W$846,2)</f>
        <v>0</v>
      </c>
      <c r="AF55" s="32" t="n">
        <f aca="false">SUMIFS(Ведомость!$N$5:$N$846,Ведомость!$H$5:$H$846,28,Ведомость!$I$5:$I$846,"А500С",Ведомость!$V$5:$V$846,"Л-рама",Ведомость!$W$5:$W$846,2)</f>
        <v>0</v>
      </c>
      <c r="AG55" s="33" t="n">
        <f aca="false">SUM(B55:AF55)</f>
        <v>1264.1</v>
      </c>
      <c r="AH55" s="34" t="n">
        <f aca="false">IFERROR(INDEX(Исходные!$B$18:$B$30,MATCH(28,Исходные!$A$18:$A$30,0)),0)</f>
        <v>4.834</v>
      </c>
      <c r="AI55" s="33" t="n">
        <f aca="false">AG55*AH55*$AJ$2</f>
        <v>6538.405558</v>
      </c>
      <c r="AJ55" s="35" t="n">
        <f aca="false">SUM(B55:D55,F55,H55,J55:M55)</f>
        <v>288</v>
      </c>
      <c r="AK55" s="36" t="n">
        <f aca="false">AH55</f>
        <v>4.834</v>
      </c>
      <c r="AL55" s="37" t="n">
        <f aca="false">AJ55*AK55*$AJ$2</f>
        <v>1489.64544</v>
      </c>
      <c r="AM55" s="35" t="n">
        <f aca="false">SUM(E55,G55,I55,N55:AB55)</f>
        <v>976.1</v>
      </c>
      <c r="AN55" s="36" t="n">
        <f aca="false">AH55</f>
        <v>4.834</v>
      </c>
      <c r="AO55" s="37" t="n">
        <f aca="false">AM55*AN55*$AJ$2</f>
        <v>5048.760118</v>
      </c>
      <c r="AP55" s="35" t="n">
        <f aca="false">SUM(AC55:AF55)</f>
        <v>0</v>
      </c>
      <c r="AQ55" s="36" t="n">
        <f aca="false">AH55</f>
        <v>4.834</v>
      </c>
      <c r="AR55" s="37" t="n">
        <f aca="false">AP55*AQ55*$AJ$2</f>
        <v>0</v>
      </c>
    </row>
    <row r="56" customFormat="false" ht="15" hidden="false" customHeight="false" outlineLevel="0" collapsed="false">
      <c r="A56" s="6" t="s">
        <v>122</v>
      </c>
      <c r="B56" s="32" t="n">
        <f aca="false">SUMIFS(Ведомость!$N$5:$N$846,Ведомость!$H$5:$H$846,25,Ведомость!$I$5:$I$846,"А500С",Ведомость!$V$5:$V$846,"Дм-1",Ведомость!$W$5:$W$846,2)</f>
        <v>64.8</v>
      </c>
      <c r="C56" s="32" t="n">
        <f aca="false">SUMIFS(Ведомость!$N$5:$N$846,Ведомость!$H$5:$H$846,25,Ведомость!$I$5:$I$846,"А500С",Ведомость!$V$5:$V$846,"Дм-2",Ведомость!$W$5:$W$846,2)</f>
        <v>43.2</v>
      </c>
      <c r="D56" s="32" t="n">
        <f aca="false">SUMIFS(Ведомость!$N$5:$N$846,Ведомость!$H$5:$H$846,25,Ведомость!$I$5:$I$846,"А500С",Ведомость!$V$5:$V$846,"К-А",Ведомость!$W$5:$W$846,2)</f>
        <v>0</v>
      </c>
      <c r="E56" s="32" t="n">
        <f aca="false">SUMIFS(Ведомость!$N$5:$N$846,Ведомость!$H$5:$H$846,25,Ведомость!$I$5:$I$846,"А500С",Ведомость!$V$5:$V$846,"Р-А",Ведомость!$W$5:$W$846,2)</f>
        <v>40.4</v>
      </c>
      <c r="F56" s="32" t="n">
        <f aca="false">SUMIFS(Ведомость!$N$5:$N$846,Ведомость!$H$5:$H$846,25,Ведомость!$I$5:$I$846,"А500С",Ведомость!$V$5:$V$846,"К-Б",Ведомость!$W$5:$W$846,2)</f>
        <v>0</v>
      </c>
      <c r="G56" s="32" t="n">
        <f aca="false">SUMIFS(Ведомость!$N$5:$N$846,Ведомость!$H$5:$H$846,25,Ведомость!$I$5:$I$846,"А500С",Ведомость!$V$5:$V$846,"Р-Б",Ведомость!$W$5:$W$846,2)</f>
        <v>0</v>
      </c>
      <c r="H56" s="32" t="n">
        <f aca="false">SUMIFS(Ведомость!$N$5:$N$846,Ведомость!$H$5:$H$846,25,Ведомость!$I$5:$I$846,"А500С",Ведомость!$V$5:$V$846,"К-В",Ведомость!$W$5:$W$846,2)</f>
        <v>0</v>
      </c>
      <c r="I56" s="32" t="n">
        <f aca="false">SUMIFS(Ведомость!$N$5:$N$846,Ведомость!$H$5:$H$846,25,Ведомость!$I$5:$I$846,"А500С",Ведомость!$V$5:$V$846,"Р-В",Ведомость!$W$5:$W$846,2)</f>
        <v>4.1</v>
      </c>
      <c r="J56" s="32" t="n">
        <f aca="false">SUMIFS(Ведомость!$N$5:$N$846,Ведомость!$H$5:$H$846,25,Ведомость!$I$5:$I$846,"А500С",Ведомость!$V$5:$V$846,"К-Г",Ведомость!$W$5:$W$846,2)</f>
        <v>0</v>
      </c>
      <c r="K56" s="32" t="n">
        <f aca="false">SUMIFS(Ведомость!$N$5:$N$846,Ведомость!$H$5:$H$846,25,Ведомость!$I$5:$I$846,"А500С",Ведомость!$V$5:$V$846,"Дм-3",Ведомость!$W$5:$W$846,2)</f>
        <v>64.8</v>
      </c>
      <c r="L56" s="32" t="n">
        <f aca="false">SUMIFS(Ведомость!$N$5:$N$846,Ведомость!$H$5:$H$846,25,Ведомость!$I$5:$I$846,"А500С",Ведомость!$V$5:$V$846,"Дм-4",Ведомость!$W$5:$W$846,2)</f>
        <v>21.6</v>
      </c>
      <c r="M56" s="32" t="n">
        <f aca="false">SUMIFS(Ведомость!$N$5:$N$846,Ведомость!$H$5:$H$846,25,Ведомость!$I$5:$I$846,"А500С",Ведомость!$V$5:$V$846,"Дм-5",Ведомость!$W$5:$W$846,2)</f>
        <v>21.6</v>
      </c>
      <c r="N56" s="32" t="n">
        <f aca="false">SUMIFS(Ведомость!$N$5:$N$846,Ведомость!$H$5:$H$846,25,Ведомость!$I$5:$I$846,"А500С",Ведомость!$V$5:$V$846,"Р-Г",Ведомость!$W$5:$W$846,2)</f>
        <v>47.8</v>
      </c>
      <c r="O56" s="32" t="n">
        <f aca="false">SUMIFS(Ведомость!$N$5:$N$846,Ведомость!$H$5:$H$846,25,Ведомость!$I$5:$I$846,"А500С",Ведомость!$V$5:$V$846,"Р-1, 5",Ведомость!$W$5:$W$846,2)</f>
        <v>8.2</v>
      </c>
      <c r="P56" s="32" t="n">
        <f aca="false">SUMIFS(Ведомость!$N$5:$N$846,Ведомость!$H$5:$H$846,25,Ведомость!$I$5:$I$846,"А500С",Ведомость!$V$5:$V$846,"Р-2",Ведомость!$W$5:$W$846,2)</f>
        <v>0</v>
      </c>
      <c r="Q56" s="32" t="n">
        <f aca="false">SUMIFS(Ведомость!$N$5:$N$846,Ведомость!$H$5:$H$846,25,Ведомость!$I$5:$I$846,"А500С",Ведомость!$V$5:$V$846,"Р-3",Ведомость!$W$5:$W$846,2)</f>
        <v>15.2</v>
      </c>
      <c r="R56" s="32" t="n">
        <f aca="false">SUMIFS(Ведомость!$N$5:$N$846,Ведомость!$H$5:$H$846,25,Ведомость!$I$5:$I$846,"А500С",Ведомость!$V$5:$V$846,"Р-4",Ведомость!$W$5:$W$846,2)</f>
        <v>9.6</v>
      </c>
      <c r="S56" s="32" t="n">
        <f aca="false">SUMIFS(Ведомость!$N$5:$N$846,Ведомость!$H$5:$H$846,25,Ведомость!$I$5:$I$846,"А500С",Ведомость!$V$5:$V$846,"Б-основная",Ведомость!$W$5:$W$846,2)</f>
        <v>635.4</v>
      </c>
      <c r="T56" s="32" t="n">
        <f aca="false">SUMIFS(Ведомость!$N$5:$N$846,Ведомость!$H$5:$H$846,25,Ведомость!$I$5:$I$846,"А500С",Ведомость!$V$5:$V$846,"Б-хомуты",Ведомость!$W$5:$W$846,2)</f>
        <v>0</v>
      </c>
      <c r="U56" s="32" t="n">
        <f aca="false">SUMIFS(Ведомость!$N$5:$N$846,Ведомость!$H$5:$H$846,25,Ведомость!$I$5:$I$846,"А500С",Ведомость!$V$5:$V$846,"Б-допник",Ведомость!$W$5:$W$846,2)</f>
        <v>0</v>
      </c>
      <c r="V56" s="32" t="n">
        <f aca="false">SUMIFS(Ведомость!$N$5:$N$846,Ведомость!$H$5:$H$846,25,Ведомость!$I$5:$I$846,"А500С",Ведомость!$V$5:$V$846,"П-сетка",Ведомость!$W$5:$W$846,2)</f>
        <v>0</v>
      </c>
      <c r="W56" s="32" t="n">
        <f aca="false">SUMIFS(Ведомость!$N$5:$N$846,Ведомость!$H$5:$H$846,25,Ведомость!$I$5:$I$846,"А500С",Ведомость!$V$5:$V$846,"П-фикс",Ведомость!$W$5:$W$846,2)</f>
        <v>0</v>
      </c>
      <c r="X56" s="32" t="n">
        <f aca="false">SUMIFS(Ведомость!$N$5:$N$846,Ведомость!$H$5:$H$846,25,Ведомость!$I$5:$I$846,"А500С",Ведомость!$V$5:$V$846,"П-отв",Ведомость!$W$5:$W$846,2)</f>
        <v>0</v>
      </c>
      <c r="Y56" s="32" t="n">
        <f aca="false">SUMIFS(Ведомость!$N$5:$N$846,Ведомость!$H$5:$H$846,25,Ведомость!$I$5:$I$846,"А500С",Ведомость!$V$5:$V$846,"П-доп-низ",Ведомость!$W$5:$W$846,2)</f>
        <v>0</v>
      </c>
      <c r="Z56" s="32" t="n">
        <f aca="false">SUMIFS(Ведомость!$N$5:$N$846,Ведомость!$H$5:$H$846,25,Ведомость!$I$5:$I$846,"А500С",Ведомость!$V$5:$V$846,"П-доп-верх",Ведомость!$W$5:$W$846,2)</f>
        <v>0</v>
      </c>
      <c r="AA56" s="32" t="n">
        <f aca="false">SUMIFS(Ведомость!$N$5:$N$846,Ведомость!$H$5:$H$846,25,Ведомость!$I$5:$I$846,"А500С",Ведомость!$V$5:$V$846,"П-край",Ведомость!$W$5:$W$846,2)</f>
        <v>0</v>
      </c>
      <c r="AB56" s="32" t="n">
        <f aca="false">SUMIFS(Ведомость!$N$5:$N$846,Ведомость!$H$5:$H$846,25,Ведомость!$I$5:$I$846,"А500С",Ведомость!$V$5:$V$846,"С-1",Ведомость!$W$5:$W$846,2)</f>
        <v>0</v>
      </c>
      <c r="AC56" s="32" t="n">
        <f aca="false">SUMIFS(Ведомость!$N$5:$N$846,Ведомость!$H$5:$H$846,25,Ведомость!$I$5:$I$846,"А500С",Ведомость!$V$5:$V$846,"Л1",Ведомость!$W$5:$W$846,2)</f>
        <v>0</v>
      </c>
      <c r="AD56" s="32" t="n">
        <f aca="false">SUMIFS(Ведомость!$N$5:$N$846,Ведомость!$H$5:$H$846,25,Ведомость!$I$5:$I$846,"А500С",Ведомость!$V$5:$V$846,"Л2",Ведомость!$W$5:$W$846,2)</f>
        <v>0</v>
      </c>
      <c r="AE56" s="32" t="n">
        <f aca="false">SUMIFS(Ведомость!$N$5:$N$846,Ведомость!$H$5:$H$846,25,Ведомость!$I$5:$I$846,"А500С",Ведомость!$V$5:$V$846,"Л-пл",Ведомость!$W$5:$W$846,2)</f>
        <v>0</v>
      </c>
      <c r="AF56" s="32" t="n">
        <f aca="false">SUMIFS(Ведомость!$N$5:$N$846,Ведомость!$H$5:$H$846,25,Ведомость!$I$5:$I$846,"А500С",Ведомость!$V$5:$V$846,"Л-рама",Ведомость!$W$5:$W$846,2)</f>
        <v>21.1</v>
      </c>
      <c r="AG56" s="33" t="n">
        <f aca="false">SUM(B56:AF56)</f>
        <v>997.8</v>
      </c>
      <c r="AH56" s="34" t="n">
        <f aca="false">IFERROR(INDEX(Исходные!$B$18:$B$30,MATCH(25,Исходные!$A$18:$A$30,0)),0)</f>
        <v>3.853</v>
      </c>
      <c r="AI56" s="33" t="n">
        <f aca="false">AG56*AH56*$AJ$2</f>
        <v>4113.640038</v>
      </c>
      <c r="AJ56" s="35" t="n">
        <f aca="false">SUM(B56:D56,F56,H56,J56:M56)</f>
        <v>216</v>
      </c>
      <c r="AK56" s="36" t="n">
        <f aca="false">AH56</f>
        <v>3.853</v>
      </c>
      <c r="AL56" s="37" t="n">
        <f aca="false">AJ56*AK56*$AJ$2</f>
        <v>890.50536</v>
      </c>
      <c r="AM56" s="35" t="n">
        <f aca="false">SUM(E56,G56,I56,N56:AB56)</f>
        <v>760.7</v>
      </c>
      <c r="AN56" s="36" t="n">
        <f aca="false">AH56</f>
        <v>3.853</v>
      </c>
      <c r="AO56" s="37" t="n">
        <f aca="false">AM56*AN56*$AJ$2</f>
        <v>3136.145497</v>
      </c>
      <c r="AP56" s="35" t="n">
        <f aca="false">SUM(AC56:AF56)</f>
        <v>21.1</v>
      </c>
      <c r="AQ56" s="36" t="n">
        <f aca="false">AH56</f>
        <v>3.853</v>
      </c>
      <c r="AR56" s="37" t="n">
        <f aca="false">AP56*AQ56*$AJ$2</f>
        <v>86.989181</v>
      </c>
    </row>
    <row r="57" customFormat="false" ht="15" hidden="false" customHeight="false" outlineLevel="0" collapsed="false">
      <c r="A57" s="6" t="s">
        <v>123</v>
      </c>
      <c r="B57" s="32" t="n">
        <f aca="false">SUMIFS(Ведомость!$N$5:$N$846,Ведомость!$H$5:$H$846,22,Ведомость!$I$5:$I$846,"А500С",Ведомость!$V$5:$V$846,"Дм-1",Ведомость!$W$5:$W$846,2)</f>
        <v>0</v>
      </c>
      <c r="C57" s="32" t="n">
        <f aca="false">SUMIFS(Ведомость!$N$5:$N$846,Ведомость!$H$5:$H$846,22,Ведомость!$I$5:$I$846,"А500С",Ведомость!$V$5:$V$846,"Дм-2",Ведомость!$W$5:$W$846,2)</f>
        <v>0</v>
      </c>
      <c r="D57" s="32" t="n">
        <f aca="false">SUMIFS(Ведомость!$N$5:$N$846,Ведомость!$H$5:$H$846,22,Ведомость!$I$5:$I$846,"А500С",Ведомость!$V$5:$V$846,"К-А",Ведомость!$W$5:$W$846,2)</f>
        <v>0</v>
      </c>
      <c r="E57" s="32" t="n">
        <f aca="false">SUMIFS(Ведомость!$N$5:$N$846,Ведомость!$H$5:$H$846,22,Ведомость!$I$5:$I$846,"А500С",Ведомость!$V$5:$V$846,"Р-А",Ведомость!$W$5:$W$846,2)</f>
        <v>9</v>
      </c>
      <c r="F57" s="32" t="n">
        <f aca="false">SUMIFS(Ведомость!$N$5:$N$846,Ведомость!$H$5:$H$846,22,Ведомость!$I$5:$I$846,"А500С",Ведомость!$V$5:$V$846,"К-Б",Ведомость!$W$5:$W$846,2)</f>
        <v>0</v>
      </c>
      <c r="G57" s="32" t="n">
        <f aca="false">SUMIFS(Ведомость!$N$5:$N$846,Ведомость!$H$5:$H$846,22,Ведомость!$I$5:$I$846,"А500С",Ведомость!$V$5:$V$846,"Р-Б",Ведомость!$W$5:$W$846,2)</f>
        <v>13.8</v>
      </c>
      <c r="H57" s="32" t="n">
        <f aca="false">SUMIFS(Ведомость!$N$5:$N$846,Ведомость!$H$5:$H$846,22,Ведомость!$I$5:$I$846,"А500С",Ведомость!$V$5:$V$846,"К-В",Ведомость!$W$5:$W$846,2)</f>
        <v>0</v>
      </c>
      <c r="I57" s="32" t="n">
        <f aca="false">SUMIFS(Ведомость!$N$5:$N$846,Ведомость!$H$5:$H$846,22,Ведомость!$I$5:$I$846,"А500С",Ведомость!$V$5:$V$846,"Р-В",Ведомость!$W$5:$W$846,2)</f>
        <v>14.8</v>
      </c>
      <c r="J57" s="32" t="n">
        <f aca="false">SUMIFS(Ведомость!$N$5:$N$846,Ведомость!$H$5:$H$846,22,Ведомость!$I$5:$I$846,"А500С",Ведомость!$V$5:$V$846,"К-Г",Ведомость!$W$5:$W$846,2)</f>
        <v>0</v>
      </c>
      <c r="K57" s="32" t="n">
        <f aca="false">SUMIFS(Ведомость!$N$5:$N$846,Ведомость!$H$5:$H$846,22,Ведомость!$I$5:$I$846,"А500С",Ведомость!$V$5:$V$846,"Дм-3",Ведомость!$W$5:$W$846,2)</f>
        <v>0</v>
      </c>
      <c r="L57" s="32" t="n">
        <f aca="false">SUMIFS(Ведомость!$N$5:$N$846,Ведомость!$H$5:$H$846,22,Ведомость!$I$5:$I$846,"А500С",Ведомость!$V$5:$V$846,"Дм-4",Ведомость!$W$5:$W$846,2)</f>
        <v>0</v>
      </c>
      <c r="M57" s="32" t="n">
        <f aca="false">SUMIFS(Ведомость!$N$5:$N$846,Ведомость!$H$5:$H$846,22,Ведомость!$I$5:$I$846,"А500С",Ведомость!$V$5:$V$846,"Дм-5",Ведомость!$W$5:$W$846,2)</f>
        <v>21.6</v>
      </c>
      <c r="N57" s="32" t="n">
        <f aca="false">SUMIFS(Ведомость!$N$5:$N$846,Ведомость!$H$5:$H$846,22,Ведомость!$I$5:$I$846,"А500С",Ведомость!$V$5:$V$846,"Р-Г",Ведомость!$W$5:$W$846,2)</f>
        <v>12.7</v>
      </c>
      <c r="O57" s="32" t="n">
        <f aca="false">SUMIFS(Ведомость!$N$5:$N$846,Ведомость!$H$5:$H$846,22,Ведомость!$I$5:$I$846,"А500С",Ведомость!$V$5:$V$846,"Р-1, 5",Ведомость!$W$5:$W$846,2)</f>
        <v>0</v>
      </c>
      <c r="P57" s="32" t="n">
        <f aca="false">SUMIFS(Ведомость!$N$5:$N$846,Ведомость!$H$5:$H$846,22,Ведомость!$I$5:$I$846,"А500С",Ведомость!$V$5:$V$846,"Р-2",Ведомость!$W$5:$W$846,2)</f>
        <v>2.4</v>
      </c>
      <c r="Q57" s="32" t="n">
        <f aca="false">SUMIFS(Ведомость!$N$5:$N$846,Ведомость!$H$5:$H$846,22,Ведомость!$I$5:$I$846,"А500С",Ведомость!$V$5:$V$846,"Р-3",Ведомость!$W$5:$W$846,2)</f>
        <v>0</v>
      </c>
      <c r="R57" s="32" t="n">
        <f aca="false">SUMIFS(Ведомость!$N$5:$N$846,Ведомость!$H$5:$H$846,22,Ведомость!$I$5:$I$846,"А500С",Ведомость!$V$5:$V$846,"Р-4",Ведомость!$W$5:$W$846,2)</f>
        <v>0</v>
      </c>
      <c r="S57" s="32" t="n">
        <f aca="false">SUMIFS(Ведомость!$N$5:$N$846,Ведомость!$H$5:$H$846,22,Ведомость!$I$5:$I$846,"А500С",Ведомость!$V$5:$V$846,"Б-основная",Ведомость!$W$5:$W$846,2)</f>
        <v>158.8</v>
      </c>
      <c r="T57" s="32" t="n">
        <f aca="false">SUMIFS(Ведомость!$N$5:$N$846,Ведомость!$H$5:$H$846,22,Ведомость!$I$5:$I$846,"А500С",Ведомость!$V$5:$V$846,"Б-хомуты",Ведомость!$W$5:$W$846,2)</f>
        <v>0</v>
      </c>
      <c r="U57" s="32" t="n">
        <f aca="false">SUMIFS(Ведомость!$N$5:$N$846,Ведомость!$H$5:$H$846,22,Ведомость!$I$5:$I$846,"А500С",Ведомость!$V$5:$V$846,"Б-допник",Ведомость!$W$5:$W$846,2)</f>
        <v>0</v>
      </c>
      <c r="V57" s="32" t="n">
        <f aca="false">SUMIFS(Ведомость!$N$5:$N$846,Ведомость!$H$5:$H$846,22,Ведомость!$I$5:$I$846,"А500С",Ведомость!$V$5:$V$846,"П-сетка",Ведомость!$W$5:$W$846,2)</f>
        <v>0</v>
      </c>
      <c r="W57" s="32" t="n">
        <f aca="false">SUMIFS(Ведомость!$N$5:$N$846,Ведомость!$H$5:$H$846,22,Ведомость!$I$5:$I$846,"А500С",Ведомость!$V$5:$V$846,"П-фикс",Ведомость!$W$5:$W$846,2)</f>
        <v>0</v>
      </c>
      <c r="X57" s="32" t="n">
        <f aca="false">SUMIFS(Ведомость!$N$5:$N$846,Ведомость!$H$5:$H$846,22,Ведомость!$I$5:$I$846,"А500С",Ведомость!$V$5:$V$846,"П-отв",Ведомость!$W$5:$W$846,2)</f>
        <v>0</v>
      </c>
      <c r="Y57" s="32" t="n">
        <f aca="false">SUMIFS(Ведомость!$N$5:$N$846,Ведомость!$H$5:$H$846,22,Ведомость!$I$5:$I$846,"А500С",Ведомость!$V$5:$V$846,"П-доп-низ",Ведомость!$W$5:$W$846,2)</f>
        <v>0</v>
      </c>
      <c r="Z57" s="32" t="n">
        <f aca="false">SUMIFS(Ведомость!$N$5:$N$846,Ведомость!$H$5:$H$846,22,Ведомость!$I$5:$I$846,"А500С",Ведомость!$V$5:$V$846,"П-доп-верх",Ведомость!$W$5:$W$846,2)</f>
        <v>0</v>
      </c>
      <c r="AA57" s="32" t="n">
        <f aca="false">SUMIFS(Ведомость!$N$5:$N$846,Ведомость!$H$5:$H$846,22,Ведомость!$I$5:$I$846,"А500С",Ведомость!$V$5:$V$846,"П-край",Ведомость!$W$5:$W$846,2)</f>
        <v>0</v>
      </c>
      <c r="AB57" s="32" t="n">
        <f aca="false">SUMIFS(Ведомость!$N$5:$N$846,Ведомость!$H$5:$H$846,22,Ведомость!$I$5:$I$846,"А500С",Ведомость!$V$5:$V$846,"С-1",Ведомость!$W$5:$W$846,2)</f>
        <v>0</v>
      </c>
      <c r="AC57" s="32" t="n">
        <f aca="false">SUMIFS(Ведомость!$N$5:$N$846,Ведомость!$H$5:$H$846,22,Ведомость!$I$5:$I$846,"А500С",Ведомость!$V$5:$V$846,"Л1",Ведомость!$W$5:$W$846,2)</f>
        <v>0</v>
      </c>
      <c r="AD57" s="32" t="n">
        <f aca="false">SUMIFS(Ведомость!$N$5:$N$846,Ведомость!$H$5:$H$846,22,Ведомость!$I$5:$I$846,"А500С",Ведомость!$V$5:$V$846,"Л2",Ведомость!$W$5:$W$846,2)</f>
        <v>0</v>
      </c>
      <c r="AE57" s="32" t="n">
        <f aca="false">SUMIFS(Ведомость!$N$5:$N$846,Ведомость!$H$5:$H$846,22,Ведомость!$I$5:$I$846,"А500С",Ведомость!$V$5:$V$846,"Л-пл",Ведомость!$W$5:$W$846,2)</f>
        <v>0</v>
      </c>
      <c r="AF57" s="32" t="n">
        <f aca="false">SUMIFS(Ведомость!$N$5:$N$846,Ведомость!$H$5:$H$846,22,Ведомость!$I$5:$I$846,"А500С",Ведомость!$V$5:$V$846,"Л-рама",Ведомость!$W$5:$W$846,2)</f>
        <v>0</v>
      </c>
      <c r="AG57" s="33" t="n">
        <f aca="false">SUM(B57:AF57)</f>
        <v>233.1</v>
      </c>
      <c r="AH57" s="34" t="n">
        <f aca="false">IFERROR(INDEX(Исходные!$B$18:$B$30,MATCH(22,Исходные!$A$18:$A$30,0)),0)</f>
        <v>2.984</v>
      </c>
      <c r="AI57" s="33" t="n">
        <f aca="false">AG57*AH57*$AJ$2</f>
        <v>744.260328</v>
      </c>
      <c r="AJ57" s="35" t="n">
        <f aca="false">SUM(B57:D57,F57,H57,J57:M57)</f>
        <v>21.6</v>
      </c>
      <c r="AK57" s="36" t="n">
        <f aca="false">AH57</f>
        <v>2.984</v>
      </c>
      <c r="AL57" s="37" t="n">
        <f aca="false">AJ57*AK57*$AJ$2</f>
        <v>68.966208</v>
      </c>
      <c r="AM57" s="35" t="n">
        <f aca="false">SUM(E57,G57,I57,N57:AB57)</f>
        <v>211.5</v>
      </c>
      <c r="AN57" s="36" t="n">
        <f aca="false">AH57</f>
        <v>2.984</v>
      </c>
      <c r="AO57" s="37" t="n">
        <f aca="false">AM57*AN57*$AJ$2</f>
        <v>675.29412</v>
      </c>
      <c r="AP57" s="35" t="n">
        <f aca="false">SUM(AC57:AF57)</f>
        <v>0</v>
      </c>
      <c r="AQ57" s="36" t="n">
        <f aca="false">AH57</f>
        <v>2.984</v>
      </c>
      <c r="AR57" s="37" t="n">
        <f aca="false">AP57*AQ57*$AJ$2</f>
        <v>0</v>
      </c>
    </row>
    <row r="58" customFormat="false" ht="15" hidden="false" customHeight="false" outlineLevel="0" collapsed="false">
      <c r="A58" s="6" t="s">
        <v>124</v>
      </c>
      <c r="B58" s="32" t="n">
        <f aca="false">SUMIFS(Ведомость!$N$5:$N$846,Ведомость!$H$5:$H$846,20,Ведомость!$I$5:$I$846,"А500С",Ведомость!$V$5:$V$846,"Дм-1",Ведомость!$W$5:$W$846,2)</f>
        <v>28.8</v>
      </c>
      <c r="C58" s="32" t="n">
        <f aca="false">SUMIFS(Ведомость!$N$5:$N$846,Ведомость!$H$5:$H$846,20,Ведомость!$I$5:$I$846,"А500С",Ведомость!$V$5:$V$846,"Дм-2",Ведомость!$W$5:$W$846,2)</f>
        <v>43.2</v>
      </c>
      <c r="D58" s="32" t="n">
        <f aca="false">SUMIFS(Ведомость!$N$5:$N$846,Ведомость!$H$5:$H$846,20,Ведомость!$I$5:$I$846,"А500С",Ведомость!$V$5:$V$846,"К-А",Ведомость!$W$5:$W$846,2)</f>
        <v>86.4</v>
      </c>
      <c r="E58" s="32" t="n">
        <f aca="false">SUMIFS(Ведомость!$N$5:$N$846,Ведомость!$H$5:$H$846,20,Ведомость!$I$5:$I$846,"А500С",Ведомость!$V$5:$V$846,"Р-А",Ведомость!$W$5:$W$846,2)</f>
        <v>6.6</v>
      </c>
      <c r="F58" s="32" t="n">
        <f aca="false">SUMIFS(Ведомость!$N$5:$N$846,Ведомость!$H$5:$H$846,20,Ведомость!$I$5:$I$846,"А500С",Ведомость!$V$5:$V$846,"К-Б",Ведомость!$W$5:$W$846,2)</f>
        <v>144</v>
      </c>
      <c r="G58" s="32" t="n">
        <f aca="false">SUMIFS(Ведомость!$N$5:$N$846,Ведомость!$H$5:$H$846,20,Ведомость!$I$5:$I$846,"А500С",Ведомость!$V$5:$V$846,"Р-Б",Ведомость!$W$5:$W$846,2)</f>
        <v>0</v>
      </c>
      <c r="H58" s="32" t="n">
        <f aca="false">SUMIFS(Ведомость!$N$5:$N$846,Ведомость!$H$5:$H$846,20,Ведомость!$I$5:$I$846,"А500С",Ведомость!$V$5:$V$846,"К-В",Ведомость!$W$5:$W$846,2)</f>
        <v>144</v>
      </c>
      <c r="I58" s="32" t="n">
        <f aca="false">SUMIFS(Ведомость!$N$5:$N$846,Ведомость!$H$5:$H$846,20,Ведомость!$I$5:$I$846,"А500С",Ведомость!$V$5:$V$846,"Р-В",Ведомость!$W$5:$W$846,2)</f>
        <v>0</v>
      </c>
      <c r="J58" s="32" t="n">
        <f aca="false">SUMIFS(Ведомость!$N$5:$N$846,Ведомость!$H$5:$H$846,20,Ведомость!$I$5:$I$846,"А500С",Ведомость!$V$5:$V$846,"К-Г",Ведомость!$W$5:$W$846,2)</f>
        <v>57.6</v>
      </c>
      <c r="K58" s="32" t="n">
        <f aca="false">SUMIFS(Ведомость!$N$5:$N$846,Ведомость!$H$5:$H$846,20,Ведомость!$I$5:$I$846,"А500С",Ведомость!$V$5:$V$846,"Дм-3",Ведомость!$W$5:$W$846,2)</f>
        <v>28.8</v>
      </c>
      <c r="L58" s="32" t="n">
        <f aca="false">SUMIFS(Ведомость!$N$5:$N$846,Ведомость!$H$5:$H$846,20,Ведомость!$I$5:$I$846,"А500С",Ведомость!$V$5:$V$846,"Дм-4",Ведомость!$W$5:$W$846,2)</f>
        <v>28.8</v>
      </c>
      <c r="M58" s="32" t="n">
        <f aca="false">SUMIFS(Ведомость!$N$5:$N$846,Ведомость!$H$5:$H$846,20,Ведомость!$I$5:$I$846,"А500С",Ведомость!$V$5:$V$846,"Дм-5",Ведомость!$W$5:$W$846,2)</f>
        <v>28.8</v>
      </c>
      <c r="N58" s="32" t="n">
        <f aca="false">SUMIFS(Ведомость!$N$5:$N$846,Ведомость!$H$5:$H$846,20,Ведомость!$I$5:$I$846,"А500С",Ведомость!$V$5:$V$846,"Р-Г",Ведомость!$W$5:$W$846,2)</f>
        <v>4.7</v>
      </c>
      <c r="O58" s="32" t="n">
        <f aca="false">SUMIFS(Ведомость!$N$5:$N$846,Ведомость!$H$5:$H$846,20,Ведомость!$I$5:$I$846,"А500С",Ведомость!$V$5:$V$846,"Р-1, 5",Ведомость!$W$5:$W$846,2)</f>
        <v>0</v>
      </c>
      <c r="P58" s="32" t="n">
        <f aca="false">SUMIFS(Ведомость!$N$5:$N$846,Ведомость!$H$5:$H$846,20,Ведомость!$I$5:$I$846,"А500С",Ведомость!$V$5:$V$846,"Р-2",Ведомость!$W$5:$W$846,2)</f>
        <v>10.3</v>
      </c>
      <c r="Q58" s="32" t="n">
        <f aca="false">SUMIFS(Ведомость!$N$5:$N$846,Ведомость!$H$5:$H$846,20,Ведомость!$I$5:$I$846,"А500С",Ведомость!$V$5:$V$846,"Р-3",Ведомость!$W$5:$W$846,2)</f>
        <v>0</v>
      </c>
      <c r="R58" s="32" t="n">
        <f aca="false">SUMIFS(Ведомость!$N$5:$N$846,Ведомость!$H$5:$H$846,20,Ведомость!$I$5:$I$846,"А500С",Ведомость!$V$5:$V$846,"Р-4",Ведомость!$W$5:$W$846,2)</f>
        <v>6</v>
      </c>
      <c r="S58" s="32" t="n">
        <f aca="false">SUMIFS(Ведомость!$N$5:$N$846,Ведомость!$H$5:$H$846,20,Ведомость!$I$5:$I$846,"А500С",Ведомость!$V$5:$V$846,"Б-основная",Ведомость!$W$5:$W$846,2)</f>
        <v>72.16</v>
      </c>
      <c r="T58" s="32" t="n">
        <f aca="false">SUMIFS(Ведомость!$N$5:$N$846,Ведомость!$H$5:$H$846,20,Ведомость!$I$5:$I$846,"А500С",Ведомость!$V$5:$V$846,"Б-хомуты",Ведомость!$W$5:$W$846,2)</f>
        <v>0</v>
      </c>
      <c r="U58" s="32" t="n">
        <f aca="false">SUMIFS(Ведомость!$N$5:$N$846,Ведомость!$H$5:$H$846,20,Ведомость!$I$5:$I$846,"А500С",Ведомость!$V$5:$V$846,"Б-допник",Ведомость!$W$5:$W$846,2)</f>
        <v>0</v>
      </c>
      <c r="V58" s="32" t="n">
        <f aca="false">SUMIFS(Ведомость!$N$5:$N$846,Ведомость!$H$5:$H$846,20,Ведомость!$I$5:$I$846,"А500С",Ведомость!$V$5:$V$846,"П-сетка",Ведомость!$W$5:$W$846,2)</f>
        <v>0</v>
      </c>
      <c r="W58" s="32" t="n">
        <f aca="false">SUMIFS(Ведомость!$N$5:$N$846,Ведомость!$H$5:$H$846,20,Ведомость!$I$5:$I$846,"А500С",Ведомость!$V$5:$V$846,"П-фикс",Ведомость!$W$5:$W$846,2)</f>
        <v>0</v>
      </c>
      <c r="X58" s="32" t="n">
        <f aca="false">SUMIFS(Ведомость!$N$5:$N$846,Ведомость!$H$5:$H$846,20,Ведомость!$I$5:$I$846,"А500С",Ведомость!$V$5:$V$846,"П-отв",Ведомость!$W$5:$W$846,2)</f>
        <v>0</v>
      </c>
      <c r="Y58" s="32" t="n">
        <f aca="false">SUMIFS(Ведомость!$N$5:$N$846,Ведомость!$H$5:$H$846,20,Ведомость!$I$5:$I$846,"А500С",Ведомость!$V$5:$V$846,"П-доп-низ",Ведомость!$W$5:$W$846,2)</f>
        <v>0</v>
      </c>
      <c r="Z58" s="32" t="n">
        <f aca="false">SUMIFS(Ведомость!$N$5:$N$846,Ведомость!$H$5:$H$846,20,Ведомость!$I$5:$I$846,"А500С",Ведомость!$V$5:$V$846,"П-доп-верх",Ведомость!$W$5:$W$846,2)</f>
        <v>24</v>
      </c>
      <c r="AA58" s="32" t="n">
        <f aca="false">SUMIFS(Ведомость!$N$5:$N$846,Ведомость!$H$5:$H$846,20,Ведомость!$I$5:$I$846,"А500С",Ведомость!$V$5:$V$846,"П-край",Ведомость!$W$5:$W$846,2)</f>
        <v>0</v>
      </c>
      <c r="AB58" s="32" t="n">
        <f aca="false">SUMIFS(Ведомость!$N$5:$N$846,Ведомость!$H$5:$H$846,20,Ведомость!$I$5:$I$846,"А500С",Ведомость!$V$5:$V$846,"С-1",Ведомость!$W$5:$W$846,2)</f>
        <v>0</v>
      </c>
      <c r="AC58" s="32" t="n">
        <f aca="false">SUMIFS(Ведомость!$N$5:$N$846,Ведомость!$H$5:$H$846,20,Ведомость!$I$5:$I$846,"А500С",Ведомость!$V$5:$V$846,"Л1",Ведомость!$W$5:$W$846,2)</f>
        <v>0</v>
      </c>
      <c r="AD58" s="32" t="n">
        <f aca="false">SUMIFS(Ведомость!$N$5:$N$846,Ведомость!$H$5:$H$846,20,Ведомость!$I$5:$I$846,"А500С",Ведомость!$V$5:$V$846,"Л2",Ведомость!$W$5:$W$846,2)</f>
        <v>0</v>
      </c>
      <c r="AE58" s="32" t="n">
        <f aca="false">SUMIFS(Ведомость!$N$5:$N$846,Ведомость!$H$5:$H$846,20,Ведомость!$I$5:$I$846,"А500С",Ведомость!$V$5:$V$846,"Л-пл",Ведомость!$W$5:$W$846,2)</f>
        <v>0</v>
      </c>
      <c r="AF58" s="32" t="n">
        <f aca="false">SUMIFS(Ведомость!$N$5:$N$846,Ведомость!$H$5:$H$846,20,Ведомость!$I$5:$I$846,"А500С",Ведомость!$V$5:$V$846,"Л-рама",Ведомость!$W$5:$W$846,2)</f>
        <v>0</v>
      </c>
      <c r="AG58" s="33" t="n">
        <f aca="false">SUM(B58:AF58)</f>
        <v>714.16</v>
      </c>
      <c r="AH58" s="34" t="n">
        <f aca="false">IFERROR(INDEX(Исходные!$B$18:$B$30,MATCH(20,Исходные!$A$18:$A$30,0)),0)</f>
        <v>2.466</v>
      </c>
      <c r="AI58" s="33" t="n">
        <f aca="false">AG58*AH58*$AJ$2</f>
        <v>1884.3968592</v>
      </c>
      <c r="AJ58" s="35" t="n">
        <f aca="false">SUM(B58:D58,F58,H58,J58:M58)</f>
        <v>590.4</v>
      </c>
      <c r="AK58" s="36" t="n">
        <f aca="false">AH58</f>
        <v>2.466</v>
      </c>
      <c r="AL58" s="37" t="n">
        <f aca="false">AJ58*AK58*$AJ$2</f>
        <v>1557.841248</v>
      </c>
      <c r="AM58" s="35" t="n">
        <f aca="false">SUM(E58,G58,I58,N58:AB58)</f>
        <v>123.76</v>
      </c>
      <c r="AN58" s="36" t="n">
        <f aca="false">AH58</f>
        <v>2.466</v>
      </c>
      <c r="AO58" s="37" t="n">
        <f aca="false">AM58*AN58*$AJ$2</f>
        <v>326.5556112</v>
      </c>
      <c r="AP58" s="35" t="n">
        <f aca="false">SUM(AC58:AF58)</f>
        <v>0</v>
      </c>
      <c r="AQ58" s="36" t="n">
        <f aca="false">AH58</f>
        <v>2.466</v>
      </c>
      <c r="AR58" s="37" t="n">
        <f aca="false">AP58*AQ58*$AJ$2</f>
        <v>0</v>
      </c>
    </row>
    <row r="59" customFormat="false" ht="15" hidden="false" customHeight="false" outlineLevel="0" collapsed="false">
      <c r="A59" s="6" t="s">
        <v>125</v>
      </c>
      <c r="B59" s="32" t="n">
        <f aca="false">SUMIFS(Ведомость!$N$5:$N$846,Ведомость!$H$5:$H$846,18,Ведомость!$I$5:$I$846,"А500С",Ведомость!$V$5:$V$846,"Дм-1",Ведомость!$W$5:$W$846,2)</f>
        <v>0</v>
      </c>
      <c r="C59" s="32" t="n">
        <f aca="false">SUMIFS(Ведомость!$N$5:$N$846,Ведомость!$H$5:$H$846,18,Ведомость!$I$5:$I$846,"А500С",Ведомость!$V$5:$V$846,"Дм-2",Ведомость!$W$5:$W$846,2)</f>
        <v>44.928</v>
      </c>
      <c r="D59" s="32" t="n">
        <f aca="false">SUMIFS(Ведомость!$N$5:$N$846,Ведомость!$H$5:$H$846,18,Ведомость!$I$5:$I$846,"А500С",Ведомость!$V$5:$V$846,"К-А",Ведомость!$W$5:$W$846,2)</f>
        <v>0</v>
      </c>
      <c r="E59" s="32" t="n">
        <f aca="false">SUMIFS(Ведомость!$N$5:$N$846,Ведомость!$H$5:$H$846,18,Ведомость!$I$5:$I$846,"А500С",Ведомость!$V$5:$V$846,"Р-А",Ведомость!$W$5:$W$846,2)</f>
        <v>56.376</v>
      </c>
      <c r="F59" s="32" t="n">
        <f aca="false">SUMIFS(Ведомость!$N$5:$N$846,Ведомость!$H$5:$H$846,18,Ведомость!$I$5:$I$846,"А500С",Ведомость!$V$5:$V$846,"К-Б",Ведомость!$W$5:$W$846,2)</f>
        <v>0</v>
      </c>
      <c r="G59" s="32" t="n">
        <f aca="false">SUMIFS(Ведомость!$N$5:$N$846,Ведомость!$H$5:$H$846,18,Ведомость!$I$5:$I$846,"А500С",Ведомость!$V$5:$V$846,"Р-Б",Ведомость!$W$5:$W$846,2)</f>
        <v>51.576</v>
      </c>
      <c r="H59" s="32" t="n">
        <f aca="false">SUMIFS(Ведомость!$N$5:$N$846,Ведомость!$H$5:$H$846,18,Ведомость!$I$5:$I$846,"А500С",Ведомость!$V$5:$V$846,"К-В",Ведомость!$W$5:$W$846,2)</f>
        <v>0</v>
      </c>
      <c r="I59" s="32" t="n">
        <f aca="false">SUMIFS(Ведомость!$N$5:$N$846,Ведомость!$H$5:$H$846,18,Ведомость!$I$5:$I$846,"А500С",Ведомость!$V$5:$V$846,"Р-В",Ведомость!$W$5:$W$846,2)</f>
        <v>51.576</v>
      </c>
      <c r="J59" s="32" t="n">
        <f aca="false">SUMIFS(Ведомость!$N$5:$N$846,Ведомость!$H$5:$H$846,18,Ведомость!$I$5:$I$846,"А500С",Ведомость!$V$5:$V$846,"К-Г",Ведомость!$W$5:$W$846,2)</f>
        <v>0</v>
      </c>
      <c r="K59" s="32" t="n">
        <f aca="false">SUMIFS(Ведомость!$N$5:$N$846,Ведомость!$H$5:$H$846,18,Ведомость!$I$5:$I$846,"А500С",Ведомость!$V$5:$V$846,"Дм-3",Ведомость!$W$5:$W$846,2)</f>
        <v>52.416</v>
      </c>
      <c r="L59" s="32" t="n">
        <f aca="false">SUMIFS(Ведомость!$N$5:$N$846,Ведомость!$H$5:$H$846,18,Ведомость!$I$5:$I$846,"А500С",Ведомость!$V$5:$V$846,"Дм-4",Ведомость!$W$5:$W$846,2)</f>
        <v>0</v>
      </c>
      <c r="M59" s="32" t="n">
        <f aca="false">SUMIFS(Ведомость!$N$5:$N$846,Ведомость!$H$5:$H$846,18,Ведомость!$I$5:$I$846,"А500С",Ведомость!$V$5:$V$846,"Дм-5",Ведомость!$W$5:$W$846,2)</f>
        <v>22.464</v>
      </c>
      <c r="N59" s="32" t="n">
        <f aca="false">SUMIFS(Ведомость!$N$5:$N$846,Ведомость!$H$5:$H$846,18,Ведомость!$I$5:$I$846,"А500С",Ведомость!$V$5:$V$846,"Р-Г",Ведомость!$W$5:$W$846,2)</f>
        <v>51.576</v>
      </c>
      <c r="O59" s="32" t="n">
        <f aca="false">SUMIFS(Ведомость!$N$5:$N$846,Ведомость!$H$5:$H$846,18,Ведомость!$I$5:$I$846,"А500С",Ведомость!$V$5:$V$846,"Р-1, 5",Ведомость!$W$5:$W$846,2)</f>
        <v>82.576</v>
      </c>
      <c r="P59" s="32" t="n">
        <f aca="false">SUMIFS(Ведомость!$N$5:$N$846,Ведомость!$H$5:$H$846,18,Ведомость!$I$5:$I$846,"А500С",Ведомость!$V$5:$V$846,"Р-2",Ведомость!$W$5:$W$846,2)</f>
        <v>41.288</v>
      </c>
      <c r="Q59" s="32" t="n">
        <f aca="false">SUMIFS(Ведомость!$N$5:$N$846,Ведомость!$H$5:$H$846,18,Ведомость!$I$5:$I$846,"А500С",Ведомость!$V$5:$V$846,"Р-3",Ведомость!$W$5:$W$846,2)</f>
        <v>51.188</v>
      </c>
      <c r="R59" s="32" t="n">
        <f aca="false">SUMIFS(Ведомость!$N$5:$N$846,Ведомость!$H$5:$H$846,18,Ведомость!$I$5:$I$846,"А500С",Ведомость!$V$5:$V$846,"Р-4",Ведомость!$W$5:$W$846,2)</f>
        <v>41.288</v>
      </c>
      <c r="S59" s="32" t="n">
        <f aca="false">SUMIFS(Ведомость!$N$5:$N$846,Ведомость!$H$5:$H$846,18,Ведомость!$I$5:$I$846,"А500С",Ведомость!$V$5:$V$846,"Б-основная",Ведомость!$W$5:$W$846,2)</f>
        <v>0</v>
      </c>
      <c r="T59" s="32" t="n">
        <f aca="false">SUMIFS(Ведомость!$N$5:$N$846,Ведомость!$H$5:$H$846,18,Ведомость!$I$5:$I$846,"А500С",Ведомость!$V$5:$V$846,"Б-хомуты",Ведомость!$W$5:$W$846,2)</f>
        <v>0</v>
      </c>
      <c r="U59" s="32" t="n">
        <f aca="false">SUMIFS(Ведомость!$N$5:$N$846,Ведомость!$H$5:$H$846,18,Ведомость!$I$5:$I$846,"А500С",Ведомость!$V$5:$V$846,"Б-допник",Ведомость!$W$5:$W$846,2)</f>
        <v>50.4</v>
      </c>
      <c r="V59" s="32" t="n">
        <f aca="false">SUMIFS(Ведомость!$N$5:$N$846,Ведомость!$H$5:$H$846,18,Ведомость!$I$5:$I$846,"А500С",Ведомость!$V$5:$V$846,"П-сетка",Ведомость!$W$5:$W$846,2)</f>
        <v>0</v>
      </c>
      <c r="W59" s="32" t="n">
        <f aca="false">SUMIFS(Ведомость!$N$5:$N$846,Ведомость!$H$5:$H$846,18,Ведомость!$I$5:$I$846,"А500С",Ведомость!$V$5:$V$846,"П-фикс",Ведомость!$W$5:$W$846,2)</f>
        <v>0</v>
      </c>
      <c r="X59" s="32" t="n">
        <f aca="false">SUMIFS(Ведомость!$N$5:$N$846,Ведомость!$H$5:$H$846,18,Ведомость!$I$5:$I$846,"А500С",Ведомость!$V$5:$V$846,"П-отв",Ведомость!$W$5:$W$846,2)</f>
        <v>0</v>
      </c>
      <c r="Y59" s="32" t="n">
        <f aca="false">SUMIFS(Ведомость!$N$5:$N$846,Ведомость!$H$5:$H$846,18,Ведомость!$I$5:$I$846,"А500С",Ведомость!$V$5:$V$846,"П-доп-низ",Ведомость!$W$5:$W$846,2)</f>
        <v>0</v>
      </c>
      <c r="Z59" s="32" t="n">
        <f aca="false">SUMIFS(Ведомость!$N$5:$N$846,Ведомость!$H$5:$H$846,18,Ведомость!$I$5:$I$846,"А500С",Ведомость!$V$5:$V$846,"П-доп-верх",Ведомость!$W$5:$W$846,2)</f>
        <v>4.7</v>
      </c>
      <c r="AA59" s="32" t="n">
        <f aca="false">SUMIFS(Ведомость!$N$5:$N$846,Ведомость!$H$5:$H$846,18,Ведомость!$I$5:$I$846,"А500С",Ведомость!$V$5:$V$846,"П-край",Ведомость!$W$5:$W$846,2)</f>
        <v>0</v>
      </c>
      <c r="AB59" s="32" t="n">
        <f aca="false">SUMIFS(Ведомость!$N$5:$N$846,Ведомость!$H$5:$H$846,18,Ведомость!$I$5:$I$846,"А500С",Ведомость!$V$5:$V$846,"С-1",Ведомость!$W$5:$W$846,2)</f>
        <v>0</v>
      </c>
      <c r="AC59" s="32" t="n">
        <f aca="false">SUMIFS(Ведомость!$N$5:$N$846,Ведомость!$H$5:$H$846,18,Ведомость!$I$5:$I$846,"А500С",Ведомость!$V$5:$V$846,"Л1",Ведомость!$W$5:$W$846,2)</f>
        <v>109.962</v>
      </c>
      <c r="AD59" s="32" t="n">
        <f aca="false">SUMIFS(Ведомость!$N$5:$N$846,Ведомость!$H$5:$H$846,18,Ведомость!$I$5:$I$846,"А500С",Ведомость!$V$5:$V$846,"Л2",Ведомость!$W$5:$W$846,2)</f>
        <v>109.962</v>
      </c>
      <c r="AE59" s="32" t="n">
        <f aca="false">SUMIFS(Ведомость!$N$5:$N$846,Ведомость!$H$5:$H$846,18,Ведомость!$I$5:$I$846,"А500С",Ведомость!$V$5:$V$846,"Л-пл",Ведомость!$W$5:$W$846,2)</f>
        <v>0</v>
      </c>
      <c r="AF59" s="32" t="n">
        <f aca="false">SUMIFS(Ведомость!$N$5:$N$846,Ведомость!$H$5:$H$846,18,Ведомость!$I$5:$I$846,"А500С",Ведомость!$V$5:$V$846,"Л-рама",Ведомость!$W$5:$W$846,2)</f>
        <v>0</v>
      </c>
      <c r="AG59" s="33" t="n">
        <f aca="false">SUM(B59:AF59)</f>
        <v>822.276</v>
      </c>
      <c r="AH59" s="34" t="n">
        <f aca="false">IFERROR(INDEX(Исходные!$B$18:$B$30,MATCH(18,Исходные!$A$18:$A$30,0)),0)</f>
        <v>1.998</v>
      </c>
      <c r="AI59" s="33" t="n">
        <f aca="false">AG59*AH59*$AJ$2</f>
        <v>1757.91096936</v>
      </c>
      <c r="AJ59" s="35" t="n">
        <f aca="false">SUM(B59:D59,F59,H59,J59:M59)</f>
        <v>119.808</v>
      </c>
      <c r="AK59" s="36" t="n">
        <f aca="false">AH59</f>
        <v>1.998</v>
      </c>
      <c r="AL59" s="37" t="n">
        <f aca="false">AJ59*AK59*$AJ$2</f>
        <v>256.13273088</v>
      </c>
      <c r="AM59" s="35" t="n">
        <f aca="false">SUM(E59,G59,I59,N59:AB59)</f>
        <v>482.544</v>
      </c>
      <c r="AN59" s="36" t="n">
        <f aca="false">AH59</f>
        <v>1.998</v>
      </c>
      <c r="AO59" s="37" t="n">
        <f aca="false">AM59*AN59*$AJ$2</f>
        <v>1031.61151584</v>
      </c>
      <c r="AP59" s="35" t="n">
        <f aca="false">SUM(AC59:AF59)</f>
        <v>219.924</v>
      </c>
      <c r="AQ59" s="36" t="n">
        <f aca="false">AH59</f>
        <v>1.998</v>
      </c>
      <c r="AR59" s="37" t="n">
        <f aca="false">AP59*AQ59*$AJ$2</f>
        <v>470.16672264</v>
      </c>
    </row>
    <row r="60" customFormat="false" ht="15" hidden="false" customHeight="false" outlineLevel="0" collapsed="false">
      <c r="A60" s="6" t="s">
        <v>126</v>
      </c>
      <c r="B60" s="32" t="n">
        <f aca="false">SUMIFS(Ведомость!$N$5:$N$846,Ведомость!$H$5:$H$846,16,Ведомость!$I$5:$I$846,"А500С",Ведомость!$V$5:$V$846,"Дм-1",Ведомость!$W$5:$W$846,2)</f>
        <v>116.736</v>
      </c>
      <c r="C60" s="32" t="n">
        <f aca="false">SUMIFS(Ведомость!$N$5:$N$846,Ведомость!$H$5:$H$846,16,Ведомость!$I$5:$I$846,"А500С",Ведомость!$V$5:$V$846,"Дм-2",Ведомость!$W$5:$W$846,2)</f>
        <v>72</v>
      </c>
      <c r="D60" s="32" t="n">
        <f aca="false">SUMIFS(Ведомость!$N$5:$N$846,Ведомость!$H$5:$H$846,16,Ведомость!$I$5:$I$846,"А500С",Ведомость!$V$5:$V$846,"К-А",Ведомость!$W$5:$W$846,2)</f>
        <v>0</v>
      </c>
      <c r="E60" s="32" t="n">
        <f aca="false">SUMIFS(Ведомость!$N$5:$N$846,Ведомость!$H$5:$H$846,16,Ведомость!$I$5:$I$846,"А500С",Ведомость!$V$5:$V$846,"Р-А",Ведомость!$W$5:$W$846,2)</f>
        <v>70.412</v>
      </c>
      <c r="F60" s="32" t="n">
        <f aca="false">SUMIFS(Ведомость!$N$5:$N$846,Ведомость!$H$5:$H$846,16,Ведомость!$I$5:$I$846,"А500С",Ведомость!$V$5:$V$846,"К-Б",Ведомость!$W$5:$W$846,2)</f>
        <v>0</v>
      </c>
      <c r="G60" s="32" t="n">
        <f aca="false">SUMIFS(Ведомость!$N$5:$N$846,Ведомость!$H$5:$H$846,16,Ведомость!$I$5:$I$846,"А500С",Ведомость!$V$5:$V$846,"Р-Б",Ведомость!$W$5:$W$846,2)</f>
        <v>74.412</v>
      </c>
      <c r="H60" s="32" t="n">
        <f aca="false">SUMIFS(Ведомость!$N$5:$N$846,Ведомость!$H$5:$H$846,16,Ведомость!$I$5:$I$846,"А500С",Ведомость!$V$5:$V$846,"К-В",Ведомость!$W$5:$W$846,2)</f>
        <v>0</v>
      </c>
      <c r="I60" s="32" t="n">
        <f aca="false">SUMIFS(Ведомость!$N$5:$N$846,Ведомость!$H$5:$H$846,16,Ведомость!$I$5:$I$846,"А500С",Ведомость!$V$5:$V$846,"Р-В",Ведомость!$W$5:$W$846,2)</f>
        <v>74.412</v>
      </c>
      <c r="J60" s="32" t="n">
        <f aca="false">SUMIFS(Ведомость!$N$5:$N$846,Ведомость!$H$5:$H$846,16,Ведомость!$I$5:$I$846,"А500С",Ведомость!$V$5:$V$846,"К-Г",Ведомость!$W$5:$W$846,2)</f>
        <v>0</v>
      </c>
      <c r="K60" s="32" t="n">
        <f aca="false">SUMIFS(Ведомость!$N$5:$N$846,Ведомость!$H$5:$H$846,16,Ведомость!$I$5:$I$846,"А500С",Ведомость!$V$5:$V$846,"Дм-3",Ведомость!$W$5:$W$846,2)</f>
        <v>30.1</v>
      </c>
      <c r="L60" s="32" t="n">
        <f aca="false">SUMIFS(Ведомость!$N$5:$N$846,Ведомость!$H$5:$H$846,16,Ведомость!$I$5:$I$846,"А500С",Ведомость!$V$5:$V$846,"Дм-4",Ведомость!$W$5:$W$846,2)</f>
        <v>22.368</v>
      </c>
      <c r="M60" s="32" t="n">
        <f aca="false">SUMIFS(Ведомость!$N$5:$N$846,Ведомость!$H$5:$H$846,16,Ведомость!$I$5:$I$846,"А500С",Ведомость!$V$5:$V$846,"Дм-5",Ведомость!$W$5:$W$846,2)</f>
        <v>14.912</v>
      </c>
      <c r="N60" s="32" t="n">
        <f aca="false">SUMIFS(Ведомость!$N$5:$N$846,Ведомость!$H$5:$H$846,16,Ведомость!$I$5:$I$846,"А500С",Ведомость!$V$5:$V$846,"Р-Г",Ведомость!$W$5:$W$846,2)</f>
        <v>55.212</v>
      </c>
      <c r="O60" s="32" t="n">
        <f aca="false">SUMIFS(Ведомость!$N$5:$N$846,Ведомость!$H$5:$H$846,16,Ведомость!$I$5:$I$846,"А500С",Ведомость!$V$5:$V$846,"Р-1, 5",Ведомость!$W$5:$W$846,2)</f>
        <v>106.112</v>
      </c>
      <c r="P60" s="32" t="n">
        <f aca="false">SUMIFS(Ведомость!$N$5:$N$846,Ведомость!$H$5:$H$846,16,Ведомость!$I$5:$I$846,"А500С",Ведомость!$V$5:$V$846,"Р-2",Ведомость!$W$5:$W$846,2)</f>
        <v>41.256</v>
      </c>
      <c r="Q60" s="32" t="n">
        <f aca="false">SUMIFS(Ведомость!$N$5:$N$846,Ведомость!$H$5:$H$846,16,Ведомость!$I$5:$I$846,"А500С",Ведомость!$V$5:$V$846,"Р-3",Ведомость!$W$5:$W$846,2)</f>
        <v>47.056</v>
      </c>
      <c r="R60" s="32" t="n">
        <f aca="false">SUMIFS(Ведомость!$N$5:$N$846,Ведомость!$H$5:$H$846,16,Ведомость!$I$5:$I$846,"А500С",Ведомость!$V$5:$V$846,"Р-4",Ведомость!$W$5:$W$846,2)</f>
        <v>53.056</v>
      </c>
      <c r="S60" s="32" t="n">
        <f aca="false">SUMIFS(Ведомость!$N$5:$N$846,Ведомость!$H$5:$H$846,16,Ведомость!$I$5:$I$846,"А500С",Ведомость!$V$5:$V$846,"Б-основная",Ведомость!$W$5:$W$846,2)</f>
        <v>0</v>
      </c>
      <c r="T60" s="32" t="n">
        <f aca="false">SUMIFS(Ведомость!$N$5:$N$846,Ведомость!$H$5:$H$846,16,Ведомость!$I$5:$I$846,"А500С",Ведомость!$V$5:$V$846,"Б-хомуты",Ведомость!$W$5:$W$846,2)</f>
        <v>0</v>
      </c>
      <c r="U60" s="32" t="n">
        <f aca="false">SUMIFS(Ведомость!$N$5:$N$846,Ведомость!$H$5:$H$846,16,Ведомость!$I$5:$I$846,"А500С",Ведомость!$V$5:$V$846,"Б-допник",Ведомость!$W$5:$W$846,2)</f>
        <v>0</v>
      </c>
      <c r="V60" s="32" t="n">
        <f aca="false">SUMIFS(Ведомость!$N$5:$N$846,Ведомость!$H$5:$H$846,16,Ведомость!$I$5:$I$846,"А500С",Ведомость!$V$5:$V$846,"П-сетка",Ведомость!$W$5:$W$846,2)</f>
        <v>0</v>
      </c>
      <c r="W60" s="32" t="n">
        <f aca="false">SUMIFS(Ведомость!$N$5:$N$846,Ведомость!$H$5:$H$846,16,Ведомость!$I$5:$I$846,"А500С",Ведомость!$V$5:$V$846,"П-фикс",Ведомость!$W$5:$W$846,2)</f>
        <v>0</v>
      </c>
      <c r="X60" s="32" t="n">
        <f aca="false">SUMIFS(Ведомость!$N$5:$N$846,Ведомость!$H$5:$H$846,16,Ведомость!$I$5:$I$846,"А500С",Ведомость!$V$5:$V$846,"П-отв",Ведомость!$W$5:$W$846,2)</f>
        <v>0</v>
      </c>
      <c r="Y60" s="32" t="n">
        <f aca="false">SUMIFS(Ведомость!$N$5:$N$846,Ведомость!$H$5:$H$846,16,Ведомость!$I$5:$I$846,"А500С",Ведомость!$V$5:$V$846,"П-доп-низ",Ведомость!$W$5:$W$846,2)</f>
        <v>0</v>
      </c>
      <c r="Z60" s="32" t="n">
        <f aca="false">SUMIFS(Ведомость!$N$5:$N$846,Ведомость!$H$5:$H$846,16,Ведомость!$I$5:$I$846,"А500С",Ведомость!$V$5:$V$846,"П-доп-верх",Ведомость!$W$5:$W$846,2)</f>
        <v>0</v>
      </c>
      <c r="AA60" s="32" t="n">
        <f aca="false">SUMIFS(Ведомость!$N$5:$N$846,Ведомость!$H$5:$H$846,16,Ведомость!$I$5:$I$846,"А500С",Ведомость!$V$5:$V$846,"П-край",Ведомость!$W$5:$W$846,2)</f>
        <v>0</v>
      </c>
      <c r="AB60" s="32" t="n">
        <f aca="false">SUMIFS(Ведомость!$N$5:$N$846,Ведомость!$H$5:$H$846,16,Ведомость!$I$5:$I$846,"А500С",Ведомость!$V$5:$V$846,"С-1",Ведомость!$W$5:$W$846,2)</f>
        <v>0</v>
      </c>
      <c r="AC60" s="32" t="n">
        <f aca="false">SUMIFS(Ведомость!$N$5:$N$846,Ведомость!$H$5:$H$846,16,Ведомость!$I$5:$I$846,"А500С",Ведомость!$V$5:$V$846,"Л1",Ведомость!$W$5:$W$846,2)</f>
        <v>0</v>
      </c>
      <c r="AD60" s="32" t="n">
        <f aca="false">SUMIFS(Ведомость!$N$5:$N$846,Ведомость!$H$5:$H$846,16,Ведомость!$I$5:$I$846,"А500С",Ведомость!$V$5:$V$846,"Л2",Ведомость!$W$5:$W$846,2)</f>
        <v>0</v>
      </c>
      <c r="AE60" s="32" t="n">
        <f aca="false">SUMIFS(Ведомость!$N$5:$N$846,Ведомость!$H$5:$H$846,16,Ведомость!$I$5:$I$846,"А500С",Ведомость!$V$5:$V$846,"Л-пл",Ведомость!$W$5:$W$846,2)</f>
        <v>0</v>
      </c>
      <c r="AF60" s="32" t="n">
        <f aca="false">SUMIFS(Ведомость!$N$5:$N$846,Ведомость!$H$5:$H$846,16,Ведомость!$I$5:$I$846,"А500С",Ведомость!$V$5:$V$846,"Л-рама",Ведомость!$W$5:$W$846,2)</f>
        <v>0</v>
      </c>
      <c r="AG60" s="33" t="n">
        <f aca="false">SUM(B60:AF60)</f>
        <v>778.044</v>
      </c>
      <c r="AH60" s="34" t="n">
        <f aca="false">IFERROR(INDEX(Исходные!$B$18:$B$30,MATCH(16,Исходные!$A$18:$A$30,0)),0)</f>
        <v>1.578</v>
      </c>
      <c r="AI60" s="33" t="n">
        <f aca="false">AG60*AH60*$AJ$2</f>
        <v>1313.69617224</v>
      </c>
      <c r="AJ60" s="35" t="n">
        <f aca="false">SUM(B60:D60,F60,H60,J60:M60)</f>
        <v>256.116</v>
      </c>
      <c r="AK60" s="36" t="n">
        <f aca="false">AH60</f>
        <v>1.578</v>
      </c>
      <c r="AL60" s="37" t="n">
        <f aca="false">AJ60*AK60*$AJ$2</f>
        <v>432.44162136</v>
      </c>
      <c r="AM60" s="35" t="n">
        <f aca="false">SUM(E60,G60,I60,N60:AB60)</f>
        <v>521.928</v>
      </c>
      <c r="AN60" s="36" t="n">
        <f aca="false">AH60</f>
        <v>1.578</v>
      </c>
      <c r="AO60" s="37" t="n">
        <f aca="false">AM60*AN60*$AJ$2</f>
        <v>881.25455088</v>
      </c>
      <c r="AP60" s="35" t="n">
        <f aca="false">SUM(AC60:AF60)</f>
        <v>0</v>
      </c>
      <c r="AQ60" s="36" t="n">
        <f aca="false">AH60</f>
        <v>1.578</v>
      </c>
      <c r="AR60" s="37" t="n">
        <f aca="false">AP60*AQ60*$AJ$2</f>
        <v>0</v>
      </c>
    </row>
    <row r="61" customFormat="false" ht="15" hidden="false" customHeight="false" outlineLevel="0" collapsed="false">
      <c r="A61" s="6" t="s">
        <v>127</v>
      </c>
      <c r="B61" s="32" t="n">
        <f aca="false">SUMIFS(Ведомость!$N$5:$N$846,Ведомость!$H$5:$H$846,14,Ведомость!$I$5:$I$846,"А500С",Ведомость!$V$5:$V$846,"Дм-1",Ведомость!$W$5:$W$846,2)</f>
        <v>125.996</v>
      </c>
      <c r="C61" s="32" t="n">
        <f aca="false">SUMIFS(Ведомость!$N$5:$N$846,Ведомость!$H$5:$H$846,14,Ведомость!$I$5:$I$846,"А500С",Ведомость!$V$5:$V$846,"Дм-2",Ведомость!$W$5:$W$846,2)</f>
        <v>47.2</v>
      </c>
      <c r="D61" s="32" t="n">
        <f aca="false">SUMIFS(Ведомость!$N$5:$N$846,Ведомость!$H$5:$H$846,14,Ведомость!$I$5:$I$846,"А500С",Ведомость!$V$5:$V$846,"К-А",Ведомость!$W$5:$W$846,2)</f>
        <v>0</v>
      </c>
      <c r="E61" s="32" t="n">
        <f aca="false">SUMIFS(Ведомость!$N$5:$N$846,Ведомость!$H$5:$H$846,14,Ведомость!$I$5:$I$846,"А500С",Ведомость!$V$5:$V$846,"Р-А",Ведомость!$W$5:$W$846,2)</f>
        <v>0</v>
      </c>
      <c r="F61" s="32" t="n">
        <f aca="false">SUMIFS(Ведомость!$N$5:$N$846,Ведомость!$H$5:$H$846,14,Ведомость!$I$5:$I$846,"А500С",Ведомость!$V$5:$V$846,"К-Б",Ведомость!$W$5:$W$846,2)</f>
        <v>0</v>
      </c>
      <c r="G61" s="32" t="n">
        <f aca="false">SUMIFS(Ведомость!$N$5:$N$846,Ведомость!$H$5:$H$846,14,Ведомость!$I$5:$I$846,"А500С",Ведомость!$V$5:$V$846,"Р-Б",Ведомость!$W$5:$W$846,2)</f>
        <v>14.8</v>
      </c>
      <c r="H61" s="32" t="n">
        <f aca="false">SUMIFS(Ведомость!$N$5:$N$846,Ведомость!$H$5:$H$846,14,Ведомость!$I$5:$I$846,"А500С",Ведомость!$V$5:$V$846,"К-В",Ведомость!$W$5:$W$846,2)</f>
        <v>0</v>
      </c>
      <c r="I61" s="32" t="n">
        <f aca="false">SUMIFS(Ведомость!$N$5:$N$846,Ведомость!$H$5:$H$846,14,Ведомость!$I$5:$I$846,"А500С",Ведомость!$V$5:$V$846,"Р-В",Ведомость!$W$5:$W$846,2)</f>
        <v>23.6</v>
      </c>
      <c r="J61" s="32" t="n">
        <f aca="false">SUMIFS(Ведомость!$N$5:$N$846,Ведомость!$H$5:$H$846,14,Ведомость!$I$5:$I$846,"А500С",Ведомость!$V$5:$V$846,"К-Г",Ведомость!$W$5:$W$846,2)</f>
        <v>0</v>
      </c>
      <c r="K61" s="32" t="n">
        <f aca="false">SUMIFS(Ведомость!$N$5:$N$846,Ведомость!$H$5:$H$846,14,Ведомость!$I$5:$I$846,"А500С",Ведомость!$V$5:$V$846,"Дм-3",Ведомость!$W$5:$W$846,2)</f>
        <v>108.8</v>
      </c>
      <c r="L61" s="32" t="n">
        <f aca="false">SUMIFS(Ведомость!$N$5:$N$846,Ведомость!$H$5:$H$846,14,Ведомость!$I$5:$I$846,"А500С",Ведомость!$V$5:$V$846,"Дм-4",Ведомость!$W$5:$W$846,2)</f>
        <v>63.8</v>
      </c>
      <c r="M61" s="32" t="n">
        <f aca="false">SUMIFS(Ведомость!$N$5:$N$846,Ведомость!$H$5:$H$846,14,Ведомость!$I$5:$I$846,"А500С",Ведомость!$V$5:$V$846,"Дм-5",Ведомость!$W$5:$W$846,2)</f>
        <v>63.8</v>
      </c>
      <c r="N61" s="32" t="n">
        <f aca="false">SUMIFS(Ведомость!$N$5:$N$846,Ведомость!$H$5:$H$846,14,Ведомость!$I$5:$I$846,"А500С",Ведомость!$V$5:$V$846,"Р-Г",Ведомость!$W$5:$W$846,2)</f>
        <v>0</v>
      </c>
      <c r="O61" s="32" t="n">
        <f aca="false">SUMIFS(Ведомость!$N$5:$N$846,Ведомость!$H$5:$H$846,14,Ведомость!$I$5:$I$846,"А500С",Ведомость!$V$5:$V$846,"Р-1, 5",Ведомость!$W$5:$W$846,2)</f>
        <v>0</v>
      </c>
      <c r="P61" s="32" t="n">
        <f aca="false">SUMIFS(Ведомость!$N$5:$N$846,Ведомость!$H$5:$H$846,14,Ведомость!$I$5:$I$846,"А500С",Ведомость!$V$5:$V$846,"Р-2",Ведомость!$W$5:$W$846,2)</f>
        <v>60.3</v>
      </c>
      <c r="Q61" s="32" t="n">
        <f aca="false">SUMIFS(Ведомость!$N$5:$N$846,Ведомость!$H$5:$H$846,14,Ведомость!$I$5:$I$846,"А500С",Ведомость!$V$5:$V$846,"Р-3",Ведомость!$W$5:$W$846,2)</f>
        <v>0</v>
      </c>
      <c r="R61" s="32" t="n">
        <f aca="false">SUMIFS(Ведомость!$N$5:$N$846,Ведомость!$H$5:$H$846,14,Ведомость!$I$5:$I$846,"А500С",Ведомость!$V$5:$V$846,"Р-4",Ведомость!$W$5:$W$846,2)</f>
        <v>6.8</v>
      </c>
      <c r="S61" s="32" t="n">
        <f aca="false">SUMIFS(Ведомость!$N$5:$N$846,Ведомость!$H$5:$H$846,14,Ведомость!$I$5:$I$846,"А500С",Ведомость!$V$5:$V$846,"Б-основная",Ведомость!$W$5:$W$846,2)</f>
        <v>0</v>
      </c>
      <c r="T61" s="32" t="n">
        <f aca="false">SUMIFS(Ведомость!$N$5:$N$846,Ведомость!$H$5:$H$846,14,Ведомость!$I$5:$I$846,"А500С",Ведомость!$V$5:$V$846,"Б-хомуты",Ведомость!$W$5:$W$846,2)</f>
        <v>0</v>
      </c>
      <c r="U61" s="32" t="n">
        <f aca="false">SUMIFS(Ведомость!$N$5:$N$846,Ведомость!$H$5:$H$846,14,Ведомость!$I$5:$I$846,"А500С",Ведомость!$V$5:$V$846,"Б-допник",Ведомость!$W$5:$W$846,2)</f>
        <v>0</v>
      </c>
      <c r="V61" s="32" t="n">
        <f aca="false">SUMIFS(Ведомость!$N$5:$N$846,Ведомость!$H$5:$H$846,14,Ведомость!$I$5:$I$846,"А500С",Ведомость!$V$5:$V$846,"П-сетка",Ведомость!$W$5:$W$846,2)</f>
        <v>0</v>
      </c>
      <c r="W61" s="32" t="n">
        <f aca="false">SUMIFS(Ведомость!$N$5:$N$846,Ведомость!$H$5:$H$846,14,Ведомость!$I$5:$I$846,"А500С",Ведомость!$V$5:$V$846,"П-фикс",Ведомость!$W$5:$W$846,2)</f>
        <v>0</v>
      </c>
      <c r="X61" s="32" t="n">
        <f aca="false">SUMIFS(Ведомость!$N$5:$N$846,Ведомость!$H$5:$H$846,14,Ведомость!$I$5:$I$846,"А500С",Ведомость!$V$5:$V$846,"П-отв",Ведомость!$W$5:$W$846,2)</f>
        <v>0</v>
      </c>
      <c r="Y61" s="32" t="n">
        <f aca="false">SUMIFS(Ведомость!$N$5:$N$846,Ведомость!$H$5:$H$846,14,Ведомость!$I$5:$I$846,"А500С",Ведомость!$V$5:$V$846,"П-доп-низ",Ведомость!$W$5:$W$846,2)</f>
        <v>0</v>
      </c>
      <c r="Z61" s="32" t="n">
        <f aca="false">SUMIFS(Ведомость!$N$5:$N$846,Ведомость!$H$5:$H$846,14,Ведомость!$I$5:$I$846,"А500С",Ведомость!$V$5:$V$846,"П-доп-верх",Ведомость!$W$5:$W$846,2)</f>
        <v>0</v>
      </c>
      <c r="AA61" s="32" t="n">
        <f aca="false">SUMIFS(Ведомость!$N$5:$N$846,Ведомость!$H$5:$H$846,14,Ведомость!$I$5:$I$846,"А500С",Ведомость!$V$5:$V$846,"П-край",Ведомость!$W$5:$W$846,2)</f>
        <v>95.94</v>
      </c>
      <c r="AB61" s="32" t="n">
        <f aca="false">SUMIFS(Ведомость!$N$5:$N$846,Ведомость!$H$5:$H$846,14,Ведомость!$I$5:$I$846,"А500С",Ведомость!$V$5:$V$846,"С-1",Ведомость!$W$5:$W$846,2)</f>
        <v>0</v>
      </c>
      <c r="AC61" s="32" t="n">
        <f aca="false">SUMIFS(Ведомость!$N$5:$N$846,Ведомость!$H$5:$H$846,14,Ведомость!$I$5:$I$846,"А500С",Ведомость!$V$5:$V$846,"Л1",Ведомость!$W$5:$W$846,2)</f>
        <v>0</v>
      </c>
      <c r="AD61" s="32" t="n">
        <f aca="false">SUMIFS(Ведомость!$N$5:$N$846,Ведомость!$H$5:$H$846,14,Ведомость!$I$5:$I$846,"А500С",Ведомость!$V$5:$V$846,"Л2",Ведомость!$W$5:$W$846,2)</f>
        <v>0</v>
      </c>
      <c r="AE61" s="32" t="n">
        <f aca="false">SUMIFS(Ведомость!$N$5:$N$846,Ведомость!$H$5:$H$846,14,Ведомость!$I$5:$I$846,"А500С",Ведомость!$V$5:$V$846,"Л-пл",Ведомость!$W$5:$W$846,2)</f>
        <v>0</v>
      </c>
      <c r="AF61" s="32" t="n">
        <f aca="false">SUMIFS(Ведомость!$N$5:$N$846,Ведомость!$H$5:$H$846,14,Ведомость!$I$5:$I$846,"А500С",Ведомость!$V$5:$V$846,"Л-рама",Ведомость!$W$5:$W$846,2)</f>
        <v>0</v>
      </c>
      <c r="AG61" s="33" t="n">
        <f aca="false">SUM(B61:AF61)</f>
        <v>611.036</v>
      </c>
      <c r="AH61" s="34" t="n">
        <f aca="false">IFERROR(INDEX(Исходные!$B$18:$B$30,MATCH(14,Исходные!$A$18:$A$30,0)),0)</f>
        <v>1.208</v>
      </c>
      <c r="AI61" s="33" t="n">
        <f aca="false">AG61*AH61*$AJ$2</f>
        <v>789.80069216</v>
      </c>
      <c r="AJ61" s="35" t="n">
        <f aca="false">SUM(B61:D61,F61,H61,J61:M61)</f>
        <v>409.596</v>
      </c>
      <c r="AK61" s="36" t="n">
        <f aca="false">AH61</f>
        <v>1.208</v>
      </c>
      <c r="AL61" s="37" t="n">
        <f aca="false">AJ61*AK61*$AJ$2</f>
        <v>529.42740576</v>
      </c>
      <c r="AM61" s="35" t="n">
        <f aca="false">SUM(E61,G61,I61,N61:AB61)</f>
        <v>201.44</v>
      </c>
      <c r="AN61" s="36" t="n">
        <f aca="false">AH61</f>
        <v>1.208</v>
      </c>
      <c r="AO61" s="37" t="n">
        <f aca="false">AM61*AN61*$AJ$2</f>
        <v>260.3732864</v>
      </c>
      <c r="AP61" s="35" t="n">
        <f aca="false">SUM(AC61:AF61)</f>
        <v>0</v>
      </c>
      <c r="AQ61" s="36" t="n">
        <f aca="false">AH61</f>
        <v>1.208</v>
      </c>
      <c r="AR61" s="37" t="n">
        <f aca="false">AP61*AQ61*$AJ$2</f>
        <v>0</v>
      </c>
    </row>
    <row r="62" customFormat="false" ht="15" hidden="false" customHeight="false" outlineLevel="0" collapsed="false">
      <c r="A62" s="6" t="s">
        <v>128</v>
      </c>
      <c r="B62" s="32" t="n">
        <f aca="false">SUMIFS(Ведомость!$N$5:$N$846,Ведомость!$H$5:$H$846,12,Ведомость!$I$5:$I$846,"А500С",Ведомость!$V$5:$V$846,"Дм-1",Ведомость!$W$5:$W$846,2)</f>
        <v>27.3</v>
      </c>
      <c r="C62" s="32" t="n">
        <f aca="false">SUMIFS(Ведомость!$N$5:$N$846,Ведомость!$H$5:$H$846,12,Ведомость!$I$5:$I$846,"А500С",Ведомость!$V$5:$V$846,"Дм-2",Ведомость!$W$5:$W$846,2)</f>
        <v>19.7</v>
      </c>
      <c r="D62" s="32" t="n">
        <f aca="false">SUMIFS(Ведомость!$N$5:$N$846,Ведомость!$H$5:$H$846,12,Ведомость!$I$5:$I$846,"А500С",Ведомость!$V$5:$V$846,"К-А",Ведомость!$W$5:$W$846,2)</f>
        <v>0</v>
      </c>
      <c r="E62" s="32" t="n">
        <f aca="false">SUMIFS(Ведомость!$N$5:$N$846,Ведомость!$H$5:$H$846,12,Ведомость!$I$5:$I$846,"А500С",Ведомость!$V$5:$V$846,"Р-А",Ведомость!$W$5:$W$846,2)</f>
        <v>0</v>
      </c>
      <c r="F62" s="32" t="n">
        <f aca="false">SUMIFS(Ведомость!$N$5:$N$846,Ведомость!$H$5:$H$846,12,Ведомость!$I$5:$I$846,"А500С",Ведомость!$V$5:$V$846,"К-Б",Ведомость!$W$5:$W$846,2)</f>
        <v>0</v>
      </c>
      <c r="G62" s="32" t="n">
        <f aca="false">SUMIFS(Ведомость!$N$5:$N$846,Ведомость!$H$5:$H$846,12,Ведомость!$I$5:$I$846,"А500С",Ведомость!$V$5:$V$846,"Р-Б",Ведомость!$W$5:$W$846,2)</f>
        <v>68.784</v>
      </c>
      <c r="H62" s="32" t="n">
        <f aca="false">SUMIFS(Ведомость!$N$5:$N$846,Ведомость!$H$5:$H$846,12,Ведомость!$I$5:$I$846,"А500С",Ведомость!$V$5:$V$846,"К-В",Ведомость!$W$5:$W$846,2)</f>
        <v>0</v>
      </c>
      <c r="I62" s="32" t="n">
        <f aca="false">SUMIFS(Ведомость!$N$5:$N$846,Ведомость!$H$5:$H$846,12,Ведомость!$I$5:$I$846,"А500С",Ведомость!$V$5:$V$846,"Р-В",Ведомость!$W$5:$W$846,2)</f>
        <v>68.784</v>
      </c>
      <c r="J62" s="32" t="n">
        <f aca="false">SUMIFS(Ведомость!$N$5:$N$846,Ведомость!$H$5:$H$846,12,Ведомость!$I$5:$I$846,"А500С",Ведомость!$V$5:$V$846,"К-Г",Ведомость!$W$5:$W$846,2)</f>
        <v>0</v>
      </c>
      <c r="K62" s="32" t="n">
        <f aca="false">SUMIFS(Ведомость!$N$5:$N$846,Ведомость!$H$5:$H$846,12,Ведомость!$I$5:$I$846,"А500С",Ведомость!$V$5:$V$846,"Дм-3",Ведомость!$W$5:$W$846,2)</f>
        <v>0</v>
      </c>
      <c r="L62" s="32" t="n">
        <f aca="false">SUMIFS(Ведомость!$N$5:$N$846,Ведомость!$H$5:$H$846,12,Ведомость!$I$5:$I$846,"А500С",Ведомость!$V$5:$V$846,"Дм-4",Ведомость!$W$5:$W$846,2)</f>
        <v>0</v>
      </c>
      <c r="M62" s="32" t="n">
        <f aca="false">SUMIFS(Ведомость!$N$5:$N$846,Ведомость!$H$5:$H$846,12,Ведомость!$I$5:$I$846,"А500С",Ведомость!$V$5:$V$846,"Дм-5",Ведомость!$W$5:$W$846,2)</f>
        <v>60</v>
      </c>
      <c r="N62" s="32" t="n">
        <f aca="false">SUMIFS(Ведомость!$N$5:$N$846,Ведомость!$H$5:$H$846,12,Ведомость!$I$5:$I$846,"А500С",Ведомость!$V$5:$V$846,"Р-Г",Ведомость!$W$5:$W$846,2)</f>
        <v>11</v>
      </c>
      <c r="O62" s="32" t="n">
        <f aca="false">SUMIFS(Ведомость!$N$5:$N$846,Ведомость!$H$5:$H$846,12,Ведомость!$I$5:$I$846,"А500С",Ведомость!$V$5:$V$846,"Р-1, 5",Ведомость!$W$5:$W$846,2)</f>
        <v>16.4</v>
      </c>
      <c r="P62" s="32" t="n">
        <f aca="false">SUMIFS(Ведомость!$N$5:$N$846,Ведомость!$H$5:$H$846,12,Ведомость!$I$5:$I$846,"А500С",Ведомость!$V$5:$V$846,"Р-2",Ведомость!$W$5:$W$846,2)</f>
        <v>0</v>
      </c>
      <c r="Q62" s="32" t="n">
        <f aca="false">SUMIFS(Ведомость!$N$5:$N$846,Ведомость!$H$5:$H$846,12,Ведомость!$I$5:$I$846,"А500С",Ведомость!$V$5:$V$846,"Р-3",Ведомость!$W$5:$W$846,2)</f>
        <v>38.6</v>
      </c>
      <c r="R62" s="32" t="n">
        <f aca="false">SUMIFS(Ведомость!$N$5:$N$846,Ведомость!$H$5:$H$846,12,Ведомость!$I$5:$I$846,"А500С",Ведомость!$V$5:$V$846,"Р-4",Ведомость!$W$5:$W$846,2)</f>
        <v>46.8</v>
      </c>
      <c r="S62" s="32" t="n">
        <f aca="false">SUMIFS(Ведомость!$N$5:$N$846,Ведомость!$H$5:$H$846,12,Ведомость!$I$5:$I$846,"А500С",Ведомость!$V$5:$V$846,"Б-основная",Ведомость!$W$5:$W$846,2)</f>
        <v>0</v>
      </c>
      <c r="T62" s="32" t="n">
        <f aca="false">SUMIFS(Ведомость!$N$5:$N$846,Ведомость!$H$5:$H$846,12,Ведомость!$I$5:$I$846,"А500С",Ведомость!$V$5:$V$846,"Б-хомуты",Ведомость!$W$5:$W$846,2)</f>
        <v>0</v>
      </c>
      <c r="U62" s="32" t="n">
        <f aca="false">SUMIFS(Ведомость!$N$5:$N$846,Ведомость!$H$5:$H$846,12,Ведомость!$I$5:$I$846,"А500С",Ведомость!$V$5:$V$846,"Б-допник",Ведомость!$W$5:$W$846,2)</f>
        <v>0</v>
      </c>
      <c r="V62" s="32" t="n">
        <f aca="false">SUMIFS(Ведомость!$N$5:$N$846,Ведомость!$H$5:$H$846,12,Ведомость!$I$5:$I$846,"А500С",Ведомость!$V$5:$V$846,"П-сетка",Ведомость!$W$5:$W$846,2)</f>
        <v>0</v>
      </c>
      <c r="W62" s="32" t="n">
        <f aca="false">SUMIFS(Ведомость!$N$5:$N$846,Ведомость!$H$5:$H$846,12,Ведомость!$I$5:$I$846,"А500С",Ведомость!$V$5:$V$846,"П-фикс",Ведомость!$W$5:$W$846,2)</f>
        <v>0</v>
      </c>
      <c r="X62" s="32" t="n">
        <f aca="false">SUMIFS(Ведомость!$N$5:$N$846,Ведомость!$H$5:$H$846,12,Ведомость!$I$5:$I$846,"А500С",Ведомость!$V$5:$V$846,"П-отв",Ведомость!$W$5:$W$846,2)</f>
        <v>0</v>
      </c>
      <c r="Y62" s="32" t="n">
        <f aca="false">SUMIFS(Ведомость!$N$5:$N$846,Ведомость!$H$5:$H$846,12,Ведомость!$I$5:$I$846,"А500С",Ведомость!$V$5:$V$846,"П-доп-низ",Ведомость!$W$5:$W$846,2)</f>
        <v>0</v>
      </c>
      <c r="Z62" s="32" t="n">
        <f aca="false">SUMIFS(Ведомость!$N$5:$N$846,Ведомость!$H$5:$H$846,12,Ведомость!$I$5:$I$846,"А500С",Ведомость!$V$5:$V$846,"П-доп-верх",Ведомость!$W$5:$W$846,2)</f>
        <v>43.2</v>
      </c>
      <c r="AA62" s="32" t="n">
        <f aca="false">SUMIFS(Ведомость!$N$5:$N$846,Ведомость!$H$5:$H$846,12,Ведомость!$I$5:$I$846,"А500С",Ведомость!$V$5:$V$846,"П-край",Ведомость!$W$5:$W$846,2)</f>
        <v>0</v>
      </c>
      <c r="AB62" s="32" t="n">
        <f aca="false">SUMIFS(Ведомость!$N$5:$N$846,Ведомость!$H$5:$H$846,12,Ведомость!$I$5:$I$846,"А500С",Ведомость!$V$5:$V$846,"С-1",Ведомость!$W$5:$W$846,2)</f>
        <v>0</v>
      </c>
      <c r="AC62" s="32" t="n">
        <f aca="false">SUMIFS(Ведомость!$N$5:$N$846,Ведомость!$H$5:$H$846,12,Ведомость!$I$5:$I$846,"А500С",Ведомость!$V$5:$V$846,"Л1",Ведомость!$W$5:$W$846,2)</f>
        <v>0</v>
      </c>
      <c r="AD62" s="32" t="n">
        <f aca="false">SUMIFS(Ведомость!$N$5:$N$846,Ведомость!$H$5:$H$846,12,Ведомость!$I$5:$I$846,"А500С",Ведомость!$V$5:$V$846,"Л2",Ведомость!$W$5:$W$846,2)</f>
        <v>0</v>
      </c>
      <c r="AE62" s="32" t="n">
        <f aca="false">SUMIFS(Ведомость!$N$5:$N$846,Ведомость!$H$5:$H$846,12,Ведомость!$I$5:$I$846,"А500С",Ведомость!$V$5:$V$846,"Л-пл",Ведомость!$W$5:$W$846,2)</f>
        <v>0</v>
      </c>
      <c r="AF62" s="32" t="n">
        <f aca="false">SUMIFS(Ведомость!$N$5:$N$846,Ведомость!$H$5:$H$846,12,Ведомость!$I$5:$I$846,"А500С",Ведомость!$V$5:$V$846,"Л-рама",Ведомость!$W$5:$W$846,2)</f>
        <v>0</v>
      </c>
      <c r="AG62" s="33" t="n">
        <f aca="false">SUM(B62:AF62)</f>
        <v>400.568</v>
      </c>
      <c r="AH62" s="34" t="n">
        <f aca="false">IFERROR(INDEX(Исходные!$B$18:$B$30,MATCH(12,Исходные!$A$18:$A$30,0)),0)</f>
        <v>0.888</v>
      </c>
      <c r="AI62" s="33" t="n">
        <f aca="false">AG62*AH62*$AJ$2</f>
        <v>380.60369088</v>
      </c>
      <c r="AJ62" s="35" t="n">
        <f aca="false">SUM(B62:D62,F62,H62,J62:M62)</f>
        <v>107</v>
      </c>
      <c r="AK62" s="36" t="n">
        <f aca="false">AH62</f>
        <v>0.888</v>
      </c>
      <c r="AL62" s="37" t="n">
        <f aca="false">AJ62*AK62*$AJ$2</f>
        <v>101.66712</v>
      </c>
      <c r="AM62" s="35" t="n">
        <f aca="false">SUM(E62,G62,I62,N62:AB62)</f>
        <v>293.568</v>
      </c>
      <c r="AN62" s="36" t="n">
        <f aca="false">AH62</f>
        <v>0.888</v>
      </c>
      <c r="AO62" s="37" t="n">
        <f aca="false">AM62*AN62*$AJ$2</f>
        <v>278.93657088</v>
      </c>
      <c r="AP62" s="35" t="n">
        <f aca="false">SUM(AC62:AF62)</f>
        <v>0</v>
      </c>
      <c r="AQ62" s="36" t="n">
        <f aca="false">AH62</f>
        <v>0.888</v>
      </c>
      <c r="AR62" s="37" t="n">
        <f aca="false">AP62*AQ62*$AJ$2</f>
        <v>0</v>
      </c>
    </row>
    <row r="63" customFormat="false" ht="15" hidden="false" customHeight="false" outlineLevel="0" collapsed="false">
      <c r="A63" s="6" t="s">
        <v>129</v>
      </c>
      <c r="B63" s="32" t="n">
        <f aca="false">SUMIFS(Ведомость!$N$5:$N$846,Ведомость!$H$5:$H$846,10,Ведомость!$I$5:$I$846,"А500С",Ведомость!$V$5:$V$846,"Дм-1",Ведомость!$W$5:$W$846,2)</f>
        <v>0</v>
      </c>
      <c r="C63" s="32" t="n">
        <f aca="false">SUMIFS(Ведомость!$N$5:$N$846,Ведомость!$H$5:$H$846,10,Ведомость!$I$5:$I$846,"А500С",Ведомость!$V$5:$V$846,"Дм-2",Ведомость!$W$5:$W$846,2)</f>
        <v>0</v>
      </c>
      <c r="D63" s="32" t="n">
        <f aca="false">SUMIFS(Ведомость!$N$5:$N$846,Ведомость!$H$5:$H$846,10,Ведомость!$I$5:$I$846,"А500С",Ведомость!$V$5:$V$846,"К-А",Ведомость!$W$5:$W$846,2)</f>
        <v>0</v>
      </c>
      <c r="E63" s="32" t="n">
        <f aca="false">SUMIFS(Ведомость!$N$5:$N$846,Ведомость!$H$5:$H$846,10,Ведомость!$I$5:$I$846,"А500С",Ведомость!$V$5:$V$846,"Р-А",Ведомость!$W$5:$W$846,2)</f>
        <v>0</v>
      </c>
      <c r="F63" s="32" t="n">
        <f aca="false">SUMIFS(Ведомость!$N$5:$N$846,Ведомость!$H$5:$H$846,10,Ведомость!$I$5:$I$846,"А500С",Ведомость!$V$5:$V$846,"К-Б",Ведомость!$W$5:$W$846,2)</f>
        <v>0</v>
      </c>
      <c r="G63" s="32" t="n">
        <f aca="false">SUMIFS(Ведомость!$N$5:$N$846,Ведомость!$H$5:$H$846,10,Ведомость!$I$5:$I$846,"А500С",Ведомость!$V$5:$V$846,"Р-Б",Ведомость!$W$5:$W$846,2)</f>
        <v>0</v>
      </c>
      <c r="H63" s="32" t="n">
        <f aca="false">SUMIFS(Ведомость!$N$5:$N$846,Ведомость!$H$5:$H$846,10,Ведомость!$I$5:$I$846,"А500С",Ведомость!$V$5:$V$846,"К-В",Ведомость!$W$5:$W$846,2)</f>
        <v>0</v>
      </c>
      <c r="I63" s="32" t="n">
        <f aca="false">SUMIFS(Ведомость!$N$5:$N$846,Ведомость!$H$5:$H$846,10,Ведомость!$I$5:$I$846,"А500С",Ведомость!$V$5:$V$846,"Р-В",Ведомость!$W$5:$W$846,2)</f>
        <v>0</v>
      </c>
      <c r="J63" s="32" t="n">
        <f aca="false">SUMIFS(Ведомость!$N$5:$N$846,Ведомость!$H$5:$H$846,10,Ведомость!$I$5:$I$846,"А500С",Ведомость!$V$5:$V$846,"К-Г",Ведомость!$W$5:$W$846,2)</f>
        <v>0</v>
      </c>
      <c r="K63" s="32" t="n">
        <f aca="false">SUMIFS(Ведомость!$N$5:$N$846,Ведомость!$H$5:$H$846,10,Ведомость!$I$5:$I$846,"А500С",Ведомость!$V$5:$V$846,"Дм-3",Ведомость!$W$5:$W$846,2)</f>
        <v>20.4</v>
      </c>
      <c r="L63" s="32" t="n">
        <f aca="false">SUMIFS(Ведомость!$N$5:$N$846,Ведомость!$H$5:$H$846,10,Ведомость!$I$5:$I$846,"А500С",Ведомость!$V$5:$V$846,"Дм-4",Ведомость!$W$5:$W$846,2)</f>
        <v>0</v>
      </c>
      <c r="M63" s="32" t="n">
        <f aca="false">SUMIFS(Ведомость!$N$5:$N$846,Ведомость!$H$5:$H$846,10,Ведомость!$I$5:$I$846,"А500С",Ведомость!$V$5:$V$846,"Дм-5",Ведомость!$W$5:$W$846,2)</f>
        <v>0</v>
      </c>
      <c r="N63" s="32" t="n">
        <f aca="false">SUMIFS(Ведомость!$N$5:$N$846,Ведомость!$H$5:$H$846,10,Ведомость!$I$5:$I$846,"А500С",Ведомость!$V$5:$V$846,"Р-Г",Ведомость!$W$5:$W$846,2)</f>
        <v>0</v>
      </c>
      <c r="O63" s="32" t="n">
        <f aca="false">SUMIFS(Ведомость!$N$5:$N$846,Ведомость!$H$5:$H$846,10,Ведомость!$I$5:$I$846,"А500С",Ведомость!$V$5:$V$846,"Р-1, 5",Ведомость!$W$5:$W$846,2)</f>
        <v>0</v>
      </c>
      <c r="P63" s="32" t="n">
        <f aca="false">SUMIFS(Ведомость!$N$5:$N$846,Ведомость!$H$5:$H$846,10,Ведомость!$I$5:$I$846,"А500С",Ведомость!$V$5:$V$846,"Р-2",Ведомость!$W$5:$W$846,2)</f>
        <v>0</v>
      </c>
      <c r="Q63" s="32" t="n">
        <f aca="false">SUMIFS(Ведомость!$N$5:$N$846,Ведомость!$H$5:$H$846,10,Ведомость!$I$5:$I$846,"А500С",Ведомость!$V$5:$V$846,"Р-3",Ведомость!$W$5:$W$846,2)</f>
        <v>0</v>
      </c>
      <c r="R63" s="32" t="n">
        <f aca="false">SUMIFS(Ведомость!$N$5:$N$846,Ведомость!$H$5:$H$846,10,Ведомость!$I$5:$I$846,"А500С",Ведомость!$V$5:$V$846,"Р-4",Ведомость!$W$5:$W$846,2)</f>
        <v>0</v>
      </c>
      <c r="S63" s="32" t="n">
        <f aca="false">SUMIFS(Ведомость!$N$5:$N$846,Ведомость!$H$5:$H$846,10,Ведомость!$I$5:$I$846,"А500С",Ведомость!$V$5:$V$846,"Б-основная",Ведомость!$W$5:$W$846,2)</f>
        <v>0</v>
      </c>
      <c r="T63" s="32" t="n">
        <f aca="false">SUMIFS(Ведомость!$N$5:$N$846,Ведомость!$H$5:$H$846,10,Ведомость!$I$5:$I$846,"А500С",Ведомость!$V$5:$V$846,"Б-хомуты",Ведомость!$W$5:$W$846,2)</f>
        <v>0</v>
      </c>
      <c r="U63" s="32" t="n">
        <f aca="false">SUMIFS(Ведомость!$N$5:$N$846,Ведомость!$H$5:$H$846,10,Ведомость!$I$5:$I$846,"А500С",Ведомость!$V$5:$V$846,"Б-допник",Ведомость!$W$5:$W$846,2)</f>
        <v>0</v>
      </c>
      <c r="V63" s="32" t="n">
        <f aca="false">SUMIFS(Ведомость!$N$5:$N$846,Ведомость!$H$5:$H$846,10,Ведомость!$I$5:$I$846,"А500С",Ведомость!$V$5:$V$846,"П-сетка",Ведомость!$W$5:$W$846,2)</f>
        <v>11121.62</v>
      </c>
      <c r="W63" s="32" t="n">
        <f aca="false">SUMIFS(Ведомость!$N$5:$N$846,Ведомость!$H$5:$H$846,10,Ведомость!$I$5:$I$846,"А500С",Ведомость!$V$5:$V$846,"П-фикс",Ведомость!$W$5:$W$846,2)</f>
        <v>0</v>
      </c>
      <c r="X63" s="32" t="n">
        <f aca="false">SUMIFS(Ведомость!$N$5:$N$846,Ведомость!$H$5:$H$846,10,Ведомость!$I$5:$I$846,"А500С",Ведомость!$V$5:$V$846,"П-отв",Ведомость!$W$5:$W$846,2)</f>
        <v>0</v>
      </c>
      <c r="Y63" s="32" t="n">
        <f aca="false">SUMIFS(Ведомость!$N$5:$N$846,Ведомость!$H$5:$H$846,10,Ведомость!$I$5:$I$846,"А500С",Ведомость!$V$5:$V$846,"П-доп-низ",Ведомость!$W$5:$W$846,2)</f>
        <v>393</v>
      </c>
      <c r="Z63" s="32" t="n">
        <f aca="false">SUMIFS(Ведомость!$N$5:$N$846,Ведомость!$H$5:$H$846,10,Ведомость!$I$5:$I$846,"А500С",Ведомость!$V$5:$V$846,"П-доп-верх",Ведомость!$W$5:$W$846,2)</f>
        <v>529</v>
      </c>
      <c r="AA63" s="32" t="n">
        <f aca="false">SUMIFS(Ведомость!$N$5:$N$846,Ведомость!$H$5:$H$846,10,Ведомость!$I$5:$I$846,"А500С",Ведомость!$V$5:$V$846,"П-край",Ведомость!$W$5:$W$846,2)</f>
        <v>0</v>
      </c>
      <c r="AB63" s="32" t="n">
        <f aca="false">SUMIFS(Ведомость!$N$5:$N$846,Ведомость!$H$5:$H$846,10,Ведомость!$I$5:$I$846,"А500С",Ведомость!$V$5:$V$846,"С-1",Ведомость!$W$5:$W$846,2)</f>
        <v>957.6</v>
      </c>
      <c r="AC63" s="32" t="n">
        <f aca="false">SUMIFS(Ведомость!$N$5:$N$846,Ведомость!$H$5:$H$846,10,Ведомость!$I$5:$I$846,"А500С",Ведомость!$V$5:$V$846,"Л1",Ведомость!$W$5:$W$846,2)</f>
        <v>71.4</v>
      </c>
      <c r="AD63" s="32" t="n">
        <f aca="false">SUMIFS(Ведомость!$N$5:$N$846,Ведомость!$H$5:$H$846,10,Ведомость!$I$5:$I$846,"А500С",Ведомость!$V$5:$V$846,"Л2",Ведомость!$W$5:$W$846,2)</f>
        <v>71.4</v>
      </c>
      <c r="AE63" s="32" t="n">
        <f aca="false">SUMIFS(Ведомость!$N$5:$N$846,Ведомость!$H$5:$H$846,10,Ведомость!$I$5:$I$846,"А500С",Ведомость!$V$5:$V$846,"Л-пл",Ведомость!$W$5:$W$846,2)</f>
        <v>87.28</v>
      </c>
      <c r="AF63" s="32" t="n">
        <f aca="false">SUMIFS(Ведомость!$N$5:$N$846,Ведомость!$H$5:$H$846,10,Ведомость!$I$5:$I$846,"А500С",Ведомость!$V$5:$V$846,"Л-рама",Ведомость!$W$5:$W$846,2)</f>
        <v>0</v>
      </c>
      <c r="AG63" s="33" t="n">
        <f aca="false">SUM(B63:AF63)</f>
        <v>13251.7</v>
      </c>
      <c r="AH63" s="34" t="n">
        <f aca="false">IFERROR(INDEX(Исходные!$B$18:$B$30,MATCH(10,Исходные!$A$18:$A$30,0)),0)</f>
        <v>0.617</v>
      </c>
      <c r="AI63" s="33" t="n">
        <f aca="false">AG63*AH63*$AJ$2</f>
        <v>8748.639823</v>
      </c>
      <c r="AJ63" s="35" t="n">
        <f aca="false">SUM(B63:D63,F63,H63,J63:M63)</f>
        <v>20.4</v>
      </c>
      <c r="AK63" s="36" t="n">
        <f aca="false">AH63</f>
        <v>0.617</v>
      </c>
      <c r="AL63" s="37" t="n">
        <f aca="false">AJ63*AK63*$AJ$2</f>
        <v>13.467876</v>
      </c>
      <c r="AM63" s="35" t="n">
        <f aca="false">SUM(E63,G63,I63,N63:AB63)</f>
        <v>13001.22</v>
      </c>
      <c r="AN63" s="36" t="n">
        <f aca="false">AH63</f>
        <v>0.617</v>
      </c>
      <c r="AO63" s="37" t="n">
        <f aca="false">AM63*AN63*$AJ$2</f>
        <v>8583.2754318</v>
      </c>
      <c r="AP63" s="35" t="n">
        <f aca="false">SUM(AC63:AF63)</f>
        <v>230.08</v>
      </c>
      <c r="AQ63" s="36" t="n">
        <f aca="false">AH63</f>
        <v>0.617</v>
      </c>
      <c r="AR63" s="37" t="n">
        <f aca="false">AP63*AQ63*$AJ$2</f>
        <v>151.8965152</v>
      </c>
    </row>
    <row r="64" customFormat="false" ht="15" hidden="false" customHeight="false" outlineLevel="0" collapsed="false">
      <c r="A64" s="6" t="s">
        <v>130</v>
      </c>
      <c r="B64" s="32" t="n">
        <f aca="false">SUMIFS(Ведомость!$N$5:$N$846,Ведомость!$H$5:$H$846,8,Ведомость!$I$5:$I$846,"А500С",Ведомость!$V$5:$V$846,"Дм-1",Ведомость!$W$5:$W$846,2)</f>
        <v>0</v>
      </c>
      <c r="C64" s="32" t="n">
        <f aca="false">SUMIFS(Ведомость!$N$5:$N$846,Ведомость!$H$5:$H$846,8,Ведомость!$I$5:$I$846,"А500С",Ведомость!$V$5:$V$846,"Дм-2",Ведомость!$W$5:$W$846,2)</f>
        <v>0</v>
      </c>
      <c r="D64" s="32" t="n">
        <f aca="false">SUMIFS(Ведомость!$N$5:$N$846,Ведомость!$H$5:$H$846,8,Ведомость!$I$5:$I$846,"А500С",Ведомость!$V$5:$V$846,"К-А",Ведомость!$W$5:$W$846,2)</f>
        <v>0</v>
      </c>
      <c r="E64" s="32" t="n">
        <f aca="false">SUMIFS(Ведомость!$N$5:$N$846,Ведомость!$H$5:$H$846,8,Ведомость!$I$5:$I$846,"А500С",Ведомость!$V$5:$V$846,"Р-А",Ведомость!$W$5:$W$846,2)</f>
        <v>0</v>
      </c>
      <c r="F64" s="32" t="n">
        <f aca="false">SUMIFS(Ведомость!$N$5:$N$846,Ведомость!$H$5:$H$846,8,Ведомость!$I$5:$I$846,"А500С",Ведомость!$V$5:$V$846,"К-Б",Ведомость!$W$5:$W$846,2)</f>
        <v>0</v>
      </c>
      <c r="G64" s="32" t="n">
        <f aca="false">SUMIFS(Ведомость!$N$5:$N$846,Ведомость!$H$5:$H$846,8,Ведомость!$I$5:$I$846,"А500С",Ведомость!$V$5:$V$846,"Р-Б",Ведомость!$W$5:$W$846,2)</f>
        <v>0</v>
      </c>
      <c r="H64" s="32" t="n">
        <f aca="false">SUMIFS(Ведомость!$N$5:$N$846,Ведомость!$H$5:$H$846,8,Ведомость!$I$5:$I$846,"А500С",Ведомость!$V$5:$V$846,"К-В",Ведомость!$W$5:$W$846,2)</f>
        <v>0</v>
      </c>
      <c r="I64" s="32" t="n">
        <f aca="false">SUMIFS(Ведомость!$N$5:$N$846,Ведомость!$H$5:$H$846,8,Ведомость!$I$5:$I$846,"А500С",Ведомость!$V$5:$V$846,"Р-В",Ведомость!$W$5:$W$846,2)</f>
        <v>0</v>
      </c>
      <c r="J64" s="32" t="n">
        <f aca="false">SUMIFS(Ведомость!$N$5:$N$846,Ведомость!$H$5:$H$846,8,Ведомость!$I$5:$I$846,"А500С",Ведомость!$V$5:$V$846,"К-Г",Ведомость!$W$5:$W$846,2)</f>
        <v>0</v>
      </c>
      <c r="K64" s="32" t="n">
        <f aca="false">SUMIFS(Ведомость!$N$5:$N$846,Ведомость!$H$5:$H$846,8,Ведомость!$I$5:$I$846,"А500С",Ведомость!$V$5:$V$846,"Дм-3",Ведомость!$W$5:$W$846,2)</f>
        <v>0</v>
      </c>
      <c r="L64" s="32" t="n">
        <f aca="false">SUMIFS(Ведомость!$N$5:$N$846,Ведомость!$H$5:$H$846,8,Ведомость!$I$5:$I$846,"А500С",Ведомость!$V$5:$V$846,"Дм-4",Ведомость!$W$5:$W$846,2)</f>
        <v>0</v>
      </c>
      <c r="M64" s="32" t="n">
        <f aca="false">SUMIFS(Ведомость!$N$5:$N$846,Ведомость!$H$5:$H$846,8,Ведомость!$I$5:$I$846,"А500С",Ведомость!$V$5:$V$846,"Дм-5",Ведомость!$W$5:$W$846,2)</f>
        <v>0</v>
      </c>
      <c r="N64" s="32" t="n">
        <f aca="false">SUMIFS(Ведомость!$N$5:$N$846,Ведомость!$H$5:$H$846,8,Ведомость!$I$5:$I$846,"А500С",Ведомость!$V$5:$V$846,"Р-Г",Ведомость!$W$5:$W$846,2)</f>
        <v>0</v>
      </c>
      <c r="O64" s="32" t="n">
        <f aca="false">SUMIFS(Ведомость!$N$5:$N$846,Ведомость!$H$5:$H$846,8,Ведомость!$I$5:$I$846,"А500С",Ведомость!$V$5:$V$846,"Р-1, 5",Ведомость!$W$5:$W$846,2)</f>
        <v>0</v>
      </c>
      <c r="P64" s="32" t="n">
        <f aca="false">SUMIFS(Ведомость!$N$5:$N$846,Ведомость!$H$5:$H$846,8,Ведомость!$I$5:$I$846,"А500С",Ведомость!$V$5:$V$846,"Р-2",Ведомость!$W$5:$W$846,2)</f>
        <v>0</v>
      </c>
      <c r="Q64" s="32" t="n">
        <f aca="false">SUMIFS(Ведомость!$N$5:$N$846,Ведомость!$H$5:$H$846,8,Ведомость!$I$5:$I$846,"А500С",Ведомость!$V$5:$V$846,"Р-3",Ведомость!$W$5:$W$846,2)</f>
        <v>0</v>
      </c>
      <c r="R64" s="32" t="n">
        <f aca="false">SUMIFS(Ведомость!$N$5:$N$846,Ведомость!$H$5:$H$846,8,Ведомость!$I$5:$I$846,"А500С",Ведомость!$V$5:$V$846,"Р-4",Ведомость!$W$5:$W$846,2)</f>
        <v>0</v>
      </c>
      <c r="S64" s="32" t="n">
        <f aca="false">SUMIFS(Ведомость!$N$5:$N$846,Ведомость!$H$5:$H$846,8,Ведомость!$I$5:$I$846,"А500С",Ведомость!$V$5:$V$846,"Б-основная",Ведомость!$W$5:$W$846,2)</f>
        <v>0</v>
      </c>
      <c r="T64" s="32" t="n">
        <f aca="false">SUMIFS(Ведомость!$N$5:$N$846,Ведомость!$H$5:$H$846,8,Ведомость!$I$5:$I$846,"А500С",Ведомость!$V$5:$V$846,"Б-хомуты",Ведомость!$W$5:$W$846,2)</f>
        <v>0</v>
      </c>
      <c r="U64" s="32" t="n">
        <f aca="false">SUMIFS(Ведомость!$N$5:$N$846,Ведомость!$H$5:$H$846,8,Ведомость!$I$5:$I$846,"А500С",Ведомость!$V$5:$V$846,"Б-допник",Ведомость!$W$5:$W$846,2)</f>
        <v>0</v>
      </c>
      <c r="V64" s="32" t="n">
        <f aca="false">SUMIFS(Ведомость!$N$5:$N$846,Ведомость!$H$5:$H$846,8,Ведомость!$I$5:$I$846,"А500С",Ведомость!$V$5:$V$846,"П-сетка",Ведомость!$W$5:$W$846,2)</f>
        <v>0</v>
      </c>
      <c r="W64" s="32" t="n">
        <f aca="false">SUMIFS(Ведомость!$N$5:$N$846,Ведомость!$H$5:$H$846,8,Ведомость!$I$5:$I$846,"А500С",Ведомость!$V$5:$V$846,"П-фикс",Ведомость!$W$5:$W$846,2)</f>
        <v>0</v>
      </c>
      <c r="X64" s="32" t="n">
        <f aca="false">SUMIFS(Ведомость!$N$5:$N$846,Ведомость!$H$5:$H$846,8,Ведомость!$I$5:$I$846,"А500С",Ведомость!$V$5:$V$846,"П-отв",Ведомость!$W$5:$W$846,2)</f>
        <v>0</v>
      </c>
      <c r="Y64" s="32" t="n">
        <f aca="false">SUMIFS(Ведомость!$N$5:$N$846,Ведомость!$H$5:$H$846,8,Ведомость!$I$5:$I$846,"А500С",Ведомость!$V$5:$V$846,"П-доп-низ",Ведомость!$W$5:$W$846,2)</f>
        <v>0</v>
      </c>
      <c r="Z64" s="32" t="n">
        <f aca="false">SUMIFS(Ведомость!$N$5:$N$846,Ведомость!$H$5:$H$846,8,Ведомость!$I$5:$I$846,"А500С",Ведомость!$V$5:$V$846,"П-доп-верх",Ведомость!$W$5:$W$846,2)</f>
        <v>0</v>
      </c>
      <c r="AA64" s="32" t="n">
        <f aca="false">SUMIFS(Ведомость!$N$5:$N$846,Ведомость!$H$5:$H$846,8,Ведомость!$I$5:$I$846,"А500С",Ведомость!$V$5:$V$846,"П-край",Ведомость!$W$5:$W$846,2)</f>
        <v>0</v>
      </c>
      <c r="AB64" s="32" t="n">
        <f aca="false">SUMIFS(Ведомость!$N$5:$N$846,Ведомость!$H$5:$H$846,8,Ведомость!$I$5:$I$846,"А500С",Ведомость!$V$5:$V$846,"С-1",Ведомость!$W$5:$W$846,2)</f>
        <v>0</v>
      </c>
      <c r="AC64" s="32" t="n">
        <f aca="false">SUMIFS(Ведомость!$N$5:$N$846,Ведомость!$H$5:$H$846,8,Ведомость!$I$5:$I$846,"А500С",Ведомость!$V$5:$V$846,"Л1",Ведомость!$W$5:$W$846,2)</f>
        <v>0</v>
      </c>
      <c r="AD64" s="32" t="n">
        <f aca="false">SUMIFS(Ведомость!$N$5:$N$846,Ведомость!$H$5:$H$846,8,Ведомость!$I$5:$I$846,"А500С",Ведомость!$V$5:$V$846,"Л2",Ведомость!$W$5:$W$846,2)</f>
        <v>0</v>
      </c>
      <c r="AE64" s="32" t="n">
        <f aca="false">SUMIFS(Ведомость!$N$5:$N$846,Ведомость!$H$5:$H$846,8,Ведомость!$I$5:$I$846,"А500С",Ведомость!$V$5:$V$846,"Л-пл",Ведомость!$W$5:$W$846,2)</f>
        <v>0</v>
      </c>
      <c r="AF64" s="32" t="n">
        <f aca="false">SUMIFS(Ведомость!$N$5:$N$846,Ведомость!$H$5:$H$846,8,Ведомость!$I$5:$I$846,"А500С",Ведомость!$V$5:$V$846,"Л-рама",Ведомость!$W$5:$W$846,2)</f>
        <v>0</v>
      </c>
      <c r="AG64" s="33" t="n">
        <f aca="false">SUM(B64:AF64)</f>
        <v>0</v>
      </c>
      <c r="AH64" s="34" t="n">
        <f aca="false">IFERROR(INDEX(Исходные!$B$18:$B$30,MATCH(8,Исходные!$A$18:$A$30,0)),0)</f>
        <v>0.395</v>
      </c>
      <c r="AI64" s="33" t="n">
        <f aca="false">AG64*AH64*$AJ$2</f>
        <v>0</v>
      </c>
      <c r="AJ64" s="35" t="n">
        <f aca="false">SUM(B64:D64,F64,H64,J64:M64)</f>
        <v>0</v>
      </c>
      <c r="AK64" s="36" t="n">
        <f aca="false">AH64</f>
        <v>0.395</v>
      </c>
      <c r="AL64" s="37" t="n">
        <f aca="false">AJ64*AK64*$AJ$2</f>
        <v>0</v>
      </c>
      <c r="AM64" s="35" t="n">
        <f aca="false">SUM(E64,G64,I64,N64:AB64)</f>
        <v>0</v>
      </c>
      <c r="AN64" s="36" t="n">
        <f aca="false">AH64</f>
        <v>0.395</v>
      </c>
      <c r="AO64" s="37" t="n">
        <f aca="false">AM64*AN64*$AJ$2</f>
        <v>0</v>
      </c>
      <c r="AP64" s="35" t="n">
        <f aca="false">SUM(AC64:AF64)</f>
        <v>0</v>
      </c>
      <c r="AQ64" s="36" t="n">
        <f aca="false">AH64</f>
        <v>0.395</v>
      </c>
      <c r="AR64" s="37" t="n">
        <f aca="false">AP64*AQ64*$AJ$2</f>
        <v>0</v>
      </c>
    </row>
    <row r="65" customFormat="false" ht="15" hidden="false" customHeight="false" outlineLevel="0" collapsed="false">
      <c r="A65" s="6" t="s">
        <v>131</v>
      </c>
      <c r="B65" s="32" t="n">
        <f aca="false">SUMIFS(Ведомость!$N$5:$N$846,Ведомость!$H$5:$H$846,16,Ведомость!$I$5:$I$846,"А240",Ведомость!$V$5:$V$846,"Дм-1",Ведомость!$W$5:$W$846,2)</f>
        <v>0</v>
      </c>
      <c r="C65" s="32" t="n">
        <f aca="false">SUMIFS(Ведомость!$N$5:$N$846,Ведомость!$H$5:$H$846,16,Ведомость!$I$5:$I$846,"А240",Ведомость!$V$5:$V$846,"Дм-2",Ведомость!$W$5:$W$846,2)</f>
        <v>0</v>
      </c>
      <c r="D65" s="32" t="n">
        <f aca="false">SUMIFS(Ведомость!$N$5:$N$846,Ведомость!$H$5:$H$846,16,Ведомость!$I$5:$I$846,"А240",Ведомость!$V$5:$V$846,"К-А",Ведомость!$W$5:$W$846,2)</f>
        <v>0</v>
      </c>
      <c r="E65" s="32" t="n">
        <f aca="false">SUMIFS(Ведомость!$N$5:$N$846,Ведомость!$H$5:$H$846,16,Ведомость!$I$5:$I$846,"А240",Ведомость!$V$5:$V$846,"Р-А",Ведомость!$W$5:$W$846,2)</f>
        <v>0</v>
      </c>
      <c r="F65" s="32" t="n">
        <f aca="false">SUMIFS(Ведомость!$N$5:$N$846,Ведомость!$H$5:$H$846,16,Ведомость!$I$5:$I$846,"А240",Ведомость!$V$5:$V$846,"К-Б",Ведомость!$W$5:$W$846,2)</f>
        <v>0</v>
      </c>
      <c r="G65" s="32" t="n">
        <f aca="false">SUMIFS(Ведомость!$N$5:$N$846,Ведомость!$H$5:$H$846,16,Ведомость!$I$5:$I$846,"А240",Ведомость!$V$5:$V$846,"Р-Б",Ведомость!$W$5:$W$846,2)</f>
        <v>0</v>
      </c>
      <c r="H65" s="32" t="n">
        <f aca="false">SUMIFS(Ведомость!$N$5:$N$846,Ведомость!$H$5:$H$846,16,Ведомость!$I$5:$I$846,"А240",Ведомость!$V$5:$V$846,"К-В",Ведомость!$W$5:$W$846,2)</f>
        <v>0</v>
      </c>
      <c r="I65" s="32" t="n">
        <f aca="false">SUMIFS(Ведомость!$N$5:$N$846,Ведомость!$H$5:$H$846,16,Ведомость!$I$5:$I$846,"А240",Ведомость!$V$5:$V$846,"Р-В",Ведомость!$W$5:$W$846,2)</f>
        <v>0</v>
      </c>
      <c r="J65" s="32" t="n">
        <f aca="false">SUMIFS(Ведомость!$N$5:$N$846,Ведомость!$H$5:$H$846,16,Ведомость!$I$5:$I$846,"А240",Ведомость!$V$5:$V$846,"К-Г",Ведомость!$W$5:$W$846,2)</f>
        <v>0</v>
      </c>
      <c r="K65" s="32" t="n">
        <f aca="false">SUMIFS(Ведомость!$N$5:$N$846,Ведомость!$H$5:$H$846,16,Ведомость!$I$5:$I$846,"А240",Ведомость!$V$5:$V$846,"Дм-3",Ведомость!$W$5:$W$846,2)</f>
        <v>0</v>
      </c>
      <c r="L65" s="32" t="n">
        <f aca="false">SUMIFS(Ведомость!$N$5:$N$846,Ведомость!$H$5:$H$846,16,Ведомость!$I$5:$I$846,"А240",Ведомость!$V$5:$V$846,"Дм-4",Ведомость!$W$5:$W$846,2)</f>
        <v>0</v>
      </c>
      <c r="M65" s="32" t="n">
        <f aca="false">SUMIFS(Ведомость!$N$5:$N$846,Ведомость!$H$5:$H$846,16,Ведомость!$I$5:$I$846,"А240",Ведомость!$V$5:$V$846,"Дм-5",Ведомость!$W$5:$W$846,2)</f>
        <v>0</v>
      </c>
      <c r="N65" s="32" t="n">
        <f aca="false">SUMIFS(Ведомость!$N$5:$N$846,Ведомость!$H$5:$H$846,16,Ведомость!$I$5:$I$846,"А240",Ведомость!$V$5:$V$846,"Р-Г",Ведомость!$W$5:$W$846,2)</f>
        <v>0</v>
      </c>
      <c r="O65" s="32" t="n">
        <f aca="false">SUMIFS(Ведомость!$N$5:$N$846,Ведомость!$H$5:$H$846,16,Ведомость!$I$5:$I$846,"А240",Ведомость!$V$5:$V$846,"Р-1, 5",Ведомость!$W$5:$W$846,2)</f>
        <v>0</v>
      </c>
      <c r="P65" s="32" t="n">
        <f aca="false">SUMIFS(Ведомость!$N$5:$N$846,Ведомость!$H$5:$H$846,16,Ведомость!$I$5:$I$846,"А240",Ведомость!$V$5:$V$846,"Р-2",Ведомость!$W$5:$W$846,2)</f>
        <v>0</v>
      </c>
      <c r="Q65" s="32" t="n">
        <f aca="false">SUMIFS(Ведомость!$N$5:$N$846,Ведомость!$H$5:$H$846,16,Ведомость!$I$5:$I$846,"А240",Ведомость!$V$5:$V$846,"Р-3",Ведомость!$W$5:$W$846,2)</f>
        <v>0</v>
      </c>
      <c r="R65" s="32" t="n">
        <f aca="false">SUMIFS(Ведомость!$N$5:$N$846,Ведомость!$H$5:$H$846,16,Ведомость!$I$5:$I$846,"А240",Ведомость!$V$5:$V$846,"Р-4",Ведомость!$W$5:$W$846,2)</f>
        <v>0</v>
      </c>
      <c r="S65" s="32" t="n">
        <f aca="false">SUMIFS(Ведомость!$N$5:$N$846,Ведомость!$H$5:$H$846,16,Ведомость!$I$5:$I$846,"А240",Ведомость!$V$5:$V$846,"Б-основная",Ведомость!$W$5:$W$846,2)</f>
        <v>0</v>
      </c>
      <c r="T65" s="32" t="n">
        <f aca="false">SUMIFS(Ведомость!$N$5:$N$846,Ведомость!$H$5:$H$846,16,Ведомость!$I$5:$I$846,"А240",Ведомость!$V$5:$V$846,"Б-хомуты",Ведомость!$W$5:$W$846,2)</f>
        <v>0</v>
      </c>
      <c r="U65" s="32" t="n">
        <f aca="false">SUMIFS(Ведомость!$N$5:$N$846,Ведомость!$H$5:$H$846,16,Ведомость!$I$5:$I$846,"А240",Ведомость!$V$5:$V$846,"Б-допник",Ведомость!$W$5:$W$846,2)</f>
        <v>0</v>
      </c>
      <c r="V65" s="32" t="n">
        <f aca="false">SUMIFS(Ведомость!$N$5:$N$846,Ведомость!$H$5:$H$846,16,Ведомость!$I$5:$I$846,"А240",Ведомость!$V$5:$V$846,"П-сетка",Ведомость!$W$5:$W$846,2)</f>
        <v>0</v>
      </c>
      <c r="W65" s="32" t="n">
        <f aca="false">SUMIFS(Ведомость!$N$5:$N$846,Ведомость!$H$5:$H$846,16,Ведомость!$I$5:$I$846,"А240",Ведомость!$V$5:$V$846,"П-фикс",Ведомость!$W$5:$W$846,2)</f>
        <v>0</v>
      </c>
      <c r="X65" s="32" t="n">
        <f aca="false">SUMIFS(Ведомость!$N$5:$N$846,Ведомость!$H$5:$H$846,16,Ведомость!$I$5:$I$846,"А240",Ведомость!$V$5:$V$846,"П-отв",Ведомость!$W$5:$W$846,2)</f>
        <v>0</v>
      </c>
      <c r="Y65" s="32" t="n">
        <f aca="false">SUMIFS(Ведомость!$N$5:$N$846,Ведомость!$H$5:$H$846,16,Ведомость!$I$5:$I$846,"А240",Ведомость!$V$5:$V$846,"П-доп-низ",Ведомость!$W$5:$W$846,2)</f>
        <v>0</v>
      </c>
      <c r="Z65" s="32" t="n">
        <f aca="false">SUMIFS(Ведомость!$N$5:$N$846,Ведомость!$H$5:$H$846,16,Ведомость!$I$5:$I$846,"А240",Ведомость!$V$5:$V$846,"П-доп-верх",Ведомость!$W$5:$W$846,2)</f>
        <v>0</v>
      </c>
      <c r="AA65" s="32" t="n">
        <f aca="false">SUMIFS(Ведомость!$N$5:$N$846,Ведомость!$H$5:$H$846,16,Ведомость!$I$5:$I$846,"А240",Ведомость!$V$5:$V$846,"П-край",Ведомость!$W$5:$W$846,2)</f>
        <v>0</v>
      </c>
      <c r="AB65" s="32" t="n">
        <f aca="false">SUMIFS(Ведомость!$N$5:$N$846,Ведомость!$H$5:$H$846,16,Ведомость!$I$5:$I$846,"А240",Ведомость!$V$5:$V$846,"С-1",Ведомость!$W$5:$W$846,2)</f>
        <v>0</v>
      </c>
      <c r="AC65" s="32" t="n">
        <f aca="false">SUMIFS(Ведомость!$N$5:$N$846,Ведомость!$H$5:$H$846,16,Ведомость!$I$5:$I$846,"А240",Ведомость!$V$5:$V$846,"Л1",Ведомость!$W$5:$W$846,2)</f>
        <v>0</v>
      </c>
      <c r="AD65" s="32" t="n">
        <f aca="false">SUMIFS(Ведомость!$N$5:$N$846,Ведомость!$H$5:$H$846,16,Ведомость!$I$5:$I$846,"А240",Ведомость!$V$5:$V$846,"Л2",Ведомость!$W$5:$W$846,2)</f>
        <v>0</v>
      </c>
      <c r="AE65" s="32" t="n">
        <f aca="false">SUMIFS(Ведомость!$N$5:$N$846,Ведомость!$H$5:$H$846,16,Ведомость!$I$5:$I$846,"А240",Ведомость!$V$5:$V$846,"Л-пл",Ведомость!$W$5:$W$846,2)</f>
        <v>0</v>
      </c>
      <c r="AF65" s="32" t="n">
        <f aca="false">SUMIFS(Ведомость!$N$5:$N$846,Ведомость!$H$5:$H$846,16,Ведомость!$I$5:$I$846,"А240",Ведомость!$V$5:$V$846,"Л-рама",Ведомость!$W$5:$W$846,2)</f>
        <v>0.84</v>
      </c>
      <c r="AG65" s="33" t="n">
        <f aca="false">SUM(B65:AF65)</f>
        <v>0.84</v>
      </c>
      <c r="AH65" s="34" t="n">
        <f aca="false">IFERROR(INDEX(Исходные!$B$18:$B$30,MATCH(16,Исходные!$A$18:$A$30,0)),0)</f>
        <v>1.578</v>
      </c>
      <c r="AI65" s="33" t="n">
        <f aca="false">AG65*AH65*$AJ$2</f>
        <v>1.4183064</v>
      </c>
      <c r="AJ65" s="35" t="n">
        <f aca="false">SUM(B65:D65,F65,H65,J65:M65)</f>
        <v>0</v>
      </c>
      <c r="AK65" s="36" t="n">
        <f aca="false">AH65</f>
        <v>1.578</v>
      </c>
      <c r="AL65" s="37" t="n">
        <f aca="false">AJ65*AK65*$AJ$2</f>
        <v>0</v>
      </c>
      <c r="AM65" s="35" t="n">
        <f aca="false">SUM(E65,G65,I65,N65:AB65)</f>
        <v>0</v>
      </c>
      <c r="AN65" s="36" t="n">
        <f aca="false">AH65</f>
        <v>1.578</v>
      </c>
      <c r="AO65" s="37" t="n">
        <f aca="false">AM65*AN65*$AJ$2</f>
        <v>0</v>
      </c>
      <c r="AP65" s="35" t="n">
        <f aca="false">SUM(AC65:AF65)</f>
        <v>0.84</v>
      </c>
      <c r="AQ65" s="36" t="n">
        <f aca="false">AH65</f>
        <v>1.578</v>
      </c>
      <c r="AR65" s="37" t="n">
        <f aca="false">AP65*AQ65*$AJ$2</f>
        <v>1.4183064</v>
      </c>
    </row>
    <row r="66" customFormat="false" ht="15" hidden="false" customHeight="false" outlineLevel="0" collapsed="false">
      <c r="A66" s="6" t="s">
        <v>132</v>
      </c>
      <c r="B66" s="32" t="n">
        <f aca="false">SUMIFS(Ведомость!$N$5:$N$846,Ведомость!$H$5:$H$846,12,Ведомость!$I$5:$I$846,"А240",Ведомость!$V$5:$V$846,"Дм-1",Ведомость!$W$5:$W$846,2)</f>
        <v>0</v>
      </c>
      <c r="C66" s="32" t="n">
        <f aca="false">SUMIFS(Ведомость!$N$5:$N$846,Ведомость!$H$5:$H$846,12,Ведомость!$I$5:$I$846,"А240",Ведомость!$V$5:$V$846,"Дм-2",Ведомость!$W$5:$W$846,2)</f>
        <v>0</v>
      </c>
      <c r="D66" s="32" t="n">
        <f aca="false">SUMIFS(Ведомость!$N$5:$N$846,Ведомость!$H$5:$H$846,12,Ведомость!$I$5:$I$846,"А240",Ведомость!$V$5:$V$846,"К-А",Ведомость!$W$5:$W$846,2)</f>
        <v>0</v>
      </c>
      <c r="E66" s="32" t="n">
        <f aca="false">SUMIFS(Ведомость!$N$5:$N$846,Ведомость!$H$5:$H$846,12,Ведомость!$I$5:$I$846,"А240",Ведомость!$V$5:$V$846,"Р-А",Ведомость!$W$5:$W$846,2)</f>
        <v>0</v>
      </c>
      <c r="F66" s="32" t="n">
        <f aca="false">SUMIFS(Ведомость!$N$5:$N$846,Ведомость!$H$5:$H$846,12,Ведомость!$I$5:$I$846,"А240",Ведомость!$V$5:$V$846,"К-Б",Ведомость!$W$5:$W$846,2)</f>
        <v>0</v>
      </c>
      <c r="G66" s="32" t="n">
        <f aca="false">SUMIFS(Ведомость!$N$5:$N$846,Ведомость!$H$5:$H$846,12,Ведомость!$I$5:$I$846,"А240",Ведомость!$V$5:$V$846,"Р-Б",Ведомость!$W$5:$W$846,2)</f>
        <v>0</v>
      </c>
      <c r="H66" s="32" t="n">
        <f aca="false">SUMIFS(Ведомость!$N$5:$N$846,Ведомость!$H$5:$H$846,12,Ведомость!$I$5:$I$846,"А240",Ведомость!$V$5:$V$846,"К-В",Ведомость!$W$5:$W$846,2)</f>
        <v>0</v>
      </c>
      <c r="I66" s="32" t="n">
        <f aca="false">SUMIFS(Ведомость!$N$5:$N$846,Ведомость!$H$5:$H$846,12,Ведомость!$I$5:$I$846,"А240",Ведомость!$V$5:$V$846,"Р-В",Ведомость!$W$5:$W$846,2)</f>
        <v>0</v>
      </c>
      <c r="J66" s="32" t="n">
        <f aca="false">SUMIFS(Ведомость!$N$5:$N$846,Ведомость!$H$5:$H$846,12,Ведомость!$I$5:$I$846,"А240",Ведомость!$V$5:$V$846,"К-Г",Ведомость!$W$5:$W$846,2)</f>
        <v>0</v>
      </c>
      <c r="K66" s="32" t="n">
        <f aca="false">SUMIFS(Ведомость!$N$5:$N$846,Ведомость!$H$5:$H$846,12,Ведомость!$I$5:$I$846,"А240",Ведомость!$V$5:$V$846,"Дм-3",Ведомость!$W$5:$W$846,2)</f>
        <v>0</v>
      </c>
      <c r="L66" s="32" t="n">
        <f aca="false">SUMIFS(Ведомость!$N$5:$N$846,Ведомость!$H$5:$H$846,12,Ведомость!$I$5:$I$846,"А240",Ведомость!$V$5:$V$846,"Дм-4",Ведомость!$W$5:$W$846,2)</f>
        <v>0</v>
      </c>
      <c r="M66" s="32" t="n">
        <f aca="false">SUMIFS(Ведомость!$N$5:$N$846,Ведомость!$H$5:$H$846,12,Ведомость!$I$5:$I$846,"А240",Ведомость!$V$5:$V$846,"Дм-5",Ведомость!$W$5:$W$846,2)</f>
        <v>0</v>
      </c>
      <c r="N66" s="32" t="n">
        <f aca="false">SUMIFS(Ведомость!$N$5:$N$846,Ведомость!$H$5:$H$846,12,Ведомость!$I$5:$I$846,"А240",Ведомость!$V$5:$V$846,"Р-Г",Ведомость!$W$5:$W$846,2)</f>
        <v>0</v>
      </c>
      <c r="O66" s="32" t="n">
        <f aca="false">SUMIFS(Ведомость!$N$5:$N$846,Ведомость!$H$5:$H$846,12,Ведомость!$I$5:$I$846,"А240",Ведомость!$V$5:$V$846,"Р-1, 5",Ведомость!$W$5:$W$846,2)</f>
        <v>0</v>
      </c>
      <c r="P66" s="32" t="n">
        <f aca="false">SUMIFS(Ведомость!$N$5:$N$846,Ведомость!$H$5:$H$846,12,Ведомость!$I$5:$I$846,"А240",Ведомость!$V$5:$V$846,"Р-2",Ведомость!$W$5:$W$846,2)</f>
        <v>0</v>
      </c>
      <c r="Q66" s="32" t="n">
        <f aca="false">SUMIFS(Ведомость!$N$5:$N$846,Ведомость!$H$5:$H$846,12,Ведомость!$I$5:$I$846,"А240",Ведомость!$V$5:$V$846,"Р-3",Ведомость!$W$5:$W$846,2)</f>
        <v>0</v>
      </c>
      <c r="R66" s="32" t="n">
        <f aca="false">SUMIFS(Ведомость!$N$5:$N$846,Ведомость!$H$5:$H$846,12,Ведомость!$I$5:$I$846,"А240",Ведомость!$V$5:$V$846,"Р-4",Ведомость!$W$5:$W$846,2)</f>
        <v>0</v>
      </c>
      <c r="S66" s="32" t="n">
        <f aca="false">SUMIFS(Ведомость!$N$5:$N$846,Ведомость!$H$5:$H$846,12,Ведомость!$I$5:$I$846,"А240",Ведомость!$V$5:$V$846,"Б-основная",Ведомость!$W$5:$W$846,2)</f>
        <v>0</v>
      </c>
      <c r="T66" s="32" t="n">
        <f aca="false">SUMIFS(Ведомость!$N$5:$N$846,Ведомость!$H$5:$H$846,12,Ведомость!$I$5:$I$846,"А240",Ведомость!$V$5:$V$846,"Б-хомуты",Ведомость!$W$5:$W$846,2)</f>
        <v>0</v>
      </c>
      <c r="U66" s="32" t="n">
        <f aca="false">SUMIFS(Ведомость!$N$5:$N$846,Ведомость!$H$5:$H$846,12,Ведомость!$I$5:$I$846,"А240",Ведомость!$V$5:$V$846,"Б-допник",Ведомость!$W$5:$W$846,2)</f>
        <v>0</v>
      </c>
      <c r="V66" s="32" t="n">
        <f aca="false">SUMIFS(Ведомость!$N$5:$N$846,Ведомость!$H$5:$H$846,12,Ведомость!$I$5:$I$846,"А240",Ведомость!$V$5:$V$846,"П-сетка",Ведомость!$W$5:$W$846,2)</f>
        <v>0</v>
      </c>
      <c r="W66" s="32" t="n">
        <f aca="false">SUMIFS(Ведомость!$N$5:$N$846,Ведомость!$H$5:$H$846,12,Ведомость!$I$5:$I$846,"А240",Ведомость!$V$5:$V$846,"П-фикс",Ведомость!$W$5:$W$846,2)</f>
        <v>0</v>
      </c>
      <c r="X66" s="32" t="n">
        <f aca="false">SUMIFS(Ведомость!$N$5:$N$846,Ведомость!$H$5:$H$846,12,Ведомость!$I$5:$I$846,"А240",Ведомость!$V$5:$V$846,"П-отв",Ведомость!$W$5:$W$846,2)</f>
        <v>0</v>
      </c>
      <c r="Y66" s="32" t="n">
        <f aca="false">SUMIFS(Ведомость!$N$5:$N$846,Ведомость!$H$5:$H$846,12,Ведомость!$I$5:$I$846,"А240",Ведомость!$V$5:$V$846,"П-доп-низ",Ведомость!$W$5:$W$846,2)</f>
        <v>0</v>
      </c>
      <c r="Z66" s="32" t="n">
        <f aca="false">SUMIFS(Ведомость!$N$5:$N$846,Ведомость!$H$5:$H$846,12,Ведомость!$I$5:$I$846,"А240",Ведомость!$V$5:$V$846,"П-доп-верх",Ведомость!$W$5:$W$846,2)</f>
        <v>0</v>
      </c>
      <c r="AA66" s="32" t="n">
        <f aca="false">SUMIFS(Ведомость!$N$5:$N$846,Ведомость!$H$5:$H$846,12,Ведомость!$I$5:$I$846,"А240",Ведомость!$V$5:$V$846,"П-край",Ведомость!$W$5:$W$846,2)</f>
        <v>0</v>
      </c>
      <c r="AB66" s="32" t="n">
        <f aca="false">SUMIFS(Ведомость!$N$5:$N$846,Ведомость!$H$5:$H$846,12,Ведомость!$I$5:$I$846,"А240",Ведомость!$V$5:$V$846,"С-1",Ведомость!$W$5:$W$846,2)</f>
        <v>0</v>
      </c>
      <c r="AC66" s="32" t="n">
        <f aca="false">SUMIFS(Ведомость!$N$5:$N$846,Ведомость!$H$5:$H$846,12,Ведомость!$I$5:$I$846,"А240",Ведомость!$V$5:$V$846,"Л1",Ведомость!$W$5:$W$846,2)</f>
        <v>0</v>
      </c>
      <c r="AD66" s="32" t="n">
        <f aca="false">SUMIFS(Ведомость!$N$5:$N$846,Ведомость!$H$5:$H$846,12,Ведомость!$I$5:$I$846,"А240",Ведомость!$V$5:$V$846,"Л2",Ведомость!$W$5:$W$846,2)</f>
        <v>0</v>
      </c>
      <c r="AE66" s="32" t="n">
        <f aca="false">SUMIFS(Ведомость!$N$5:$N$846,Ведомость!$H$5:$H$846,12,Ведомость!$I$5:$I$846,"А240",Ведомость!$V$5:$V$846,"Л-пл",Ведомость!$W$5:$W$846,2)</f>
        <v>0</v>
      </c>
      <c r="AF66" s="32" t="n">
        <f aca="false">SUMIFS(Ведомость!$N$5:$N$846,Ведомость!$H$5:$H$846,12,Ведомость!$I$5:$I$846,"А240",Ведомость!$V$5:$V$846,"Л-рама",Ведомость!$W$5:$W$846,2)</f>
        <v>0</v>
      </c>
      <c r="AG66" s="33" t="n">
        <f aca="false">SUM(B66:AF66)</f>
        <v>0</v>
      </c>
      <c r="AH66" s="34" t="n">
        <f aca="false">IFERROR(INDEX(Исходные!$B$18:$B$30,MATCH(12,Исходные!$A$18:$A$30,0)),0)</f>
        <v>0.888</v>
      </c>
      <c r="AI66" s="33" t="n">
        <f aca="false">AG66*AH66*$AJ$2</f>
        <v>0</v>
      </c>
      <c r="AJ66" s="35" t="n">
        <f aca="false">SUM(B66:D66,F66,H66,J66:M66)</f>
        <v>0</v>
      </c>
      <c r="AK66" s="36" t="n">
        <f aca="false">AH66</f>
        <v>0.888</v>
      </c>
      <c r="AL66" s="37" t="n">
        <f aca="false">AJ66*AK66*$AJ$2</f>
        <v>0</v>
      </c>
      <c r="AM66" s="35" t="n">
        <f aca="false">SUM(E66,G66,I66,N66:AB66)</f>
        <v>0</v>
      </c>
      <c r="AN66" s="36" t="n">
        <f aca="false">AH66</f>
        <v>0.888</v>
      </c>
      <c r="AO66" s="37" t="n">
        <f aca="false">AM66*AN66*$AJ$2</f>
        <v>0</v>
      </c>
      <c r="AP66" s="35" t="n">
        <f aca="false">SUM(AC66:AF66)</f>
        <v>0</v>
      </c>
      <c r="AQ66" s="36" t="n">
        <f aca="false">AH66</f>
        <v>0.888</v>
      </c>
      <c r="AR66" s="37" t="n">
        <f aca="false">AP66*AQ66*$AJ$2</f>
        <v>0</v>
      </c>
    </row>
    <row r="67" customFormat="false" ht="15" hidden="false" customHeight="false" outlineLevel="0" collapsed="false">
      <c r="A67" s="6" t="s">
        <v>133</v>
      </c>
      <c r="B67" s="32" t="n">
        <f aca="false">SUMIFS(Ведомость!$N$5:$N$846,Ведомость!$H$5:$H$846,10,Ведомость!$I$5:$I$846,"А240",Ведомость!$V$5:$V$846,"Дм-1",Ведомость!$W$5:$W$846,2)</f>
        <v>63.84</v>
      </c>
      <c r="C67" s="32" t="n">
        <f aca="false">SUMIFS(Ведомость!$N$5:$N$846,Ведомость!$H$5:$H$846,10,Ведомость!$I$5:$I$846,"А240",Ведомость!$V$5:$V$846,"Дм-2",Ведомость!$W$5:$W$846,2)</f>
        <v>42.56</v>
      </c>
      <c r="D67" s="32" t="n">
        <f aca="false">SUMIFS(Ведомость!$N$5:$N$846,Ведомость!$H$5:$H$846,10,Ведомость!$I$5:$I$846,"А240",Ведомость!$V$5:$V$846,"К-А",Ведомость!$W$5:$W$846,2)</f>
        <v>0</v>
      </c>
      <c r="E67" s="32" t="n">
        <f aca="false">SUMIFS(Ведомость!$N$5:$N$846,Ведомость!$H$5:$H$846,10,Ведомость!$I$5:$I$846,"А240",Ведомость!$V$5:$V$846,"Р-А",Ведомость!$W$5:$W$846,2)</f>
        <v>128.16</v>
      </c>
      <c r="F67" s="32" t="n">
        <f aca="false">SUMIFS(Ведомость!$N$5:$N$846,Ведомость!$H$5:$H$846,10,Ведомость!$I$5:$I$846,"А240",Ведомость!$V$5:$V$846,"К-Б",Ведомость!$W$5:$W$846,2)</f>
        <v>0</v>
      </c>
      <c r="G67" s="32" t="n">
        <f aca="false">SUMIFS(Ведомость!$N$5:$N$846,Ведомость!$H$5:$H$846,10,Ведомость!$I$5:$I$846,"А240",Ведомость!$V$5:$V$846,"Р-Б",Ведомость!$W$5:$W$846,2)</f>
        <v>261.1</v>
      </c>
      <c r="H67" s="32" t="n">
        <f aca="false">SUMIFS(Ведомость!$N$5:$N$846,Ведомость!$H$5:$H$846,10,Ведомость!$I$5:$I$846,"А240",Ведомость!$V$5:$V$846,"К-В",Ведомость!$W$5:$W$846,2)</f>
        <v>0</v>
      </c>
      <c r="I67" s="32" t="n">
        <f aca="false">SUMIFS(Ведомость!$N$5:$N$846,Ведомость!$H$5:$H$846,10,Ведомость!$I$5:$I$846,"А240",Ведомость!$V$5:$V$846,"Р-В",Ведомость!$W$5:$W$846,2)</f>
        <v>439.44</v>
      </c>
      <c r="J67" s="32" t="n">
        <f aca="false">SUMIFS(Ведомость!$N$5:$N$846,Ведомость!$H$5:$H$846,10,Ведомость!$I$5:$I$846,"А240",Ведомость!$V$5:$V$846,"К-Г",Ведомость!$W$5:$W$846,2)</f>
        <v>0</v>
      </c>
      <c r="K67" s="32" t="n">
        <f aca="false">SUMIFS(Ведомость!$N$5:$N$846,Ведомость!$H$5:$H$846,10,Ведомость!$I$5:$I$846,"А240",Ведомость!$V$5:$V$846,"Дм-3",Ведомость!$W$5:$W$846,2)</f>
        <v>63.84</v>
      </c>
      <c r="L67" s="32" t="n">
        <f aca="false">SUMIFS(Ведомость!$N$5:$N$846,Ведомость!$H$5:$H$846,10,Ведомость!$I$5:$I$846,"А240",Ведомость!$V$5:$V$846,"Дм-4",Ведомость!$W$5:$W$846,2)</f>
        <v>21.28</v>
      </c>
      <c r="M67" s="32" t="n">
        <f aca="false">SUMIFS(Ведомость!$N$5:$N$846,Ведомость!$H$5:$H$846,10,Ведомость!$I$5:$I$846,"А240",Ведомость!$V$5:$V$846,"Дм-5",Ведомость!$W$5:$W$846,2)</f>
        <v>42.56</v>
      </c>
      <c r="N67" s="32" t="n">
        <f aca="false">SUMIFS(Ведомость!$N$5:$N$846,Ведомость!$H$5:$H$846,10,Ведомость!$I$5:$I$846,"А240",Ведомость!$V$5:$V$846,"Р-Г",Ведомость!$W$5:$W$846,2)</f>
        <v>117.42</v>
      </c>
      <c r="O67" s="32" t="n">
        <f aca="false">SUMIFS(Ведомость!$N$5:$N$846,Ведомость!$H$5:$H$846,10,Ведомость!$I$5:$I$846,"А240",Ведомость!$V$5:$V$846,"Р-1, 5",Ведомость!$W$5:$W$846,2)</f>
        <v>193.64</v>
      </c>
      <c r="P67" s="32" t="n">
        <f aca="false">SUMIFS(Ведомость!$N$5:$N$846,Ведомость!$H$5:$H$846,10,Ведомость!$I$5:$I$846,"А240",Ведомость!$V$5:$V$846,"Р-2",Ведомость!$W$5:$W$846,2)</f>
        <v>327.12</v>
      </c>
      <c r="Q67" s="32" t="n">
        <f aca="false">SUMIFS(Ведомость!$N$5:$N$846,Ведомость!$H$5:$H$846,10,Ведомость!$I$5:$I$846,"А240",Ведомость!$V$5:$V$846,"Р-3",Ведомость!$W$5:$W$846,2)</f>
        <v>299.96</v>
      </c>
      <c r="R67" s="32" t="n">
        <f aca="false">SUMIFS(Ведомость!$N$5:$N$846,Ведомость!$H$5:$H$846,10,Ведомость!$I$5:$I$846,"А240",Ведомость!$V$5:$V$846,"Р-4",Ведомость!$W$5:$W$846,2)</f>
        <v>276.82</v>
      </c>
      <c r="S67" s="32" t="n">
        <f aca="false">SUMIFS(Ведомость!$N$5:$N$846,Ведомость!$H$5:$H$846,10,Ведомость!$I$5:$I$846,"А240",Ведомость!$V$5:$V$846,"Б-основная",Ведомость!$W$5:$W$846,2)</f>
        <v>0</v>
      </c>
      <c r="T67" s="32" t="n">
        <f aca="false">SUMIFS(Ведомость!$N$5:$N$846,Ведомость!$H$5:$H$846,10,Ведомость!$I$5:$I$846,"А240",Ведомость!$V$5:$V$846,"Б-хомуты",Ведомость!$W$5:$W$846,2)</f>
        <v>0</v>
      </c>
      <c r="U67" s="32" t="n">
        <f aca="false">SUMIFS(Ведомость!$N$5:$N$846,Ведомость!$H$5:$H$846,10,Ведомость!$I$5:$I$846,"А240",Ведомость!$V$5:$V$846,"Б-допник",Ведомость!$W$5:$W$846,2)</f>
        <v>0</v>
      </c>
      <c r="V67" s="32" t="n">
        <f aca="false">SUMIFS(Ведомость!$N$5:$N$846,Ведомость!$H$5:$H$846,10,Ведомость!$I$5:$I$846,"А240",Ведомость!$V$5:$V$846,"П-сетка",Ведомость!$W$5:$W$846,2)</f>
        <v>0</v>
      </c>
      <c r="W67" s="32" t="n">
        <f aca="false">SUMIFS(Ведомость!$N$5:$N$846,Ведомость!$H$5:$H$846,10,Ведомость!$I$5:$I$846,"А240",Ведомость!$V$5:$V$846,"П-фикс",Ведомость!$W$5:$W$846,2)</f>
        <v>355.74</v>
      </c>
      <c r="X67" s="32" t="n">
        <f aca="false">SUMIFS(Ведомость!$N$5:$N$846,Ведомость!$H$5:$H$846,10,Ведомость!$I$5:$I$846,"А240",Ведомость!$V$5:$V$846,"П-отв",Ведомость!$W$5:$W$846,2)</f>
        <v>0</v>
      </c>
      <c r="Y67" s="32" t="n">
        <f aca="false">SUMIFS(Ведомость!$N$5:$N$846,Ведомость!$H$5:$H$846,10,Ведомость!$I$5:$I$846,"А240",Ведомость!$V$5:$V$846,"П-доп-низ",Ведомость!$W$5:$W$846,2)</f>
        <v>0</v>
      </c>
      <c r="Z67" s="32" t="n">
        <f aca="false">SUMIFS(Ведомость!$N$5:$N$846,Ведомость!$H$5:$H$846,10,Ведомость!$I$5:$I$846,"А240",Ведомость!$V$5:$V$846,"П-доп-верх",Ведомость!$W$5:$W$846,2)</f>
        <v>0</v>
      </c>
      <c r="AA67" s="32" t="n">
        <f aca="false">SUMIFS(Ведомость!$N$5:$N$846,Ведомость!$H$5:$H$846,10,Ведомость!$I$5:$I$846,"А240",Ведомость!$V$5:$V$846,"П-край",Ведомость!$W$5:$W$846,2)</f>
        <v>83.3</v>
      </c>
      <c r="AB67" s="32" t="n">
        <f aca="false">SUMIFS(Ведомость!$N$5:$N$846,Ведомость!$H$5:$H$846,10,Ведомость!$I$5:$I$846,"А240",Ведомость!$V$5:$V$846,"С-1",Ведомость!$W$5:$W$846,2)</f>
        <v>0</v>
      </c>
      <c r="AC67" s="32" t="n">
        <f aca="false">SUMIFS(Ведомость!$N$5:$N$846,Ведомость!$H$5:$H$846,10,Ведомость!$I$5:$I$846,"А240",Ведомость!$V$5:$V$846,"Л1",Ведомость!$W$5:$W$846,2)</f>
        <v>31.2</v>
      </c>
      <c r="AD67" s="32" t="n">
        <f aca="false">SUMIFS(Ведомость!$N$5:$N$846,Ведомость!$H$5:$H$846,10,Ведомость!$I$5:$I$846,"А240",Ведомость!$V$5:$V$846,"Л2",Ведомость!$W$5:$W$846,2)</f>
        <v>31.2</v>
      </c>
      <c r="AE67" s="32" t="n">
        <f aca="false">SUMIFS(Ведомость!$N$5:$N$846,Ведомость!$H$5:$H$846,10,Ведомость!$I$5:$I$846,"А240",Ведомость!$V$5:$V$846,"Л-пл",Ведомость!$W$5:$W$846,2)</f>
        <v>29.12</v>
      </c>
      <c r="AF67" s="32" t="n">
        <f aca="false">SUMIFS(Ведомость!$N$5:$N$846,Ведомость!$H$5:$H$846,10,Ведомость!$I$5:$I$846,"А240",Ведомость!$V$5:$V$846,"Л-рама",Ведомость!$W$5:$W$846,2)</f>
        <v>0</v>
      </c>
      <c r="AG67" s="33" t="n">
        <f aca="false">SUM(B67:AF67)</f>
        <v>2808.3</v>
      </c>
      <c r="AH67" s="34" t="n">
        <f aca="false">IFERROR(INDEX(Исходные!$B$18:$B$30,MATCH(10,Исходные!$A$18:$A$30,0)),0)</f>
        <v>0.617</v>
      </c>
      <c r="AI67" s="33" t="n">
        <f aca="false">AG67*AH67*$AJ$2</f>
        <v>1854.011577</v>
      </c>
      <c r="AJ67" s="35" t="n">
        <f aca="false">SUM(B67:D67,F67,H67,J67:M67)</f>
        <v>234.08</v>
      </c>
      <c r="AK67" s="36" t="n">
        <f aca="false">AH67</f>
        <v>0.617</v>
      </c>
      <c r="AL67" s="37" t="n">
        <f aca="false">AJ67*AK67*$AJ$2</f>
        <v>154.5372752</v>
      </c>
      <c r="AM67" s="35" t="n">
        <f aca="false">SUM(E67,G67,I67,N67:AB67)</f>
        <v>2482.7</v>
      </c>
      <c r="AN67" s="36" t="n">
        <f aca="false">AH67</f>
        <v>0.617</v>
      </c>
      <c r="AO67" s="37" t="n">
        <f aca="false">AM67*AN67*$AJ$2</f>
        <v>1639.053713</v>
      </c>
      <c r="AP67" s="35" t="n">
        <f aca="false">SUM(AC67:AF67)</f>
        <v>91.52</v>
      </c>
      <c r="AQ67" s="36" t="n">
        <f aca="false">AH67</f>
        <v>0.617</v>
      </c>
      <c r="AR67" s="37" t="n">
        <f aca="false">AP67*AQ67*$AJ$2</f>
        <v>60.4205888</v>
      </c>
    </row>
    <row r="68" customFormat="false" ht="15" hidden="false" customHeight="false" outlineLevel="0" collapsed="false">
      <c r="A68" s="6" t="s">
        <v>134</v>
      </c>
      <c r="B68" s="32" t="n">
        <f aca="false">SUMIFS(Ведомость!$N$5:$N$846,Ведомость!$H$5:$H$846,8,Ведомость!$I$5:$I$846,"А240",Ведомость!$V$5:$V$846,"Дм-1",Ведомость!$W$5:$W$846,2)</f>
        <v>247.28</v>
      </c>
      <c r="C68" s="32" t="n">
        <f aca="false">SUMIFS(Ведомость!$N$5:$N$846,Ведомость!$H$5:$H$846,8,Ведомость!$I$5:$I$846,"А240",Ведомость!$V$5:$V$846,"Дм-2",Ведомость!$W$5:$W$846,2)</f>
        <v>205.36</v>
      </c>
      <c r="D68" s="32" t="n">
        <f aca="false">SUMIFS(Ведомость!$N$5:$N$846,Ведомость!$H$5:$H$846,8,Ведомость!$I$5:$I$846,"А240",Ведомость!$V$5:$V$846,"К-А",Ведомость!$W$5:$W$846,2)</f>
        <v>393.12</v>
      </c>
      <c r="E68" s="32" t="n">
        <f aca="false">SUMIFS(Ведомость!$N$5:$N$846,Ведомость!$H$5:$H$846,8,Ведомость!$I$5:$I$846,"А240",Ведомость!$V$5:$V$846,"Р-А",Ведомость!$W$5:$W$846,2)</f>
        <v>350.07</v>
      </c>
      <c r="F68" s="32" t="n">
        <f aca="false">SUMIFS(Ведомость!$N$5:$N$846,Ведомость!$H$5:$H$846,8,Ведомость!$I$5:$I$846,"А240",Ведомость!$V$5:$V$846,"К-Б",Ведомость!$W$5:$W$846,2)</f>
        <v>655.2</v>
      </c>
      <c r="G68" s="32" t="n">
        <f aca="false">SUMIFS(Ведомость!$N$5:$N$846,Ведомость!$H$5:$H$846,8,Ведомость!$I$5:$I$846,"А240",Ведомость!$V$5:$V$846,"Р-Б",Ведомость!$W$5:$W$846,2)</f>
        <v>311.81</v>
      </c>
      <c r="H68" s="32" t="n">
        <f aca="false">SUMIFS(Ведомость!$N$5:$N$846,Ведомость!$H$5:$H$846,8,Ведомость!$I$5:$I$846,"А240",Ведомость!$V$5:$V$846,"К-В",Ведомость!$W$5:$W$846,2)</f>
        <v>655.2</v>
      </c>
      <c r="I68" s="32" t="n">
        <f aca="false">SUMIFS(Ведомость!$N$5:$N$846,Ведомость!$H$5:$H$846,8,Ведомость!$I$5:$I$846,"А240",Ведомость!$V$5:$V$846,"Р-В",Ведомость!$W$5:$W$846,2)</f>
        <v>245.84</v>
      </c>
      <c r="J68" s="32" t="n">
        <f aca="false">SUMIFS(Ведомость!$N$5:$N$846,Ведомость!$H$5:$H$846,8,Ведомость!$I$5:$I$846,"А240",Ведомость!$V$5:$V$846,"К-Г",Ведомость!$W$5:$W$846,2)</f>
        <v>262.08</v>
      </c>
      <c r="K68" s="32" t="n">
        <f aca="false">SUMIFS(Ведомость!$N$5:$N$846,Ведомость!$H$5:$H$846,8,Ведомость!$I$5:$I$846,"А240",Ведомость!$V$5:$V$846,"Дм-3",Ведомость!$W$5:$W$846,2)</f>
        <v>243.04</v>
      </c>
      <c r="L68" s="32" t="n">
        <f aca="false">SUMIFS(Ведомость!$N$5:$N$846,Ведомость!$H$5:$H$846,8,Ведомость!$I$5:$I$846,"А240",Ведомость!$V$5:$V$846,"Дм-4",Ведомость!$W$5:$W$846,2)</f>
        <v>171.92</v>
      </c>
      <c r="M68" s="32" t="n">
        <f aca="false">SUMIFS(Ведомость!$N$5:$N$846,Ведомость!$H$5:$H$846,8,Ведомость!$I$5:$I$846,"А240",Ведомость!$V$5:$V$846,"Дм-5",Ведомость!$W$5:$W$846,2)</f>
        <v>205.36</v>
      </c>
      <c r="N68" s="32" t="n">
        <f aca="false">SUMIFS(Ведомость!$N$5:$N$846,Ведомость!$H$5:$H$846,8,Ведомость!$I$5:$I$846,"А240",Ведомость!$V$5:$V$846,"Р-Г",Ведомость!$W$5:$W$846,2)</f>
        <v>351.14</v>
      </c>
      <c r="O68" s="32" t="n">
        <f aca="false">SUMIFS(Ведомость!$N$5:$N$846,Ведомость!$H$5:$H$846,8,Ведомость!$I$5:$I$846,"А240",Ведомость!$V$5:$V$846,"Р-1, 5",Ведомость!$W$5:$W$846,2)</f>
        <v>636.54</v>
      </c>
      <c r="P68" s="32" t="n">
        <f aca="false">SUMIFS(Ведомость!$N$5:$N$846,Ведомость!$H$5:$H$846,8,Ведомость!$I$5:$I$846,"А240",Ведомость!$V$5:$V$846,"Р-2",Ведомость!$W$5:$W$846,2)</f>
        <v>154.39</v>
      </c>
      <c r="Q68" s="32" t="n">
        <f aca="false">SUMIFS(Ведомость!$N$5:$N$846,Ведомость!$H$5:$H$846,8,Ведомость!$I$5:$I$846,"А240",Ведомость!$V$5:$V$846,"Р-3",Ведомость!$W$5:$W$846,2)</f>
        <v>197.08</v>
      </c>
      <c r="R68" s="32" t="n">
        <f aca="false">SUMIFS(Ведомость!$N$5:$N$846,Ведомость!$H$5:$H$846,8,Ведомость!$I$5:$I$846,"А240",Ведомость!$V$5:$V$846,"Р-4",Ведомость!$W$5:$W$846,2)</f>
        <v>175.38</v>
      </c>
      <c r="S68" s="32" t="n">
        <f aca="false">SUMIFS(Ведомость!$N$5:$N$846,Ведомость!$H$5:$H$846,8,Ведомость!$I$5:$I$846,"А240",Ведомость!$V$5:$V$846,"Б-основная",Ведомость!$W$5:$W$846,2)</f>
        <v>0</v>
      </c>
      <c r="T68" s="32" t="n">
        <f aca="false">SUMIFS(Ведомость!$N$5:$N$846,Ведомость!$H$5:$H$846,8,Ведомость!$I$5:$I$846,"А240",Ведомость!$V$5:$V$846,"Б-хомуты",Ведомость!$W$5:$W$846,2)</f>
        <v>1690.44</v>
      </c>
      <c r="U68" s="32" t="n">
        <f aca="false">SUMIFS(Ведомость!$N$5:$N$846,Ведомость!$H$5:$H$846,8,Ведомость!$I$5:$I$846,"А240",Ведомость!$V$5:$V$846,"Б-допник",Ведомость!$W$5:$W$846,2)</f>
        <v>0</v>
      </c>
      <c r="V68" s="32" t="n">
        <f aca="false">SUMIFS(Ведомость!$N$5:$N$846,Ведомость!$H$5:$H$846,8,Ведомость!$I$5:$I$846,"А240",Ведомость!$V$5:$V$846,"П-сетка",Ведомость!$W$5:$W$846,2)</f>
        <v>0</v>
      </c>
      <c r="W68" s="32" t="n">
        <f aca="false">SUMIFS(Ведомость!$N$5:$N$846,Ведомость!$H$5:$H$846,8,Ведомость!$I$5:$I$846,"А240",Ведомость!$V$5:$V$846,"П-фикс",Ведомость!$W$5:$W$846,2)</f>
        <v>186.34</v>
      </c>
      <c r="X68" s="32" t="n">
        <f aca="false">SUMIFS(Ведомость!$N$5:$N$846,Ведомость!$H$5:$H$846,8,Ведомость!$I$5:$I$846,"А240",Ведомость!$V$5:$V$846,"П-отв",Ведомость!$W$5:$W$846,2)</f>
        <v>0</v>
      </c>
      <c r="Y68" s="32" t="n">
        <f aca="false">SUMIFS(Ведомость!$N$5:$N$846,Ведомость!$H$5:$H$846,8,Ведомость!$I$5:$I$846,"А240",Ведомость!$V$5:$V$846,"П-доп-низ",Ведомость!$W$5:$W$846,2)</f>
        <v>0</v>
      </c>
      <c r="Z68" s="32" t="n">
        <f aca="false">SUMIFS(Ведомость!$N$5:$N$846,Ведомость!$H$5:$H$846,8,Ведомость!$I$5:$I$846,"А240",Ведомость!$V$5:$V$846,"П-доп-верх",Ведомость!$W$5:$W$846,2)</f>
        <v>0</v>
      </c>
      <c r="AA68" s="32" t="n">
        <f aca="false">SUMIFS(Ведомость!$N$5:$N$846,Ведомость!$H$5:$H$846,8,Ведомость!$I$5:$I$846,"А240",Ведомость!$V$5:$V$846,"П-край",Ведомость!$W$5:$W$846,2)</f>
        <v>0</v>
      </c>
      <c r="AB68" s="32" t="n">
        <f aca="false">SUMIFS(Ведомость!$N$5:$N$846,Ведомость!$H$5:$H$846,8,Ведомость!$I$5:$I$846,"А240",Ведомость!$V$5:$V$846,"С-1",Ведомость!$W$5:$W$846,2)</f>
        <v>0</v>
      </c>
      <c r="AC68" s="32" t="n">
        <f aca="false">SUMIFS(Ведомость!$N$5:$N$846,Ведомость!$H$5:$H$846,8,Ведомость!$I$5:$I$846,"А240",Ведомость!$V$5:$V$846,"Л1",Ведомость!$W$5:$W$846,2)</f>
        <v>0</v>
      </c>
      <c r="AD68" s="32" t="n">
        <f aca="false">SUMIFS(Ведомость!$N$5:$N$846,Ведомость!$H$5:$H$846,8,Ведомость!$I$5:$I$846,"А240",Ведомость!$V$5:$V$846,"Л2",Ведомость!$W$5:$W$846,2)</f>
        <v>0</v>
      </c>
      <c r="AE68" s="32" t="n">
        <f aca="false">SUMIFS(Ведомость!$N$5:$N$846,Ведомость!$H$5:$H$846,8,Ведомость!$I$5:$I$846,"А240",Ведомость!$V$5:$V$846,"Л-пл",Ведомость!$W$5:$W$846,2)</f>
        <v>0</v>
      </c>
      <c r="AF68" s="32" t="n">
        <f aca="false">SUMIFS(Ведомость!$N$5:$N$846,Ведомость!$H$5:$H$846,8,Ведомость!$I$5:$I$846,"А240",Ведомость!$V$5:$V$846,"Л-рама",Ведомость!$W$5:$W$846,2)</f>
        <v>43.44</v>
      </c>
      <c r="AG68" s="33" t="n">
        <f aca="false">SUM(B68:AF68)</f>
        <v>7381.03</v>
      </c>
      <c r="AH68" s="34" t="n">
        <f aca="false">IFERROR(INDEX(Исходные!$B$18:$B$30,MATCH(8,Исходные!$A$18:$A$30,0)),0)</f>
        <v>0.395</v>
      </c>
      <c r="AI68" s="33" t="n">
        <f aca="false">AG68*AH68*$AJ$2</f>
        <v>3119.5923295</v>
      </c>
      <c r="AJ68" s="35" t="n">
        <f aca="false">SUM(B68:D68,F68,H68,J68:M68)</f>
        <v>3038.56</v>
      </c>
      <c r="AK68" s="36" t="n">
        <f aca="false">AH68</f>
        <v>0.395</v>
      </c>
      <c r="AL68" s="37" t="n">
        <f aca="false">AJ68*AK68*$AJ$2</f>
        <v>1284.247384</v>
      </c>
      <c r="AM68" s="35" t="n">
        <f aca="false">SUM(E68,G68,I68,N68:AB68)</f>
        <v>4299.03</v>
      </c>
      <c r="AN68" s="36" t="n">
        <f aca="false">AH68</f>
        <v>0.395</v>
      </c>
      <c r="AO68" s="37" t="n">
        <f aca="false">AM68*AN68*$AJ$2</f>
        <v>1816.9850295</v>
      </c>
      <c r="AP68" s="35" t="n">
        <f aca="false">SUM(AC68:AF68)</f>
        <v>43.44</v>
      </c>
      <c r="AQ68" s="36" t="n">
        <f aca="false">AH68</f>
        <v>0.395</v>
      </c>
      <c r="AR68" s="37" t="n">
        <f aca="false">AP68*AQ68*$AJ$2</f>
        <v>18.359916</v>
      </c>
    </row>
    <row r="69" customFormat="false" ht="15" hidden="false" customHeight="false" outlineLevel="0" collapsed="false">
      <c r="A69" s="6" t="s">
        <v>135</v>
      </c>
      <c r="B69" s="32" t="n">
        <f aca="false">SUMIFS(Ведомость!$N$5:$N$846,Ведомость!$H$5:$H$846,6,Ведомость!$I$5:$I$846,"А240",Ведомость!$V$5:$V$846,"Дм-1",Ведомость!$W$5:$W$846,2)</f>
        <v>0</v>
      </c>
      <c r="C69" s="32" t="n">
        <f aca="false">SUMIFS(Ведомость!$N$5:$N$846,Ведомость!$H$5:$H$846,6,Ведомость!$I$5:$I$846,"А240",Ведомость!$V$5:$V$846,"Дм-2",Ведомость!$W$5:$W$846,2)</f>
        <v>0</v>
      </c>
      <c r="D69" s="32" t="n">
        <f aca="false">SUMIFS(Ведомость!$N$5:$N$846,Ведомость!$H$5:$H$846,6,Ведомость!$I$5:$I$846,"А240",Ведомость!$V$5:$V$846,"К-А",Ведомость!$W$5:$W$846,2)</f>
        <v>0</v>
      </c>
      <c r="E69" s="32" t="n">
        <f aca="false">SUMIFS(Ведомость!$N$5:$N$846,Ведомость!$H$5:$H$846,6,Ведомость!$I$5:$I$846,"А240",Ведомость!$V$5:$V$846,"Р-А",Ведомость!$W$5:$W$846,2)</f>
        <v>0</v>
      </c>
      <c r="F69" s="32" t="n">
        <f aca="false">SUMIFS(Ведомость!$N$5:$N$846,Ведомость!$H$5:$H$846,6,Ведомость!$I$5:$I$846,"А240",Ведомость!$V$5:$V$846,"К-Б",Ведомость!$W$5:$W$846,2)</f>
        <v>0</v>
      </c>
      <c r="G69" s="32" t="n">
        <f aca="false">SUMIFS(Ведомость!$N$5:$N$846,Ведомость!$H$5:$H$846,6,Ведомость!$I$5:$I$846,"А240",Ведомость!$V$5:$V$846,"Р-Б",Ведомость!$W$5:$W$846,2)</f>
        <v>0</v>
      </c>
      <c r="H69" s="32" t="n">
        <f aca="false">SUMIFS(Ведомость!$N$5:$N$846,Ведомость!$H$5:$H$846,6,Ведомость!$I$5:$I$846,"А240",Ведомость!$V$5:$V$846,"К-В",Ведомость!$W$5:$W$846,2)</f>
        <v>0</v>
      </c>
      <c r="I69" s="32" t="n">
        <f aca="false">SUMIFS(Ведомость!$N$5:$N$846,Ведомость!$H$5:$H$846,6,Ведомость!$I$5:$I$846,"А240",Ведомость!$V$5:$V$846,"Р-В",Ведомость!$W$5:$W$846,2)</f>
        <v>0</v>
      </c>
      <c r="J69" s="32" t="n">
        <f aca="false">SUMIFS(Ведомость!$N$5:$N$846,Ведомость!$H$5:$H$846,6,Ведомость!$I$5:$I$846,"А240",Ведомость!$V$5:$V$846,"К-Г",Ведомость!$W$5:$W$846,2)</f>
        <v>0</v>
      </c>
      <c r="K69" s="32" t="n">
        <f aca="false">SUMIFS(Ведомость!$N$5:$N$846,Ведомость!$H$5:$H$846,6,Ведомость!$I$5:$I$846,"А240",Ведомость!$V$5:$V$846,"Дм-3",Ведомость!$W$5:$W$846,2)</f>
        <v>0</v>
      </c>
      <c r="L69" s="32" t="n">
        <f aca="false">SUMIFS(Ведомость!$N$5:$N$846,Ведомость!$H$5:$H$846,6,Ведомость!$I$5:$I$846,"А240",Ведомость!$V$5:$V$846,"Дм-4",Ведомость!$W$5:$W$846,2)</f>
        <v>0</v>
      </c>
      <c r="M69" s="32" t="n">
        <f aca="false">SUMIFS(Ведомость!$N$5:$N$846,Ведомость!$H$5:$H$846,6,Ведомость!$I$5:$I$846,"А240",Ведомость!$V$5:$V$846,"Дм-5",Ведомость!$W$5:$W$846,2)</f>
        <v>0</v>
      </c>
      <c r="N69" s="32" t="n">
        <f aca="false">SUMIFS(Ведомость!$N$5:$N$846,Ведомость!$H$5:$H$846,6,Ведомость!$I$5:$I$846,"А240",Ведомость!$V$5:$V$846,"Р-Г",Ведомость!$W$5:$W$846,2)</f>
        <v>0</v>
      </c>
      <c r="O69" s="32" t="n">
        <f aca="false">SUMIFS(Ведомость!$N$5:$N$846,Ведомость!$H$5:$H$846,6,Ведомость!$I$5:$I$846,"А240",Ведомость!$V$5:$V$846,"Р-1, 5",Ведомость!$W$5:$W$846,2)</f>
        <v>0</v>
      </c>
      <c r="P69" s="32" t="n">
        <f aca="false">SUMIFS(Ведомость!$N$5:$N$846,Ведомость!$H$5:$H$846,6,Ведомость!$I$5:$I$846,"А240",Ведомость!$V$5:$V$846,"Р-2",Ведомость!$W$5:$W$846,2)</f>
        <v>0</v>
      </c>
      <c r="Q69" s="32" t="n">
        <f aca="false">SUMIFS(Ведомость!$N$5:$N$846,Ведомость!$H$5:$H$846,6,Ведомость!$I$5:$I$846,"А240",Ведомость!$V$5:$V$846,"Р-3",Ведомость!$W$5:$W$846,2)</f>
        <v>0</v>
      </c>
      <c r="R69" s="32" t="n">
        <f aca="false">SUMIFS(Ведомость!$N$5:$N$846,Ведомость!$H$5:$H$846,6,Ведомость!$I$5:$I$846,"А240",Ведомость!$V$5:$V$846,"Р-4",Ведомость!$W$5:$W$846,2)</f>
        <v>0</v>
      </c>
      <c r="S69" s="32" t="n">
        <f aca="false">SUMIFS(Ведомость!$N$5:$N$846,Ведомость!$H$5:$H$846,6,Ведомость!$I$5:$I$846,"А240",Ведомость!$V$5:$V$846,"Б-основная",Ведомость!$W$5:$W$846,2)</f>
        <v>0</v>
      </c>
      <c r="T69" s="32" t="n">
        <f aca="false">SUMIFS(Ведомость!$N$5:$N$846,Ведомость!$H$5:$H$846,6,Ведомость!$I$5:$I$846,"А240",Ведомость!$V$5:$V$846,"Б-хомуты",Ведомость!$W$5:$W$846,2)</f>
        <v>0</v>
      </c>
      <c r="U69" s="32" t="n">
        <f aca="false">SUMIFS(Ведомость!$N$5:$N$846,Ведомость!$H$5:$H$846,6,Ведомость!$I$5:$I$846,"А240",Ведомость!$V$5:$V$846,"Б-допник",Ведомость!$W$5:$W$846,2)</f>
        <v>0</v>
      </c>
      <c r="V69" s="32" t="n">
        <f aca="false">SUMIFS(Ведомость!$N$5:$N$846,Ведомость!$H$5:$H$846,6,Ведомость!$I$5:$I$846,"А240",Ведомость!$V$5:$V$846,"П-сетка",Ведомость!$W$5:$W$846,2)</f>
        <v>0</v>
      </c>
      <c r="W69" s="32" t="n">
        <f aca="false">SUMIFS(Ведомость!$N$5:$N$846,Ведомость!$H$5:$H$846,6,Ведомость!$I$5:$I$846,"А240",Ведомость!$V$5:$V$846,"П-фикс",Ведомость!$W$5:$W$846,2)</f>
        <v>0</v>
      </c>
      <c r="X69" s="32" t="n">
        <f aca="false">SUMIFS(Ведомость!$N$5:$N$846,Ведомость!$H$5:$H$846,6,Ведомость!$I$5:$I$846,"А240",Ведомость!$V$5:$V$846,"П-отв",Ведомость!$W$5:$W$846,2)</f>
        <v>0</v>
      </c>
      <c r="Y69" s="32" t="n">
        <f aca="false">SUMIFS(Ведомость!$N$5:$N$846,Ведомость!$H$5:$H$846,6,Ведомость!$I$5:$I$846,"А240",Ведомость!$V$5:$V$846,"П-доп-низ",Ведомость!$W$5:$W$846,2)</f>
        <v>0</v>
      </c>
      <c r="Z69" s="32" t="n">
        <f aca="false">SUMIFS(Ведомость!$N$5:$N$846,Ведомость!$H$5:$H$846,6,Ведомость!$I$5:$I$846,"А240",Ведомость!$V$5:$V$846,"П-доп-верх",Ведомость!$W$5:$W$846,2)</f>
        <v>0</v>
      </c>
      <c r="AA69" s="32" t="n">
        <f aca="false">SUMIFS(Ведомость!$N$5:$N$846,Ведомость!$H$5:$H$846,6,Ведомость!$I$5:$I$846,"А240",Ведомость!$V$5:$V$846,"П-край",Ведомость!$W$5:$W$846,2)</f>
        <v>0</v>
      </c>
      <c r="AB69" s="32" t="n">
        <f aca="false">SUMIFS(Ведомость!$N$5:$N$846,Ведомость!$H$5:$H$846,6,Ведомость!$I$5:$I$846,"А240",Ведомость!$V$5:$V$846,"С-1",Ведомость!$W$5:$W$846,2)</f>
        <v>0</v>
      </c>
      <c r="AC69" s="32" t="n">
        <f aca="false">SUMIFS(Ведомость!$N$5:$N$846,Ведомость!$H$5:$H$846,6,Ведомость!$I$5:$I$846,"А240",Ведомость!$V$5:$V$846,"Л1",Ведомость!$W$5:$W$846,2)</f>
        <v>10.64</v>
      </c>
      <c r="AD69" s="32" t="n">
        <f aca="false">SUMIFS(Ведомость!$N$5:$N$846,Ведомость!$H$5:$H$846,6,Ведомость!$I$5:$I$846,"А240",Ведомость!$V$5:$V$846,"Л2",Ведомость!$W$5:$W$846,2)</f>
        <v>10.64</v>
      </c>
      <c r="AE69" s="32" t="n">
        <f aca="false">SUMIFS(Ведомость!$N$5:$N$846,Ведомость!$H$5:$H$846,6,Ведомость!$I$5:$I$846,"А240",Ведомость!$V$5:$V$846,"Л-пл",Ведомость!$W$5:$W$846,2)</f>
        <v>7.84</v>
      </c>
      <c r="AF69" s="32" t="n">
        <f aca="false">SUMIFS(Ведомость!$N$5:$N$846,Ведомость!$H$5:$H$846,6,Ведомость!$I$5:$I$846,"А240",Ведомость!$V$5:$V$846,"Л-рама",Ведомость!$W$5:$W$846,2)</f>
        <v>0</v>
      </c>
      <c r="AG69" s="33" t="n">
        <f aca="false">SUM(B69:AF69)</f>
        <v>29.12</v>
      </c>
      <c r="AH69" s="34" t="n">
        <f aca="false">IFERROR(INDEX(Исходные!$B$18:$B$30,MATCH(6,Исходные!$A$18:$A$30,0)),0)</f>
        <v>0.222</v>
      </c>
      <c r="AI69" s="33" t="n">
        <f aca="false">AG69*AH69*$AJ$2</f>
        <v>6.9171648</v>
      </c>
      <c r="AJ69" s="35" t="n">
        <f aca="false">SUM(B69:D69,F69,H69,J69:M69)</f>
        <v>0</v>
      </c>
      <c r="AK69" s="36" t="n">
        <f aca="false">AH69</f>
        <v>0.222</v>
      </c>
      <c r="AL69" s="37" t="n">
        <f aca="false">AJ69*AK69*$AJ$2</f>
        <v>0</v>
      </c>
      <c r="AM69" s="35" t="n">
        <f aca="false">SUM(E69,G69,I69,N69:AB69)</f>
        <v>0</v>
      </c>
      <c r="AN69" s="36" t="n">
        <f aca="false">AH69</f>
        <v>0.222</v>
      </c>
      <c r="AO69" s="37" t="n">
        <f aca="false">AM69*AN69*$AJ$2</f>
        <v>0</v>
      </c>
      <c r="AP69" s="35" t="n">
        <f aca="false">SUM(AC69:AF69)</f>
        <v>29.12</v>
      </c>
      <c r="AQ69" s="36" t="n">
        <f aca="false">AH69</f>
        <v>0.222</v>
      </c>
      <c r="AR69" s="37" t="n">
        <f aca="false">AP69*AQ69*$AJ$2</f>
        <v>6.9171648</v>
      </c>
    </row>
    <row r="70" customFormat="false" ht="15" hidden="false" customHeight="false" outlineLevel="0" collapsed="false">
      <c r="A70" s="6" t="s">
        <v>136</v>
      </c>
      <c r="B70" s="38" t="n">
        <f aca="false">SUMIFS(Ведомость!$K$5:$K$846,Ведомость!$H$5:$H$846,5,Ведомость!$I$5:$I$846,"Вр-I",Ведомость!$V$5:$V$846,"Дм-1",Ведомость!$W$5:$W$846,2)</f>
        <v>0</v>
      </c>
      <c r="C70" s="38" t="n">
        <f aca="false">SUMIFS(Ведомость!$K$5:$K$846,Ведомость!$H$5:$H$846,5,Ведомость!$I$5:$I$846,"Вр-I",Ведомость!$V$5:$V$846,"Дм-2",Ведомость!$W$5:$W$846,2)</f>
        <v>0</v>
      </c>
      <c r="D70" s="38" t="n">
        <f aca="false">SUMIFS(Ведомость!$K$5:$K$846,Ведомость!$H$5:$H$846,5,Ведомость!$I$5:$I$846,"Вр-I",Ведомость!$V$5:$V$846,"К-А",Ведомость!$W$5:$W$846,2)</f>
        <v>0</v>
      </c>
      <c r="E70" s="38" t="n">
        <f aca="false">SUMIFS(Ведомость!$K$5:$K$846,Ведомость!$H$5:$H$846,5,Ведомость!$I$5:$I$846,"Вр-I",Ведомость!$V$5:$V$846,"Р-А",Ведомость!$W$5:$W$846,2)</f>
        <v>0</v>
      </c>
      <c r="F70" s="38" t="n">
        <f aca="false">SUMIFS(Ведомость!$K$5:$K$846,Ведомость!$H$5:$H$846,5,Ведомость!$I$5:$I$846,"Вр-I",Ведомость!$V$5:$V$846,"К-Б",Ведомость!$W$5:$W$846,2)</f>
        <v>0</v>
      </c>
      <c r="G70" s="38" t="n">
        <f aca="false">SUMIFS(Ведомость!$K$5:$K$846,Ведомость!$H$5:$H$846,5,Ведомость!$I$5:$I$846,"Вр-I",Ведомость!$V$5:$V$846,"Р-Б",Ведомость!$W$5:$W$846,2)</f>
        <v>0</v>
      </c>
      <c r="H70" s="38" t="n">
        <f aca="false">SUMIFS(Ведомость!$K$5:$K$846,Ведомость!$H$5:$H$846,5,Ведомость!$I$5:$I$846,"Вр-I",Ведомость!$V$5:$V$846,"К-В",Ведомость!$W$5:$W$846,2)</f>
        <v>0</v>
      </c>
      <c r="I70" s="38" t="n">
        <f aca="false">SUMIFS(Ведомость!$K$5:$K$846,Ведомость!$H$5:$H$846,5,Ведомость!$I$5:$I$846,"Вр-I",Ведомость!$V$5:$V$846,"Р-В",Ведомость!$W$5:$W$846,2)</f>
        <v>0</v>
      </c>
      <c r="J70" s="38" t="n">
        <f aca="false">SUMIFS(Ведомость!$K$5:$K$846,Ведомость!$H$5:$H$846,5,Ведомость!$I$5:$I$846,"Вр-I",Ведомость!$V$5:$V$846,"К-Г",Ведомость!$W$5:$W$846,2)</f>
        <v>0</v>
      </c>
      <c r="K70" s="38" t="n">
        <f aca="false">SUMIFS(Ведомость!$K$5:$K$846,Ведомость!$H$5:$H$846,5,Ведомость!$I$5:$I$846,"Вр-I",Ведомость!$V$5:$V$846,"Дм-3",Ведомость!$W$5:$W$846,2)</f>
        <v>0</v>
      </c>
      <c r="L70" s="38" t="n">
        <f aca="false">SUMIFS(Ведомость!$K$5:$K$846,Ведомость!$H$5:$H$846,5,Ведомость!$I$5:$I$846,"Вр-I",Ведомость!$V$5:$V$846,"Дм-4",Ведомость!$W$5:$W$846,2)</f>
        <v>0</v>
      </c>
      <c r="M70" s="38" t="n">
        <f aca="false">SUMIFS(Ведомость!$K$5:$K$846,Ведомость!$H$5:$H$846,5,Ведомость!$I$5:$I$846,"Вр-I",Ведомость!$V$5:$V$846,"Дм-5",Ведомость!$W$5:$W$846,2)</f>
        <v>0</v>
      </c>
      <c r="N70" s="38" t="n">
        <f aca="false">SUMIFS(Ведомость!$K$5:$K$846,Ведомость!$H$5:$H$846,5,Ведомость!$I$5:$I$846,"Вр-I",Ведомость!$V$5:$V$846,"Р-Г",Ведомость!$W$5:$W$846,2)</f>
        <v>0</v>
      </c>
      <c r="O70" s="38" t="n">
        <f aca="false">SUMIFS(Ведомость!$K$5:$K$846,Ведомость!$H$5:$H$846,5,Ведомость!$I$5:$I$846,"Вр-I",Ведомость!$V$5:$V$846,"Р-1, 5",Ведомость!$W$5:$W$846,2)</f>
        <v>0</v>
      </c>
      <c r="P70" s="38" t="n">
        <f aca="false">SUMIFS(Ведомость!$K$5:$K$846,Ведомость!$H$5:$H$846,5,Ведомость!$I$5:$I$846,"Вр-I",Ведомость!$V$5:$V$846,"Р-2",Ведомость!$W$5:$W$846,2)</f>
        <v>0</v>
      </c>
      <c r="Q70" s="38" t="n">
        <f aca="false">SUMIFS(Ведомость!$K$5:$K$846,Ведомость!$H$5:$H$846,5,Ведомость!$I$5:$I$846,"Вр-I",Ведомость!$V$5:$V$846,"Р-3",Ведомость!$W$5:$W$846,2)</f>
        <v>0</v>
      </c>
      <c r="R70" s="38" t="n">
        <f aca="false">SUMIFS(Ведомость!$K$5:$K$846,Ведомость!$H$5:$H$846,5,Ведомость!$I$5:$I$846,"Вр-I",Ведомость!$V$5:$V$846,"Р-4",Ведомость!$W$5:$W$846,2)</f>
        <v>0</v>
      </c>
      <c r="S70" s="38" t="n">
        <f aca="false">SUMIFS(Ведомость!$K$5:$K$846,Ведомость!$H$5:$H$846,5,Ведомость!$I$5:$I$846,"Вр-I",Ведомость!$V$5:$V$846,"Б-основная",Ведомость!$W$5:$W$846,2)</f>
        <v>0</v>
      </c>
      <c r="T70" s="38" t="n">
        <f aca="false">SUMIFS(Ведомость!$K$5:$K$846,Ведомость!$H$5:$H$846,5,Ведомость!$I$5:$I$846,"Вр-I",Ведомость!$V$5:$V$846,"Б-хомуты",Ведомость!$W$5:$W$846,2)</f>
        <v>0</v>
      </c>
      <c r="U70" s="38" t="n">
        <f aca="false">SUMIFS(Ведомость!$K$5:$K$846,Ведомость!$H$5:$H$846,5,Ведомость!$I$5:$I$846,"Вр-I",Ведомость!$V$5:$V$846,"Б-допник",Ведомость!$W$5:$W$846,2)</f>
        <v>0</v>
      </c>
      <c r="V70" s="38" t="n">
        <f aca="false">SUMIFS(Ведомость!$K$5:$K$846,Ведомость!$H$5:$H$846,5,Ведомость!$I$5:$I$846,"Вр-I",Ведомость!$V$5:$V$846,"П-сетка",Ведомость!$W$5:$W$846,2)</f>
        <v>0</v>
      </c>
      <c r="W70" s="38" t="n">
        <f aca="false">SUMIFS(Ведомость!$K$5:$K$846,Ведомость!$H$5:$H$846,5,Ведомость!$I$5:$I$846,"Вр-I",Ведомость!$V$5:$V$846,"П-фикс",Ведомость!$W$5:$W$846,2)</f>
        <v>0</v>
      </c>
      <c r="X70" s="38" t="n">
        <f aca="false">SUMIFS(Ведомость!$K$5:$K$846,Ведомость!$H$5:$H$846,5,Ведомость!$I$5:$I$846,"Вр-I",Ведомость!$V$5:$V$846,"П-отв",Ведомость!$W$5:$W$846,2)</f>
        <v>0</v>
      </c>
      <c r="Y70" s="38" t="n">
        <f aca="false">SUMIFS(Ведомость!$K$5:$K$846,Ведомость!$H$5:$H$846,5,Ведомость!$I$5:$I$846,"Вр-I",Ведомость!$V$5:$V$846,"П-доп-низ",Ведомость!$W$5:$W$846,2)</f>
        <v>0</v>
      </c>
      <c r="Z70" s="38" t="n">
        <f aca="false">SUMIFS(Ведомость!$K$5:$K$846,Ведомость!$H$5:$H$846,5,Ведомость!$I$5:$I$846,"Вр-I",Ведомость!$V$5:$V$846,"П-доп-верх",Ведомость!$W$5:$W$846,2)</f>
        <v>0</v>
      </c>
      <c r="AA70" s="38" t="n">
        <f aca="false">SUMIFS(Ведомость!$K$5:$K$846,Ведомость!$H$5:$H$846,5,Ведомость!$I$5:$I$846,"Вр-I",Ведомость!$V$5:$V$846,"П-край",Ведомость!$W$5:$W$846,2)</f>
        <v>0</v>
      </c>
      <c r="AB70" s="38" t="n">
        <f aca="false">SUMIFS(Ведомость!$K$5:$K$846,Ведомость!$H$5:$H$846,5,Ведомость!$I$5:$I$846,"Вр-I",Ведомость!$V$5:$V$846,"С-1",Ведомость!$W$5:$W$846,2)</f>
        <v>0</v>
      </c>
      <c r="AC70" s="38" t="n">
        <f aca="false">SUMIFS(Ведомость!$K$5:$K$846,Ведомость!$H$5:$H$846,5,Ведомость!$I$5:$I$846,"Вр-I",Ведомость!$V$5:$V$846,"Л1",Ведомость!$W$5:$W$846,2)</f>
        <v>6.38</v>
      </c>
      <c r="AD70" s="38" t="n">
        <f aca="false">SUMIFS(Ведомость!$K$5:$K$846,Ведомость!$H$5:$H$846,5,Ведомость!$I$5:$I$846,"Вр-I",Ведомость!$V$5:$V$846,"Л2",Ведомость!$W$5:$W$846,2)</f>
        <v>6.38</v>
      </c>
      <c r="AE70" s="38" t="n">
        <f aca="false">SUMIFS(Ведомость!$K$5:$K$846,Ведомость!$H$5:$H$846,5,Ведомость!$I$5:$I$846,"Вр-I",Ведомость!$V$5:$V$846,"Л-пл",Ведомость!$W$5:$W$846,2)</f>
        <v>0</v>
      </c>
      <c r="AF70" s="38" t="n">
        <f aca="false">SUMIFS(Ведомость!$K$5:$K$846,Ведомость!$H$5:$H$846,5,Ведомость!$I$5:$I$846,"Вр-I",Ведомость!$V$5:$V$846,"Л-рама",Ведомость!$W$5:$W$846,2)</f>
        <v>0</v>
      </c>
      <c r="AG70" s="33" t="n">
        <f aca="false">SUM(B70:AF70)</f>
        <v>12.76</v>
      </c>
      <c r="AH70" s="34" t="n">
        <f aca="false">Исходные!$B$31</f>
        <v>3.08</v>
      </c>
      <c r="AI70" s="33" t="n">
        <f aca="false">AG70*AH70*$AJ$2</f>
        <v>42.051856</v>
      </c>
      <c r="AJ70" s="35" t="n">
        <f aca="false">SUM(B70:D70,F70,H70,J70:M70)</f>
        <v>0</v>
      </c>
      <c r="AK70" s="36" t="n">
        <f aca="false">AH70</f>
        <v>3.08</v>
      </c>
      <c r="AL70" s="37" t="n">
        <f aca="false">AJ70*AK70*$AJ$2</f>
        <v>0</v>
      </c>
      <c r="AM70" s="35" t="n">
        <f aca="false">SUM(E70,G70,I70,N70:AB70)</f>
        <v>0</v>
      </c>
      <c r="AN70" s="36" t="n">
        <f aca="false">AH70</f>
        <v>3.08</v>
      </c>
      <c r="AO70" s="37" t="n">
        <f aca="false">AM70*AN70*$AJ$2</f>
        <v>0</v>
      </c>
      <c r="AP70" s="35" t="n">
        <f aca="false">SUM(AC70:AF70)</f>
        <v>12.76</v>
      </c>
      <c r="AQ70" s="36" t="n">
        <f aca="false">AH70</f>
        <v>3.08</v>
      </c>
      <c r="AR70" s="37" t="n">
        <f aca="false">AP70*AQ70*$AJ$2</f>
        <v>42.051856</v>
      </c>
    </row>
    <row r="71" customFormat="false" ht="15" hidden="false" customHeight="false" outlineLevel="0" collapsed="false">
      <c r="A71" s="39" t="s">
        <v>137</v>
      </c>
      <c r="B71" s="40" t="n">
        <f aca="false">SUMPRODUCT(B54:B70,$AH$54:$AH$70)</f>
        <v>888.024656</v>
      </c>
      <c r="C71" s="40" t="n">
        <f aca="false">SUMPRODUCT(C54:C70,$AH$54:$AH$70)</f>
        <v>727.860464</v>
      </c>
      <c r="D71" s="40" t="n">
        <f aca="false">SUMPRODUCT(D54:D70,$AH$54:$AH$70)</f>
        <v>577.1736</v>
      </c>
      <c r="E71" s="40" t="n">
        <f aca="false">SUMPRODUCT(E54:E70,$AH$54:$AH$70)</f>
        <v>1293.561854</v>
      </c>
      <c r="F71" s="40" t="n">
        <f aca="false">SUMPRODUCT(F54:F70,$AH$54:$AH$70)</f>
        <v>961.956</v>
      </c>
      <c r="G71" s="40" t="n">
        <f aca="false">SUMPRODUCT(G54:G70,$AH$54:$AH$70)</f>
        <v>1263.927226</v>
      </c>
      <c r="H71" s="40" t="n">
        <f aca="false">SUMPRODUCT(H54:H70,$AH$54:$AH$70)</f>
        <v>961.956</v>
      </c>
      <c r="I71" s="40" t="n">
        <f aca="false">SUMPRODUCT(I54:I70,$AH$54:$AH$70)</f>
        <v>1379.090556</v>
      </c>
      <c r="J71" s="40" t="n">
        <f aca="false">SUMPRODUCT(J54:J70,$AH$54:$AH$70)</f>
        <v>384.7824</v>
      </c>
      <c r="K71" s="40" t="n">
        <f aca="false">SUMPRODUCT(K54:K70,$AH$54:$AH$70)</f>
        <v>821.937048</v>
      </c>
      <c r="L71" s="40" t="n">
        <f aca="false">SUMPRODUCT(L54:L70,$AH$54:$AH$70)</f>
        <v>417.260464</v>
      </c>
      <c r="M71" s="40" t="n">
        <f aca="false">SUMPRODUCT(M54:M70,$AH$54:$AH$70)</f>
        <v>594.450928</v>
      </c>
      <c r="N71" s="40" t="n">
        <f aca="false">SUMPRODUCT(N54:N70,$AH$54:$AH$70)</f>
        <v>1323.443824</v>
      </c>
      <c r="O71" s="40" t="n">
        <f aca="false">SUMPRODUCT(O54:O70,$AH$54:$AH$70)</f>
        <v>1763.475564</v>
      </c>
      <c r="P71" s="40" t="n">
        <f aca="false">SUMPRODUCT(P54:P70,$AH$54:$AH$70)</f>
        <v>1189.850982</v>
      </c>
      <c r="Q71" s="40" t="n">
        <f aca="false">SUMPRODUCT(Q54:Q70,$AH$54:$AH$70)</f>
        <v>1076.863812</v>
      </c>
      <c r="R71" s="40" t="n">
        <f aca="false">SUMPRODUCT(R54:R70,$AH$54:$AH$70)</f>
        <v>1088.542132</v>
      </c>
      <c r="S71" s="40" t="n">
        <f aca="false">SUMPRODUCT(S54:S70,$AH$54:$AH$70)</f>
        <v>3100.00196</v>
      </c>
      <c r="T71" s="40" t="n">
        <f aca="false">SUMPRODUCT(T54:T70,$AH$54:$AH$70)</f>
        <v>667.7238</v>
      </c>
      <c r="U71" s="40" t="n">
        <f aca="false">SUMPRODUCT(U54:U70,$AH$54:$AH$70)</f>
        <v>100.6992</v>
      </c>
      <c r="V71" s="40" t="n">
        <f aca="false">SUMPRODUCT(V54:V70,$AH$54:$AH$70)</f>
        <v>6862.03954</v>
      </c>
      <c r="W71" s="40" t="n">
        <f aca="false">SUMPRODUCT(W54:W70,$AH$54:$AH$70)</f>
        <v>293.09588</v>
      </c>
      <c r="X71" s="40" t="n">
        <f aca="false">SUMPRODUCT(X54:X70,$AH$54:$AH$70)</f>
        <v>0</v>
      </c>
      <c r="Y71" s="40" t="n">
        <f aca="false">SUMPRODUCT(Y54:Y70,$AH$54:$AH$70)</f>
        <v>242.481</v>
      </c>
      <c r="Z71" s="40" t="n">
        <f aca="false">SUMPRODUCT(Z54:Z70,$AH$54:$AH$70)</f>
        <v>433.3292</v>
      </c>
      <c r="AA71" s="40" t="n">
        <f aca="false">SUMPRODUCT(AA54:AA70,$AH$54:$AH$70)</f>
        <v>167.29162</v>
      </c>
      <c r="AB71" s="40" t="n">
        <f aca="false">SUMPRODUCT(AB54:AB70,$AH$54:$AH$70)</f>
        <v>590.8392</v>
      </c>
      <c r="AC71" s="40" t="n">
        <f aca="false">SUMPRODUCT(AC54:AC70,$AH$54:$AH$70)</f>
        <v>305.020756</v>
      </c>
      <c r="AD71" s="40" t="n">
        <f aca="false">SUMPRODUCT(AD54:AD70,$AH$54:$AH$70)</f>
        <v>305.020756</v>
      </c>
      <c r="AE71" s="40" t="n">
        <f aca="false">SUMPRODUCT(AE54:AE70,$AH$54:$AH$70)</f>
        <v>73.55928</v>
      </c>
      <c r="AF71" s="40" t="n">
        <f aca="false">SUMPRODUCT(AF54:AF70,$AH$54:$AH$70)</f>
        <v>99.78262</v>
      </c>
      <c r="AG71" s="39"/>
      <c r="AH71" s="18" t="s">
        <v>33</v>
      </c>
      <c r="AI71" s="41" t="n">
        <f aca="false">SUMPRODUCT(AG54:AG70,AH54:AH70)</f>
        <v>29955.042322</v>
      </c>
      <c r="AJ71" s="39"/>
      <c r="AK71" s="18" t="s">
        <v>33</v>
      </c>
      <c r="AL71" s="41" t="n">
        <f aca="false">SUMPRODUCT(AJ54:AJ70,AK54:AK70)</f>
        <v>6335.40156</v>
      </c>
      <c r="AM71" s="39"/>
      <c r="AN71" s="18" t="s">
        <v>33</v>
      </c>
      <c r="AO71" s="41" t="n">
        <f aca="false">SUMPRODUCT(AM54:AM70,AN54:AN70)</f>
        <v>22836.25735</v>
      </c>
      <c r="AP71" s="39"/>
      <c r="AQ71" s="18" t="s">
        <v>33</v>
      </c>
      <c r="AR71" s="41" t="n">
        <f aca="false">SUMPRODUCT(AP54:AP70,AQ54:AQ70)</f>
        <v>783.383412</v>
      </c>
    </row>
    <row r="72" customFormat="false" ht="23.85" hidden="false" customHeight="false" outlineLevel="0" collapsed="false">
      <c r="A72" s="4" t="s">
        <v>138</v>
      </c>
      <c r="B72" s="42" t="n">
        <f aca="false">B71*$AJ$2</f>
        <v>950.18638192</v>
      </c>
      <c r="C72" s="42" t="n">
        <f aca="false">C71*$AJ$2</f>
        <v>778.81069648</v>
      </c>
      <c r="D72" s="42" t="n">
        <f aca="false">D71*$AJ$2</f>
        <v>617.575752</v>
      </c>
      <c r="E72" s="42" t="n">
        <f aca="false">E71*$AJ$2</f>
        <v>1384.11118378</v>
      </c>
      <c r="F72" s="42" t="n">
        <f aca="false">F71*$AJ$2</f>
        <v>1029.29292</v>
      </c>
      <c r="G72" s="42" t="n">
        <f aca="false">G71*$AJ$2</f>
        <v>1352.40213182</v>
      </c>
      <c r="H72" s="42" t="n">
        <f aca="false">H71*$AJ$2</f>
        <v>1029.29292</v>
      </c>
      <c r="I72" s="42" t="n">
        <f aca="false">I71*$AJ$2</f>
        <v>1475.62689492</v>
      </c>
      <c r="J72" s="42" t="n">
        <f aca="false">J71*$AJ$2</f>
        <v>411.717168</v>
      </c>
      <c r="K72" s="42" t="n">
        <f aca="false">K71*$AJ$2</f>
        <v>879.47264136</v>
      </c>
      <c r="L72" s="42" t="n">
        <f aca="false">L71*$AJ$2</f>
        <v>446.46869648</v>
      </c>
      <c r="M72" s="42" t="n">
        <f aca="false">M71*$AJ$2</f>
        <v>636.06249296</v>
      </c>
      <c r="N72" s="42" t="n">
        <f aca="false">N71*$AJ$2</f>
        <v>1416.08489168</v>
      </c>
      <c r="O72" s="42" t="n">
        <f aca="false">O71*$AJ$2</f>
        <v>1886.91885348</v>
      </c>
      <c r="P72" s="42" t="n">
        <f aca="false">P71*$AJ$2</f>
        <v>1273.14055074</v>
      </c>
      <c r="Q72" s="42" t="n">
        <f aca="false">Q71*$AJ$2</f>
        <v>1152.24427884</v>
      </c>
      <c r="R72" s="42" t="n">
        <f aca="false">R71*$AJ$2</f>
        <v>1164.74008124</v>
      </c>
      <c r="S72" s="42" t="n">
        <f aca="false">S71*$AJ$2</f>
        <v>3317.0020972</v>
      </c>
      <c r="T72" s="42" t="n">
        <f aca="false">T71*$AJ$2</f>
        <v>714.464466</v>
      </c>
      <c r="U72" s="42" t="n">
        <f aca="false">U71*$AJ$2</f>
        <v>107.748144</v>
      </c>
      <c r="V72" s="42" t="n">
        <f aca="false">V71*$AJ$2</f>
        <v>7342.3823078</v>
      </c>
      <c r="W72" s="42" t="n">
        <f aca="false">W71*$AJ$2</f>
        <v>313.6125916</v>
      </c>
      <c r="X72" s="42" t="n">
        <f aca="false">X71*$AJ$2</f>
        <v>0</v>
      </c>
      <c r="Y72" s="42" t="n">
        <f aca="false">Y71*$AJ$2</f>
        <v>259.45467</v>
      </c>
      <c r="Z72" s="42" t="n">
        <f aca="false">Z71*$AJ$2</f>
        <v>463.662244</v>
      </c>
      <c r="AA72" s="42" t="n">
        <f aca="false">AA71*$AJ$2</f>
        <v>179.0020334</v>
      </c>
      <c r="AB72" s="42" t="n">
        <f aca="false">AB71*$AJ$2</f>
        <v>632.197944</v>
      </c>
      <c r="AC72" s="42" t="n">
        <f aca="false">AC71*$AJ$2</f>
        <v>326.37220892</v>
      </c>
      <c r="AD72" s="42" t="n">
        <f aca="false">AD71*$AJ$2</f>
        <v>326.37220892</v>
      </c>
      <c r="AE72" s="42" t="n">
        <f aca="false">AE71*$AJ$2</f>
        <v>78.7084296</v>
      </c>
      <c r="AF72" s="42" t="n">
        <f aca="false">AF71*$AJ$2</f>
        <v>106.7674034</v>
      </c>
      <c r="AG72" s="4"/>
      <c r="AH72" s="5" t="s">
        <v>139</v>
      </c>
      <c r="AI72" s="43" t="n">
        <f aca="false">SUM(AI54:AI70)</f>
        <v>32051.89528454</v>
      </c>
      <c r="AJ72" s="4"/>
      <c r="AK72" s="5" t="s">
        <v>139</v>
      </c>
      <c r="AL72" s="43" t="n">
        <f aca="false">SUM(AL54:AL70)</f>
        <v>6778.8796692</v>
      </c>
      <c r="AM72" s="4"/>
      <c r="AN72" s="5" t="s">
        <v>139</v>
      </c>
      <c r="AO72" s="43" t="n">
        <f aca="false">SUM(AO54:AO70)</f>
        <v>24434.7953645</v>
      </c>
      <c r="AP72" s="4"/>
      <c r="AQ72" s="5" t="s">
        <v>139</v>
      </c>
      <c r="AR72" s="43" t="n">
        <f aca="false">SUM(AR54:AR70)</f>
        <v>838.22025084</v>
      </c>
    </row>
    <row r="73" customFormat="false" ht="15" hidden="false" customHeight="false" outlineLevel="0" collapsed="false">
      <c r="AH73" s="5" t="s">
        <v>140</v>
      </c>
      <c r="AI73" s="44" t="n">
        <f aca="false">AI72/1000</f>
        <v>32.05189528454</v>
      </c>
      <c r="AK73" s="5" t="s">
        <v>140</v>
      </c>
      <c r="AL73" s="44" t="n">
        <f aca="false">AL72/1000</f>
        <v>6.7788796692</v>
      </c>
      <c r="AN73" s="5" t="s">
        <v>140</v>
      </c>
      <c r="AO73" s="44" t="n">
        <f aca="false">AO72/1000</f>
        <v>24.4347953645</v>
      </c>
      <c r="AQ73" s="5" t="s">
        <v>140</v>
      </c>
      <c r="AR73" s="44" t="n">
        <f aca="false">AR72/1000</f>
        <v>0.83822025084</v>
      </c>
    </row>
    <row r="74" customFormat="false" ht="23.85" hidden="false" customHeight="false" outlineLevel="0" collapsed="false">
      <c r="A74" s="20" t="s">
        <v>169</v>
      </c>
      <c r="AI74" s="21" t="n">
        <f aca="false">ROUND(AI71-Ведомость!P848,1)</f>
        <v>0</v>
      </c>
      <c r="AJ74" s="28" t="s">
        <v>37</v>
      </c>
    </row>
    <row r="76" customFormat="false" ht="15" hidden="false" customHeight="false" outlineLevel="0" collapsed="false">
      <c r="A76" s="4" t="s">
        <v>142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customFormat="false" ht="15" hidden="false" customHeight="false" outlineLevel="0" collapsed="false">
      <c r="A77" s="6" t="s">
        <v>143</v>
      </c>
      <c r="B77" s="38" t="n">
        <f aca="false">(0.6*0.6+2*0.7*0.4+1.7*0.4)*(3.6-0.12)</f>
        <v>5.568</v>
      </c>
      <c r="C77" s="38" t="n">
        <f aca="false">(0.6*0.6+0.7*0.4+1.7*0.4)*(3.6-0.12)</f>
        <v>4.5936</v>
      </c>
      <c r="D77" s="38" t="n">
        <f aca="false">3*0.6*0.6*(3.6-0.12)</f>
        <v>3.7584</v>
      </c>
      <c r="E77" s="38" t="n">
        <f aca="false">1*0.45*(0.6-0.12)*20.5</f>
        <v>4.428</v>
      </c>
      <c r="F77" s="38" t="n">
        <f aca="false">5*0.6*0.6*(3.6-0.12)</f>
        <v>6.264</v>
      </c>
      <c r="G77" s="38" t="n">
        <f aca="false">1*0.45*(0.6-0.12)*22.6</f>
        <v>4.8816</v>
      </c>
      <c r="H77" s="38" t="n">
        <f aca="false">5*0.6*0.6*(3.6-0.12)</f>
        <v>6.264</v>
      </c>
      <c r="I77" s="38" t="n">
        <f aca="false">1*0.45*(0.6-0.12)*22.6</f>
        <v>4.8816</v>
      </c>
      <c r="J77" s="38" t="n">
        <f aca="false">2*0.6*0.6*(3.6-0.12)</f>
        <v>2.5056</v>
      </c>
      <c r="K77" s="38" t="n">
        <f aca="false">(0.6*0.6+2*0.7*0.4+0.9*0.4)*(3.6-0.12)</f>
        <v>4.4544</v>
      </c>
      <c r="L77" s="38" t="n">
        <f aca="false">(0.6*0.6+0.9*0.4)*(3.6-0.12)</f>
        <v>2.5056</v>
      </c>
      <c r="M77" s="38" t="n">
        <f aca="false">(0.6*0.6+0.7*0.4+0.9*0.4)*(3.6-0.12)</f>
        <v>3.48</v>
      </c>
      <c r="N77" s="38" t="n">
        <f aca="false">1*0.45*(0.6-0.12)*19.8</f>
        <v>4.2768</v>
      </c>
      <c r="O77" s="38" t="n">
        <f aca="false">2*0.45*(0.6-0.12)*18.2</f>
        <v>7.8624</v>
      </c>
      <c r="P77" s="38" t="n">
        <f aca="false">1*0.45*(0.6-0.12)*15.8</f>
        <v>3.4128</v>
      </c>
      <c r="Q77" s="38" t="n">
        <f aca="false">1*0.45*(0.6-0.12)*18.2</f>
        <v>3.9312</v>
      </c>
      <c r="R77" s="38" t="n">
        <f aca="false">1*0.45*(0.6-0.12)*15.8</f>
        <v>3.4128</v>
      </c>
      <c r="S77" s="38" t="n">
        <f aca="false">137.85*0.3*(0.3-0.12)+6.05*0.3*(0.4-0.12)+(11.71+3.08)*0.2*(0.3-0.12)+35.75*0.25*(0.3-0.12)</f>
        <v>10.09329</v>
      </c>
      <c r="T77" s="38"/>
      <c r="U77" s="38"/>
      <c r="V77" s="38" t="n">
        <f aca="false">541.54*0.12</f>
        <v>64.9848</v>
      </c>
      <c r="W77" s="38"/>
      <c r="X77" s="38"/>
      <c r="Y77" s="38"/>
      <c r="Z77" s="38"/>
      <c r="AA77" s="38"/>
      <c r="AB77" s="38"/>
      <c r="AC77" s="38" t="n">
        <f aca="false">SQRT(3.3^2+1.8^2)*1.25*0.15+12*0.3*0.15/2*1.25</f>
        <v>1.04231047984547</v>
      </c>
      <c r="AD77" s="38" t="n">
        <f aca="false">SQRT(3.3^2+1.8^2)*1.25*0.15+12*0.3*0.15/2*1.25</f>
        <v>1.04231047984547</v>
      </c>
      <c r="AE77" s="38" t="n">
        <f aca="false">1.4*2.89*0.15</f>
        <v>0.6069</v>
      </c>
      <c r="AF77" s="38" t="n">
        <f aca="false">0.3*0.3*(1.7-0.3+0.55)+0.3*0.3*2.255</f>
        <v>0.37845</v>
      </c>
      <c r="AG77" s="45" t="n">
        <f aca="false">SUM(B77:AF77)</f>
        <v>154.628860959691</v>
      </c>
      <c r="AH77" s="20"/>
      <c r="AI77" s="45" t="n">
        <f aca="false">AG77*$AK$2</f>
        <v>154.628860959691</v>
      </c>
      <c r="AJ77" s="46" t="n">
        <f aca="false">SUM(B77:D77,F77,H77,J77:M77)</f>
        <v>39.3936</v>
      </c>
      <c r="AK77" s="6"/>
      <c r="AL77" s="24" t="n">
        <f aca="false">AJ77*$AK$2</f>
        <v>39.3936</v>
      </c>
      <c r="AM77" s="46" t="n">
        <f aca="false">SUM(E77,G77,I77,N77:AB77)</f>
        <v>112.16529</v>
      </c>
      <c r="AN77" s="6"/>
      <c r="AO77" s="24" t="n">
        <f aca="false">AM77*$AK$2</f>
        <v>112.16529</v>
      </c>
      <c r="AP77" s="46" t="n">
        <f aca="false">SUM(AC77:AF77)</f>
        <v>3.06997095969094</v>
      </c>
      <c r="AQ77" s="6"/>
      <c r="AR77" s="24" t="n">
        <f aca="false">AP77*$AK$2</f>
        <v>3.06997095969094</v>
      </c>
    </row>
    <row r="78" customFormat="false" ht="15" hidden="false" customHeight="false" outlineLevel="0" collapsed="false">
      <c r="A78" s="20" t="s">
        <v>144</v>
      </c>
      <c r="AI78" s="47" t="n">
        <f aca="false">IF(AG77&gt;0,AI71/AG77,0)</f>
        <v>193.722194783604</v>
      </c>
      <c r="AL78" s="48" t="n">
        <f aca="false">IF(AJ77&gt;0,AL71/AJ77,0)</f>
        <v>160.823117460704</v>
      </c>
      <c r="AO78" s="48" t="n">
        <f aca="false">IF(AM77&gt;0,AO71/AM77,0)</f>
        <v>203.594689141356</v>
      </c>
      <c r="AR78" s="48" t="n">
        <f aca="false">IF(AP77&gt;0,AR71/AP77,0)</f>
        <v>255.176163646468</v>
      </c>
    </row>
    <row r="80" customFormat="false" ht="15" hidden="false" customHeight="false" outlineLevel="0" collapsed="false">
      <c r="A80" s="4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customFormat="false" ht="15" hidden="false" customHeight="false" outlineLevel="0" collapsed="false">
      <c r="A81" s="6" t="s">
        <v>146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50" t="n">
        <f aca="false">SUM(B81:AF81)</f>
        <v>0</v>
      </c>
      <c r="AJ81" s="51" t="n">
        <f aca="false">SUM(B81:D81,F81,H81,J81:M81)</f>
        <v>0</v>
      </c>
      <c r="AM81" s="51" t="n">
        <f aca="false">SUM(E81,G81,I81,N81:AB81)</f>
        <v>0</v>
      </c>
      <c r="AP81" s="51" t="n">
        <f aca="false">SUM(AC81:AF81)</f>
        <v>0</v>
      </c>
    </row>
    <row r="82" customFormat="false" ht="15" hidden="false" customHeight="false" outlineLevel="0" collapsed="false">
      <c r="A82" s="6" t="s">
        <v>147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50" t="n">
        <f aca="false">SUM(B82:AF82)</f>
        <v>0</v>
      </c>
      <c r="AJ82" s="51" t="n">
        <f aca="false">SUM(B82:D82,F82,H82,J82:M82)</f>
        <v>0</v>
      </c>
      <c r="AM82" s="51" t="n">
        <f aca="false">SUM(E82,G82,I82,N82:AB82)</f>
        <v>0</v>
      </c>
      <c r="AP82" s="51" t="n">
        <f aca="false">SUM(AC82:AF82)</f>
        <v>0</v>
      </c>
    </row>
    <row r="83" customFormat="false" ht="15" hidden="false" customHeight="false" outlineLevel="0" collapsed="false">
      <c r="A83" s="6" t="s">
        <v>148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50" t="n">
        <f aca="false">SUM(B83:AF83)</f>
        <v>0</v>
      </c>
      <c r="AJ83" s="51" t="n">
        <f aca="false">SUM(B83:D83,F83,H83,J83:M83)</f>
        <v>0</v>
      </c>
      <c r="AM83" s="51" t="n">
        <f aca="false">SUM(E83,G83,I83,N83:AB83)</f>
        <v>0</v>
      </c>
      <c r="AP83" s="51" t="n">
        <f aca="false">SUM(AC83:AF83)</f>
        <v>0</v>
      </c>
    </row>
    <row r="84" customFormat="false" ht="15" hidden="false" customHeight="false" outlineLevel="0" collapsed="false">
      <c r="A84" s="6" t="s">
        <v>149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50" t="n">
        <f aca="false">SUM(B84:AF84)</f>
        <v>0</v>
      </c>
      <c r="AJ84" s="51" t="n">
        <f aca="false">SUM(B84:D84,F84,H84,J84:M84)</f>
        <v>0</v>
      </c>
      <c r="AM84" s="51" t="n">
        <f aca="false">SUM(E84,G84,I84,N84:AB84)</f>
        <v>0</v>
      </c>
      <c r="AP84" s="51" t="n">
        <f aca="false">SUM(AC84:AF84)</f>
        <v>0</v>
      </c>
    </row>
    <row r="85" customFormat="false" ht="15" hidden="false" customHeight="false" outlineLevel="0" collapsed="false">
      <c r="A85" s="6" t="s">
        <v>150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 t="n">
        <v>2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50" t="n">
        <f aca="false">SUM(B85:AF85)</f>
        <v>2</v>
      </c>
      <c r="AJ85" s="51" t="n">
        <f aca="false">SUM(B85:D85,F85,H85,J85:M85)</f>
        <v>0</v>
      </c>
      <c r="AM85" s="51" t="n">
        <f aca="false">SUM(E85,G85,I85,N85:AB85)</f>
        <v>2</v>
      </c>
      <c r="AP85" s="51" t="n">
        <f aca="false">SUM(AC85:AF85)</f>
        <v>0</v>
      </c>
    </row>
    <row r="86" customFormat="false" ht="15" hidden="false" customHeight="false" outlineLevel="0" collapsed="false">
      <c r="A86" s="6" t="s">
        <v>151</v>
      </c>
      <c r="B86" s="49"/>
      <c r="C86" s="49"/>
      <c r="D86" s="49"/>
      <c r="E86" s="49" t="n">
        <v>4</v>
      </c>
      <c r="F86" s="49"/>
      <c r="G86" s="49"/>
      <c r="H86" s="49"/>
      <c r="I86" s="49" t="n">
        <v>2</v>
      </c>
      <c r="J86" s="49"/>
      <c r="K86" s="49"/>
      <c r="L86" s="49"/>
      <c r="M86" s="49"/>
      <c r="N86" s="49" t="n">
        <v>4</v>
      </c>
      <c r="O86" s="49" t="n">
        <v>4</v>
      </c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 t="n">
        <v>16</v>
      </c>
      <c r="AG86" s="50" t="n">
        <f aca="false">SUM(B86:AF86)</f>
        <v>30</v>
      </c>
      <c r="AJ86" s="51" t="n">
        <f aca="false">SUM(B86:D86,F86,H86,J86:M86)</f>
        <v>0</v>
      </c>
      <c r="AM86" s="51" t="n">
        <f aca="false">SUM(E86,G86,I86,N86:AB86)</f>
        <v>14</v>
      </c>
      <c r="AP86" s="51" t="n">
        <f aca="false">SUM(AC86:AF86)</f>
        <v>16</v>
      </c>
    </row>
    <row r="87" customFormat="false" ht="15" hidden="false" customHeight="false" outlineLevel="0" collapsed="false">
      <c r="A87" s="6" t="s">
        <v>152</v>
      </c>
      <c r="B87" s="49"/>
      <c r="C87" s="49"/>
      <c r="D87" s="49"/>
      <c r="E87" s="49" t="n">
        <v>10</v>
      </c>
      <c r="F87" s="49"/>
      <c r="G87" s="49" t="n">
        <v>12</v>
      </c>
      <c r="H87" s="49"/>
      <c r="I87" s="49" t="n">
        <v>10</v>
      </c>
      <c r="J87" s="49"/>
      <c r="K87" s="49"/>
      <c r="L87" s="49"/>
      <c r="M87" s="49"/>
      <c r="N87" s="49" t="n">
        <v>8</v>
      </c>
      <c r="O87" s="49" t="n">
        <v>16</v>
      </c>
      <c r="P87" s="49" t="n">
        <v>8</v>
      </c>
      <c r="Q87" s="49" t="n">
        <v>10</v>
      </c>
      <c r="R87" s="49" t="n">
        <v>8</v>
      </c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50" t="n">
        <f aca="false">SUM(B87:AF87)</f>
        <v>82</v>
      </c>
      <c r="AJ87" s="51" t="n">
        <f aca="false">SUM(B87:D87,F87,H87,J87:M87)</f>
        <v>0</v>
      </c>
      <c r="AM87" s="51" t="n">
        <f aca="false">SUM(E87,G87,I87,N87:AB87)</f>
        <v>82</v>
      </c>
      <c r="AP87" s="51" t="n">
        <f aca="false">SUM(AC87:AF87)</f>
        <v>0</v>
      </c>
    </row>
    <row r="88" customFormat="false" ht="15" hidden="false" customHeight="false" outlineLevel="0" collapsed="false">
      <c r="A88" s="6" t="s">
        <v>153</v>
      </c>
      <c r="B88" s="49"/>
      <c r="C88" s="49"/>
      <c r="D88" s="49"/>
      <c r="E88" s="49" t="n">
        <v>2</v>
      </c>
      <c r="F88" s="49"/>
      <c r="G88" s="49"/>
      <c r="H88" s="49"/>
      <c r="I88" s="49"/>
      <c r="J88" s="49"/>
      <c r="K88" s="49"/>
      <c r="L88" s="49"/>
      <c r="M88" s="49"/>
      <c r="N88" s="49"/>
      <c r="O88" s="49" t="n">
        <v>4</v>
      </c>
      <c r="P88" s="49" t="n">
        <v>2</v>
      </c>
      <c r="Q88" s="49" t="n">
        <v>2</v>
      </c>
      <c r="R88" s="49" t="n">
        <v>2</v>
      </c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50" t="n">
        <f aca="false">SUM(B88:AF88)</f>
        <v>12</v>
      </c>
      <c r="AJ88" s="51" t="n">
        <f aca="false">SUM(B88:D88,F88,H88,J88:M88)</f>
        <v>0</v>
      </c>
      <c r="AM88" s="51" t="n">
        <f aca="false">SUM(E88,G88,I88,N88:AB88)</f>
        <v>12</v>
      </c>
      <c r="AP88" s="51" t="n">
        <f aca="false">SUM(AC88:AF88)</f>
        <v>0</v>
      </c>
    </row>
    <row r="89" customFormat="false" ht="15" hidden="false" customHeight="false" outlineLevel="0" collapsed="false">
      <c r="A89" s="6" t="s">
        <v>154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50" t="n">
        <f aca="false">SUM(B89:AF89)</f>
        <v>0</v>
      </c>
      <c r="AJ89" s="51" t="n">
        <f aca="false">SUM(B89:D89,F89,H89,J89:M89)</f>
        <v>0</v>
      </c>
      <c r="AM89" s="51" t="n">
        <f aca="false">SUM(E89,G89,I89,N89:AB89)</f>
        <v>0</v>
      </c>
      <c r="AP89" s="51" t="n">
        <f aca="false">SUM(AC89:AF89)</f>
        <v>0</v>
      </c>
    </row>
    <row r="90" customFormat="false" ht="15" hidden="false" customHeight="false" outlineLevel="0" collapsed="false">
      <c r="A90" s="6" t="s">
        <v>155</v>
      </c>
      <c r="B90" s="49" t="n">
        <v>4</v>
      </c>
      <c r="C90" s="49" t="n">
        <v>4</v>
      </c>
      <c r="D90" s="49" t="n">
        <v>12</v>
      </c>
      <c r="E90" s="49" t="n">
        <v>8</v>
      </c>
      <c r="F90" s="49" t="n">
        <v>20</v>
      </c>
      <c r="G90" s="49" t="n">
        <v>8</v>
      </c>
      <c r="H90" s="49" t="n">
        <v>20</v>
      </c>
      <c r="I90" s="49" t="n">
        <v>8</v>
      </c>
      <c r="J90" s="49" t="n">
        <v>8</v>
      </c>
      <c r="K90" s="49" t="n">
        <v>4</v>
      </c>
      <c r="L90" s="49" t="n">
        <v>4</v>
      </c>
      <c r="M90" s="49" t="n">
        <v>4</v>
      </c>
      <c r="N90" s="49" t="n">
        <v>8</v>
      </c>
      <c r="O90" s="49" t="n">
        <v>8</v>
      </c>
      <c r="P90" s="49" t="n">
        <v>4</v>
      </c>
      <c r="Q90" s="49" t="n">
        <v>4</v>
      </c>
      <c r="R90" s="49" t="n">
        <v>4</v>
      </c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50" t="n">
        <f aca="false">SUM(B90:AF90)</f>
        <v>132</v>
      </c>
      <c r="AJ90" s="51" t="n">
        <f aca="false">SUM(B90:D90,F90,H90,J90:M90)</f>
        <v>80</v>
      </c>
      <c r="AM90" s="51" t="n">
        <f aca="false">SUM(E90,G90,I90,N90:AB90)</f>
        <v>52</v>
      </c>
      <c r="AP90" s="51" t="n">
        <f aca="false">SUM(AC90:AF90)</f>
        <v>0</v>
      </c>
    </row>
    <row r="91" customFormat="false" ht="15" hidden="false" customHeight="false" outlineLevel="0" collapsed="false">
      <c r="A91" s="6" t="s">
        <v>156</v>
      </c>
      <c r="B91" s="49" t="n">
        <v>18</v>
      </c>
      <c r="C91" s="49" t="n">
        <v>12</v>
      </c>
      <c r="D91" s="49"/>
      <c r="E91" s="49"/>
      <c r="F91" s="49"/>
      <c r="G91" s="49"/>
      <c r="H91" s="49"/>
      <c r="I91" s="49"/>
      <c r="J91" s="49"/>
      <c r="K91" s="49" t="n">
        <v>18</v>
      </c>
      <c r="L91" s="49" t="n">
        <v>6</v>
      </c>
      <c r="M91" s="49" t="n">
        <v>6</v>
      </c>
      <c r="N91" s="49"/>
      <c r="O91" s="49"/>
      <c r="P91" s="49"/>
      <c r="Q91" s="49"/>
      <c r="R91" s="49"/>
      <c r="S91" s="49" t="n">
        <v>40</v>
      </c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50" t="n">
        <f aca="false">SUM(B91:AF91)</f>
        <v>100</v>
      </c>
      <c r="AJ91" s="51" t="n">
        <f aca="false">SUM(B91:D91,F91,H91,J91:M91)</f>
        <v>60</v>
      </c>
      <c r="AM91" s="51" t="n">
        <f aca="false">SUM(E91,G91,I91,N91:AB91)</f>
        <v>40</v>
      </c>
      <c r="AP91" s="51" t="n">
        <f aca="false">SUM(AC91:AF91)</f>
        <v>0</v>
      </c>
    </row>
    <row r="92" customFormat="false" ht="15" hidden="false" customHeight="false" outlineLevel="0" collapsed="false">
      <c r="A92" s="6" t="s">
        <v>157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 t="n">
        <v>6</v>
      </c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50" t="n">
        <f aca="false">SUM(B92:AF92)</f>
        <v>6</v>
      </c>
      <c r="AJ92" s="51" t="n">
        <f aca="false">SUM(B92:D92,F92,H92,J92:M92)</f>
        <v>6</v>
      </c>
      <c r="AM92" s="51" t="n">
        <f aca="false">SUM(E92,G92,I92,N92:AB92)</f>
        <v>0</v>
      </c>
      <c r="AP92" s="51" t="n">
        <f aca="false">SUM(AC92:AF92)</f>
        <v>0</v>
      </c>
    </row>
    <row r="93" customFormat="false" ht="15" hidden="false" customHeight="false" outlineLevel="0" collapsed="false">
      <c r="A93" s="6" t="s">
        <v>158</v>
      </c>
      <c r="B93" s="49" t="n">
        <v>8</v>
      </c>
      <c r="C93" s="49" t="n">
        <v>12</v>
      </c>
      <c r="D93" s="49" t="n">
        <v>24</v>
      </c>
      <c r="E93" s="49"/>
      <c r="F93" s="49" t="n">
        <v>40</v>
      </c>
      <c r="G93" s="49"/>
      <c r="H93" s="49" t="n">
        <v>40</v>
      </c>
      <c r="I93" s="49"/>
      <c r="J93" s="49" t="n">
        <v>16</v>
      </c>
      <c r="K93" s="49" t="n">
        <v>8</v>
      </c>
      <c r="L93" s="49" t="n">
        <v>8</v>
      </c>
      <c r="M93" s="49" t="n">
        <v>8</v>
      </c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50" t="n">
        <f aca="false">SUM(B93:AF93)</f>
        <v>164</v>
      </c>
      <c r="AJ93" s="51" t="n">
        <f aca="false">SUM(B93:D93,F93,H93,J93:M93)</f>
        <v>164</v>
      </c>
      <c r="AM93" s="51" t="n">
        <f aca="false">SUM(E93,G93,I93,N93:AB93)</f>
        <v>0</v>
      </c>
      <c r="AP93" s="51" t="n">
        <f aca="false">SUM(AC93:AF93)</f>
        <v>0</v>
      </c>
    </row>
    <row r="96" customFormat="false" ht="15" hidden="false" customHeight="false" outlineLevel="0" collapsed="false">
      <c r="A96" s="27" t="s">
        <v>58</v>
      </c>
    </row>
    <row r="97" customFormat="false" ht="15" hidden="false" customHeight="false" outlineLevel="0" collapsed="false">
      <c r="A97" s="28" t="s">
        <v>170</v>
      </c>
    </row>
    <row r="98" customFormat="false" ht="15" hidden="false" customHeight="false" outlineLevel="0" collapsed="false">
      <c r="A98" s="28" t="s">
        <v>171</v>
      </c>
    </row>
    <row r="99" customFormat="false" ht="15" hidden="false" customHeight="false" outlineLevel="0" collapsed="false">
      <c r="A99" s="28" t="s">
        <v>172</v>
      </c>
    </row>
    <row r="100" customFormat="false" ht="15" hidden="false" customHeight="false" outlineLevel="0" collapsed="false">
      <c r="A100" s="28" t="s">
        <v>173</v>
      </c>
    </row>
    <row r="101" customFormat="false" ht="15" hidden="false" customHeight="false" outlineLevel="0" collapsed="false">
      <c r="A101" s="28" t="s">
        <v>174</v>
      </c>
    </row>
  </sheetData>
  <mergeCells count="17">
    <mergeCell ref="A1:AF1"/>
    <mergeCell ref="B4:R4"/>
    <mergeCell ref="S4:U4"/>
    <mergeCell ref="V4:AA4"/>
    <mergeCell ref="AC4:AF4"/>
    <mergeCell ref="AJ4:AL4"/>
    <mergeCell ref="AM4:AO4"/>
    <mergeCell ref="AP4:AR4"/>
    <mergeCell ref="Y5:Z5"/>
    <mergeCell ref="B50:R50"/>
    <mergeCell ref="S50:U50"/>
    <mergeCell ref="V50:AA50"/>
    <mergeCell ref="AC50:AF50"/>
    <mergeCell ref="AJ50:AL50"/>
    <mergeCell ref="AM50:AO50"/>
    <mergeCell ref="AP50:AR50"/>
    <mergeCell ref="Y51:Z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52" t="s">
        <v>175</v>
      </c>
    </row>
    <row r="2" customFormat="false" ht="15" hidden="false" customHeight="false" outlineLevel="0" collapsed="false">
      <c r="A2" s="27" t="s">
        <v>176</v>
      </c>
      <c r="F2" s="53" t="n">
        <v>1.07</v>
      </c>
    </row>
    <row r="3" customFormat="false" ht="15" hidden="false" customHeight="false" outlineLevel="0" collapsed="false">
      <c r="A3" s="28" t="s">
        <v>177</v>
      </c>
    </row>
    <row r="5" customFormat="false" ht="60" hidden="false" customHeight="true" outlineLevel="0" collapsed="false">
      <c r="A5" s="5" t="s">
        <v>2</v>
      </c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  <c r="G5" s="5" t="s">
        <v>183</v>
      </c>
      <c r="H5" s="5" t="s">
        <v>184</v>
      </c>
      <c r="I5" s="5" t="s">
        <v>185</v>
      </c>
      <c r="J5" s="5" t="s">
        <v>186</v>
      </c>
    </row>
    <row r="6" customFormat="false" ht="15" hidden="false" customHeight="false" outlineLevel="0" collapsed="false">
      <c r="A6" s="6" t="s">
        <v>15</v>
      </c>
      <c r="B6" s="54" t="n">
        <v>2066.59</v>
      </c>
      <c r="C6" s="54" t="n">
        <v>691.12</v>
      </c>
      <c r="D6" s="55" t="n">
        <f aca="false">B6+C6</f>
        <v>2757.71</v>
      </c>
      <c r="E6" s="56" t="n">
        <f aca="false">потребность!C5*$F$2</f>
        <v>2161.5712</v>
      </c>
      <c r="F6" s="56" t="n">
        <f aca="false">(потребность!D5+потребность!E5)*$F$2</f>
        <v>688.325329</v>
      </c>
      <c r="G6" s="55" t="n">
        <f aca="false">E6+F6</f>
        <v>2849.896529</v>
      </c>
      <c r="H6" s="57" t="n">
        <f aca="false">D6-G6</f>
        <v>-92.1865290000001</v>
      </c>
      <c r="I6" s="58" t="n">
        <f aca="false">IF(G6&gt;0,H6/G6,0)</f>
        <v>-0.0323473249158093</v>
      </c>
      <c r="J6" s="20"/>
    </row>
    <row r="7" customFormat="false" ht="15" hidden="false" customHeight="false" outlineLevel="0" collapsed="false">
      <c r="A7" s="6" t="s">
        <v>17</v>
      </c>
      <c r="B7" s="54" t="n">
        <v>2699.82</v>
      </c>
      <c r="C7" s="54" t="n">
        <v>5151.56</v>
      </c>
      <c r="D7" s="55" t="n">
        <f aca="false">B7+C7</f>
        <v>7851.38</v>
      </c>
      <c r="E7" s="56" t="n">
        <f aca="false">потребность!C6*$F$2</f>
        <v>2151.71008</v>
      </c>
      <c r="F7" s="56" t="n">
        <f aca="false">(потребность!D6+потребность!E6)*$F$2</f>
        <v>4934.967758</v>
      </c>
      <c r="G7" s="55" t="n">
        <f aca="false">E7+F7</f>
        <v>7086.677838</v>
      </c>
      <c r="H7" s="57" t="n">
        <f aca="false">D7-G7</f>
        <v>764.702162000001</v>
      </c>
      <c r="I7" s="58" t="n">
        <f aca="false">IF(G7&gt;0,H7/G7,0)</f>
        <v>0.107907002333242</v>
      </c>
      <c r="J7" s="20" t="s">
        <v>187</v>
      </c>
    </row>
    <row r="8" customFormat="false" ht="15" hidden="false" customHeight="false" outlineLevel="0" collapsed="false">
      <c r="A8" s="6" t="s">
        <v>18</v>
      </c>
      <c r="B8" s="54" t="n">
        <v>1611.55</v>
      </c>
      <c r="C8" s="54" t="n">
        <v>3251.93</v>
      </c>
      <c r="D8" s="55" t="n">
        <f aca="false">B8+C8</f>
        <v>4863.48</v>
      </c>
      <c r="E8" s="56" t="n">
        <f aca="false">потребность!C7*$F$2</f>
        <v>593.67024</v>
      </c>
      <c r="F8" s="56" t="n">
        <f aca="false">(потребность!D7+потребность!E7)*$F$2</f>
        <v>3207.3859258</v>
      </c>
      <c r="G8" s="55" t="n">
        <f aca="false">E8+F8</f>
        <v>3801.0561658</v>
      </c>
      <c r="H8" s="57" t="n">
        <f aca="false">D8-G8</f>
        <v>1062.4238342</v>
      </c>
      <c r="I8" s="58" t="n">
        <f aca="false">IF(G8&gt;0,H8/G8,0)</f>
        <v>0.279507533658449</v>
      </c>
      <c r="J8" s="20"/>
    </row>
    <row r="9" customFormat="false" ht="15" hidden="false" customHeight="false" outlineLevel="0" collapsed="false">
      <c r="A9" s="6" t="s">
        <v>19</v>
      </c>
      <c r="B9" s="54" t="n">
        <v>422.31</v>
      </c>
      <c r="C9" s="54" t="n">
        <v>668.01</v>
      </c>
      <c r="D9" s="55" t="n">
        <f aca="false">B9+C9</f>
        <v>1090.32</v>
      </c>
      <c r="E9" s="56" t="n">
        <f aca="false">потребность!C8*$F$2</f>
        <v>501.28216</v>
      </c>
      <c r="F9" s="56" t="n">
        <f aca="false">(потребность!D8+потребность!E8)*$F$2</f>
        <v>689.981368</v>
      </c>
      <c r="G9" s="55" t="n">
        <f aca="false">E9+F9</f>
        <v>1191.263528</v>
      </c>
      <c r="H9" s="57" t="n">
        <f aca="false">D9-G9</f>
        <v>-100.943528</v>
      </c>
      <c r="I9" s="58" t="n">
        <f aca="false">IF(G9&gt;0,H9/G9,0)</f>
        <v>-0.08473652187562</v>
      </c>
      <c r="J9" s="20"/>
    </row>
    <row r="10" customFormat="false" ht="15" hidden="false" customHeight="false" outlineLevel="0" collapsed="false">
      <c r="A10" s="6" t="s">
        <v>20</v>
      </c>
      <c r="B10" s="54" t="n">
        <v>2230.61</v>
      </c>
      <c r="C10" s="54" t="n">
        <v>188.17</v>
      </c>
      <c r="D10" s="55" t="n">
        <f aca="false">B10+C10</f>
        <v>2418.78</v>
      </c>
      <c r="E10" s="56" t="n">
        <f aca="false">потребность!C9*$F$2</f>
        <v>1854.158274</v>
      </c>
      <c r="F10" s="56" t="n">
        <f aca="false">(потребность!D9+потребность!E9)*$F$2</f>
        <v>219.3748668</v>
      </c>
      <c r="G10" s="55" t="n">
        <f aca="false">E10+F10</f>
        <v>2073.5331408</v>
      </c>
      <c r="H10" s="57" t="n">
        <f aca="false">D10-G10</f>
        <v>345.2468592</v>
      </c>
      <c r="I10" s="58" t="n">
        <f aca="false">IF(G10&gt;0,H10/G10,0)</f>
        <v>0.166501731950519</v>
      </c>
      <c r="J10" s="20"/>
    </row>
    <row r="11" customFormat="false" ht="15" hidden="false" customHeight="false" outlineLevel="0" collapsed="false">
      <c r="A11" s="6" t="s">
        <v>21</v>
      </c>
      <c r="B11" s="54" t="n">
        <v>896.23</v>
      </c>
      <c r="C11" s="54" t="n">
        <v>912.5</v>
      </c>
      <c r="D11" s="55" t="n">
        <f aca="false">B11+C11</f>
        <v>1808.73</v>
      </c>
      <c r="E11" s="56" t="n">
        <f aca="false">потребность!C10*$F$2</f>
        <v>300.6686304</v>
      </c>
      <c r="F11" s="56" t="n">
        <f aca="false">(потребность!D10+потребность!E10)*$F$2</f>
        <v>1468.76968008</v>
      </c>
      <c r="G11" s="55" t="n">
        <f aca="false">E11+F11</f>
        <v>1769.43831048</v>
      </c>
      <c r="H11" s="57" t="n">
        <f aca="false">D11-G11</f>
        <v>39.2916895200001</v>
      </c>
      <c r="I11" s="58" t="n">
        <f aca="false">IF(G11&gt;0,H11/G11,0)</f>
        <v>0.0222057413854351</v>
      </c>
      <c r="J11" s="20" t="s">
        <v>188</v>
      </c>
    </row>
    <row r="12" customFormat="false" ht="15" hidden="false" customHeight="false" outlineLevel="0" collapsed="false">
      <c r="A12" s="6" t="s">
        <v>22</v>
      </c>
      <c r="B12" s="54" t="n">
        <v>148.77</v>
      </c>
      <c r="C12" s="54" t="n">
        <v>932.2</v>
      </c>
      <c r="D12" s="55" t="n">
        <f aca="false">B12+C12</f>
        <v>1080.97</v>
      </c>
      <c r="E12" s="56" t="n">
        <f aca="false">потребность!C11*$F$2</f>
        <v>741.909324</v>
      </c>
      <c r="F12" s="56" t="n">
        <f aca="false">(потребность!D11+потребность!E11)*$F$2</f>
        <v>904.38645288</v>
      </c>
      <c r="G12" s="55" t="n">
        <f aca="false">E12+F12</f>
        <v>1646.29577688</v>
      </c>
      <c r="H12" s="57" t="n">
        <f aca="false">D12-G12</f>
        <v>-565.32577688</v>
      </c>
      <c r="I12" s="58" t="n">
        <f aca="false">IF(G12&gt;0,H12/G12,0)</f>
        <v>-0.343392593736336</v>
      </c>
      <c r="J12" s="20" t="s">
        <v>189</v>
      </c>
    </row>
    <row r="13" customFormat="false" ht="15" hidden="false" customHeight="false" outlineLevel="0" collapsed="false">
      <c r="A13" s="6" t="s">
        <v>23</v>
      </c>
      <c r="B13" s="54" t="n">
        <v>41.09</v>
      </c>
      <c r="C13" s="54" t="n">
        <v>87.57</v>
      </c>
      <c r="D13" s="55" t="n">
        <f aca="false">B13+C13</f>
        <v>128.66</v>
      </c>
      <c r="E13" s="56" t="n">
        <f aca="false">потребность!C12*$F$2</f>
        <v>78.716904</v>
      </c>
      <c r="F13" s="56" t="n">
        <f aca="false">(потребность!D12+потребность!E12)*$F$2</f>
        <v>232.0920736</v>
      </c>
      <c r="G13" s="55" t="n">
        <f aca="false">E13+F13</f>
        <v>310.8089776</v>
      </c>
      <c r="H13" s="57" t="n">
        <f aca="false">D13-G13</f>
        <v>-182.1489776</v>
      </c>
      <c r="I13" s="58" t="n">
        <f aca="false">IF(G13&gt;0,H13/G13,0)</f>
        <v>-0.58604799322888</v>
      </c>
      <c r="J13" s="20"/>
    </row>
    <row r="14" customFormat="false" ht="15" hidden="false" customHeight="false" outlineLevel="0" collapsed="false">
      <c r="A14" s="6" t="s">
        <v>24</v>
      </c>
      <c r="B14" s="54" t="n">
        <v>0</v>
      </c>
      <c r="C14" s="54" t="n">
        <v>208.66</v>
      </c>
      <c r="D14" s="55" t="n">
        <f aca="false">B14+C14</f>
        <v>208.66</v>
      </c>
      <c r="E14" s="56" t="n">
        <f aca="false">потребность!C13*$F$2</f>
        <v>0</v>
      </c>
      <c r="F14" s="56" t="n">
        <f aca="false">(потребность!D13+потребность!E13)*$F$2</f>
        <v>230.11354944</v>
      </c>
      <c r="G14" s="55" t="n">
        <f aca="false">E14+F14</f>
        <v>230.11354944</v>
      </c>
      <c r="H14" s="57" t="n">
        <f aca="false">D14-G14</f>
        <v>-21.45354944</v>
      </c>
      <c r="I14" s="58" t="n">
        <f aca="false">IF(G14&gt;0,H14/G14,0)</f>
        <v>-0.0932302747587396</v>
      </c>
      <c r="J14" s="20"/>
    </row>
    <row r="15" customFormat="false" ht="15" hidden="false" customHeight="false" outlineLevel="0" collapsed="false">
      <c r="A15" s="6" t="s">
        <v>25</v>
      </c>
      <c r="B15" s="54" t="n">
        <v>0</v>
      </c>
      <c r="C15" s="54" t="n">
        <v>7659.36</v>
      </c>
      <c r="D15" s="55" t="n">
        <f aca="false">B15+C15</f>
        <v>7659.36</v>
      </c>
      <c r="E15" s="56" t="n">
        <f aca="false">потребность!C14*$F$2</f>
        <v>8.120337</v>
      </c>
      <c r="F15" s="56" t="n">
        <f aca="false">(потребность!D14+потребность!E14)*$F$2</f>
        <v>8734.2344772</v>
      </c>
      <c r="G15" s="55" t="n">
        <f aca="false">E15+F15</f>
        <v>8742.3548142</v>
      </c>
      <c r="H15" s="57" t="n">
        <f aca="false">D15-G15</f>
        <v>-1082.9948142</v>
      </c>
      <c r="I15" s="58" t="n">
        <f aca="false">IF(G15&gt;0,H15/G15,0)</f>
        <v>-0.123879073455234</v>
      </c>
      <c r="J15" s="20" t="s">
        <v>190</v>
      </c>
    </row>
    <row r="16" customFormat="false" ht="15" hidden="false" customHeight="false" outlineLevel="0" collapsed="false">
      <c r="A16" s="6" t="s">
        <v>26</v>
      </c>
      <c r="B16" s="54" t="n">
        <v>0</v>
      </c>
      <c r="C16" s="54" t="n">
        <v>0</v>
      </c>
      <c r="D16" s="55" t="n">
        <f aca="false">B16+C16</f>
        <v>0</v>
      </c>
      <c r="E16" s="56" t="n">
        <f aca="false">потребность!C15*$F$2</f>
        <v>0</v>
      </c>
      <c r="F16" s="56" t="n">
        <f aca="false">(потребность!D15+потребность!E15)*$F$2</f>
        <v>0</v>
      </c>
      <c r="G16" s="55" t="n">
        <f aca="false">E16+F16</f>
        <v>0</v>
      </c>
      <c r="H16" s="57" t="n">
        <f aca="false">D16-G16</f>
        <v>0</v>
      </c>
      <c r="I16" s="58" t="n">
        <f aca="false">IF(G16&gt;0,H16/G16,0)</f>
        <v>0</v>
      </c>
      <c r="J16" s="20"/>
    </row>
    <row r="17" customFormat="false" ht="15" hidden="false" customHeight="false" outlineLevel="0" collapsed="false">
      <c r="A17" s="6" t="s">
        <v>27</v>
      </c>
      <c r="B17" s="54" t="n">
        <v>0</v>
      </c>
      <c r="C17" s="54" t="n">
        <v>0</v>
      </c>
      <c r="D17" s="55" t="n">
        <f aca="false">B17+C17</f>
        <v>0</v>
      </c>
      <c r="E17" s="56" t="n">
        <f aca="false">потребность!C16*$F$2</f>
        <v>0</v>
      </c>
      <c r="F17" s="56" t="n">
        <f aca="false">(потребность!D16+потребность!E16)*$F$2</f>
        <v>1.4183064</v>
      </c>
      <c r="G17" s="55" t="n">
        <f aca="false">E17+F17</f>
        <v>1.4183064</v>
      </c>
      <c r="H17" s="57" t="n">
        <f aca="false">D17-G17</f>
        <v>-1.4183064</v>
      </c>
      <c r="I17" s="58" t="n">
        <f aca="false">IF(G17&gt;0,H17/G17,0)</f>
        <v>-1</v>
      </c>
      <c r="J17" s="20"/>
    </row>
    <row r="18" customFormat="false" ht="15" hidden="false" customHeight="false" outlineLevel="0" collapsed="false">
      <c r="A18" s="6" t="s">
        <v>28</v>
      </c>
      <c r="B18" s="54" t="n">
        <v>0</v>
      </c>
      <c r="C18" s="54" t="n">
        <v>0</v>
      </c>
      <c r="D18" s="55" t="n">
        <f aca="false">B18+C18</f>
        <v>0</v>
      </c>
      <c r="E18" s="56" t="n">
        <f aca="false">потребность!C17*$F$2</f>
        <v>0</v>
      </c>
      <c r="F18" s="56" t="n">
        <f aca="false">(потребность!D17+потребность!E17)*$F$2</f>
        <v>0</v>
      </c>
      <c r="G18" s="55" t="n">
        <f aca="false">E18+F18</f>
        <v>0</v>
      </c>
      <c r="H18" s="57" t="n">
        <f aca="false">D18-G18</f>
        <v>0</v>
      </c>
      <c r="I18" s="58" t="n">
        <f aca="false">IF(G18&gt;0,H18/G18,0)</f>
        <v>0</v>
      </c>
      <c r="J18" s="20"/>
    </row>
    <row r="19" customFormat="false" ht="15" hidden="false" customHeight="false" outlineLevel="0" collapsed="false">
      <c r="A19" s="6" t="s">
        <v>29</v>
      </c>
      <c r="B19" s="54" t="n">
        <v>291.39</v>
      </c>
      <c r="C19" s="54" t="n">
        <v>312.23</v>
      </c>
      <c r="D19" s="55" t="n">
        <f aca="false">B19+C19</f>
        <v>603.62</v>
      </c>
      <c r="E19" s="56" t="n">
        <f aca="false">потребность!C18*$F$2</f>
        <v>347.8277034</v>
      </c>
      <c r="F19" s="56" t="n">
        <f aca="false">(потребность!D18+потребность!E18)*$F$2</f>
        <v>1564.2409822</v>
      </c>
      <c r="G19" s="55" t="n">
        <f aca="false">E19+F19</f>
        <v>1912.0686856</v>
      </c>
      <c r="H19" s="57" t="n">
        <f aca="false">D19-G19</f>
        <v>-1308.4486856</v>
      </c>
      <c r="I19" s="58" t="n">
        <f aca="false">IF(G19&gt;0,H19/G19,0)</f>
        <v>-0.684310503829738</v>
      </c>
      <c r="J19" s="20" t="s">
        <v>191</v>
      </c>
    </row>
    <row r="20" customFormat="false" ht="15" hidden="false" customHeight="false" outlineLevel="0" collapsed="false">
      <c r="A20" s="6" t="s">
        <v>30</v>
      </c>
      <c r="B20" s="54" t="n">
        <v>1566.46</v>
      </c>
      <c r="C20" s="54" t="n">
        <v>2695.97</v>
      </c>
      <c r="D20" s="55" t="n">
        <f aca="false">B20+C20</f>
        <v>4262.43</v>
      </c>
      <c r="E20" s="56" t="n">
        <f aca="false">потребность!C19*$F$2</f>
        <v>1314.559842</v>
      </c>
      <c r="F20" s="56" t="n">
        <f aca="false">(потребность!D19+потребность!E19)*$F$2</f>
        <v>1889.9766845</v>
      </c>
      <c r="G20" s="55" t="n">
        <f aca="false">E20+F20</f>
        <v>3204.5365265</v>
      </c>
      <c r="H20" s="57" t="n">
        <f aca="false">D20-G20</f>
        <v>1057.8934735</v>
      </c>
      <c r="I20" s="58" t="n">
        <f aca="false">IF(G20&gt;0,H20/G20,0)</f>
        <v>0.330123705800112</v>
      </c>
      <c r="J20" s="20" t="s">
        <v>192</v>
      </c>
    </row>
    <row r="21" customFormat="false" ht="15" hidden="false" customHeight="false" outlineLevel="0" collapsed="false">
      <c r="A21" s="6" t="s">
        <v>31</v>
      </c>
      <c r="B21" s="54" t="n">
        <v>0</v>
      </c>
      <c r="C21" s="54" t="n">
        <v>0</v>
      </c>
      <c r="D21" s="55" t="n">
        <f aca="false">B21+C21</f>
        <v>0</v>
      </c>
      <c r="E21" s="56" t="n">
        <f aca="false">потребность!C20*$F$2</f>
        <v>0</v>
      </c>
      <c r="F21" s="56" t="n">
        <f aca="false">(потребность!D20+потребность!E20)*$F$2</f>
        <v>7.3827432</v>
      </c>
      <c r="G21" s="55" t="n">
        <f aca="false">E21+F21</f>
        <v>7.3827432</v>
      </c>
      <c r="H21" s="57" t="n">
        <f aca="false">D21-G21</f>
        <v>-7.3827432</v>
      </c>
      <c r="I21" s="58" t="n">
        <f aca="false">IF(G21&gt;0,H21/G21,0)</f>
        <v>-1</v>
      </c>
      <c r="J21" s="20"/>
    </row>
    <row r="22" customFormat="false" ht="15" hidden="false" customHeight="false" outlineLevel="0" collapsed="false">
      <c r="A22" s="6" t="s">
        <v>193</v>
      </c>
      <c r="B22" s="54" t="n">
        <v>0</v>
      </c>
      <c r="C22" s="54" t="n">
        <v>0</v>
      </c>
      <c r="D22" s="55" t="n">
        <f aca="false">B22+C22</f>
        <v>0</v>
      </c>
      <c r="E22" s="56" t="n">
        <f aca="false">потребность!C21*$F$2</f>
        <v>0</v>
      </c>
      <c r="F22" s="56" t="n">
        <f aca="false">(потребность!D21+потребность!E21)*$F$2</f>
        <v>46.1384</v>
      </c>
      <c r="G22" s="55" t="n">
        <f aca="false">E22+F22</f>
        <v>46.1384</v>
      </c>
      <c r="H22" s="57" t="n">
        <f aca="false">D22-G22</f>
        <v>-46.1384</v>
      </c>
      <c r="I22" s="58" t="n">
        <f aca="false">IF(G22&gt;0,H22/G22,0)</f>
        <v>-1</v>
      </c>
      <c r="J22" s="20" t="s">
        <v>194</v>
      </c>
    </row>
    <row r="23" customFormat="false" ht="15" hidden="false" customHeight="false" outlineLevel="0" collapsed="false">
      <c r="A23" s="4" t="s">
        <v>195</v>
      </c>
      <c r="B23" s="59" t="n">
        <f aca="false">SUM(B6:B22)</f>
        <v>11974.82</v>
      </c>
      <c r="C23" s="59" t="n">
        <f aca="false">SUM(C6:C22)</f>
        <v>22759.28</v>
      </c>
      <c r="D23" s="59" t="n">
        <f aca="false">SUM(D6:D22)</f>
        <v>34734.1</v>
      </c>
      <c r="E23" s="59" t="n">
        <f aca="false">SUM(E6:E22)</f>
        <v>10054.1946948</v>
      </c>
      <c r="F23" s="59" t="n">
        <f aca="false">SUM(F6:F22)</f>
        <v>24818.7885971</v>
      </c>
      <c r="G23" s="59" t="n">
        <f aca="false">SUM(G6:G22)</f>
        <v>34872.9832919</v>
      </c>
      <c r="H23" s="60" t="n">
        <f aca="false">SUM(H6:H22)</f>
        <v>-138.883291900003</v>
      </c>
      <c r="I23" s="61" t="n">
        <f aca="false">IF(G23&gt;0,H23/G23,0)</f>
        <v>-0.00398254691138689</v>
      </c>
      <c r="J23" s="4" t="s">
        <v>196</v>
      </c>
    </row>
    <row r="25" customFormat="false" ht="23.85" hidden="false" customHeight="false" outlineLevel="0" collapsed="false">
      <c r="A25" s="20" t="s">
        <v>197</v>
      </c>
      <c r="G25" s="62" t="n">
        <f aca="false">SUM(потребность!C22:E22)</f>
        <v>32591.57317</v>
      </c>
    </row>
    <row r="26" customFormat="false" ht="23.85" hidden="false" customHeight="false" outlineLevel="0" collapsed="false">
      <c r="A26" s="20" t="s">
        <v>198</v>
      </c>
      <c r="D26" s="62" t="n">
        <f aca="false">D23/$F$2</f>
        <v>32461.7757009346</v>
      </c>
    </row>
    <row r="28" customFormat="false" ht="15" hidden="false" customHeight="false" outlineLevel="0" collapsed="false">
      <c r="A28" s="63" t="s">
        <v>199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30" hidden="false" customHeight="true" outlineLevel="0" collapsed="false">
      <c r="A29" s="5" t="s">
        <v>200</v>
      </c>
      <c r="B29" s="5" t="s">
        <v>201</v>
      </c>
      <c r="C29" s="5" t="s">
        <v>202</v>
      </c>
      <c r="D29" s="4"/>
      <c r="E29" s="4"/>
      <c r="F29" s="4"/>
      <c r="G29" s="5" t="s">
        <v>203</v>
      </c>
      <c r="H29" s="5" t="s">
        <v>184</v>
      </c>
      <c r="I29" s="4"/>
      <c r="J29" s="5" t="s">
        <v>204</v>
      </c>
    </row>
    <row r="30" customFormat="false" ht="31.5" hidden="false" customHeight="true" outlineLevel="0" collapsed="false">
      <c r="A30" s="6" t="s">
        <v>205</v>
      </c>
      <c r="B30" s="64" t="n">
        <v>2630.3</v>
      </c>
      <c r="C30" s="20" t="s">
        <v>206</v>
      </c>
      <c r="D30" s="20"/>
      <c r="E30" s="20"/>
      <c r="F30" s="20"/>
      <c r="G30" s="56" t="n">
        <f aca="false">SUMIFS(Ведомость!$P$5:$P$846,Ведомость!$W$5:$W$846,1,Ведомость!$C$5:$C$846,"Колонны",Ведомость!$G$5:$G$846,"Вертикальные*")</f>
        <v>2698.8</v>
      </c>
      <c r="H30" s="57" t="n">
        <f aca="false">B30-G30</f>
        <v>-68.5</v>
      </c>
      <c r="I30" s="20"/>
      <c r="J30" s="20" t="s">
        <v>207</v>
      </c>
    </row>
    <row r="31" customFormat="false" ht="31.5" hidden="false" customHeight="true" outlineLevel="0" collapsed="false">
      <c r="A31" s="6" t="s">
        <v>208</v>
      </c>
      <c r="B31" s="64" t="n">
        <v>846.1</v>
      </c>
      <c r="C31" s="20" t="s">
        <v>209</v>
      </c>
      <c r="D31" s="20"/>
      <c r="E31" s="20"/>
      <c r="F31" s="20"/>
      <c r="G31" s="56" t="n">
        <f aca="false">SUMIFS(Ведомость!$P$5:$P$846,Ведомость!$W$5:$W$846,1,Ведомость!$C$5:$C$846,"Колонны")-SUMIFS(Ведомость!$P$5:$P$846,Ведомость!$W$5:$W$846,1,Ведомость!$C$5:$C$846,"Колонны",Ведомость!$G$5:$G$846,"Вертикальные*")</f>
        <v>851.778</v>
      </c>
      <c r="H31" s="57" t="n">
        <f aca="false">B31-G31</f>
        <v>-5.67799999999977</v>
      </c>
      <c r="I31" s="20"/>
      <c r="J31" s="20" t="s">
        <v>210</v>
      </c>
    </row>
    <row r="32" customFormat="false" ht="31.5" hidden="false" customHeight="true" outlineLevel="0" collapsed="false">
      <c r="A32" s="6" t="s">
        <v>211</v>
      </c>
      <c r="B32" s="64" t="n">
        <v>312.6</v>
      </c>
      <c r="C32" s="20" t="s">
        <v>212</v>
      </c>
      <c r="D32" s="20"/>
      <c r="E32" s="20"/>
      <c r="F32" s="20"/>
      <c r="G32" s="56" t="n">
        <f aca="false">0</f>
        <v>0</v>
      </c>
      <c r="H32" s="57" t="n">
        <f aca="false">B32-G32</f>
        <v>312.6</v>
      </c>
      <c r="I32" s="20"/>
      <c r="J32" s="20" t="s">
        <v>213</v>
      </c>
    </row>
    <row r="33" customFormat="false" ht="31.5" hidden="false" customHeight="true" outlineLevel="0" collapsed="false">
      <c r="A33" s="6" t="s">
        <v>214</v>
      </c>
      <c r="B33" s="64" t="n">
        <v>3467.8</v>
      </c>
      <c r="C33" s="20" t="s">
        <v>215</v>
      </c>
      <c r="D33" s="20"/>
      <c r="E33" s="20"/>
      <c r="F33" s="20"/>
      <c r="G33" s="56" t="n">
        <f aca="false">SUMIFS(Ведомость!$P$5:$P$846,Ведомость!$W$5:$W$846,1,Ведомость!$C$5:$C$846,"Диафрагмы",Ведомость!$G$5:$G$846,"Вертикальные*")</f>
        <v>4037.05312</v>
      </c>
      <c r="H33" s="57" t="n">
        <f aca="false">B33-G33</f>
        <v>-569.253119999999</v>
      </c>
      <c r="I33" s="20"/>
      <c r="J33" s="20" t="s">
        <v>216</v>
      </c>
    </row>
    <row r="34" customFormat="false" ht="31.5" hidden="false" customHeight="true" outlineLevel="0" collapsed="false">
      <c r="A34" s="6" t="s">
        <v>217</v>
      </c>
      <c r="B34" s="64" t="n">
        <v>2527.5</v>
      </c>
      <c r="C34" s="20" t="s">
        <v>218</v>
      </c>
      <c r="D34" s="20"/>
      <c r="E34" s="20"/>
      <c r="F34" s="20"/>
      <c r="G34" s="56" t="n">
        <f aca="false">0</f>
        <v>0</v>
      </c>
      <c r="H34" s="57" t="n">
        <f aca="false">B34-G34</f>
        <v>2527.5</v>
      </c>
      <c r="I34" s="20"/>
      <c r="J34" s="20" t="s">
        <v>219</v>
      </c>
    </row>
    <row r="35" customFormat="false" ht="31.5" hidden="false" customHeight="true" outlineLevel="0" collapsed="false">
      <c r="A35" s="6" t="s">
        <v>220</v>
      </c>
      <c r="B35" s="64" t="n">
        <v>516.8</v>
      </c>
      <c r="C35" s="20" t="s">
        <v>221</v>
      </c>
      <c r="D35" s="20"/>
      <c r="E35" s="20"/>
      <c r="F35" s="20"/>
      <c r="G35" s="56" t="n">
        <f aca="false">SUMIFS(Ведомость!$P$5:$P$846,Ведомость!$W$5:$W$846,1,Ведомость!$C$5:$C$846,"Диафрагмы",Ведомость!$F$5:$F$846,"гор.")</f>
        <v>876.492</v>
      </c>
      <c r="H35" s="57" t="n">
        <f aca="false">B35-G35</f>
        <v>-359.692</v>
      </c>
      <c r="I35" s="20"/>
      <c r="J35" s="20" t="s">
        <v>222</v>
      </c>
    </row>
    <row r="36" customFormat="false" ht="31.5" hidden="false" customHeight="true" outlineLevel="0" collapsed="false">
      <c r="A36" s="6" t="s">
        <v>223</v>
      </c>
      <c r="B36" s="64" t="n">
        <v>0</v>
      </c>
      <c r="C36" s="20" t="s">
        <v>224</v>
      </c>
      <c r="D36" s="20"/>
      <c r="E36" s="20"/>
      <c r="F36" s="20"/>
      <c r="G36" s="56" t="n">
        <f aca="false">SUMIFS(Ведомость!$P$5:$P$846,Ведомость!$W$5:$W$846,1,Ведомость!$C$5:$C$846,"Диафрагмы",Ведомость!$F$5:$F$846,"доп.")</f>
        <v>230.4653</v>
      </c>
      <c r="H36" s="57" t="n">
        <f aca="false">B36-G36</f>
        <v>-230.4653</v>
      </c>
      <c r="I36" s="20"/>
      <c r="J36" s="20" t="s">
        <v>225</v>
      </c>
    </row>
    <row r="37" customFormat="false" ht="31.5" hidden="false" customHeight="true" outlineLevel="0" collapsed="false">
      <c r="A37" s="6" t="s">
        <v>226</v>
      </c>
      <c r="B37" s="64" t="n">
        <v>890.2</v>
      </c>
      <c r="C37" s="20" t="s">
        <v>215</v>
      </c>
      <c r="D37" s="20"/>
      <c r="E37" s="20"/>
      <c r="F37" s="20"/>
      <c r="G37" s="56" t="n">
        <f aca="false">SUMIFS(Ведомость!$P$5:$P$846,Ведомость!$W$5:$W$846,1,Ведомость!$C$5:$C$846,"Диафрагмы")-SUMIFS(Ведомость!$P$5:$P$846,Ведомость!$W$5:$W$846,1,Ведомость!$C$5:$C$846,"Диафрагмы",Ведомость!$G$5:$G$846,"Вертикальные*")-SUMIFS(Ведомость!$P$5:$P$846,Ведомость!$W$5:$W$846,1,Ведомость!$C$5:$C$846,"Диафрагмы",Ведомость!$F$5:$F$846,"гор.")-SUMIFS(Ведомость!$P$5:$P$846,Ведомость!$W$5:$W$846,1,Ведомость!$C$5:$C$846,"Диафрагмы",Ведомость!$F$5:$F$846,"доп.")</f>
        <v>701.85522</v>
      </c>
      <c r="H37" s="57" t="n">
        <f aca="false">B37-G37</f>
        <v>188.34478</v>
      </c>
      <c r="I37" s="20"/>
      <c r="J37" s="20" t="s">
        <v>227</v>
      </c>
    </row>
    <row r="38" customFormat="false" ht="31.5" hidden="false" customHeight="true" outlineLevel="0" collapsed="false">
      <c r="A38" s="6" t="s">
        <v>228</v>
      </c>
      <c r="B38" s="64" t="n">
        <v>5645.5</v>
      </c>
      <c r="C38" s="20" t="s">
        <v>229</v>
      </c>
      <c r="D38" s="20"/>
      <c r="E38" s="20"/>
      <c r="F38" s="20"/>
      <c r="G38" s="56" t="n">
        <f aca="false">SUMIFS(Ведомость!$P$5:$P$846,Ведомость!$W$5:$W$846,1,Ведомость!$C$5:$C$846,"Ригели",Ведомость!$F$5:$F$846,"2")+SUMIFS(Ведомость!$P$5:$P$846,Ведомость!$W$5:$W$846,1,Ведомость!$C$5:$C$846,"Ригели",Ведомость!$F$5:$F$846,"6")+SUMIFS(Ведомость!$P$5:$P$846,Ведомость!$W$5:$W$846,1,Ведомость!$C$5:$C$846,"Ригели",Ведомость!$F$5:$F$846,"7")+SUMIFS(Ведомость!$P$5:$P$846,Ведомость!$W$5:$W$846,1,Ведомость!$C$5:$C$846,"Ригели",Ведомость!$F$5:$F$846,"6-нахл")+SUMIFS(Ведомость!$P$5:$P$846,Ведомость!$W$5:$W$846,1,Ведомость!$C$5:$C$846,"Ригели",Ведомость!$F$5:$F$846,"7-нахл")</f>
        <v>5429.528096</v>
      </c>
      <c r="H38" s="57" t="n">
        <f aca="false">B38-G38</f>
        <v>215.971904</v>
      </c>
      <c r="I38" s="20"/>
      <c r="J38" s="20" t="s">
        <v>230</v>
      </c>
    </row>
    <row r="39" customFormat="false" ht="31.5" hidden="false" customHeight="true" outlineLevel="0" collapsed="false">
      <c r="A39" s="6" t="s">
        <v>231</v>
      </c>
      <c r="B39" s="64" t="n">
        <v>2496.9</v>
      </c>
      <c r="C39" s="20" t="s">
        <v>232</v>
      </c>
      <c r="D39" s="20"/>
      <c r="E39" s="20"/>
      <c r="F39" s="20"/>
      <c r="G39" s="56" t="n">
        <f aca="false">SUMIFS(Ведомость!$P$5:$P$846,Ведомость!$W$5:$W$846,1,Ведомость!$C$5:$C$846,"Ригели",Ведомость!$F$5:$F$846,"ОС")</f>
        <v>2445.7317</v>
      </c>
      <c r="H39" s="57" t="n">
        <f aca="false">B39-G39</f>
        <v>51.1683000000003</v>
      </c>
      <c r="I39" s="20"/>
      <c r="J39" s="20" t="s">
        <v>233</v>
      </c>
    </row>
    <row r="40" customFormat="false" ht="31.5" hidden="false" customHeight="true" outlineLevel="0" collapsed="false">
      <c r="A40" s="6" t="s">
        <v>234</v>
      </c>
      <c r="B40" s="64" t="n">
        <v>1739.4</v>
      </c>
      <c r="C40" s="20" t="s">
        <v>235</v>
      </c>
      <c r="D40" s="20"/>
      <c r="E40" s="20"/>
      <c r="F40" s="20"/>
      <c r="G40" s="56" t="n">
        <f aca="false">SUMIFS(Ведомость!$P$5:$P$846,Ведомость!$W$5:$W$846,1,Ведомость!$C$5:$C$846,"Ригели")-(SUMIFS(Ведомость!$P$5:$P$846,Ведомость!$W$5:$W$846,1,Ведомость!$C$5:$C$846,"Ригели",Ведомость!$F$5:$F$846,"2")+SUMIFS(Ведомость!$P$5:$P$846,Ведомость!$W$5:$W$846,1,Ведомость!$C$5:$C$846,"Ригели",Ведомость!$F$5:$F$846,"6")+SUMIFS(Ведомость!$P$5:$P$846,Ведомость!$W$5:$W$846,1,Ведомость!$C$5:$C$846,"Ригели",Ведомость!$F$5:$F$846,"7")+SUMIFS(Ведомость!$P$5:$P$846,Ведомость!$W$5:$W$846,1,Ведомость!$C$5:$C$846,"Ригели",Ведомость!$F$5:$F$846,"6-нахл")+SUMIFS(Ведомость!$P$5:$P$846,Ведомость!$W$5:$W$846,1,Ведомость!$C$5:$C$846,"Ригели",Ведомость!$F$5:$F$846,"7-нахл")+SUMIFS(Ведомость!$P$5:$P$846,Ведомость!$W$5:$W$846,1,Ведомость!$C$5:$C$846,"Ригели",Ведомость!$F$5:$F$846,"ОС"))</f>
        <v>2149.757142</v>
      </c>
      <c r="H40" s="57" t="n">
        <f aca="false">B40-G40</f>
        <v>-410.357142</v>
      </c>
      <c r="I40" s="20"/>
      <c r="J40" s="20" t="s">
        <v>236</v>
      </c>
    </row>
    <row r="41" customFormat="false" ht="31.5" hidden="false" customHeight="true" outlineLevel="0" collapsed="false">
      <c r="A41" s="6" t="s">
        <v>237</v>
      </c>
      <c r="B41" s="64" t="n">
        <v>3840.2</v>
      </c>
      <c r="C41" s="20" t="s">
        <v>238</v>
      </c>
      <c r="D41" s="20"/>
      <c r="E41" s="20"/>
      <c r="F41" s="20"/>
      <c r="G41" s="56" t="n">
        <f aca="false">SUMIFS(Ведомость!$P$5:$P$846,Ведомость!$W$5:$W$846,1,Ведомость!$C$5:$C$846,"Плита перекрытия — балки")</f>
        <v>3821.69064</v>
      </c>
      <c r="H41" s="57" t="n">
        <f aca="false">B41-G41</f>
        <v>18.5093599999996</v>
      </c>
      <c r="I41" s="20"/>
      <c r="J41" s="20" t="s">
        <v>239</v>
      </c>
    </row>
    <row r="42" customFormat="false" ht="31.5" hidden="false" customHeight="true" outlineLevel="0" collapsed="false">
      <c r="A42" s="6" t="s">
        <v>240</v>
      </c>
      <c r="B42" s="64" t="n">
        <v>6904.5</v>
      </c>
      <c r="C42" s="20" t="s">
        <v>241</v>
      </c>
      <c r="D42" s="20"/>
      <c r="E42" s="20"/>
      <c r="F42" s="20"/>
      <c r="G42" s="56" t="n">
        <f aca="false">SUMIFS(Ведомость!$P$5:$P$846,Ведомость!$W$5:$W$846,1,Ведомость!$C$5:$C$846,"Плита перекрытия",Ведомость!$G$5:$G$846,"*осн. сетка*")+SUMIFS(Ведомость!$P$5:$P$846,Ведомость!$W$5:$W$846,1,Ведомость!$C$5:$C$846,"Плита перекрытия",Ведомость!$F$5:$F$846,"Ф-1")+SUMIFS(Ведомость!$P$5:$P$846,Ведомость!$W$5:$W$846,1,Ведомость!$C$5:$C$846,"Плита перекрытия",Ведомость!$F$5:$F$846,"шп")</f>
        <v>7149.8539</v>
      </c>
      <c r="H42" s="57" t="n">
        <f aca="false">B42-G42</f>
        <v>-245.3539</v>
      </c>
      <c r="I42" s="20"/>
      <c r="J42" s="20" t="s">
        <v>242</v>
      </c>
    </row>
    <row r="43" customFormat="false" ht="31.5" hidden="false" customHeight="true" outlineLevel="0" collapsed="false">
      <c r="A43" s="6" t="s">
        <v>243</v>
      </c>
      <c r="B43" s="64" t="n">
        <v>643.8</v>
      </c>
      <c r="C43" s="20" t="s">
        <v>244</v>
      </c>
      <c r="D43" s="20"/>
      <c r="E43" s="20"/>
      <c r="F43" s="20"/>
      <c r="G43" s="56" t="n">
        <f aca="false">SUMIFS(Ведомость!$P$5:$P$846,Ведомость!$W$5:$W$846,1,Ведомость!$C$5:$C$846,"Плита перекрытия")-(SUMIFS(Ведомость!$P$5:$P$846,Ведомость!$W$5:$W$846,1,Ведомость!$C$5:$C$846,"Плита перекрытия",Ведомость!$G$5:$G$846,"*осн. сетка*")+SUMIFS(Ведомость!$P$5:$P$846,Ведомость!$W$5:$W$846,1,Ведомость!$C$5:$C$846,"Плита перекрытия",Ведомость!$F$5:$F$846,"Ф-1")+SUMIFS(Ведомость!$P$5:$P$846,Ведомость!$W$5:$W$846,1,Ведомость!$C$5:$C$846,"Плита перекрытия",Ведомость!$F$5:$F$846,"шп"))</f>
        <v>804.26418</v>
      </c>
      <c r="H43" s="57" t="n">
        <f aca="false">B43-G43</f>
        <v>-160.46418</v>
      </c>
      <c r="I43" s="20"/>
      <c r="J43" s="20" t="s">
        <v>245</v>
      </c>
    </row>
    <row r="44" customFormat="false" ht="31.5" hidden="false" customHeight="true" outlineLevel="0" collapsed="false">
      <c r="A44" s="6" t="s">
        <v>246</v>
      </c>
      <c r="B44" s="64" t="n">
        <v>0</v>
      </c>
      <c r="C44" s="20" t="s">
        <v>224</v>
      </c>
      <c r="D44" s="20"/>
      <c r="E44" s="20"/>
      <c r="F44" s="20"/>
      <c r="G44" s="56" t="n">
        <f aca="false">SUMIFS(Ведомость!$P$5:$P$846,Ведомость!$W$5:$W$846,1,Ведомость!$C$5:$C$846,"Сетки-гребёнки С-1")</f>
        <v>590.8392</v>
      </c>
      <c r="H44" s="57" t="n">
        <f aca="false">B44-G44</f>
        <v>-590.8392</v>
      </c>
      <c r="I44" s="20"/>
      <c r="J44" s="20" t="s">
        <v>247</v>
      </c>
    </row>
    <row r="45" customFormat="false" ht="31.5" hidden="false" customHeight="true" outlineLevel="0" collapsed="false">
      <c r="A45" s="6" t="s">
        <v>248</v>
      </c>
      <c r="B45" s="64" t="n">
        <v>0</v>
      </c>
      <c r="C45" s="20" t="s">
        <v>224</v>
      </c>
      <c r="D45" s="20"/>
      <c r="E45" s="20"/>
      <c r="F45" s="20"/>
      <c r="G45" s="56" t="n">
        <f aca="false">SUMIFS(Ведомость!$P$5:$P$846,Ведомость!$W$5:$W$846,1,Ведомость!$C$5:$C$846,"Лестница ЛВ-1")</f>
        <v>803.464672</v>
      </c>
      <c r="H45" s="57" t="n">
        <f aca="false">B45-G45</f>
        <v>-803.464672</v>
      </c>
      <c r="I45" s="20"/>
      <c r="J45" s="20" t="s">
        <v>249</v>
      </c>
    </row>
    <row r="46" customFormat="false" ht="15" hidden="false" customHeight="false" outlineLevel="0" collapsed="false">
      <c r="A46" s="4" t="s">
        <v>250</v>
      </c>
      <c r="B46" s="59" t="n">
        <f aca="false">SUM(B30:B45)</f>
        <v>32461.6</v>
      </c>
      <c r="C46" s="4"/>
      <c r="D46" s="4"/>
      <c r="E46" s="4"/>
      <c r="F46" s="4"/>
      <c r="G46" s="59" t="n">
        <f aca="false">SUM(G30:G45)</f>
        <v>32591.57317</v>
      </c>
      <c r="H46" s="60" t="n">
        <f aca="false">B46-G46</f>
        <v>-129.973170000001</v>
      </c>
      <c r="I46" s="4"/>
      <c r="J46" s="4" t="s">
        <v>251</v>
      </c>
    </row>
    <row r="47" customFormat="false" ht="23.85" hidden="false" customHeight="false" outlineLevel="0" collapsed="false">
      <c r="A47" s="20" t="s">
        <v>252</v>
      </c>
      <c r="H47" s="21" t="n">
        <f aca="false">ROUND(G46-Ведомость!P847,1)</f>
        <v>0</v>
      </c>
      <c r="J47" s="65" t="s">
        <v>37</v>
      </c>
    </row>
  </sheetData>
  <mergeCells count="16"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52" t="s">
        <v>253</v>
      </c>
    </row>
    <row r="3" customFormat="false" ht="30" hidden="false" customHeight="true" outlineLevel="0" collapsed="false">
      <c r="A3" s="4" t="s">
        <v>254</v>
      </c>
      <c r="B3" s="20" t="s">
        <v>255</v>
      </c>
      <c r="C3" s="20"/>
      <c r="D3" s="20"/>
      <c r="E3" s="20"/>
      <c r="F3" s="20"/>
    </row>
    <row r="4" customFormat="false" ht="30" hidden="false" customHeight="true" outlineLevel="0" collapsed="false">
      <c r="A4" s="4" t="s">
        <v>256</v>
      </c>
      <c r="B4" s="20" t="s">
        <v>257</v>
      </c>
      <c r="C4" s="20"/>
      <c r="D4" s="20"/>
      <c r="E4" s="20"/>
      <c r="F4" s="20"/>
    </row>
    <row r="5" customFormat="false" ht="30" hidden="false" customHeight="true" outlineLevel="0" collapsed="false">
      <c r="A5" s="4" t="s">
        <v>258</v>
      </c>
      <c r="B5" s="20" t="s">
        <v>259</v>
      </c>
      <c r="C5" s="20"/>
      <c r="D5" s="20"/>
      <c r="E5" s="20"/>
      <c r="F5" s="20"/>
    </row>
    <row r="6" customFormat="false" ht="30" hidden="false" customHeight="true" outlineLevel="0" collapsed="false">
      <c r="A6" s="4" t="s">
        <v>260</v>
      </c>
      <c r="B6" s="20" t="s">
        <v>261</v>
      </c>
      <c r="C6" s="20"/>
      <c r="D6" s="20"/>
      <c r="E6" s="20"/>
      <c r="F6" s="20"/>
    </row>
    <row r="7" customFormat="false" ht="30" hidden="false" customHeight="true" outlineLevel="0" collapsed="false">
      <c r="A7" s="4" t="s">
        <v>262</v>
      </c>
      <c r="B7" s="20" t="s">
        <v>263</v>
      </c>
      <c r="C7" s="20"/>
      <c r="D7" s="20"/>
      <c r="E7" s="20"/>
      <c r="F7" s="20"/>
    </row>
    <row r="8" customFormat="false" ht="30" hidden="false" customHeight="true" outlineLevel="0" collapsed="false">
      <c r="A8" s="4" t="s">
        <v>38</v>
      </c>
      <c r="B8" s="20" t="s">
        <v>264</v>
      </c>
      <c r="C8" s="20"/>
      <c r="D8" s="20"/>
      <c r="E8" s="20"/>
      <c r="F8" s="20"/>
    </row>
    <row r="9" customFormat="false" ht="30" hidden="false" customHeight="true" outlineLevel="0" collapsed="false">
      <c r="A9" s="4" t="s">
        <v>265</v>
      </c>
      <c r="B9" s="20" t="s">
        <v>266</v>
      </c>
      <c r="C9" s="20"/>
      <c r="D9" s="20"/>
      <c r="E9" s="20"/>
      <c r="F9" s="20"/>
    </row>
    <row r="11" customFormat="false" ht="15" hidden="false" customHeight="false" outlineLevel="0" collapsed="false">
      <c r="A11" s="27" t="s">
        <v>267</v>
      </c>
    </row>
    <row r="12" customFormat="false" ht="15" hidden="false" customHeight="false" outlineLevel="0" collapsed="false">
      <c r="A12" s="4" t="s">
        <v>268</v>
      </c>
      <c r="B12" s="66" t="n">
        <v>11.7</v>
      </c>
    </row>
    <row r="13" customFormat="false" ht="15" hidden="false" customHeight="false" outlineLevel="0" collapsed="false">
      <c r="A13" s="4" t="s">
        <v>269</v>
      </c>
      <c r="B13" s="66" t="n">
        <v>1.07</v>
      </c>
      <c r="C13" s="22" t="s">
        <v>270</v>
      </c>
    </row>
    <row r="14" customFormat="false" ht="15" hidden="false" customHeight="false" outlineLevel="0" collapsed="false">
      <c r="A14" s="4" t="s">
        <v>271</v>
      </c>
      <c r="B14" s="66" t="n">
        <v>1</v>
      </c>
    </row>
    <row r="16" customFormat="false" ht="15" hidden="false" customHeight="false" outlineLevel="0" collapsed="false">
      <c r="A16" s="27" t="s">
        <v>272</v>
      </c>
    </row>
    <row r="17" customFormat="false" ht="15" hidden="false" customHeight="false" outlineLevel="0" collapsed="false">
      <c r="A17" s="5" t="s">
        <v>273</v>
      </c>
      <c r="B17" s="5" t="s">
        <v>274</v>
      </c>
    </row>
    <row r="18" customFormat="false" ht="15" hidden="false" customHeight="false" outlineLevel="0" collapsed="false">
      <c r="A18" s="47" t="n">
        <v>5</v>
      </c>
      <c r="B18" s="67" t="n">
        <v>0.154</v>
      </c>
    </row>
    <row r="19" customFormat="false" ht="15" hidden="false" customHeight="false" outlineLevel="0" collapsed="false">
      <c r="A19" s="47" t="n">
        <v>6</v>
      </c>
      <c r="B19" s="67" t="n">
        <v>0.222</v>
      </c>
    </row>
    <row r="20" customFormat="false" ht="15" hidden="false" customHeight="false" outlineLevel="0" collapsed="false">
      <c r="A20" s="47" t="n">
        <v>8</v>
      </c>
      <c r="B20" s="67" t="n">
        <v>0.395</v>
      </c>
    </row>
    <row r="21" customFormat="false" ht="15" hidden="false" customHeight="false" outlineLevel="0" collapsed="false">
      <c r="A21" s="47" t="n">
        <v>10</v>
      </c>
      <c r="B21" s="67" t="n">
        <v>0.617</v>
      </c>
    </row>
    <row r="22" customFormat="false" ht="15" hidden="false" customHeight="false" outlineLevel="0" collapsed="false">
      <c r="A22" s="47" t="n">
        <v>12</v>
      </c>
      <c r="B22" s="67" t="n">
        <v>0.888</v>
      </c>
    </row>
    <row r="23" customFormat="false" ht="15" hidden="false" customHeight="false" outlineLevel="0" collapsed="false">
      <c r="A23" s="47" t="n">
        <v>14</v>
      </c>
      <c r="B23" s="67" t="n">
        <v>1.208</v>
      </c>
    </row>
    <row r="24" customFormat="false" ht="15" hidden="false" customHeight="false" outlineLevel="0" collapsed="false">
      <c r="A24" s="47" t="n">
        <v>16</v>
      </c>
      <c r="B24" s="67" t="n">
        <v>1.578</v>
      </c>
    </row>
    <row r="25" customFormat="false" ht="15" hidden="false" customHeight="false" outlineLevel="0" collapsed="false">
      <c r="A25" s="47" t="n">
        <v>18</v>
      </c>
      <c r="B25" s="67" t="n">
        <v>1.998</v>
      </c>
    </row>
    <row r="26" customFormat="false" ht="15" hidden="false" customHeight="false" outlineLevel="0" collapsed="false">
      <c r="A26" s="47" t="n">
        <v>20</v>
      </c>
      <c r="B26" s="67" t="n">
        <v>2.466</v>
      </c>
    </row>
    <row r="27" customFormat="false" ht="15" hidden="false" customHeight="false" outlineLevel="0" collapsed="false">
      <c r="A27" s="47" t="n">
        <v>22</v>
      </c>
      <c r="B27" s="67" t="n">
        <v>2.984</v>
      </c>
    </row>
    <row r="28" customFormat="false" ht="15" hidden="false" customHeight="false" outlineLevel="0" collapsed="false">
      <c r="A28" s="47" t="n">
        <v>25</v>
      </c>
      <c r="B28" s="67" t="n">
        <v>3.853</v>
      </c>
    </row>
    <row r="29" customFormat="false" ht="15" hidden="false" customHeight="false" outlineLevel="0" collapsed="false">
      <c r="A29" s="47" t="n">
        <v>28</v>
      </c>
      <c r="B29" s="67" t="n">
        <v>4.834</v>
      </c>
    </row>
    <row r="30" customFormat="false" ht="15" hidden="false" customHeight="false" outlineLevel="0" collapsed="false">
      <c r="A30" s="47" t="n">
        <v>32</v>
      </c>
      <c r="B30" s="67" t="n">
        <v>6.313</v>
      </c>
    </row>
    <row r="31" customFormat="false" ht="15" hidden="false" customHeight="false" outlineLevel="0" collapsed="false">
      <c r="A31" s="4" t="s">
        <v>275</v>
      </c>
      <c r="B31" s="68" t="n">
        <f aca="false">20*INDEX(Исходные!$B$18:$B$30,MATCH(5,Исходные!$A$18:$A$30,0))</f>
        <v>3.08</v>
      </c>
      <c r="C31" s="22" t="s">
        <v>276</v>
      </c>
    </row>
    <row r="33" customFormat="false" ht="15" hidden="false" customHeight="false" outlineLevel="0" collapsed="false">
      <c r="A33" s="69" t="s">
        <v>277</v>
      </c>
    </row>
    <row r="34" customFormat="false" ht="15" hidden="false" customHeight="true" outlineLevel="0" collapsed="false">
      <c r="A34" s="4" t="s">
        <v>278</v>
      </c>
      <c r="B34" s="20" t="s">
        <v>279</v>
      </c>
      <c r="C34" s="20"/>
      <c r="D34" s="20"/>
      <c r="E34" s="20"/>
      <c r="F34" s="20"/>
    </row>
    <row r="35" customFormat="false" ht="15" hidden="false" customHeight="true" outlineLevel="0" collapsed="false">
      <c r="A35" s="4" t="s">
        <v>280</v>
      </c>
      <c r="B35" s="20" t="s">
        <v>281</v>
      </c>
      <c r="C35" s="20"/>
      <c r="D35" s="20"/>
      <c r="E35" s="20"/>
      <c r="F35" s="20"/>
    </row>
    <row r="36" customFormat="false" ht="23.85" hidden="false" customHeight="true" outlineLevel="0" collapsed="false">
      <c r="A36" s="4" t="s">
        <v>282</v>
      </c>
      <c r="B36" s="20" t="s">
        <v>283</v>
      </c>
      <c r="C36" s="20"/>
      <c r="D36" s="20"/>
      <c r="E36" s="20"/>
      <c r="F36" s="20"/>
    </row>
    <row r="37" customFormat="false" ht="15" hidden="false" customHeight="true" outlineLevel="0" collapsed="false">
      <c r="A37" s="4" t="s">
        <v>284</v>
      </c>
      <c r="B37" s="20" t="s">
        <v>285</v>
      </c>
      <c r="C37" s="20"/>
      <c r="D37" s="20"/>
      <c r="E37" s="20"/>
      <c r="F37" s="20"/>
    </row>
    <row r="38" customFormat="false" ht="15" hidden="false" customHeight="true" outlineLevel="0" collapsed="false">
      <c r="A38" s="4" t="s">
        <v>286</v>
      </c>
      <c r="B38" s="20" t="s">
        <v>287</v>
      </c>
      <c r="C38" s="20"/>
      <c r="D38" s="20"/>
      <c r="E38" s="20"/>
      <c r="F38" s="20"/>
    </row>
    <row r="40" customFormat="false" ht="15" hidden="false" customHeight="false" outlineLevel="0" collapsed="false">
      <c r="A40" s="27" t="s">
        <v>288</v>
      </c>
    </row>
    <row r="41" customFormat="false" ht="15" hidden="false" customHeight="false" outlineLevel="0" collapsed="false">
      <c r="A41" s="5" t="s">
        <v>289</v>
      </c>
      <c r="B41" s="5" t="s">
        <v>290</v>
      </c>
      <c r="C41" s="5" t="s">
        <v>291</v>
      </c>
      <c r="D41" s="5" t="s">
        <v>292</v>
      </c>
    </row>
    <row r="42" customFormat="false" ht="15" hidden="false" customHeight="false" outlineLevel="0" collapsed="false">
      <c r="A42" s="70" t="n">
        <v>2</v>
      </c>
      <c r="B42" s="70" t="s">
        <v>293</v>
      </c>
      <c r="C42" s="20" t="s">
        <v>294</v>
      </c>
      <c r="D42" s="20" t="s">
        <v>295</v>
      </c>
    </row>
    <row r="43" customFormat="false" ht="23.85" hidden="false" customHeight="false" outlineLevel="0" collapsed="false">
      <c r="A43" s="70" t="s">
        <v>296</v>
      </c>
      <c r="B43" s="70" t="s">
        <v>297</v>
      </c>
      <c r="C43" s="20" t="s">
        <v>298</v>
      </c>
      <c r="D43" s="20" t="s">
        <v>299</v>
      </c>
    </row>
    <row r="44" customFormat="false" ht="23.85" hidden="false" customHeight="false" outlineLevel="0" collapsed="false">
      <c r="A44" s="70" t="n">
        <v>11</v>
      </c>
      <c r="B44" s="70" t="s">
        <v>300</v>
      </c>
      <c r="C44" s="20" t="s">
        <v>301</v>
      </c>
      <c r="D44" s="20" t="s">
        <v>302</v>
      </c>
    </row>
    <row r="45" customFormat="false" ht="23.85" hidden="false" customHeight="false" outlineLevel="0" collapsed="false">
      <c r="A45" s="70" t="s">
        <v>303</v>
      </c>
      <c r="B45" s="70" t="s">
        <v>304</v>
      </c>
      <c r="C45" s="20" t="s">
        <v>305</v>
      </c>
      <c r="D45" s="20" t="s">
        <v>306</v>
      </c>
    </row>
    <row r="46" customFormat="false" ht="15" hidden="false" customHeight="false" outlineLevel="0" collapsed="false">
      <c r="A46" s="70" t="n">
        <v>15</v>
      </c>
      <c r="B46" s="70" t="s">
        <v>307</v>
      </c>
      <c r="C46" s="20" t="s">
        <v>308</v>
      </c>
      <c r="D46" s="20" t="s">
        <v>309</v>
      </c>
    </row>
    <row r="47" customFormat="false" ht="15" hidden="false" customHeight="false" outlineLevel="0" collapsed="false">
      <c r="A47" s="70" t="n">
        <v>16</v>
      </c>
      <c r="B47" s="70" t="s">
        <v>310</v>
      </c>
      <c r="C47" s="20" t="s">
        <v>311</v>
      </c>
      <c r="D47" s="20" t="s">
        <v>312</v>
      </c>
    </row>
    <row r="48" customFormat="false" ht="23.85" hidden="false" customHeight="false" outlineLevel="0" collapsed="false">
      <c r="A48" s="70" t="s">
        <v>313</v>
      </c>
      <c r="B48" s="70" t="s">
        <v>314</v>
      </c>
      <c r="C48" s="20" t="s">
        <v>315</v>
      </c>
      <c r="D48" s="20" t="s">
        <v>316</v>
      </c>
    </row>
    <row r="49" customFormat="false" ht="15" hidden="false" customHeight="false" outlineLevel="0" collapsed="false">
      <c r="A49" s="70" t="n">
        <v>29</v>
      </c>
      <c r="B49" s="70" t="s">
        <v>317</v>
      </c>
      <c r="C49" s="20" t="s">
        <v>318</v>
      </c>
      <c r="D49" s="20" t="s">
        <v>319</v>
      </c>
    </row>
    <row r="50" customFormat="false" ht="23.85" hidden="false" customHeight="false" outlineLevel="0" collapsed="false">
      <c r="A50" s="70" t="n">
        <v>30</v>
      </c>
      <c r="B50" s="70" t="s">
        <v>320</v>
      </c>
      <c r="C50" s="20" t="s">
        <v>321</v>
      </c>
      <c r="D50" s="20" t="s">
        <v>322</v>
      </c>
    </row>
    <row r="51" customFormat="false" ht="23.85" hidden="false" customHeight="false" outlineLevel="0" collapsed="false">
      <c r="A51" s="70" t="n">
        <v>31</v>
      </c>
      <c r="B51" s="70" t="s">
        <v>323</v>
      </c>
      <c r="C51" s="20" t="s">
        <v>324</v>
      </c>
      <c r="D51" s="20" t="s">
        <v>325</v>
      </c>
    </row>
    <row r="52" customFormat="false" ht="15" hidden="false" customHeight="false" outlineLevel="0" collapsed="false">
      <c r="A52" s="70" t="n">
        <v>32</v>
      </c>
      <c r="B52" s="70" t="s">
        <v>326</v>
      </c>
      <c r="C52" s="20" t="s">
        <v>327</v>
      </c>
      <c r="D52" s="20" t="s">
        <v>328</v>
      </c>
    </row>
    <row r="53" customFormat="false" ht="15" hidden="false" customHeight="false" outlineLevel="0" collapsed="false">
      <c r="A53" s="70" t="s">
        <v>329</v>
      </c>
      <c r="B53" s="70" t="s">
        <v>330</v>
      </c>
      <c r="C53" s="20" t="s">
        <v>331</v>
      </c>
      <c r="D53" s="20" t="s">
        <v>332</v>
      </c>
    </row>
    <row r="54" customFormat="false" ht="23.85" hidden="false" customHeight="false" outlineLevel="0" collapsed="false">
      <c r="A54" s="70" t="s">
        <v>333</v>
      </c>
      <c r="B54" s="70" t="s">
        <v>334</v>
      </c>
      <c r="C54" s="20" t="s">
        <v>335</v>
      </c>
      <c r="D54" s="20" t="s">
        <v>336</v>
      </c>
    </row>
  </sheetData>
  <mergeCells count="12">
    <mergeCell ref="B3:F3"/>
    <mergeCell ref="B4:F4"/>
    <mergeCell ref="B5:F5"/>
    <mergeCell ref="B6:F6"/>
    <mergeCell ref="B7:F7"/>
    <mergeCell ref="B8:F8"/>
    <mergeCell ref="B9:F9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8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52"/>
    <col collapsed="false" customWidth="true" hidden="false" outlineLevel="0" max="8" min="8" style="0" width="5"/>
    <col collapsed="false" customWidth="true" hidden="false" outlineLevel="0" max="10" min="9" style="0" width="8"/>
    <col collapsed="false" customWidth="true" hidden="false" outlineLevel="0" max="13" min="11" style="0" width="9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40"/>
    <col collapsed="false" customWidth="true" hidden="false" outlineLevel="0" max="18" min="18" style="0" width="16"/>
    <col collapsed="false" customWidth="true" hidden="false" outlineLevel="0" max="19" min="19" style="0" width="48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13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52" t="s">
        <v>337</v>
      </c>
    </row>
    <row r="2" customFormat="false" ht="15" hidden="false" customHeight="false" outlineLevel="0" collapsed="false">
      <c r="A2" s="28" t="s">
        <v>338</v>
      </c>
    </row>
    <row r="4" customFormat="false" ht="45" hidden="false" customHeight="true" outlineLevel="0" collapsed="false">
      <c r="A4" s="5" t="s">
        <v>339</v>
      </c>
      <c r="B4" s="5" t="s">
        <v>340</v>
      </c>
      <c r="C4" s="5" t="s">
        <v>341</v>
      </c>
      <c r="D4" s="5" t="s">
        <v>342</v>
      </c>
      <c r="E4" s="5" t="s">
        <v>343</v>
      </c>
      <c r="F4" s="5" t="s">
        <v>344</v>
      </c>
      <c r="G4" s="5" t="s">
        <v>345</v>
      </c>
      <c r="H4" s="5" t="s">
        <v>346</v>
      </c>
      <c r="I4" s="5" t="s">
        <v>347</v>
      </c>
      <c r="J4" s="5" t="s">
        <v>348</v>
      </c>
      <c r="K4" s="5" t="s">
        <v>349</v>
      </c>
      <c r="L4" s="5" t="s">
        <v>350</v>
      </c>
      <c r="M4" s="5" t="s">
        <v>351</v>
      </c>
      <c r="N4" s="5" t="s">
        <v>352</v>
      </c>
      <c r="O4" s="5" t="s">
        <v>274</v>
      </c>
      <c r="P4" s="5" t="s">
        <v>353</v>
      </c>
      <c r="Q4" s="5" t="s">
        <v>354</v>
      </c>
      <c r="R4" s="5" t="s">
        <v>355</v>
      </c>
      <c r="S4" s="5" t="s">
        <v>356</v>
      </c>
      <c r="T4" s="5" t="s">
        <v>357</v>
      </c>
      <c r="U4" s="5" t="s">
        <v>358</v>
      </c>
      <c r="V4" s="5" t="s">
        <v>359</v>
      </c>
      <c r="W4" s="5" t="s">
        <v>360</v>
      </c>
    </row>
    <row r="5" customFormat="false" ht="15" hidden="false" customHeight="true" outlineLevel="0" collapsed="false">
      <c r="A5" s="71" t="s">
        <v>361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</row>
    <row r="6" customFormat="false" ht="15" hidden="false" customHeight="true" outlineLevel="0" collapsed="false">
      <c r="A6" s="72" t="s">
        <v>362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</row>
    <row r="7" customFormat="false" ht="23.85" hidden="false" customHeight="false" outlineLevel="0" collapsed="false">
      <c r="A7" s="70" t="n">
        <v>1</v>
      </c>
      <c r="B7" s="20" t="s">
        <v>363</v>
      </c>
      <c r="C7" s="20" t="s">
        <v>364</v>
      </c>
      <c r="D7" s="20" t="s">
        <v>365</v>
      </c>
      <c r="E7" s="20" t="s">
        <v>97</v>
      </c>
      <c r="F7" s="70" t="s">
        <v>366</v>
      </c>
      <c r="G7" s="20" t="s">
        <v>367</v>
      </c>
      <c r="H7" s="49" t="n">
        <v>32</v>
      </c>
      <c r="I7" s="70" t="s">
        <v>368</v>
      </c>
      <c r="J7" s="70" t="s">
        <v>369</v>
      </c>
      <c r="K7" s="73" t="n">
        <v>1</v>
      </c>
      <c r="L7" s="49" t="n">
        <v>4</v>
      </c>
      <c r="M7" s="67" t="n">
        <v>4</v>
      </c>
      <c r="N7" s="68" t="n">
        <f aca="false">K7*L7*M7</f>
        <v>16</v>
      </c>
      <c r="O7" s="34" t="n">
        <f aca="false">IFERROR(INDEX(Исходные!$B$18:$B$30,MATCH(H7,Исходные!$A$18:$A$30,0)),0)</f>
        <v>6.313</v>
      </c>
      <c r="P7" s="74" t="n">
        <f aca="false">N7*O7</f>
        <v>101.008</v>
      </c>
      <c r="Q7" s="20" t="s">
        <v>370</v>
      </c>
      <c r="R7" s="75" t="s">
        <v>371</v>
      </c>
      <c r="S7" s="20" t="s">
        <v>372</v>
      </c>
      <c r="T7" s="20" t="s">
        <v>9</v>
      </c>
      <c r="U7" s="47" t="n">
        <v>0</v>
      </c>
      <c r="V7" s="70" t="s">
        <v>97</v>
      </c>
      <c r="W7" s="47" t="n">
        <v>1</v>
      </c>
    </row>
    <row r="8" customFormat="false" ht="23.85" hidden="false" customHeight="false" outlineLevel="0" collapsed="false">
      <c r="A8" s="70" t="n">
        <v>2</v>
      </c>
      <c r="B8" s="20" t="s">
        <v>363</v>
      </c>
      <c r="C8" s="20" t="s">
        <v>364</v>
      </c>
      <c r="D8" s="20" t="s">
        <v>365</v>
      </c>
      <c r="E8" s="20" t="s">
        <v>97</v>
      </c>
      <c r="F8" s="70" t="s">
        <v>373</v>
      </c>
      <c r="G8" s="20" t="s">
        <v>374</v>
      </c>
      <c r="H8" s="49" t="n">
        <v>20</v>
      </c>
      <c r="I8" s="70" t="s">
        <v>368</v>
      </c>
      <c r="J8" s="70" t="s">
        <v>369</v>
      </c>
      <c r="K8" s="73" t="n">
        <v>1</v>
      </c>
      <c r="L8" s="49" t="n">
        <v>8</v>
      </c>
      <c r="M8" s="67" t="n">
        <v>4</v>
      </c>
      <c r="N8" s="68" t="n">
        <f aca="false">K8*L8*M8</f>
        <v>32</v>
      </c>
      <c r="O8" s="34" t="n">
        <f aca="false">IFERROR(INDEX(Исходные!$B$18:$B$30,MATCH(H8,Исходные!$A$18:$A$30,0)),0)</f>
        <v>2.466</v>
      </c>
      <c r="P8" s="74" t="n">
        <f aca="false">N8*O8</f>
        <v>78.912</v>
      </c>
      <c r="Q8" s="20" t="s">
        <v>370</v>
      </c>
      <c r="R8" s="75" t="s">
        <v>371</v>
      </c>
      <c r="S8" s="20" t="s">
        <v>375</v>
      </c>
      <c r="T8" s="20" t="s">
        <v>9</v>
      </c>
      <c r="U8" s="47" t="n">
        <v>0</v>
      </c>
      <c r="V8" s="70" t="s">
        <v>97</v>
      </c>
      <c r="W8" s="47" t="n">
        <v>1</v>
      </c>
    </row>
    <row r="9" customFormat="false" ht="35.05" hidden="false" customHeight="false" outlineLevel="0" collapsed="false">
      <c r="A9" s="70" t="n">
        <v>3</v>
      </c>
      <c r="B9" s="20" t="s">
        <v>363</v>
      </c>
      <c r="C9" s="20" t="s">
        <v>364</v>
      </c>
      <c r="D9" s="20" t="s">
        <v>365</v>
      </c>
      <c r="E9" s="20" t="s">
        <v>97</v>
      </c>
      <c r="F9" s="70" t="s">
        <v>376</v>
      </c>
      <c r="G9" s="20" t="s">
        <v>377</v>
      </c>
      <c r="H9" s="49" t="n">
        <v>28</v>
      </c>
      <c r="I9" s="70" t="s">
        <v>368</v>
      </c>
      <c r="J9" s="70" t="s">
        <v>369</v>
      </c>
      <c r="K9" s="73" t="n">
        <v>1</v>
      </c>
      <c r="L9" s="49" t="n">
        <v>22</v>
      </c>
      <c r="M9" s="67" t="n">
        <v>4</v>
      </c>
      <c r="N9" s="68" t="n">
        <f aca="false">K9*L9*M9</f>
        <v>88</v>
      </c>
      <c r="O9" s="34" t="n">
        <f aca="false">IFERROR(INDEX(Исходные!$B$18:$B$30,MATCH(H9,Исходные!$A$18:$A$30,0)),0)</f>
        <v>4.834</v>
      </c>
      <c r="P9" s="74" t="n">
        <f aca="false">N9*O9</f>
        <v>425.392</v>
      </c>
      <c r="Q9" s="20" t="s">
        <v>370</v>
      </c>
      <c r="R9" s="75" t="s">
        <v>371</v>
      </c>
      <c r="S9" s="20" t="s">
        <v>378</v>
      </c>
      <c r="T9" s="20" t="s">
        <v>9</v>
      </c>
      <c r="U9" s="47" t="n">
        <v>0</v>
      </c>
      <c r="V9" s="70" t="s">
        <v>97</v>
      </c>
      <c r="W9" s="47" t="n">
        <v>1</v>
      </c>
    </row>
    <row r="10" customFormat="false" ht="23.85" hidden="false" customHeight="false" outlineLevel="0" collapsed="false">
      <c r="A10" s="70" t="n">
        <v>4</v>
      </c>
      <c r="B10" s="20" t="s">
        <v>363</v>
      </c>
      <c r="C10" s="20" t="s">
        <v>364</v>
      </c>
      <c r="D10" s="20" t="s">
        <v>365</v>
      </c>
      <c r="E10" s="20" t="s">
        <v>97</v>
      </c>
      <c r="F10" s="70" t="s">
        <v>379</v>
      </c>
      <c r="G10" s="20" t="s">
        <v>380</v>
      </c>
      <c r="H10" s="49" t="n">
        <v>25</v>
      </c>
      <c r="I10" s="70" t="s">
        <v>368</v>
      </c>
      <c r="J10" s="70" t="s">
        <v>369</v>
      </c>
      <c r="K10" s="73" t="n">
        <v>1</v>
      </c>
      <c r="L10" s="49" t="n">
        <v>8</v>
      </c>
      <c r="M10" s="67" t="n">
        <v>4</v>
      </c>
      <c r="N10" s="68" t="n">
        <f aca="false">K10*L10*M10</f>
        <v>32</v>
      </c>
      <c r="O10" s="34" t="n">
        <f aca="false">IFERROR(INDEX(Исходные!$B$18:$B$30,MATCH(H10,Исходные!$A$18:$A$30,0)),0)</f>
        <v>3.853</v>
      </c>
      <c r="P10" s="74" t="n">
        <f aca="false">N10*O10</f>
        <v>123.296</v>
      </c>
      <c r="Q10" s="20" t="s">
        <v>370</v>
      </c>
      <c r="R10" s="75" t="s">
        <v>371</v>
      </c>
      <c r="S10" s="20" t="s">
        <v>381</v>
      </c>
      <c r="T10" s="20" t="s">
        <v>9</v>
      </c>
      <c r="U10" s="47" t="n">
        <v>0</v>
      </c>
      <c r="V10" s="70" t="s">
        <v>97</v>
      </c>
      <c r="W10" s="47" t="n">
        <v>1</v>
      </c>
    </row>
    <row r="11" customFormat="false" ht="23.85" hidden="false" customHeight="false" outlineLevel="0" collapsed="false">
      <c r="A11" s="70" t="n">
        <v>5</v>
      </c>
      <c r="B11" s="20" t="s">
        <v>363</v>
      </c>
      <c r="C11" s="20" t="s">
        <v>364</v>
      </c>
      <c r="D11" s="20" t="s">
        <v>365</v>
      </c>
      <c r="E11" s="20" t="s">
        <v>97</v>
      </c>
      <c r="F11" s="70" t="s">
        <v>376</v>
      </c>
      <c r="G11" s="20" t="s">
        <v>382</v>
      </c>
      <c r="H11" s="49" t="n">
        <v>28</v>
      </c>
      <c r="I11" s="70" t="s">
        <v>368</v>
      </c>
      <c r="J11" s="70" t="s">
        <v>369</v>
      </c>
      <c r="K11" s="73" t="n">
        <v>1</v>
      </c>
      <c r="L11" s="49" t="n">
        <v>10</v>
      </c>
      <c r="M11" s="67" t="n">
        <v>4</v>
      </c>
      <c r="N11" s="68" t="n">
        <f aca="false">K11*L11*M11</f>
        <v>40</v>
      </c>
      <c r="O11" s="34" t="n">
        <f aca="false">IFERROR(INDEX(Исходные!$B$18:$B$30,MATCH(H11,Исходные!$A$18:$A$30,0)),0)</f>
        <v>4.834</v>
      </c>
      <c r="P11" s="74" t="n">
        <f aca="false">N11*O11</f>
        <v>193.36</v>
      </c>
      <c r="Q11" s="20" t="s">
        <v>370</v>
      </c>
      <c r="R11" s="75" t="s">
        <v>371</v>
      </c>
      <c r="S11" s="20" t="s">
        <v>383</v>
      </c>
      <c r="T11" s="20" t="s">
        <v>9</v>
      </c>
      <c r="U11" s="47" t="n">
        <v>0</v>
      </c>
      <c r="V11" s="70" t="s">
        <v>97</v>
      </c>
      <c r="W11" s="47" t="n">
        <v>1</v>
      </c>
    </row>
    <row r="12" customFormat="false" ht="23.85" hidden="false" customHeight="false" outlineLevel="0" collapsed="false">
      <c r="A12" s="70" t="n">
        <v>6</v>
      </c>
      <c r="B12" s="20" t="s">
        <v>363</v>
      </c>
      <c r="C12" s="20" t="s">
        <v>364</v>
      </c>
      <c r="D12" s="20" t="s">
        <v>365</v>
      </c>
      <c r="E12" s="20" t="s">
        <v>97</v>
      </c>
      <c r="F12" s="70" t="s">
        <v>373</v>
      </c>
      <c r="G12" s="20" t="s">
        <v>384</v>
      </c>
      <c r="H12" s="49" t="n">
        <v>20</v>
      </c>
      <c r="I12" s="70" t="s">
        <v>368</v>
      </c>
      <c r="J12" s="70" t="s">
        <v>369</v>
      </c>
      <c r="K12" s="73" t="n">
        <v>1</v>
      </c>
      <c r="L12" s="49" t="n">
        <v>8</v>
      </c>
      <c r="M12" s="67" t="n">
        <v>4</v>
      </c>
      <c r="N12" s="68" t="n">
        <f aca="false">K12*L12*M12</f>
        <v>32</v>
      </c>
      <c r="O12" s="34" t="n">
        <f aca="false">IFERROR(INDEX(Исходные!$B$18:$B$30,MATCH(H12,Исходные!$A$18:$A$30,0)),0)</f>
        <v>2.466</v>
      </c>
      <c r="P12" s="74" t="n">
        <f aca="false">N12*O12</f>
        <v>78.912</v>
      </c>
      <c r="Q12" s="20" t="s">
        <v>370</v>
      </c>
      <c r="R12" s="75" t="s">
        <v>371</v>
      </c>
      <c r="S12" s="20" t="s">
        <v>385</v>
      </c>
      <c r="T12" s="20" t="s">
        <v>9</v>
      </c>
      <c r="U12" s="47" t="n">
        <v>0</v>
      </c>
      <c r="V12" s="70" t="s">
        <v>97</v>
      </c>
      <c r="W12" s="47" t="n">
        <v>1</v>
      </c>
    </row>
    <row r="13" customFormat="false" ht="23.85" hidden="false" customHeight="false" outlineLevel="0" collapsed="false">
      <c r="A13" s="70" t="n">
        <v>7</v>
      </c>
      <c r="B13" s="20" t="s">
        <v>363</v>
      </c>
      <c r="C13" s="20" t="s">
        <v>364</v>
      </c>
      <c r="D13" s="20" t="s">
        <v>365</v>
      </c>
      <c r="E13" s="20" t="s">
        <v>97</v>
      </c>
      <c r="F13" s="70" t="s">
        <v>386</v>
      </c>
      <c r="G13" s="20" t="s">
        <v>387</v>
      </c>
      <c r="H13" s="49" t="n">
        <v>18</v>
      </c>
      <c r="I13" s="70" t="s">
        <v>368</v>
      </c>
      <c r="J13" s="70" t="s">
        <v>369</v>
      </c>
      <c r="K13" s="73" t="n">
        <v>1</v>
      </c>
      <c r="L13" s="49" t="n">
        <v>9</v>
      </c>
      <c r="M13" s="67" t="n">
        <v>4.144</v>
      </c>
      <c r="N13" s="68" t="n">
        <f aca="false">K13*L13*M13</f>
        <v>37.296</v>
      </c>
      <c r="O13" s="34" t="n">
        <f aca="false">IFERROR(INDEX(Исходные!$B$18:$B$30,MATCH(H13,Исходные!$A$18:$A$30,0)),0)</f>
        <v>1.998</v>
      </c>
      <c r="P13" s="74" t="n">
        <f aca="false">N13*O13</f>
        <v>74.517408</v>
      </c>
      <c r="Q13" s="20" t="s">
        <v>370</v>
      </c>
      <c r="R13" s="75" t="s">
        <v>371</v>
      </c>
      <c r="S13" s="20" t="s">
        <v>388</v>
      </c>
      <c r="T13" s="20" t="s">
        <v>9</v>
      </c>
      <c r="U13" s="47" t="n">
        <v>0</v>
      </c>
      <c r="V13" s="70" t="s">
        <v>97</v>
      </c>
      <c r="W13" s="47" t="n">
        <v>1</v>
      </c>
    </row>
    <row r="14" customFormat="false" ht="23.85" hidden="false" customHeight="false" outlineLevel="0" collapsed="false">
      <c r="A14" s="70" t="n">
        <v>8</v>
      </c>
      <c r="B14" s="20" t="s">
        <v>363</v>
      </c>
      <c r="C14" s="20" t="s">
        <v>364</v>
      </c>
      <c r="D14" s="20" t="s">
        <v>365</v>
      </c>
      <c r="E14" s="20" t="s">
        <v>97</v>
      </c>
      <c r="F14" s="70" t="s">
        <v>389</v>
      </c>
      <c r="G14" s="20" t="s">
        <v>390</v>
      </c>
      <c r="H14" s="49" t="n">
        <v>18</v>
      </c>
      <c r="I14" s="70" t="s">
        <v>368</v>
      </c>
      <c r="J14" s="70" t="n">
        <v>200</v>
      </c>
      <c r="K14" s="73" t="n">
        <v>1</v>
      </c>
      <c r="L14" s="49" t="n">
        <v>36</v>
      </c>
      <c r="M14" s="67" t="n">
        <v>1.95</v>
      </c>
      <c r="N14" s="68" t="n">
        <f aca="false">K14*L14*M14</f>
        <v>70.2</v>
      </c>
      <c r="O14" s="34" t="n">
        <f aca="false">IFERROR(INDEX(Исходные!$B$18:$B$30,MATCH(H14,Исходные!$A$18:$A$30,0)),0)</f>
        <v>1.998</v>
      </c>
      <c r="P14" s="74" t="n">
        <f aca="false">N14*O14</f>
        <v>140.2596</v>
      </c>
      <c r="Q14" s="20" t="s">
        <v>391</v>
      </c>
      <c r="R14" s="76" t="s">
        <v>392</v>
      </c>
      <c r="S14" s="20" t="s">
        <v>393</v>
      </c>
      <c r="T14" s="20" t="s">
        <v>9</v>
      </c>
      <c r="U14" s="47" t="n">
        <v>1</v>
      </c>
      <c r="V14" s="70" t="s">
        <v>97</v>
      </c>
      <c r="W14" s="47" t="n">
        <v>1</v>
      </c>
    </row>
    <row r="15" customFormat="false" ht="23.85" hidden="false" customHeight="false" outlineLevel="0" collapsed="false">
      <c r="A15" s="70" t="n">
        <v>9</v>
      </c>
      <c r="B15" s="20" t="s">
        <v>363</v>
      </c>
      <c r="C15" s="20" t="s">
        <v>364</v>
      </c>
      <c r="D15" s="20" t="s">
        <v>365</v>
      </c>
      <c r="E15" s="20" t="s">
        <v>97</v>
      </c>
      <c r="F15" s="70" t="s">
        <v>389</v>
      </c>
      <c r="G15" s="20" t="s">
        <v>394</v>
      </c>
      <c r="H15" s="49" t="n">
        <v>16</v>
      </c>
      <c r="I15" s="70" t="s">
        <v>368</v>
      </c>
      <c r="J15" s="70" t="n">
        <v>200</v>
      </c>
      <c r="K15" s="73" t="n">
        <v>1</v>
      </c>
      <c r="L15" s="49" t="n">
        <v>36</v>
      </c>
      <c r="M15" s="67" t="n">
        <v>2.25</v>
      </c>
      <c r="N15" s="68" t="n">
        <f aca="false">K15*L15*M15</f>
        <v>81</v>
      </c>
      <c r="O15" s="34" t="n">
        <f aca="false">IFERROR(INDEX(Исходные!$B$18:$B$30,MATCH(H15,Исходные!$A$18:$A$30,0)),0)</f>
        <v>1.578</v>
      </c>
      <c r="P15" s="74" t="n">
        <f aca="false">N15*O15</f>
        <v>127.818</v>
      </c>
      <c r="Q15" s="20" t="s">
        <v>391</v>
      </c>
      <c r="R15" s="76" t="s">
        <v>392</v>
      </c>
      <c r="S15" s="20" t="s">
        <v>395</v>
      </c>
      <c r="T15" s="20" t="s">
        <v>9</v>
      </c>
      <c r="U15" s="47" t="n">
        <v>1</v>
      </c>
      <c r="V15" s="70" t="s">
        <v>97</v>
      </c>
      <c r="W15" s="47" t="n">
        <v>1</v>
      </c>
    </row>
    <row r="16" customFormat="false" ht="23.85" hidden="false" customHeight="false" outlineLevel="0" collapsed="false">
      <c r="A16" s="70" t="n">
        <v>10</v>
      </c>
      <c r="B16" s="20" t="s">
        <v>363</v>
      </c>
      <c r="C16" s="20" t="s">
        <v>364</v>
      </c>
      <c r="D16" s="20" t="s">
        <v>365</v>
      </c>
      <c r="E16" s="20" t="s">
        <v>97</v>
      </c>
      <c r="F16" s="70" t="s">
        <v>396</v>
      </c>
      <c r="G16" s="20" t="s">
        <v>397</v>
      </c>
      <c r="H16" s="49" t="n">
        <v>20</v>
      </c>
      <c r="I16" s="70" t="s">
        <v>368</v>
      </c>
      <c r="J16" s="70" t="n">
        <v>200</v>
      </c>
      <c r="K16" s="73" t="n">
        <v>1</v>
      </c>
      <c r="L16" s="49" t="n">
        <v>10</v>
      </c>
      <c r="M16" s="67" t="n">
        <v>1.95</v>
      </c>
      <c r="N16" s="68" t="n">
        <f aca="false">K16*L16*M16</f>
        <v>19.5</v>
      </c>
      <c r="O16" s="34" t="n">
        <f aca="false">IFERROR(INDEX(Исходные!$B$18:$B$30,MATCH(H16,Исходные!$A$18:$A$30,0)),0)</f>
        <v>2.466</v>
      </c>
      <c r="P16" s="74" t="n">
        <f aca="false">N16*O16</f>
        <v>48.087</v>
      </c>
      <c r="Q16" s="20" t="s">
        <v>398</v>
      </c>
      <c r="R16" s="75" t="s">
        <v>371</v>
      </c>
      <c r="S16" s="20"/>
      <c r="T16" s="20" t="s">
        <v>9</v>
      </c>
      <c r="U16" s="47" t="n">
        <v>0</v>
      </c>
      <c r="V16" s="70" t="s">
        <v>97</v>
      </c>
      <c r="W16" s="47" t="n">
        <v>1</v>
      </c>
    </row>
    <row r="17" customFormat="false" ht="23.85" hidden="false" customHeight="false" outlineLevel="0" collapsed="false">
      <c r="A17" s="70" t="n">
        <v>11</v>
      </c>
      <c r="B17" s="20" t="s">
        <v>363</v>
      </c>
      <c r="C17" s="20" t="s">
        <v>364</v>
      </c>
      <c r="D17" s="20" t="s">
        <v>365</v>
      </c>
      <c r="E17" s="20" t="s">
        <v>97</v>
      </c>
      <c r="F17" s="70" t="s">
        <v>396</v>
      </c>
      <c r="G17" s="20" t="s">
        <v>399</v>
      </c>
      <c r="H17" s="49" t="n">
        <v>20</v>
      </c>
      <c r="I17" s="70" t="s">
        <v>368</v>
      </c>
      <c r="J17" s="70" t="n">
        <v>200</v>
      </c>
      <c r="K17" s="73" t="n">
        <v>1</v>
      </c>
      <c r="L17" s="49" t="n">
        <v>6</v>
      </c>
      <c r="M17" s="67" t="n">
        <v>1.2</v>
      </c>
      <c r="N17" s="68" t="n">
        <f aca="false">K17*L17*M17</f>
        <v>7.2</v>
      </c>
      <c r="O17" s="34" t="n">
        <f aca="false">IFERROR(INDEX(Исходные!$B$18:$B$30,MATCH(H17,Исходные!$A$18:$A$30,0)),0)</f>
        <v>2.466</v>
      </c>
      <c r="P17" s="74" t="n">
        <f aca="false">N17*O17</f>
        <v>17.7552</v>
      </c>
      <c r="Q17" s="20" t="s">
        <v>398</v>
      </c>
      <c r="R17" s="75" t="s">
        <v>371</v>
      </c>
      <c r="S17" s="20"/>
      <c r="T17" s="20" t="s">
        <v>9</v>
      </c>
      <c r="U17" s="47" t="n">
        <v>0</v>
      </c>
      <c r="V17" s="70" t="s">
        <v>97</v>
      </c>
      <c r="W17" s="47" t="n">
        <v>1</v>
      </c>
    </row>
    <row r="18" customFormat="false" ht="23.85" hidden="false" customHeight="false" outlineLevel="0" collapsed="false">
      <c r="A18" s="70" t="n">
        <v>12</v>
      </c>
      <c r="B18" s="20" t="s">
        <v>363</v>
      </c>
      <c r="C18" s="20" t="s">
        <v>364</v>
      </c>
      <c r="D18" s="20" t="s">
        <v>365</v>
      </c>
      <c r="E18" s="20" t="s">
        <v>97</v>
      </c>
      <c r="F18" s="70" t="s">
        <v>396</v>
      </c>
      <c r="G18" s="20" t="s">
        <v>400</v>
      </c>
      <c r="H18" s="49" t="n">
        <v>10</v>
      </c>
      <c r="I18" s="70" t="s">
        <v>368</v>
      </c>
      <c r="J18" s="70" t="n">
        <v>200</v>
      </c>
      <c r="K18" s="73" t="n">
        <v>1</v>
      </c>
      <c r="L18" s="49" t="n">
        <v>4</v>
      </c>
      <c r="M18" s="67" t="n">
        <v>1.2</v>
      </c>
      <c r="N18" s="68" t="n">
        <f aca="false">K18*L18*M18</f>
        <v>4.8</v>
      </c>
      <c r="O18" s="34" t="n">
        <f aca="false">IFERROR(INDEX(Исходные!$B$18:$B$30,MATCH(H18,Исходные!$A$18:$A$30,0)),0)</f>
        <v>0.617</v>
      </c>
      <c r="P18" s="74" t="n">
        <f aca="false">N18*O18</f>
        <v>2.9616</v>
      </c>
      <c r="Q18" s="20" t="s">
        <v>398</v>
      </c>
      <c r="R18" s="75" t="s">
        <v>371</v>
      </c>
      <c r="S18" s="20"/>
      <c r="T18" s="20" t="s">
        <v>9</v>
      </c>
      <c r="U18" s="47" t="n">
        <v>0</v>
      </c>
      <c r="V18" s="70" t="s">
        <v>97</v>
      </c>
      <c r="W18" s="47" t="n">
        <v>1</v>
      </c>
    </row>
    <row r="19" customFormat="false" ht="23.85" hidden="false" customHeight="false" outlineLevel="0" collapsed="false">
      <c r="A19" s="70" t="n">
        <v>13</v>
      </c>
      <c r="B19" s="20" t="s">
        <v>363</v>
      </c>
      <c r="C19" s="20" t="s">
        <v>364</v>
      </c>
      <c r="D19" s="20" t="s">
        <v>365</v>
      </c>
      <c r="E19" s="20" t="s">
        <v>97</v>
      </c>
      <c r="F19" s="70" t="s">
        <v>401</v>
      </c>
      <c r="G19" s="20" t="s">
        <v>402</v>
      </c>
      <c r="H19" s="49" t="n">
        <v>10</v>
      </c>
      <c r="I19" s="70" t="s">
        <v>403</v>
      </c>
      <c r="J19" s="70" t="s">
        <v>404</v>
      </c>
      <c r="K19" s="73" t="n">
        <v>1</v>
      </c>
      <c r="L19" s="49" t="n">
        <v>54</v>
      </c>
      <c r="M19" s="67" t="n">
        <v>1.33</v>
      </c>
      <c r="N19" s="68" t="n">
        <f aca="false">K19*L19*M19</f>
        <v>71.82</v>
      </c>
      <c r="O19" s="34" t="n">
        <f aca="false">IFERROR(INDEX(Исходные!$B$18:$B$30,MATCH(H19,Исходные!$A$18:$A$30,0)),0)</f>
        <v>0.617</v>
      </c>
      <c r="P19" s="74" t="n">
        <f aca="false">N19*O19</f>
        <v>44.31294</v>
      </c>
      <c r="Q19" s="20" t="s">
        <v>405</v>
      </c>
      <c r="R19" s="75" t="s">
        <v>371</v>
      </c>
      <c r="S19" s="20"/>
      <c r="T19" s="20" t="s">
        <v>9</v>
      </c>
      <c r="U19" s="47" t="n">
        <v>0</v>
      </c>
      <c r="V19" s="70" t="s">
        <v>97</v>
      </c>
      <c r="W19" s="47" t="n">
        <v>1</v>
      </c>
    </row>
    <row r="20" customFormat="false" ht="23.85" hidden="false" customHeight="false" outlineLevel="0" collapsed="false">
      <c r="A20" s="70" t="n">
        <v>14</v>
      </c>
      <c r="B20" s="20" t="s">
        <v>363</v>
      </c>
      <c r="C20" s="20" t="s">
        <v>364</v>
      </c>
      <c r="D20" s="20" t="s">
        <v>365</v>
      </c>
      <c r="E20" s="20" t="s">
        <v>97</v>
      </c>
      <c r="F20" s="70" t="s">
        <v>406</v>
      </c>
      <c r="G20" s="20" t="s">
        <v>407</v>
      </c>
      <c r="H20" s="49" t="n">
        <v>10</v>
      </c>
      <c r="I20" s="70" t="s">
        <v>403</v>
      </c>
      <c r="J20" s="70" t="s">
        <v>404</v>
      </c>
      <c r="K20" s="73" t="n">
        <v>1</v>
      </c>
      <c r="L20" s="49" t="n">
        <v>36</v>
      </c>
      <c r="M20" s="67" t="n">
        <v>1.56</v>
      </c>
      <c r="N20" s="68" t="n">
        <f aca="false">K20*L20*M20</f>
        <v>56.16</v>
      </c>
      <c r="O20" s="34" t="n">
        <f aca="false">IFERROR(INDEX(Исходные!$B$18:$B$30,MATCH(H20,Исходные!$A$18:$A$30,0)),0)</f>
        <v>0.617</v>
      </c>
      <c r="P20" s="74" t="n">
        <f aca="false">N20*O20</f>
        <v>34.65072</v>
      </c>
      <c r="Q20" s="20" t="s">
        <v>408</v>
      </c>
      <c r="R20" s="75" t="s">
        <v>371</v>
      </c>
      <c r="S20" s="20"/>
      <c r="T20" s="20" t="s">
        <v>9</v>
      </c>
      <c r="U20" s="47" t="n">
        <v>0</v>
      </c>
      <c r="V20" s="70" t="s">
        <v>97</v>
      </c>
      <c r="W20" s="47" t="n">
        <v>1</v>
      </c>
    </row>
    <row r="21" customFormat="false" ht="23.85" hidden="false" customHeight="false" outlineLevel="0" collapsed="false">
      <c r="A21" s="70" t="n">
        <v>15</v>
      </c>
      <c r="B21" s="20" t="s">
        <v>363</v>
      </c>
      <c r="C21" s="20" t="s">
        <v>364</v>
      </c>
      <c r="D21" s="20" t="s">
        <v>365</v>
      </c>
      <c r="E21" s="20" t="s">
        <v>97</v>
      </c>
      <c r="F21" s="70" t="s">
        <v>409</v>
      </c>
      <c r="G21" s="20" t="s">
        <v>410</v>
      </c>
      <c r="H21" s="49" t="n">
        <v>10</v>
      </c>
      <c r="I21" s="70" t="s">
        <v>403</v>
      </c>
      <c r="J21" s="70" t="s">
        <v>404</v>
      </c>
      <c r="K21" s="73" t="n">
        <v>1</v>
      </c>
      <c r="L21" s="49" t="n">
        <v>18</v>
      </c>
      <c r="M21" s="67" t="n">
        <v>1.76</v>
      </c>
      <c r="N21" s="68" t="n">
        <f aca="false">K21*L21*M21</f>
        <v>31.68</v>
      </c>
      <c r="O21" s="34" t="n">
        <f aca="false">IFERROR(INDEX(Исходные!$B$18:$B$30,MATCH(H21,Исходные!$A$18:$A$30,0)),0)</f>
        <v>0.617</v>
      </c>
      <c r="P21" s="74" t="n">
        <f aca="false">N21*O21</f>
        <v>19.54656</v>
      </c>
      <c r="Q21" s="20" t="s">
        <v>411</v>
      </c>
      <c r="R21" s="75" t="s">
        <v>371</v>
      </c>
      <c r="S21" s="20"/>
      <c r="T21" s="20" t="s">
        <v>9</v>
      </c>
      <c r="U21" s="47" t="n">
        <v>0</v>
      </c>
      <c r="V21" s="70" t="s">
        <v>97</v>
      </c>
      <c r="W21" s="47" t="n">
        <v>1</v>
      </c>
    </row>
    <row r="22" customFormat="false" ht="23.85" hidden="false" customHeight="false" outlineLevel="0" collapsed="false">
      <c r="A22" s="70" t="n">
        <v>16</v>
      </c>
      <c r="B22" s="20" t="s">
        <v>363</v>
      </c>
      <c r="C22" s="20" t="s">
        <v>364</v>
      </c>
      <c r="D22" s="20" t="s">
        <v>365</v>
      </c>
      <c r="E22" s="20" t="s">
        <v>97</v>
      </c>
      <c r="F22" s="70" t="s">
        <v>412</v>
      </c>
      <c r="G22" s="20" t="s">
        <v>413</v>
      </c>
      <c r="H22" s="49" t="n">
        <v>8</v>
      </c>
      <c r="I22" s="70" t="s">
        <v>403</v>
      </c>
      <c r="J22" s="70" t="s">
        <v>404</v>
      </c>
      <c r="K22" s="73" t="n">
        <v>1</v>
      </c>
      <c r="L22" s="49" t="n">
        <v>30</v>
      </c>
      <c r="M22" s="67" t="n">
        <v>2.44</v>
      </c>
      <c r="N22" s="68" t="n">
        <f aca="false">K22*L22*M22</f>
        <v>73.2</v>
      </c>
      <c r="O22" s="34" t="n">
        <f aca="false">IFERROR(INDEX(Исходные!$B$18:$B$30,MATCH(H22,Исходные!$A$18:$A$30,0)),0)</f>
        <v>0.395</v>
      </c>
      <c r="P22" s="74" t="n">
        <f aca="false">N22*O22</f>
        <v>28.914</v>
      </c>
      <c r="Q22" s="20" t="s">
        <v>414</v>
      </c>
      <c r="R22" s="75" t="s">
        <v>371</v>
      </c>
      <c r="S22" s="20"/>
      <c r="T22" s="20" t="s">
        <v>9</v>
      </c>
      <c r="U22" s="47" t="n">
        <v>0</v>
      </c>
      <c r="V22" s="70" t="s">
        <v>97</v>
      </c>
      <c r="W22" s="47" t="n">
        <v>1</v>
      </c>
    </row>
    <row r="23" customFormat="false" ht="23.85" hidden="false" customHeight="false" outlineLevel="0" collapsed="false">
      <c r="A23" s="70" t="n">
        <v>17</v>
      </c>
      <c r="B23" s="20" t="s">
        <v>363</v>
      </c>
      <c r="C23" s="20" t="s">
        <v>364</v>
      </c>
      <c r="D23" s="20" t="s">
        <v>365</v>
      </c>
      <c r="E23" s="20" t="s">
        <v>97</v>
      </c>
      <c r="F23" s="70" t="s">
        <v>415</v>
      </c>
      <c r="G23" s="20" t="s">
        <v>416</v>
      </c>
      <c r="H23" s="49" t="n">
        <v>8</v>
      </c>
      <c r="I23" s="70" t="s">
        <v>403</v>
      </c>
      <c r="J23" s="70" t="s">
        <v>404</v>
      </c>
      <c r="K23" s="73" t="n">
        <v>1</v>
      </c>
      <c r="L23" s="49" t="n">
        <v>36</v>
      </c>
      <c r="M23" s="67" t="n">
        <v>1.96</v>
      </c>
      <c r="N23" s="68" t="n">
        <f aca="false">K23*L23*M23</f>
        <v>70.56</v>
      </c>
      <c r="O23" s="34" t="n">
        <f aca="false">IFERROR(INDEX(Исходные!$B$18:$B$30,MATCH(H23,Исходные!$A$18:$A$30,0)),0)</f>
        <v>0.395</v>
      </c>
      <c r="P23" s="74" t="n">
        <f aca="false">N23*O23</f>
        <v>27.8712</v>
      </c>
      <c r="Q23" s="20" t="s">
        <v>417</v>
      </c>
      <c r="R23" s="75" t="s">
        <v>371</v>
      </c>
      <c r="S23" s="20"/>
      <c r="T23" s="20" t="s">
        <v>9</v>
      </c>
      <c r="U23" s="47" t="n">
        <v>0</v>
      </c>
      <c r="V23" s="70" t="s">
        <v>97</v>
      </c>
      <c r="W23" s="47" t="n">
        <v>1</v>
      </c>
    </row>
    <row r="24" customFormat="false" ht="23.85" hidden="false" customHeight="false" outlineLevel="0" collapsed="false">
      <c r="A24" s="70" t="n">
        <v>18</v>
      </c>
      <c r="B24" s="20" t="s">
        <v>363</v>
      </c>
      <c r="C24" s="20" t="s">
        <v>364</v>
      </c>
      <c r="D24" s="20" t="s">
        <v>365</v>
      </c>
      <c r="E24" s="20" t="s">
        <v>97</v>
      </c>
      <c r="F24" s="70" t="s">
        <v>418</v>
      </c>
      <c r="G24" s="20" t="s">
        <v>419</v>
      </c>
      <c r="H24" s="49" t="n">
        <v>8</v>
      </c>
      <c r="I24" s="70" t="s">
        <v>403</v>
      </c>
      <c r="J24" s="70" t="s">
        <v>404</v>
      </c>
      <c r="K24" s="73" t="n">
        <v>1</v>
      </c>
      <c r="L24" s="49" t="n">
        <v>90</v>
      </c>
      <c r="M24" s="67" t="n">
        <v>0.53</v>
      </c>
      <c r="N24" s="68" t="n">
        <f aca="false">K24*L24*M24</f>
        <v>47.7</v>
      </c>
      <c r="O24" s="34" t="n">
        <f aca="false">IFERROR(INDEX(Исходные!$B$18:$B$30,MATCH(H24,Исходные!$A$18:$A$30,0)),0)</f>
        <v>0.395</v>
      </c>
      <c r="P24" s="74" t="n">
        <f aca="false">N24*O24</f>
        <v>18.8415</v>
      </c>
      <c r="Q24" s="20" t="s">
        <v>420</v>
      </c>
      <c r="R24" s="75" t="s">
        <v>371</v>
      </c>
      <c r="S24" s="20"/>
      <c r="T24" s="20" t="s">
        <v>9</v>
      </c>
      <c r="U24" s="47" t="n">
        <v>0</v>
      </c>
      <c r="V24" s="70" t="s">
        <v>97</v>
      </c>
      <c r="W24" s="47" t="n">
        <v>1</v>
      </c>
    </row>
    <row r="25" customFormat="false" ht="23.85" hidden="false" customHeight="false" outlineLevel="0" collapsed="false">
      <c r="A25" s="70" t="n">
        <v>19</v>
      </c>
      <c r="B25" s="20" t="s">
        <v>363</v>
      </c>
      <c r="C25" s="20" t="s">
        <v>364</v>
      </c>
      <c r="D25" s="20" t="s">
        <v>421</v>
      </c>
      <c r="E25" s="20" t="s">
        <v>98</v>
      </c>
      <c r="F25" s="70" t="s">
        <v>366</v>
      </c>
      <c r="G25" s="20" t="s">
        <v>367</v>
      </c>
      <c r="H25" s="49" t="n">
        <v>32</v>
      </c>
      <c r="I25" s="70" t="s">
        <v>368</v>
      </c>
      <c r="J25" s="70" t="s">
        <v>369</v>
      </c>
      <c r="K25" s="73" t="n">
        <v>1</v>
      </c>
      <c r="L25" s="49" t="n">
        <v>4</v>
      </c>
      <c r="M25" s="67" t="n">
        <v>4</v>
      </c>
      <c r="N25" s="68" t="n">
        <f aca="false">K25*L25*M25</f>
        <v>16</v>
      </c>
      <c r="O25" s="34" t="n">
        <f aca="false">IFERROR(INDEX(Исходные!$B$18:$B$30,MATCH(H25,Исходные!$A$18:$A$30,0)),0)</f>
        <v>6.313</v>
      </c>
      <c r="P25" s="74" t="n">
        <f aca="false">N25*O25</f>
        <v>101.008</v>
      </c>
      <c r="Q25" s="20" t="s">
        <v>422</v>
      </c>
      <c r="R25" s="75" t="s">
        <v>371</v>
      </c>
      <c r="S25" s="20" t="s">
        <v>372</v>
      </c>
      <c r="T25" s="20" t="s">
        <v>9</v>
      </c>
      <c r="U25" s="47" t="n">
        <v>0</v>
      </c>
      <c r="V25" s="70" t="s">
        <v>98</v>
      </c>
      <c r="W25" s="47" t="n">
        <v>1</v>
      </c>
    </row>
    <row r="26" customFormat="false" ht="23.85" hidden="false" customHeight="false" outlineLevel="0" collapsed="false">
      <c r="A26" s="70" t="n">
        <v>20</v>
      </c>
      <c r="B26" s="20" t="s">
        <v>363</v>
      </c>
      <c r="C26" s="20" t="s">
        <v>364</v>
      </c>
      <c r="D26" s="20" t="s">
        <v>421</v>
      </c>
      <c r="E26" s="20" t="s">
        <v>98</v>
      </c>
      <c r="F26" s="70" t="s">
        <v>379</v>
      </c>
      <c r="G26" s="20" t="s">
        <v>423</v>
      </c>
      <c r="H26" s="49" t="n">
        <v>25</v>
      </c>
      <c r="I26" s="70" t="s">
        <v>368</v>
      </c>
      <c r="J26" s="70" t="s">
        <v>369</v>
      </c>
      <c r="K26" s="73" t="n">
        <v>1</v>
      </c>
      <c r="L26" s="49" t="n">
        <v>4</v>
      </c>
      <c r="M26" s="67" t="n">
        <v>4</v>
      </c>
      <c r="N26" s="68" t="n">
        <f aca="false">K26*L26*M26</f>
        <v>16</v>
      </c>
      <c r="O26" s="34" t="n">
        <f aca="false">IFERROR(INDEX(Исходные!$B$18:$B$30,MATCH(H26,Исходные!$A$18:$A$30,0)),0)</f>
        <v>3.853</v>
      </c>
      <c r="P26" s="74" t="n">
        <f aca="false">N26*O26</f>
        <v>61.648</v>
      </c>
      <c r="Q26" s="20" t="s">
        <v>422</v>
      </c>
      <c r="R26" s="75" t="s">
        <v>371</v>
      </c>
      <c r="S26" s="20" t="s">
        <v>424</v>
      </c>
      <c r="T26" s="20" t="s">
        <v>9</v>
      </c>
      <c r="U26" s="47" t="n">
        <v>0</v>
      </c>
      <c r="V26" s="70" t="s">
        <v>98</v>
      </c>
      <c r="W26" s="47" t="n">
        <v>1</v>
      </c>
    </row>
    <row r="27" customFormat="false" ht="23.85" hidden="false" customHeight="false" outlineLevel="0" collapsed="false">
      <c r="A27" s="70" t="n">
        <v>21</v>
      </c>
      <c r="B27" s="20" t="s">
        <v>363</v>
      </c>
      <c r="C27" s="20" t="s">
        <v>364</v>
      </c>
      <c r="D27" s="20" t="s">
        <v>421</v>
      </c>
      <c r="E27" s="20" t="s">
        <v>98</v>
      </c>
      <c r="F27" s="70" t="s">
        <v>373</v>
      </c>
      <c r="G27" s="20" t="s">
        <v>425</v>
      </c>
      <c r="H27" s="49" t="n">
        <v>20</v>
      </c>
      <c r="I27" s="70" t="s">
        <v>368</v>
      </c>
      <c r="J27" s="70" t="s">
        <v>369</v>
      </c>
      <c r="K27" s="73" t="n">
        <v>1</v>
      </c>
      <c r="L27" s="49" t="n">
        <v>4</v>
      </c>
      <c r="M27" s="67" t="n">
        <v>4</v>
      </c>
      <c r="N27" s="68" t="n">
        <f aca="false">K27*L27*M27</f>
        <v>16</v>
      </c>
      <c r="O27" s="34" t="n">
        <f aca="false">IFERROR(INDEX(Исходные!$B$18:$B$30,MATCH(H27,Исходные!$A$18:$A$30,0)),0)</f>
        <v>2.466</v>
      </c>
      <c r="P27" s="74" t="n">
        <f aca="false">N27*O27</f>
        <v>39.456</v>
      </c>
      <c r="Q27" s="20" t="s">
        <v>422</v>
      </c>
      <c r="R27" s="75" t="s">
        <v>371</v>
      </c>
      <c r="S27" s="20" t="s">
        <v>426</v>
      </c>
      <c r="T27" s="20" t="s">
        <v>9</v>
      </c>
      <c r="U27" s="47" t="n">
        <v>0</v>
      </c>
      <c r="V27" s="70" t="s">
        <v>98</v>
      </c>
      <c r="W27" s="47" t="n">
        <v>1</v>
      </c>
    </row>
    <row r="28" customFormat="false" ht="23.85" hidden="false" customHeight="false" outlineLevel="0" collapsed="false">
      <c r="A28" s="70" t="n">
        <v>22</v>
      </c>
      <c r="B28" s="20" t="s">
        <v>363</v>
      </c>
      <c r="C28" s="20" t="s">
        <v>364</v>
      </c>
      <c r="D28" s="20" t="s">
        <v>421</v>
      </c>
      <c r="E28" s="20" t="s">
        <v>98</v>
      </c>
      <c r="F28" s="70" t="s">
        <v>376</v>
      </c>
      <c r="G28" s="20" t="s">
        <v>427</v>
      </c>
      <c r="H28" s="49" t="n">
        <v>28</v>
      </c>
      <c r="I28" s="70" t="s">
        <v>368</v>
      </c>
      <c r="J28" s="70" t="s">
        <v>369</v>
      </c>
      <c r="K28" s="73" t="n">
        <v>1</v>
      </c>
      <c r="L28" s="49" t="n">
        <v>11</v>
      </c>
      <c r="M28" s="67" t="n">
        <v>4</v>
      </c>
      <c r="N28" s="68" t="n">
        <f aca="false">K28*L28*M28</f>
        <v>44</v>
      </c>
      <c r="O28" s="34" t="n">
        <f aca="false">IFERROR(INDEX(Исходные!$B$18:$B$30,MATCH(H28,Исходные!$A$18:$A$30,0)),0)</f>
        <v>4.834</v>
      </c>
      <c r="P28" s="74" t="n">
        <f aca="false">N28*O28</f>
        <v>212.696</v>
      </c>
      <c r="Q28" s="20" t="s">
        <v>422</v>
      </c>
      <c r="R28" s="75" t="s">
        <v>371</v>
      </c>
      <c r="S28" s="20" t="s">
        <v>428</v>
      </c>
      <c r="T28" s="20" t="s">
        <v>9</v>
      </c>
      <c r="U28" s="47" t="n">
        <v>0</v>
      </c>
      <c r="V28" s="70" t="s">
        <v>98</v>
      </c>
      <c r="W28" s="47" t="n">
        <v>1</v>
      </c>
    </row>
    <row r="29" customFormat="false" ht="23.85" hidden="false" customHeight="false" outlineLevel="0" collapsed="false">
      <c r="A29" s="70" t="n">
        <v>23</v>
      </c>
      <c r="B29" s="20" t="s">
        <v>363</v>
      </c>
      <c r="C29" s="20" t="s">
        <v>364</v>
      </c>
      <c r="D29" s="20" t="s">
        <v>421</v>
      </c>
      <c r="E29" s="20" t="s">
        <v>98</v>
      </c>
      <c r="F29" s="70" t="s">
        <v>379</v>
      </c>
      <c r="G29" s="20" t="s">
        <v>429</v>
      </c>
      <c r="H29" s="49" t="n">
        <v>25</v>
      </c>
      <c r="I29" s="70" t="s">
        <v>368</v>
      </c>
      <c r="J29" s="70" t="s">
        <v>369</v>
      </c>
      <c r="K29" s="73" t="n">
        <v>1</v>
      </c>
      <c r="L29" s="49" t="n">
        <v>4</v>
      </c>
      <c r="M29" s="67" t="n">
        <v>4</v>
      </c>
      <c r="N29" s="68" t="n">
        <f aca="false">K29*L29*M29</f>
        <v>16</v>
      </c>
      <c r="O29" s="34" t="n">
        <f aca="false">IFERROR(INDEX(Исходные!$B$18:$B$30,MATCH(H29,Исходные!$A$18:$A$30,0)),0)</f>
        <v>3.853</v>
      </c>
      <c r="P29" s="74" t="n">
        <f aca="false">N29*O29</f>
        <v>61.648</v>
      </c>
      <c r="Q29" s="20" t="s">
        <v>422</v>
      </c>
      <c r="R29" s="75" t="s">
        <v>371</v>
      </c>
      <c r="S29" s="20" t="s">
        <v>430</v>
      </c>
      <c r="T29" s="20" t="s">
        <v>9</v>
      </c>
      <c r="U29" s="47" t="n">
        <v>0</v>
      </c>
      <c r="V29" s="70" t="s">
        <v>98</v>
      </c>
      <c r="W29" s="47" t="n">
        <v>1</v>
      </c>
    </row>
    <row r="30" customFormat="false" ht="23.85" hidden="false" customHeight="false" outlineLevel="0" collapsed="false">
      <c r="A30" s="70" t="n">
        <v>24</v>
      </c>
      <c r="B30" s="20" t="s">
        <v>363</v>
      </c>
      <c r="C30" s="20" t="s">
        <v>364</v>
      </c>
      <c r="D30" s="20" t="s">
        <v>421</v>
      </c>
      <c r="E30" s="20" t="s">
        <v>98</v>
      </c>
      <c r="F30" s="70" t="s">
        <v>376</v>
      </c>
      <c r="G30" s="20" t="s">
        <v>431</v>
      </c>
      <c r="H30" s="49" t="n">
        <v>28</v>
      </c>
      <c r="I30" s="70" t="s">
        <v>368</v>
      </c>
      <c r="J30" s="70" t="s">
        <v>369</v>
      </c>
      <c r="K30" s="73" t="n">
        <v>1</v>
      </c>
      <c r="L30" s="49" t="n">
        <v>11</v>
      </c>
      <c r="M30" s="67" t="n">
        <v>4</v>
      </c>
      <c r="N30" s="68" t="n">
        <f aca="false">K30*L30*M30</f>
        <v>44</v>
      </c>
      <c r="O30" s="34" t="n">
        <f aca="false">IFERROR(INDEX(Исходные!$B$18:$B$30,MATCH(H30,Исходные!$A$18:$A$30,0)),0)</f>
        <v>4.834</v>
      </c>
      <c r="P30" s="74" t="n">
        <f aca="false">N30*O30</f>
        <v>212.696</v>
      </c>
      <c r="Q30" s="20" t="s">
        <v>422</v>
      </c>
      <c r="R30" s="75" t="s">
        <v>371</v>
      </c>
      <c r="S30" s="20" t="s">
        <v>428</v>
      </c>
      <c r="T30" s="20" t="s">
        <v>9</v>
      </c>
      <c r="U30" s="47" t="n">
        <v>0</v>
      </c>
      <c r="V30" s="70" t="s">
        <v>98</v>
      </c>
      <c r="W30" s="47" t="n">
        <v>1</v>
      </c>
    </row>
    <row r="31" customFormat="false" ht="23.85" hidden="false" customHeight="false" outlineLevel="0" collapsed="false">
      <c r="A31" s="70" t="n">
        <v>25</v>
      </c>
      <c r="B31" s="20" t="s">
        <v>363</v>
      </c>
      <c r="C31" s="20" t="s">
        <v>364</v>
      </c>
      <c r="D31" s="20" t="s">
        <v>421</v>
      </c>
      <c r="E31" s="20" t="s">
        <v>98</v>
      </c>
      <c r="F31" s="70" t="s">
        <v>432</v>
      </c>
      <c r="G31" s="20" t="s">
        <v>384</v>
      </c>
      <c r="H31" s="49" t="n">
        <v>22</v>
      </c>
      <c r="I31" s="70" t="s">
        <v>368</v>
      </c>
      <c r="J31" s="70" t="s">
        <v>369</v>
      </c>
      <c r="K31" s="73" t="n">
        <v>1</v>
      </c>
      <c r="L31" s="49" t="n">
        <v>16</v>
      </c>
      <c r="M31" s="67" t="n">
        <v>4</v>
      </c>
      <c r="N31" s="68" t="n">
        <f aca="false">K31*L31*M31</f>
        <v>64</v>
      </c>
      <c r="O31" s="34" t="n">
        <f aca="false">IFERROR(INDEX(Исходные!$B$18:$B$30,MATCH(H31,Исходные!$A$18:$A$30,0)),0)</f>
        <v>2.984</v>
      </c>
      <c r="P31" s="74" t="n">
        <f aca="false">N31*O31</f>
        <v>190.976</v>
      </c>
      <c r="Q31" s="20" t="s">
        <v>422</v>
      </c>
      <c r="R31" s="75" t="s">
        <v>371</v>
      </c>
      <c r="S31" s="20" t="s">
        <v>433</v>
      </c>
      <c r="T31" s="20" t="s">
        <v>9</v>
      </c>
      <c r="U31" s="47" t="n">
        <v>0</v>
      </c>
      <c r="V31" s="70" t="s">
        <v>98</v>
      </c>
      <c r="W31" s="47" t="n">
        <v>1</v>
      </c>
    </row>
    <row r="32" customFormat="false" ht="23.85" hidden="false" customHeight="false" outlineLevel="0" collapsed="false">
      <c r="A32" s="70" t="n">
        <v>26</v>
      </c>
      <c r="B32" s="20" t="s">
        <v>363</v>
      </c>
      <c r="C32" s="20" t="s">
        <v>364</v>
      </c>
      <c r="D32" s="20" t="s">
        <v>421</v>
      </c>
      <c r="E32" s="20" t="s">
        <v>98</v>
      </c>
      <c r="F32" s="70" t="s">
        <v>389</v>
      </c>
      <c r="G32" s="20" t="s">
        <v>434</v>
      </c>
      <c r="H32" s="49" t="n">
        <v>16</v>
      </c>
      <c r="I32" s="70" t="s">
        <v>368</v>
      </c>
      <c r="J32" s="70" t="n">
        <v>200</v>
      </c>
      <c r="K32" s="73" t="n">
        <v>1</v>
      </c>
      <c r="L32" s="49" t="n">
        <v>36</v>
      </c>
      <c r="M32" s="67" t="n">
        <v>1.25</v>
      </c>
      <c r="N32" s="68" t="n">
        <f aca="false">K32*L32*M32</f>
        <v>45</v>
      </c>
      <c r="O32" s="34" t="n">
        <f aca="false">IFERROR(INDEX(Исходные!$B$18:$B$30,MATCH(H32,Исходные!$A$18:$A$30,0)),0)</f>
        <v>1.578</v>
      </c>
      <c r="P32" s="74" t="n">
        <f aca="false">N32*O32</f>
        <v>71.01</v>
      </c>
      <c r="Q32" s="20" t="s">
        <v>435</v>
      </c>
      <c r="R32" s="76" t="s">
        <v>392</v>
      </c>
      <c r="S32" s="20" t="s">
        <v>436</v>
      </c>
      <c r="T32" s="20" t="s">
        <v>9</v>
      </c>
      <c r="U32" s="47" t="n">
        <v>1</v>
      </c>
      <c r="V32" s="70" t="s">
        <v>98</v>
      </c>
      <c r="W32" s="47" t="n">
        <v>1</v>
      </c>
    </row>
    <row r="33" customFormat="false" ht="23.85" hidden="false" customHeight="false" outlineLevel="0" collapsed="false">
      <c r="A33" s="70" t="n">
        <v>27</v>
      </c>
      <c r="B33" s="20" t="s">
        <v>363</v>
      </c>
      <c r="C33" s="20" t="s">
        <v>364</v>
      </c>
      <c r="D33" s="20" t="s">
        <v>421</v>
      </c>
      <c r="E33" s="20" t="s">
        <v>98</v>
      </c>
      <c r="F33" s="70" t="s">
        <v>389</v>
      </c>
      <c r="G33" s="20" t="s">
        <v>437</v>
      </c>
      <c r="H33" s="49" t="n">
        <v>16</v>
      </c>
      <c r="I33" s="70" t="s">
        <v>368</v>
      </c>
      <c r="J33" s="70" t="n">
        <v>200</v>
      </c>
      <c r="K33" s="73" t="n">
        <v>1</v>
      </c>
      <c r="L33" s="49" t="n">
        <v>36</v>
      </c>
      <c r="M33" s="67" t="n">
        <v>2.25</v>
      </c>
      <c r="N33" s="68" t="n">
        <f aca="false">K33*L33*M33</f>
        <v>81</v>
      </c>
      <c r="O33" s="34" t="n">
        <f aca="false">IFERROR(INDEX(Исходные!$B$18:$B$30,MATCH(H33,Исходные!$A$18:$A$30,0)),0)</f>
        <v>1.578</v>
      </c>
      <c r="P33" s="74" t="n">
        <f aca="false">N33*O33</f>
        <v>127.818</v>
      </c>
      <c r="Q33" s="20" t="s">
        <v>435</v>
      </c>
      <c r="R33" s="76" t="s">
        <v>392</v>
      </c>
      <c r="S33" s="20"/>
      <c r="T33" s="20" t="s">
        <v>9</v>
      </c>
      <c r="U33" s="47" t="n">
        <v>1</v>
      </c>
      <c r="V33" s="70" t="s">
        <v>98</v>
      </c>
      <c r="W33" s="47" t="n">
        <v>1</v>
      </c>
    </row>
    <row r="34" customFormat="false" ht="23.85" hidden="false" customHeight="false" outlineLevel="0" collapsed="false">
      <c r="A34" s="70" t="n">
        <v>28</v>
      </c>
      <c r="B34" s="20" t="s">
        <v>363</v>
      </c>
      <c r="C34" s="20" t="s">
        <v>364</v>
      </c>
      <c r="D34" s="20" t="s">
        <v>421</v>
      </c>
      <c r="E34" s="20" t="s">
        <v>98</v>
      </c>
      <c r="F34" s="70" t="s">
        <v>396</v>
      </c>
      <c r="G34" s="20" t="s">
        <v>438</v>
      </c>
      <c r="H34" s="49" t="n">
        <v>20</v>
      </c>
      <c r="I34" s="70" t="s">
        <v>368</v>
      </c>
      <c r="J34" s="70" t="n">
        <v>200</v>
      </c>
      <c r="K34" s="73" t="n">
        <v>1</v>
      </c>
      <c r="L34" s="49" t="n">
        <v>10</v>
      </c>
      <c r="M34" s="67" t="n">
        <v>1.2</v>
      </c>
      <c r="N34" s="68" t="n">
        <f aca="false">K34*L34*M34</f>
        <v>12</v>
      </c>
      <c r="O34" s="34" t="n">
        <f aca="false">IFERROR(INDEX(Исходные!$B$18:$B$30,MATCH(H34,Исходные!$A$18:$A$30,0)),0)</f>
        <v>2.466</v>
      </c>
      <c r="P34" s="74" t="n">
        <f aca="false">N34*O34</f>
        <v>29.592</v>
      </c>
      <c r="Q34" s="20" t="s">
        <v>439</v>
      </c>
      <c r="R34" s="75" t="s">
        <v>371</v>
      </c>
      <c r="S34" s="20"/>
      <c r="T34" s="20" t="s">
        <v>9</v>
      </c>
      <c r="U34" s="47" t="n">
        <v>0</v>
      </c>
      <c r="V34" s="70" t="s">
        <v>98</v>
      </c>
      <c r="W34" s="47" t="n">
        <v>1</v>
      </c>
    </row>
    <row r="35" customFormat="false" ht="23.85" hidden="false" customHeight="false" outlineLevel="0" collapsed="false">
      <c r="A35" s="70" t="n">
        <v>29</v>
      </c>
      <c r="B35" s="20" t="s">
        <v>363</v>
      </c>
      <c r="C35" s="20" t="s">
        <v>364</v>
      </c>
      <c r="D35" s="20" t="s">
        <v>421</v>
      </c>
      <c r="E35" s="20" t="s">
        <v>98</v>
      </c>
      <c r="F35" s="70" t="s">
        <v>401</v>
      </c>
      <c r="G35" s="20" t="s">
        <v>440</v>
      </c>
      <c r="H35" s="49" t="n">
        <v>10</v>
      </c>
      <c r="I35" s="70" t="s">
        <v>403</v>
      </c>
      <c r="J35" s="70" t="s">
        <v>404</v>
      </c>
      <c r="K35" s="73" t="n">
        <v>1</v>
      </c>
      <c r="L35" s="49" t="n">
        <v>36</v>
      </c>
      <c r="M35" s="67" t="n">
        <v>1.33</v>
      </c>
      <c r="N35" s="68" t="n">
        <f aca="false">K35*L35*M35</f>
        <v>47.88</v>
      </c>
      <c r="O35" s="34" t="n">
        <f aca="false">IFERROR(INDEX(Исходные!$B$18:$B$30,MATCH(H35,Исходные!$A$18:$A$30,0)),0)</f>
        <v>0.617</v>
      </c>
      <c r="P35" s="74" t="n">
        <f aca="false">N35*O35</f>
        <v>29.54196</v>
      </c>
      <c r="Q35" s="20" t="s">
        <v>405</v>
      </c>
      <c r="R35" s="75" t="s">
        <v>371</v>
      </c>
      <c r="S35" s="20"/>
      <c r="T35" s="20" t="s">
        <v>9</v>
      </c>
      <c r="U35" s="47" t="n">
        <v>0</v>
      </c>
      <c r="V35" s="70" t="s">
        <v>98</v>
      </c>
      <c r="W35" s="47" t="n">
        <v>1</v>
      </c>
    </row>
    <row r="36" customFormat="false" ht="23.85" hidden="false" customHeight="false" outlineLevel="0" collapsed="false">
      <c r="A36" s="70" t="n">
        <v>30</v>
      </c>
      <c r="B36" s="20" t="s">
        <v>363</v>
      </c>
      <c r="C36" s="20" t="s">
        <v>364</v>
      </c>
      <c r="D36" s="20" t="s">
        <v>421</v>
      </c>
      <c r="E36" s="20" t="s">
        <v>98</v>
      </c>
      <c r="F36" s="70" t="s">
        <v>406</v>
      </c>
      <c r="G36" s="20" t="s">
        <v>441</v>
      </c>
      <c r="H36" s="49" t="n">
        <v>10</v>
      </c>
      <c r="I36" s="70" t="s">
        <v>403</v>
      </c>
      <c r="J36" s="70" t="s">
        <v>404</v>
      </c>
      <c r="K36" s="73" t="n">
        <v>1</v>
      </c>
      <c r="L36" s="49" t="n">
        <v>18</v>
      </c>
      <c r="M36" s="67" t="n">
        <v>1.56</v>
      </c>
      <c r="N36" s="68" t="n">
        <f aca="false">K36*L36*M36</f>
        <v>28.08</v>
      </c>
      <c r="O36" s="34" t="n">
        <f aca="false">IFERROR(INDEX(Исходные!$B$18:$B$30,MATCH(H36,Исходные!$A$18:$A$30,0)),0)</f>
        <v>0.617</v>
      </c>
      <c r="P36" s="74" t="n">
        <f aca="false">N36*O36</f>
        <v>17.32536</v>
      </c>
      <c r="Q36" s="20" t="s">
        <v>408</v>
      </c>
      <c r="R36" s="75" t="s">
        <v>371</v>
      </c>
      <c r="S36" s="20"/>
      <c r="T36" s="20" t="s">
        <v>9</v>
      </c>
      <c r="U36" s="47" t="n">
        <v>0</v>
      </c>
      <c r="V36" s="70" t="s">
        <v>98</v>
      </c>
      <c r="W36" s="47" t="n">
        <v>1</v>
      </c>
    </row>
    <row r="37" customFormat="false" ht="23.85" hidden="false" customHeight="false" outlineLevel="0" collapsed="false">
      <c r="A37" s="70" t="n">
        <v>31</v>
      </c>
      <c r="B37" s="20" t="s">
        <v>363</v>
      </c>
      <c r="C37" s="20" t="s">
        <v>364</v>
      </c>
      <c r="D37" s="20" t="s">
        <v>421</v>
      </c>
      <c r="E37" s="20" t="s">
        <v>98</v>
      </c>
      <c r="F37" s="70" t="s">
        <v>409</v>
      </c>
      <c r="G37" s="20" t="s">
        <v>410</v>
      </c>
      <c r="H37" s="49" t="n">
        <v>10</v>
      </c>
      <c r="I37" s="70" t="s">
        <v>403</v>
      </c>
      <c r="J37" s="70" t="s">
        <v>404</v>
      </c>
      <c r="K37" s="73" t="n">
        <v>1</v>
      </c>
      <c r="L37" s="49" t="n">
        <v>18</v>
      </c>
      <c r="M37" s="67" t="n">
        <v>1.76</v>
      </c>
      <c r="N37" s="68" t="n">
        <f aca="false">K37*L37*M37</f>
        <v>31.68</v>
      </c>
      <c r="O37" s="34" t="n">
        <f aca="false">IFERROR(INDEX(Исходные!$B$18:$B$30,MATCH(H37,Исходные!$A$18:$A$30,0)),0)</f>
        <v>0.617</v>
      </c>
      <c r="P37" s="74" t="n">
        <f aca="false">N37*O37</f>
        <v>19.54656</v>
      </c>
      <c r="Q37" s="20" t="s">
        <v>411</v>
      </c>
      <c r="R37" s="75" t="s">
        <v>371</v>
      </c>
      <c r="S37" s="20"/>
      <c r="T37" s="20" t="s">
        <v>9</v>
      </c>
      <c r="U37" s="47" t="n">
        <v>0</v>
      </c>
      <c r="V37" s="70" t="s">
        <v>98</v>
      </c>
      <c r="W37" s="47" t="n">
        <v>1</v>
      </c>
    </row>
    <row r="38" customFormat="false" ht="23.85" hidden="false" customHeight="false" outlineLevel="0" collapsed="false">
      <c r="A38" s="70" t="n">
        <v>32</v>
      </c>
      <c r="B38" s="20" t="s">
        <v>363</v>
      </c>
      <c r="C38" s="20" t="s">
        <v>364</v>
      </c>
      <c r="D38" s="20" t="s">
        <v>421</v>
      </c>
      <c r="E38" s="20" t="s">
        <v>98</v>
      </c>
      <c r="F38" s="70" t="s">
        <v>412</v>
      </c>
      <c r="G38" s="20" t="s">
        <v>413</v>
      </c>
      <c r="H38" s="49" t="n">
        <v>8</v>
      </c>
      <c r="I38" s="70" t="s">
        <v>403</v>
      </c>
      <c r="J38" s="70" t="s">
        <v>404</v>
      </c>
      <c r="K38" s="73" t="n">
        <v>1</v>
      </c>
      <c r="L38" s="49" t="n">
        <v>30</v>
      </c>
      <c r="M38" s="67" t="n">
        <v>2.44</v>
      </c>
      <c r="N38" s="68" t="n">
        <f aca="false">K38*L38*M38</f>
        <v>73.2</v>
      </c>
      <c r="O38" s="34" t="n">
        <f aca="false">IFERROR(INDEX(Исходные!$B$18:$B$30,MATCH(H38,Исходные!$A$18:$A$30,0)),0)</f>
        <v>0.395</v>
      </c>
      <c r="P38" s="74" t="n">
        <f aca="false">N38*O38</f>
        <v>28.914</v>
      </c>
      <c r="Q38" s="20" t="s">
        <v>414</v>
      </c>
      <c r="R38" s="75" t="s">
        <v>371</v>
      </c>
      <c r="S38" s="20"/>
      <c r="T38" s="20" t="s">
        <v>9</v>
      </c>
      <c r="U38" s="47" t="n">
        <v>0</v>
      </c>
      <c r="V38" s="70" t="s">
        <v>98</v>
      </c>
      <c r="W38" s="47" t="n">
        <v>1</v>
      </c>
    </row>
    <row r="39" customFormat="false" ht="23.85" hidden="false" customHeight="false" outlineLevel="0" collapsed="false">
      <c r="A39" s="70" t="n">
        <v>33</v>
      </c>
      <c r="B39" s="20" t="s">
        <v>363</v>
      </c>
      <c r="C39" s="20" t="s">
        <v>364</v>
      </c>
      <c r="D39" s="20" t="s">
        <v>421</v>
      </c>
      <c r="E39" s="20" t="s">
        <v>98</v>
      </c>
      <c r="F39" s="70" t="s">
        <v>415</v>
      </c>
      <c r="G39" s="20" t="s">
        <v>416</v>
      </c>
      <c r="H39" s="49" t="n">
        <v>8</v>
      </c>
      <c r="I39" s="70" t="s">
        <v>403</v>
      </c>
      <c r="J39" s="70" t="s">
        <v>404</v>
      </c>
      <c r="K39" s="73" t="n">
        <v>1</v>
      </c>
      <c r="L39" s="49" t="n">
        <v>36</v>
      </c>
      <c r="M39" s="67" t="n">
        <v>1.96</v>
      </c>
      <c r="N39" s="68" t="n">
        <f aca="false">K39*L39*M39</f>
        <v>70.56</v>
      </c>
      <c r="O39" s="34" t="n">
        <f aca="false">IFERROR(INDEX(Исходные!$B$18:$B$30,MATCH(H39,Исходные!$A$18:$A$30,0)),0)</f>
        <v>0.395</v>
      </c>
      <c r="P39" s="74" t="n">
        <f aca="false">N39*O39</f>
        <v>27.8712</v>
      </c>
      <c r="Q39" s="20" t="s">
        <v>417</v>
      </c>
      <c r="R39" s="75" t="s">
        <v>371</v>
      </c>
      <c r="S39" s="20"/>
      <c r="T39" s="20" t="s">
        <v>9</v>
      </c>
      <c r="U39" s="47" t="n">
        <v>0</v>
      </c>
      <c r="V39" s="70" t="s">
        <v>98</v>
      </c>
      <c r="W39" s="47" t="n">
        <v>1</v>
      </c>
    </row>
    <row r="40" customFormat="false" ht="23.85" hidden="false" customHeight="false" outlineLevel="0" collapsed="false">
      <c r="A40" s="70" t="n">
        <v>34</v>
      </c>
      <c r="B40" s="20" t="s">
        <v>363</v>
      </c>
      <c r="C40" s="20" t="s">
        <v>364</v>
      </c>
      <c r="D40" s="20" t="s">
        <v>421</v>
      </c>
      <c r="E40" s="20" t="s">
        <v>98</v>
      </c>
      <c r="F40" s="70" t="s">
        <v>418</v>
      </c>
      <c r="G40" s="20" t="s">
        <v>442</v>
      </c>
      <c r="H40" s="49" t="n">
        <v>8</v>
      </c>
      <c r="I40" s="70" t="s">
        <v>403</v>
      </c>
      <c r="J40" s="70" t="s">
        <v>404</v>
      </c>
      <c r="K40" s="73" t="n">
        <v>1</v>
      </c>
      <c r="L40" s="49" t="n">
        <v>63</v>
      </c>
      <c r="M40" s="67" t="n">
        <v>0.53</v>
      </c>
      <c r="N40" s="68" t="n">
        <f aca="false">K40*L40*M40</f>
        <v>33.39</v>
      </c>
      <c r="O40" s="34" t="n">
        <f aca="false">IFERROR(INDEX(Исходные!$B$18:$B$30,MATCH(H40,Исходные!$A$18:$A$30,0)),0)</f>
        <v>0.395</v>
      </c>
      <c r="P40" s="74" t="n">
        <f aca="false">N40*O40</f>
        <v>13.18905</v>
      </c>
      <c r="Q40" s="20" t="s">
        <v>420</v>
      </c>
      <c r="R40" s="75" t="s">
        <v>371</v>
      </c>
      <c r="S40" s="20"/>
      <c r="T40" s="20" t="s">
        <v>9</v>
      </c>
      <c r="U40" s="47" t="n">
        <v>0</v>
      </c>
      <c r="V40" s="70" t="s">
        <v>98</v>
      </c>
      <c r="W40" s="47" t="n">
        <v>1</v>
      </c>
    </row>
    <row r="41" customFormat="false" ht="23.85" hidden="false" customHeight="false" outlineLevel="0" collapsed="false">
      <c r="A41" s="70" t="n">
        <v>35</v>
      </c>
      <c r="B41" s="20" t="s">
        <v>363</v>
      </c>
      <c r="C41" s="20" t="s">
        <v>364</v>
      </c>
      <c r="D41" s="20" t="s">
        <v>443</v>
      </c>
      <c r="E41" s="20" t="s">
        <v>103</v>
      </c>
      <c r="F41" s="70" t="s">
        <v>366</v>
      </c>
      <c r="G41" s="20" t="s">
        <v>367</v>
      </c>
      <c r="H41" s="49" t="n">
        <v>32</v>
      </c>
      <c r="I41" s="70" t="s">
        <v>368</v>
      </c>
      <c r="J41" s="70" t="s">
        <v>369</v>
      </c>
      <c r="K41" s="73" t="n">
        <v>1</v>
      </c>
      <c r="L41" s="49" t="n">
        <v>4</v>
      </c>
      <c r="M41" s="67" t="n">
        <v>4</v>
      </c>
      <c r="N41" s="68" t="n">
        <f aca="false">K41*L41*M41</f>
        <v>16</v>
      </c>
      <c r="O41" s="34" t="n">
        <f aca="false">IFERROR(INDEX(Исходные!$B$18:$B$30,MATCH(H41,Исходные!$A$18:$A$30,0)),0)</f>
        <v>6.313</v>
      </c>
      <c r="P41" s="74" t="n">
        <f aca="false">N41*O41</f>
        <v>101.008</v>
      </c>
      <c r="Q41" s="20" t="s">
        <v>444</v>
      </c>
      <c r="R41" s="75" t="s">
        <v>371</v>
      </c>
      <c r="S41" s="20" t="s">
        <v>445</v>
      </c>
      <c r="T41" s="20" t="s">
        <v>9</v>
      </c>
      <c r="U41" s="47" t="n">
        <v>0</v>
      </c>
      <c r="V41" s="70" t="s">
        <v>103</v>
      </c>
      <c r="W41" s="47" t="n">
        <v>1</v>
      </c>
    </row>
    <row r="42" customFormat="false" ht="23.85" hidden="false" customHeight="false" outlineLevel="0" collapsed="false">
      <c r="A42" s="70" t="n">
        <v>36</v>
      </c>
      <c r="B42" s="20" t="s">
        <v>363</v>
      </c>
      <c r="C42" s="20" t="s">
        <v>364</v>
      </c>
      <c r="D42" s="20" t="s">
        <v>443</v>
      </c>
      <c r="E42" s="20" t="s">
        <v>103</v>
      </c>
      <c r="F42" s="70" t="s">
        <v>373</v>
      </c>
      <c r="G42" s="20" t="s">
        <v>374</v>
      </c>
      <c r="H42" s="49" t="n">
        <v>20</v>
      </c>
      <c r="I42" s="70" t="s">
        <v>368</v>
      </c>
      <c r="J42" s="70" t="s">
        <v>369</v>
      </c>
      <c r="K42" s="73" t="n">
        <v>1</v>
      </c>
      <c r="L42" s="49" t="n">
        <v>8</v>
      </c>
      <c r="M42" s="67" t="n">
        <v>4</v>
      </c>
      <c r="N42" s="68" t="n">
        <f aca="false">K42*L42*M42</f>
        <v>32</v>
      </c>
      <c r="O42" s="34" t="n">
        <f aca="false">IFERROR(INDEX(Исходные!$B$18:$B$30,MATCH(H42,Исходные!$A$18:$A$30,0)),0)</f>
        <v>2.466</v>
      </c>
      <c r="P42" s="74" t="n">
        <f aca="false">N42*O42</f>
        <v>78.912</v>
      </c>
      <c r="Q42" s="20" t="s">
        <v>444</v>
      </c>
      <c r="R42" s="75" t="s">
        <v>371</v>
      </c>
      <c r="S42" s="20" t="s">
        <v>375</v>
      </c>
      <c r="T42" s="20" t="s">
        <v>9</v>
      </c>
      <c r="U42" s="47" t="n">
        <v>0</v>
      </c>
      <c r="V42" s="70" t="s">
        <v>103</v>
      </c>
      <c r="W42" s="47" t="n">
        <v>1</v>
      </c>
    </row>
    <row r="43" customFormat="false" ht="23.85" hidden="false" customHeight="false" outlineLevel="0" collapsed="false">
      <c r="A43" s="70" t="n">
        <v>37</v>
      </c>
      <c r="B43" s="20" t="s">
        <v>363</v>
      </c>
      <c r="C43" s="20" t="s">
        <v>364</v>
      </c>
      <c r="D43" s="20" t="s">
        <v>443</v>
      </c>
      <c r="E43" s="20" t="s">
        <v>103</v>
      </c>
      <c r="F43" s="70" t="s">
        <v>376</v>
      </c>
      <c r="G43" s="20" t="s">
        <v>377</v>
      </c>
      <c r="H43" s="49" t="n">
        <v>28</v>
      </c>
      <c r="I43" s="70" t="s">
        <v>368</v>
      </c>
      <c r="J43" s="70" t="s">
        <v>369</v>
      </c>
      <c r="K43" s="73" t="n">
        <v>1</v>
      </c>
      <c r="L43" s="49" t="n">
        <v>22</v>
      </c>
      <c r="M43" s="67" t="n">
        <v>4</v>
      </c>
      <c r="N43" s="68" t="n">
        <f aca="false">K43*L43*M43</f>
        <v>88</v>
      </c>
      <c r="O43" s="34" t="n">
        <f aca="false">IFERROR(INDEX(Исходные!$B$18:$B$30,MATCH(H43,Исходные!$A$18:$A$30,0)),0)</f>
        <v>4.834</v>
      </c>
      <c r="P43" s="74" t="n">
        <f aca="false">N43*O43</f>
        <v>425.392</v>
      </c>
      <c r="Q43" s="20" t="s">
        <v>444</v>
      </c>
      <c r="R43" s="75" t="s">
        <v>371</v>
      </c>
      <c r="S43" s="20" t="s">
        <v>446</v>
      </c>
      <c r="T43" s="20" t="s">
        <v>9</v>
      </c>
      <c r="U43" s="47" t="n">
        <v>0</v>
      </c>
      <c r="V43" s="70" t="s">
        <v>103</v>
      </c>
      <c r="W43" s="47" t="n">
        <v>1</v>
      </c>
    </row>
    <row r="44" customFormat="false" ht="23.85" hidden="false" customHeight="false" outlineLevel="0" collapsed="false">
      <c r="A44" s="70" t="n">
        <v>38</v>
      </c>
      <c r="B44" s="20" t="s">
        <v>363</v>
      </c>
      <c r="C44" s="20" t="s">
        <v>364</v>
      </c>
      <c r="D44" s="20" t="s">
        <v>443</v>
      </c>
      <c r="E44" s="20" t="s">
        <v>103</v>
      </c>
      <c r="F44" s="70" t="s">
        <v>432</v>
      </c>
      <c r="G44" s="20" t="s">
        <v>380</v>
      </c>
      <c r="H44" s="49" t="n">
        <v>22</v>
      </c>
      <c r="I44" s="70" t="s">
        <v>368</v>
      </c>
      <c r="J44" s="70" t="s">
        <v>369</v>
      </c>
      <c r="K44" s="73" t="n">
        <v>1</v>
      </c>
      <c r="L44" s="49" t="n">
        <v>8</v>
      </c>
      <c r="M44" s="67" t="n">
        <v>4</v>
      </c>
      <c r="N44" s="68" t="n">
        <f aca="false">K44*L44*M44</f>
        <v>32</v>
      </c>
      <c r="O44" s="34" t="n">
        <f aca="false">IFERROR(INDEX(Исходные!$B$18:$B$30,MATCH(H44,Исходные!$A$18:$A$30,0)),0)</f>
        <v>2.984</v>
      </c>
      <c r="P44" s="74" t="n">
        <f aca="false">N44*O44</f>
        <v>95.488</v>
      </c>
      <c r="Q44" s="20" t="s">
        <v>444</v>
      </c>
      <c r="R44" s="75" t="s">
        <v>371</v>
      </c>
      <c r="S44" s="20" t="s">
        <v>447</v>
      </c>
      <c r="T44" s="20" t="s">
        <v>9</v>
      </c>
      <c r="U44" s="47" t="n">
        <v>0</v>
      </c>
      <c r="V44" s="70" t="s">
        <v>103</v>
      </c>
      <c r="W44" s="47" t="n">
        <v>1</v>
      </c>
    </row>
    <row r="45" customFormat="false" ht="23.85" hidden="false" customHeight="false" outlineLevel="0" collapsed="false">
      <c r="A45" s="70" t="n">
        <v>39</v>
      </c>
      <c r="B45" s="20" t="s">
        <v>363</v>
      </c>
      <c r="C45" s="20" t="s">
        <v>364</v>
      </c>
      <c r="D45" s="20" t="s">
        <v>443</v>
      </c>
      <c r="E45" s="20" t="s">
        <v>103</v>
      </c>
      <c r="F45" s="70" t="s">
        <v>432</v>
      </c>
      <c r="G45" s="20" t="s">
        <v>384</v>
      </c>
      <c r="H45" s="49" t="n">
        <v>22</v>
      </c>
      <c r="I45" s="70" t="s">
        <v>368</v>
      </c>
      <c r="J45" s="70" t="s">
        <v>369</v>
      </c>
      <c r="K45" s="73" t="n">
        <v>1</v>
      </c>
      <c r="L45" s="49" t="n">
        <v>6</v>
      </c>
      <c r="M45" s="67" t="n">
        <v>4</v>
      </c>
      <c r="N45" s="68" t="n">
        <f aca="false">K45*L45*M45</f>
        <v>24</v>
      </c>
      <c r="O45" s="34" t="n">
        <f aca="false">IFERROR(INDEX(Исходные!$B$18:$B$30,MATCH(H45,Исходные!$A$18:$A$30,0)),0)</f>
        <v>2.984</v>
      </c>
      <c r="P45" s="74" t="n">
        <f aca="false">N45*O45</f>
        <v>71.616</v>
      </c>
      <c r="Q45" s="20" t="s">
        <v>444</v>
      </c>
      <c r="R45" s="75" t="s">
        <v>371</v>
      </c>
      <c r="S45" s="20" t="s">
        <v>448</v>
      </c>
      <c r="T45" s="20" t="s">
        <v>9</v>
      </c>
      <c r="U45" s="47" t="n">
        <v>0</v>
      </c>
      <c r="V45" s="70" t="s">
        <v>103</v>
      </c>
      <c r="W45" s="47" t="n">
        <v>1</v>
      </c>
    </row>
    <row r="46" customFormat="false" ht="23.85" hidden="false" customHeight="false" outlineLevel="0" collapsed="false">
      <c r="A46" s="70" t="n">
        <v>40</v>
      </c>
      <c r="B46" s="20" t="s">
        <v>363</v>
      </c>
      <c r="C46" s="20" t="s">
        <v>364</v>
      </c>
      <c r="D46" s="20" t="s">
        <v>443</v>
      </c>
      <c r="E46" s="20" t="s">
        <v>103</v>
      </c>
      <c r="F46" s="70" t="s">
        <v>379</v>
      </c>
      <c r="G46" s="20" t="s">
        <v>431</v>
      </c>
      <c r="H46" s="49" t="n">
        <v>25</v>
      </c>
      <c r="I46" s="70" t="s">
        <v>368</v>
      </c>
      <c r="J46" s="70" t="s">
        <v>369</v>
      </c>
      <c r="K46" s="73" t="n">
        <v>1</v>
      </c>
      <c r="L46" s="49" t="n">
        <v>10</v>
      </c>
      <c r="M46" s="67" t="n">
        <v>4</v>
      </c>
      <c r="N46" s="68" t="n">
        <f aca="false">K46*L46*M46</f>
        <v>40</v>
      </c>
      <c r="O46" s="34" t="n">
        <f aca="false">IFERROR(INDEX(Исходные!$B$18:$B$30,MATCH(H46,Исходные!$A$18:$A$30,0)),0)</f>
        <v>3.853</v>
      </c>
      <c r="P46" s="74" t="n">
        <f aca="false">N46*O46</f>
        <v>154.12</v>
      </c>
      <c r="Q46" s="20" t="s">
        <v>444</v>
      </c>
      <c r="R46" s="75" t="s">
        <v>371</v>
      </c>
      <c r="S46" s="20" t="s">
        <v>449</v>
      </c>
      <c r="T46" s="20" t="s">
        <v>9</v>
      </c>
      <c r="U46" s="47" t="n">
        <v>0</v>
      </c>
      <c r="V46" s="70" t="s">
        <v>103</v>
      </c>
      <c r="W46" s="47" t="n">
        <v>1</v>
      </c>
    </row>
    <row r="47" customFormat="false" ht="23.85" hidden="false" customHeight="false" outlineLevel="0" collapsed="false">
      <c r="A47" s="70" t="n">
        <v>41</v>
      </c>
      <c r="B47" s="20" t="s">
        <v>363</v>
      </c>
      <c r="C47" s="20" t="s">
        <v>364</v>
      </c>
      <c r="D47" s="20" t="s">
        <v>443</v>
      </c>
      <c r="E47" s="20" t="s">
        <v>103</v>
      </c>
      <c r="F47" s="70" t="s">
        <v>386</v>
      </c>
      <c r="G47" s="20" t="s">
        <v>450</v>
      </c>
      <c r="H47" s="49" t="n">
        <v>18</v>
      </c>
      <c r="I47" s="70" t="s">
        <v>368</v>
      </c>
      <c r="J47" s="70" t="s">
        <v>369</v>
      </c>
      <c r="K47" s="73" t="n">
        <v>1</v>
      </c>
      <c r="L47" s="49" t="n">
        <v>1</v>
      </c>
      <c r="M47" s="67" t="n">
        <v>4.144</v>
      </c>
      <c r="N47" s="68" t="n">
        <f aca="false">K47*L47*M47</f>
        <v>4.144</v>
      </c>
      <c r="O47" s="34" t="n">
        <f aca="false">IFERROR(INDEX(Исходные!$B$18:$B$30,MATCH(H47,Исходные!$A$18:$A$30,0)),0)</f>
        <v>1.998</v>
      </c>
      <c r="P47" s="74" t="n">
        <f aca="false">N47*O47</f>
        <v>8.279712</v>
      </c>
      <c r="Q47" s="20" t="s">
        <v>444</v>
      </c>
      <c r="R47" s="75" t="s">
        <v>371</v>
      </c>
      <c r="S47" s="20" t="s">
        <v>451</v>
      </c>
      <c r="T47" s="20" t="s">
        <v>9</v>
      </c>
      <c r="U47" s="47" t="n">
        <v>0</v>
      </c>
      <c r="V47" s="70" t="s">
        <v>103</v>
      </c>
      <c r="W47" s="47" t="n">
        <v>1</v>
      </c>
    </row>
    <row r="48" customFormat="false" ht="23.85" hidden="false" customHeight="false" outlineLevel="0" collapsed="false">
      <c r="A48" s="70" t="n">
        <v>42</v>
      </c>
      <c r="B48" s="20" t="s">
        <v>363</v>
      </c>
      <c r="C48" s="20" t="s">
        <v>364</v>
      </c>
      <c r="D48" s="20" t="s">
        <v>443</v>
      </c>
      <c r="E48" s="20" t="s">
        <v>103</v>
      </c>
      <c r="F48" s="70" t="s">
        <v>389</v>
      </c>
      <c r="G48" s="20" t="s">
        <v>452</v>
      </c>
      <c r="H48" s="49" t="n">
        <v>16</v>
      </c>
      <c r="I48" s="70" t="s">
        <v>368</v>
      </c>
      <c r="J48" s="70" t="n">
        <v>200</v>
      </c>
      <c r="K48" s="73" t="n">
        <v>1</v>
      </c>
      <c r="L48" s="49" t="n">
        <v>36</v>
      </c>
      <c r="M48" s="67" t="n">
        <v>1.95</v>
      </c>
      <c r="N48" s="68" t="n">
        <f aca="false">K48*L48*M48</f>
        <v>70.2</v>
      </c>
      <c r="O48" s="34" t="n">
        <f aca="false">IFERROR(INDEX(Исходные!$B$18:$B$30,MATCH(H48,Исходные!$A$18:$A$30,0)),0)</f>
        <v>1.578</v>
      </c>
      <c r="P48" s="74" t="n">
        <f aca="false">N48*O48</f>
        <v>110.7756</v>
      </c>
      <c r="Q48" s="20" t="s">
        <v>453</v>
      </c>
      <c r="R48" s="76" t="s">
        <v>392</v>
      </c>
      <c r="S48" s="20"/>
      <c r="T48" s="20" t="s">
        <v>9</v>
      </c>
      <c r="U48" s="47" t="n">
        <v>1</v>
      </c>
      <c r="V48" s="70" t="s">
        <v>103</v>
      </c>
      <c r="W48" s="47" t="n">
        <v>1</v>
      </c>
    </row>
    <row r="49" customFormat="false" ht="23.85" hidden="false" customHeight="false" outlineLevel="0" collapsed="false">
      <c r="A49" s="70" t="n">
        <v>43</v>
      </c>
      <c r="B49" s="20" t="s">
        <v>363</v>
      </c>
      <c r="C49" s="20" t="s">
        <v>364</v>
      </c>
      <c r="D49" s="20" t="s">
        <v>443</v>
      </c>
      <c r="E49" s="20" t="s">
        <v>103</v>
      </c>
      <c r="F49" s="70" t="s">
        <v>389</v>
      </c>
      <c r="G49" s="20" t="s">
        <v>454</v>
      </c>
      <c r="H49" s="49" t="n">
        <v>14</v>
      </c>
      <c r="I49" s="70" t="s">
        <v>368</v>
      </c>
      <c r="J49" s="70" t="n">
        <v>200</v>
      </c>
      <c r="K49" s="73" t="n">
        <v>1</v>
      </c>
      <c r="L49" s="49" t="n">
        <v>36</v>
      </c>
      <c r="M49" s="67" t="n">
        <v>1.45</v>
      </c>
      <c r="N49" s="68" t="n">
        <f aca="false">K49*L49*M49</f>
        <v>52.2</v>
      </c>
      <c r="O49" s="34" t="n">
        <f aca="false">IFERROR(INDEX(Исходные!$B$18:$B$30,MATCH(H49,Исходные!$A$18:$A$30,0)),0)</f>
        <v>1.208</v>
      </c>
      <c r="P49" s="74" t="n">
        <f aca="false">N49*O49</f>
        <v>63.0576</v>
      </c>
      <c r="Q49" s="20" t="s">
        <v>453</v>
      </c>
      <c r="R49" s="76" t="s">
        <v>392</v>
      </c>
      <c r="S49" s="20" t="s">
        <v>455</v>
      </c>
      <c r="T49" s="20" t="s">
        <v>9</v>
      </c>
      <c r="U49" s="47" t="n">
        <v>1</v>
      </c>
      <c r="V49" s="70" t="s">
        <v>103</v>
      </c>
      <c r="W49" s="47" t="n">
        <v>1</v>
      </c>
    </row>
    <row r="50" customFormat="false" ht="23.85" hidden="false" customHeight="false" outlineLevel="0" collapsed="false">
      <c r="A50" s="70" t="n">
        <v>44</v>
      </c>
      <c r="B50" s="20" t="s">
        <v>363</v>
      </c>
      <c r="C50" s="20" t="s">
        <v>364</v>
      </c>
      <c r="D50" s="20" t="s">
        <v>443</v>
      </c>
      <c r="E50" s="20" t="s">
        <v>103</v>
      </c>
      <c r="F50" s="70" t="s">
        <v>396</v>
      </c>
      <c r="G50" s="20" t="s">
        <v>456</v>
      </c>
      <c r="H50" s="49" t="n">
        <v>22</v>
      </c>
      <c r="I50" s="70" t="s">
        <v>368</v>
      </c>
      <c r="J50" s="70" t="n">
        <v>200</v>
      </c>
      <c r="K50" s="73" t="n">
        <v>1</v>
      </c>
      <c r="L50" s="49" t="n">
        <v>10</v>
      </c>
      <c r="M50" s="67" t="n">
        <v>1.3</v>
      </c>
      <c r="N50" s="68" t="n">
        <f aca="false">K50*L50*M50</f>
        <v>13</v>
      </c>
      <c r="O50" s="34" t="n">
        <f aca="false">IFERROR(INDEX(Исходные!$B$18:$B$30,MATCH(H50,Исходные!$A$18:$A$30,0)),0)</f>
        <v>2.984</v>
      </c>
      <c r="P50" s="74" t="n">
        <f aca="false">N50*O50</f>
        <v>38.792</v>
      </c>
      <c r="Q50" s="20" t="s">
        <v>457</v>
      </c>
      <c r="R50" s="75" t="s">
        <v>371</v>
      </c>
      <c r="S50" s="20"/>
      <c r="T50" s="20" t="s">
        <v>9</v>
      </c>
      <c r="U50" s="47" t="n">
        <v>0</v>
      </c>
      <c r="V50" s="70" t="s">
        <v>103</v>
      </c>
      <c r="W50" s="47" t="n">
        <v>1</v>
      </c>
    </row>
    <row r="51" customFormat="false" ht="23.85" hidden="false" customHeight="false" outlineLevel="0" collapsed="false">
      <c r="A51" s="70" t="n">
        <v>45</v>
      </c>
      <c r="B51" s="20" t="s">
        <v>363</v>
      </c>
      <c r="C51" s="20" t="s">
        <v>364</v>
      </c>
      <c r="D51" s="20" t="s">
        <v>443</v>
      </c>
      <c r="E51" s="20" t="s">
        <v>103</v>
      </c>
      <c r="F51" s="70" t="s">
        <v>396</v>
      </c>
      <c r="G51" s="20" t="s">
        <v>458</v>
      </c>
      <c r="H51" s="49" t="n">
        <v>18</v>
      </c>
      <c r="I51" s="70" t="s">
        <v>368</v>
      </c>
      <c r="J51" s="70" t="n">
        <v>200</v>
      </c>
      <c r="K51" s="73" t="n">
        <v>1</v>
      </c>
      <c r="L51" s="49" t="n">
        <v>10</v>
      </c>
      <c r="M51" s="67" t="n">
        <v>1.45</v>
      </c>
      <c r="N51" s="68" t="n">
        <f aca="false">K51*L51*M51</f>
        <v>14.5</v>
      </c>
      <c r="O51" s="34" t="n">
        <f aca="false">IFERROR(INDEX(Исходные!$B$18:$B$30,MATCH(H51,Исходные!$A$18:$A$30,0)),0)</f>
        <v>1.998</v>
      </c>
      <c r="P51" s="74" t="n">
        <f aca="false">N51*O51</f>
        <v>28.971</v>
      </c>
      <c r="Q51" s="20" t="s">
        <v>457</v>
      </c>
      <c r="R51" s="75" t="s">
        <v>371</v>
      </c>
      <c r="S51" s="20"/>
      <c r="T51" s="20" t="s">
        <v>9</v>
      </c>
      <c r="U51" s="47" t="n">
        <v>0</v>
      </c>
      <c r="V51" s="70" t="s">
        <v>103</v>
      </c>
      <c r="W51" s="47" t="n">
        <v>1</v>
      </c>
    </row>
    <row r="52" customFormat="false" ht="23.85" hidden="false" customHeight="false" outlineLevel="0" collapsed="false">
      <c r="A52" s="70" t="n">
        <v>46</v>
      </c>
      <c r="B52" s="20" t="s">
        <v>363</v>
      </c>
      <c r="C52" s="20" t="s">
        <v>364</v>
      </c>
      <c r="D52" s="20" t="s">
        <v>443</v>
      </c>
      <c r="E52" s="20" t="s">
        <v>103</v>
      </c>
      <c r="F52" s="70" t="s">
        <v>396</v>
      </c>
      <c r="G52" s="20" t="s">
        <v>459</v>
      </c>
      <c r="H52" s="49" t="n">
        <v>16</v>
      </c>
      <c r="I52" s="70" t="s">
        <v>368</v>
      </c>
      <c r="J52" s="70" t="n">
        <v>200</v>
      </c>
      <c r="K52" s="73" t="n">
        <v>1</v>
      </c>
      <c r="L52" s="49" t="n">
        <v>8</v>
      </c>
      <c r="M52" s="67" t="n">
        <v>1.6</v>
      </c>
      <c r="N52" s="68" t="n">
        <f aca="false">K52*L52*M52</f>
        <v>12.8</v>
      </c>
      <c r="O52" s="34" t="n">
        <f aca="false">IFERROR(INDEX(Исходные!$B$18:$B$30,MATCH(H52,Исходные!$A$18:$A$30,0)),0)</f>
        <v>1.578</v>
      </c>
      <c r="P52" s="74" t="n">
        <f aca="false">N52*O52</f>
        <v>20.1984</v>
      </c>
      <c r="Q52" s="20" t="s">
        <v>457</v>
      </c>
      <c r="R52" s="75" t="s">
        <v>371</v>
      </c>
      <c r="S52" s="20"/>
      <c r="T52" s="20" t="s">
        <v>9</v>
      </c>
      <c r="U52" s="47" t="n">
        <v>0</v>
      </c>
      <c r="V52" s="70" t="s">
        <v>103</v>
      </c>
      <c r="W52" s="47" t="n">
        <v>1</v>
      </c>
    </row>
    <row r="53" customFormat="false" ht="23.85" hidden="false" customHeight="false" outlineLevel="0" collapsed="false">
      <c r="A53" s="70" t="n">
        <v>47</v>
      </c>
      <c r="B53" s="20" t="s">
        <v>363</v>
      </c>
      <c r="C53" s="20" t="s">
        <v>364</v>
      </c>
      <c r="D53" s="20" t="s">
        <v>443</v>
      </c>
      <c r="E53" s="20" t="s">
        <v>103</v>
      </c>
      <c r="F53" s="70" t="s">
        <v>401</v>
      </c>
      <c r="G53" s="20" t="s">
        <v>402</v>
      </c>
      <c r="H53" s="49" t="n">
        <v>10</v>
      </c>
      <c r="I53" s="70" t="s">
        <v>403</v>
      </c>
      <c r="J53" s="70" t="s">
        <v>404</v>
      </c>
      <c r="K53" s="73" t="n">
        <v>1</v>
      </c>
      <c r="L53" s="49" t="n">
        <v>54</v>
      </c>
      <c r="M53" s="67" t="n">
        <v>1.33</v>
      </c>
      <c r="N53" s="68" t="n">
        <f aca="false">K53*L53*M53</f>
        <v>71.82</v>
      </c>
      <c r="O53" s="34" t="n">
        <f aca="false">IFERROR(INDEX(Исходные!$B$18:$B$30,MATCH(H53,Исходные!$A$18:$A$30,0)),0)</f>
        <v>0.617</v>
      </c>
      <c r="P53" s="74" t="n">
        <f aca="false">N53*O53</f>
        <v>44.31294</v>
      </c>
      <c r="Q53" s="20" t="s">
        <v>405</v>
      </c>
      <c r="R53" s="75" t="s">
        <v>371</v>
      </c>
      <c r="S53" s="20"/>
      <c r="T53" s="20" t="s">
        <v>9</v>
      </c>
      <c r="U53" s="47" t="n">
        <v>0</v>
      </c>
      <c r="V53" s="70" t="s">
        <v>103</v>
      </c>
      <c r="W53" s="47" t="n">
        <v>1</v>
      </c>
    </row>
    <row r="54" customFormat="false" ht="23.85" hidden="false" customHeight="false" outlineLevel="0" collapsed="false">
      <c r="A54" s="70" t="n">
        <v>48</v>
      </c>
      <c r="B54" s="20" t="s">
        <v>363</v>
      </c>
      <c r="C54" s="20" t="s">
        <v>364</v>
      </c>
      <c r="D54" s="20" t="s">
        <v>443</v>
      </c>
      <c r="E54" s="20" t="s">
        <v>103</v>
      </c>
      <c r="F54" s="70" t="s">
        <v>406</v>
      </c>
      <c r="G54" s="20" t="s">
        <v>407</v>
      </c>
      <c r="H54" s="49" t="n">
        <v>10</v>
      </c>
      <c r="I54" s="70" t="s">
        <v>403</v>
      </c>
      <c r="J54" s="70" t="s">
        <v>404</v>
      </c>
      <c r="K54" s="73" t="n">
        <v>1</v>
      </c>
      <c r="L54" s="49" t="n">
        <v>36</v>
      </c>
      <c r="M54" s="67" t="n">
        <v>1.56</v>
      </c>
      <c r="N54" s="68" t="n">
        <f aca="false">K54*L54*M54</f>
        <v>56.16</v>
      </c>
      <c r="O54" s="34" t="n">
        <f aca="false">IFERROR(INDEX(Исходные!$B$18:$B$30,MATCH(H54,Исходные!$A$18:$A$30,0)),0)</f>
        <v>0.617</v>
      </c>
      <c r="P54" s="74" t="n">
        <f aca="false">N54*O54</f>
        <v>34.65072</v>
      </c>
      <c r="Q54" s="20" t="s">
        <v>408</v>
      </c>
      <c r="R54" s="75" t="s">
        <v>371</v>
      </c>
      <c r="S54" s="20"/>
      <c r="T54" s="20" t="s">
        <v>9</v>
      </c>
      <c r="U54" s="47" t="n">
        <v>0</v>
      </c>
      <c r="V54" s="70" t="s">
        <v>103</v>
      </c>
      <c r="W54" s="47" t="n">
        <v>1</v>
      </c>
    </row>
    <row r="55" customFormat="false" ht="23.85" hidden="false" customHeight="false" outlineLevel="0" collapsed="false">
      <c r="A55" s="70" t="n">
        <v>49</v>
      </c>
      <c r="B55" s="20" t="s">
        <v>363</v>
      </c>
      <c r="C55" s="20" t="s">
        <v>364</v>
      </c>
      <c r="D55" s="20" t="s">
        <v>443</v>
      </c>
      <c r="E55" s="20" t="s">
        <v>103</v>
      </c>
      <c r="F55" s="70" t="s">
        <v>460</v>
      </c>
      <c r="G55" s="20" t="s">
        <v>410</v>
      </c>
      <c r="H55" s="49" t="n">
        <v>8</v>
      </c>
      <c r="I55" s="70" t="s">
        <v>403</v>
      </c>
      <c r="J55" s="70" t="s">
        <v>404</v>
      </c>
      <c r="K55" s="73" t="n">
        <v>1</v>
      </c>
      <c r="L55" s="49" t="n">
        <v>18</v>
      </c>
      <c r="M55" s="67" t="n">
        <v>1.76</v>
      </c>
      <c r="N55" s="68" t="n">
        <f aca="false">K55*L55*M55</f>
        <v>31.68</v>
      </c>
      <c r="O55" s="34" t="n">
        <f aca="false">IFERROR(INDEX(Исходные!$B$18:$B$30,MATCH(H55,Исходные!$A$18:$A$30,0)),0)</f>
        <v>0.395</v>
      </c>
      <c r="P55" s="74" t="n">
        <f aca="false">N55*O55</f>
        <v>12.5136</v>
      </c>
      <c r="Q55" s="20" t="s">
        <v>411</v>
      </c>
      <c r="R55" s="75" t="s">
        <v>371</v>
      </c>
      <c r="S55" s="20"/>
      <c r="T55" s="20" t="s">
        <v>9</v>
      </c>
      <c r="U55" s="47" t="n">
        <v>0</v>
      </c>
      <c r="V55" s="70" t="s">
        <v>103</v>
      </c>
      <c r="W55" s="47" t="n">
        <v>1</v>
      </c>
    </row>
    <row r="56" customFormat="false" ht="23.85" hidden="false" customHeight="false" outlineLevel="0" collapsed="false">
      <c r="A56" s="70" t="n">
        <v>50</v>
      </c>
      <c r="B56" s="20" t="s">
        <v>363</v>
      </c>
      <c r="C56" s="20" t="s">
        <v>364</v>
      </c>
      <c r="D56" s="20" t="s">
        <v>443</v>
      </c>
      <c r="E56" s="20" t="s">
        <v>103</v>
      </c>
      <c r="F56" s="70" t="s">
        <v>412</v>
      </c>
      <c r="G56" s="20" t="s">
        <v>413</v>
      </c>
      <c r="H56" s="49" t="n">
        <v>8</v>
      </c>
      <c r="I56" s="70" t="s">
        <v>403</v>
      </c>
      <c r="J56" s="70" t="s">
        <v>404</v>
      </c>
      <c r="K56" s="73" t="n">
        <v>1</v>
      </c>
      <c r="L56" s="49" t="n">
        <v>30</v>
      </c>
      <c r="M56" s="67" t="n">
        <v>2.44</v>
      </c>
      <c r="N56" s="68" t="n">
        <f aca="false">K56*L56*M56</f>
        <v>73.2</v>
      </c>
      <c r="O56" s="34" t="n">
        <f aca="false">IFERROR(INDEX(Исходные!$B$18:$B$30,MATCH(H56,Исходные!$A$18:$A$30,0)),0)</f>
        <v>0.395</v>
      </c>
      <c r="P56" s="74" t="n">
        <f aca="false">N56*O56</f>
        <v>28.914</v>
      </c>
      <c r="Q56" s="20" t="s">
        <v>414</v>
      </c>
      <c r="R56" s="75" t="s">
        <v>371</v>
      </c>
      <c r="S56" s="20"/>
      <c r="T56" s="20" t="s">
        <v>9</v>
      </c>
      <c r="U56" s="47" t="n">
        <v>0</v>
      </c>
      <c r="V56" s="70" t="s">
        <v>103</v>
      </c>
      <c r="W56" s="47" t="n">
        <v>1</v>
      </c>
    </row>
    <row r="57" customFormat="false" ht="23.85" hidden="false" customHeight="false" outlineLevel="0" collapsed="false">
      <c r="A57" s="70" t="n">
        <v>51</v>
      </c>
      <c r="B57" s="20" t="s">
        <v>363</v>
      </c>
      <c r="C57" s="20" t="s">
        <v>364</v>
      </c>
      <c r="D57" s="20" t="s">
        <v>443</v>
      </c>
      <c r="E57" s="20" t="s">
        <v>103</v>
      </c>
      <c r="F57" s="70" t="s">
        <v>415</v>
      </c>
      <c r="G57" s="20" t="s">
        <v>416</v>
      </c>
      <c r="H57" s="49" t="n">
        <v>8</v>
      </c>
      <c r="I57" s="70" t="s">
        <v>403</v>
      </c>
      <c r="J57" s="70" t="s">
        <v>404</v>
      </c>
      <c r="K57" s="73" t="n">
        <v>1</v>
      </c>
      <c r="L57" s="49" t="n">
        <v>36</v>
      </c>
      <c r="M57" s="67" t="n">
        <v>1.96</v>
      </c>
      <c r="N57" s="68" t="n">
        <f aca="false">K57*L57*M57</f>
        <v>70.56</v>
      </c>
      <c r="O57" s="34" t="n">
        <f aca="false">IFERROR(INDEX(Исходные!$B$18:$B$30,MATCH(H57,Исходные!$A$18:$A$30,0)),0)</f>
        <v>0.395</v>
      </c>
      <c r="P57" s="74" t="n">
        <f aca="false">N57*O57</f>
        <v>27.8712</v>
      </c>
      <c r="Q57" s="20" t="s">
        <v>417</v>
      </c>
      <c r="R57" s="75" t="s">
        <v>371</v>
      </c>
      <c r="S57" s="20"/>
      <c r="T57" s="20" t="s">
        <v>9</v>
      </c>
      <c r="U57" s="47" t="n">
        <v>0</v>
      </c>
      <c r="V57" s="70" t="s">
        <v>103</v>
      </c>
      <c r="W57" s="47" t="n">
        <v>1</v>
      </c>
    </row>
    <row r="58" customFormat="false" ht="23.85" hidden="false" customHeight="false" outlineLevel="0" collapsed="false">
      <c r="A58" s="70" t="n">
        <v>52</v>
      </c>
      <c r="B58" s="20" t="s">
        <v>363</v>
      </c>
      <c r="C58" s="20" t="s">
        <v>364</v>
      </c>
      <c r="D58" s="20" t="s">
        <v>443</v>
      </c>
      <c r="E58" s="20" t="s">
        <v>103</v>
      </c>
      <c r="F58" s="70" t="s">
        <v>418</v>
      </c>
      <c r="G58" s="20" t="s">
        <v>461</v>
      </c>
      <c r="H58" s="49" t="n">
        <v>8</v>
      </c>
      <c r="I58" s="70" t="s">
        <v>403</v>
      </c>
      <c r="J58" s="70" t="s">
        <v>404</v>
      </c>
      <c r="K58" s="73" t="n">
        <v>1</v>
      </c>
      <c r="L58" s="49" t="n">
        <v>81</v>
      </c>
      <c r="M58" s="67" t="n">
        <v>0.53</v>
      </c>
      <c r="N58" s="68" t="n">
        <f aca="false">K58*L58*M58</f>
        <v>42.93</v>
      </c>
      <c r="O58" s="34" t="n">
        <f aca="false">IFERROR(INDEX(Исходные!$B$18:$B$30,MATCH(H58,Исходные!$A$18:$A$30,0)),0)</f>
        <v>0.395</v>
      </c>
      <c r="P58" s="74" t="n">
        <f aca="false">N58*O58</f>
        <v>16.95735</v>
      </c>
      <c r="Q58" s="20" t="s">
        <v>420</v>
      </c>
      <c r="R58" s="75" t="s">
        <v>371</v>
      </c>
      <c r="S58" s="20"/>
      <c r="T58" s="20" t="s">
        <v>9</v>
      </c>
      <c r="U58" s="47" t="n">
        <v>0</v>
      </c>
      <c r="V58" s="70" t="s">
        <v>103</v>
      </c>
      <c r="W58" s="47" t="n">
        <v>1</v>
      </c>
    </row>
    <row r="59" customFormat="false" ht="23.85" hidden="false" customHeight="false" outlineLevel="0" collapsed="false">
      <c r="A59" s="70" t="n">
        <v>53</v>
      </c>
      <c r="B59" s="20" t="s">
        <v>363</v>
      </c>
      <c r="C59" s="20" t="s">
        <v>364</v>
      </c>
      <c r="D59" s="20" t="s">
        <v>462</v>
      </c>
      <c r="E59" s="20" t="s">
        <v>104</v>
      </c>
      <c r="F59" s="70" t="s">
        <v>366</v>
      </c>
      <c r="G59" s="20" t="s">
        <v>367</v>
      </c>
      <c r="H59" s="49" t="n">
        <v>32</v>
      </c>
      <c r="I59" s="70" t="s">
        <v>368</v>
      </c>
      <c r="J59" s="70" t="s">
        <v>369</v>
      </c>
      <c r="K59" s="73" t="n">
        <v>1</v>
      </c>
      <c r="L59" s="49" t="n">
        <v>4</v>
      </c>
      <c r="M59" s="67" t="n">
        <v>4</v>
      </c>
      <c r="N59" s="68" t="n">
        <f aca="false">K59*L59*M59</f>
        <v>16</v>
      </c>
      <c r="O59" s="34" t="n">
        <f aca="false">IFERROR(INDEX(Исходные!$B$18:$B$30,MATCH(H59,Исходные!$A$18:$A$30,0)),0)</f>
        <v>6.313</v>
      </c>
      <c r="P59" s="74" t="n">
        <f aca="false">N59*O59</f>
        <v>101.008</v>
      </c>
      <c r="Q59" s="20" t="s">
        <v>463</v>
      </c>
      <c r="R59" s="75" t="s">
        <v>371</v>
      </c>
      <c r="S59" s="20" t="s">
        <v>445</v>
      </c>
      <c r="T59" s="20" t="s">
        <v>9</v>
      </c>
      <c r="U59" s="47" t="n">
        <v>0</v>
      </c>
      <c r="V59" s="70" t="s">
        <v>104</v>
      </c>
      <c r="W59" s="47" t="n">
        <v>1</v>
      </c>
    </row>
    <row r="60" customFormat="false" ht="23.85" hidden="false" customHeight="false" outlineLevel="0" collapsed="false">
      <c r="A60" s="70" t="n">
        <v>54</v>
      </c>
      <c r="B60" s="20" t="s">
        <v>363</v>
      </c>
      <c r="C60" s="20" t="s">
        <v>364</v>
      </c>
      <c r="D60" s="20" t="s">
        <v>462</v>
      </c>
      <c r="E60" s="20" t="s">
        <v>104</v>
      </c>
      <c r="F60" s="70" t="s">
        <v>376</v>
      </c>
      <c r="G60" s="20" t="s">
        <v>464</v>
      </c>
      <c r="H60" s="49" t="n">
        <v>28</v>
      </c>
      <c r="I60" s="70" t="s">
        <v>368</v>
      </c>
      <c r="J60" s="70" t="s">
        <v>369</v>
      </c>
      <c r="K60" s="73" t="n">
        <v>1</v>
      </c>
      <c r="L60" s="49" t="n">
        <v>4</v>
      </c>
      <c r="M60" s="67" t="n">
        <v>4</v>
      </c>
      <c r="N60" s="68" t="n">
        <f aca="false">K60*L60*M60</f>
        <v>16</v>
      </c>
      <c r="O60" s="34" t="n">
        <f aca="false">IFERROR(INDEX(Исходные!$B$18:$B$30,MATCH(H60,Исходные!$A$18:$A$30,0)),0)</f>
        <v>4.834</v>
      </c>
      <c r="P60" s="74" t="n">
        <f aca="false">N60*O60</f>
        <v>77.344</v>
      </c>
      <c r="Q60" s="20" t="s">
        <v>463</v>
      </c>
      <c r="R60" s="75" t="s">
        <v>371</v>
      </c>
      <c r="S60" s="20" t="s">
        <v>465</v>
      </c>
      <c r="T60" s="20" t="s">
        <v>9</v>
      </c>
      <c r="U60" s="47" t="n">
        <v>0</v>
      </c>
      <c r="V60" s="70" t="s">
        <v>104</v>
      </c>
      <c r="W60" s="47" t="n">
        <v>1</v>
      </c>
    </row>
    <row r="61" customFormat="false" ht="23.85" hidden="false" customHeight="false" outlineLevel="0" collapsed="false">
      <c r="A61" s="70" t="n">
        <v>55</v>
      </c>
      <c r="B61" s="20" t="s">
        <v>363</v>
      </c>
      <c r="C61" s="20" t="s">
        <v>364</v>
      </c>
      <c r="D61" s="20" t="s">
        <v>462</v>
      </c>
      <c r="E61" s="20" t="s">
        <v>104</v>
      </c>
      <c r="F61" s="70" t="s">
        <v>373</v>
      </c>
      <c r="G61" s="20" t="s">
        <v>425</v>
      </c>
      <c r="H61" s="49" t="n">
        <v>20</v>
      </c>
      <c r="I61" s="70" t="s">
        <v>368</v>
      </c>
      <c r="J61" s="70" t="s">
        <v>369</v>
      </c>
      <c r="K61" s="73" t="n">
        <v>1</v>
      </c>
      <c r="L61" s="49" t="n">
        <v>4</v>
      </c>
      <c r="M61" s="67" t="n">
        <v>4</v>
      </c>
      <c r="N61" s="68" t="n">
        <f aca="false">K61*L61*M61</f>
        <v>16</v>
      </c>
      <c r="O61" s="34" t="n">
        <f aca="false">IFERROR(INDEX(Исходные!$B$18:$B$30,MATCH(H61,Исходные!$A$18:$A$30,0)),0)</f>
        <v>2.466</v>
      </c>
      <c r="P61" s="74" t="n">
        <f aca="false">N61*O61</f>
        <v>39.456</v>
      </c>
      <c r="Q61" s="20" t="s">
        <v>463</v>
      </c>
      <c r="R61" s="75" t="s">
        <v>371</v>
      </c>
      <c r="S61" s="20" t="s">
        <v>426</v>
      </c>
      <c r="T61" s="20" t="s">
        <v>9</v>
      </c>
      <c r="U61" s="47" t="n">
        <v>0</v>
      </c>
      <c r="V61" s="70" t="s">
        <v>104</v>
      </c>
      <c r="W61" s="47" t="n">
        <v>1</v>
      </c>
    </row>
    <row r="62" customFormat="false" ht="23.85" hidden="false" customHeight="false" outlineLevel="0" collapsed="false">
      <c r="A62" s="70" t="n">
        <v>56</v>
      </c>
      <c r="B62" s="20" t="s">
        <v>363</v>
      </c>
      <c r="C62" s="20" t="s">
        <v>364</v>
      </c>
      <c r="D62" s="20" t="s">
        <v>462</v>
      </c>
      <c r="E62" s="20" t="s">
        <v>104</v>
      </c>
      <c r="F62" s="70" t="s">
        <v>373</v>
      </c>
      <c r="G62" s="20" t="s">
        <v>466</v>
      </c>
      <c r="H62" s="49" t="n">
        <v>20</v>
      </c>
      <c r="I62" s="70" t="s">
        <v>368</v>
      </c>
      <c r="J62" s="70" t="s">
        <v>369</v>
      </c>
      <c r="K62" s="73" t="n">
        <v>1</v>
      </c>
      <c r="L62" s="49" t="n">
        <v>6</v>
      </c>
      <c r="M62" s="67" t="n">
        <v>4</v>
      </c>
      <c r="N62" s="68" t="n">
        <f aca="false">K62*L62*M62</f>
        <v>24</v>
      </c>
      <c r="O62" s="34" t="n">
        <f aca="false">IFERROR(INDEX(Исходные!$B$18:$B$30,MATCH(H62,Исходные!$A$18:$A$30,0)),0)</f>
        <v>2.466</v>
      </c>
      <c r="P62" s="74" t="n">
        <f aca="false">N62*O62</f>
        <v>59.184</v>
      </c>
      <c r="Q62" s="20" t="s">
        <v>463</v>
      </c>
      <c r="R62" s="75" t="s">
        <v>371</v>
      </c>
      <c r="S62" s="20" t="s">
        <v>467</v>
      </c>
      <c r="T62" s="20" t="s">
        <v>9</v>
      </c>
      <c r="U62" s="47" t="n">
        <v>0</v>
      </c>
      <c r="V62" s="70" t="s">
        <v>104</v>
      </c>
      <c r="W62" s="47" t="n">
        <v>1</v>
      </c>
    </row>
    <row r="63" customFormat="false" ht="23.85" hidden="false" customHeight="false" outlineLevel="0" collapsed="false">
      <c r="A63" s="70" t="n">
        <v>57</v>
      </c>
      <c r="B63" s="20" t="s">
        <v>363</v>
      </c>
      <c r="C63" s="20" t="s">
        <v>364</v>
      </c>
      <c r="D63" s="20" t="s">
        <v>462</v>
      </c>
      <c r="E63" s="20" t="s">
        <v>104</v>
      </c>
      <c r="F63" s="70" t="s">
        <v>376</v>
      </c>
      <c r="G63" s="20" t="s">
        <v>468</v>
      </c>
      <c r="H63" s="49" t="n">
        <v>28</v>
      </c>
      <c r="I63" s="70" t="s">
        <v>368</v>
      </c>
      <c r="J63" s="70" t="s">
        <v>369</v>
      </c>
      <c r="K63" s="73" t="n">
        <v>1</v>
      </c>
      <c r="L63" s="49" t="n">
        <v>10</v>
      </c>
      <c r="M63" s="67" t="n">
        <v>4</v>
      </c>
      <c r="N63" s="68" t="n">
        <f aca="false">K63*L63*M63</f>
        <v>40</v>
      </c>
      <c r="O63" s="34" t="n">
        <f aca="false">IFERROR(INDEX(Исходные!$B$18:$B$30,MATCH(H63,Исходные!$A$18:$A$30,0)),0)</f>
        <v>4.834</v>
      </c>
      <c r="P63" s="74" t="n">
        <f aca="false">N63*O63</f>
        <v>193.36</v>
      </c>
      <c r="Q63" s="20" t="s">
        <v>463</v>
      </c>
      <c r="R63" s="75" t="s">
        <v>371</v>
      </c>
      <c r="S63" s="20" t="s">
        <v>469</v>
      </c>
      <c r="T63" s="20" t="s">
        <v>9</v>
      </c>
      <c r="U63" s="47" t="n">
        <v>0</v>
      </c>
      <c r="V63" s="70" t="s">
        <v>104</v>
      </c>
      <c r="W63" s="47" t="n">
        <v>1</v>
      </c>
    </row>
    <row r="64" customFormat="false" ht="23.85" hidden="false" customHeight="false" outlineLevel="0" collapsed="false">
      <c r="A64" s="70" t="n">
        <v>58</v>
      </c>
      <c r="B64" s="20" t="s">
        <v>363</v>
      </c>
      <c r="C64" s="20" t="s">
        <v>364</v>
      </c>
      <c r="D64" s="20" t="s">
        <v>462</v>
      </c>
      <c r="E64" s="20" t="s">
        <v>104</v>
      </c>
      <c r="F64" s="70" t="s">
        <v>389</v>
      </c>
      <c r="G64" s="20" t="s">
        <v>470</v>
      </c>
      <c r="H64" s="49" t="n">
        <v>16</v>
      </c>
      <c r="I64" s="70" t="s">
        <v>368</v>
      </c>
      <c r="J64" s="70" t="n">
        <v>200</v>
      </c>
      <c r="K64" s="73" t="n">
        <v>1</v>
      </c>
      <c r="L64" s="49" t="n">
        <v>36</v>
      </c>
      <c r="M64" s="67" t="n">
        <v>1.45</v>
      </c>
      <c r="N64" s="68" t="n">
        <f aca="false">K64*L64*M64</f>
        <v>52.2</v>
      </c>
      <c r="O64" s="34" t="n">
        <f aca="false">IFERROR(INDEX(Исходные!$B$18:$B$30,MATCH(H64,Исходные!$A$18:$A$30,0)),0)</f>
        <v>1.578</v>
      </c>
      <c r="P64" s="74" t="n">
        <f aca="false">N64*O64</f>
        <v>82.3716</v>
      </c>
      <c r="Q64" s="20" t="s">
        <v>471</v>
      </c>
      <c r="R64" s="76" t="s">
        <v>392</v>
      </c>
      <c r="S64" s="20"/>
      <c r="T64" s="20" t="s">
        <v>9</v>
      </c>
      <c r="U64" s="47" t="n">
        <v>1</v>
      </c>
      <c r="V64" s="70" t="s">
        <v>104</v>
      </c>
      <c r="W64" s="47" t="n">
        <v>1</v>
      </c>
    </row>
    <row r="65" customFormat="false" ht="23.85" hidden="false" customHeight="false" outlineLevel="0" collapsed="false">
      <c r="A65" s="70" t="n">
        <v>59</v>
      </c>
      <c r="B65" s="20" t="s">
        <v>363</v>
      </c>
      <c r="C65" s="20" t="s">
        <v>364</v>
      </c>
      <c r="D65" s="20" t="s">
        <v>462</v>
      </c>
      <c r="E65" s="20" t="s">
        <v>104</v>
      </c>
      <c r="F65" s="70" t="s">
        <v>396</v>
      </c>
      <c r="G65" s="20" t="s">
        <v>472</v>
      </c>
      <c r="H65" s="49" t="n">
        <v>18</v>
      </c>
      <c r="I65" s="70" t="s">
        <v>368</v>
      </c>
      <c r="J65" s="70" t="n">
        <v>200</v>
      </c>
      <c r="K65" s="73" t="n">
        <v>1</v>
      </c>
      <c r="L65" s="49" t="n">
        <v>10</v>
      </c>
      <c r="M65" s="67" t="n">
        <v>1.45</v>
      </c>
      <c r="N65" s="68" t="n">
        <f aca="false">K65*L65*M65</f>
        <v>14.5</v>
      </c>
      <c r="O65" s="34" t="n">
        <f aca="false">IFERROR(INDEX(Исходные!$B$18:$B$30,MATCH(H65,Исходные!$A$18:$A$30,0)),0)</f>
        <v>1.998</v>
      </c>
      <c r="P65" s="74" t="n">
        <f aca="false">N65*O65</f>
        <v>28.971</v>
      </c>
      <c r="Q65" s="20" t="s">
        <v>473</v>
      </c>
      <c r="R65" s="75" t="s">
        <v>371</v>
      </c>
      <c r="S65" s="20"/>
      <c r="T65" s="20" t="s">
        <v>9</v>
      </c>
      <c r="U65" s="47" t="n">
        <v>0</v>
      </c>
      <c r="V65" s="70" t="s">
        <v>104</v>
      </c>
      <c r="W65" s="47" t="n">
        <v>1</v>
      </c>
    </row>
    <row r="66" customFormat="false" ht="23.85" hidden="false" customHeight="false" outlineLevel="0" collapsed="false">
      <c r="A66" s="70" t="n">
        <v>60</v>
      </c>
      <c r="B66" s="20" t="s">
        <v>363</v>
      </c>
      <c r="C66" s="20" t="s">
        <v>364</v>
      </c>
      <c r="D66" s="20" t="s">
        <v>462</v>
      </c>
      <c r="E66" s="20" t="s">
        <v>104</v>
      </c>
      <c r="F66" s="70" t="s">
        <v>401</v>
      </c>
      <c r="G66" s="20" t="s">
        <v>474</v>
      </c>
      <c r="H66" s="49" t="n">
        <v>10</v>
      </c>
      <c r="I66" s="70" t="s">
        <v>403</v>
      </c>
      <c r="J66" s="70" t="s">
        <v>404</v>
      </c>
      <c r="K66" s="73" t="n">
        <v>1</v>
      </c>
      <c r="L66" s="49" t="n">
        <v>18</v>
      </c>
      <c r="M66" s="67" t="n">
        <v>1.33</v>
      </c>
      <c r="N66" s="68" t="n">
        <f aca="false">K66*L66*M66</f>
        <v>23.94</v>
      </c>
      <c r="O66" s="34" t="n">
        <f aca="false">IFERROR(INDEX(Исходные!$B$18:$B$30,MATCH(H66,Исходные!$A$18:$A$30,0)),0)</f>
        <v>0.617</v>
      </c>
      <c r="P66" s="74" t="n">
        <f aca="false">N66*O66</f>
        <v>14.77098</v>
      </c>
      <c r="Q66" s="20" t="s">
        <v>405</v>
      </c>
      <c r="R66" s="75" t="s">
        <v>371</v>
      </c>
      <c r="S66" s="20"/>
      <c r="T66" s="20" t="s">
        <v>9</v>
      </c>
      <c r="U66" s="47" t="n">
        <v>0</v>
      </c>
      <c r="V66" s="70" t="s">
        <v>104</v>
      </c>
      <c r="W66" s="47" t="n">
        <v>1</v>
      </c>
    </row>
    <row r="67" customFormat="false" ht="23.85" hidden="false" customHeight="false" outlineLevel="0" collapsed="false">
      <c r="A67" s="70" t="n">
        <v>61</v>
      </c>
      <c r="B67" s="20" t="s">
        <v>363</v>
      </c>
      <c r="C67" s="20" t="s">
        <v>364</v>
      </c>
      <c r="D67" s="20" t="s">
        <v>462</v>
      </c>
      <c r="E67" s="20" t="s">
        <v>104</v>
      </c>
      <c r="F67" s="70" t="s">
        <v>409</v>
      </c>
      <c r="G67" s="20" t="s">
        <v>410</v>
      </c>
      <c r="H67" s="49" t="n">
        <v>10</v>
      </c>
      <c r="I67" s="70" t="s">
        <v>403</v>
      </c>
      <c r="J67" s="70" t="s">
        <v>404</v>
      </c>
      <c r="K67" s="73" t="n">
        <v>1</v>
      </c>
      <c r="L67" s="49" t="n">
        <v>18</v>
      </c>
      <c r="M67" s="67" t="n">
        <v>1.76</v>
      </c>
      <c r="N67" s="68" t="n">
        <f aca="false">K67*L67*M67</f>
        <v>31.68</v>
      </c>
      <c r="O67" s="34" t="n">
        <f aca="false">IFERROR(INDEX(Исходные!$B$18:$B$30,MATCH(H67,Исходные!$A$18:$A$30,0)),0)</f>
        <v>0.617</v>
      </c>
      <c r="P67" s="74" t="n">
        <f aca="false">N67*O67</f>
        <v>19.54656</v>
      </c>
      <c r="Q67" s="20" t="s">
        <v>411</v>
      </c>
      <c r="R67" s="75" t="s">
        <v>371</v>
      </c>
      <c r="S67" s="20"/>
      <c r="T67" s="20" t="s">
        <v>9</v>
      </c>
      <c r="U67" s="47" t="n">
        <v>0</v>
      </c>
      <c r="V67" s="70" t="s">
        <v>104</v>
      </c>
      <c r="W67" s="47" t="n">
        <v>1</v>
      </c>
    </row>
    <row r="68" customFormat="false" ht="23.85" hidden="false" customHeight="false" outlineLevel="0" collapsed="false">
      <c r="A68" s="70" t="n">
        <v>62</v>
      </c>
      <c r="B68" s="20" t="s">
        <v>363</v>
      </c>
      <c r="C68" s="20" t="s">
        <v>364</v>
      </c>
      <c r="D68" s="20" t="s">
        <v>462</v>
      </c>
      <c r="E68" s="20" t="s">
        <v>104</v>
      </c>
      <c r="F68" s="70" t="s">
        <v>412</v>
      </c>
      <c r="G68" s="20" t="s">
        <v>413</v>
      </c>
      <c r="H68" s="49" t="n">
        <v>8</v>
      </c>
      <c r="I68" s="70" t="s">
        <v>403</v>
      </c>
      <c r="J68" s="70" t="s">
        <v>404</v>
      </c>
      <c r="K68" s="73" t="n">
        <v>1</v>
      </c>
      <c r="L68" s="49" t="n">
        <v>30</v>
      </c>
      <c r="M68" s="67" t="n">
        <v>2.44</v>
      </c>
      <c r="N68" s="68" t="n">
        <f aca="false">K68*L68*M68</f>
        <v>73.2</v>
      </c>
      <c r="O68" s="34" t="n">
        <f aca="false">IFERROR(INDEX(Исходные!$B$18:$B$30,MATCH(H68,Исходные!$A$18:$A$30,0)),0)</f>
        <v>0.395</v>
      </c>
      <c r="P68" s="74" t="n">
        <f aca="false">N68*O68</f>
        <v>28.914</v>
      </c>
      <c r="Q68" s="20" t="s">
        <v>414</v>
      </c>
      <c r="R68" s="75" t="s">
        <v>371</v>
      </c>
      <c r="S68" s="20"/>
      <c r="T68" s="20" t="s">
        <v>9</v>
      </c>
      <c r="U68" s="47" t="n">
        <v>0</v>
      </c>
      <c r="V68" s="70" t="s">
        <v>104</v>
      </c>
      <c r="W68" s="47" t="n">
        <v>1</v>
      </c>
    </row>
    <row r="69" customFormat="false" ht="23.85" hidden="false" customHeight="false" outlineLevel="0" collapsed="false">
      <c r="A69" s="70" t="n">
        <v>63</v>
      </c>
      <c r="B69" s="20" t="s">
        <v>363</v>
      </c>
      <c r="C69" s="20" t="s">
        <v>364</v>
      </c>
      <c r="D69" s="20" t="s">
        <v>462</v>
      </c>
      <c r="E69" s="20" t="s">
        <v>104</v>
      </c>
      <c r="F69" s="70" t="s">
        <v>415</v>
      </c>
      <c r="G69" s="20" t="s">
        <v>416</v>
      </c>
      <c r="H69" s="49" t="n">
        <v>8</v>
      </c>
      <c r="I69" s="70" t="s">
        <v>403</v>
      </c>
      <c r="J69" s="70" t="s">
        <v>404</v>
      </c>
      <c r="K69" s="73" t="n">
        <v>1</v>
      </c>
      <c r="L69" s="49" t="n">
        <v>36</v>
      </c>
      <c r="M69" s="67" t="n">
        <v>1.96</v>
      </c>
      <c r="N69" s="68" t="n">
        <f aca="false">K69*L69*M69</f>
        <v>70.56</v>
      </c>
      <c r="O69" s="34" t="n">
        <f aca="false">IFERROR(INDEX(Исходные!$B$18:$B$30,MATCH(H69,Исходные!$A$18:$A$30,0)),0)</f>
        <v>0.395</v>
      </c>
      <c r="P69" s="74" t="n">
        <f aca="false">N69*O69</f>
        <v>27.8712</v>
      </c>
      <c r="Q69" s="20" t="s">
        <v>417</v>
      </c>
      <c r="R69" s="75" t="s">
        <v>371</v>
      </c>
      <c r="S69" s="20"/>
      <c r="T69" s="20" t="s">
        <v>9</v>
      </c>
      <c r="U69" s="47" t="n">
        <v>0</v>
      </c>
      <c r="V69" s="70" t="s">
        <v>104</v>
      </c>
      <c r="W69" s="47" t="n">
        <v>1</v>
      </c>
    </row>
    <row r="70" customFormat="false" ht="23.85" hidden="false" customHeight="false" outlineLevel="0" collapsed="false">
      <c r="A70" s="70" t="n">
        <v>64</v>
      </c>
      <c r="B70" s="20" t="s">
        <v>363</v>
      </c>
      <c r="C70" s="20" t="s">
        <v>364</v>
      </c>
      <c r="D70" s="20" t="s">
        <v>462</v>
      </c>
      <c r="E70" s="20" t="s">
        <v>104</v>
      </c>
      <c r="F70" s="70" t="s">
        <v>418</v>
      </c>
      <c r="G70" s="20" t="s">
        <v>475</v>
      </c>
      <c r="H70" s="49" t="n">
        <v>8</v>
      </c>
      <c r="I70" s="70" t="s">
        <v>403</v>
      </c>
      <c r="J70" s="70" t="s">
        <v>404</v>
      </c>
      <c r="K70" s="73" t="n">
        <v>1</v>
      </c>
      <c r="L70" s="49" t="n">
        <v>36</v>
      </c>
      <c r="M70" s="67" t="n">
        <v>0.53</v>
      </c>
      <c r="N70" s="68" t="n">
        <f aca="false">K70*L70*M70</f>
        <v>19.08</v>
      </c>
      <c r="O70" s="34" t="n">
        <f aca="false">IFERROR(INDEX(Исходные!$B$18:$B$30,MATCH(H70,Исходные!$A$18:$A$30,0)),0)</f>
        <v>0.395</v>
      </c>
      <c r="P70" s="74" t="n">
        <f aca="false">N70*O70</f>
        <v>7.5366</v>
      </c>
      <c r="Q70" s="20" t="s">
        <v>420</v>
      </c>
      <c r="R70" s="75" t="s">
        <v>371</v>
      </c>
      <c r="S70" s="20"/>
      <c r="T70" s="20" t="s">
        <v>9</v>
      </c>
      <c r="U70" s="47" t="n">
        <v>0</v>
      </c>
      <c r="V70" s="70" t="s">
        <v>104</v>
      </c>
      <c r="W70" s="47" t="n">
        <v>1</v>
      </c>
    </row>
    <row r="71" customFormat="false" ht="23.85" hidden="false" customHeight="false" outlineLevel="0" collapsed="false">
      <c r="A71" s="70" t="n">
        <v>65</v>
      </c>
      <c r="B71" s="20" t="s">
        <v>363</v>
      </c>
      <c r="C71" s="20" t="s">
        <v>364</v>
      </c>
      <c r="D71" s="20" t="s">
        <v>476</v>
      </c>
      <c r="E71" s="20" t="s">
        <v>105</v>
      </c>
      <c r="F71" s="70" t="s">
        <v>366</v>
      </c>
      <c r="G71" s="20" t="s">
        <v>367</v>
      </c>
      <c r="H71" s="49" t="n">
        <v>32</v>
      </c>
      <c r="I71" s="70" t="s">
        <v>368</v>
      </c>
      <c r="J71" s="70" t="s">
        <v>369</v>
      </c>
      <c r="K71" s="73" t="n">
        <v>1</v>
      </c>
      <c r="L71" s="49" t="n">
        <v>4</v>
      </c>
      <c r="M71" s="67" t="n">
        <v>4</v>
      </c>
      <c r="N71" s="68" t="n">
        <f aca="false">K71*L71*M71</f>
        <v>16</v>
      </c>
      <c r="O71" s="34" t="n">
        <f aca="false">IFERROR(INDEX(Исходные!$B$18:$B$30,MATCH(H71,Исходные!$A$18:$A$30,0)),0)</f>
        <v>6.313</v>
      </c>
      <c r="P71" s="74" t="n">
        <f aca="false">N71*O71</f>
        <v>101.008</v>
      </c>
      <c r="Q71" s="20" t="s">
        <v>477</v>
      </c>
      <c r="R71" s="75" t="s">
        <v>371</v>
      </c>
      <c r="S71" s="20" t="s">
        <v>445</v>
      </c>
      <c r="T71" s="20" t="s">
        <v>9</v>
      </c>
      <c r="U71" s="47" t="n">
        <v>0</v>
      </c>
      <c r="V71" s="70" t="s">
        <v>105</v>
      </c>
      <c r="W71" s="47" t="n">
        <v>1</v>
      </c>
    </row>
    <row r="72" customFormat="false" ht="23.85" hidden="false" customHeight="false" outlineLevel="0" collapsed="false">
      <c r="A72" s="70" t="n">
        <v>66</v>
      </c>
      <c r="B72" s="20" t="s">
        <v>363</v>
      </c>
      <c r="C72" s="20" t="s">
        <v>364</v>
      </c>
      <c r="D72" s="20" t="s">
        <v>476</v>
      </c>
      <c r="E72" s="20" t="s">
        <v>105</v>
      </c>
      <c r="F72" s="70" t="s">
        <v>376</v>
      </c>
      <c r="G72" s="20" t="s">
        <v>464</v>
      </c>
      <c r="H72" s="49" t="n">
        <v>28</v>
      </c>
      <c r="I72" s="70" t="s">
        <v>368</v>
      </c>
      <c r="J72" s="70" t="s">
        <v>369</v>
      </c>
      <c r="K72" s="73" t="n">
        <v>1</v>
      </c>
      <c r="L72" s="49" t="n">
        <v>4</v>
      </c>
      <c r="M72" s="67" t="n">
        <v>4</v>
      </c>
      <c r="N72" s="68" t="n">
        <f aca="false">K72*L72*M72</f>
        <v>16</v>
      </c>
      <c r="O72" s="34" t="n">
        <f aca="false">IFERROR(INDEX(Исходные!$B$18:$B$30,MATCH(H72,Исходные!$A$18:$A$30,0)),0)</f>
        <v>4.834</v>
      </c>
      <c r="P72" s="74" t="n">
        <f aca="false">N72*O72</f>
        <v>77.344</v>
      </c>
      <c r="Q72" s="20" t="s">
        <v>477</v>
      </c>
      <c r="R72" s="75" t="s">
        <v>371</v>
      </c>
      <c r="S72" s="20" t="s">
        <v>478</v>
      </c>
      <c r="T72" s="20" t="s">
        <v>9</v>
      </c>
      <c r="U72" s="47" t="n">
        <v>0</v>
      </c>
      <c r="V72" s="70" t="s">
        <v>105</v>
      </c>
      <c r="W72" s="47" t="n">
        <v>1</v>
      </c>
    </row>
    <row r="73" customFormat="false" ht="23.85" hidden="false" customHeight="false" outlineLevel="0" collapsed="false">
      <c r="A73" s="70" t="n">
        <v>67</v>
      </c>
      <c r="B73" s="20" t="s">
        <v>363</v>
      </c>
      <c r="C73" s="20" t="s">
        <v>364</v>
      </c>
      <c r="D73" s="20" t="s">
        <v>476</v>
      </c>
      <c r="E73" s="20" t="s">
        <v>105</v>
      </c>
      <c r="F73" s="70" t="s">
        <v>373</v>
      </c>
      <c r="G73" s="20" t="s">
        <v>425</v>
      </c>
      <c r="H73" s="49" t="n">
        <v>20</v>
      </c>
      <c r="I73" s="70" t="s">
        <v>368</v>
      </c>
      <c r="J73" s="70" t="s">
        <v>369</v>
      </c>
      <c r="K73" s="73" t="n">
        <v>1</v>
      </c>
      <c r="L73" s="49" t="n">
        <v>4</v>
      </c>
      <c r="M73" s="67" t="n">
        <v>4</v>
      </c>
      <c r="N73" s="68" t="n">
        <f aca="false">K73*L73*M73</f>
        <v>16</v>
      </c>
      <c r="O73" s="34" t="n">
        <f aca="false">IFERROR(INDEX(Исходные!$B$18:$B$30,MATCH(H73,Исходные!$A$18:$A$30,0)),0)</f>
        <v>2.466</v>
      </c>
      <c r="P73" s="74" t="n">
        <f aca="false">N73*O73</f>
        <v>39.456</v>
      </c>
      <c r="Q73" s="20" t="s">
        <v>477</v>
      </c>
      <c r="R73" s="75" t="s">
        <v>371</v>
      </c>
      <c r="S73" s="20" t="s">
        <v>479</v>
      </c>
      <c r="T73" s="20" t="s">
        <v>9</v>
      </c>
      <c r="U73" s="47" t="n">
        <v>0</v>
      </c>
      <c r="V73" s="70" t="s">
        <v>105</v>
      </c>
      <c r="W73" s="47" t="n">
        <v>1</v>
      </c>
    </row>
    <row r="74" customFormat="false" ht="23.85" hidden="false" customHeight="false" outlineLevel="0" collapsed="false">
      <c r="A74" s="70" t="n">
        <v>68</v>
      </c>
      <c r="B74" s="20" t="s">
        <v>363</v>
      </c>
      <c r="C74" s="20" t="s">
        <v>364</v>
      </c>
      <c r="D74" s="20" t="s">
        <v>476</v>
      </c>
      <c r="E74" s="20" t="s">
        <v>105</v>
      </c>
      <c r="F74" s="70" t="s">
        <v>376</v>
      </c>
      <c r="G74" s="20" t="s">
        <v>427</v>
      </c>
      <c r="H74" s="49" t="n">
        <v>28</v>
      </c>
      <c r="I74" s="70" t="s">
        <v>368</v>
      </c>
      <c r="J74" s="70" t="s">
        <v>369</v>
      </c>
      <c r="K74" s="73" t="n">
        <v>1</v>
      </c>
      <c r="L74" s="49" t="n">
        <v>10</v>
      </c>
      <c r="M74" s="67" t="n">
        <v>4</v>
      </c>
      <c r="N74" s="68" t="n">
        <f aca="false">K74*L74*M74</f>
        <v>40</v>
      </c>
      <c r="O74" s="34" t="n">
        <f aca="false">IFERROR(INDEX(Исходные!$B$18:$B$30,MATCH(H74,Исходные!$A$18:$A$30,0)),0)</f>
        <v>4.834</v>
      </c>
      <c r="P74" s="74" t="n">
        <f aca="false">N74*O74</f>
        <v>193.36</v>
      </c>
      <c r="Q74" s="20" t="s">
        <v>477</v>
      </c>
      <c r="R74" s="75" t="s">
        <v>371</v>
      </c>
      <c r="S74" s="20" t="s">
        <v>469</v>
      </c>
      <c r="T74" s="20" t="s">
        <v>9</v>
      </c>
      <c r="U74" s="47" t="n">
        <v>0</v>
      </c>
      <c r="V74" s="70" t="s">
        <v>105</v>
      </c>
      <c r="W74" s="47" t="n">
        <v>1</v>
      </c>
    </row>
    <row r="75" customFormat="false" ht="23.85" hidden="false" customHeight="false" outlineLevel="0" collapsed="false">
      <c r="A75" s="70" t="n">
        <v>69</v>
      </c>
      <c r="B75" s="20" t="s">
        <v>363</v>
      </c>
      <c r="C75" s="20" t="s">
        <v>364</v>
      </c>
      <c r="D75" s="20" t="s">
        <v>476</v>
      </c>
      <c r="E75" s="20" t="s">
        <v>105</v>
      </c>
      <c r="F75" s="70" t="s">
        <v>373</v>
      </c>
      <c r="G75" s="20" t="s">
        <v>429</v>
      </c>
      <c r="H75" s="49" t="n">
        <v>20</v>
      </c>
      <c r="I75" s="70" t="s">
        <v>368</v>
      </c>
      <c r="J75" s="70" t="s">
        <v>369</v>
      </c>
      <c r="K75" s="73" t="n">
        <v>1</v>
      </c>
      <c r="L75" s="49" t="n">
        <v>4</v>
      </c>
      <c r="M75" s="67" t="n">
        <v>4</v>
      </c>
      <c r="N75" s="68" t="n">
        <f aca="false">K75*L75*M75</f>
        <v>16</v>
      </c>
      <c r="O75" s="34" t="n">
        <f aca="false">IFERROR(INDEX(Исходные!$B$18:$B$30,MATCH(H75,Исходные!$A$18:$A$30,0)),0)</f>
        <v>2.466</v>
      </c>
      <c r="P75" s="74" t="n">
        <f aca="false">N75*O75</f>
        <v>39.456</v>
      </c>
      <c r="Q75" s="20" t="s">
        <v>477</v>
      </c>
      <c r="R75" s="75" t="s">
        <v>371</v>
      </c>
      <c r="S75" s="20" t="s">
        <v>480</v>
      </c>
      <c r="T75" s="20" t="s">
        <v>9</v>
      </c>
      <c r="U75" s="47" t="n">
        <v>0</v>
      </c>
      <c r="V75" s="70" t="s">
        <v>105</v>
      </c>
      <c r="W75" s="47" t="n">
        <v>1</v>
      </c>
    </row>
    <row r="76" customFormat="false" ht="23.85" hidden="false" customHeight="false" outlineLevel="0" collapsed="false">
      <c r="A76" s="70" t="n">
        <v>70</v>
      </c>
      <c r="B76" s="20" t="s">
        <v>363</v>
      </c>
      <c r="C76" s="20" t="s">
        <v>364</v>
      </c>
      <c r="D76" s="20" t="s">
        <v>476</v>
      </c>
      <c r="E76" s="20" t="s">
        <v>105</v>
      </c>
      <c r="F76" s="70" t="s">
        <v>432</v>
      </c>
      <c r="G76" s="20" t="s">
        <v>384</v>
      </c>
      <c r="H76" s="49" t="n">
        <v>22</v>
      </c>
      <c r="I76" s="70" t="s">
        <v>368</v>
      </c>
      <c r="J76" s="70" t="s">
        <v>369</v>
      </c>
      <c r="K76" s="73" t="n">
        <v>1</v>
      </c>
      <c r="L76" s="49" t="n">
        <v>6</v>
      </c>
      <c r="M76" s="67" t="n">
        <v>4</v>
      </c>
      <c r="N76" s="68" t="n">
        <f aca="false">K76*L76*M76</f>
        <v>24</v>
      </c>
      <c r="O76" s="34" t="n">
        <f aca="false">IFERROR(INDEX(Исходные!$B$18:$B$30,MATCH(H76,Исходные!$A$18:$A$30,0)),0)</f>
        <v>2.984</v>
      </c>
      <c r="P76" s="74" t="n">
        <f aca="false">N76*O76</f>
        <v>71.616</v>
      </c>
      <c r="Q76" s="20" t="s">
        <v>477</v>
      </c>
      <c r="R76" s="75" t="s">
        <v>371</v>
      </c>
      <c r="S76" s="20" t="s">
        <v>448</v>
      </c>
      <c r="T76" s="20" t="s">
        <v>9</v>
      </c>
      <c r="U76" s="47" t="n">
        <v>0</v>
      </c>
      <c r="V76" s="70" t="s">
        <v>105</v>
      </c>
      <c r="W76" s="47" t="n">
        <v>1</v>
      </c>
    </row>
    <row r="77" customFormat="false" ht="23.85" hidden="false" customHeight="false" outlineLevel="0" collapsed="false">
      <c r="A77" s="70" t="n">
        <v>71</v>
      </c>
      <c r="B77" s="20" t="s">
        <v>363</v>
      </c>
      <c r="C77" s="20" t="s">
        <v>364</v>
      </c>
      <c r="D77" s="20" t="s">
        <v>476</v>
      </c>
      <c r="E77" s="20" t="s">
        <v>105</v>
      </c>
      <c r="F77" s="70" t="s">
        <v>379</v>
      </c>
      <c r="G77" s="20" t="s">
        <v>431</v>
      </c>
      <c r="H77" s="49" t="n">
        <v>25</v>
      </c>
      <c r="I77" s="70" t="s">
        <v>368</v>
      </c>
      <c r="J77" s="70" t="s">
        <v>369</v>
      </c>
      <c r="K77" s="73" t="n">
        <v>1</v>
      </c>
      <c r="L77" s="49" t="n">
        <v>10</v>
      </c>
      <c r="M77" s="67" t="n">
        <v>4</v>
      </c>
      <c r="N77" s="68" t="n">
        <f aca="false">K77*L77*M77</f>
        <v>40</v>
      </c>
      <c r="O77" s="34" t="n">
        <f aca="false">IFERROR(INDEX(Исходные!$B$18:$B$30,MATCH(H77,Исходные!$A$18:$A$30,0)),0)</f>
        <v>3.853</v>
      </c>
      <c r="P77" s="74" t="n">
        <f aca="false">N77*O77</f>
        <v>154.12</v>
      </c>
      <c r="Q77" s="20" t="s">
        <v>477</v>
      </c>
      <c r="R77" s="75" t="s">
        <v>371</v>
      </c>
      <c r="S77" s="20" t="s">
        <v>449</v>
      </c>
      <c r="T77" s="20" t="s">
        <v>9</v>
      </c>
      <c r="U77" s="47" t="n">
        <v>0</v>
      </c>
      <c r="V77" s="70" t="s">
        <v>105</v>
      </c>
      <c r="W77" s="47" t="n">
        <v>1</v>
      </c>
    </row>
    <row r="78" customFormat="false" ht="23.85" hidden="false" customHeight="false" outlineLevel="0" collapsed="false">
      <c r="A78" s="70" t="n">
        <v>72</v>
      </c>
      <c r="B78" s="20" t="s">
        <v>363</v>
      </c>
      <c r="C78" s="20" t="s">
        <v>364</v>
      </c>
      <c r="D78" s="20" t="s">
        <v>476</v>
      </c>
      <c r="E78" s="20" t="s">
        <v>105</v>
      </c>
      <c r="F78" s="70" t="s">
        <v>389</v>
      </c>
      <c r="G78" s="20" t="s">
        <v>481</v>
      </c>
      <c r="H78" s="49" t="n">
        <v>16</v>
      </c>
      <c r="I78" s="70" t="s">
        <v>368</v>
      </c>
      <c r="J78" s="70" t="n">
        <v>200</v>
      </c>
      <c r="K78" s="73" t="n">
        <v>1</v>
      </c>
      <c r="L78" s="49" t="n">
        <v>36</v>
      </c>
      <c r="M78" s="67" t="n">
        <v>1.25</v>
      </c>
      <c r="N78" s="68" t="n">
        <f aca="false">K78*L78*M78</f>
        <v>45</v>
      </c>
      <c r="O78" s="34" t="n">
        <f aca="false">IFERROR(INDEX(Исходные!$B$18:$B$30,MATCH(H78,Исходные!$A$18:$A$30,0)),0)</f>
        <v>1.578</v>
      </c>
      <c r="P78" s="74" t="n">
        <f aca="false">N78*O78</f>
        <v>71.01</v>
      </c>
      <c r="Q78" s="20" t="s">
        <v>482</v>
      </c>
      <c r="R78" s="76" t="s">
        <v>392</v>
      </c>
      <c r="S78" s="20" t="s">
        <v>483</v>
      </c>
      <c r="T78" s="20" t="s">
        <v>9</v>
      </c>
      <c r="U78" s="47" t="n">
        <v>1</v>
      </c>
      <c r="V78" s="70" t="s">
        <v>105</v>
      </c>
      <c r="W78" s="47" t="n">
        <v>1</v>
      </c>
    </row>
    <row r="79" customFormat="false" ht="23.85" hidden="false" customHeight="false" outlineLevel="0" collapsed="false">
      <c r="A79" s="70" t="n">
        <v>73</v>
      </c>
      <c r="B79" s="20" t="s">
        <v>363</v>
      </c>
      <c r="C79" s="20" t="s">
        <v>364</v>
      </c>
      <c r="D79" s="20" t="s">
        <v>476</v>
      </c>
      <c r="E79" s="20" t="s">
        <v>105</v>
      </c>
      <c r="F79" s="70" t="s">
        <v>389</v>
      </c>
      <c r="G79" s="20" t="s">
        <v>484</v>
      </c>
      <c r="H79" s="49" t="n">
        <v>16</v>
      </c>
      <c r="I79" s="70" t="s">
        <v>368</v>
      </c>
      <c r="J79" s="70" t="n">
        <v>200</v>
      </c>
      <c r="K79" s="73" t="n">
        <v>1</v>
      </c>
      <c r="L79" s="49" t="n">
        <v>36</v>
      </c>
      <c r="M79" s="67" t="n">
        <v>1.45</v>
      </c>
      <c r="N79" s="68" t="n">
        <f aca="false">K79*L79*M79</f>
        <v>52.2</v>
      </c>
      <c r="O79" s="34" t="n">
        <f aca="false">IFERROR(INDEX(Исходные!$B$18:$B$30,MATCH(H79,Исходные!$A$18:$A$30,0)),0)</f>
        <v>1.578</v>
      </c>
      <c r="P79" s="74" t="n">
        <f aca="false">N79*O79</f>
        <v>82.3716</v>
      </c>
      <c r="Q79" s="20" t="s">
        <v>482</v>
      </c>
      <c r="R79" s="76" t="s">
        <v>392</v>
      </c>
      <c r="S79" s="20"/>
      <c r="T79" s="20" t="s">
        <v>9</v>
      </c>
      <c r="U79" s="47" t="n">
        <v>1</v>
      </c>
      <c r="V79" s="70" t="s">
        <v>105</v>
      </c>
      <c r="W79" s="47" t="n">
        <v>1</v>
      </c>
    </row>
    <row r="80" customFormat="false" ht="23.85" hidden="false" customHeight="false" outlineLevel="0" collapsed="false">
      <c r="A80" s="70" t="n">
        <v>74</v>
      </c>
      <c r="B80" s="20" t="s">
        <v>363</v>
      </c>
      <c r="C80" s="20" t="s">
        <v>364</v>
      </c>
      <c r="D80" s="20" t="s">
        <v>476</v>
      </c>
      <c r="E80" s="20" t="s">
        <v>105</v>
      </c>
      <c r="F80" s="70" t="s">
        <v>396</v>
      </c>
      <c r="G80" s="20" t="s">
        <v>485</v>
      </c>
      <c r="H80" s="49" t="n">
        <v>10</v>
      </c>
      <c r="I80" s="70" t="s">
        <v>368</v>
      </c>
      <c r="J80" s="70" t="n">
        <v>200</v>
      </c>
      <c r="K80" s="73" t="n">
        <v>1</v>
      </c>
      <c r="L80" s="49" t="n">
        <v>6</v>
      </c>
      <c r="M80" s="67" t="n">
        <v>1.25</v>
      </c>
      <c r="N80" s="68" t="n">
        <f aca="false">K80*L80*M80</f>
        <v>7.5</v>
      </c>
      <c r="O80" s="34" t="n">
        <f aca="false">IFERROR(INDEX(Исходные!$B$18:$B$30,MATCH(H80,Исходные!$A$18:$A$30,0)),0)</f>
        <v>0.617</v>
      </c>
      <c r="P80" s="74" t="n">
        <f aca="false">N80*O80</f>
        <v>4.6275</v>
      </c>
      <c r="Q80" s="20" t="s">
        <v>486</v>
      </c>
      <c r="R80" s="75" t="s">
        <v>371</v>
      </c>
      <c r="S80" s="20"/>
      <c r="T80" s="20" t="s">
        <v>9</v>
      </c>
      <c r="U80" s="47" t="n">
        <v>0</v>
      </c>
      <c r="V80" s="70" t="s">
        <v>105</v>
      </c>
      <c r="W80" s="47" t="n">
        <v>1</v>
      </c>
    </row>
    <row r="81" customFormat="false" ht="23.85" hidden="false" customHeight="false" outlineLevel="0" collapsed="false">
      <c r="A81" s="70" t="n">
        <v>75</v>
      </c>
      <c r="B81" s="20" t="s">
        <v>363</v>
      </c>
      <c r="C81" s="20" t="s">
        <v>364</v>
      </c>
      <c r="D81" s="20" t="s">
        <v>476</v>
      </c>
      <c r="E81" s="20" t="s">
        <v>105</v>
      </c>
      <c r="F81" s="70" t="s">
        <v>396</v>
      </c>
      <c r="G81" s="20" t="s">
        <v>487</v>
      </c>
      <c r="H81" s="49" t="n">
        <v>14</v>
      </c>
      <c r="I81" s="70" t="s">
        <v>368</v>
      </c>
      <c r="J81" s="70" t="n">
        <v>200</v>
      </c>
      <c r="K81" s="73" t="n">
        <v>1</v>
      </c>
      <c r="L81" s="49" t="n">
        <v>6</v>
      </c>
      <c r="M81" s="67" t="n">
        <v>1.45</v>
      </c>
      <c r="N81" s="68" t="n">
        <f aca="false">K81*L81*M81</f>
        <v>8.7</v>
      </c>
      <c r="O81" s="34" t="n">
        <f aca="false">IFERROR(INDEX(Исходные!$B$18:$B$30,MATCH(H81,Исходные!$A$18:$A$30,0)),0)</f>
        <v>1.208</v>
      </c>
      <c r="P81" s="74" t="n">
        <f aca="false">N81*O81</f>
        <v>10.5096</v>
      </c>
      <c r="Q81" s="20" t="s">
        <v>486</v>
      </c>
      <c r="R81" s="75" t="s">
        <v>371</v>
      </c>
      <c r="S81" s="20"/>
      <c r="T81" s="20" t="s">
        <v>9</v>
      </c>
      <c r="U81" s="47" t="n">
        <v>0</v>
      </c>
      <c r="V81" s="70" t="s">
        <v>105</v>
      </c>
      <c r="W81" s="47" t="n">
        <v>1</v>
      </c>
    </row>
    <row r="82" customFormat="false" ht="23.85" hidden="false" customHeight="false" outlineLevel="0" collapsed="false">
      <c r="A82" s="70" t="n">
        <v>76</v>
      </c>
      <c r="B82" s="20" t="s">
        <v>363</v>
      </c>
      <c r="C82" s="20" t="s">
        <v>364</v>
      </c>
      <c r="D82" s="20" t="s">
        <v>476</v>
      </c>
      <c r="E82" s="20" t="s">
        <v>105</v>
      </c>
      <c r="F82" s="70" t="s">
        <v>401</v>
      </c>
      <c r="G82" s="20" t="s">
        <v>440</v>
      </c>
      <c r="H82" s="49" t="n">
        <v>10</v>
      </c>
      <c r="I82" s="70" t="s">
        <v>403</v>
      </c>
      <c r="J82" s="70" t="s">
        <v>404</v>
      </c>
      <c r="K82" s="73" t="n">
        <v>1</v>
      </c>
      <c r="L82" s="49" t="n">
        <v>36</v>
      </c>
      <c r="M82" s="67" t="n">
        <v>1.33</v>
      </c>
      <c r="N82" s="68" t="n">
        <f aca="false">K82*L82*M82</f>
        <v>47.88</v>
      </c>
      <c r="O82" s="34" t="n">
        <f aca="false">IFERROR(INDEX(Исходные!$B$18:$B$30,MATCH(H82,Исходные!$A$18:$A$30,0)),0)</f>
        <v>0.617</v>
      </c>
      <c r="P82" s="74" t="n">
        <f aca="false">N82*O82</f>
        <v>29.54196</v>
      </c>
      <c r="Q82" s="20" t="s">
        <v>405</v>
      </c>
      <c r="R82" s="75" t="s">
        <v>371</v>
      </c>
      <c r="S82" s="20"/>
      <c r="T82" s="20" t="s">
        <v>9</v>
      </c>
      <c r="U82" s="47" t="n">
        <v>0</v>
      </c>
      <c r="V82" s="70" t="s">
        <v>105</v>
      </c>
      <c r="W82" s="47" t="n">
        <v>1</v>
      </c>
    </row>
    <row r="83" customFormat="false" ht="23.85" hidden="false" customHeight="false" outlineLevel="0" collapsed="false">
      <c r="A83" s="70" t="n">
        <v>77</v>
      </c>
      <c r="B83" s="20" t="s">
        <v>363</v>
      </c>
      <c r="C83" s="20" t="s">
        <v>364</v>
      </c>
      <c r="D83" s="20" t="s">
        <v>476</v>
      </c>
      <c r="E83" s="20" t="s">
        <v>105</v>
      </c>
      <c r="F83" s="70" t="s">
        <v>406</v>
      </c>
      <c r="G83" s="20" t="s">
        <v>441</v>
      </c>
      <c r="H83" s="49" t="n">
        <v>10</v>
      </c>
      <c r="I83" s="70" t="s">
        <v>403</v>
      </c>
      <c r="J83" s="70" t="s">
        <v>404</v>
      </c>
      <c r="K83" s="73" t="n">
        <v>1</v>
      </c>
      <c r="L83" s="49" t="n">
        <v>18</v>
      </c>
      <c r="M83" s="67" t="n">
        <v>1.56</v>
      </c>
      <c r="N83" s="68" t="n">
        <f aca="false">K83*L83*M83</f>
        <v>28.08</v>
      </c>
      <c r="O83" s="34" t="n">
        <f aca="false">IFERROR(INDEX(Исходные!$B$18:$B$30,MATCH(H83,Исходные!$A$18:$A$30,0)),0)</f>
        <v>0.617</v>
      </c>
      <c r="P83" s="74" t="n">
        <f aca="false">N83*O83</f>
        <v>17.32536</v>
      </c>
      <c r="Q83" s="20" t="s">
        <v>408</v>
      </c>
      <c r="R83" s="75" t="s">
        <v>371</v>
      </c>
      <c r="S83" s="20"/>
      <c r="T83" s="20" t="s">
        <v>9</v>
      </c>
      <c r="U83" s="47" t="n">
        <v>0</v>
      </c>
      <c r="V83" s="70" t="s">
        <v>105</v>
      </c>
      <c r="W83" s="47" t="n">
        <v>1</v>
      </c>
    </row>
    <row r="84" customFormat="false" ht="23.85" hidden="false" customHeight="false" outlineLevel="0" collapsed="false">
      <c r="A84" s="70" t="n">
        <v>78</v>
      </c>
      <c r="B84" s="20" t="s">
        <v>363</v>
      </c>
      <c r="C84" s="20" t="s">
        <v>364</v>
      </c>
      <c r="D84" s="20" t="s">
        <v>476</v>
      </c>
      <c r="E84" s="20" t="s">
        <v>105</v>
      </c>
      <c r="F84" s="70" t="s">
        <v>460</v>
      </c>
      <c r="G84" s="20" t="s">
        <v>410</v>
      </c>
      <c r="H84" s="49" t="n">
        <v>8</v>
      </c>
      <c r="I84" s="70" t="s">
        <v>403</v>
      </c>
      <c r="J84" s="70" t="s">
        <v>404</v>
      </c>
      <c r="K84" s="73" t="n">
        <v>1</v>
      </c>
      <c r="L84" s="49" t="n">
        <v>18</v>
      </c>
      <c r="M84" s="67" t="n">
        <v>1.76</v>
      </c>
      <c r="N84" s="68" t="n">
        <f aca="false">K84*L84*M84</f>
        <v>31.68</v>
      </c>
      <c r="O84" s="34" t="n">
        <f aca="false">IFERROR(INDEX(Исходные!$B$18:$B$30,MATCH(H84,Исходные!$A$18:$A$30,0)),0)</f>
        <v>0.395</v>
      </c>
      <c r="P84" s="74" t="n">
        <f aca="false">N84*O84</f>
        <v>12.5136</v>
      </c>
      <c r="Q84" s="20" t="s">
        <v>411</v>
      </c>
      <c r="R84" s="75" t="s">
        <v>371</v>
      </c>
      <c r="S84" s="20"/>
      <c r="T84" s="20" t="s">
        <v>9</v>
      </c>
      <c r="U84" s="47" t="n">
        <v>0</v>
      </c>
      <c r="V84" s="70" t="s">
        <v>105</v>
      </c>
      <c r="W84" s="47" t="n">
        <v>1</v>
      </c>
    </row>
    <row r="85" customFormat="false" ht="23.85" hidden="false" customHeight="false" outlineLevel="0" collapsed="false">
      <c r="A85" s="70" t="n">
        <v>79</v>
      </c>
      <c r="B85" s="20" t="s">
        <v>363</v>
      </c>
      <c r="C85" s="20" t="s">
        <v>364</v>
      </c>
      <c r="D85" s="20" t="s">
        <v>476</v>
      </c>
      <c r="E85" s="20" t="s">
        <v>105</v>
      </c>
      <c r="F85" s="70" t="s">
        <v>412</v>
      </c>
      <c r="G85" s="20" t="s">
        <v>413</v>
      </c>
      <c r="H85" s="49" t="n">
        <v>8</v>
      </c>
      <c r="I85" s="70" t="s">
        <v>403</v>
      </c>
      <c r="J85" s="70" t="s">
        <v>404</v>
      </c>
      <c r="K85" s="73" t="n">
        <v>1</v>
      </c>
      <c r="L85" s="49" t="n">
        <v>30</v>
      </c>
      <c r="M85" s="67" t="n">
        <v>2.44</v>
      </c>
      <c r="N85" s="68" t="n">
        <f aca="false">K85*L85*M85</f>
        <v>73.2</v>
      </c>
      <c r="O85" s="34" t="n">
        <f aca="false">IFERROR(INDEX(Исходные!$B$18:$B$30,MATCH(H85,Исходные!$A$18:$A$30,0)),0)</f>
        <v>0.395</v>
      </c>
      <c r="P85" s="74" t="n">
        <f aca="false">N85*O85</f>
        <v>28.914</v>
      </c>
      <c r="Q85" s="20" t="s">
        <v>414</v>
      </c>
      <c r="R85" s="75" t="s">
        <v>371</v>
      </c>
      <c r="S85" s="20"/>
      <c r="T85" s="20" t="s">
        <v>9</v>
      </c>
      <c r="U85" s="47" t="n">
        <v>0</v>
      </c>
      <c r="V85" s="70" t="s">
        <v>105</v>
      </c>
      <c r="W85" s="47" t="n">
        <v>1</v>
      </c>
    </row>
    <row r="86" customFormat="false" ht="23.85" hidden="false" customHeight="false" outlineLevel="0" collapsed="false">
      <c r="A86" s="70" t="n">
        <v>80</v>
      </c>
      <c r="B86" s="20" t="s">
        <v>363</v>
      </c>
      <c r="C86" s="20" t="s">
        <v>364</v>
      </c>
      <c r="D86" s="20" t="s">
        <v>476</v>
      </c>
      <c r="E86" s="20" t="s">
        <v>105</v>
      </c>
      <c r="F86" s="70" t="s">
        <v>415</v>
      </c>
      <c r="G86" s="20" t="s">
        <v>416</v>
      </c>
      <c r="H86" s="49" t="n">
        <v>8</v>
      </c>
      <c r="I86" s="70" t="s">
        <v>403</v>
      </c>
      <c r="J86" s="70" t="s">
        <v>404</v>
      </c>
      <c r="K86" s="73" t="n">
        <v>1</v>
      </c>
      <c r="L86" s="49" t="n">
        <v>36</v>
      </c>
      <c r="M86" s="67" t="n">
        <v>1.96</v>
      </c>
      <c r="N86" s="68" t="n">
        <f aca="false">K86*L86*M86</f>
        <v>70.56</v>
      </c>
      <c r="O86" s="34" t="n">
        <f aca="false">IFERROR(INDEX(Исходные!$B$18:$B$30,MATCH(H86,Исходные!$A$18:$A$30,0)),0)</f>
        <v>0.395</v>
      </c>
      <c r="P86" s="74" t="n">
        <f aca="false">N86*O86</f>
        <v>27.8712</v>
      </c>
      <c r="Q86" s="20" t="s">
        <v>417</v>
      </c>
      <c r="R86" s="75" t="s">
        <v>371</v>
      </c>
      <c r="S86" s="20"/>
      <c r="T86" s="20" t="s">
        <v>9</v>
      </c>
      <c r="U86" s="47" t="n">
        <v>0</v>
      </c>
      <c r="V86" s="70" t="s">
        <v>105</v>
      </c>
      <c r="W86" s="47" t="n">
        <v>1</v>
      </c>
    </row>
    <row r="87" customFormat="false" ht="23.85" hidden="false" customHeight="false" outlineLevel="0" collapsed="false">
      <c r="A87" s="70" t="n">
        <v>81</v>
      </c>
      <c r="B87" s="20" t="s">
        <v>363</v>
      </c>
      <c r="C87" s="20" t="s">
        <v>364</v>
      </c>
      <c r="D87" s="20" t="s">
        <v>476</v>
      </c>
      <c r="E87" s="20" t="s">
        <v>105</v>
      </c>
      <c r="F87" s="70" t="s">
        <v>418</v>
      </c>
      <c r="G87" s="20" t="s">
        <v>488</v>
      </c>
      <c r="H87" s="49" t="n">
        <v>8</v>
      </c>
      <c r="I87" s="70" t="s">
        <v>403</v>
      </c>
      <c r="J87" s="70" t="s">
        <v>404</v>
      </c>
      <c r="K87" s="73" t="n">
        <v>1</v>
      </c>
      <c r="L87" s="49" t="n">
        <v>54</v>
      </c>
      <c r="M87" s="67" t="n">
        <v>0.53</v>
      </c>
      <c r="N87" s="68" t="n">
        <f aca="false">K87*L87*M87</f>
        <v>28.62</v>
      </c>
      <c r="O87" s="34" t="n">
        <f aca="false">IFERROR(INDEX(Исходные!$B$18:$B$30,MATCH(H87,Исходные!$A$18:$A$30,0)),0)</f>
        <v>0.395</v>
      </c>
      <c r="P87" s="74" t="n">
        <f aca="false">N87*O87</f>
        <v>11.3049</v>
      </c>
      <c r="Q87" s="20" t="s">
        <v>420</v>
      </c>
      <c r="R87" s="75" t="s">
        <v>371</v>
      </c>
      <c r="S87" s="20"/>
      <c r="T87" s="20" t="s">
        <v>9</v>
      </c>
      <c r="U87" s="47" t="n">
        <v>0</v>
      </c>
      <c r="V87" s="70" t="s">
        <v>105</v>
      </c>
      <c r="W87" s="47" t="n">
        <v>1</v>
      </c>
    </row>
    <row r="88" customFormat="false" ht="15" hidden="false" customHeight="true" outlineLevel="0" collapsed="false">
      <c r="A88" s="72" t="s">
        <v>489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</row>
    <row r="89" customFormat="false" ht="35.05" hidden="false" customHeight="false" outlineLevel="0" collapsed="false">
      <c r="A89" s="70" t="n">
        <v>82</v>
      </c>
      <c r="B89" s="20" t="s">
        <v>363</v>
      </c>
      <c r="C89" s="20" t="s">
        <v>490</v>
      </c>
      <c r="D89" s="20" t="s">
        <v>491</v>
      </c>
      <c r="E89" s="20" t="s">
        <v>492</v>
      </c>
      <c r="F89" s="70" t="s">
        <v>366</v>
      </c>
      <c r="G89" s="20" t="s">
        <v>493</v>
      </c>
      <c r="H89" s="49" t="n">
        <v>32</v>
      </c>
      <c r="I89" s="70" t="s">
        <v>368</v>
      </c>
      <c r="J89" s="70" t="s">
        <v>369</v>
      </c>
      <c r="K89" s="73" t="n">
        <v>3</v>
      </c>
      <c r="L89" s="49" t="n">
        <v>4</v>
      </c>
      <c r="M89" s="67" t="n">
        <v>4</v>
      </c>
      <c r="N89" s="68" t="n">
        <f aca="false">K89*L89*M89</f>
        <v>48</v>
      </c>
      <c r="O89" s="34" t="n">
        <f aca="false">IFERROR(INDEX(Исходные!$B$18:$B$30,MATCH(H89,Исходные!$A$18:$A$30,0)),0)</f>
        <v>6.313</v>
      </c>
      <c r="P89" s="74" t="n">
        <f aca="false">N89*O89</f>
        <v>303.024</v>
      </c>
      <c r="Q89" s="20" t="s">
        <v>494</v>
      </c>
      <c r="R89" s="76" t="s">
        <v>495</v>
      </c>
      <c r="S89" s="20" t="s">
        <v>496</v>
      </c>
      <c r="T89" s="20" t="s">
        <v>9</v>
      </c>
      <c r="U89" s="47" t="n">
        <v>1</v>
      </c>
      <c r="V89" s="70" t="s">
        <v>492</v>
      </c>
      <c r="W89" s="47" t="n">
        <v>1</v>
      </c>
    </row>
    <row r="90" customFormat="false" ht="23.85" hidden="false" customHeight="false" outlineLevel="0" collapsed="false">
      <c r="A90" s="70" t="n">
        <v>83</v>
      </c>
      <c r="B90" s="20" t="s">
        <v>363</v>
      </c>
      <c r="C90" s="20" t="s">
        <v>490</v>
      </c>
      <c r="D90" s="20" t="s">
        <v>491</v>
      </c>
      <c r="E90" s="20" t="s">
        <v>492</v>
      </c>
      <c r="F90" s="70" t="s">
        <v>373</v>
      </c>
      <c r="G90" s="20" t="s">
        <v>497</v>
      </c>
      <c r="H90" s="49" t="n">
        <v>20</v>
      </c>
      <c r="I90" s="70" t="s">
        <v>368</v>
      </c>
      <c r="J90" s="70" t="s">
        <v>369</v>
      </c>
      <c r="K90" s="73" t="n">
        <v>3</v>
      </c>
      <c r="L90" s="49" t="n">
        <v>8</v>
      </c>
      <c r="M90" s="67" t="n">
        <v>4</v>
      </c>
      <c r="N90" s="68" t="n">
        <f aca="false">K90*L90*M90</f>
        <v>96</v>
      </c>
      <c r="O90" s="34" t="n">
        <f aca="false">IFERROR(INDEX(Исходные!$B$18:$B$30,MATCH(H90,Исходные!$A$18:$A$30,0)),0)</f>
        <v>2.466</v>
      </c>
      <c r="P90" s="74" t="n">
        <f aca="false">N90*O90</f>
        <v>236.736</v>
      </c>
      <c r="Q90" s="20" t="s">
        <v>498</v>
      </c>
      <c r="R90" s="76" t="s">
        <v>495</v>
      </c>
      <c r="S90" s="20" t="s">
        <v>499</v>
      </c>
      <c r="T90" s="20" t="s">
        <v>9</v>
      </c>
      <c r="U90" s="47" t="n">
        <v>1</v>
      </c>
      <c r="V90" s="70" t="s">
        <v>492</v>
      </c>
      <c r="W90" s="47" t="n">
        <v>1</v>
      </c>
    </row>
    <row r="91" customFormat="false" ht="35.05" hidden="false" customHeight="false" outlineLevel="0" collapsed="false">
      <c r="A91" s="70" t="n">
        <v>84</v>
      </c>
      <c r="B91" s="20" t="s">
        <v>363</v>
      </c>
      <c r="C91" s="20" t="s">
        <v>490</v>
      </c>
      <c r="D91" s="20" t="s">
        <v>491</v>
      </c>
      <c r="E91" s="20" t="s">
        <v>492</v>
      </c>
      <c r="F91" s="70" t="s">
        <v>412</v>
      </c>
      <c r="G91" s="20" t="s">
        <v>500</v>
      </c>
      <c r="H91" s="49" t="n">
        <v>8</v>
      </c>
      <c r="I91" s="70" t="s">
        <v>403</v>
      </c>
      <c r="J91" s="70" t="s">
        <v>501</v>
      </c>
      <c r="K91" s="73" t="n">
        <v>3</v>
      </c>
      <c r="L91" s="49" t="n">
        <v>30</v>
      </c>
      <c r="M91" s="67" t="n">
        <v>2.44</v>
      </c>
      <c r="N91" s="68" t="n">
        <f aca="false">K91*L91*M91</f>
        <v>219.6</v>
      </c>
      <c r="O91" s="34" t="n">
        <f aca="false">IFERROR(INDEX(Исходные!$B$18:$B$30,MATCH(H91,Исходные!$A$18:$A$30,0)),0)</f>
        <v>0.395</v>
      </c>
      <c r="P91" s="74" t="n">
        <f aca="false">N91*O91</f>
        <v>86.742</v>
      </c>
      <c r="Q91" s="20" t="s">
        <v>502</v>
      </c>
      <c r="R91" s="75" t="s">
        <v>371</v>
      </c>
      <c r="S91" s="20"/>
      <c r="T91" s="20" t="s">
        <v>9</v>
      </c>
      <c r="U91" s="47" t="n">
        <v>0</v>
      </c>
      <c r="V91" s="70" t="s">
        <v>492</v>
      </c>
      <c r="W91" s="47" t="n">
        <v>1</v>
      </c>
    </row>
    <row r="92" customFormat="false" ht="23.85" hidden="false" customHeight="false" outlineLevel="0" collapsed="false">
      <c r="A92" s="70" t="n">
        <v>85</v>
      </c>
      <c r="B92" s="20" t="s">
        <v>363</v>
      </c>
      <c r="C92" s="20" t="s">
        <v>490</v>
      </c>
      <c r="D92" s="20" t="s">
        <v>491</v>
      </c>
      <c r="E92" s="20" t="s">
        <v>492</v>
      </c>
      <c r="F92" s="70" t="s">
        <v>415</v>
      </c>
      <c r="G92" s="20" t="s">
        <v>503</v>
      </c>
      <c r="H92" s="49" t="n">
        <v>8</v>
      </c>
      <c r="I92" s="70" t="s">
        <v>403</v>
      </c>
      <c r="J92" s="70" t="n">
        <v>200</v>
      </c>
      <c r="K92" s="73" t="n">
        <v>3</v>
      </c>
      <c r="L92" s="49" t="n">
        <v>36</v>
      </c>
      <c r="M92" s="67" t="n">
        <v>1.96</v>
      </c>
      <c r="N92" s="68" t="n">
        <f aca="false">K92*L92*M92</f>
        <v>211.68</v>
      </c>
      <c r="O92" s="34" t="n">
        <f aca="false">IFERROR(INDEX(Исходные!$B$18:$B$30,MATCH(H92,Исходные!$A$18:$A$30,0)),0)</f>
        <v>0.395</v>
      </c>
      <c r="P92" s="74" t="n">
        <f aca="false">N92*O92</f>
        <v>83.6136</v>
      </c>
      <c r="Q92" s="20" t="s">
        <v>504</v>
      </c>
      <c r="R92" s="75" t="s">
        <v>371</v>
      </c>
      <c r="S92" s="20"/>
      <c r="T92" s="20" t="s">
        <v>9</v>
      </c>
      <c r="U92" s="47" t="n">
        <v>0</v>
      </c>
      <c r="V92" s="70" t="s">
        <v>492</v>
      </c>
      <c r="W92" s="47" t="n">
        <v>1</v>
      </c>
    </row>
    <row r="93" customFormat="false" ht="35.05" hidden="false" customHeight="false" outlineLevel="0" collapsed="false">
      <c r="A93" s="70" t="n">
        <v>86</v>
      </c>
      <c r="B93" s="20" t="s">
        <v>363</v>
      </c>
      <c r="C93" s="20" t="s">
        <v>490</v>
      </c>
      <c r="D93" s="20" t="s">
        <v>505</v>
      </c>
      <c r="E93" s="20" t="s">
        <v>506</v>
      </c>
      <c r="F93" s="70" t="s">
        <v>366</v>
      </c>
      <c r="G93" s="20" t="s">
        <v>493</v>
      </c>
      <c r="H93" s="49" t="n">
        <v>32</v>
      </c>
      <c r="I93" s="70" t="s">
        <v>368</v>
      </c>
      <c r="J93" s="70" t="s">
        <v>369</v>
      </c>
      <c r="K93" s="73" t="n">
        <v>5</v>
      </c>
      <c r="L93" s="49" t="n">
        <v>4</v>
      </c>
      <c r="M93" s="67" t="n">
        <v>4</v>
      </c>
      <c r="N93" s="68" t="n">
        <f aca="false">K93*L93*M93</f>
        <v>80</v>
      </c>
      <c r="O93" s="34" t="n">
        <f aca="false">IFERROR(INDEX(Исходные!$B$18:$B$30,MATCH(H93,Исходные!$A$18:$A$30,0)),0)</f>
        <v>6.313</v>
      </c>
      <c r="P93" s="74" t="n">
        <f aca="false">N93*O93</f>
        <v>505.04</v>
      </c>
      <c r="Q93" s="20" t="s">
        <v>494</v>
      </c>
      <c r="R93" s="76" t="s">
        <v>495</v>
      </c>
      <c r="S93" s="20" t="s">
        <v>496</v>
      </c>
      <c r="T93" s="20" t="s">
        <v>9</v>
      </c>
      <c r="U93" s="47" t="n">
        <v>1</v>
      </c>
      <c r="V93" s="70" t="s">
        <v>506</v>
      </c>
      <c r="W93" s="47" t="n">
        <v>1</v>
      </c>
    </row>
    <row r="94" customFormat="false" ht="23.85" hidden="false" customHeight="false" outlineLevel="0" collapsed="false">
      <c r="A94" s="70" t="n">
        <v>87</v>
      </c>
      <c r="B94" s="20" t="s">
        <v>363</v>
      </c>
      <c r="C94" s="20" t="s">
        <v>490</v>
      </c>
      <c r="D94" s="20" t="s">
        <v>505</v>
      </c>
      <c r="E94" s="20" t="s">
        <v>506</v>
      </c>
      <c r="F94" s="70" t="s">
        <v>373</v>
      </c>
      <c r="G94" s="20" t="s">
        <v>497</v>
      </c>
      <c r="H94" s="49" t="n">
        <v>20</v>
      </c>
      <c r="I94" s="70" t="s">
        <v>368</v>
      </c>
      <c r="J94" s="70" t="s">
        <v>369</v>
      </c>
      <c r="K94" s="73" t="n">
        <v>5</v>
      </c>
      <c r="L94" s="49" t="n">
        <v>8</v>
      </c>
      <c r="M94" s="67" t="n">
        <v>4</v>
      </c>
      <c r="N94" s="68" t="n">
        <f aca="false">K94*L94*M94</f>
        <v>160</v>
      </c>
      <c r="O94" s="34" t="n">
        <f aca="false">IFERROR(INDEX(Исходные!$B$18:$B$30,MATCH(H94,Исходные!$A$18:$A$30,0)),0)</f>
        <v>2.466</v>
      </c>
      <c r="P94" s="74" t="n">
        <f aca="false">N94*O94</f>
        <v>394.56</v>
      </c>
      <c r="Q94" s="20" t="s">
        <v>498</v>
      </c>
      <c r="R94" s="76" t="s">
        <v>495</v>
      </c>
      <c r="S94" s="20" t="s">
        <v>499</v>
      </c>
      <c r="T94" s="20" t="s">
        <v>9</v>
      </c>
      <c r="U94" s="47" t="n">
        <v>1</v>
      </c>
      <c r="V94" s="70" t="s">
        <v>506</v>
      </c>
      <c r="W94" s="47" t="n">
        <v>1</v>
      </c>
    </row>
    <row r="95" customFormat="false" ht="35.05" hidden="false" customHeight="false" outlineLevel="0" collapsed="false">
      <c r="A95" s="70" t="n">
        <v>88</v>
      </c>
      <c r="B95" s="20" t="s">
        <v>363</v>
      </c>
      <c r="C95" s="20" t="s">
        <v>490</v>
      </c>
      <c r="D95" s="20" t="s">
        <v>505</v>
      </c>
      <c r="E95" s="20" t="s">
        <v>506</v>
      </c>
      <c r="F95" s="70" t="s">
        <v>412</v>
      </c>
      <c r="G95" s="20" t="s">
        <v>500</v>
      </c>
      <c r="H95" s="49" t="n">
        <v>8</v>
      </c>
      <c r="I95" s="70" t="s">
        <v>403</v>
      </c>
      <c r="J95" s="70" t="s">
        <v>501</v>
      </c>
      <c r="K95" s="73" t="n">
        <v>5</v>
      </c>
      <c r="L95" s="49" t="n">
        <v>30</v>
      </c>
      <c r="M95" s="67" t="n">
        <v>2.44</v>
      </c>
      <c r="N95" s="68" t="n">
        <f aca="false">K95*L95*M95</f>
        <v>366</v>
      </c>
      <c r="O95" s="34" t="n">
        <f aca="false">IFERROR(INDEX(Исходные!$B$18:$B$30,MATCH(H95,Исходные!$A$18:$A$30,0)),0)</f>
        <v>0.395</v>
      </c>
      <c r="P95" s="74" t="n">
        <f aca="false">N95*O95</f>
        <v>144.57</v>
      </c>
      <c r="Q95" s="20" t="s">
        <v>502</v>
      </c>
      <c r="R95" s="75" t="s">
        <v>371</v>
      </c>
      <c r="S95" s="20"/>
      <c r="T95" s="20" t="s">
        <v>9</v>
      </c>
      <c r="U95" s="47" t="n">
        <v>0</v>
      </c>
      <c r="V95" s="70" t="s">
        <v>506</v>
      </c>
      <c r="W95" s="47" t="n">
        <v>1</v>
      </c>
    </row>
    <row r="96" customFormat="false" ht="23.85" hidden="false" customHeight="false" outlineLevel="0" collapsed="false">
      <c r="A96" s="70" t="n">
        <v>89</v>
      </c>
      <c r="B96" s="20" t="s">
        <v>363</v>
      </c>
      <c r="C96" s="20" t="s">
        <v>490</v>
      </c>
      <c r="D96" s="20" t="s">
        <v>505</v>
      </c>
      <c r="E96" s="20" t="s">
        <v>506</v>
      </c>
      <c r="F96" s="70" t="s">
        <v>415</v>
      </c>
      <c r="G96" s="20" t="s">
        <v>503</v>
      </c>
      <c r="H96" s="49" t="n">
        <v>8</v>
      </c>
      <c r="I96" s="70" t="s">
        <v>403</v>
      </c>
      <c r="J96" s="70" t="n">
        <v>200</v>
      </c>
      <c r="K96" s="73" t="n">
        <v>5</v>
      </c>
      <c r="L96" s="49" t="n">
        <v>36</v>
      </c>
      <c r="M96" s="67" t="n">
        <v>1.96</v>
      </c>
      <c r="N96" s="68" t="n">
        <f aca="false">K96*L96*M96</f>
        <v>352.8</v>
      </c>
      <c r="O96" s="34" t="n">
        <f aca="false">IFERROR(INDEX(Исходные!$B$18:$B$30,MATCH(H96,Исходные!$A$18:$A$30,0)),0)</f>
        <v>0.395</v>
      </c>
      <c r="P96" s="74" t="n">
        <f aca="false">N96*O96</f>
        <v>139.356</v>
      </c>
      <c r="Q96" s="20" t="s">
        <v>504</v>
      </c>
      <c r="R96" s="75" t="s">
        <v>371</v>
      </c>
      <c r="S96" s="20"/>
      <c r="T96" s="20" t="s">
        <v>9</v>
      </c>
      <c r="U96" s="47" t="n">
        <v>0</v>
      </c>
      <c r="V96" s="70" t="s">
        <v>506</v>
      </c>
      <c r="W96" s="47" t="n">
        <v>1</v>
      </c>
    </row>
    <row r="97" customFormat="false" ht="35.05" hidden="false" customHeight="false" outlineLevel="0" collapsed="false">
      <c r="A97" s="70" t="n">
        <v>90</v>
      </c>
      <c r="B97" s="20" t="s">
        <v>363</v>
      </c>
      <c r="C97" s="20" t="s">
        <v>490</v>
      </c>
      <c r="D97" s="20" t="s">
        <v>507</v>
      </c>
      <c r="E97" s="20" t="s">
        <v>508</v>
      </c>
      <c r="F97" s="70" t="s">
        <v>366</v>
      </c>
      <c r="G97" s="20" t="s">
        <v>493</v>
      </c>
      <c r="H97" s="49" t="n">
        <v>32</v>
      </c>
      <c r="I97" s="70" t="s">
        <v>368</v>
      </c>
      <c r="J97" s="70" t="s">
        <v>369</v>
      </c>
      <c r="K97" s="73" t="n">
        <v>5</v>
      </c>
      <c r="L97" s="49" t="n">
        <v>4</v>
      </c>
      <c r="M97" s="67" t="n">
        <v>4</v>
      </c>
      <c r="N97" s="68" t="n">
        <f aca="false">K97*L97*M97</f>
        <v>80</v>
      </c>
      <c r="O97" s="34" t="n">
        <f aca="false">IFERROR(INDEX(Исходные!$B$18:$B$30,MATCH(H97,Исходные!$A$18:$A$30,0)),0)</f>
        <v>6.313</v>
      </c>
      <c r="P97" s="74" t="n">
        <f aca="false">N97*O97</f>
        <v>505.04</v>
      </c>
      <c r="Q97" s="20" t="s">
        <v>494</v>
      </c>
      <c r="R97" s="76" t="s">
        <v>495</v>
      </c>
      <c r="S97" s="20" t="s">
        <v>496</v>
      </c>
      <c r="T97" s="20" t="s">
        <v>9</v>
      </c>
      <c r="U97" s="47" t="n">
        <v>1</v>
      </c>
      <c r="V97" s="70" t="s">
        <v>508</v>
      </c>
      <c r="W97" s="47" t="n">
        <v>1</v>
      </c>
    </row>
    <row r="98" customFormat="false" ht="23.85" hidden="false" customHeight="false" outlineLevel="0" collapsed="false">
      <c r="A98" s="70" t="n">
        <v>91</v>
      </c>
      <c r="B98" s="20" t="s">
        <v>363</v>
      </c>
      <c r="C98" s="20" t="s">
        <v>490</v>
      </c>
      <c r="D98" s="20" t="s">
        <v>507</v>
      </c>
      <c r="E98" s="20" t="s">
        <v>508</v>
      </c>
      <c r="F98" s="70" t="s">
        <v>373</v>
      </c>
      <c r="G98" s="20" t="s">
        <v>497</v>
      </c>
      <c r="H98" s="49" t="n">
        <v>20</v>
      </c>
      <c r="I98" s="70" t="s">
        <v>368</v>
      </c>
      <c r="J98" s="70" t="s">
        <v>369</v>
      </c>
      <c r="K98" s="73" t="n">
        <v>5</v>
      </c>
      <c r="L98" s="49" t="n">
        <v>8</v>
      </c>
      <c r="M98" s="67" t="n">
        <v>4</v>
      </c>
      <c r="N98" s="68" t="n">
        <f aca="false">K98*L98*M98</f>
        <v>160</v>
      </c>
      <c r="O98" s="34" t="n">
        <f aca="false">IFERROR(INDEX(Исходные!$B$18:$B$30,MATCH(H98,Исходные!$A$18:$A$30,0)),0)</f>
        <v>2.466</v>
      </c>
      <c r="P98" s="74" t="n">
        <f aca="false">N98*O98</f>
        <v>394.56</v>
      </c>
      <c r="Q98" s="20" t="s">
        <v>498</v>
      </c>
      <c r="R98" s="76" t="s">
        <v>495</v>
      </c>
      <c r="S98" s="20" t="s">
        <v>499</v>
      </c>
      <c r="T98" s="20" t="s">
        <v>9</v>
      </c>
      <c r="U98" s="47" t="n">
        <v>1</v>
      </c>
      <c r="V98" s="70" t="s">
        <v>508</v>
      </c>
      <c r="W98" s="47" t="n">
        <v>1</v>
      </c>
    </row>
    <row r="99" customFormat="false" ht="35.05" hidden="false" customHeight="false" outlineLevel="0" collapsed="false">
      <c r="A99" s="70" t="n">
        <v>92</v>
      </c>
      <c r="B99" s="20" t="s">
        <v>363</v>
      </c>
      <c r="C99" s="20" t="s">
        <v>490</v>
      </c>
      <c r="D99" s="20" t="s">
        <v>507</v>
      </c>
      <c r="E99" s="20" t="s">
        <v>508</v>
      </c>
      <c r="F99" s="70" t="s">
        <v>412</v>
      </c>
      <c r="G99" s="20" t="s">
        <v>500</v>
      </c>
      <c r="H99" s="49" t="n">
        <v>8</v>
      </c>
      <c r="I99" s="70" t="s">
        <v>403</v>
      </c>
      <c r="J99" s="70" t="s">
        <v>501</v>
      </c>
      <c r="K99" s="73" t="n">
        <v>5</v>
      </c>
      <c r="L99" s="49" t="n">
        <v>30</v>
      </c>
      <c r="M99" s="67" t="n">
        <v>2.44</v>
      </c>
      <c r="N99" s="68" t="n">
        <f aca="false">K99*L99*M99</f>
        <v>366</v>
      </c>
      <c r="O99" s="34" t="n">
        <f aca="false">IFERROR(INDEX(Исходные!$B$18:$B$30,MATCH(H99,Исходные!$A$18:$A$30,0)),0)</f>
        <v>0.395</v>
      </c>
      <c r="P99" s="74" t="n">
        <f aca="false">N99*O99</f>
        <v>144.57</v>
      </c>
      <c r="Q99" s="20" t="s">
        <v>502</v>
      </c>
      <c r="R99" s="75" t="s">
        <v>371</v>
      </c>
      <c r="S99" s="20"/>
      <c r="T99" s="20" t="s">
        <v>9</v>
      </c>
      <c r="U99" s="47" t="n">
        <v>0</v>
      </c>
      <c r="V99" s="70" t="s">
        <v>508</v>
      </c>
      <c r="W99" s="47" t="n">
        <v>1</v>
      </c>
    </row>
    <row r="100" customFormat="false" ht="23.85" hidden="false" customHeight="false" outlineLevel="0" collapsed="false">
      <c r="A100" s="70" t="n">
        <v>93</v>
      </c>
      <c r="B100" s="20" t="s">
        <v>363</v>
      </c>
      <c r="C100" s="20" t="s">
        <v>490</v>
      </c>
      <c r="D100" s="20" t="s">
        <v>507</v>
      </c>
      <c r="E100" s="20" t="s">
        <v>508</v>
      </c>
      <c r="F100" s="70" t="s">
        <v>415</v>
      </c>
      <c r="G100" s="20" t="s">
        <v>503</v>
      </c>
      <c r="H100" s="49" t="n">
        <v>8</v>
      </c>
      <c r="I100" s="70" t="s">
        <v>403</v>
      </c>
      <c r="J100" s="70" t="n">
        <v>200</v>
      </c>
      <c r="K100" s="73" t="n">
        <v>5</v>
      </c>
      <c r="L100" s="49" t="n">
        <v>36</v>
      </c>
      <c r="M100" s="67" t="n">
        <v>1.96</v>
      </c>
      <c r="N100" s="68" t="n">
        <f aca="false">K100*L100*M100</f>
        <v>352.8</v>
      </c>
      <c r="O100" s="34" t="n">
        <f aca="false">IFERROR(INDEX(Исходные!$B$18:$B$30,MATCH(H100,Исходные!$A$18:$A$30,0)),0)</f>
        <v>0.395</v>
      </c>
      <c r="P100" s="74" t="n">
        <f aca="false">N100*O100</f>
        <v>139.356</v>
      </c>
      <c r="Q100" s="20" t="s">
        <v>504</v>
      </c>
      <c r="R100" s="75" t="s">
        <v>371</v>
      </c>
      <c r="S100" s="20"/>
      <c r="T100" s="20" t="s">
        <v>9</v>
      </c>
      <c r="U100" s="47" t="n">
        <v>0</v>
      </c>
      <c r="V100" s="70" t="s">
        <v>508</v>
      </c>
      <c r="W100" s="47" t="n">
        <v>1</v>
      </c>
    </row>
    <row r="101" customFormat="false" ht="35.05" hidden="false" customHeight="false" outlineLevel="0" collapsed="false">
      <c r="A101" s="70" t="n">
        <v>94</v>
      </c>
      <c r="B101" s="20" t="s">
        <v>363</v>
      </c>
      <c r="C101" s="20" t="s">
        <v>490</v>
      </c>
      <c r="D101" s="20" t="s">
        <v>509</v>
      </c>
      <c r="E101" s="20" t="s">
        <v>510</v>
      </c>
      <c r="F101" s="70" t="s">
        <v>366</v>
      </c>
      <c r="G101" s="20" t="s">
        <v>493</v>
      </c>
      <c r="H101" s="49" t="n">
        <v>32</v>
      </c>
      <c r="I101" s="70" t="s">
        <v>368</v>
      </c>
      <c r="J101" s="70" t="s">
        <v>369</v>
      </c>
      <c r="K101" s="73" t="n">
        <v>2</v>
      </c>
      <c r="L101" s="49" t="n">
        <v>4</v>
      </c>
      <c r="M101" s="67" t="n">
        <v>4</v>
      </c>
      <c r="N101" s="68" t="n">
        <f aca="false">K101*L101*M101</f>
        <v>32</v>
      </c>
      <c r="O101" s="34" t="n">
        <f aca="false">IFERROR(INDEX(Исходные!$B$18:$B$30,MATCH(H101,Исходные!$A$18:$A$30,0)),0)</f>
        <v>6.313</v>
      </c>
      <c r="P101" s="74" t="n">
        <f aca="false">N101*O101</f>
        <v>202.016</v>
      </c>
      <c r="Q101" s="20" t="s">
        <v>494</v>
      </c>
      <c r="R101" s="76" t="s">
        <v>495</v>
      </c>
      <c r="S101" s="20" t="s">
        <v>496</v>
      </c>
      <c r="T101" s="20" t="s">
        <v>9</v>
      </c>
      <c r="U101" s="47" t="n">
        <v>1</v>
      </c>
      <c r="V101" s="70" t="s">
        <v>510</v>
      </c>
      <c r="W101" s="47" t="n">
        <v>1</v>
      </c>
    </row>
    <row r="102" customFormat="false" ht="23.85" hidden="false" customHeight="false" outlineLevel="0" collapsed="false">
      <c r="A102" s="70" t="n">
        <v>95</v>
      </c>
      <c r="B102" s="20" t="s">
        <v>363</v>
      </c>
      <c r="C102" s="20" t="s">
        <v>490</v>
      </c>
      <c r="D102" s="20" t="s">
        <v>509</v>
      </c>
      <c r="E102" s="20" t="s">
        <v>510</v>
      </c>
      <c r="F102" s="70" t="s">
        <v>373</v>
      </c>
      <c r="G102" s="20" t="s">
        <v>497</v>
      </c>
      <c r="H102" s="49" t="n">
        <v>20</v>
      </c>
      <c r="I102" s="70" t="s">
        <v>368</v>
      </c>
      <c r="J102" s="70" t="s">
        <v>369</v>
      </c>
      <c r="K102" s="73" t="n">
        <v>2</v>
      </c>
      <c r="L102" s="49" t="n">
        <v>8</v>
      </c>
      <c r="M102" s="67" t="n">
        <v>4</v>
      </c>
      <c r="N102" s="68" t="n">
        <f aca="false">K102*L102*M102</f>
        <v>64</v>
      </c>
      <c r="O102" s="34" t="n">
        <f aca="false">IFERROR(INDEX(Исходные!$B$18:$B$30,MATCH(H102,Исходные!$A$18:$A$30,0)),0)</f>
        <v>2.466</v>
      </c>
      <c r="P102" s="74" t="n">
        <f aca="false">N102*O102</f>
        <v>157.824</v>
      </c>
      <c r="Q102" s="20" t="s">
        <v>498</v>
      </c>
      <c r="R102" s="76" t="s">
        <v>495</v>
      </c>
      <c r="S102" s="20" t="s">
        <v>499</v>
      </c>
      <c r="T102" s="20" t="s">
        <v>9</v>
      </c>
      <c r="U102" s="47" t="n">
        <v>1</v>
      </c>
      <c r="V102" s="70" t="s">
        <v>510</v>
      </c>
      <c r="W102" s="47" t="n">
        <v>1</v>
      </c>
    </row>
    <row r="103" customFormat="false" ht="35.05" hidden="false" customHeight="false" outlineLevel="0" collapsed="false">
      <c r="A103" s="70" t="n">
        <v>96</v>
      </c>
      <c r="B103" s="20" t="s">
        <v>363</v>
      </c>
      <c r="C103" s="20" t="s">
        <v>490</v>
      </c>
      <c r="D103" s="20" t="s">
        <v>509</v>
      </c>
      <c r="E103" s="20" t="s">
        <v>510</v>
      </c>
      <c r="F103" s="70" t="s">
        <v>412</v>
      </c>
      <c r="G103" s="20" t="s">
        <v>500</v>
      </c>
      <c r="H103" s="49" t="n">
        <v>8</v>
      </c>
      <c r="I103" s="70" t="s">
        <v>403</v>
      </c>
      <c r="J103" s="70" t="s">
        <v>501</v>
      </c>
      <c r="K103" s="73" t="n">
        <v>2</v>
      </c>
      <c r="L103" s="49" t="n">
        <v>30</v>
      </c>
      <c r="M103" s="67" t="n">
        <v>2.44</v>
      </c>
      <c r="N103" s="68" t="n">
        <f aca="false">K103*L103*M103</f>
        <v>146.4</v>
      </c>
      <c r="O103" s="34" t="n">
        <f aca="false">IFERROR(INDEX(Исходные!$B$18:$B$30,MATCH(H103,Исходные!$A$18:$A$30,0)),0)</f>
        <v>0.395</v>
      </c>
      <c r="P103" s="74" t="n">
        <f aca="false">N103*O103</f>
        <v>57.828</v>
      </c>
      <c r="Q103" s="20" t="s">
        <v>502</v>
      </c>
      <c r="R103" s="75" t="s">
        <v>371</v>
      </c>
      <c r="S103" s="20"/>
      <c r="T103" s="20" t="s">
        <v>9</v>
      </c>
      <c r="U103" s="47" t="n">
        <v>0</v>
      </c>
      <c r="V103" s="70" t="s">
        <v>510</v>
      </c>
      <c r="W103" s="47" t="n">
        <v>1</v>
      </c>
    </row>
    <row r="104" customFormat="false" ht="23.85" hidden="false" customHeight="false" outlineLevel="0" collapsed="false">
      <c r="A104" s="70" t="n">
        <v>97</v>
      </c>
      <c r="B104" s="20" t="s">
        <v>363</v>
      </c>
      <c r="C104" s="20" t="s">
        <v>490</v>
      </c>
      <c r="D104" s="20" t="s">
        <v>509</v>
      </c>
      <c r="E104" s="20" t="s">
        <v>510</v>
      </c>
      <c r="F104" s="70" t="s">
        <v>415</v>
      </c>
      <c r="G104" s="20" t="s">
        <v>503</v>
      </c>
      <c r="H104" s="49" t="n">
        <v>8</v>
      </c>
      <c r="I104" s="70" t="s">
        <v>403</v>
      </c>
      <c r="J104" s="70" t="n">
        <v>200</v>
      </c>
      <c r="K104" s="73" t="n">
        <v>2</v>
      </c>
      <c r="L104" s="49" t="n">
        <v>36</v>
      </c>
      <c r="M104" s="67" t="n">
        <v>1.96</v>
      </c>
      <c r="N104" s="68" t="n">
        <f aca="false">K104*L104*M104</f>
        <v>141.12</v>
      </c>
      <c r="O104" s="34" t="n">
        <f aca="false">IFERROR(INDEX(Исходные!$B$18:$B$30,MATCH(H104,Исходные!$A$18:$A$30,0)),0)</f>
        <v>0.395</v>
      </c>
      <c r="P104" s="74" t="n">
        <f aca="false">N104*O104</f>
        <v>55.7424</v>
      </c>
      <c r="Q104" s="20" t="s">
        <v>504</v>
      </c>
      <c r="R104" s="75" t="s">
        <v>371</v>
      </c>
      <c r="S104" s="20"/>
      <c r="T104" s="20" t="s">
        <v>9</v>
      </c>
      <c r="U104" s="47" t="n">
        <v>0</v>
      </c>
      <c r="V104" s="70" t="s">
        <v>510</v>
      </c>
      <c r="W104" s="47" t="n">
        <v>1</v>
      </c>
    </row>
    <row r="105" customFormat="false" ht="15" hidden="false" customHeight="true" outlineLevel="0" collapsed="false">
      <c r="A105" s="72" t="s">
        <v>511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</row>
    <row r="106" customFormat="false" ht="35.05" hidden="false" customHeight="false" outlineLevel="0" collapsed="false">
      <c r="A106" s="70" t="n">
        <v>98</v>
      </c>
      <c r="B106" s="20" t="s">
        <v>363</v>
      </c>
      <c r="C106" s="20" t="s">
        <v>512</v>
      </c>
      <c r="D106" s="20" t="s">
        <v>513</v>
      </c>
      <c r="E106" s="20" t="s">
        <v>514</v>
      </c>
      <c r="F106" s="70" t="s">
        <v>376</v>
      </c>
      <c r="G106" s="20" t="s">
        <v>515</v>
      </c>
      <c r="H106" s="49" t="n">
        <v>28</v>
      </c>
      <c r="I106" s="70" t="s">
        <v>368</v>
      </c>
      <c r="J106" s="70" t="s">
        <v>369</v>
      </c>
      <c r="K106" s="73" t="n">
        <v>1</v>
      </c>
      <c r="L106" s="49" t="n">
        <v>4</v>
      </c>
      <c r="M106" s="67" t="n">
        <v>25.5</v>
      </c>
      <c r="N106" s="68" t="n">
        <f aca="false">K106*L106*M106</f>
        <v>102</v>
      </c>
      <c r="O106" s="34" t="n">
        <f aca="false">IFERROR(INDEX(Исходные!$B$18:$B$30,MATCH(H106,Исходные!$A$18:$A$30,0)),0)</f>
        <v>4.834</v>
      </c>
      <c r="P106" s="74" t="n">
        <f aca="false">N106*O106</f>
        <v>493.068</v>
      </c>
      <c r="Q106" s="20" t="s">
        <v>516</v>
      </c>
      <c r="R106" s="75" t="s">
        <v>517</v>
      </c>
      <c r="S106" s="20" t="s">
        <v>518</v>
      </c>
      <c r="T106" s="20" t="s">
        <v>73</v>
      </c>
      <c r="U106" s="47" t="n">
        <v>0</v>
      </c>
      <c r="V106" s="70" t="s">
        <v>514</v>
      </c>
      <c r="W106" s="47" t="n">
        <v>1</v>
      </c>
    </row>
    <row r="107" customFormat="false" ht="23.85" hidden="false" customHeight="false" outlineLevel="0" collapsed="false">
      <c r="A107" s="70" t="n">
        <v>99</v>
      </c>
      <c r="B107" s="20" t="s">
        <v>363</v>
      </c>
      <c r="C107" s="20" t="s">
        <v>512</v>
      </c>
      <c r="D107" s="20" t="s">
        <v>513</v>
      </c>
      <c r="E107" s="20" t="s">
        <v>514</v>
      </c>
      <c r="F107" s="70" t="s">
        <v>386</v>
      </c>
      <c r="G107" s="20" t="s">
        <v>519</v>
      </c>
      <c r="H107" s="49" t="n">
        <v>18</v>
      </c>
      <c r="I107" s="70" t="s">
        <v>368</v>
      </c>
      <c r="J107" s="70" t="s">
        <v>369</v>
      </c>
      <c r="K107" s="73" t="n">
        <v>1</v>
      </c>
      <c r="L107" s="49" t="n">
        <v>2</v>
      </c>
      <c r="M107" s="67" t="n">
        <v>25.5</v>
      </c>
      <c r="N107" s="68" t="n">
        <f aca="false">K107*L107*M107</f>
        <v>51</v>
      </c>
      <c r="O107" s="34" t="n">
        <f aca="false">IFERROR(INDEX(Исходные!$B$18:$B$30,MATCH(H107,Исходные!$A$18:$A$30,0)),0)</f>
        <v>1.998</v>
      </c>
      <c r="P107" s="74" t="n">
        <f aca="false">N107*O107</f>
        <v>101.898</v>
      </c>
      <c r="Q107" s="20" t="s">
        <v>520</v>
      </c>
      <c r="R107" s="75" t="s">
        <v>517</v>
      </c>
      <c r="S107" s="20"/>
      <c r="T107" s="20" t="s">
        <v>73</v>
      </c>
      <c r="U107" s="47" t="n">
        <v>0</v>
      </c>
      <c r="V107" s="70" t="s">
        <v>514</v>
      </c>
      <c r="W107" s="47" t="n">
        <v>1</v>
      </c>
    </row>
    <row r="108" customFormat="false" ht="35.05" hidden="false" customHeight="false" outlineLevel="0" collapsed="false">
      <c r="A108" s="70" t="n">
        <v>100</v>
      </c>
      <c r="B108" s="20" t="s">
        <v>363</v>
      </c>
      <c r="C108" s="20" t="s">
        <v>512</v>
      </c>
      <c r="D108" s="20" t="s">
        <v>513</v>
      </c>
      <c r="E108" s="20" t="s">
        <v>514</v>
      </c>
      <c r="F108" s="70" t="s">
        <v>521</v>
      </c>
      <c r="G108" s="20" t="s">
        <v>522</v>
      </c>
      <c r="H108" s="49" t="n">
        <v>18</v>
      </c>
      <c r="I108" s="70" t="s">
        <v>368</v>
      </c>
      <c r="J108" s="70" t="s">
        <v>369</v>
      </c>
      <c r="K108" s="73" t="n">
        <v>2</v>
      </c>
      <c r="L108" s="49" t="n">
        <v>2</v>
      </c>
      <c r="M108" s="67" t="n">
        <v>0.144</v>
      </c>
      <c r="N108" s="68" t="n">
        <f aca="false">K108*L108*M108</f>
        <v>0.576</v>
      </c>
      <c r="O108" s="34" t="n">
        <f aca="false">IFERROR(INDEX(Исходные!$B$18:$B$30,MATCH(H108,Исходные!$A$18:$A$30,0)),0)</f>
        <v>1.998</v>
      </c>
      <c r="P108" s="74" t="n">
        <f aca="false">N108*O108</f>
        <v>1.150848</v>
      </c>
      <c r="Q108" s="20" t="s">
        <v>523</v>
      </c>
      <c r="R108" s="75" t="s">
        <v>524</v>
      </c>
      <c r="S108" s="20" t="s">
        <v>525</v>
      </c>
      <c r="T108" s="20" t="s">
        <v>73</v>
      </c>
      <c r="U108" s="47" t="n">
        <v>0</v>
      </c>
      <c r="V108" s="70" t="s">
        <v>514</v>
      </c>
      <c r="W108" s="47" t="n">
        <v>1</v>
      </c>
    </row>
    <row r="109" customFormat="false" ht="23.85" hidden="false" customHeight="false" outlineLevel="0" collapsed="false">
      <c r="A109" s="70" t="n">
        <v>101</v>
      </c>
      <c r="B109" s="20" t="s">
        <v>363</v>
      </c>
      <c r="C109" s="20" t="s">
        <v>512</v>
      </c>
      <c r="D109" s="20" t="s">
        <v>513</v>
      </c>
      <c r="E109" s="20" t="s">
        <v>514</v>
      </c>
      <c r="F109" s="70" t="s">
        <v>526</v>
      </c>
      <c r="G109" s="20" t="s">
        <v>527</v>
      </c>
      <c r="H109" s="49" t="n">
        <v>16</v>
      </c>
      <c r="I109" s="70" t="s">
        <v>368</v>
      </c>
      <c r="J109" s="70" t="s">
        <v>369</v>
      </c>
      <c r="K109" s="73" t="n">
        <v>1</v>
      </c>
      <c r="L109" s="49" t="n">
        <v>2</v>
      </c>
      <c r="M109" s="67" t="n">
        <v>25.5</v>
      </c>
      <c r="N109" s="68" t="n">
        <f aca="false">K109*L109*M109</f>
        <v>51</v>
      </c>
      <c r="O109" s="34" t="n">
        <f aca="false">IFERROR(INDEX(Исходные!$B$18:$B$30,MATCH(H109,Исходные!$A$18:$A$30,0)),0)</f>
        <v>1.578</v>
      </c>
      <c r="P109" s="74" t="n">
        <f aca="false">N109*O109</f>
        <v>80.478</v>
      </c>
      <c r="Q109" s="20" t="s">
        <v>528</v>
      </c>
      <c r="R109" s="75" t="s">
        <v>517</v>
      </c>
      <c r="S109" s="20"/>
      <c r="T109" s="20" t="s">
        <v>73</v>
      </c>
      <c r="U109" s="47" t="n">
        <v>0</v>
      </c>
      <c r="V109" s="70" t="s">
        <v>514</v>
      </c>
      <c r="W109" s="47" t="n">
        <v>1</v>
      </c>
    </row>
    <row r="110" customFormat="false" ht="35.05" hidden="false" customHeight="false" outlineLevel="0" collapsed="false">
      <c r="A110" s="70" t="n">
        <v>102</v>
      </c>
      <c r="B110" s="20" t="s">
        <v>363</v>
      </c>
      <c r="C110" s="20" t="s">
        <v>512</v>
      </c>
      <c r="D110" s="20" t="s">
        <v>513</v>
      </c>
      <c r="E110" s="20" t="s">
        <v>514</v>
      </c>
      <c r="F110" s="70" t="s">
        <v>529</v>
      </c>
      <c r="G110" s="20" t="s">
        <v>530</v>
      </c>
      <c r="H110" s="49" t="n">
        <v>16</v>
      </c>
      <c r="I110" s="70" t="s">
        <v>368</v>
      </c>
      <c r="J110" s="70" t="s">
        <v>369</v>
      </c>
      <c r="K110" s="73" t="n">
        <v>2</v>
      </c>
      <c r="L110" s="49" t="n">
        <v>2</v>
      </c>
      <c r="M110" s="67" t="n">
        <v>0.128</v>
      </c>
      <c r="N110" s="68" t="n">
        <f aca="false">K110*L110*M110</f>
        <v>0.512</v>
      </c>
      <c r="O110" s="34" t="n">
        <f aca="false">IFERROR(INDEX(Исходные!$B$18:$B$30,MATCH(H110,Исходные!$A$18:$A$30,0)),0)</f>
        <v>1.578</v>
      </c>
      <c r="P110" s="74" t="n">
        <f aca="false">N110*O110</f>
        <v>0.807936</v>
      </c>
      <c r="Q110" s="20" t="s">
        <v>531</v>
      </c>
      <c r="R110" s="75" t="s">
        <v>524</v>
      </c>
      <c r="S110" s="20" t="s">
        <v>532</v>
      </c>
      <c r="T110" s="20" t="s">
        <v>73</v>
      </c>
      <c r="U110" s="47" t="n">
        <v>0</v>
      </c>
      <c r="V110" s="70" t="s">
        <v>514</v>
      </c>
      <c r="W110" s="47" t="n">
        <v>1</v>
      </c>
    </row>
    <row r="111" customFormat="false" ht="23.85" hidden="false" customHeight="false" outlineLevel="0" collapsed="false">
      <c r="A111" s="70" t="n">
        <v>103</v>
      </c>
      <c r="B111" s="20" t="s">
        <v>363</v>
      </c>
      <c r="C111" s="20" t="s">
        <v>512</v>
      </c>
      <c r="D111" s="20" t="s">
        <v>513</v>
      </c>
      <c r="E111" s="20" t="s">
        <v>514</v>
      </c>
      <c r="F111" s="70" t="s">
        <v>533</v>
      </c>
      <c r="G111" s="20" t="s">
        <v>534</v>
      </c>
      <c r="H111" s="49" t="n">
        <v>28</v>
      </c>
      <c r="I111" s="70" t="s">
        <v>368</v>
      </c>
      <c r="J111" s="70" t="s">
        <v>369</v>
      </c>
      <c r="K111" s="73" t="n">
        <v>1</v>
      </c>
      <c r="L111" s="49" t="n">
        <v>2</v>
      </c>
      <c r="M111" s="67" t="n">
        <v>2.05</v>
      </c>
      <c r="N111" s="68" t="n">
        <f aca="false">K111*L111*M111</f>
        <v>4.1</v>
      </c>
      <c r="O111" s="34" t="n">
        <f aca="false">IFERROR(INDEX(Исходные!$B$18:$B$30,MATCH(H111,Исходные!$A$18:$A$30,0)),0)</f>
        <v>4.834</v>
      </c>
      <c r="P111" s="74" t="n">
        <f aca="false">N111*O111</f>
        <v>19.8194</v>
      </c>
      <c r="Q111" s="20" t="s">
        <v>535</v>
      </c>
      <c r="R111" s="75" t="s">
        <v>517</v>
      </c>
      <c r="S111" s="20" t="s">
        <v>536</v>
      </c>
      <c r="T111" s="20" t="s">
        <v>73</v>
      </c>
      <c r="U111" s="47" t="n">
        <v>0</v>
      </c>
      <c r="V111" s="70" t="s">
        <v>514</v>
      </c>
      <c r="W111" s="47" t="n">
        <v>1</v>
      </c>
    </row>
    <row r="112" customFormat="false" ht="23.85" hidden="false" customHeight="false" outlineLevel="0" collapsed="false">
      <c r="A112" s="70" t="n">
        <v>104</v>
      </c>
      <c r="B112" s="20" t="s">
        <v>363</v>
      </c>
      <c r="C112" s="20" t="s">
        <v>512</v>
      </c>
      <c r="D112" s="20" t="s">
        <v>513</v>
      </c>
      <c r="E112" s="20" t="s">
        <v>514</v>
      </c>
      <c r="F112" s="70" t="s">
        <v>533</v>
      </c>
      <c r="G112" s="20" t="s">
        <v>537</v>
      </c>
      <c r="H112" s="49" t="n">
        <v>25</v>
      </c>
      <c r="I112" s="70" t="s">
        <v>368</v>
      </c>
      <c r="J112" s="70" t="s">
        <v>369</v>
      </c>
      <c r="K112" s="73" t="n">
        <v>1</v>
      </c>
      <c r="L112" s="49" t="n">
        <v>2</v>
      </c>
      <c r="M112" s="67" t="n">
        <v>4.5</v>
      </c>
      <c r="N112" s="68" t="n">
        <f aca="false">K112*L112*M112</f>
        <v>9</v>
      </c>
      <c r="O112" s="34" t="n">
        <f aca="false">IFERROR(INDEX(Исходные!$B$18:$B$30,MATCH(H112,Исходные!$A$18:$A$30,0)),0)</f>
        <v>3.853</v>
      </c>
      <c r="P112" s="74" t="n">
        <f aca="false">N112*O112</f>
        <v>34.677</v>
      </c>
      <c r="Q112" s="20" t="s">
        <v>538</v>
      </c>
      <c r="R112" s="75" t="s">
        <v>517</v>
      </c>
      <c r="S112" s="20" t="s">
        <v>539</v>
      </c>
      <c r="T112" s="20" t="s">
        <v>73</v>
      </c>
      <c r="U112" s="47" t="n">
        <v>0</v>
      </c>
      <c r="V112" s="70" t="s">
        <v>514</v>
      </c>
      <c r="W112" s="47" t="n">
        <v>1</v>
      </c>
    </row>
    <row r="113" customFormat="false" ht="23.85" hidden="false" customHeight="false" outlineLevel="0" collapsed="false">
      <c r="A113" s="70" t="n">
        <v>105</v>
      </c>
      <c r="B113" s="20" t="s">
        <v>363</v>
      </c>
      <c r="C113" s="20" t="s">
        <v>512</v>
      </c>
      <c r="D113" s="20" t="s">
        <v>513</v>
      </c>
      <c r="E113" s="20" t="s">
        <v>514</v>
      </c>
      <c r="F113" s="70" t="s">
        <v>533</v>
      </c>
      <c r="G113" s="20" t="s">
        <v>540</v>
      </c>
      <c r="H113" s="49" t="n">
        <v>22</v>
      </c>
      <c r="I113" s="70" t="s">
        <v>368</v>
      </c>
      <c r="J113" s="70" t="s">
        <v>369</v>
      </c>
      <c r="K113" s="73" t="n">
        <v>1</v>
      </c>
      <c r="L113" s="49" t="n">
        <v>2</v>
      </c>
      <c r="M113" s="67" t="n">
        <v>4.5</v>
      </c>
      <c r="N113" s="68" t="n">
        <f aca="false">K113*L113*M113</f>
        <v>9</v>
      </c>
      <c r="O113" s="34" t="n">
        <f aca="false">IFERROR(INDEX(Исходные!$B$18:$B$30,MATCH(H113,Исходные!$A$18:$A$30,0)),0)</f>
        <v>2.984</v>
      </c>
      <c r="P113" s="74" t="n">
        <f aca="false">N113*O113</f>
        <v>26.856</v>
      </c>
      <c r="Q113" s="20" t="s">
        <v>541</v>
      </c>
      <c r="R113" s="75" t="s">
        <v>517</v>
      </c>
      <c r="S113" s="20" t="s">
        <v>539</v>
      </c>
      <c r="T113" s="20" t="s">
        <v>73</v>
      </c>
      <c r="U113" s="47" t="n">
        <v>0</v>
      </c>
      <c r="V113" s="70" t="s">
        <v>514</v>
      </c>
      <c r="W113" s="47" t="n">
        <v>1</v>
      </c>
    </row>
    <row r="114" customFormat="false" ht="23.85" hidden="false" customHeight="false" outlineLevel="0" collapsed="false">
      <c r="A114" s="70" t="n">
        <v>106</v>
      </c>
      <c r="B114" s="20" t="s">
        <v>363</v>
      </c>
      <c r="C114" s="20" t="s">
        <v>512</v>
      </c>
      <c r="D114" s="20" t="s">
        <v>513</v>
      </c>
      <c r="E114" s="20" t="s">
        <v>514</v>
      </c>
      <c r="F114" s="70" t="s">
        <v>533</v>
      </c>
      <c r="G114" s="20" t="s">
        <v>542</v>
      </c>
      <c r="H114" s="49" t="n">
        <v>32</v>
      </c>
      <c r="I114" s="70" t="s">
        <v>368</v>
      </c>
      <c r="J114" s="70" t="s">
        <v>369</v>
      </c>
      <c r="K114" s="73" t="n">
        <v>1</v>
      </c>
      <c r="L114" s="49" t="n">
        <v>2</v>
      </c>
      <c r="M114" s="67" t="n">
        <v>3.3</v>
      </c>
      <c r="N114" s="68" t="n">
        <f aca="false">K114*L114*M114</f>
        <v>6.6</v>
      </c>
      <c r="O114" s="34" t="n">
        <f aca="false">IFERROR(INDEX(Исходные!$B$18:$B$30,MATCH(H114,Исходные!$A$18:$A$30,0)),0)</f>
        <v>6.313</v>
      </c>
      <c r="P114" s="74" t="n">
        <f aca="false">N114*O114</f>
        <v>41.6658</v>
      </c>
      <c r="Q114" s="20" t="s">
        <v>543</v>
      </c>
      <c r="R114" s="75" t="s">
        <v>517</v>
      </c>
      <c r="S114" s="20" t="s">
        <v>544</v>
      </c>
      <c r="T114" s="20" t="s">
        <v>73</v>
      </c>
      <c r="U114" s="47" t="n">
        <v>0</v>
      </c>
      <c r="V114" s="70" t="s">
        <v>514</v>
      </c>
      <c r="W114" s="47" t="n">
        <v>1</v>
      </c>
    </row>
    <row r="115" customFormat="false" ht="23.85" hidden="false" customHeight="false" outlineLevel="0" collapsed="false">
      <c r="A115" s="70" t="n">
        <v>107</v>
      </c>
      <c r="B115" s="20" t="s">
        <v>363</v>
      </c>
      <c r="C115" s="20" t="s">
        <v>512</v>
      </c>
      <c r="D115" s="20" t="s">
        <v>513</v>
      </c>
      <c r="E115" s="20" t="s">
        <v>514</v>
      </c>
      <c r="F115" s="70" t="s">
        <v>533</v>
      </c>
      <c r="G115" s="20" t="s">
        <v>545</v>
      </c>
      <c r="H115" s="49" t="n">
        <v>25</v>
      </c>
      <c r="I115" s="70" t="s">
        <v>368</v>
      </c>
      <c r="J115" s="70" t="s">
        <v>369</v>
      </c>
      <c r="K115" s="73" t="n">
        <v>1</v>
      </c>
      <c r="L115" s="49" t="n">
        <v>2</v>
      </c>
      <c r="M115" s="67" t="n">
        <v>7.85</v>
      </c>
      <c r="N115" s="68" t="n">
        <f aca="false">K115*L115*M115</f>
        <v>15.7</v>
      </c>
      <c r="O115" s="34" t="n">
        <f aca="false">IFERROR(INDEX(Исходные!$B$18:$B$30,MATCH(H115,Исходные!$A$18:$A$30,0)),0)</f>
        <v>3.853</v>
      </c>
      <c r="P115" s="74" t="n">
        <f aca="false">N115*O115</f>
        <v>60.4921</v>
      </c>
      <c r="Q115" s="20" t="s">
        <v>538</v>
      </c>
      <c r="R115" s="75" t="s">
        <v>517</v>
      </c>
      <c r="S115" s="20" t="s">
        <v>546</v>
      </c>
      <c r="T115" s="20" t="s">
        <v>73</v>
      </c>
      <c r="U115" s="47" t="n">
        <v>0</v>
      </c>
      <c r="V115" s="70" t="s">
        <v>514</v>
      </c>
      <c r="W115" s="47" t="n">
        <v>1</v>
      </c>
    </row>
    <row r="116" customFormat="false" ht="23.85" hidden="false" customHeight="false" outlineLevel="0" collapsed="false">
      <c r="A116" s="70" t="n">
        <v>108</v>
      </c>
      <c r="B116" s="20" t="s">
        <v>363</v>
      </c>
      <c r="C116" s="20" t="s">
        <v>512</v>
      </c>
      <c r="D116" s="20" t="s">
        <v>513</v>
      </c>
      <c r="E116" s="20" t="s">
        <v>514</v>
      </c>
      <c r="F116" s="70" t="s">
        <v>533</v>
      </c>
      <c r="G116" s="20" t="s">
        <v>547</v>
      </c>
      <c r="H116" s="49" t="n">
        <v>25</v>
      </c>
      <c r="I116" s="70" t="s">
        <v>368</v>
      </c>
      <c r="J116" s="70" t="s">
        <v>369</v>
      </c>
      <c r="K116" s="73" t="n">
        <v>1</v>
      </c>
      <c r="L116" s="49" t="n">
        <v>2</v>
      </c>
      <c r="M116" s="67" t="n">
        <v>7.85</v>
      </c>
      <c r="N116" s="68" t="n">
        <f aca="false">K116*L116*M116</f>
        <v>15.7</v>
      </c>
      <c r="O116" s="34" t="n">
        <f aca="false">IFERROR(INDEX(Исходные!$B$18:$B$30,MATCH(H116,Исходные!$A$18:$A$30,0)),0)</f>
        <v>3.853</v>
      </c>
      <c r="P116" s="74" t="n">
        <f aca="false">N116*O116</f>
        <v>60.4921</v>
      </c>
      <c r="Q116" s="20" t="s">
        <v>538</v>
      </c>
      <c r="R116" s="75" t="s">
        <v>517</v>
      </c>
      <c r="S116" s="20" t="s">
        <v>546</v>
      </c>
      <c r="T116" s="20" t="s">
        <v>73</v>
      </c>
      <c r="U116" s="47" t="n">
        <v>0</v>
      </c>
      <c r="V116" s="70" t="s">
        <v>514</v>
      </c>
      <c r="W116" s="47" t="n">
        <v>1</v>
      </c>
    </row>
    <row r="117" customFormat="false" ht="23.85" hidden="false" customHeight="false" outlineLevel="0" collapsed="false">
      <c r="A117" s="70" t="n">
        <v>109</v>
      </c>
      <c r="B117" s="20" t="s">
        <v>363</v>
      </c>
      <c r="C117" s="20" t="s">
        <v>512</v>
      </c>
      <c r="D117" s="20" t="s">
        <v>513</v>
      </c>
      <c r="E117" s="20" t="s">
        <v>514</v>
      </c>
      <c r="F117" s="70" t="s">
        <v>533</v>
      </c>
      <c r="G117" s="20" t="s">
        <v>548</v>
      </c>
      <c r="H117" s="49" t="n">
        <v>16</v>
      </c>
      <c r="I117" s="70" t="s">
        <v>368</v>
      </c>
      <c r="J117" s="70" t="s">
        <v>369</v>
      </c>
      <c r="K117" s="73" t="n">
        <v>1</v>
      </c>
      <c r="L117" s="49" t="n">
        <v>2</v>
      </c>
      <c r="M117" s="67" t="n">
        <v>9.45</v>
      </c>
      <c r="N117" s="68" t="n">
        <f aca="false">K117*L117*M117</f>
        <v>18.9</v>
      </c>
      <c r="O117" s="34" t="n">
        <f aca="false">IFERROR(INDEX(Исходные!$B$18:$B$30,MATCH(H117,Исходные!$A$18:$A$30,0)),0)</f>
        <v>1.578</v>
      </c>
      <c r="P117" s="74" t="n">
        <f aca="false">N117*O117</f>
        <v>29.8242</v>
      </c>
      <c r="Q117" s="20" t="s">
        <v>549</v>
      </c>
      <c r="R117" s="75" t="s">
        <v>517</v>
      </c>
      <c r="S117" s="20" t="s">
        <v>550</v>
      </c>
      <c r="T117" s="20" t="s">
        <v>73</v>
      </c>
      <c r="U117" s="47" t="n">
        <v>0</v>
      </c>
      <c r="V117" s="70" t="s">
        <v>514</v>
      </c>
      <c r="W117" s="47" t="n">
        <v>1</v>
      </c>
    </row>
    <row r="118" customFormat="false" ht="23.85" hidden="false" customHeight="false" outlineLevel="0" collapsed="false">
      <c r="A118" s="70" t="n">
        <v>110</v>
      </c>
      <c r="B118" s="20" t="s">
        <v>363</v>
      </c>
      <c r="C118" s="20" t="s">
        <v>512</v>
      </c>
      <c r="D118" s="20" t="s">
        <v>513</v>
      </c>
      <c r="E118" s="20" t="s">
        <v>514</v>
      </c>
      <c r="F118" s="70" t="s">
        <v>533</v>
      </c>
      <c r="G118" s="20" t="s">
        <v>551</v>
      </c>
      <c r="H118" s="49" t="n">
        <v>16</v>
      </c>
      <c r="I118" s="70" t="s">
        <v>368</v>
      </c>
      <c r="J118" s="70" t="s">
        <v>369</v>
      </c>
      <c r="K118" s="73" t="n">
        <v>1</v>
      </c>
      <c r="L118" s="49" t="n">
        <v>2</v>
      </c>
      <c r="M118" s="67" t="n">
        <v>3.3</v>
      </c>
      <c r="N118" s="68" t="n">
        <f aca="false">K118*L118*M118</f>
        <v>6.6</v>
      </c>
      <c r="O118" s="34" t="n">
        <f aca="false">IFERROR(INDEX(Исходные!$B$18:$B$30,MATCH(H118,Исходные!$A$18:$A$30,0)),0)</f>
        <v>1.578</v>
      </c>
      <c r="P118" s="74" t="n">
        <f aca="false">N118*O118</f>
        <v>10.4148</v>
      </c>
      <c r="Q118" s="20" t="s">
        <v>549</v>
      </c>
      <c r="R118" s="75" t="s">
        <v>517</v>
      </c>
      <c r="S118" s="20" t="s">
        <v>544</v>
      </c>
      <c r="T118" s="20" t="s">
        <v>73</v>
      </c>
      <c r="U118" s="47" t="n">
        <v>0</v>
      </c>
      <c r="V118" s="70" t="s">
        <v>514</v>
      </c>
      <c r="W118" s="47" t="n">
        <v>1</v>
      </c>
    </row>
    <row r="119" customFormat="false" ht="23.85" hidden="false" customHeight="false" outlineLevel="0" collapsed="false">
      <c r="A119" s="70" t="n">
        <v>111</v>
      </c>
      <c r="B119" s="20" t="s">
        <v>363</v>
      </c>
      <c r="C119" s="20" t="s">
        <v>512</v>
      </c>
      <c r="D119" s="20" t="s">
        <v>513</v>
      </c>
      <c r="E119" s="20" t="s">
        <v>514</v>
      </c>
      <c r="F119" s="70" t="s">
        <v>533</v>
      </c>
      <c r="G119" s="20" t="s">
        <v>552</v>
      </c>
      <c r="H119" s="49" t="n">
        <v>28</v>
      </c>
      <c r="I119" s="70" t="s">
        <v>368</v>
      </c>
      <c r="J119" s="70" t="s">
        <v>369</v>
      </c>
      <c r="K119" s="73" t="n">
        <v>1</v>
      </c>
      <c r="L119" s="49" t="n">
        <v>2</v>
      </c>
      <c r="M119" s="67" t="n">
        <v>7.85</v>
      </c>
      <c r="N119" s="68" t="n">
        <f aca="false">K119*L119*M119</f>
        <v>15.7</v>
      </c>
      <c r="O119" s="34" t="n">
        <f aca="false">IFERROR(INDEX(Исходные!$B$18:$B$30,MATCH(H119,Исходные!$A$18:$A$30,0)),0)</f>
        <v>4.834</v>
      </c>
      <c r="P119" s="74" t="n">
        <f aca="false">N119*O119</f>
        <v>75.8938</v>
      </c>
      <c r="Q119" s="20" t="s">
        <v>535</v>
      </c>
      <c r="R119" s="75" t="s">
        <v>517</v>
      </c>
      <c r="S119" s="20" t="s">
        <v>546</v>
      </c>
      <c r="T119" s="20" t="s">
        <v>73</v>
      </c>
      <c r="U119" s="47" t="n">
        <v>0</v>
      </c>
      <c r="V119" s="70" t="s">
        <v>514</v>
      </c>
      <c r="W119" s="47" t="n">
        <v>1</v>
      </c>
    </row>
    <row r="120" customFormat="false" ht="23.85" hidden="false" customHeight="false" outlineLevel="0" collapsed="false">
      <c r="A120" s="70" t="n">
        <v>112</v>
      </c>
      <c r="B120" s="20" t="s">
        <v>363</v>
      </c>
      <c r="C120" s="20" t="s">
        <v>512</v>
      </c>
      <c r="D120" s="20" t="s">
        <v>513</v>
      </c>
      <c r="E120" s="20" t="s">
        <v>514</v>
      </c>
      <c r="F120" s="70" t="s">
        <v>553</v>
      </c>
      <c r="G120" s="20" t="s">
        <v>554</v>
      </c>
      <c r="H120" s="49" t="n">
        <v>8</v>
      </c>
      <c r="I120" s="70" t="s">
        <v>403</v>
      </c>
      <c r="J120" s="70" t="s">
        <v>555</v>
      </c>
      <c r="K120" s="73" t="n">
        <v>1</v>
      </c>
      <c r="L120" s="49" t="n">
        <v>134</v>
      </c>
      <c r="M120" s="67" t="n">
        <v>2.06</v>
      </c>
      <c r="N120" s="68" t="n">
        <f aca="false">K120*L120*M120</f>
        <v>276.04</v>
      </c>
      <c r="O120" s="34" t="n">
        <f aca="false">IFERROR(INDEX(Исходные!$B$18:$B$30,MATCH(H120,Исходные!$A$18:$A$30,0)),0)</f>
        <v>0.395</v>
      </c>
      <c r="P120" s="74" t="n">
        <f aca="false">N120*O120</f>
        <v>109.0358</v>
      </c>
      <c r="Q120" s="20" t="s">
        <v>556</v>
      </c>
      <c r="R120" s="75" t="s">
        <v>371</v>
      </c>
      <c r="S120" s="20" t="s">
        <v>557</v>
      </c>
      <c r="T120" s="20" t="s">
        <v>73</v>
      </c>
      <c r="U120" s="47" t="n">
        <v>0</v>
      </c>
      <c r="V120" s="70" t="s">
        <v>514</v>
      </c>
      <c r="W120" s="47" t="n">
        <v>1</v>
      </c>
    </row>
    <row r="121" customFormat="false" ht="23.85" hidden="false" customHeight="false" outlineLevel="0" collapsed="false">
      <c r="A121" s="70" t="n">
        <v>113</v>
      </c>
      <c r="B121" s="20" t="s">
        <v>363</v>
      </c>
      <c r="C121" s="20" t="s">
        <v>512</v>
      </c>
      <c r="D121" s="20" t="s">
        <v>513</v>
      </c>
      <c r="E121" s="20" t="s">
        <v>514</v>
      </c>
      <c r="F121" s="70" t="s">
        <v>418</v>
      </c>
      <c r="G121" s="20" t="s">
        <v>558</v>
      </c>
      <c r="H121" s="49" t="n">
        <v>10</v>
      </c>
      <c r="I121" s="70" t="s">
        <v>403</v>
      </c>
      <c r="J121" s="70" t="n">
        <v>100</v>
      </c>
      <c r="K121" s="73" t="n">
        <v>1</v>
      </c>
      <c r="L121" s="49" t="n">
        <v>35</v>
      </c>
      <c r="M121" s="67" t="n">
        <v>2.06</v>
      </c>
      <c r="N121" s="68" t="n">
        <f aca="false">K121*L121*M121</f>
        <v>72.1</v>
      </c>
      <c r="O121" s="34" t="n">
        <f aca="false">IFERROR(INDEX(Исходные!$B$18:$B$30,MATCH(H121,Исходные!$A$18:$A$30,0)),0)</f>
        <v>0.617</v>
      </c>
      <c r="P121" s="74" t="n">
        <f aca="false">N121*O121</f>
        <v>44.4857</v>
      </c>
      <c r="Q121" s="20" t="s">
        <v>559</v>
      </c>
      <c r="R121" s="75" t="s">
        <v>371</v>
      </c>
      <c r="S121" s="20" t="s">
        <v>560</v>
      </c>
      <c r="T121" s="20" t="s">
        <v>73</v>
      </c>
      <c r="U121" s="47" t="n">
        <v>0</v>
      </c>
      <c r="V121" s="70" t="s">
        <v>514</v>
      </c>
      <c r="W121" s="47" t="n">
        <v>1</v>
      </c>
    </row>
    <row r="122" customFormat="false" ht="23.85" hidden="false" customHeight="false" outlineLevel="0" collapsed="false">
      <c r="A122" s="70" t="n">
        <v>114</v>
      </c>
      <c r="B122" s="20" t="s">
        <v>363</v>
      </c>
      <c r="C122" s="20" t="s">
        <v>512</v>
      </c>
      <c r="D122" s="20" t="s">
        <v>513</v>
      </c>
      <c r="E122" s="20" t="s">
        <v>514</v>
      </c>
      <c r="F122" s="70" t="s">
        <v>460</v>
      </c>
      <c r="G122" s="20" t="s">
        <v>561</v>
      </c>
      <c r="H122" s="49" t="n">
        <v>10</v>
      </c>
      <c r="I122" s="70" t="s">
        <v>403</v>
      </c>
      <c r="J122" s="70" t="n">
        <v>100</v>
      </c>
      <c r="K122" s="73" t="n">
        <v>1</v>
      </c>
      <c r="L122" s="49" t="n">
        <v>8</v>
      </c>
      <c r="M122" s="67" t="n">
        <v>1.6</v>
      </c>
      <c r="N122" s="68" t="n">
        <f aca="false">K122*L122*M122</f>
        <v>12.8</v>
      </c>
      <c r="O122" s="34" t="n">
        <f aca="false">IFERROR(INDEX(Исходные!$B$18:$B$30,MATCH(H122,Исходные!$A$18:$A$30,0)),0)</f>
        <v>0.617</v>
      </c>
      <c r="P122" s="74" t="n">
        <f aca="false">N122*O122</f>
        <v>7.8976</v>
      </c>
      <c r="Q122" s="20" t="s">
        <v>562</v>
      </c>
      <c r="R122" s="75" t="s">
        <v>371</v>
      </c>
      <c r="S122" s="20"/>
      <c r="T122" s="20" t="s">
        <v>73</v>
      </c>
      <c r="U122" s="47" t="n">
        <v>0</v>
      </c>
      <c r="V122" s="70" t="s">
        <v>514</v>
      </c>
      <c r="W122" s="47" t="n">
        <v>1</v>
      </c>
    </row>
    <row r="123" customFormat="false" ht="23.85" hidden="false" customHeight="false" outlineLevel="0" collapsed="false">
      <c r="A123" s="70" t="n">
        <v>115</v>
      </c>
      <c r="B123" s="20" t="s">
        <v>363</v>
      </c>
      <c r="C123" s="20" t="s">
        <v>512</v>
      </c>
      <c r="D123" s="20" t="s">
        <v>513</v>
      </c>
      <c r="E123" s="20" t="s">
        <v>514</v>
      </c>
      <c r="F123" s="70" t="s">
        <v>563</v>
      </c>
      <c r="G123" s="20" t="s">
        <v>564</v>
      </c>
      <c r="H123" s="49" t="n">
        <v>8</v>
      </c>
      <c r="I123" s="70" t="s">
        <v>403</v>
      </c>
      <c r="J123" s="70" t="s">
        <v>565</v>
      </c>
      <c r="K123" s="73" t="n">
        <v>1</v>
      </c>
      <c r="L123" s="49" t="n">
        <v>105</v>
      </c>
      <c r="M123" s="67" t="n">
        <v>0.75</v>
      </c>
      <c r="N123" s="68" t="n">
        <f aca="false">K123*L123*M123</f>
        <v>78.75</v>
      </c>
      <c r="O123" s="34" t="n">
        <f aca="false">IFERROR(INDEX(Исходные!$B$18:$B$30,MATCH(H123,Исходные!$A$18:$A$30,0)),0)</f>
        <v>0.395</v>
      </c>
      <c r="P123" s="74" t="n">
        <f aca="false">N123*O123</f>
        <v>31.10625</v>
      </c>
      <c r="Q123" s="20" t="s">
        <v>566</v>
      </c>
      <c r="R123" s="75" t="s">
        <v>371</v>
      </c>
      <c r="S123" s="20"/>
      <c r="T123" s="20" t="s">
        <v>73</v>
      </c>
      <c r="U123" s="47" t="n">
        <v>0</v>
      </c>
      <c r="V123" s="70" t="s">
        <v>514</v>
      </c>
      <c r="W123" s="47" t="n">
        <v>1</v>
      </c>
    </row>
    <row r="124" customFormat="false" ht="23.85" hidden="false" customHeight="false" outlineLevel="0" collapsed="false">
      <c r="A124" s="70" t="n">
        <v>116</v>
      </c>
      <c r="B124" s="20" t="s">
        <v>363</v>
      </c>
      <c r="C124" s="20" t="s">
        <v>512</v>
      </c>
      <c r="D124" s="20" t="s">
        <v>513</v>
      </c>
      <c r="E124" s="20" t="s">
        <v>514</v>
      </c>
      <c r="F124" s="70" t="s">
        <v>567</v>
      </c>
      <c r="G124" s="20" t="s">
        <v>568</v>
      </c>
      <c r="H124" s="49" t="n">
        <v>8</v>
      </c>
      <c r="I124" s="70" t="s">
        <v>403</v>
      </c>
      <c r="J124" s="70" t="n">
        <v>300</v>
      </c>
      <c r="K124" s="73" t="n">
        <v>1</v>
      </c>
      <c r="L124" s="49" t="n">
        <v>70</v>
      </c>
      <c r="M124" s="67" t="n">
        <v>0.58</v>
      </c>
      <c r="N124" s="68" t="n">
        <f aca="false">K124*L124*M124</f>
        <v>40.6</v>
      </c>
      <c r="O124" s="34" t="n">
        <f aca="false">IFERROR(INDEX(Исходные!$B$18:$B$30,MATCH(H124,Исходные!$A$18:$A$30,0)),0)</f>
        <v>0.395</v>
      </c>
      <c r="P124" s="74" t="n">
        <f aca="false">N124*O124</f>
        <v>16.037</v>
      </c>
      <c r="Q124" s="20" t="s">
        <v>569</v>
      </c>
      <c r="R124" s="76" t="s">
        <v>495</v>
      </c>
      <c r="S124" s="20" t="s">
        <v>570</v>
      </c>
      <c r="T124" s="20" t="s">
        <v>73</v>
      </c>
      <c r="U124" s="47" t="n">
        <v>1</v>
      </c>
      <c r="V124" s="70" t="s">
        <v>514</v>
      </c>
      <c r="W124" s="47" t="n">
        <v>1</v>
      </c>
    </row>
    <row r="125" customFormat="false" ht="35.05" hidden="false" customHeight="false" outlineLevel="0" collapsed="false">
      <c r="A125" s="70" t="n">
        <v>117</v>
      </c>
      <c r="B125" s="20" t="s">
        <v>363</v>
      </c>
      <c r="C125" s="20" t="s">
        <v>512</v>
      </c>
      <c r="D125" s="20" t="s">
        <v>571</v>
      </c>
      <c r="E125" s="20" t="s">
        <v>572</v>
      </c>
      <c r="F125" s="70" t="s">
        <v>376</v>
      </c>
      <c r="G125" s="20" t="s">
        <v>515</v>
      </c>
      <c r="H125" s="49" t="n">
        <v>28</v>
      </c>
      <c r="I125" s="70" t="s">
        <v>368</v>
      </c>
      <c r="J125" s="70" t="s">
        <v>369</v>
      </c>
      <c r="K125" s="73" t="n">
        <v>1</v>
      </c>
      <c r="L125" s="49" t="n">
        <v>4</v>
      </c>
      <c r="M125" s="67" t="n">
        <v>25.5</v>
      </c>
      <c r="N125" s="68" t="n">
        <f aca="false">K125*L125*M125</f>
        <v>102</v>
      </c>
      <c r="O125" s="34" t="n">
        <f aca="false">IFERROR(INDEX(Исходные!$B$18:$B$30,MATCH(H125,Исходные!$A$18:$A$30,0)),0)</f>
        <v>4.834</v>
      </c>
      <c r="P125" s="74" t="n">
        <f aca="false">N125*O125</f>
        <v>493.068</v>
      </c>
      <c r="Q125" s="20" t="s">
        <v>573</v>
      </c>
      <c r="R125" s="75" t="s">
        <v>517</v>
      </c>
      <c r="S125" s="20" t="s">
        <v>518</v>
      </c>
      <c r="T125" s="20" t="s">
        <v>73</v>
      </c>
      <c r="U125" s="47" t="n">
        <v>0</v>
      </c>
      <c r="V125" s="70" t="s">
        <v>572</v>
      </c>
      <c r="W125" s="47" t="n">
        <v>1</v>
      </c>
    </row>
    <row r="126" customFormat="false" ht="23.85" hidden="false" customHeight="false" outlineLevel="0" collapsed="false">
      <c r="A126" s="70" t="n">
        <v>118</v>
      </c>
      <c r="B126" s="20" t="s">
        <v>363</v>
      </c>
      <c r="C126" s="20" t="s">
        <v>512</v>
      </c>
      <c r="D126" s="20" t="s">
        <v>571</v>
      </c>
      <c r="E126" s="20" t="s">
        <v>572</v>
      </c>
      <c r="F126" s="70" t="s">
        <v>386</v>
      </c>
      <c r="G126" s="20" t="s">
        <v>519</v>
      </c>
      <c r="H126" s="49" t="n">
        <v>18</v>
      </c>
      <c r="I126" s="70" t="s">
        <v>368</v>
      </c>
      <c r="J126" s="70" t="s">
        <v>369</v>
      </c>
      <c r="K126" s="73" t="n">
        <v>1</v>
      </c>
      <c r="L126" s="49" t="n">
        <v>2</v>
      </c>
      <c r="M126" s="67" t="n">
        <v>25.5</v>
      </c>
      <c r="N126" s="68" t="n">
        <f aca="false">K126*L126*M126</f>
        <v>51</v>
      </c>
      <c r="O126" s="34" t="n">
        <f aca="false">IFERROR(INDEX(Исходные!$B$18:$B$30,MATCH(H126,Исходные!$A$18:$A$30,0)),0)</f>
        <v>1.998</v>
      </c>
      <c r="P126" s="74" t="n">
        <f aca="false">N126*O126</f>
        <v>101.898</v>
      </c>
      <c r="Q126" s="20" t="s">
        <v>520</v>
      </c>
      <c r="R126" s="75" t="s">
        <v>517</v>
      </c>
      <c r="S126" s="20"/>
      <c r="T126" s="20" t="s">
        <v>73</v>
      </c>
      <c r="U126" s="47" t="n">
        <v>0</v>
      </c>
      <c r="V126" s="70" t="s">
        <v>572</v>
      </c>
      <c r="W126" s="47" t="n">
        <v>1</v>
      </c>
    </row>
    <row r="127" customFormat="false" ht="35.05" hidden="false" customHeight="false" outlineLevel="0" collapsed="false">
      <c r="A127" s="70" t="n">
        <v>119</v>
      </c>
      <c r="B127" s="20" t="s">
        <v>363</v>
      </c>
      <c r="C127" s="20" t="s">
        <v>512</v>
      </c>
      <c r="D127" s="20" t="s">
        <v>571</v>
      </c>
      <c r="E127" s="20" t="s">
        <v>572</v>
      </c>
      <c r="F127" s="70" t="s">
        <v>521</v>
      </c>
      <c r="G127" s="20" t="s">
        <v>522</v>
      </c>
      <c r="H127" s="49" t="n">
        <v>18</v>
      </c>
      <c r="I127" s="70" t="s">
        <v>368</v>
      </c>
      <c r="J127" s="70" t="s">
        <v>369</v>
      </c>
      <c r="K127" s="73" t="n">
        <v>2</v>
      </c>
      <c r="L127" s="49" t="n">
        <v>2</v>
      </c>
      <c r="M127" s="67" t="n">
        <v>0.144</v>
      </c>
      <c r="N127" s="68" t="n">
        <f aca="false">K127*L127*M127</f>
        <v>0.576</v>
      </c>
      <c r="O127" s="34" t="n">
        <f aca="false">IFERROR(INDEX(Исходные!$B$18:$B$30,MATCH(H127,Исходные!$A$18:$A$30,0)),0)</f>
        <v>1.998</v>
      </c>
      <c r="P127" s="74" t="n">
        <f aca="false">N127*O127</f>
        <v>1.150848</v>
      </c>
      <c r="Q127" s="20" t="s">
        <v>523</v>
      </c>
      <c r="R127" s="75" t="s">
        <v>524</v>
      </c>
      <c r="S127" s="20" t="s">
        <v>525</v>
      </c>
      <c r="T127" s="20" t="s">
        <v>73</v>
      </c>
      <c r="U127" s="47" t="n">
        <v>0</v>
      </c>
      <c r="V127" s="70" t="s">
        <v>572</v>
      </c>
      <c r="W127" s="47" t="n">
        <v>1</v>
      </c>
    </row>
    <row r="128" customFormat="false" ht="23.85" hidden="false" customHeight="false" outlineLevel="0" collapsed="false">
      <c r="A128" s="70" t="n">
        <v>120</v>
      </c>
      <c r="B128" s="20" t="s">
        <v>363</v>
      </c>
      <c r="C128" s="20" t="s">
        <v>512</v>
      </c>
      <c r="D128" s="20" t="s">
        <v>571</v>
      </c>
      <c r="E128" s="20" t="s">
        <v>572</v>
      </c>
      <c r="F128" s="70" t="s">
        <v>526</v>
      </c>
      <c r="G128" s="20" t="s">
        <v>527</v>
      </c>
      <c r="H128" s="49" t="n">
        <v>16</v>
      </c>
      <c r="I128" s="70" t="s">
        <v>368</v>
      </c>
      <c r="J128" s="70" t="s">
        <v>369</v>
      </c>
      <c r="K128" s="73" t="n">
        <v>1</v>
      </c>
      <c r="L128" s="49" t="n">
        <v>2</v>
      </c>
      <c r="M128" s="67" t="n">
        <v>25.5</v>
      </c>
      <c r="N128" s="68" t="n">
        <f aca="false">K128*L128*M128</f>
        <v>51</v>
      </c>
      <c r="O128" s="34" t="n">
        <f aca="false">IFERROR(INDEX(Исходные!$B$18:$B$30,MATCH(H128,Исходные!$A$18:$A$30,0)),0)</f>
        <v>1.578</v>
      </c>
      <c r="P128" s="74" t="n">
        <f aca="false">N128*O128</f>
        <v>80.478</v>
      </c>
      <c r="Q128" s="20" t="s">
        <v>528</v>
      </c>
      <c r="R128" s="75" t="s">
        <v>517</v>
      </c>
      <c r="S128" s="20"/>
      <c r="T128" s="20" t="s">
        <v>73</v>
      </c>
      <c r="U128" s="47" t="n">
        <v>0</v>
      </c>
      <c r="V128" s="70" t="s">
        <v>572</v>
      </c>
      <c r="W128" s="47" t="n">
        <v>1</v>
      </c>
    </row>
    <row r="129" customFormat="false" ht="35.05" hidden="false" customHeight="false" outlineLevel="0" collapsed="false">
      <c r="A129" s="70" t="n">
        <v>121</v>
      </c>
      <c r="B129" s="20" t="s">
        <v>363</v>
      </c>
      <c r="C129" s="20" t="s">
        <v>512</v>
      </c>
      <c r="D129" s="20" t="s">
        <v>571</v>
      </c>
      <c r="E129" s="20" t="s">
        <v>572</v>
      </c>
      <c r="F129" s="70" t="s">
        <v>529</v>
      </c>
      <c r="G129" s="20" t="s">
        <v>530</v>
      </c>
      <c r="H129" s="49" t="n">
        <v>16</v>
      </c>
      <c r="I129" s="70" t="s">
        <v>368</v>
      </c>
      <c r="J129" s="70" t="s">
        <v>369</v>
      </c>
      <c r="K129" s="73" t="n">
        <v>2</v>
      </c>
      <c r="L129" s="49" t="n">
        <v>2</v>
      </c>
      <c r="M129" s="67" t="n">
        <v>0.128</v>
      </c>
      <c r="N129" s="68" t="n">
        <f aca="false">K129*L129*M129</f>
        <v>0.512</v>
      </c>
      <c r="O129" s="34" t="n">
        <f aca="false">IFERROR(INDEX(Исходные!$B$18:$B$30,MATCH(H129,Исходные!$A$18:$A$30,0)),0)</f>
        <v>1.578</v>
      </c>
      <c r="P129" s="74" t="n">
        <f aca="false">N129*O129</f>
        <v>0.807936</v>
      </c>
      <c r="Q129" s="20" t="s">
        <v>531</v>
      </c>
      <c r="R129" s="75" t="s">
        <v>524</v>
      </c>
      <c r="S129" s="20" t="s">
        <v>532</v>
      </c>
      <c r="T129" s="20" t="s">
        <v>73</v>
      </c>
      <c r="U129" s="47" t="n">
        <v>0</v>
      </c>
      <c r="V129" s="70" t="s">
        <v>572</v>
      </c>
      <c r="W129" s="47" t="n">
        <v>1</v>
      </c>
    </row>
    <row r="130" customFormat="false" ht="23.85" hidden="false" customHeight="false" outlineLevel="0" collapsed="false">
      <c r="A130" s="70" t="n">
        <v>122</v>
      </c>
      <c r="B130" s="20" t="s">
        <v>363</v>
      </c>
      <c r="C130" s="20" t="s">
        <v>512</v>
      </c>
      <c r="D130" s="20" t="s">
        <v>571</v>
      </c>
      <c r="E130" s="20" t="s">
        <v>572</v>
      </c>
      <c r="F130" s="70" t="s">
        <v>533</v>
      </c>
      <c r="G130" s="20" t="s">
        <v>574</v>
      </c>
      <c r="H130" s="49" t="n">
        <v>25</v>
      </c>
      <c r="I130" s="70" t="s">
        <v>368</v>
      </c>
      <c r="J130" s="70" t="s">
        <v>369</v>
      </c>
      <c r="K130" s="73" t="n">
        <v>1</v>
      </c>
      <c r="L130" s="49" t="n">
        <v>2</v>
      </c>
      <c r="M130" s="67" t="n">
        <v>2.05</v>
      </c>
      <c r="N130" s="68" t="n">
        <f aca="false">K130*L130*M130</f>
        <v>4.1</v>
      </c>
      <c r="O130" s="34" t="n">
        <f aca="false">IFERROR(INDEX(Исходные!$B$18:$B$30,MATCH(H130,Исходные!$A$18:$A$30,0)),0)</f>
        <v>3.853</v>
      </c>
      <c r="P130" s="74" t="n">
        <f aca="false">N130*O130</f>
        <v>15.7973</v>
      </c>
      <c r="Q130" s="20" t="s">
        <v>575</v>
      </c>
      <c r="R130" s="75" t="s">
        <v>517</v>
      </c>
      <c r="S130" s="20" t="s">
        <v>536</v>
      </c>
      <c r="T130" s="20" t="s">
        <v>73</v>
      </c>
      <c r="U130" s="47" t="n">
        <v>0</v>
      </c>
      <c r="V130" s="70" t="s">
        <v>572</v>
      </c>
      <c r="W130" s="47" t="n">
        <v>1</v>
      </c>
    </row>
    <row r="131" customFormat="false" ht="23.85" hidden="false" customHeight="false" outlineLevel="0" collapsed="false">
      <c r="A131" s="70" t="n">
        <v>123</v>
      </c>
      <c r="B131" s="20" t="s">
        <v>363</v>
      </c>
      <c r="C131" s="20" t="s">
        <v>512</v>
      </c>
      <c r="D131" s="20" t="s">
        <v>571</v>
      </c>
      <c r="E131" s="20" t="s">
        <v>572</v>
      </c>
      <c r="F131" s="70" t="s">
        <v>533</v>
      </c>
      <c r="G131" s="20" t="s">
        <v>576</v>
      </c>
      <c r="H131" s="49" t="n">
        <v>32</v>
      </c>
      <c r="I131" s="70" t="s">
        <v>368</v>
      </c>
      <c r="J131" s="70" t="s">
        <v>369</v>
      </c>
      <c r="K131" s="73" t="n">
        <v>1</v>
      </c>
      <c r="L131" s="49" t="n">
        <v>2</v>
      </c>
      <c r="M131" s="67" t="n">
        <v>3.7</v>
      </c>
      <c r="N131" s="68" t="n">
        <f aca="false">K131*L131*M131</f>
        <v>7.4</v>
      </c>
      <c r="O131" s="34" t="n">
        <f aca="false">IFERROR(INDEX(Исходные!$B$18:$B$30,MATCH(H131,Исходные!$A$18:$A$30,0)),0)</f>
        <v>6.313</v>
      </c>
      <c r="P131" s="74" t="n">
        <f aca="false">N131*O131</f>
        <v>46.7162</v>
      </c>
      <c r="Q131" s="20" t="s">
        <v>577</v>
      </c>
      <c r="R131" s="75" t="s">
        <v>517</v>
      </c>
      <c r="S131" s="20" t="s">
        <v>578</v>
      </c>
      <c r="T131" s="20" t="s">
        <v>73</v>
      </c>
      <c r="U131" s="47" t="n">
        <v>0</v>
      </c>
      <c r="V131" s="70" t="s">
        <v>572</v>
      </c>
      <c r="W131" s="47" t="n">
        <v>1</v>
      </c>
    </row>
    <row r="132" customFormat="false" ht="23.85" hidden="false" customHeight="false" outlineLevel="0" collapsed="false">
      <c r="A132" s="70" t="n">
        <v>124</v>
      </c>
      <c r="B132" s="20" t="s">
        <v>363</v>
      </c>
      <c r="C132" s="20" t="s">
        <v>512</v>
      </c>
      <c r="D132" s="20" t="s">
        <v>571</v>
      </c>
      <c r="E132" s="20" t="s">
        <v>572</v>
      </c>
      <c r="F132" s="70" t="s">
        <v>533</v>
      </c>
      <c r="G132" s="20" t="s">
        <v>579</v>
      </c>
      <c r="H132" s="49" t="n">
        <v>28</v>
      </c>
      <c r="I132" s="70" t="s">
        <v>368</v>
      </c>
      <c r="J132" s="70" t="s">
        <v>369</v>
      </c>
      <c r="K132" s="73" t="n">
        <v>1</v>
      </c>
      <c r="L132" s="49" t="n">
        <v>2</v>
      </c>
      <c r="M132" s="67" t="n">
        <v>3.7</v>
      </c>
      <c r="N132" s="68" t="n">
        <f aca="false">K132*L132*M132</f>
        <v>7.4</v>
      </c>
      <c r="O132" s="34" t="n">
        <f aca="false">IFERROR(INDEX(Исходные!$B$18:$B$30,MATCH(H132,Исходные!$A$18:$A$30,0)),0)</f>
        <v>4.834</v>
      </c>
      <c r="P132" s="74" t="n">
        <f aca="false">N132*O132</f>
        <v>35.7716</v>
      </c>
      <c r="Q132" s="20" t="s">
        <v>580</v>
      </c>
      <c r="R132" s="75" t="s">
        <v>517</v>
      </c>
      <c r="S132" s="20" t="s">
        <v>581</v>
      </c>
      <c r="T132" s="20" t="s">
        <v>73</v>
      </c>
      <c r="U132" s="47" t="n">
        <v>0</v>
      </c>
      <c r="V132" s="70" t="s">
        <v>572</v>
      </c>
      <c r="W132" s="47" t="n">
        <v>1</v>
      </c>
    </row>
    <row r="133" customFormat="false" ht="23.85" hidden="false" customHeight="false" outlineLevel="0" collapsed="false">
      <c r="A133" s="70" t="n">
        <v>125</v>
      </c>
      <c r="B133" s="20" t="s">
        <v>363</v>
      </c>
      <c r="C133" s="20" t="s">
        <v>512</v>
      </c>
      <c r="D133" s="20" t="s">
        <v>571</v>
      </c>
      <c r="E133" s="20" t="s">
        <v>572</v>
      </c>
      <c r="F133" s="70" t="s">
        <v>533</v>
      </c>
      <c r="G133" s="20" t="s">
        <v>582</v>
      </c>
      <c r="H133" s="49" t="n">
        <v>28</v>
      </c>
      <c r="I133" s="70" t="s">
        <v>368</v>
      </c>
      <c r="J133" s="70" t="s">
        <v>369</v>
      </c>
      <c r="K133" s="73" t="n">
        <v>1</v>
      </c>
      <c r="L133" s="49" t="n">
        <v>2</v>
      </c>
      <c r="M133" s="67" t="n">
        <v>3.6</v>
      </c>
      <c r="N133" s="68" t="n">
        <f aca="false">K133*L133*M133</f>
        <v>7.2</v>
      </c>
      <c r="O133" s="34" t="n">
        <f aca="false">IFERROR(INDEX(Исходные!$B$18:$B$30,MATCH(H133,Исходные!$A$18:$A$30,0)),0)</f>
        <v>4.834</v>
      </c>
      <c r="P133" s="74" t="n">
        <f aca="false">N133*O133</f>
        <v>34.8048</v>
      </c>
      <c r="Q133" s="20" t="s">
        <v>580</v>
      </c>
      <c r="R133" s="75" t="s">
        <v>517</v>
      </c>
      <c r="S133" s="20" t="s">
        <v>583</v>
      </c>
      <c r="T133" s="20" t="s">
        <v>73</v>
      </c>
      <c r="U133" s="47" t="n">
        <v>0</v>
      </c>
      <c r="V133" s="70" t="s">
        <v>572</v>
      </c>
      <c r="W133" s="47" t="n">
        <v>1</v>
      </c>
    </row>
    <row r="134" customFormat="false" ht="23.85" hidden="false" customHeight="false" outlineLevel="0" collapsed="false">
      <c r="A134" s="70" t="n">
        <v>126</v>
      </c>
      <c r="B134" s="20" t="s">
        <v>363</v>
      </c>
      <c r="C134" s="20" t="s">
        <v>512</v>
      </c>
      <c r="D134" s="20" t="s">
        <v>571</v>
      </c>
      <c r="E134" s="20" t="s">
        <v>572</v>
      </c>
      <c r="F134" s="70" t="s">
        <v>533</v>
      </c>
      <c r="G134" s="20" t="s">
        <v>584</v>
      </c>
      <c r="H134" s="49" t="n">
        <v>25</v>
      </c>
      <c r="I134" s="70" t="s">
        <v>368</v>
      </c>
      <c r="J134" s="70" t="s">
        <v>369</v>
      </c>
      <c r="K134" s="73" t="n">
        <v>1</v>
      </c>
      <c r="L134" s="49" t="n">
        <v>2</v>
      </c>
      <c r="M134" s="67" t="n">
        <v>2.05</v>
      </c>
      <c r="N134" s="68" t="n">
        <f aca="false">K134*L134*M134</f>
        <v>4.1</v>
      </c>
      <c r="O134" s="34" t="n">
        <f aca="false">IFERROR(INDEX(Исходные!$B$18:$B$30,MATCH(H134,Исходные!$A$18:$A$30,0)),0)</f>
        <v>3.853</v>
      </c>
      <c r="P134" s="74" t="n">
        <f aca="false">N134*O134</f>
        <v>15.7973</v>
      </c>
      <c r="Q134" s="20" t="s">
        <v>575</v>
      </c>
      <c r="R134" s="75" t="s">
        <v>517</v>
      </c>
      <c r="S134" s="20" t="s">
        <v>585</v>
      </c>
      <c r="T134" s="20" t="s">
        <v>73</v>
      </c>
      <c r="U134" s="47" t="n">
        <v>0</v>
      </c>
      <c r="V134" s="70" t="s">
        <v>572</v>
      </c>
      <c r="W134" s="47" t="n">
        <v>1</v>
      </c>
    </row>
    <row r="135" customFormat="false" ht="23.85" hidden="false" customHeight="false" outlineLevel="0" collapsed="false">
      <c r="A135" s="70" t="n">
        <v>127</v>
      </c>
      <c r="B135" s="20" t="s">
        <v>363</v>
      </c>
      <c r="C135" s="20" t="s">
        <v>512</v>
      </c>
      <c r="D135" s="20" t="s">
        <v>571</v>
      </c>
      <c r="E135" s="20" t="s">
        <v>572</v>
      </c>
      <c r="F135" s="70" t="s">
        <v>533</v>
      </c>
      <c r="G135" s="20" t="s">
        <v>586</v>
      </c>
      <c r="H135" s="49" t="n">
        <v>16</v>
      </c>
      <c r="I135" s="70" t="s">
        <v>368</v>
      </c>
      <c r="J135" s="70" t="s">
        <v>369</v>
      </c>
      <c r="K135" s="73" t="n">
        <v>1</v>
      </c>
      <c r="L135" s="49" t="n">
        <v>2</v>
      </c>
      <c r="M135" s="67" t="n">
        <v>2.9</v>
      </c>
      <c r="N135" s="68" t="n">
        <f aca="false">K135*L135*M135</f>
        <v>5.8</v>
      </c>
      <c r="O135" s="34" t="n">
        <f aca="false">IFERROR(INDEX(Исходные!$B$18:$B$30,MATCH(H135,Исходные!$A$18:$A$30,0)),0)</f>
        <v>1.578</v>
      </c>
      <c r="P135" s="74" t="n">
        <f aca="false">N135*O135</f>
        <v>9.1524</v>
      </c>
      <c r="Q135" s="20" t="s">
        <v>587</v>
      </c>
      <c r="R135" s="75" t="s">
        <v>517</v>
      </c>
      <c r="S135" s="20" t="s">
        <v>588</v>
      </c>
      <c r="T135" s="20" t="s">
        <v>73</v>
      </c>
      <c r="U135" s="47" t="n">
        <v>0</v>
      </c>
      <c r="V135" s="70" t="s">
        <v>572</v>
      </c>
      <c r="W135" s="47" t="n">
        <v>1</v>
      </c>
    </row>
    <row r="136" customFormat="false" ht="23.85" hidden="false" customHeight="false" outlineLevel="0" collapsed="false">
      <c r="A136" s="70" t="n">
        <v>128</v>
      </c>
      <c r="B136" s="20" t="s">
        <v>363</v>
      </c>
      <c r="C136" s="20" t="s">
        <v>512</v>
      </c>
      <c r="D136" s="20" t="s">
        <v>571</v>
      </c>
      <c r="E136" s="20" t="s">
        <v>572</v>
      </c>
      <c r="F136" s="70" t="s">
        <v>533</v>
      </c>
      <c r="G136" s="20" t="s">
        <v>589</v>
      </c>
      <c r="H136" s="49" t="n">
        <v>22</v>
      </c>
      <c r="I136" s="70" t="s">
        <v>368</v>
      </c>
      <c r="J136" s="70" t="s">
        <v>369</v>
      </c>
      <c r="K136" s="73" t="n">
        <v>1</v>
      </c>
      <c r="L136" s="49" t="n">
        <v>2</v>
      </c>
      <c r="M136" s="67" t="n">
        <v>3.2</v>
      </c>
      <c r="N136" s="68" t="n">
        <f aca="false">K136*L136*M136</f>
        <v>6.4</v>
      </c>
      <c r="O136" s="34" t="n">
        <f aca="false">IFERROR(INDEX(Исходные!$B$18:$B$30,MATCH(H136,Исходные!$A$18:$A$30,0)),0)</f>
        <v>2.984</v>
      </c>
      <c r="P136" s="74" t="n">
        <f aca="false">N136*O136</f>
        <v>19.0976</v>
      </c>
      <c r="Q136" s="20" t="s">
        <v>590</v>
      </c>
      <c r="R136" s="75" t="s">
        <v>517</v>
      </c>
      <c r="S136" s="20" t="s">
        <v>591</v>
      </c>
      <c r="T136" s="20" t="s">
        <v>73</v>
      </c>
      <c r="U136" s="47" t="n">
        <v>0</v>
      </c>
      <c r="V136" s="70" t="s">
        <v>572</v>
      </c>
      <c r="W136" s="47" t="n">
        <v>1</v>
      </c>
    </row>
    <row r="137" customFormat="false" ht="23.85" hidden="false" customHeight="false" outlineLevel="0" collapsed="false">
      <c r="A137" s="70" t="n">
        <v>129</v>
      </c>
      <c r="B137" s="20" t="s">
        <v>363</v>
      </c>
      <c r="C137" s="20" t="s">
        <v>512</v>
      </c>
      <c r="D137" s="20" t="s">
        <v>571</v>
      </c>
      <c r="E137" s="20" t="s">
        <v>572</v>
      </c>
      <c r="F137" s="70" t="s">
        <v>533</v>
      </c>
      <c r="G137" s="20" t="s">
        <v>592</v>
      </c>
      <c r="H137" s="49" t="n">
        <v>16</v>
      </c>
      <c r="I137" s="70" t="s">
        <v>368</v>
      </c>
      <c r="J137" s="70" t="s">
        <v>369</v>
      </c>
      <c r="K137" s="73" t="n">
        <v>1</v>
      </c>
      <c r="L137" s="49" t="n">
        <v>2</v>
      </c>
      <c r="M137" s="67" t="n">
        <v>2.9</v>
      </c>
      <c r="N137" s="68" t="n">
        <f aca="false">K137*L137*M137</f>
        <v>5.8</v>
      </c>
      <c r="O137" s="34" t="n">
        <f aca="false">IFERROR(INDEX(Исходные!$B$18:$B$30,MATCH(H137,Исходные!$A$18:$A$30,0)),0)</f>
        <v>1.578</v>
      </c>
      <c r="P137" s="74" t="n">
        <f aca="false">N137*O137</f>
        <v>9.1524</v>
      </c>
      <c r="Q137" s="20" t="s">
        <v>587</v>
      </c>
      <c r="R137" s="75" t="s">
        <v>517</v>
      </c>
      <c r="S137" s="20" t="s">
        <v>593</v>
      </c>
      <c r="T137" s="20" t="s">
        <v>73</v>
      </c>
      <c r="U137" s="47" t="n">
        <v>0</v>
      </c>
      <c r="V137" s="70" t="s">
        <v>572</v>
      </c>
      <c r="W137" s="47" t="n">
        <v>1</v>
      </c>
    </row>
    <row r="138" customFormat="false" ht="23.85" hidden="false" customHeight="false" outlineLevel="0" collapsed="false">
      <c r="A138" s="70" t="n">
        <v>130</v>
      </c>
      <c r="B138" s="20" t="s">
        <v>363</v>
      </c>
      <c r="C138" s="20" t="s">
        <v>512</v>
      </c>
      <c r="D138" s="20" t="s">
        <v>571</v>
      </c>
      <c r="E138" s="20" t="s">
        <v>572</v>
      </c>
      <c r="F138" s="70" t="s">
        <v>533</v>
      </c>
      <c r="G138" s="20" t="s">
        <v>594</v>
      </c>
      <c r="H138" s="49" t="n">
        <v>14</v>
      </c>
      <c r="I138" s="70" t="s">
        <v>368</v>
      </c>
      <c r="J138" s="70" t="s">
        <v>369</v>
      </c>
      <c r="K138" s="73" t="n">
        <v>1</v>
      </c>
      <c r="L138" s="49" t="n">
        <v>2</v>
      </c>
      <c r="M138" s="67" t="n">
        <v>3.7</v>
      </c>
      <c r="N138" s="68" t="n">
        <f aca="false">K138*L138*M138</f>
        <v>7.4</v>
      </c>
      <c r="O138" s="34" t="n">
        <f aca="false">IFERROR(INDEX(Исходные!$B$18:$B$30,MATCH(H138,Исходные!$A$18:$A$30,0)),0)</f>
        <v>1.208</v>
      </c>
      <c r="P138" s="74" t="n">
        <f aca="false">N138*O138</f>
        <v>8.9392</v>
      </c>
      <c r="Q138" s="20" t="s">
        <v>595</v>
      </c>
      <c r="R138" s="75" t="s">
        <v>517</v>
      </c>
      <c r="S138" s="20" t="s">
        <v>578</v>
      </c>
      <c r="T138" s="20" t="s">
        <v>73</v>
      </c>
      <c r="U138" s="47" t="n">
        <v>0</v>
      </c>
      <c r="V138" s="70" t="s">
        <v>572</v>
      </c>
      <c r="W138" s="47" t="n">
        <v>1</v>
      </c>
    </row>
    <row r="139" customFormat="false" ht="23.85" hidden="false" customHeight="false" outlineLevel="0" collapsed="false">
      <c r="A139" s="70" t="n">
        <v>131</v>
      </c>
      <c r="B139" s="20" t="s">
        <v>363</v>
      </c>
      <c r="C139" s="20" t="s">
        <v>512</v>
      </c>
      <c r="D139" s="20" t="s">
        <v>571</v>
      </c>
      <c r="E139" s="20" t="s">
        <v>572</v>
      </c>
      <c r="F139" s="70" t="s">
        <v>533</v>
      </c>
      <c r="G139" s="20" t="s">
        <v>596</v>
      </c>
      <c r="H139" s="49" t="n">
        <v>14</v>
      </c>
      <c r="I139" s="70" t="s">
        <v>368</v>
      </c>
      <c r="J139" s="70" t="s">
        <v>369</v>
      </c>
      <c r="K139" s="73" t="n">
        <v>1</v>
      </c>
      <c r="L139" s="49" t="n">
        <v>2</v>
      </c>
      <c r="M139" s="67" t="n">
        <v>3.7</v>
      </c>
      <c r="N139" s="68" t="n">
        <f aca="false">K139*L139*M139</f>
        <v>7.4</v>
      </c>
      <c r="O139" s="34" t="n">
        <f aca="false">IFERROR(INDEX(Исходные!$B$18:$B$30,MATCH(H139,Исходные!$A$18:$A$30,0)),0)</f>
        <v>1.208</v>
      </c>
      <c r="P139" s="74" t="n">
        <f aca="false">N139*O139</f>
        <v>8.9392</v>
      </c>
      <c r="Q139" s="20" t="s">
        <v>595</v>
      </c>
      <c r="R139" s="75" t="s">
        <v>517</v>
      </c>
      <c r="S139" s="20" t="s">
        <v>581</v>
      </c>
      <c r="T139" s="20" t="s">
        <v>73</v>
      </c>
      <c r="U139" s="47" t="n">
        <v>0</v>
      </c>
      <c r="V139" s="70" t="s">
        <v>572</v>
      </c>
      <c r="W139" s="47" t="n">
        <v>1</v>
      </c>
    </row>
    <row r="140" customFormat="false" ht="23.85" hidden="false" customHeight="false" outlineLevel="0" collapsed="false">
      <c r="A140" s="70" t="n">
        <v>132</v>
      </c>
      <c r="B140" s="20" t="s">
        <v>363</v>
      </c>
      <c r="C140" s="20" t="s">
        <v>512</v>
      </c>
      <c r="D140" s="20" t="s">
        <v>571</v>
      </c>
      <c r="E140" s="20" t="s">
        <v>572</v>
      </c>
      <c r="F140" s="70" t="s">
        <v>533</v>
      </c>
      <c r="G140" s="20" t="s">
        <v>597</v>
      </c>
      <c r="H140" s="49" t="n">
        <v>12</v>
      </c>
      <c r="I140" s="70" t="s">
        <v>368</v>
      </c>
      <c r="J140" s="70" t="s">
        <v>369</v>
      </c>
      <c r="K140" s="73" t="n">
        <v>1</v>
      </c>
      <c r="L140" s="49" t="n">
        <v>2</v>
      </c>
      <c r="M140" s="67" t="n">
        <v>10.6</v>
      </c>
      <c r="N140" s="68" t="n">
        <f aca="false">K140*L140*M140</f>
        <v>21.2</v>
      </c>
      <c r="O140" s="34" t="n">
        <f aca="false">IFERROR(INDEX(Исходные!$B$18:$B$30,MATCH(H140,Исходные!$A$18:$A$30,0)),0)</f>
        <v>0.888</v>
      </c>
      <c r="P140" s="74" t="n">
        <f aca="false">N140*O140</f>
        <v>18.8256</v>
      </c>
      <c r="Q140" s="20" t="s">
        <v>598</v>
      </c>
      <c r="R140" s="75" t="s">
        <v>517</v>
      </c>
      <c r="S140" s="20" t="s">
        <v>599</v>
      </c>
      <c r="T140" s="20" t="s">
        <v>73</v>
      </c>
      <c r="U140" s="47" t="n">
        <v>0</v>
      </c>
      <c r="V140" s="70" t="s">
        <v>572</v>
      </c>
      <c r="W140" s="47" t="n">
        <v>1</v>
      </c>
    </row>
    <row r="141" customFormat="false" ht="23.85" hidden="false" customHeight="false" outlineLevel="0" collapsed="false">
      <c r="A141" s="70" t="n">
        <v>133</v>
      </c>
      <c r="B141" s="20" t="s">
        <v>363</v>
      </c>
      <c r="C141" s="20" t="s">
        <v>512</v>
      </c>
      <c r="D141" s="20" t="s">
        <v>571</v>
      </c>
      <c r="E141" s="20" t="s">
        <v>572</v>
      </c>
      <c r="F141" s="70" t="s">
        <v>533</v>
      </c>
      <c r="G141" s="20" t="s">
        <v>600</v>
      </c>
      <c r="H141" s="49" t="n">
        <v>12</v>
      </c>
      <c r="I141" s="70" t="s">
        <v>368</v>
      </c>
      <c r="J141" s="70" t="s">
        <v>369</v>
      </c>
      <c r="K141" s="73" t="n">
        <v>1</v>
      </c>
      <c r="L141" s="49" t="n">
        <v>2</v>
      </c>
      <c r="M141" s="67" t="n">
        <v>3.6</v>
      </c>
      <c r="N141" s="68" t="n">
        <f aca="false">K141*L141*M141</f>
        <v>7.2</v>
      </c>
      <c r="O141" s="34" t="n">
        <f aca="false">IFERROR(INDEX(Исходные!$B$18:$B$30,MATCH(H141,Исходные!$A$18:$A$30,0)),0)</f>
        <v>0.888</v>
      </c>
      <c r="P141" s="74" t="n">
        <f aca="false">N141*O141</f>
        <v>6.3936</v>
      </c>
      <c r="Q141" s="20" t="s">
        <v>598</v>
      </c>
      <c r="R141" s="75" t="s">
        <v>517</v>
      </c>
      <c r="S141" s="20" t="s">
        <v>583</v>
      </c>
      <c r="T141" s="20" t="s">
        <v>73</v>
      </c>
      <c r="U141" s="47" t="n">
        <v>0</v>
      </c>
      <c r="V141" s="70" t="s">
        <v>572</v>
      </c>
      <c r="W141" s="47" t="n">
        <v>1</v>
      </c>
    </row>
    <row r="142" customFormat="false" ht="23.85" hidden="false" customHeight="false" outlineLevel="0" collapsed="false">
      <c r="A142" s="70" t="n">
        <v>134</v>
      </c>
      <c r="B142" s="20" t="s">
        <v>363</v>
      </c>
      <c r="C142" s="20" t="s">
        <v>512</v>
      </c>
      <c r="D142" s="20" t="s">
        <v>571</v>
      </c>
      <c r="E142" s="20" t="s">
        <v>572</v>
      </c>
      <c r="F142" s="70" t="s">
        <v>553</v>
      </c>
      <c r="G142" s="20" t="s">
        <v>554</v>
      </c>
      <c r="H142" s="49" t="n">
        <v>8</v>
      </c>
      <c r="I142" s="70" t="s">
        <v>403</v>
      </c>
      <c r="J142" s="70" t="s">
        <v>555</v>
      </c>
      <c r="K142" s="73" t="n">
        <v>1</v>
      </c>
      <c r="L142" s="49" t="n">
        <v>99</v>
      </c>
      <c r="M142" s="67" t="n">
        <v>2.06</v>
      </c>
      <c r="N142" s="68" t="n">
        <f aca="false">K142*L142*M142</f>
        <v>203.94</v>
      </c>
      <c r="O142" s="34" t="n">
        <f aca="false">IFERROR(INDEX(Исходные!$B$18:$B$30,MATCH(H142,Исходные!$A$18:$A$30,0)),0)</f>
        <v>0.395</v>
      </c>
      <c r="P142" s="74" t="n">
        <f aca="false">N142*O142</f>
        <v>80.5563</v>
      </c>
      <c r="Q142" s="20" t="s">
        <v>556</v>
      </c>
      <c r="R142" s="75" t="s">
        <v>371</v>
      </c>
      <c r="S142" s="20" t="s">
        <v>601</v>
      </c>
      <c r="T142" s="20" t="s">
        <v>73</v>
      </c>
      <c r="U142" s="47" t="n">
        <v>0</v>
      </c>
      <c r="V142" s="70" t="s">
        <v>572</v>
      </c>
      <c r="W142" s="47" t="n">
        <v>1</v>
      </c>
    </row>
    <row r="143" customFormat="false" ht="35.05" hidden="false" customHeight="false" outlineLevel="0" collapsed="false">
      <c r="A143" s="70" t="n">
        <v>135</v>
      </c>
      <c r="B143" s="20" t="s">
        <v>363</v>
      </c>
      <c r="C143" s="20" t="s">
        <v>512</v>
      </c>
      <c r="D143" s="20" t="s">
        <v>571</v>
      </c>
      <c r="E143" s="20" t="s">
        <v>572</v>
      </c>
      <c r="F143" s="70" t="s">
        <v>418</v>
      </c>
      <c r="G143" s="20" t="s">
        <v>558</v>
      </c>
      <c r="H143" s="49" t="n">
        <v>10</v>
      </c>
      <c r="I143" s="70" t="s">
        <v>403</v>
      </c>
      <c r="J143" s="70" t="n">
        <v>100</v>
      </c>
      <c r="K143" s="73" t="n">
        <v>1</v>
      </c>
      <c r="L143" s="49" t="n">
        <v>95</v>
      </c>
      <c r="M143" s="67" t="n">
        <v>2.06</v>
      </c>
      <c r="N143" s="68" t="n">
        <f aca="false">K143*L143*M143</f>
        <v>195.7</v>
      </c>
      <c r="O143" s="34" t="n">
        <f aca="false">IFERROR(INDEX(Исходные!$B$18:$B$30,MATCH(H143,Исходные!$A$18:$A$30,0)),0)</f>
        <v>0.617</v>
      </c>
      <c r="P143" s="74" t="n">
        <f aca="false">N143*O143</f>
        <v>120.7469</v>
      </c>
      <c r="Q143" s="20" t="s">
        <v>602</v>
      </c>
      <c r="R143" s="75" t="s">
        <v>371</v>
      </c>
      <c r="S143" s="20" t="s">
        <v>603</v>
      </c>
      <c r="T143" s="20" t="s">
        <v>73</v>
      </c>
      <c r="U143" s="47" t="n">
        <v>0</v>
      </c>
      <c r="V143" s="70" t="s">
        <v>572</v>
      </c>
      <c r="W143" s="47" t="n">
        <v>1</v>
      </c>
    </row>
    <row r="144" customFormat="false" ht="23.85" hidden="false" customHeight="false" outlineLevel="0" collapsed="false">
      <c r="A144" s="70" t="n">
        <v>136</v>
      </c>
      <c r="B144" s="20" t="s">
        <v>363</v>
      </c>
      <c r="C144" s="20" t="s">
        <v>512</v>
      </c>
      <c r="D144" s="20" t="s">
        <v>571</v>
      </c>
      <c r="E144" s="20" t="s">
        <v>572</v>
      </c>
      <c r="F144" s="70" t="s">
        <v>460</v>
      </c>
      <c r="G144" s="20" t="s">
        <v>561</v>
      </c>
      <c r="H144" s="49" t="n">
        <v>10</v>
      </c>
      <c r="I144" s="70" t="s">
        <v>403</v>
      </c>
      <c r="J144" s="70" t="n">
        <v>100</v>
      </c>
      <c r="K144" s="73" t="n">
        <v>1</v>
      </c>
      <c r="L144" s="49" t="n">
        <v>19</v>
      </c>
      <c r="M144" s="67" t="n">
        <v>1.6</v>
      </c>
      <c r="N144" s="68" t="n">
        <f aca="false">K144*L144*M144</f>
        <v>30.4</v>
      </c>
      <c r="O144" s="34" t="n">
        <f aca="false">IFERROR(INDEX(Исходные!$B$18:$B$30,MATCH(H144,Исходные!$A$18:$A$30,0)),0)</f>
        <v>0.617</v>
      </c>
      <c r="P144" s="74" t="n">
        <f aca="false">N144*O144</f>
        <v>18.7568</v>
      </c>
      <c r="Q144" s="20" t="s">
        <v>604</v>
      </c>
      <c r="R144" s="75" t="s">
        <v>371</v>
      </c>
      <c r="S144" s="20"/>
      <c r="T144" s="20" t="s">
        <v>73</v>
      </c>
      <c r="U144" s="47" t="n">
        <v>0</v>
      </c>
      <c r="V144" s="70" t="s">
        <v>572</v>
      </c>
      <c r="W144" s="47" t="n">
        <v>1</v>
      </c>
    </row>
    <row r="145" customFormat="false" ht="23.85" hidden="false" customHeight="false" outlineLevel="0" collapsed="false">
      <c r="A145" s="70" t="n">
        <v>137</v>
      </c>
      <c r="B145" s="20" t="s">
        <v>363</v>
      </c>
      <c r="C145" s="20" t="s">
        <v>512</v>
      </c>
      <c r="D145" s="20" t="s">
        <v>571</v>
      </c>
      <c r="E145" s="20" t="s">
        <v>572</v>
      </c>
      <c r="F145" s="70" t="s">
        <v>563</v>
      </c>
      <c r="G145" s="20" t="s">
        <v>564</v>
      </c>
      <c r="H145" s="49" t="n">
        <v>8</v>
      </c>
      <c r="I145" s="70" t="s">
        <v>403</v>
      </c>
      <c r="J145" s="70" t="s">
        <v>565</v>
      </c>
      <c r="K145" s="73" t="n">
        <v>1</v>
      </c>
      <c r="L145" s="49" t="n">
        <v>113</v>
      </c>
      <c r="M145" s="67" t="n">
        <v>0.75</v>
      </c>
      <c r="N145" s="68" t="n">
        <f aca="false">K145*L145*M145</f>
        <v>84.75</v>
      </c>
      <c r="O145" s="34" t="n">
        <f aca="false">IFERROR(INDEX(Исходные!$B$18:$B$30,MATCH(H145,Исходные!$A$18:$A$30,0)),0)</f>
        <v>0.395</v>
      </c>
      <c r="P145" s="74" t="n">
        <f aca="false">N145*O145</f>
        <v>33.47625</v>
      </c>
      <c r="Q145" s="20" t="s">
        <v>566</v>
      </c>
      <c r="R145" s="75" t="s">
        <v>371</v>
      </c>
      <c r="S145" s="20"/>
      <c r="T145" s="20" t="s">
        <v>73</v>
      </c>
      <c r="U145" s="47" t="n">
        <v>0</v>
      </c>
      <c r="V145" s="70" t="s">
        <v>572</v>
      </c>
      <c r="W145" s="47" t="n">
        <v>1</v>
      </c>
    </row>
    <row r="146" customFormat="false" ht="23.85" hidden="false" customHeight="false" outlineLevel="0" collapsed="false">
      <c r="A146" s="70" t="n">
        <v>138</v>
      </c>
      <c r="B146" s="20" t="s">
        <v>363</v>
      </c>
      <c r="C146" s="20" t="s">
        <v>512</v>
      </c>
      <c r="D146" s="20" t="s">
        <v>571</v>
      </c>
      <c r="E146" s="20" t="s">
        <v>572</v>
      </c>
      <c r="F146" s="70" t="s">
        <v>567</v>
      </c>
      <c r="G146" s="20" t="s">
        <v>568</v>
      </c>
      <c r="H146" s="49" t="n">
        <v>8</v>
      </c>
      <c r="I146" s="70" t="s">
        <v>403</v>
      </c>
      <c r="J146" s="70" t="n">
        <v>300</v>
      </c>
      <c r="K146" s="73" t="n">
        <v>1</v>
      </c>
      <c r="L146" s="49" t="n">
        <v>77</v>
      </c>
      <c r="M146" s="67" t="n">
        <v>0.58</v>
      </c>
      <c r="N146" s="68" t="n">
        <f aca="false">K146*L146*M146</f>
        <v>44.66</v>
      </c>
      <c r="O146" s="34" t="n">
        <f aca="false">IFERROR(INDEX(Исходные!$B$18:$B$30,MATCH(H146,Исходные!$A$18:$A$30,0)),0)</f>
        <v>0.395</v>
      </c>
      <c r="P146" s="74" t="n">
        <f aca="false">N146*O146</f>
        <v>17.6407</v>
      </c>
      <c r="Q146" s="20" t="s">
        <v>569</v>
      </c>
      <c r="R146" s="76" t="s">
        <v>495</v>
      </c>
      <c r="S146" s="20" t="s">
        <v>570</v>
      </c>
      <c r="T146" s="20" t="s">
        <v>73</v>
      </c>
      <c r="U146" s="47" t="n">
        <v>1</v>
      </c>
      <c r="V146" s="70" t="s">
        <v>572</v>
      </c>
      <c r="W146" s="47" t="n">
        <v>1</v>
      </c>
    </row>
    <row r="147" customFormat="false" ht="35.05" hidden="false" customHeight="false" outlineLevel="0" collapsed="false">
      <c r="A147" s="70" t="n">
        <v>139</v>
      </c>
      <c r="B147" s="20" t="s">
        <v>363</v>
      </c>
      <c r="C147" s="20" t="s">
        <v>512</v>
      </c>
      <c r="D147" s="20" t="s">
        <v>605</v>
      </c>
      <c r="E147" s="20" t="s">
        <v>606</v>
      </c>
      <c r="F147" s="70" t="s">
        <v>376</v>
      </c>
      <c r="G147" s="20" t="s">
        <v>515</v>
      </c>
      <c r="H147" s="49" t="n">
        <v>28</v>
      </c>
      <c r="I147" s="70" t="s">
        <v>368</v>
      </c>
      <c r="J147" s="70" t="s">
        <v>369</v>
      </c>
      <c r="K147" s="73" t="n">
        <v>1</v>
      </c>
      <c r="L147" s="49" t="n">
        <v>4</v>
      </c>
      <c r="M147" s="67" t="n">
        <v>25.5</v>
      </c>
      <c r="N147" s="68" t="n">
        <f aca="false">K147*L147*M147</f>
        <v>102</v>
      </c>
      <c r="O147" s="34" t="n">
        <f aca="false">IFERROR(INDEX(Исходные!$B$18:$B$30,MATCH(H147,Исходные!$A$18:$A$30,0)),0)</f>
        <v>4.834</v>
      </c>
      <c r="P147" s="74" t="n">
        <f aca="false">N147*O147</f>
        <v>493.068</v>
      </c>
      <c r="Q147" s="20" t="s">
        <v>607</v>
      </c>
      <c r="R147" s="75" t="s">
        <v>517</v>
      </c>
      <c r="S147" s="20" t="s">
        <v>518</v>
      </c>
      <c r="T147" s="20" t="s">
        <v>73</v>
      </c>
      <c r="U147" s="47" t="n">
        <v>0</v>
      </c>
      <c r="V147" s="70" t="s">
        <v>606</v>
      </c>
      <c r="W147" s="47" t="n">
        <v>1</v>
      </c>
    </row>
    <row r="148" customFormat="false" ht="23.85" hidden="false" customHeight="false" outlineLevel="0" collapsed="false">
      <c r="A148" s="70" t="n">
        <v>140</v>
      </c>
      <c r="B148" s="20" t="s">
        <v>363</v>
      </c>
      <c r="C148" s="20" t="s">
        <v>512</v>
      </c>
      <c r="D148" s="20" t="s">
        <v>605</v>
      </c>
      <c r="E148" s="20" t="s">
        <v>606</v>
      </c>
      <c r="F148" s="70" t="s">
        <v>386</v>
      </c>
      <c r="G148" s="20" t="s">
        <v>519</v>
      </c>
      <c r="H148" s="49" t="n">
        <v>18</v>
      </c>
      <c r="I148" s="70" t="s">
        <v>368</v>
      </c>
      <c r="J148" s="70" t="s">
        <v>369</v>
      </c>
      <c r="K148" s="73" t="n">
        <v>1</v>
      </c>
      <c r="L148" s="49" t="n">
        <v>2</v>
      </c>
      <c r="M148" s="67" t="n">
        <v>25.5</v>
      </c>
      <c r="N148" s="68" t="n">
        <f aca="false">K148*L148*M148</f>
        <v>51</v>
      </c>
      <c r="O148" s="34" t="n">
        <f aca="false">IFERROR(INDEX(Исходные!$B$18:$B$30,MATCH(H148,Исходные!$A$18:$A$30,0)),0)</f>
        <v>1.998</v>
      </c>
      <c r="P148" s="74" t="n">
        <f aca="false">N148*O148</f>
        <v>101.898</v>
      </c>
      <c r="Q148" s="20" t="s">
        <v>520</v>
      </c>
      <c r="R148" s="75" t="s">
        <v>517</v>
      </c>
      <c r="S148" s="20"/>
      <c r="T148" s="20" t="s">
        <v>73</v>
      </c>
      <c r="U148" s="47" t="n">
        <v>0</v>
      </c>
      <c r="V148" s="70" t="s">
        <v>606</v>
      </c>
      <c r="W148" s="47" t="n">
        <v>1</v>
      </c>
    </row>
    <row r="149" customFormat="false" ht="35.05" hidden="false" customHeight="false" outlineLevel="0" collapsed="false">
      <c r="A149" s="70" t="n">
        <v>141</v>
      </c>
      <c r="B149" s="20" t="s">
        <v>363</v>
      </c>
      <c r="C149" s="20" t="s">
        <v>512</v>
      </c>
      <c r="D149" s="20" t="s">
        <v>605</v>
      </c>
      <c r="E149" s="20" t="s">
        <v>606</v>
      </c>
      <c r="F149" s="70" t="s">
        <v>521</v>
      </c>
      <c r="G149" s="20" t="s">
        <v>522</v>
      </c>
      <c r="H149" s="49" t="n">
        <v>18</v>
      </c>
      <c r="I149" s="70" t="s">
        <v>368</v>
      </c>
      <c r="J149" s="70" t="s">
        <v>369</v>
      </c>
      <c r="K149" s="73" t="n">
        <v>2</v>
      </c>
      <c r="L149" s="49" t="n">
        <v>2</v>
      </c>
      <c r="M149" s="67" t="n">
        <v>0.144</v>
      </c>
      <c r="N149" s="68" t="n">
        <f aca="false">K149*L149*M149</f>
        <v>0.576</v>
      </c>
      <c r="O149" s="34" t="n">
        <f aca="false">IFERROR(INDEX(Исходные!$B$18:$B$30,MATCH(H149,Исходные!$A$18:$A$30,0)),0)</f>
        <v>1.998</v>
      </c>
      <c r="P149" s="74" t="n">
        <f aca="false">N149*O149</f>
        <v>1.150848</v>
      </c>
      <c r="Q149" s="20" t="s">
        <v>523</v>
      </c>
      <c r="R149" s="75" t="s">
        <v>524</v>
      </c>
      <c r="S149" s="20" t="s">
        <v>525</v>
      </c>
      <c r="T149" s="20" t="s">
        <v>73</v>
      </c>
      <c r="U149" s="47" t="n">
        <v>0</v>
      </c>
      <c r="V149" s="70" t="s">
        <v>606</v>
      </c>
      <c r="W149" s="47" t="n">
        <v>1</v>
      </c>
    </row>
    <row r="150" customFormat="false" ht="23.85" hidden="false" customHeight="false" outlineLevel="0" collapsed="false">
      <c r="A150" s="70" t="n">
        <v>142</v>
      </c>
      <c r="B150" s="20" t="s">
        <v>363</v>
      </c>
      <c r="C150" s="20" t="s">
        <v>512</v>
      </c>
      <c r="D150" s="20" t="s">
        <v>605</v>
      </c>
      <c r="E150" s="20" t="s">
        <v>606</v>
      </c>
      <c r="F150" s="70" t="s">
        <v>526</v>
      </c>
      <c r="G150" s="20" t="s">
        <v>527</v>
      </c>
      <c r="H150" s="49" t="n">
        <v>16</v>
      </c>
      <c r="I150" s="70" t="s">
        <v>368</v>
      </c>
      <c r="J150" s="70" t="s">
        <v>369</v>
      </c>
      <c r="K150" s="73" t="n">
        <v>1</v>
      </c>
      <c r="L150" s="49" t="n">
        <v>2</v>
      </c>
      <c r="M150" s="67" t="n">
        <v>25.5</v>
      </c>
      <c r="N150" s="68" t="n">
        <f aca="false">K150*L150*M150</f>
        <v>51</v>
      </c>
      <c r="O150" s="34" t="n">
        <f aca="false">IFERROR(INDEX(Исходные!$B$18:$B$30,MATCH(H150,Исходные!$A$18:$A$30,0)),0)</f>
        <v>1.578</v>
      </c>
      <c r="P150" s="74" t="n">
        <f aca="false">N150*O150</f>
        <v>80.478</v>
      </c>
      <c r="Q150" s="20" t="s">
        <v>528</v>
      </c>
      <c r="R150" s="75" t="s">
        <v>517</v>
      </c>
      <c r="S150" s="20"/>
      <c r="T150" s="20" t="s">
        <v>73</v>
      </c>
      <c r="U150" s="47" t="n">
        <v>0</v>
      </c>
      <c r="V150" s="70" t="s">
        <v>606</v>
      </c>
      <c r="W150" s="47" t="n">
        <v>1</v>
      </c>
    </row>
    <row r="151" customFormat="false" ht="35.05" hidden="false" customHeight="false" outlineLevel="0" collapsed="false">
      <c r="A151" s="70" t="n">
        <v>143</v>
      </c>
      <c r="B151" s="20" t="s">
        <v>363</v>
      </c>
      <c r="C151" s="20" t="s">
        <v>512</v>
      </c>
      <c r="D151" s="20" t="s">
        <v>605</v>
      </c>
      <c r="E151" s="20" t="s">
        <v>606</v>
      </c>
      <c r="F151" s="70" t="s">
        <v>529</v>
      </c>
      <c r="G151" s="20" t="s">
        <v>530</v>
      </c>
      <c r="H151" s="49" t="n">
        <v>16</v>
      </c>
      <c r="I151" s="70" t="s">
        <v>368</v>
      </c>
      <c r="J151" s="70" t="s">
        <v>369</v>
      </c>
      <c r="K151" s="73" t="n">
        <v>2</v>
      </c>
      <c r="L151" s="49" t="n">
        <v>2</v>
      </c>
      <c r="M151" s="67" t="n">
        <v>0.128</v>
      </c>
      <c r="N151" s="68" t="n">
        <f aca="false">K151*L151*M151</f>
        <v>0.512</v>
      </c>
      <c r="O151" s="34" t="n">
        <f aca="false">IFERROR(INDEX(Исходные!$B$18:$B$30,MATCH(H151,Исходные!$A$18:$A$30,0)),0)</f>
        <v>1.578</v>
      </c>
      <c r="P151" s="74" t="n">
        <f aca="false">N151*O151</f>
        <v>0.807936</v>
      </c>
      <c r="Q151" s="20" t="s">
        <v>531</v>
      </c>
      <c r="R151" s="75" t="s">
        <v>524</v>
      </c>
      <c r="S151" s="20" t="s">
        <v>532</v>
      </c>
      <c r="T151" s="20" t="s">
        <v>73</v>
      </c>
      <c r="U151" s="47" t="n">
        <v>0</v>
      </c>
      <c r="V151" s="70" t="s">
        <v>606</v>
      </c>
      <c r="W151" s="47" t="n">
        <v>1</v>
      </c>
    </row>
    <row r="152" customFormat="false" ht="23.85" hidden="false" customHeight="false" outlineLevel="0" collapsed="false">
      <c r="A152" s="70" t="n">
        <v>144</v>
      </c>
      <c r="B152" s="20" t="s">
        <v>363</v>
      </c>
      <c r="C152" s="20" t="s">
        <v>512</v>
      </c>
      <c r="D152" s="20" t="s">
        <v>605</v>
      </c>
      <c r="E152" s="20" t="s">
        <v>606</v>
      </c>
      <c r="F152" s="70" t="s">
        <v>533</v>
      </c>
      <c r="G152" s="20" t="s">
        <v>534</v>
      </c>
      <c r="H152" s="49" t="n">
        <v>28</v>
      </c>
      <c r="I152" s="70" t="s">
        <v>368</v>
      </c>
      <c r="J152" s="70" t="s">
        <v>369</v>
      </c>
      <c r="K152" s="73" t="n">
        <v>1</v>
      </c>
      <c r="L152" s="49" t="n">
        <v>2</v>
      </c>
      <c r="M152" s="67" t="n">
        <v>2.05</v>
      </c>
      <c r="N152" s="68" t="n">
        <f aca="false">K152*L152*M152</f>
        <v>4.1</v>
      </c>
      <c r="O152" s="34" t="n">
        <f aca="false">IFERROR(INDEX(Исходные!$B$18:$B$30,MATCH(H152,Исходные!$A$18:$A$30,0)),0)</f>
        <v>4.834</v>
      </c>
      <c r="P152" s="74" t="n">
        <f aca="false">N152*O152</f>
        <v>19.8194</v>
      </c>
      <c r="Q152" s="20" t="s">
        <v>608</v>
      </c>
      <c r="R152" s="75" t="s">
        <v>517</v>
      </c>
      <c r="S152" s="20" t="s">
        <v>536</v>
      </c>
      <c r="T152" s="20" t="s">
        <v>73</v>
      </c>
      <c r="U152" s="47" t="n">
        <v>0</v>
      </c>
      <c r="V152" s="70" t="s">
        <v>606</v>
      </c>
      <c r="W152" s="47" t="n">
        <v>1</v>
      </c>
    </row>
    <row r="153" customFormat="false" ht="23.85" hidden="false" customHeight="false" outlineLevel="0" collapsed="false">
      <c r="A153" s="70" t="n">
        <v>145</v>
      </c>
      <c r="B153" s="20" t="s">
        <v>363</v>
      </c>
      <c r="C153" s="20" t="s">
        <v>512</v>
      </c>
      <c r="D153" s="20" t="s">
        <v>605</v>
      </c>
      <c r="E153" s="20" t="s">
        <v>606</v>
      </c>
      <c r="F153" s="70" t="s">
        <v>533</v>
      </c>
      <c r="G153" s="20" t="s">
        <v>576</v>
      </c>
      <c r="H153" s="49" t="n">
        <v>32</v>
      </c>
      <c r="I153" s="70" t="s">
        <v>368</v>
      </c>
      <c r="J153" s="70" t="s">
        <v>369</v>
      </c>
      <c r="K153" s="73" t="n">
        <v>1</v>
      </c>
      <c r="L153" s="49" t="n">
        <v>2</v>
      </c>
      <c r="M153" s="67" t="n">
        <v>3.7</v>
      </c>
      <c r="N153" s="68" t="n">
        <f aca="false">K153*L153*M153</f>
        <v>7.4</v>
      </c>
      <c r="O153" s="34" t="n">
        <f aca="false">IFERROR(INDEX(Исходные!$B$18:$B$30,MATCH(H153,Исходные!$A$18:$A$30,0)),0)</f>
        <v>6.313</v>
      </c>
      <c r="P153" s="74" t="n">
        <f aca="false">N153*O153</f>
        <v>46.7162</v>
      </c>
      <c r="Q153" s="20" t="s">
        <v>609</v>
      </c>
      <c r="R153" s="75" t="s">
        <v>517</v>
      </c>
      <c r="S153" s="20" t="s">
        <v>578</v>
      </c>
      <c r="T153" s="20" t="s">
        <v>73</v>
      </c>
      <c r="U153" s="47" t="n">
        <v>0</v>
      </c>
      <c r="V153" s="70" t="s">
        <v>606</v>
      </c>
      <c r="W153" s="47" t="n">
        <v>1</v>
      </c>
    </row>
    <row r="154" customFormat="false" ht="23.85" hidden="false" customHeight="false" outlineLevel="0" collapsed="false">
      <c r="A154" s="70" t="n">
        <v>146</v>
      </c>
      <c r="B154" s="20" t="s">
        <v>363</v>
      </c>
      <c r="C154" s="20" t="s">
        <v>512</v>
      </c>
      <c r="D154" s="20" t="s">
        <v>605</v>
      </c>
      <c r="E154" s="20" t="s">
        <v>606</v>
      </c>
      <c r="F154" s="70" t="s">
        <v>533</v>
      </c>
      <c r="G154" s="20" t="s">
        <v>610</v>
      </c>
      <c r="H154" s="49" t="n">
        <v>32</v>
      </c>
      <c r="I154" s="70" t="s">
        <v>368</v>
      </c>
      <c r="J154" s="70" t="s">
        <v>369</v>
      </c>
      <c r="K154" s="73" t="n">
        <v>1</v>
      </c>
      <c r="L154" s="49" t="n">
        <v>2</v>
      </c>
      <c r="M154" s="67" t="n">
        <v>3.7</v>
      </c>
      <c r="N154" s="68" t="n">
        <f aca="false">K154*L154*M154</f>
        <v>7.4</v>
      </c>
      <c r="O154" s="34" t="n">
        <f aca="false">IFERROR(INDEX(Исходные!$B$18:$B$30,MATCH(H154,Исходные!$A$18:$A$30,0)),0)</f>
        <v>6.313</v>
      </c>
      <c r="P154" s="74" t="n">
        <f aca="false">N154*O154</f>
        <v>46.7162</v>
      </c>
      <c r="Q154" s="20" t="s">
        <v>609</v>
      </c>
      <c r="R154" s="75" t="s">
        <v>517</v>
      </c>
      <c r="S154" s="20" t="s">
        <v>581</v>
      </c>
      <c r="T154" s="20" t="s">
        <v>73</v>
      </c>
      <c r="U154" s="47" t="n">
        <v>0</v>
      </c>
      <c r="V154" s="70" t="s">
        <v>606</v>
      </c>
      <c r="W154" s="47" t="n">
        <v>1</v>
      </c>
    </row>
    <row r="155" customFormat="false" ht="23.85" hidden="false" customHeight="false" outlineLevel="0" collapsed="false">
      <c r="A155" s="70" t="n">
        <v>147</v>
      </c>
      <c r="B155" s="20" t="s">
        <v>363</v>
      </c>
      <c r="C155" s="20" t="s">
        <v>512</v>
      </c>
      <c r="D155" s="20" t="s">
        <v>605</v>
      </c>
      <c r="E155" s="20" t="s">
        <v>606</v>
      </c>
      <c r="F155" s="70" t="s">
        <v>533</v>
      </c>
      <c r="G155" s="20" t="s">
        <v>582</v>
      </c>
      <c r="H155" s="49" t="n">
        <v>28</v>
      </c>
      <c r="I155" s="70" t="s">
        <v>368</v>
      </c>
      <c r="J155" s="70" t="s">
        <v>369</v>
      </c>
      <c r="K155" s="73" t="n">
        <v>1</v>
      </c>
      <c r="L155" s="49" t="n">
        <v>2</v>
      </c>
      <c r="M155" s="67" t="n">
        <v>3.6</v>
      </c>
      <c r="N155" s="68" t="n">
        <f aca="false">K155*L155*M155</f>
        <v>7.2</v>
      </c>
      <c r="O155" s="34" t="n">
        <f aca="false">IFERROR(INDEX(Исходные!$B$18:$B$30,MATCH(H155,Исходные!$A$18:$A$30,0)),0)</f>
        <v>4.834</v>
      </c>
      <c r="P155" s="74" t="n">
        <f aca="false">N155*O155</f>
        <v>34.8048</v>
      </c>
      <c r="Q155" s="20" t="s">
        <v>608</v>
      </c>
      <c r="R155" s="75" t="s">
        <v>517</v>
      </c>
      <c r="S155" s="20" t="s">
        <v>583</v>
      </c>
      <c r="T155" s="20" t="s">
        <v>73</v>
      </c>
      <c r="U155" s="47" t="n">
        <v>0</v>
      </c>
      <c r="V155" s="70" t="s">
        <v>606</v>
      </c>
      <c r="W155" s="47" t="n">
        <v>1</v>
      </c>
    </row>
    <row r="156" customFormat="false" ht="23.85" hidden="false" customHeight="false" outlineLevel="0" collapsed="false">
      <c r="A156" s="70" t="n">
        <v>148</v>
      </c>
      <c r="B156" s="20" t="s">
        <v>363</v>
      </c>
      <c r="C156" s="20" t="s">
        <v>512</v>
      </c>
      <c r="D156" s="20" t="s">
        <v>605</v>
      </c>
      <c r="E156" s="20" t="s">
        <v>606</v>
      </c>
      <c r="F156" s="70" t="s">
        <v>533</v>
      </c>
      <c r="G156" s="20" t="s">
        <v>584</v>
      </c>
      <c r="H156" s="49" t="n">
        <v>25</v>
      </c>
      <c r="I156" s="70" t="s">
        <v>368</v>
      </c>
      <c r="J156" s="70" t="s">
        <v>369</v>
      </c>
      <c r="K156" s="73" t="n">
        <v>1</v>
      </c>
      <c r="L156" s="49" t="n">
        <v>2</v>
      </c>
      <c r="M156" s="67" t="n">
        <v>2.05</v>
      </c>
      <c r="N156" s="68" t="n">
        <f aca="false">K156*L156*M156</f>
        <v>4.1</v>
      </c>
      <c r="O156" s="34" t="n">
        <f aca="false">IFERROR(INDEX(Исходные!$B$18:$B$30,MATCH(H156,Исходные!$A$18:$A$30,0)),0)</f>
        <v>3.853</v>
      </c>
      <c r="P156" s="74" t="n">
        <f aca="false">N156*O156</f>
        <v>15.7973</v>
      </c>
      <c r="Q156" s="20" t="s">
        <v>611</v>
      </c>
      <c r="R156" s="75" t="s">
        <v>517</v>
      </c>
      <c r="S156" s="20" t="s">
        <v>585</v>
      </c>
      <c r="T156" s="20" t="s">
        <v>73</v>
      </c>
      <c r="U156" s="47" t="n">
        <v>0</v>
      </c>
      <c r="V156" s="70" t="s">
        <v>606</v>
      </c>
      <c r="W156" s="47" t="n">
        <v>1</v>
      </c>
    </row>
    <row r="157" customFormat="false" ht="23.85" hidden="false" customHeight="false" outlineLevel="0" collapsed="false">
      <c r="A157" s="70" t="n">
        <v>149</v>
      </c>
      <c r="B157" s="20" t="s">
        <v>363</v>
      </c>
      <c r="C157" s="20" t="s">
        <v>512</v>
      </c>
      <c r="D157" s="20" t="s">
        <v>605</v>
      </c>
      <c r="E157" s="20" t="s">
        <v>606</v>
      </c>
      <c r="F157" s="70" t="s">
        <v>533</v>
      </c>
      <c r="G157" s="20" t="s">
        <v>612</v>
      </c>
      <c r="H157" s="49" t="n">
        <v>14</v>
      </c>
      <c r="I157" s="70" t="s">
        <v>368</v>
      </c>
      <c r="J157" s="70" t="s">
        <v>369</v>
      </c>
      <c r="K157" s="73" t="n">
        <v>1</v>
      </c>
      <c r="L157" s="49" t="n">
        <v>2</v>
      </c>
      <c r="M157" s="67" t="n">
        <v>4.2</v>
      </c>
      <c r="N157" s="68" t="n">
        <f aca="false">K157*L157*M157</f>
        <v>8.4</v>
      </c>
      <c r="O157" s="34" t="n">
        <f aca="false">IFERROR(INDEX(Исходные!$B$18:$B$30,MATCH(H157,Исходные!$A$18:$A$30,0)),0)</f>
        <v>1.208</v>
      </c>
      <c r="P157" s="74" t="n">
        <f aca="false">N157*O157</f>
        <v>10.1472</v>
      </c>
      <c r="Q157" s="20" t="s">
        <v>613</v>
      </c>
      <c r="R157" s="75" t="s">
        <v>517</v>
      </c>
      <c r="S157" s="20" t="s">
        <v>614</v>
      </c>
      <c r="T157" s="20" t="s">
        <v>73</v>
      </c>
      <c r="U157" s="47" t="n">
        <v>0</v>
      </c>
      <c r="V157" s="70" t="s">
        <v>606</v>
      </c>
      <c r="W157" s="47" t="n">
        <v>1</v>
      </c>
    </row>
    <row r="158" customFormat="false" ht="23.85" hidden="false" customHeight="false" outlineLevel="0" collapsed="false">
      <c r="A158" s="70" t="n">
        <v>150</v>
      </c>
      <c r="B158" s="20" t="s">
        <v>363</v>
      </c>
      <c r="C158" s="20" t="s">
        <v>512</v>
      </c>
      <c r="D158" s="20" t="s">
        <v>605</v>
      </c>
      <c r="E158" s="20" t="s">
        <v>606</v>
      </c>
      <c r="F158" s="70" t="s">
        <v>533</v>
      </c>
      <c r="G158" s="20" t="s">
        <v>615</v>
      </c>
      <c r="H158" s="49" t="n">
        <v>14</v>
      </c>
      <c r="I158" s="70" t="s">
        <v>368</v>
      </c>
      <c r="J158" s="70" t="s">
        <v>369</v>
      </c>
      <c r="K158" s="73" t="n">
        <v>1</v>
      </c>
      <c r="L158" s="49" t="n">
        <v>2</v>
      </c>
      <c r="M158" s="67" t="n">
        <v>3.9</v>
      </c>
      <c r="N158" s="68" t="n">
        <f aca="false">K158*L158*M158</f>
        <v>7.8</v>
      </c>
      <c r="O158" s="34" t="n">
        <f aca="false">IFERROR(INDEX(Исходные!$B$18:$B$30,MATCH(H158,Исходные!$A$18:$A$30,0)),0)</f>
        <v>1.208</v>
      </c>
      <c r="P158" s="74" t="n">
        <f aca="false">N158*O158</f>
        <v>9.4224</v>
      </c>
      <c r="Q158" s="20" t="s">
        <v>613</v>
      </c>
      <c r="R158" s="75" t="s">
        <v>517</v>
      </c>
      <c r="S158" s="20" t="s">
        <v>616</v>
      </c>
      <c r="T158" s="20" t="s">
        <v>73</v>
      </c>
      <c r="U158" s="47" t="n">
        <v>0</v>
      </c>
      <c r="V158" s="70" t="s">
        <v>606</v>
      </c>
      <c r="W158" s="47" t="n">
        <v>1</v>
      </c>
    </row>
    <row r="159" customFormat="false" ht="23.85" hidden="false" customHeight="false" outlineLevel="0" collapsed="false">
      <c r="A159" s="70" t="n">
        <v>151</v>
      </c>
      <c r="B159" s="20" t="s">
        <v>363</v>
      </c>
      <c r="C159" s="20" t="s">
        <v>512</v>
      </c>
      <c r="D159" s="20" t="s">
        <v>605</v>
      </c>
      <c r="E159" s="20" t="s">
        <v>606</v>
      </c>
      <c r="F159" s="70" t="s">
        <v>533</v>
      </c>
      <c r="G159" s="20" t="s">
        <v>586</v>
      </c>
      <c r="H159" s="49" t="n">
        <v>16</v>
      </c>
      <c r="I159" s="70" t="s">
        <v>368</v>
      </c>
      <c r="J159" s="70" t="s">
        <v>369</v>
      </c>
      <c r="K159" s="73" t="n">
        <v>1</v>
      </c>
      <c r="L159" s="49" t="n">
        <v>2</v>
      </c>
      <c r="M159" s="67" t="n">
        <v>2.9</v>
      </c>
      <c r="N159" s="68" t="n">
        <f aca="false">K159*L159*M159</f>
        <v>5.8</v>
      </c>
      <c r="O159" s="34" t="n">
        <f aca="false">IFERROR(INDEX(Исходные!$B$18:$B$30,MATCH(H159,Исходные!$A$18:$A$30,0)),0)</f>
        <v>1.578</v>
      </c>
      <c r="P159" s="74" t="n">
        <f aca="false">N159*O159</f>
        <v>9.1524</v>
      </c>
      <c r="Q159" s="20" t="s">
        <v>617</v>
      </c>
      <c r="R159" s="75" t="s">
        <v>517</v>
      </c>
      <c r="S159" s="20" t="s">
        <v>588</v>
      </c>
      <c r="T159" s="20" t="s">
        <v>73</v>
      </c>
      <c r="U159" s="47" t="n">
        <v>0</v>
      </c>
      <c r="V159" s="70" t="s">
        <v>606</v>
      </c>
      <c r="W159" s="47" t="n">
        <v>1</v>
      </c>
    </row>
    <row r="160" customFormat="false" ht="23.85" hidden="false" customHeight="false" outlineLevel="0" collapsed="false">
      <c r="A160" s="70" t="n">
        <v>152</v>
      </c>
      <c r="B160" s="20" t="s">
        <v>363</v>
      </c>
      <c r="C160" s="20" t="s">
        <v>512</v>
      </c>
      <c r="D160" s="20" t="s">
        <v>605</v>
      </c>
      <c r="E160" s="20" t="s">
        <v>606</v>
      </c>
      <c r="F160" s="70" t="s">
        <v>533</v>
      </c>
      <c r="G160" s="20" t="s">
        <v>589</v>
      </c>
      <c r="H160" s="49" t="n">
        <v>22</v>
      </c>
      <c r="I160" s="70" t="s">
        <v>368</v>
      </c>
      <c r="J160" s="70" t="s">
        <v>369</v>
      </c>
      <c r="K160" s="73" t="n">
        <v>1</v>
      </c>
      <c r="L160" s="49" t="n">
        <v>2</v>
      </c>
      <c r="M160" s="67" t="n">
        <v>3.2</v>
      </c>
      <c r="N160" s="68" t="n">
        <f aca="false">K160*L160*M160</f>
        <v>6.4</v>
      </c>
      <c r="O160" s="34" t="n">
        <f aca="false">IFERROR(INDEX(Исходные!$B$18:$B$30,MATCH(H160,Исходные!$A$18:$A$30,0)),0)</f>
        <v>2.984</v>
      </c>
      <c r="P160" s="74" t="n">
        <f aca="false">N160*O160</f>
        <v>19.0976</v>
      </c>
      <c r="Q160" s="20" t="s">
        <v>618</v>
      </c>
      <c r="R160" s="75" t="s">
        <v>517</v>
      </c>
      <c r="S160" s="20" t="s">
        <v>591</v>
      </c>
      <c r="T160" s="20" t="s">
        <v>73</v>
      </c>
      <c r="U160" s="47" t="n">
        <v>0</v>
      </c>
      <c r="V160" s="70" t="s">
        <v>606</v>
      </c>
      <c r="W160" s="47" t="n">
        <v>1</v>
      </c>
    </row>
    <row r="161" customFormat="false" ht="23.85" hidden="false" customHeight="false" outlineLevel="0" collapsed="false">
      <c r="A161" s="70" t="n">
        <v>153</v>
      </c>
      <c r="B161" s="20" t="s">
        <v>363</v>
      </c>
      <c r="C161" s="20" t="s">
        <v>512</v>
      </c>
      <c r="D161" s="20" t="s">
        <v>605</v>
      </c>
      <c r="E161" s="20" t="s">
        <v>606</v>
      </c>
      <c r="F161" s="70" t="s">
        <v>533</v>
      </c>
      <c r="G161" s="20" t="s">
        <v>592</v>
      </c>
      <c r="H161" s="49" t="n">
        <v>16</v>
      </c>
      <c r="I161" s="70" t="s">
        <v>368</v>
      </c>
      <c r="J161" s="70" t="s">
        <v>369</v>
      </c>
      <c r="K161" s="73" t="n">
        <v>1</v>
      </c>
      <c r="L161" s="49" t="n">
        <v>2</v>
      </c>
      <c r="M161" s="67" t="n">
        <v>2.9</v>
      </c>
      <c r="N161" s="68" t="n">
        <f aca="false">K161*L161*M161</f>
        <v>5.8</v>
      </c>
      <c r="O161" s="34" t="n">
        <f aca="false">IFERROR(INDEX(Исходные!$B$18:$B$30,MATCH(H161,Исходные!$A$18:$A$30,0)),0)</f>
        <v>1.578</v>
      </c>
      <c r="P161" s="74" t="n">
        <f aca="false">N161*O161</f>
        <v>9.1524</v>
      </c>
      <c r="Q161" s="20" t="s">
        <v>617</v>
      </c>
      <c r="R161" s="75" t="s">
        <v>517</v>
      </c>
      <c r="S161" s="20" t="s">
        <v>593</v>
      </c>
      <c r="T161" s="20" t="s">
        <v>73</v>
      </c>
      <c r="U161" s="47" t="n">
        <v>0</v>
      </c>
      <c r="V161" s="70" t="s">
        <v>606</v>
      </c>
      <c r="W161" s="47" t="n">
        <v>1</v>
      </c>
    </row>
    <row r="162" customFormat="false" ht="23.85" hidden="false" customHeight="false" outlineLevel="0" collapsed="false">
      <c r="A162" s="70" t="n">
        <v>154</v>
      </c>
      <c r="B162" s="20" t="s">
        <v>363</v>
      </c>
      <c r="C162" s="20" t="s">
        <v>512</v>
      </c>
      <c r="D162" s="20" t="s">
        <v>605</v>
      </c>
      <c r="E162" s="20" t="s">
        <v>606</v>
      </c>
      <c r="F162" s="70" t="s">
        <v>533</v>
      </c>
      <c r="G162" s="20" t="s">
        <v>594</v>
      </c>
      <c r="H162" s="49" t="n">
        <v>14</v>
      </c>
      <c r="I162" s="70" t="s">
        <v>368</v>
      </c>
      <c r="J162" s="70" t="s">
        <v>369</v>
      </c>
      <c r="K162" s="73" t="n">
        <v>1</v>
      </c>
      <c r="L162" s="49" t="n">
        <v>2</v>
      </c>
      <c r="M162" s="67" t="n">
        <v>3.7</v>
      </c>
      <c r="N162" s="68" t="n">
        <f aca="false">K162*L162*M162</f>
        <v>7.4</v>
      </c>
      <c r="O162" s="34" t="n">
        <f aca="false">IFERROR(INDEX(Исходные!$B$18:$B$30,MATCH(H162,Исходные!$A$18:$A$30,0)),0)</f>
        <v>1.208</v>
      </c>
      <c r="P162" s="74" t="n">
        <f aca="false">N162*O162</f>
        <v>8.9392</v>
      </c>
      <c r="Q162" s="20" t="s">
        <v>613</v>
      </c>
      <c r="R162" s="75" t="s">
        <v>517</v>
      </c>
      <c r="S162" s="20" t="s">
        <v>578</v>
      </c>
      <c r="T162" s="20" t="s">
        <v>73</v>
      </c>
      <c r="U162" s="47" t="n">
        <v>0</v>
      </c>
      <c r="V162" s="70" t="s">
        <v>606</v>
      </c>
      <c r="W162" s="47" t="n">
        <v>1</v>
      </c>
    </row>
    <row r="163" customFormat="false" ht="23.85" hidden="false" customHeight="false" outlineLevel="0" collapsed="false">
      <c r="A163" s="70" t="n">
        <v>155</v>
      </c>
      <c r="B163" s="20" t="s">
        <v>363</v>
      </c>
      <c r="C163" s="20" t="s">
        <v>512</v>
      </c>
      <c r="D163" s="20" t="s">
        <v>605</v>
      </c>
      <c r="E163" s="20" t="s">
        <v>606</v>
      </c>
      <c r="F163" s="70" t="s">
        <v>533</v>
      </c>
      <c r="G163" s="20" t="s">
        <v>619</v>
      </c>
      <c r="H163" s="49" t="n">
        <v>14</v>
      </c>
      <c r="I163" s="70" t="s">
        <v>368</v>
      </c>
      <c r="J163" s="70" t="s">
        <v>369</v>
      </c>
      <c r="K163" s="73" t="n">
        <v>1</v>
      </c>
      <c r="L163" s="49" t="n">
        <v>2</v>
      </c>
      <c r="M163" s="67" t="n">
        <v>4.2</v>
      </c>
      <c r="N163" s="68" t="n">
        <f aca="false">K163*L163*M163</f>
        <v>8.4</v>
      </c>
      <c r="O163" s="34" t="n">
        <f aca="false">IFERROR(INDEX(Исходные!$B$18:$B$30,MATCH(H163,Исходные!$A$18:$A$30,0)),0)</f>
        <v>1.208</v>
      </c>
      <c r="P163" s="74" t="n">
        <f aca="false">N163*O163</f>
        <v>10.1472</v>
      </c>
      <c r="Q163" s="20" t="s">
        <v>613</v>
      </c>
      <c r="R163" s="75" t="s">
        <v>517</v>
      </c>
      <c r="S163" s="20" t="s">
        <v>620</v>
      </c>
      <c r="T163" s="20" t="s">
        <v>73</v>
      </c>
      <c r="U163" s="47" t="n">
        <v>0</v>
      </c>
      <c r="V163" s="70" t="s">
        <v>606</v>
      </c>
      <c r="W163" s="47" t="n">
        <v>1</v>
      </c>
    </row>
    <row r="164" customFormat="false" ht="23.85" hidden="false" customHeight="false" outlineLevel="0" collapsed="false">
      <c r="A164" s="70" t="n">
        <v>156</v>
      </c>
      <c r="B164" s="20" t="s">
        <v>363</v>
      </c>
      <c r="C164" s="20" t="s">
        <v>512</v>
      </c>
      <c r="D164" s="20" t="s">
        <v>605</v>
      </c>
      <c r="E164" s="20" t="s">
        <v>606</v>
      </c>
      <c r="F164" s="70" t="s">
        <v>533</v>
      </c>
      <c r="G164" s="20" t="s">
        <v>621</v>
      </c>
      <c r="H164" s="49" t="n">
        <v>12</v>
      </c>
      <c r="I164" s="70" t="s">
        <v>368</v>
      </c>
      <c r="J164" s="70" t="s">
        <v>369</v>
      </c>
      <c r="K164" s="73" t="n">
        <v>1</v>
      </c>
      <c r="L164" s="49" t="n">
        <v>4</v>
      </c>
      <c r="M164" s="67" t="n">
        <v>17.1</v>
      </c>
      <c r="N164" s="68" t="n">
        <f aca="false">K164*L164*M164</f>
        <v>68.4</v>
      </c>
      <c r="O164" s="34" t="n">
        <f aca="false">IFERROR(INDEX(Исходные!$B$18:$B$30,MATCH(H164,Исходные!$A$18:$A$30,0)),0)</f>
        <v>0.888</v>
      </c>
      <c r="P164" s="74" t="n">
        <f aca="false">N164*O164</f>
        <v>60.7392</v>
      </c>
      <c r="Q164" s="20" t="s">
        <v>622</v>
      </c>
      <c r="R164" s="75" t="s">
        <v>517</v>
      </c>
      <c r="S164" s="20" t="s">
        <v>623</v>
      </c>
      <c r="T164" s="20" t="s">
        <v>73</v>
      </c>
      <c r="U164" s="47" t="n">
        <v>0</v>
      </c>
      <c r="V164" s="70" t="s">
        <v>606</v>
      </c>
      <c r="W164" s="47" t="n">
        <v>1</v>
      </c>
    </row>
    <row r="165" customFormat="false" ht="35.05" hidden="false" customHeight="false" outlineLevel="0" collapsed="false">
      <c r="A165" s="70" t="n">
        <v>157</v>
      </c>
      <c r="B165" s="20" t="s">
        <v>363</v>
      </c>
      <c r="C165" s="20" t="s">
        <v>512</v>
      </c>
      <c r="D165" s="20" t="s">
        <v>605</v>
      </c>
      <c r="E165" s="20" t="s">
        <v>606</v>
      </c>
      <c r="F165" s="70" t="s">
        <v>624</v>
      </c>
      <c r="G165" s="20" t="s">
        <v>625</v>
      </c>
      <c r="H165" s="49" t="n">
        <v>12</v>
      </c>
      <c r="I165" s="70" t="s">
        <v>368</v>
      </c>
      <c r="J165" s="70" t="s">
        <v>369</v>
      </c>
      <c r="K165" s="73" t="n">
        <v>4</v>
      </c>
      <c r="L165" s="49" t="n">
        <v>1</v>
      </c>
      <c r="M165" s="67" t="n">
        <v>0.096</v>
      </c>
      <c r="N165" s="68" t="n">
        <f aca="false">K165*L165*M165</f>
        <v>0.384</v>
      </c>
      <c r="O165" s="34" t="n">
        <f aca="false">IFERROR(INDEX(Исходные!$B$18:$B$30,MATCH(H165,Исходные!$A$18:$A$30,0)),0)</f>
        <v>0.888</v>
      </c>
      <c r="P165" s="74" t="n">
        <f aca="false">N165*O165</f>
        <v>0.340992</v>
      </c>
      <c r="Q165" s="20" t="s">
        <v>626</v>
      </c>
      <c r="R165" s="75" t="s">
        <v>524</v>
      </c>
      <c r="S165" s="20" t="s">
        <v>627</v>
      </c>
      <c r="T165" s="20" t="s">
        <v>73</v>
      </c>
      <c r="U165" s="47" t="n">
        <v>0</v>
      </c>
      <c r="V165" s="70" t="s">
        <v>606</v>
      </c>
      <c r="W165" s="47" t="n">
        <v>1</v>
      </c>
    </row>
    <row r="166" customFormat="false" ht="23.85" hidden="false" customHeight="false" outlineLevel="0" collapsed="false">
      <c r="A166" s="70" t="n">
        <v>158</v>
      </c>
      <c r="B166" s="20" t="s">
        <v>363</v>
      </c>
      <c r="C166" s="20" t="s">
        <v>512</v>
      </c>
      <c r="D166" s="20" t="s">
        <v>605</v>
      </c>
      <c r="E166" s="20" t="s">
        <v>606</v>
      </c>
      <c r="F166" s="70" t="s">
        <v>553</v>
      </c>
      <c r="G166" s="20" t="s">
        <v>554</v>
      </c>
      <c r="H166" s="49" t="n">
        <v>8</v>
      </c>
      <c r="I166" s="70" t="s">
        <v>403</v>
      </c>
      <c r="J166" s="70" t="s">
        <v>555</v>
      </c>
      <c r="K166" s="73" t="n">
        <v>1</v>
      </c>
      <c r="L166" s="49" t="n">
        <v>78</v>
      </c>
      <c r="M166" s="67" t="n">
        <v>2.06</v>
      </c>
      <c r="N166" s="68" t="n">
        <f aca="false">K166*L166*M166</f>
        <v>160.68</v>
      </c>
      <c r="O166" s="34" t="n">
        <f aca="false">IFERROR(INDEX(Исходные!$B$18:$B$30,MATCH(H166,Исходные!$A$18:$A$30,0)),0)</f>
        <v>0.395</v>
      </c>
      <c r="P166" s="74" t="n">
        <f aca="false">N166*O166</f>
        <v>63.4686</v>
      </c>
      <c r="Q166" s="20" t="s">
        <v>556</v>
      </c>
      <c r="R166" s="75" t="s">
        <v>371</v>
      </c>
      <c r="S166" s="20" t="s">
        <v>601</v>
      </c>
      <c r="T166" s="20" t="s">
        <v>73</v>
      </c>
      <c r="U166" s="47" t="n">
        <v>0</v>
      </c>
      <c r="V166" s="70" t="s">
        <v>606</v>
      </c>
      <c r="W166" s="47" t="n">
        <v>1</v>
      </c>
    </row>
    <row r="167" customFormat="false" ht="23.85" hidden="false" customHeight="false" outlineLevel="0" collapsed="false">
      <c r="A167" s="70" t="n">
        <v>159</v>
      </c>
      <c r="B167" s="20" t="s">
        <v>363</v>
      </c>
      <c r="C167" s="20" t="s">
        <v>512</v>
      </c>
      <c r="D167" s="20" t="s">
        <v>605</v>
      </c>
      <c r="E167" s="20" t="s">
        <v>606</v>
      </c>
      <c r="F167" s="70" t="s">
        <v>418</v>
      </c>
      <c r="G167" s="20" t="s">
        <v>558</v>
      </c>
      <c r="H167" s="49" t="n">
        <v>10</v>
      </c>
      <c r="I167" s="70" t="s">
        <v>403</v>
      </c>
      <c r="J167" s="70" t="n">
        <v>100</v>
      </c>
      <c r="K167" s="73" t="n">
        <v>1</v>
      </c>
      <c r="L167" s="49" t="n">
        <v>124</v>
      </c>
      <c r="M167" s="67" t="n">
        <v>2.06</v>
      </c>
      <c r="N167" s="68" t="n">
        <f aca="false">K167*L167*M167</f>
        <v>255.44</v>
      </c>
      <c r="O167" s="34" t="n">
        <f aca="false">IFERROR(INDEX(Исходные!$B$18:$B$30,MATCH(H167,Исходные!$A$18:$A$30,0)),0)</f>
        <v>0.617</v>
      </c>
      <c r="P167" s="74" t="n">
        <f aca="false">N167*O167</f>
        <v>157.60648</v>
      </c>
      <c r="Q167" s="20" t="s">
        <v>628</v>
      </c>
      <c r="R167" s="75" t="s">
        <v>371</v>
      </c>
      <c r="S167" s="20" t="s">
        <v>629</v>
      </c>
      <c r="T167" s="20" t="s">
        <v>73</v>
      </c>
      <c r="U167" s="47" t="n">
        <v>0</v>
      </c>
      <c r="V167" s="70" t="s">
        <v>606</v>
      </c>
      <c r="W167" s="47" t="n">
        <v>1</v>
      </c>
    </row>
    <row r="168" customFormat="false" ht="23.85" hidden="false" customHeight="false" outlineLevel="0" collapsed="false">
      <c r="A168" s="70" t="n">
        <v>160</v>
      </c>
      <c r="B168" s="20" t="s">
        <v>363</v>
      </c>
      <c r="C168" s="20" t="s">
        <v>512</v>
      </c>
      <c r="D168" s="20" t="s">
        <v>605</v>
      </c>
      <c r="E168" s="20" t="s">
        <v>606</v>
      </c>
      <c r="F168" s="70" t="s">
        <v>460</v>
      </c>
      <c r="G168" s="20" t="s">
        <v>561</v>
      </c>
      <c r="H168" s="49" t="n">
        <v>10</v>
      </c>
      <c r="I168" s="70" t="s">
        <v>403</v>
      </c>
      <c r="J168" s="70" t="n">
        <v>100</v>
      </c>
      <c r="K168" s="73" t="n">
        <v>1</v>
      </c>
      <c r="L168" s="49" t="n">
        <v>115</v>
      </c>
      <c r="M168" s="67" t="n">
        <v>1.6</v>
      </c>
      <c r="N168" s="68" t="n">
        <f aca="false">K168*L168*M168</f>
        <v>184</v>
      </c>
      <c r="O168" s="34" t="n">
        <f aca="false">IFERROR(INDEX(Исходные!$B$18:$B$30,MATCH(H168,Исходные!$A$18:$A$30,0)),0)</f>
        <v>0.617</v>
      </c>
      <c r="P168" s="74" t="n">
        <f aca="false">N168*O168</f>
        <v>113.528</v>
      </c>
      <c r="Q168" s="20" t="s">
        <v>630</v>
      </c>
      <c r="R168" s="75" t="s">
        <v>371</v>
      </c>
      <c r="S168" s="20"/>
      <c r="T168" s="20" t="s">
        <v>73</v>
      </c>
      <c r="U168" s="47" t="n">
        <v>0</v>
      </c>
      <c r="V168" s="70" t="s">
        <v>606</v>
      </c>
      <c r="W168" s="47" t="n">
        <v>1</v>
      </c>
    </row>
    <row r="169" customFormat="false" ht="23.85" hidden="false" customHeight="false" outlineLevel="0" collapsed="false">
      <c r="A169" s="70" t="n">
        <v>161</v>
      </c>
      <c r="B169" s="20" t="s">
        <v>363</v>
      </c>
      <c r="C169" s="20" t="s">
        <v>512</v>
      </c>
      <c r="D169" s="20" t="s">
        <v>605</v>
      </c>
      <c r="E169" s="20" t="s">
        <v>606</v>
      </c>
      <c r="F169" s="70" t="s">
        <v>563</v>
      </c>
      <c r="G169" s="20" t="s">
        <v>564</v>
      </c>
      <c r="H169" s="49" t="n">
        <v>8</v>
      </c>
      <c r="I169" s="70" t="s">
        <v>403</v>
      </c>
      <c r="J169" s="70" t="s">
        <v>565</v>
      </c>
      <c r="K169" s="73" t="n">
        <v>1</v>
      </c>
      <c r="L169" s="49" t="n">
        <v>54</v>
      </c>
      <c r="M169" s="67" t="n">
        <v>0.75</v>
      </c>
      <c r="N169" s="68" t="n">
        <f aca="false">K169*L169*M169</f>
        <v>40.5</v>
      </c>
      <c r="O169" s="34" t="n">
        <f aca="false">IFERROR(INDEX(Исходные!$B$18:$B$30,MATCH(H169,Исходные!$A$18:$A$30,0)),0)</f>
        <v>0.395</v>
      </c>
      <c r="P169" s="74" t="n">
        <f aca="false">N169*O169</f>
        <v>15.9975</v>
      </c>
      <c r="Q169" s="20" t="s">
        <v>566</v>
      </c>
      <c r="R169" s="75" t="s">
        <v>371</v>
      </c>
      <c r="S169" s="20"/>
      <c r="T169" s="20" t="s">
        <v>73</v>
      </c>
      <c r="U169" s="47" t="n">
        <v>0</v>
      </c>
      <c r="V169" s="70" t="s">
        <v>606</v>
      </c>
      <c r="W169" s="47" t="n">
        <v>1</v>
      </c>
    </row>
    <row r="170" customFormat="false" ht="23.85" hidden="false" customHeight="false" outlineLevel="0" collapsed="false">
      <c r="A170" s="70" t="n">
        <v>162</v>
      </c>
      <c r="B170" s="20" t="s">
        <v>363</v>
      </c>
      <c r="C170" s="20" t="s">
        <v>512</v>
      </c>
      <c r="D170" s="20" t="s">
        <v>605</v>
      </c>
      <c r="E170" s="20" t="s">
        <v>606</v>
      </c>
      <c r="F170" s="70" t="s">
        <v>567</v>
      </c>
      <c r="G170" s="20" t="s">
        <v>568</v>
      </c>
      <c r="H170" s="49" t="n">
        <v>8</v>
      </c>
      <c r="I170" s="70" t="s">
        <v>403</v>
      </c>
      <c r="J170" s="70" t="n">
        <v>300</v>
      </c>
      <c r="K170" s="73" t="n">
        <v>1</v>
      </c>
      <c r="L170" s="49" t="n">
        <v>77</v>
      </c>
      <c r="M170" s="67" t="n">
        <v>0.58</v>
      </c>
      <c r="N170" s="68" t="n">
        <f aca="false">K170*L170*M170</f>
        <v>44.66</v>
      </c>
      <c r="O170" s="34" t="n">
        <f aca="false">IFERROR(INDEX(Исходные!$B$18:$B$30,MATCH(H170,Исходные!$A$18:$A$30,0)),0)</f>
        <v>0.395</v>
      </c>
      <c r="P170" s="74" t="n">
        <f aca="false">N170*O170</f>
        <v>17.6407</v>
      </c>
      <c r="Q170" s="20" t="s">
        <v>569</v>
      </c>
      <c r="R170" s="76" t="s">
        <v>495</v>
      </c>
      <c r="S170" s="20" t="s">
        <v>570</v>
      </c>
      <c r="T170" s="20" t="s">
        <v>73</v>
      </c>
      <c r="U170" s="47" t="n">
        <v>1</v>
      </c>
      <c r="V170" s="70" t="s">
        <v>606</v>
      </c>
      <c r="W170" s="47" t="n">
        <v>1</v>
      </c>
    </row>
    <row r="171" customFormat="false" ht="35.05" hidden="false" customHeight="false" outlineLevel="0" collapsed="false">
      <c r="A171" s="70" t="n">
        <v>163</v>
      </c>
      <c r="B171" s="20" t="s">
        <v>363</v>
      </c>
      <c r="C171" s="20" t="s">
        <v>512</v>
      </c>
      <c r="D171" s="20" t="s">
        <v>631</v>
      </c>
      <c r="E171" s="20" t="s">
        <v>632</v>
      </c>
      <c r="F171" s="70" t="s">
        <v>376</v>
      </c>
      <c r="G171" s="20" t="s">
        <v>515</v>
      </c>
      <c r="H171" s="49" t="n">
        <v>28</v>
      </c>
      <c r="I171" s="70" t="s">
        <v>368</v>
      </c>
      <c r="J171" s="70" t="s">
        <v>369</v>
      </c>
      <c r="K171" s="73" t="n">
        <v>1</v>
      </c>
      <c r="L171" s="49" t="n">
        <v>4</v>
      </c>
      <c r="M171" s="67" t="n">
        <v>25.5</v>
      </c>
      <c r="N171" s="68" t="n">
        <f aca="false">K171*L171*M171</f>
        <v>102</v>
      </c>
      <c r="O171" s="34" t="n">
        <f aca="false">IFERROR(INDEX(Исходные!$B$18:$B$30,MATCH(H171,Исходные!$A$18:$A$30,0)),0)</f>
        <v>4.834</v>
      </c>
      <c r="P171" s="74" t="n">
        <f aca="false">N171*O171</f>
        <v>493.068</v>
      </c>
      <c r="Q171" s="20" t="s">
        <v>633</v>
      </c>
      <c r="R171" s="75" t="s">
        <v>517</v>
      </c>
      <c r="S171" s="20" t="s">
        <v>518</v>
      </c>
      <c r="T171" s="20" t="s">
        <v>73</v>
      </c>
      <c r="U171" s="47" t="n">
        <v>0</v>
      </c>
      <c r="V171" s="70" t="s">
        <v>632</v>
      </c>
      <c r="W171" s="47" t="n">
        <v>1</v>
      </c>
    </row>
    <row r="172" customFormat="false" ht="23.85" hidden="false" customHeight="false" outlineLevel="0" collapsed="false">
      <c r="A172" s="70" t="n">
        <v>164</v>
      </c>
      <c r="B172" s="20" t="s">
        <v>363</v>
      </c>
      <c r="C172" s="20" t="s">
        <v>512</v>
      </c>
      <c r="D172" s="20" t="s">
        <v>631</v>
      </c>
      <c r="E172" s="20" t="s">
        <v>632</v>
      </c>
      <c r="F172" s="70" t="s">
        <v>386</v>
      </c>
      <c r="G172" s="20" t="s">
        <v>519</v>
      </c>
      <c r="H172" s="49" t="n">
        <v>18</v>
      </c>
      <c r="I172" s="70" t="s">
        <v>368</v>
      </c>
      <c r="J172" s="70" t="s">
        <v>369</v>
      </c>
      <c r="K172" s="73" t="n">
        <v>1</v>
      </c>
      <c r="L172" s="49" t="n">
        <v>2</v>
      </c>
      <c r="M172" s="67" t="n">
        <v>25.5</v>
      </c>
      <c r="N172" s="68" t="n">
        <f aca="false">K172*L172*M172</f>
        <v>51</v>
      </c>
      <c r="O172" s="34" t="n">
        <f aca="false">IFERROR(INDEX(Исходные!$B$18:$B$30,MATCH(H172,Исходные!$A$18:$A$30,0)),0)</f>
        <v>1.998</v>
      </c>
      <c r="P172" s="74" t="n">
        <f aca="false">N172*O172</f>
        <v>101.898</v>
      </c>
      <c r="Q172" s="20" t="s">
        <v>520</v>
      </c>
      <c r="R172" s="75" t="s">
        <v>517</v>
      </c>
      <c r="S172" s="20"/>
      <c r="T172" s="20" t="s">
        <v>73</v>
      </c>
      <c r="U172" s="47" t="n">
        <v>0</v>
      </c>
      <c r="V172" s="70" t="s">
        <v>632</v>
      </c>
      <c r="W172" s="47" t="n">
        <v>1</v>
      </c>
    </row>
    <row r="173" customFormat="false" ht="35.05" hidden="false" customHeight="false" outlineLevel="0" collapsed="false">
      <c r="A173" s="70" t="n">
        <v>165</v>
      </c>
      <c r="B173" s="20" t="s">
        <v>363</v>
      </c>
      <c r="C173" s="20" t="s">
        <v>512</v>
      </c>
      <c r="D173" s="20" t="s">
        <v>631</v>
      </c>
      <c r="E173" s="20" t="s">
        <v>632</v>
      </c>
      <c r="F173" s="70" t="s">
        <v>521</v>
      </c>
      <c r="G173" s="20" t="s">
        <v>522</v>
      </c>
      <c r="H173" s="49" t="n">
        <v>18</v>
      </c>
      <c r="I173" s="70" t="s">
        <v>368</v>
      </c>
      <c r="J173" s="70" t="s">
        <v>369</v>
      </c>
      <c r="K173" s="73" t="n">
        <v>2</v>
      </c>
      <c r="L173" s="49" t="n">
        <v>2</v>
      </c>
      <c r="M173" s="67" t="n">
        <v>0.144</v>
      </c>
      <c r="N173" s="68" t="n">
        <f aca="false">K173*L173*M173</f>
        <v>0.576</v>
      </c>
      <c r="O173" s="34" t="n">
        <f aca="false">IFERROR(INDEX(Исходные!$B$18:$B$30,MATCH(H173,Исходные!$A$18:$A$30,0)),0)</f>
        <v>1.998</v>
      </c>
      <c r="P173" s="74" t="n">
        <f aca="false">N173*O173</f>
        <v>1.150848</v>
      </c>
      <c r="Q173" s="20" t="s">
        <v>523</v>
      </c>
      <c r="R173" s="75" t="s">
        <v>524</v>
      </c>
      <c r="S173" s="20" t="s">
        <v>525</v>
      </c>
      <c r="T173" s="20" t="s">
        <v>73</v>
      </c>
      <c r="U173" s="47" t="n">
        <v>0</v>
      </c>
      <c r="V173" s="70" t="s">
        <v>632</v>
      </c>
      <c r="W173" s="47" t="n">
        <v>1</v>
      </c>
    </row>
    <row r="174" customFormat="false" ht="23.85" hidden="false" customHeight="false" outlineLevel="0" collapsed="false">
      <c r="A174" s="70" t="n">
        <v>166</v>
      </c>
      <c r="B174" s="20" t="s">
        <v>363</v>
      </c>
      <c r="C174" s="20" t="s">
        <v>512</v>
      </c>
      <c r="D174" s="20" t="s">
        <v>631</v>
      </c>
      <c r="E174" s="20" t="s">
        <v>632</v>
      </c>
      <c r="F174" s="70" t="s">
        <v>526</v>
      </c>
      <c r="G174" s="20" t="s">
        <v>527</v>
      </c>
      <c r="H174" s="49" t="n">
        <v>16</v>
      </c>
      <c r="I174" s="70" t="s">
        <v>368</v>
      </c>
      <c r="J174" s="70" t="s">
        <v>369</v>
      </c>
      <c r="K174" s="73" t="n">
        <v>1</v>
      </c>
      <c r="L174" s="49" t="n">
        <v>2</v>
      </c>
      <c r="M174" s="67" t="n">
        <v>25.5</v>
      </c>
      <c r="N174" s="68" t="n">
        <f aca="false">K174*L174*M174</f>
        <v>51</v>
      </c>
      <c r="O174" s="34" t="n">
        <f aca="false">IFERROR(INDEX(Исходные!$B$18:$B$30,MATCH(H174,Исходные!$A$18:$A$30,0)),0)</f>
        <v>1.578</v>
      </c>
      <c r="P174" s="74" t="n">
        <f aca="false">N174*O174</f>
        <v>80.478</v>
      </c>
      <c r="Q174" s="20" t="s">
        <v>528</v>
      </c>
      <c r="R174" s="75" t="s">
        <v>517</v>
      </c>
      <c r="S174" s="20"/>
      <c r="T174" s="20" t="s">
        <v>73</v>
      </c>
      <c r="U174" s="47" t="n">
        <v>0</v>
      </c>
      <c r="V174" s="70" t="s">
        <v>632</v>
      </c>
      <c r="W174" s="47" t="n">
        <v>1</v>
      </c>
    </row>
    <row r="175" customFormat="false" ht="35.05" hidden="false" customHeight="false" outlineLevel="0" collapsed="false">
      <c r="A175" s="70" t="n">
        <v>167</v>
      </c>
      <c r="B175" s="20" t="s">
        <v>363</v>
      </c>
      <c r="C175" s="20" t="s">
        <v>512</v>
      </c>
      <c r="D175" s="20" t="s">
        <v>631</v>
      </c>
      <c r="E175" s="20" t="s">
        <v>632</v>
      </c>
      <c r="F175" s="70" t="s">
        <v>529</v>
      </c>
      <c r="G175" s="20" t="s">
        <v>530</v>
      </c>
      <c r="H175" s="49" t="n">
        <v>16</v>
      </c>
      <c r="I175" s="70" t="s">
        <v>368</v>
      </c>
      <c r="J175" s="70" t="s">
        <v>369</v>
      </c>
      <c r="K175" s="73" t="n">
        <v>2</v>
      </c>
      <c r="L175" s="49" t="n">
        <v>2</v>
      </c>
      <c r="M175" s="67" t="n">
        <v>0.128</v>
      </c>
      <c r="N175" s="68" t="n">
        <f aca="false">K175*L175*M175</f>
        <v>0.512</v>
      </c>
      <c r="O175" s="34" t="n">
        <f aca="false">IFERROR(INDEX(Исходные!$B$18:$B$30,MATCH(H175,Исходные!$A$18:$A$30,0)),0)</f>
        <v>1.578</v>
      </c>
      <c r="P175" s="74" t="n">
        <f aca="false">N175*O175</f>
        <v>0.807936</v>
      </c>
      <c r="Q175" s="20" t="s">
        <v>531</v>
      </c>
      <c r="R175" s="75" t="s">
        <v>524</v>
      </c>
      <c r="S175" s="20" t="s">
        <v>532</v>
      </c>
      <c r="T175" s="20" t="s">
        <v>73</v>
      </c>
      <c r="U175" s="47" t="n">
        <v>0</v>
      </c>
      <c r="V175" s="70" t="s">
        <v>632</v>
      </c>
      <c r="W175" s="47" t="n">
        <v>1</v>
      </c>
    </row>
    <row r="176" customFormat="false" ht="23.85" hidden="false" customHeight="false" outlineLevel="0" collapsed="false">
      <c r="A176" s="70" t="n">
        <v>168</v>
      </c>
      <c r="B176" s="20" t="s">
        <v>363</v>
      </c>
      <c r="C176" s="20" t="s">
        <v>512</v>
      </c>
      <c r="D176" s="20" t="s">
        <v>631</v>
      </c>
      <c r="E176" s="20" t="s">
        <v>632</v>
      </c>
      <c r="F176" s="70" t="s">
        <v>533</v>
      </c>
      <c r="G176" s="20" t="s">
        <v>634</v>
      </c>
      <c r="H176" s="49" t="n">
        <v>28</v>
      </c>
      <c r="I176" s="70" t="s">
        <v>368</v>
      </c>
      <c r="J176" s="70" t="s">
        <v>369</v>
      </c>
      <c r="K176" s="73" t="n">
        <v>1</v>
      </c>
      <c r="L176" s="49" t="n">
        <v>2</v>
      </c>
      <c r="M176" s="67" t="n">
        <v>1.85</v>
      </c>
      <c r="N176" s="68" t="n">
        <f aca="false">K176*L176*M176</f>
        <v>3.7</v>
      </c>
      <c r="O176" s="34" t="n">
        <f aca="false">IFERROR(INDEX(Исходные!$B$18:$B$30,MATCH(H176,Исходные!$A$18:$A$30,0)),0)</f>
        <v>4.834</v>
      </c>
      <c r="P176" s="74" t="n">
        <f aca="false">N176*O176</f>
        <v>17.8858</v>
      </c>
      <c r="Q176" s="20" t="s">
        <v>635</v>
      </c>
      <c r="R176" s="75" t="s">
        <v>517</v>
      </c>
      <c r="S176" s="20" t="s">
        <v>636</v>
      </c>
      <c r="T176" s="20" t="s">
        <v>73</v>
      </c>
      <c r="U176" s="47" t="n">
        <v>0</v>
      </c>
      <c r="V176" s="70" t="s">
        <v>632</v>
      </c>
      <c r="W176" s="47" t="n">
        <v>1</v>
      </c>
    </row>
    <row r="177" customFormat="false" ht="23.85" hidden="false" customHeight="false" outlineLevel="0" collapsed="false">
      <c r="A177" s="70" t="n">
        <v>169</v>
      </c>
      <c r="B177" s="20" t="s">
        <v>363</v>
      </c>
      <c r="C177" s="20" t="s">
        <v>512</v>
      </c>
      <c r="D177" s="20" t="s">
        <v>631</v>
      </c>
      <c r="E177" s="20" t="s">
        <v>632</v>
      </c>
      <c r="F177" s="70" t="s">
        <v>533</v>
      </c>
      <c r="G177" s="20" t="s">
        <v>637</v>
      </c>
      <c r="H177" s="49" t="n">
        <v>28</v>
      </c>
      <c r="I177" s="70" t="s">
        <v>368</v>
      </c>
      <c r="J177" s="70" t="s">
        <v>369</v>
      </c>
      <c r="K177" s="73" t="n">
        <v>1</v>
      </c>
      <c r="L177" s="49" t="n">
        <v>2</v>
      </c>
      <c r="M177" s="67" t="n">
        <v>5.5</v>
      </c>
      <c r="N177" s="68" t="n">
        <f aca="false">K177*L177*M177</f>
        <v>11</v>
      </c>
      <c r="O177" s="34" t="n">
        <f aca="false">IFERROR(INDEX(Исходные!$B$18:$B$30,MATCH(H177,Исходные!$A$18:$A$30,0)),0)</f>
        <v>4.834</v>
      </c>
      <c r="P177" s="74" t="n">
        <f aca="false">N177*O177</f>
        <v>53.174</v>
      </c>
      <c r="Q177" s="20" t="s">
        <v>635</v>
      </c>
      <c r="R177" s="75" t="s">
        <v>517</v>
      </c>
      <c r="S177" s="20" t="s">
        <v>638</v>
      </c>
      <c r="T177" s="20" t="s">
        <v>73</v>
      </c>
      <c r="U177" s="47" t="n">
        <v>0</v>
      </c>
      <c r="V177" s="70" t="s">
        <v>632</v>
      </c>
      <c r="W177" s="47" t="n">
        <v>1</v>
      </c>
    </row>
    <row r="178" customFormat="false" ht="23.85" hidden="false" customHeight="false" outlineLevel="0" collapsed="false">
      <c r="A178" s="70" t="n">
        <v>170</v>
      </c>
      <c r="B178" s="20" t="s">
        <v>363</v>
      </c>
      <c r="C178" s="20" t="s">
        <v>512</v>
      </c>
      <c r="D178" s="20" t="s">
        <v>631</v>
      </c>
      <c r="E178" s="20" t="s">
        <v>632</v>
      </c>
      <c r="F178" s="70" t="s">
        <v>533</v>
      </c>
      <c r="G178" s="20" t="s">
        <v>639</v>
      </c>
      <c r="H178" s="49" t="n">
        <v>22</v>
      </c>
      <c r="I178" s="70" t="s">
        <v>368</v>
      </c>
      <c r="J178" s="70" t="s">
        <v>369</v>
      </c>
      <c r="K178" s="73" t="n">
        <v>1</v>
      </c>
      <c r="L178" s="49" t="n">
        <v>2</v>
      </c>
      <c r="M178" s="67" t="n">
        <v>5.5</v>
      </c>
      <c r="N178" s="68" t="n">
        <f aca="false">K178*L178*M178</f>
        <v>11</v>
      </c>
      <c r="O178" s="34" t="n">
        <f aca="false">IFERROR(INDEX(Исходные!$B$18:$B$30,MATCH(H178,Исходные!$A$18:$A$30,0)),0)</f>
        <v>2.984</v>
      </c>
      <c r="P178" s="74" t="n">
        <f aca="false">N178*O178</f>
        <v>32.824</v>
      </c>
      <c r="Q178" s="20" t="s">
        <v>640</v>
      </c>
      <c r="R178" s="75" t="s">
        <v>517</v>
      </c>
      <c r="S178" s="20" t="s">
        <v>638</v>
      </c>
      <c r="T178" s="20" t="s">
        <v>73</v>
      </c>
      <c r="U178" s="47" t="n">
        <v>0</v>
      </c>
      <c r="V178" s="70" t="s">
        <v>632</v>
      </c>
      <c r="W178" s="47" t="n">
        <v>1</v>
      </c>
    </row>
    <row r="179" customFormat="false" ht="23.85" hidden="false" customHeight="false" outlineLevel="0" collapsed="false">
      <c r="A179" s="70" t="n">
        <v>171</v>
      </c>
      <c r="B179" s="20" t="s">
        <v>363</v>
      </c>
      <c r="C179" s="20" t="s">
        <v>512</v>
      </c>
      <c r="D179" s="20" t="s">
        <v>631</v>
      </c>
      <c r="E179" s="20" t="s">
        <v>632</v>
      </c>
      <c r="F179" s="70" t="s">
        <v>533</v>
      </c>
      <c r="G179" s="20" t="s">
        <v>641</v>
      </c>
      <c r="H179" s="49" t="n">
        <v>28</v>
      </c>
      <c r="I179" s="70" t="s">
        <v>368</v>
      </c>
      <c r="J179" s="70" t="s">
        <v>369</v>
      </c>
      <c r="K179" s="73" t="n">
        <v>1</v>
      </c>
      <c r="L179" s="49" t="n">
        <v>2</v>
      </c>
      <c r="M179" s="67" t="n">
        <v>4.7</v>
      </c>
      <c r="N179" s="68" t="n">
        <f aca="false">K179*L179*M179</f>
        <v>9.4</v>
      </c>
      <c r="O179" s="34" t="n">
        <f aca="false">IFERROR(INDEX(Исходные!$B$18:$B$30,MATCH(H179,Исходные!$A$18:$A$30,0)),0)</f>
        <v>4.834</v>
      </c>
      <c r="P179" s="74" t="n">
        <f aca="false">N179*O179</f>
        <v>45.4396</v>
      </c>
      <c r="Q179" s="20" t="s">
        <v>635</v>
      </c>
      <c r="R179" s="75" t="s">
        <v>517</v>
      </c>
      <c r="S179" s="20" t="s">
        <v>642</v>
      </c>
      <c r="T179" s="20" t="s">
        <v>73</v>
      </c>
      <c r="U179" s="47" t="n">
        <v>0</v>
      </c>
      <c r="V179" s="70" t="s">
        <v>632</v>
      </c>
      <c r="W179" s="47" t="n">
        <v>1</v>
      </c>
    </row>
    <row r="180" customFormat="false" ht="23.85" hidden="false" customHeight="false" outlineLevel="0" collapsed="false">
      <c r="A180" s="70" t="n">
        <v>172</v>
      </c>
      <c r="B180" s="20" t="s">
        <v>363</v>
      </c>
      <c r="C180" s="20" t="s">
        <v>512</v>
      </c>
      <c r="D180" s="20" t="s">
        <v>631</v>
      </c>
      <c r="E180" s="20" t="s">
        <v>632</v>
      </c>
      <c r="F180" s="70" t="s">
        <v>533</v>
      </c>
      <c r="G180" s="20" t="s">
        <v>643</v>
      </c>
      <c r="H180" s="49" t="n">
        <v>22</v>
      </c>
      <c r="I180" s="70" t="s">
        <v>368</v>
      </c>
      <c r="J180" s="70" t="s">
        <v>369</v>
      </c>
      <c r="K180" s="73" t="n">
        <v>1</v>
      </c>
      <c r="L180" s="49" t="n">
        <v>2</v>
      </c>
      <c r="M180" s="67" t="n">
        <v>4.7</v>
      </c>
      <c r="N180" s="68" t="n">
        <f aca="false">K180*L180*M180</f>
        <v>9.4</v>
      </c>
      <c r="O180" s="34" t="n">
        <f aca="false">IFERROR(INDEX(Исходные!$B$18:$B$30,MATCH(H180,Исходные!$A$18:$A$30,0)),0)</f>
        <v>2.984</v>
      </c>
      <c r="P180" s="74" t="n">
        <f aca="false">N180*O180</f>
        <v>28.0496</v>
      </c>
      <c r="Q180" s="20" t="s">
        <v>640</v>
      </c>
      <c r="R180" s="75" t="s">
        <v>517</v>
      </c>
      <c r="S180" s="20" t="s">
        <v>642</v>
      </c>
      <c r="T180" s="20" t="s">
        <v>73</v>
      </c>
      <c r="U180" s="47" t="n">
        <v>0</v>
      </c>
      <c r="V180" s="70" t="s">
        <v>632</v>
      </c>
      <c r="W180" s="47" t="n">
        <v>1</v>
      </c>
    </row>
    <row r="181" customFormat="false" ht="23.85" hidden="false" customHeight="false" outlineLevel="0" collapsed="false">
      <c r="A181" s="70" t="n">
        <v>173</v>
      </c>
      <c r="B181" s="20" t="s">
        <v>363</v>
      </c>
      <c r="C181" s="20" t="s">
        <v>512</v>
      </c>
      <c r="D181" s="20" t="s">
        <v>631</v>
      </c>
      <c r="E181" s="20" t="s">
        <v>632</v>
      </c>
      <c r="F181" s="70" t="s">
        <v>533</v>
      </c>
      <c r="G181" s="20" t="s">
        <v>644</v>
      </c>
      <c r="H181" s="49" t="n">
        <v>32</v>
      </c>
      <c r="I181" s="70" t="s">
        <v>368</v>
      </c>
      <c r="J181" s="70" t="s">
        <v>369</v>
      </c>
      <c r="K181" s="73" t="n">
        <v>1</v>
      </c>
      <c r="L181" s="49" t="n">
        <v>2</v>
      </c>
      <c r="M181" s="67" t="n">
        <v>4.3</v>
      </c>
      <c r="N181" s="68" t="n">
        <f aca="false">K181*L181*M181</f>
        <v>8.6</v>
      </c>
      <c r="O181" s="34" t="n">
        <f aca="false">IFERROR(INDEX(Исходные!$B$18:$B$30,MATCH(H181,Исходные!$A$18:$A$30,0)),0)</f>
        <v>6.313</v>
      </c>
      <c r="P181" s="74" t="n">
        <f aca="false">N181*O181</f>
        <v>54.2918</v>
      </c>
      <c r="Q181" s="20" t="s">
        <v>645</v>
      </c>
      <c r="R181" s="75" t="s">
        <v>517</v>
      </c>
      <c r="S181" s="20" t="s">
        <v>646</v>
      </c>
      <c r="T181" s="20" t="s">
        <v>73</v>
      </c>
      <c r="U181" s="47" t="n">
        <v>0</v>
      </c>
      <c r="V181" s="70" t="s">
        <v>632</v>
      </c>
      <c r="W181" s="47" t="n">
        <v>1</v>
      </c>
    </row>
    <row r="182" customFormat="false" ht="23.85" hidden="false" customHeight="false" outlineLevel="0" collapsed="false">
      <c r="A182" s="70" t="n">
        <v>174</v>
      </c>
      <c r="B182" s="20" t="s">
        <v>363</v>
      </c>
      <c r="C182" s="20" t="s">
        <v>512</v>
      </c>
      <c r="D182" s="20" t="s">
        <v>631</v>
      </c>
      <c r="E182" s="20" t="s">
        <v>632</v>
      </c>
      <c r="F182" s="70" t="s">
        <v>533</v>
      </c>
      <c r="G182" s="20" t="s">
        <v>584</v>
      </c>
      <c r="H182" s="49" t="n">
        <v>25</v>
      </c>
      <c r="I182" s="70" t="s">
        <v>368</v>
      </c>
      <c r="J182" s="70" t="s">
        <v>369</v>
      </c>
      <c r="K182" s="73" t="n">
        <v>1</v>
      </c>
      <c r="L182" s="49" t="n">
        <v>2</v>
      </c>
      <c r="M182" s="67" t="n">
        <v>2.05</v>
      </c>
      <c r="N182" s="68" t="n">
        <f aca="false">K182*L182*M182</f>
        <v>4.1</v>
      </c>
      <c r="O182" s="34" t="n">
        <f aca="false">IFERROR(INDEX(Исходные!$B$18:$B$30,MATCH(H182,Исходные!$A$18:$A$30,0)),0)</f>
        <v>3.853</v>
      </c>
      <c r="P182" s="74" t="n">
        <f aca="false">N182*O182</f>
        <v>15.7973</v>
      </c>
      <c r="Q182" s="20" t="s">
        <v>647</v>
      </c>
      <c r="R182" s="75" t="s">
        <v>517</v>
      </c>
      <c r="S182" s="20" t="s">
        <v>585</v>
      </c>
      <c r="T182" s="20" t="s">
        <v>73</v>
      </c>
      <c r="U182" s="47" t="n">
        <v>0</v>
      </c>
      <c r="V182" s="70" t="s">
        <v>632</v>
      </c>
      <c r="W182" s="47" t="n">
        <v>1</v>
      </c>
    </row>
    <row r="183" customFormat="false" ht="23.85" hidden="false" customHeight="false" outlineLevel="0" collapsed="false">
      <c r="A183" s="70" t="n">
        <v>175</v>
      </c>
      <c r="B183" s="20" t="s">
        <v>363</v>
      </c>
      <c r="C183" s="20" t="s">
        <v>512</v>
      </c>
      <c r="D183" s="20" t="s">
        <v>631</v>
      </c>
      <c r="E183" s="20" t="s">
        <v>632</v>
      </c>
      <c r="F183" s="70" t="s">
        <v>533</v>
      </c>
      <c r="G183" s="20" t="s">
        <v>648</v>
      </c>
      <c r="H183" s="49" t="n">
        <v>16</v>
      </c>
      <c r="I183" s="70" t="s">
        <v>368</v>
      </c>
      <c r="J183" s="70" t="s">
        <v>369</v>
      </c>
      <c r="K183" s="73" t="n">
        <v>1</v>
      </c>
      <c r="L183" s="49" t="n">
        <v>2</v>
      </c>
      <c r="M183" s="67" t="n">
        <v>1.85</v>
      </c>
      <c r="N183" s="68" t="n">
        <f aca="false">K183*L183*M183</f>
        <v>3.7</v>
      </c>
      <c r="O183" s="34" t="n">
        <f aca="false">IFERROR(INDEX(Исходные!$B$18:$B$30,MATCH(H183,Исходные!$A$18:$A$30,0)),0)</f>
        <v>1.578</v>
      </c>
      <c r="P183" s="74" t="n">
        <f aca="false">N183*O183</f>
        <v>5.8386</v>
      </c>
      <c r="Q183" s="20" t="s">
        <v>649</v>
      </c>
      <c r="R183" s="75" t="s">
        <v>517</v>
      </c>
      <c r="S183" s="20" t="s">
        <v>636</v>
      </c>
      <c r="T183" s="20" t="s">
        <v>73</v>
      </c>
      <c r="U183" s="47" t="n">
        <v>0</v>
      </c>
      <c r="V183" s="70" t="s">
        <v>632</v>
      </c>
      <c r="W183" s="47" t="n">
        <v>1</v>
      </c>
    </row>
    <row r="184" customFormat="false" ht="23.85" hidden="false" customHeight="false" outlineLevel="0" collapsed="false">
      <c r="A184" s="70" t="n">
        <v>176</v>
      </c>
      <c r="B184" s="20" t="s">
        <v>363</v>
      </c>
      <c r="C184" s="20" t="s">
        <v>512</v>
      </c>
      <c r="D184" s="20" t="s">
        <v>631</v>
      </c>
      <c r="E184" s="20" t="s">
        <v>632</v>
      </c>
      <c r="F184" s="70" t="s">
        <v>533</v>
      </c>
      <c r="G184" s="20" t="s">
        <v>650</v>
      </c>
      <c r="H184" s="49" t="n">
        <v>22</v>
      </c>
      <c r="I184" s="70" t="s">
        <v>368</v>
      </c>
      <c r="J184" s="70" t="s">
        <v>369</v>
      </c>
      <c r="K184" s="73" t="n">
        <v>1</v>
      </c>
      <c r="L184" s="49" t="n">
        <v>2</v>
      </c>
      <c r="M184" s="67" t="n">
        <v>5.5</v>
      </c>
      <c r="N184" s="68" t="n">
        <f aca="false">K184*L184*M184</f>
        <v>11</v>
      </c>
      <c r="O184" s="34" t="n">
        <f aca="false">IFERROR(INDEX(Исходные!$B$18:$B$30,MATCH(H184,Исходные!$A$18:$A$30,0)),0)</f>
        <v>2.984</v>
      </c>
      <c r="P184" s="74" t="n">
        <f aca="false">N184*O184</f>
        <v>32.824</v>
      </c>
      <c r="Q184" s="20" t="s">
        <v>640</v>
      </c>
      <c r="R184" s="75" t="s">
        <v>517</v>
      </c>
      <c r="S184" s="20" t="s">
        <v>638</v>
      </c>
      <c r="T184" s="20" t="s">
        <v>73</v>
      </c>
      <c r="U184" s="47" t="n">
        <v>0</v>
      </c>
      <c r="V184" s="70" t="s">
        <v>632</v>
      </c>
      <c r="W184" s="47" t="n">
        <v>1</v>
      </c>
    </row>
    <row r="185" customFormat="false" ht="23.85" hidden="false" customHeight="false" outlineLevel="0" collapsed="false">
      <c r="A185" s="70" t="n">
        <v>177</v>
      </c>
      <c r="B185" s="20" t="s">
        <v>363</v>
      </c>
      <c r="C185" s="20" t="s">
        <v>512</v>
      </c>
      <c r="D185" s="20" t="s">
        <v>631</v>
      </c>
      <c r="E185" s="20" t="s">
        <v>632</v>
      </c>
      <c r="F185" s="70" t="s">
        <v>533</v>
      </c>
      <c r="G185" s="20" t="s">
        <v>651</v>
      </c>
      <c r="H185" s="49" t="n">
        <v>28</v>
      </c>
      <c r="I185" s="70" t="s">
        <v>368</v>
      </c>
      <c r="J185" s="70" t="s">
        <v>369</v>
      </c>
      <c r="K185" s="73" t="n">
        <v>1</v>
      </c>
      <c r="L185" s="49" t="n">
        <v>2</v>
      </c>
      <c r="M185" s="67" t="n">
        <v>4.7</v>
      </c>
      <c r="N185" s="68" t="n">
        <f aca="false">K185*L185*M185</f>
        <v>9.4</v>
      </c>
      <c r="O185" s="34" t="n">
        <f aca="false">IFERROR(INDEX(Исходные!$B$18:$B$30,MATCH(H185,Исходные!$A$18:$A$30,0)),0)</f>
        <v>4.834</v>
      </c>
      <c r="P185" s="74" t="n">
        <f aca="false">N185*O185</f>
        <v>45.4396</v>
      </c>
      <c r="Q185" s="20" t="s">
        <v>635</v>
      </c>
      <c r="R185" s="75" t="s">
        <v>517</v>
      </c>
      <c r="S185" s="20" t="s">
        <v>642</v>
      </c>
      <c r="T185" s="20" t="s">
        <v>73</v>
      </c>
      <c r="U185" s="47" t="n">
        <v>0</v>
      </c>
      <c r="V185" s="70" t="s">
        <v>632</v>
      </c>
      <c r="W185" s="47" t="n">
        <v>1</v>
      </c>
    </row>
    <row r="186" customFormat="false" ht="23.85" hidden="false" customHeight="false" outlineLevel="0" collapsed="false">
      <c r="A186" s="70" t="n">
        <v>178</v>
      </c>
      <c r="B186" s="20" t="s">
        <v>363</v>
      </c>
      <c r="C186" s="20" t="s">
        <v>512</v>
      </c>
      <c r="D186" s="20" t="s">
        <v>631</v>
      </c>
      <c r="E186" s="20" t="s">
        <v>632</v>
      </c>
      <c r="F186" s="70" t="s">
        <v>533</v>
      </c>
      <c r="G186" s="20" t="s">
        <v>652</v>
      </c>
      <c r="H186" s="49" t="n">
        <v>28</v>
      </c>
      <c r="I186" s="70" t="s">
        <v>368</v>
      </c>
      <c r="J186" s="70" t="s">
        <v>369</v>
      </c>
      <c r="K186" s="73" t="n">
        <v>1</v>
      </c>
      <c r="L186" s="49" t="n">
        <v>2</v>
      </c>
      <c r="M186" s="67" t="n">
        <v>4.3</v>
      </c>
      <c r="N186" s="68" t="n">
        <f aca="false">K186*L186*M186</f>
        <v>8.6</v>
      </c>
      <c r="O186" s="34" t="n">
        <f aca="false">IFERROR(INDEX(Исходные!$B$18:$B$30,MATCH(H186,Исходные!$A$18:$A$30,0)),0)</f>
        <v>4.834</v>
      </c>
      <c r="P186" s="74" t="n">
        <f aca="false">N186*O186</f>
        <v>41.5724</v>
      </c>
      <c r="Q186" s="20" t="s">
        <v>635</v>
      </c>
      <c r="R186" s="75" t="s">
        <v>517</v>
      </c>
      <c r="S186" s="20" t="s">
        <v>646</v>
      </c>
      <c r="T186" s="20" t="s">
        <v>73</v>
      </c>
      <c r="U186" s="47" t="n">
        <v>0</v>
      </c>
      <c r="V186" s="70" t="s">
        <v>632</v>
      </c>
      <c r="W186" s="47" t="n">
        <v>1</v>
      </c>
    </row>
    <row r="187" customFormat="false" ht="23.85" hidden="false" customHeight="false" outlineLevel="0" collapsed="false">
      <c r="A187" s="70" t="n">
        <v>179</v>
      </c>
      <c r="B187" s="20" t="s">
        <v>363</v>
      </c>
      <c r="C187" s="20" t="s">
        <v>512</v>
      </c>
      <c r="D187" s="20" t="s">
        <v>631</v>
      </c>
      <c r="E187" s="20" t="s">
        <v>632</v>
      </c>
      <c r="F187" s="70" t="s">
        <v>533</v>
      </c>
      <c r="G187" s="20" t="s">
        <v>653</v>
      </c>
      <c r="H187" s="49" t="n">
        <v>22</v>
      </c>
      <c r="I187" s="70" t="s">
        <v>368</v>
      </c>
      <c r="J187" s="70" t="s">
        <v>369</v>
      </c>
      <c r="K187" s="73" t="n">
        <v>1</v>
      </c>
      <c r="L187" s="49" t="n">
        <v>2</v>
      </c>
      <c r="M187" s="67" t="n">
        <v>2.05</v>
      </c>
      <c r="N187" s="68" t="n">
        <f aca="false">K187*L187*M187</f>
        <v>4.1</v>
      </c>
      <c r="O187" s="34" t="n">
        <f aca="false">IFERROR(INDEX(Исходные!$B$18:$B$30,MATCH(H187,Исходные!$A$18:$A$30,0)),0)</f>
        <v>2.984</v>
      </c>
      <c r="P187" s="74" t="n">
        <f aca="false">N187*O187</f>
        <v>12.2344</v>
      </c>
      <c r="Q187" s="20" t="s">
        <v>640</v>
      </c>
      <c r="R187" s="75" t="s">
        <v>517</v>
      </c>
      <c r="S187" s="20" t="s">
        <v>585</v>
      </c>
      <c r="T187" s="20" t="s">
        <v>73</v>
      </c>
      <c r="U187" s="47" t="n">
        <v>0</v>
      </c>
      <c r="V187" s="70" t="s">
        <v>632</v>
      </c>
      <c r="W187" s="47" t="n">
        <v>1</v>
      </c>
    </row>
    <row r="188" customFormat="false" ht="23.85" hidden="false" customHeight="false" outlineLevel="0" collapsed="false">
      <c r="A188" s="70" t="n">
        <v>180</v>
      </c>
      <c r="B188" s="20" t="s">
        <v>363</v>
      </c>
      <c r="C188" s="20" t="s">
        <v>512</v>
      </c>
      <c r="D188" s="20" t="s">
        <v>631</v>
      </c>
      <c r="E188" s="20" t="s">
        <v>632</v>
      </c>
      <c r="F188" s="70" t="s">
        <v>553</v>
      </c>
      <c r="G188" s="20" t="s">
        <v>554</v>
      </c>
      <c r="H188" s="49" t="n">
        <v>8</v>
      </c>
      <c r="I188" s="70" t="s">
        <v>403</v>
      </c>
      <c r="J188" s="70" t="s">
        <v>555</v>
      </c>
      <c r="K188" s="73" t="n">
        <v>1</v>
      </c>
      <c r="L188" s="49" t="n">
        <v>125</v>
      </c>
      <c r="M188" s="67" t="n">
        <v>2.06</v>
      </c>
      <c r="N188" s="68" t="n">
        <f aca="false">K188*L188*M188</f>
        <v>257.5</v>
      </c>
      <c r="O188" s="34" t="n">
        <f aca="false">IFERROR(INDEX(Исходные!$B$18:$B$30,MATCH(H188,Исходные!$A$18:$A$30,0)),0)</f>
        <v>0.395</v>
      </c>
      <c r="P188" s="74" t="n">
        <f aca="false">N188*O188</f>
        <v>101.7125</v>
      </c>
      <c r="Q188" s="20" t="s">
        <v>556</v>
      </c>
      <c r="R188" s="75" t="s">
        <v>371</v>
      </c>
      <c r="S188" s="20" t="s">
        <v>654</v>
      </c>
      <c r="T188" s="20" t="s">
        <v>73</v>
      </c>
      <c r="U188" s="47" t="n">
        <v>0</v>
      </c>
      <c r="V188" s="70" t="s">
        <v>632</v>
      </c>
      <c r="W188" s="47" t="n">
        <v>1</v>
      </c>
    </row>
    <row r="189" customFormat="false" ht="23.85" hidden="false" customHeight="false" outlineLevel="0" collapsed="false">
      <c r="A189" s="70" t="n">
        <v>181</v>
      </c>
      <c r="B189" s="20" t="s">
        <v>363</v>
      </c>
      <c r="C189" s="20" t="s">
        <v>512</v>
      </c>
      <c r="D189" s="20" t="s">
        <v>631</v>
      </c>
      <c r="E189" s="20" t="s">
        <v>632</v>
      </c>
      <c r="F189" s="70" t="s">
        <v>418</v>
      </c>
      <c r="G189" s="20" t="s">
        <v>558</v>
      </c>
      <c r="H189" s="49" t="n">
        <v>10</v>
      </c>
      <c r="I189" s="70" t="s">
        <v>403</v>
      </c>
      <c r="J189" s="70" t="n">
        <v>100</v>
      </c>
      <c r="K189" s="73" t="n">
        <v>1</v>
      </c>
      <c r="L189" s="49" t="n">
        <v>45</v>
      </c>
      <c r="M189" s="67" t="n">
        <v>2.06</v>
      </c>
      <c r="N189" s="68" t="n">
        <f aca="false">K189*L189*M189</f>
        <v>92.7</v>
      </c>
      <c r="O189" s="34" t="n">
        <f aca="false">IFERROR(INDEX(Исходные!$B$18:$B$30,MATCH(H189,Исходные!$A$18:$A$30,0)),0)</f>
        <v>0.617</v>
      </c>
      <c r="P189" s="74" t="n">
        <f aca="false">N189*O189</f>
        <v>57.1959</v>
      </c>
      <c r="Q189" s="20" t="s">
        <v>655</v>
      </c>
      <c r="R189" s="75" t="s">
        <v>371</v>
      </c>
      <c r="S189" s="20" t="s">
        <v>656</v>
      </c>
      <c r="T189" s="20" t="s">
        <v>73</v>
      </c>
      <c r="U189" s="47" t="n">
        <v>0</v>
      </c>
      <c r="V189" s="70" t="s">
        <v>632</v>
      </c>
      <c r="W189" s="47" t="n">
        <v>1</v>
      </c>
    </row>
    <row r="190" customFormat="false" ht="23.85" hidden="false" customHeight="false" outlineLevel="0" collapsed="false">
      <c r="A190" s="70" t="n">
        <v>182</v>
      </c>
      <c r="B190" s="20" t="s">
        <v>363</v>
      </c>
      <c r="C190" s="20" t="s">
        <v>512</v>
      </c>
      <c r="D190" s="20" t="s">
        <v>631</v>
      </c>
      <c r="E190" s="20" t="s">
        <v>632</v>
      </c>
      <c r="F190" s="70" t="s">
        <v>563</v>
      </c>
      <c r="G190" s="20" t="s">
        <v>564</v>
      </c>
      <c r="H190" s="49" t="n">
        <v>8</v>
      </c>
      <c r="I190" s="70" t="s">
        <v>403</v>
      </c>
      <c r="J190" s="70" t="s">
        <v>565</v>
      </c>
      <c r="K190" s="73" t="n">
        <v>1</v>
      </c>
      <c r="L190" s="49" t="n">
        <v>106</v>
      </c>
      <c r="M190" s="67" t="n">
        <v>0.75</v>
      </c>
      <c r="N190" s="68" t="n">
        <f aca="false">K190*L190*M190</f>
        <v>79.5</v>
      </c>
      <c r="O190" s="34" t="n">
        <f aca="false">IFERROR(INDEX(Исходные!$B$18:$B$30,MATCH(H190,Исходные!$A$18:$A$30,0)),0)</f>
        <v>0.395</v>
      </c>
      <c r="P190" s="74" t="n">
        <f aca="false">N190*O190</f>
        <v>31.4025</v>
      </c>
      <c r="Q190" s="20" t="s">
        <v>566</v>
      </c>
      <c r="R190" s="75" t="s">
        <v>371</v>
      </c>
      <c r="S190" s="20"/>
      <c r="T190" s="20" t="s">
        <v>73</v>
      </c>
      <c r="U190" s="47" t="n">
        <v>0</v>
      </c>
      <c r="V190" s="70" t="s">
        <v>632</v>
      </c>
      <c r="W190" s="47" t="n">
        <v>1</v>
      </c>
    </row>
    <row r="191" customFormat="false" ht="23.85" hidden="false" customHeight="false" outlineLevel="0" collapsed="false">
      <c r="A191" s="70" t="n">
        <v>183</v>
      </c>
      <c r="B191" s="20" t="s">
        <v>363</v>
      </c>
      <c r="C191" s="20" t="s">
        <v>512</v>
      </c>
      <c r="D191" s="20" t="s">
        <v>631</v>
      </c>
      <c r="E191" s="20" t="s">
        <v>632</v>
      </c>
      <c r="F191" s="70" t="s">
        <v>567</v>
      </c>
      <c r="G191" s="20" t="s">
        <v>568</v>
      </c>
      <c r="H191" s="49" t="n">
        <v>8</v>
      </c>
      <c r="I191" s="70" t="s">
        <v>403</v>
      </c>
      <c r="J191" s="70" t="n">
        <v>300</v>
      </c>
      <c r="K191" s="73" t="n">
        <v>1</v>
      </c>
      <c r="L191" s="49" t="n">
        <v>67</v>
      </c>
      <c r="M191" s="67" t="n">
        <v>0.58</v>
      </c>
      <c r="N191" s="68" t="n">
        <f aca="false">K191*L191*M191</f>
        <v>38.86</v>
      </c>
      <c r="O191" s="34" t="n">
        <f aca="false">IFERROR(INDEX(Исходные!$B$18:$B$30,MATCH(H191,Исходные!$A$18:$A$30,0)),0)</f>
        <v>0.395</v>
      </c>
      <c r="P191" s="74" t="n">
        <f aca="false">N191*O191</f>
        <v>15.3497</v>
      </c>
      <c r="Q191" s="20" t="s">
        <v>569</v>
      </c>
      <c r="R191" s="76" t="s">
        <v>495</v>
      </c>
      <c r="S191" s="20" t="s">
        <v>570</v>
      </c>
      <c r="T191" s="20" t="s">
        <v>73</v>
      </c>
      <c r="U191" s="47" t="n">
        <v>1</v>
      </c>
      <c r="V191" s="70" t="s">
        <v>632</v>
      </c>
      <c r="W191" s="47" t="n">
        <v>1</v>
      </c>
    </row>
    <row r="192" customFormat="false" ht="35.05" hidden="false" customHeight="false" outlineLevel="0" collapsed="false">
      <c r="A192" s="70" t="n">
        <v>184</v>
      </c>
      <c r="B192" s="20" t="s">
        <v>363</v>
      </c>
      <c r="C192" s="20" t="s">
        <v>512</v>
      </c>
      <c r="D192" s="20" t="s">
        <v>657</v>
      </c>
      <c r="E192" s="20" t="s">
        <v>658</v>
      </c>
      <c r="F192" s="70" t="s">
        <v>376</v>
      </c>
      <c r="G192" s="20" t="s">
        <v>515</v>
      </c>
      <c r="H192" s="49" t="n">
        <v>28</v>
      </c>
      <c r="I192" s="70" t="s">
        <v>368</v>
      </c>
      <c r="J192" s="70" t="s">
        <v>369</v>
      </c>
      <c r="K192" s="73" t="n">
        <v>2</v>
      </c>
      <c r="L192" s="49" t="n">
        <v>4</v>
      </c>
      <c r="M192" s="67" t="n">
        <v>20.5</v>
      </c>
      <c r="N192" s="68" t="n">
        <f aca="false">K192*L192*M192</f>
        <v>164</v>
      </c>
      <c r="O192" s="34" t="n">
        <f aca="false">IFERROR(INDEX(Исходные!$B$18:$B$30,MATCH(H192,Исходные!$A$18:$A$30,0)),0)</f>
        <v>4.834</v>
      </c>
      <c r="P192" s="74" t="n">
        <f aca="false">N192*O192</f>
        <v>792.776</v>
      </c>
      <c r="Q192" s="20" t="s">
        <v>659</v>
      </c>
      <c r="R192" s="75" t="s">
        <v>517</v>
      </c>
      <c r="S192" s="20" t="s">
        <v>660</v>
      </c>
      <c r="T192" s="20" t="s">
        <v>73</v>
      </c>
      <c r="U192" s="47" t="n">
        <v>0</v>
      </c>
      <c r="V192" s="70" t="s">
        <v>658</v>
      </c>
      <c r="W192" s="47" t="n">
        <v>1</v>
      </c>
    </row>
    <row r="193" customFormat="false" ht="23.85" hidden="false" customHeight="false" outlineLevel="0" collapsed="false">
      <c r="A193" s="70" t="n">
        <v>185</v>
      </c>
      <c r="B193" s="20" t="s">
        <v>363</v>
      </c>
      <c r="C193" s="20" t="s">
        <v>512</v>
      </c>
      <c r="D193" s="20" t="s">
        <v>657</v>
      </c>
      <c r="E193" s="20" t="s">
        <v>658</v>
      </c>
      <c r="F193" s="70" t="s">
        <v>386</v>
      </c>
      <c r="G193" s="20" t="s">
        <v>519</v>
      </c>
      <c r="H193" s="49" t="n">
        <v>18</v>
      </c>
      <c r="I193" s="70" t="s">
        <v>368</v>
      </c>
      <c r="J193" s="70" t="s">
        <v>369</v>
      </c>
      <c r="K193" s="73" t="n">
        <v>2</v>
      </c>
      <c r="L193" s="49" t="n">
        <v>2</v>
      </c>
      <c r="M193" s="67" t="n">
        <v>20.5</v>
      </c>
      <c r="N193" s="68" t="n">
        <f aca="false">K193*L193*M193</f>
        <v>82</v>
      </c>
      <c r="O193" s="34" t="n">
        <f aca="false">IFERROR(INDEX(Исходные!$B$18:$B$30,MATCH(H193,Исходные!$A$18:$A$30,0)),0)</f>
        <v>1.998</v>
      </c>
      <c r="P193" s="74" t="n">
        <f aca="false">N193*O193</f>
        <v>163.836</v>
      </c>
      <c r="Q193" s="20" t="s">
        <v>520</v>
      </c>
      <c r="R193" s="75" t="s">
        <v>517</v>
      </c>
      <c r="S193" s="20"/>
      <c r="T193" s="20" t="s">
        <v>73</v>
      </c>
      <c r="U193" s="47" t="n">
        <v>0</v>
      </c>
      <c r="V193" s="70" t="s">
        <v>658</v>
      </c>
      <c r="W193" s="47" t="n">
        <v>1</v>
      </c>
    </row>
    <row r="194" customFormat="false" ht="35.05" hidden="false" customHeight="false" outlineLevel="0" collapsed="false">
      <c r="A194" s="70" t="n">
        <v>186</v>
      </c>
      <c r="B194" s="20" t="s">
        <v>363</v>
      </c>
      <c r="C194" s="20" t="s">
        <v>512</v>
      </c>
      <c r="D194" s="20" t="s">
        <v>657</v>
      </c>
      <c r="E194" s="20" t="s">
        <v>658</v>
      </c>
      <c r="F194" s="70" t="s">
        <v>521</v>
      </c>
      <c r="G194" s="20" t="s">
        <v>661</v>
      </c>
      <c r="H194" s="49" t="n">
        <v>18</v>
      </c>
      <c r="I194" s="70" t="s">
        <v>368</v>
      </c>
      <c r="J194" s="70" t="s">
        <v>369</v>
      </c>
      <c r="K194" s="73" t="n">
        <v>4</v>
      </c>
      <c r="L194" s="49" t="n">
        <v>1</v>
      </c>
      <c r="M194" s="67" t="n">
        <v>0.144</v>
      </c>
      <c r="N194" s="68" t="n">
        <f aca="false">K194*L194*M194</f>
        <v>0.576</v>
      </c>
      <c r="O194" s="34" t="n">
        <f aca="false">IFERROR(INDEX(Исходные!$B$18:$B$30,MATCH(H194,Исходные!$A$18:$A$30,0)),0)</f>
        <v>1.998</v>
      </c>
      <c r="P194" s="74" t="n">
        <f aca="false">N194*O194</f>
        <v>1.150848</v>
      </c>
      <c r="Q194" s="20" t="s">
        <v>523</v>
      </c>
      <c r="R194" s="75" t="s">
        <v>524</v>
      </c>
      <c r="S194" s="20" t="s">
        <v>662</v>
      </c>
      <c r="T194" s="20" t="s">
        <v>73</v>
      </c>
      <c r="U194" s="47" t="n">
        <v>0</v>
      </c>
      <c r="V194" s="70" t="s">
        <v>658</v>
      </c>
      <c r="W194" s="47" t="n">
        <v>1</v>
      </c>
    </row>
    <row r="195" customFormat="false" ht="23.85" hidden="false" customHeight="false" outlineLevel="0" collapsed="false">
      <c r="A195" s="70" t="n">
        <v>187</v>
      </c>
      <c r="B195" s="20" t="s">
        <v>363</v>
      </c>
      <c r="C195" s="20" t="s">
        <v>512</v>
      </c>
      <c r="D195" s="20" t="s">
        <v>657</v>
      </c>
      <c r="E195" s="20" t="s">
        <v>658</v>
      </c>
      <c r="F195" s="70" t="s">
        <v>526</v>
      </c>
      <c r="G195" s="20" t="s">
        <v>527</v>
      </c>
      <c r="H195" s="49" t="n">
        <v>16</v>
      </c>
      <c r="I195" s="70" t="s">
        <v>368</v>
      </c>
      <c r="J195" s="70" t="s">
        <v>369</v>
      </c>
      <c r="K195" s="73" t="n">
        <v>2</v>
      </c>
      <c r="L195" s="49" t="n">
        <v>2</v>
      </c>
      <c r="M195" s="67" t="n">
        <v>20.5</v>
      </c>
      <c r="N195" s="68" t="n">
        <f aca="false">K195*L195*M195</f>
        <v>82</v>
      </c>
      <c r="O195" s="34" t="n">
        <f aca="false">IFERROR(INDEX(Исходные!$B$18:$B$30,MATCH(H195,Исходные!$A$18:$A$30,0)),0)</f>
        <v>1.578</v>
      </c>
      <c r="P195" s="74" t="n">
        <f aca="false">N195*O195</f>
        <v>129.396</v>
      </c>
      <c r="Q195" s="20" t="s">
        <v>528</v>
      </c>
      <c r="R195" s="75" t="s">
        <v>517</v>
      </c>
      <c r="S195" s="20"/>
      <c r="T195" s="20" t="s">
        <v>73</v>
      </c>
      <c r="U195" s="47" t="n">
        <v>0</v>
      </c>
      <c r="V195" s="70" t="s">
        <v>658</v>
      </c>
      <c r="W195" s="47" t="n">
        <v>1</v>
      </c>
    </row>
    <row r="196" customFormat="false" ht="35.05" hidden="false" customHeight="false" outlineLevel="0" collapsed="false">
      <c r="A196" s="70" t="n">
        <v>188</v>
      </c>
      <c r="B196" s="20" t="s">
        <v>363</v>
      </c>
      <c r="C196" s="20" t="s">
        <v>512</v>
      </c>
      <c r="D196" s="20" t="s">
        <v>657</v>
      </c>
      <c r="E196" s="20" t="s">
        <v>658</v>
      </c>
      <c r="F196" s="70" t="s">
        <v>529</v>
      </c>
      <c r="G196" s="20" t="s">
        <v>663</v>
      </c>
      <c r="H196" s="49" t="n">
        <v>16</v>
      </c>
      <c r="I196" s="70" t="s">
        <v>368</v>
      </c>
      <c r="J196" s="70" t="s">
        <v>369</v>
      </c>
      <c r="K196" s="73" t="n">
        <v>4</v>
      </c>
      <c r="L196" s="49" t="n">
        <v>1</v>
      </c>
      <c r="M196" s="67" t="n">
        <v>0.128</v>
      </c>
      <c r="N196" s="68" t="n">
        <f aca="false">K196*L196*M196</f>
        <v>0.512</v>
      </c>
      <c r="O196" s="34" t="n">
        <f aca="false">IFERROR(INDEX(Исходные!$B$18:$B$30,MATCH(H196,Исходные!$A$18:$A$30,0)),0)</f>
        <v>1.578</v>
      </c>
      <c r="P196" s="74" t="n">
        <f aca="false">N196*O196</f>
        <v>0.807936</v>
      </c>
      <c r="Q196" s="20" t="s">
        <v>531</v>
      </c>
      <c r="R196" s="75" t="s">
        <v>524</v>
      </c>
      <c r="S196" s="20" t="s">
        <v>664</v>
      </c>
      <c r="T196" s="20" t="s">
        <v>73</v>
      </c>
      <c r="U196" s="47" t="n">
        <v>0</v>
      </c>
      <c r="V196" s="70" t="s">
        <v>658</v>
      </c>
      <c r="W196" s="47" t="n">
        <v>1</v>
      </c>
    </row>
    <row r="197" customFormat="false" ht="23.85" hidden="false" customHeight="false" outlineLevel="0" collapsed="false">
      <c r="A197" s="70" t="n">
        <v>189</v>
      </c>
      <c r="B197" s="20" t="s">
        <v>363</v>
      </c>
      <c r="C197" s="20" t="s">
        <v>512</v>
      </c>
      <c r="D197" s="20" t="s">
        <v>657</v>
      </c>
      <c r="E197" s="20" t="s">
        <v>658</v>
      </c>
      <c r="F197" s="70" t="s">
        <v>533</v>
      </c>
      <c r="G197" s="20" t="s">
        <v>574</v>
      </c>
      <c r="H197" s="49" t="n">
        <v>25</v>
      </c>
      <c r="I197" s="70" t="s">
        <v>368</v>
      </c>
      <c r="J197" s="70" t="s">
        <v>369</v>
      </c>
      <c r="K197" s="73" t="n">
        <v>2</v>
      </c>
      <c r="L197" s="49" t="n">
        <v>2</v>
      </c>
      <c r="M197" s="67" t="n">
        <v>2.05</v>
      </c>
      <c r="N197" s="68" t="n">
        <f aca="false">K197*L197*M197</f>
        <v>8.2</v>
      </c>
      <c r="O197" s="34" t="n">
        <f aca="false">IFERROR(INDEX(Исходные!$B$18:$B$30,MATCH(H197,Исходные!$A$18:$A$30,0)),0)</f>
        <v>3.853</v>
      </c>
      <c r="P197" s="74" t="n">
        <f aca="false">N197*O197</f>
        <v>31.5946</v>
      </c>
      <c r="Q197" s="20" t="s">
        <v>665</v>
      </c>
      <c r="R197" s="75" t="s">
        <v>517</v>
      </c>
      <c r="S197" s="20" t="s">
        <v>666</v>
      </c>
      <c r="T197" s="20" t="s">
        <v>73</v>
      </c>
      <c r="U197" s="47" t="n">
        <v>0</v>
      </c>
      <c r="V197" s="70" t="s">
        <v>658</v>
      </c>
      <c r="W197" s="47" t="n">
        <v>1</v>
      </c>
    </row>
    <row r="198" customFormat="false" ht="23.85" hidden="false" customHeight="false" outlineLevel="0" collapsed="false">
      <c r="A198" s="70" t="n">
        <v>190</v>
      </c>
      <c r="B198" s="20" t="s">
        <v>363</v>
      </c>
      <c r="C198" s="20" t="s">
        <v>512</v>
      </c>
      <c r="D198" s="20" t="s">
        <v>657</v>
      </c>
      <c r="E198" s="20" t="s">
        <v>658</v>
      </c>
      <c r="F198" s="70" t="s">
        <v>533</v>
      </c>
      <c r="G198" s="20" t="s">
        <v>667</v>
      </c>
      <c r="H198" s="49" t="n">
        <v>28</v>
      </c>
      <c r="I198" s="70" t="s">
        <v>368</v>
      </c>
      <c r="J198" s="70" t="s">
        <v>369</v>
      </c>
      <c r="K198" s="73" t="n">
        <v>2</v>
      </c>
      <c r="L198" s="49" t="n">
        <v>2</v>
      </c>
      <c r="M198" s="67" t="n">
        <v>3.8</v>
      </c>
      <c r="N198" s="68" t="n">
        <f aca="false">K198*L198*M198</f>
        <v>15.2</v>
      </c>
      <c r="O198" s="34" t="n">
        <f aca="false">IFERROR(INDEX(Исходные!$B$18:$B$30,MATCH(H198,Исходные!$A$18:$A$30,0)),0)</f>
        <v>4.834</v>
      </c>
      <c r="P198" s="74" t="n">
        <f aca="false">N198*O198</f>
        <v>73.4768</v>
      </c>
      <c r="Q198" s="20" t="s">
        <v>668</v>
      </c>
      <c r="R198" s="75" t="s">
        <v>517</v>
      </c>
      <c r="S198" s="20" t="s">
        <v>669</v>
      </c>
      <c r="T198" s="20" t="s">
        <v>73</v>
      </c>
      <c r="U198" s="47" t="n">
        <v>0</v>
      </c>
      <c r="V198" s="70" t="s">
        <v>658</v>
      </c>
      <c r="W198" s="47" t="n">
        <v>1</v>
      </c>
    </row>
    <row r="199" customFormat="false" ht="23.85" hidden="false" customHeight="false" outlineLevel="0" collapsed="false">
      <c r="A199" s="70" t="n">
        <v>191</v>
      </c>
      <c r="B199" s="20" t="s">
        <v>363</v>
      </c>
      <c r="C199" s="20" t="s">
        <v>512</v>
      </c>
      <c r="D199" s="20" t="s">
        <v>657</v>
      </c>
      <c r="E199" s="20" t="s">
        <v>658</v>
      </c>
      <c r="F199" s="70" t="s">
        <v>533</v>
      </c>
      <c r="G199" s="20" t="s">
        <v>670</v>
      </c>
      <c r="H199" s="49" t="n">
        <v>32</v>
      </c>
      <c r="I199" s="70" t="s">
        <v>368</v>
      </c>
      <c r="J199" s="70" t="s">
        <v>369</v>
      </c>
      <c r="K199" s="73" t="n">
        <v>2</v>
      </c>
      <c r="L199" s="49" t="n">
        <v>2</v>
      </c>
      <c r="M199" s="67" t="n">
        <v>3.8</v>
      </c>
      <c r="N199" s="68" t="n">
        <f aca="false">K199*L199*M199</f>
        <v>15.2</v>
      </c>
      <c r="O199" s="34" t="n">
        <f aca="false">IFERROR(INDEX(Исходные!$B$18:$B$30,MATCH(H199,Исходные!$A$18:$A$30,0)),0)</f>
        <v>6.313</v>
      </c>
      <c r="P199" s="74" t="n">
        <f aca="false">N199*O199</f>
        <v>95.9576</v>
      </c>
      <c r="Q199" s="20" t="s">
        <v>671</v>
      </c>
      <c r="R199" s="75" t="s">
        <v>517</v>
      </c>
      <c r="S199" s="20" t="s">
        <v>672</v>
      </c>
      <c r="T199" s="20" t="s">
        <v>73</v>
      </c>
      <c r="U199" s="47" t="n">
        <v>0</v>
      </c>
      <c r="V199" s="70" t="s">
        <v>658</v>
      </c>
      <c r="W199" s="47" t="n">
        <v>1</v>
      </c>
    </row>
    <row r="200" customFormat="false" ht="23.85" hidden="false" customHeight="false" outlineLevel="0" collapsed="false">
      <c r="A200" s="70" t="n">
        <v>192</v>
      </c>
      <c r="B200" s="20" t="s">
        <v>363</v>
      </c>
      <c r="C200" s="20" t="s">
        <v>512</v>
      </c>
      <c r="D200" s="20" t="s">
        <v>657</v>
      </c>
      <c r="E200" s="20" t="s">
        <v>658</v>
      </c>
      <c r="F200" s="70" t="s">
        <v>533</v>
      </c>
      <c r="G200" s="20" t="s">
        <v>673</v>
      </c>
      <c r="H200" s="49" t="n">
        <v>28</v>
      </c>
      <c r="I200" s="70" t="s">
        <v>368</v>
      </c>
      <c r="J200" s="70" t="s">
        <v>369</v>
      </c>
      <c r="K200" s="73" t="n">
        <v>2</v>
      </c>
      <c r="L200" s="49" t="n">
        <v>2</v>
      </c>
      <c r="M200" s="67" t="n">
        <v>2.05</v>
      </c>
      <c r="N200" s="68" t="n">
        <f aca="false">K200*L200*M200</f>
        <v>8.2</v>
      </c>
      <c r="O200" s="34" t="n">
        <f aca="false">IFERROR(INDEX(Исходные!$B$18:$B$30,MATCH(H200,Исходные!$A$18:$A$30,0)),0)</f>
        <v>4.834</v>
      </c>
      <c r="P200" s="74" t="n">
        <f aca="false">N200*O200</f>
        <v>39.6388</v>
      </c>
      <c r="Q200" s="20" t="s">
        <v>668</v>
      </c>
      <c r="R200" s="75" t="s">
        <v>517</v>
      </c>
      <c r="S200" s="20" t="s">
        <v>674</v>
      </c>
      <c r="T200" s="20" t="s">
        <v>73</v>
      </c>
      <c r="U200" s="47" t="n">
        <v>0</v>
      </c>
      <c r="V200" s="70" t="s">
        <v>658</v>
      </c>
      <c r="W200" s="47" t="n">
        <v>1</v>
      </c>
    </row>
    <row r="201" customFormat="false" ht="23.85" hidden="false" customHeight="false" outlineLevel="0" collapsed="false">
      <c r="A201" s="70" t="n">
        <v>193</v>
      </c>
      <c r="B201" s="20" t="s">
        <v>363</v>
      </c>
      <c r="C201" s="20" t="s">
        <v>512</v>
      </c>
      <c r="D201" s="20" t="s">
        <v>657</v>
      </c>
      <c r="E201" s="20" t="s">
        <v>658</v>
      </c>
      <c r="F201" s="70" t="s">
        <v>533</v>
      </c>
      <c r="G201" s="20" t="s">
        <v>675</v>
      </c>
      <c r="H201" s="49" t="n">
        <v>16</v>
      </c>
      <c r="I201" s="70" t="s">
        <v>368</v>
      </c>
      <c r="J201" s="70" t="s">
        <v>369</v>
      </c>
      <c r="K201" s="73" t="n">
        <v>2</v>
      </c>
      <c r="L201" s="49" t="n">
        <v>2</v>
      </c>
      <c r="M201" s="67" t="n">
        <v>4.95</v>
      </c>
      <c r="N201" s="68" t="n">
        <f aca="false">K201*L201*M201</f>
        <v>19.8</v>
      </c>
      <c r="O201" s="34" t="n">
        <f aca="false">IFERROR(INDEX(Исходные!$B$18:$B$30,MATCH(H201,Исходные!$A$18:$A$30,0)),0)</f>
        <v>1.578</v>
      </c>
      <c r="P201" s="74" t="n">
        <f aca="false">N201*O201</f>
        <v>31.2444</v>
      </c>
      <c r="Q201" s="20" t="s">
        <v>676</v>
      </c>
      <c r="R201" s="75" t="s">
        <v>517</v>
      </c>
      <c r="S201" s="20" t="s">
        <v>677</v>
      </c>
      <c r="T201" s="20" t="s">
        <v>73</v>
      </c>
      <c r="U201" s="47" t="n">
        <v>0</v>
      </c>
      <c r="V201" s="70" t="s">
        <v>658</v>
      </c>
      <c r="W201" s="47" t="n">
        <v>1</v>
      </c>
    </row>
    <row r="202" customFormat="false" ht="23.85" hidden="false" customHeight="false" outlineLevel="0" collapsed="false">
      <c r="A202" s="70" t="n">
        <v>194</v>
      </c>
      <c r="B202" s="20" t="s">
        <v>363</v>
      </c>
      <c r="C202" s="20" t="s">
        <v>512</v>
      </c>
      <c r="D202" s="20" t="s">
        <v>657</v>
      </c>
      <c r="E202" s="20" t="s">
        <v>658</v>
      </c>
      <c r="F202" s="70" t="s">
        <v>533</v>
      </c>
      <c r="G202" s="20" t="s">
        <v>678</v>
      </c>
      <c r="H202" s="49" t="n">
        <v>16</v>
      </c>
      <c r="I202" s="70" t="s">
        <v>368</v>
      </c>
      <c r="J202" s="70" t="s">
        <v>369</v>
      </c>
      <c r="K202" s="73" t="n">
        <v>2</v>
      </c>
      <c r="L202" s="49" t="n">
        <v>2</v>
      </c>
      <c r="M202" s="67" t="n">
        <v>3</v>
      </c>
      <c r="N202" s="68" t="n">
        <f aca="false">K202*L202*M202</f>
        <v>12</v>
      </c>
      <c r="O202" s="34" t="n">
        <f aca="false">IFERROR(INDEX(Исходные!$B$18:$B$30,MATCH(H202,Исходные!$A$18:$A$30,0)),0)</f>
        <v>1.578</v>
      </c>
      <c r="P202" s="74" t="n">
        <f aca="false">N202*O202</f>
        <v>18.936</v>
      </c>
      <c r="Q202" s="20" t="s">
        <v>676</v>
      </c>
      <c r="R202" s="75" t="s">
        <v>517</v>
      </c>
      <c r="S202" s="20" t="s">
        <v>679</v>
      </c>
      <c r="T202" s="20" t="s">
        <v>73</v>
      </c>
      <c r="U202" s="47" t="n">
        <v>0</v>
      </c>
      <c r="V202" s="70" t="s">
        <v>658</v>
      </c>
      <c r="W202" s="47" t="n">
        <v>1</v>
      </c>
    </row>
    <row r="203" customFormat="false" ht="23.85" hidden="false" customHeight="false" outlineLevel="0" collapsed="false">
      <c r="A203" s="70" t="n">
        <v>195</v>
      </c>
      <c r="B203" s="20" t="s">
        <v>363</v>
      </c>
      <c r="C203" s="20" t="s">
        <v>512</v>
      </c>
      <c r="D203" s="20" t="s">
        <v>657</v>
      </c>
      <c r="E203" s="20" t="s">
        <v>658</v>
      </c>
      <c r="F203" s="70" t="s">
        <v>533</v>
      </c>
      <c r="G203" s="20" t="s">
        <v>592</v>
      </c>
      <c r="H203" s="49" t="n">
        <v>16</v>
      </c>
      <c r="I203" s="70" t="s">
        <v>368</v>
      </c>
      <c r="J203" s="70" t="s">
        <v>369</v>
      </c>
      <c r="K203" s="73" t="n">
        <v>2</v>
      </c>
      <c r="L203" s="49" t="n">
        <v>2</v>
      </c>
      <c r="M203" s="67" t="n">
        <v>2.9</v>
      </c>
      <c r="N203" s="68" t="n">
        <f aca="false">K203*L203*M203</f>
        <v>11.6</v>
      </c>
      <c r="O203" s="34" t="n">
        <f aca="false">IFERROR(INDEX(Исходные!$B$18:$B$30,MATCH(H203,Исходные!$A$18:$A$30,0)),0)</f>
        <v>1.578</v>
      </c>
      <c r="P203" s="74" t="n">
        <f aca="false">N203*O203</f>
        <v>18.3048</v>
      </c>
      <c r="Q203" s="20" t="s">
        <v>676</v>
      </c>
      <c r="R203" s="75" t="s">
        <v>517</v>
      </c>
      <c r="S203" s="20" t="s">
        <v>680</v>
      </c>
      <c r="T203" s="20" t="s">
        <v>73</v>
      </c>
      <c r="U203" s="47" t="n">
        <v>0</v>
      </c>
      <c r="V203" s="70" t="s">
        <v>658</v>
      </c>
      <c r="W203" s="47" t="n">
        <v>1</v>
      </c>
    </row>
    <row r="204" customFormat="false" ht="23.85" hidden="false" customHeight="false" outlineLevel="0" collapsed="false">
      <c r="A204" s="70" t="n">
        <v>196</v>
      </c>
      <c r="B204" s="20" t="s">
        <v>363</v>
      </c>
      <c r="C204" s="20" t="s">
        <v>512</v>
      </c>
      <c r="D204" s="20" t="s">
        <v>657</v>
      </c>
      <c r="E204" s="20" t="s">
        <v>658</v>
      </c>
      <c r="F204" s="70" t="s">
        <v>533</v>
      </c>
      <c r="G204" s="20" t="s">
        <v>681</v>
      </c>
      <c r="H204" s="49" t="n">
        <v>12</v>
      </c>
      <c r="I204" s="70" t="s">
        <v>368</v>
      </c>
      <c r="J204" s="70" t="s">
        <v>369</v>
      </c>
      <c r="K204" s="73" t="n">
        <v>2</v>
      </c>
      <c r="L204" s="49" t="n">
        <v>4</v>
      </c>
      <c r="M204" s="67" t="n">
        <v>2.05</v>
      </c>
      <c r="N204" s="68" t="n">
        <f aca="false">K204*L204*M204</f>
        <v>16.4</v>
      </c>
      <c r="O204" s="34" t="n">
        <f aca="false">IFERROR(INDEX(Исходные!$B$18:$B$30,MATCH(H204,Исходные!$A$18:$A$30,0)),0)</f>
        <v>0.888</v>
      </c>
      <c r="P204" s="74" t="n">
        <f aca="false">N204*O204</f>
        <v>14.5632</v>
      </c>
      <c r="Q204" s="20" t="s">
        <v>682</v>
      </c>
      <c r="R204" s="75" t="s">
        <v>517</v>
      </c>
      <c r="S204" s="20" t="s">
        <v>666</v>
      </c>
      <c r="T204" s="20" t="s">
        <v>73</v>
      </c>
      <c r="U204" s="47" t="n">
        <v>0</v>
      </c>
      <c r="V204" s="70" t="s">
        <v>658</v>
      </c>
      <c r="W204" s="47" t="n">
        <v>1</v>
      </c>
    </row>
    <row r="205" customFormat="false" ht="23.85" hidden="false" customHeight="false" outlineLevel="0" collapsed="false">
      <c r="A205" s="70" t="n">
        <v>197</v>
      </c>
      <c r="B205" s="20" t="s">
        <v>363</v>
      </c>
      <c r="C205" s="20" t="s">
        <v>512</v>
      </c>
      <c r="D205" s="20" t="s">
        <v>657</v>
      </c>
      <c r="E205" s="20" t="s">
        <v>658</v>
      </c>
      <c r="F205" s="70" t="s">
        <v>553</v>
      </c>
      <c r="G205" s="20" t="s">
        <v>554</v>
      </c>
      <c r="H205" s="49" t="n">
        <v>8</v>
      </c>
      <c r="I205" s="70" t="s">
        <v>403</v>
      </c>
      <c r="J205" s="70" t="s">
        <v>555</v>
      </c>
      <c r="K205" s="73" t="n">
        <v>2</v>
      </c>
      <c r="L205" s="49" t="n">
        <v>112</v>
      </c>
      <c r="M205" s="67" t="n">
        <v>2.06</v>
      </c>
      <c r="N205" s="68" t="n">
        <f aca="false">K205*L205*M205</f>
        <v>461.44</v>
      </c>
      <c r="O205" s="34" t="n">
        <f aca="false">IFERROR(INDEX(Исходные!$B$18:$B$30,MATCH(H205,Исходные!$A$18:$A$30,0)),0)</f>
        <v>0.395</v>
      </c>
      <c r="P205" s="74" t="n">
        <f aca="false">N205*O205</f>
        <v>182.2688</v>
      </c>
      <c r="Q205" s="20" t="s">
        <v>556</v>
      </c>
      <c r="R205" s="75" t="s">
        <v>371</v>
      </c>
      <c r="S205" s="20" t="s">
        <v>683</v>
      </c>
      <c r="T205" s="20" t="s">
        <v>73</v>
      </c>
      <c r="U205" s="47" t="n">
        <v>0</v>
      </c>
      <c r="V205" s="70" t="s">
        <v>658</v>
      </c>
      <c r="W205" s="47" t="n">
        <v>1</v>
      </c>
    </row>
    <row r="206" customFormat="false" ht="23.85" hidden="false" customHeight="false" outlineLevel="0" collapsed="false">
      <c r="A206" s="70" t="n">
        <v>198</v>
      </c>
      <c r="B206" s="20" t="s">
        <v>363</v>
      </c>
      <c r="C206" s="20" t="s">
        <v>512</v>
      </c>
      <c r="D206" s="20" t="s">
        <v>657</v>
      </c>
      <c r="E206" s="20" t="s">
        <v>658</v>
      </c>
      <c r="F206" s="70" t="s">
        <v>418</v>
      </c>
      <c r="G206" s="20" t="s">
        <v>558</v>
      </c>
      <c r="H206" s="49" t="n">
        <v>10</v>
      </c>
      <c r="I206" s="70" t="s">
        <v>403</v>
      </c>
      <c r="J206" s="70" t="n">
        <v>100</v>
      </c>
      <c r="K206" s="73" t="n">
        <v>2</v>
      </c>
      <c r="L206" s="49" t="n">
        <v>36</v>
      </c>
      <c r="M206" s="67" t="n">
        <v>2.06</v>
      </c>
      <c r="N206" s="68" t="n">
        <f aca="false">K206*L206*M206</f>
        <v>148.32</v>
      </c>
      <c r="O206" s="34" t="n">
        <f aca="false">IFERROR(INDEX(Исходные!$B$18:$B$30,MATCH(H206,Исходные!$A$18:$A$30,0)),0)</f>
        <v>0.617</v>
      </c>
      <c r="P206" s="74" t="n">
        <f aca="false">N206*O206</f>
        <v>91.51344</v>
      </c>
      <c r="Q206" s="20" t="s">
        <v>684</v>
      </c>
      <c r="R206" s="75" t="s">
        <v>371</v>
      </c>
      <c r="S206" s="20" t="s">
        <v>685</v>
      </c>
      <c r="T206" s="20" t="s">
        <v>73</v>
      </c>
      <c r="U206" s="47" t="n">
        <v>0</v>
      </c>
      <c r="V206" s="70" t="s">
        <v>658</v>
      </c>
      <c r="W206" s="47" t="n">
        <v>1</v>
      </c>
    </row>
    <row r="207" customFormat="false" ht="23.85" hidden="false" customHeight="false" outlineLevel="0" collapsed="false">
      <c r="A207" s="70" t="n">
        <v>199</v>
      </c>
      <c r="B207" s="20" t="s">
        <v>363</v>
      </c>
      <c r="C207" s="20" t="s">
        <v>512</v>
      </c>
      <c r="D207" s="20" t="s">
        <v>657</v>
      </c>
      <c r="E207" s="20" t="s">
        <v>658</v>
      </c>
      <c r="F207" s="70" t="s">
        <v>563</v>
      </c>
      <c r="G207" s="20" t="s">
        <v>564</v>
      </c>
      <c r="H207" s="49" t="n">
        <v>8</v>
      </c>
      <c r="I207" s="70" t="s">
        <v>403</v>
      </c>
      <c r="J207" s="70" t="s">
        <v>565</v>
      </c>
      <c r="K207" s="73" t="n">
        <v>2</v>
      </c>
      <c r="L207" s="49" t="n">
        <v>99</v>
      </c>
      <c r="M207" s="67" t="n">
        <v>0.75</v>
      </c>
      <c r="N207" s="68" t="n">
        <f aca="false">K207*L207*M207</f>
        <v>148.5</v>
      </c>
      <c r="O207" s="34" t="n">
        <f aca="false">IFERROR(INDEX(Исходные!$B$18:$B$30,MATCH(H207,Исходные!$A$18:$A$30,0)),0)</f>
        <v>0.395</v>
      </c>
      <c r="P207" s="74" t="n">
        <f aca="false">N207*O207</f>
        <v>58.6575</v>
      </c>
      <c r="Q207" s="20" t="s">
        <v>566</v>
      </c>
      <c r="R207" s="75" t="s">
        <v>371</v>
      </c>
      <c r="S207" s="20"/>
      <c r="T207" s="20" t="s">
        <v>73</v>
      </c>
      <c r="U207" s="47" t="n">
        <v>0</v>
      </c>
      <c r="V207" s="70" t="s">
        <v>658</v>
      </c>
      <c r="W207" s="47" t="n">
        <v>1</v>
      </c>
    </row>
    <row r="208" customFormat="false" ht="23.85" hidden="false" customHeight="false" outlineLevel="0" collapsed="false">
      <c r="A208" s="70" t="n">
        <v>200</v>
      </c>
      <c r="B208" s="20" t="s">
        <v>363</v>
      </c>
      <c r="C208" s="20" t="s">
        <v>512</v>
      </c>
      <c r="D208" s="20" t="s">
        <v>657</v>
      </c>
      <c r="E208" s="20" t="s">
        <v>658</v>
      </c>
      <c r="F208" s="70" t="s">
        <v>567</v>
      </c>
      <c r="G208" s="20" t="s">
        <v>568</v>
      </c>
      <c r="H208" s="49" t="n">
        <v>8</v>
      </c>
      <c r="I208" s="70" t="s">
        <v>403</v>
      </c>
      <c r="J208" s="70" t="n">
        <v>300</v>
      </c>
      <c r="K208" s="73" t="n">
        <v>2</v>
      </c>
      <c r="L208" s="49" t="n">
        <v>62</v>
      </c>
      <c r="M208" s="67" t="n">
        <v>0.58</v>
      </c>
      <c r="N208" s="68" t="n">
        <f aca="false">K208*L208*M208</f>
        <v>71.92</v>
      </c>
      <c r="O208" s="34" t="n">
        <f aca="false">IFERROR(INDEX(Исходные!$B$18:$B$30,MATCH(H208,Исходные!$A$18:$A$30,0)),0)</f>
        <v>0.395</v>
      </c>
      <c r="P208" s="74" t="n">
        <f aca="false">N208*O208</f>
        <v>28.4084</v>
      </c>
      <c r="Q208" s="20" t="s">
        <v>569</v>
      </c>
      <c r="R208" s="76" t="s">
        <v>495</v>
      </c>
      <c r="S208" s="20" t="s">
        <v>570</v>
      </c>
      <c r="T208" s="20" t="s">
        <v>73</v>
      </c>
      <c r="U208" s="47" t="n">
        <v>1</v>
      </c>
      <c r="V208" s="70" t="s">
        <v>658</v>
      </c>
      <c r="W208" s="47" t="n">
        <v>1</v>
      </c>
    </row>
    <row r="209" customFormat="false" ht="35.05" hidden="false" customHeight="false" outlineLevel="0" collapsed="false">
      <c r="A209" s="70" t="n">
        <v>201</v>
      </c>
      <c r="B209" s="20" t="s">
        <v>363</v>
      </c>
      <c r="C209" s="20" t="s">
        <v>512</v>
      </c>
      <c r="D209" s="20" t="s">
        <v>686</v>
      </c>
      <c r="E209" s="20" t="s">
        <v>687</v>
      </c>
      <c r="F209" s="70" t="s">
        <v>376</v>
      </c>
      <c r="G209" s="20" t="s">
        <v>515</v>
      </c>
      <c r="H209" s="49" t="n">
        <v>28</v>
      </c>
      <c r="I209" s="70" t="s">
        <v>368</v>
      </c>
      <c r="J209" s="70" t="s">
        <v>369</v>
      </c>
      <c r="K209" s="73" t="n">
        <v>1</v>
      </c>
      <c r="L209" s="49" t="n">
        <v>4</v>
      </c>
      <c r="M209" s="67" t="n">
        <v>20.5</v>
      </c>
      <c r="N209" s="68" t="n">
        <f aca="false">K209*L209*M209</f>
        <v>82</v>
      </c>
      <c r="O209" s="34" t="n">
        <f aca="false">IFERROR(INDEX(Исходные!$B$18:$B$30,MATCH(H209,Исходные!$A$18:$A$30,0)),0)</f>
        <v>4.834</v>
      </c>
      <c r="P209" s="74" t="n">
        <f aca="false">N209*O209</f>
        <v>396.388</v>
      </c>
      <c r="Q209" s="20" t="s">
        <v>688</v>
      </c>
      <c r="R209" s="75" t="s">
        <v>517</v>
      </c>
      <c r="S209" s="20" t="s">
        <v>689</v>
      </c>
      <c r="T209" s="20" t="s">
        <v>73</v>
      </c>
      <c r="U209" s="47" t="n">
        <v>0</v>
      </c>
      <c r="V209" s="70" t="s">
        <v>687</v>
      </c>
      <c r="W209" s="47" t="n">
        <v>1</v>
      </c>
    </row>
    <row r="210" customFormat="false" ht="23.85" hidden="false" customHeight="false" outlineLevel="0" collapsed="false">
      <c r="A210" s="70" t="n">
        <v>202</v>
      </c>
      <c r="B210" s="20" t="s">
        <v>363</v>
      </c>
      <c r="C210" s="20" t="s">
        <v>512</v>
      </c>
      <c r="D210" s="20" t="s">
        <v>686</v>
      </c>
      <c r="E210" s="20" t="s">
        <v>687</v>
      </c>
      <c r="F210" s="70" t="s">
        <v>386</v>
      </c>
      <c r="G210" s="20" t="s">
        <v>519</v>
      </c>
      <c r="H210" s="49" t="n">
        <v>18</v>
      </c>
      <c r="I210" s="70" t="s">
        <v>368</v>
      </c>
      <c r="J210" s="70" t="s">
        <v>369</v>
      </c>
      <c r="K210" s="73" t="n">
        <v>1</v>
      </c>
      <c r="L210" s="49" t="n">
        <v>2</v>
      </c>
      <c r="M210" s="67" t="n">
        <v>20.5</v>
      </c>
      <c r="N210" s="68" t="n">
        <f aca="false">K210*L210*M210</f>
        <v>41</v>
      </c>
      <c r="O210" s="34" t="n">
        <f aca="false">IFERROR(INDEX(Исходные!$B$18:$B$30,MATCH(H210,Исходные!$A$18:$A$30,0)),0)</f>
        <v>1.998</v>
      </c>
      <c r="P210" s="74" t="n">
        <f aca="false">N210*O210</f>
        <v>81.918</v>
      </c>
      <c r="Q210" s="20" t="s">
        <v>520</v>
      </c>
      <c r="R210" s="75" t="s">
        <v>517</v>
      </c>
      <c r="S210" s="20"/>
      <c r="T210" s="20" t="s">
        <v>73</v>
      </c>
      <c r="U210" s="47" t="n">
        <v>0</v>
      </c>
      <c r="V210" s="70" t="s">
        <v>687</v>
      </c>
      <c r="W210" s="47" t="n">
        <v>1</v>
      </c>
    </row>
    <row r="211" customFormat="false" ht="35.05" hidden="false" customHeight="false" outlineLevel="0" collapsed="false">
      <c r="A211" s="70" t="n">
        <v>203</v>
      </c>
      <c r="B211" s="20" t="s">
        <v>363</v>
      </c>
      <c r="C211" s="20" t="s">
        <v>512</v>
      </c>
      <c r="D211" s="20" t="s">
        <v>686</v>
      </c>
      <c r="E211" s="20" t="s">
        <v>687</v>
      </c>
      <c r="F211" s="70" t="s">
        <v>521</v>
      </c>
      <c r="G211" s="20" t="s">
        <v>690</v>
      </c>
      <c r="H211" s="49" t="n">
        <v>18</v>
      </c>
      <c r="I211" s="70" t="s">
        <v>368</v>
      </c>
      <c r="J211" s="70" t="s">
        <v>369</v>
      </c>
      <c r="K211" s="73" t="n">
        <v>2</v>
      </c>
      <c r="L211" s="49" t="n">
        <v>1</v>
      </c>
      <c r="M211" s="67" t="n">
        <v>0.144</v>
      </c>
      <c r="N211" s="68" t="n">
        <f aca="false">K211*L211*M211</f>
        <v>0.288</v>
      </c>
      <c r="O211" s="34" t="n">
        <f aca="false">IFERROR(INDEX(Исходные!$B$18:$B$30,MATCH(H211,Исходные!$A$18:$A$30,0)),0)</f>
        <v>1.998</v>
      </c>
      <c r="P211" s="74" t="n">
        <f aca="false">N211*O211</f>
        <v>0.575424</v>
      </c>
      <c r="Q211" s="20" t="s">
        <v>523</v>
      </c>
      <c r="R211" s="75" t="s">
        <v>524</v>
      </c>
      <c r="S211" s="20" t="s">
        <v>662</v>
      </c>
      <c r="T211" s="20" t="s">
        <v>73</v>
      </c>
      <c r="U211" s="47" t="n">
        <v>0</v>
      </c>
      <c r="V211" s="70" t="s">
        <v>687</v>
      </c>
      <c r="W211" s="47" t="n">
        <v>1</v>
      </c>
    </row>
    <row r="212" customFormat="false" ht="23.85" hidden="false" customHeight="false" outlineLevel="0" collapsed="false">
      <c r="A212" s="70" t="n">
        <v>204</v>
      </c>
      <c r="B212" s="20" t="s">
        <v>363</v>
      </c>
      <c r="C212" s="20" t="s">
        <v>512</v>
      </c>
      <c r="D212" s="20" t="s">
        <v>686</v>
      </c>
      <c r="E212" s="20" t="s">
        <v>687</v>
      </c>
      <c r="F212" s="70" t="s">
        <v>526</v>
      </c>
      <c r="G212" s="20" t="s">
        <v>527</v>
      </c>
      <c r="H212" s="49" t="n">
        <v>16</v>
      </c>
      <c r="I212" s="70" t="s">
        <v>368</v>
      </c>
      <c r="J212" s="70" t="s">
        <v>369</v>
      </c>
      <c r="K212" s="73" t="n">
        <v>1</v>
      </c>
      <c r="L212" s="49" t="n">
        <v>2</v>
      </c>
      <c r="M212" s="67" t="n">
        <v>20.5</v>
      </c>
      <c r="N212" s="68" t="n">
        <f aca="false">K212*L212*M212</f>
        <v>41</v>
      </c>
      <c r="O212" s="34" t="n">
        <f aca="false">IFERROR(INDEX(Исходные!$B$18:$B$30,MATCH(H212,Исходные!$A$18:$A$30,0)),0)</f>
        <v>1.578</v>
      </c>
      <c r="P212" s="74" t="n">
        <f aca="false">N212*O212</f>
        <v>64.698</v>
      </c>
      <c r="Q212" s="20" t="s">
        <v>528</v>
      </c>
      <c r="R212" s="75" t="s">
        <v>517</v>
      </c>
      <c r="S212" s="20"/>
      <c r="T212" s="20" t="s">
        <v>73</v>
      </c>
      <c r="U212" s="47" t="n">
        <v>0</v>
      </c>
      <c r="V212" s="70" t="s">
        <v>687</v>
      </c>
      <c r="W212" s="47" t="n">
        <v>1</v>
      </c>
    </row>
    <row r="213" customFormat="false" ht="35.05" hidden="false" customHeight="false" outlineLevel="0" collapsed="false">
      <c r="A213" s="70" t="n">
        <v>205</v>
      </c>
      <c r="B213" s="20" t="s">
        <v>363</v>
      </c>
      <c r="C213" s="20" t="s">
        <v>512</v>
      </c>
      <c r="D213" s="20" t="s">
        <v>686</v>
      </c>
      <c r="E213" s="20" t="s">
        <v>687</v>
      </c>
      <c r="F213" s="70" t="s">
        <v>529</v>
      </c>
      <c r="G213" s="20" t="s">
        <v>691</v>
      </c>
      <c r="H213" s="49" t="n">
        <v>16</v>
      </c>
      <c r="I213" s="70" t="s">
        <v>368</v>
      </c>
      <c r="J213" s="70" t="s">
        <v>369</v>
      </c>
      <c r="K213" s="73" t="n">
        <v>2</v>
      </c>
      <c r="L213" s="49" t="n">
        <v>1</v>
      </c>
      <c r="M213" s="67" t="n">
        <v>0.128</v>
      </c>
      <c r="N213" s="68" t="n">
        <f aca="false">K213*L213*M213</f>
        <v>0.256</v>
      </c>
      <c r="O213" s="34" t="n">
        <f aca="false">IFERROR(INDEX(Исходные!$B$18:$B$30,MATCH(H213,Исходные!$A$18:$A$30,0)),0)</f>
        <v>1.578</v>
      </c>
      <c r="P213" s="74" t="n">
        <f aca="false">N213*O213</f>
        <v>0.403968</v>
      </c>
      <c r="Q213" s="20" t="s">
        <v>531</v>
      </c>
      <c r="R213" s="75" t="s">
        <v>524</v>
      </c>
      <c r="S213" s="20" t="s">
        <v>664</v>
      </c>
      <c r="T213" s="20" t="s">
        <v>73</v>
      </c>
      <c r="U213" s="47" t="n">
        <v>0</v>
      </c>
      <c r="V213" s="70" t="s">
        <v>687</v>
      </c>
      <c r="W213" s="47" t="n">
        <v>1</v>
      </c>
    </row>
    <row r="214" customFormat="false" ht="23.85" hidden="false" customHeight="false" outlineLevel="0" collapsed="false">
      <c r="A214" s="70" t="n">
        <v>206</v>
      </c>
      <c r="B214" s="20" t="s">
        <v>363</v>
      </c>
      <c r="C214" s="20" t="s">
        <v>512</v>
      </c>
      <c r="D214" s="20" t="s">
        <v>686</v>
      </c>
      <c r="E214" s="20" t="s">
        <v>687</v>
      </c>
      <c r="F214" s="70" t="s">
        <v>533</v>
      </c>
      <c r="G214" s="20" t="s">
        <v>692</v>
      </c>
      <c r="H214" s="49" t="n">
        <v>20</v>
      </c>
      <c r="I214" s="70" t="s">
        <v>368</v>
      </c>
      <c r="J214" s="70" t="s">
        <v>369</v>
      </c>
      <c r="K214" s="73" t="n">
        <v>1</v>
      </c>
      <c r="L214" s="49" t="n">
        <v>1</v>
      </c>
      <c r="M214" s="67" t="n">
        <v>2.4</v>
      </c>
      <c r="N214" s="68" t="n">
        <f aca="false">K214*L214*M214</f>
        <v>2.4</v>
      </c>
      <c r="O214" s="34" t="n">
        <f aca="false">IFERROR(INDEX(Исходные!$B$18:$B$30,MATCH(H214,Исходные!$A$18:$A$30,0)),0)</f>
        <v>2.466</v>
      </c>
      <c r="P214" s="74" t="n">
        <f aca="false">N214*O214</f>
        <v>5.9184</v>
      </c>
      <c r="Q214" s="20" t="s">
        <v>693</v>
      </c>
      <c r="R214" s="75" t="s">
        <v>517</v>
      </c>
      <c r="S214" s="20" t="s">
        <v>694</v>
      </c>
      <c r="T214" s="20" t="s">
        <v>73</v>
      </c>
      <c r="U214" s="47" t="n">
        <v>0</v>
      </c>
      <c r="V214" s="70" t="s">
        <v>687</v>
      </c>
      <c r="W214" s="47" t="n">
        <v>1</v>
      </c>
    </row>
    <row r="215" customFormat="false" ht="23.85" hidden="false" customHeight="false" outlineLevel="0" collapsed="false">
      <c r="A215" s="70" t="n">
        <v>207</v>
      </c>
      <c r="B215" s="20" t="s">
        <v>363</v>
      </c>
      <c r="C215" s="20" t="s">
        <v>512</v>
      </c>
      <c r="D215" s="20" t="s">
        <v>686</v>
      </c>
      <c r="E215" s="20" t="s">
        <v>687</v>
      </c>
      <c r="F215" s="70" t="s">
        <v>533</v>
      </c>
      <c r="G215" s="20" t="s">
        <v>695</v>
      </c>
      <c r="H215" s="49" t="n">
        <v>14</v>
      </c>
      <c r="I215" s="70" t="s">
        <v>368</v>
      </c>
      <c r="J215" s="70" t="s">
        <v>369</v>
      </c>
      <c r="K215" s="73" t="n">
        <v>1</v>
      </c>
      <c r="L215" s="49" t="n">
        <v>2</v>
      </c>
      <c r="M215" s="67" t="n">
        <v>4</v>
      </c>
      <c r="N215" s="68" t="n">
        <f aca="false">K215*L215*M215</f>
        <v>8</v>
      </c>
      <c r="O215" s="34" t="n">
        <f aca="false">IFERROR(INDEX(Исходные!$B$18:$B$30,MATCH(H215,Исходные!$A$18:$A$30,0)),0)</f>
        <v>1.208</v>
      </c>
      <c r="P215" s="74" t="n">
        <f aca="false">N215*O215</f>
        <v>9.664</v>
      </c>
      <c r="Q215" s="20" t="s">
        <v>696</v>
      </c>
      <c r="R215" s="75" t="s">
        <v>517</v>
      </c>
      <c r="S215" s="20" t="s">
        <v>697</v>
      </c>
      <c r="T215" s="20" t="s">
        <v>73</v>
      </c>
      <c r="U215" s="47" t="n">
        <v>0</v>
      </c>
      <c r="V215" s="70" t="s">
        <v>687</v>
      </c>
      <c r="W215" s="47" t="n">
        <v>1</v>
      </c>
    </row>
    <row r="216" customFormat="false" ht="23.85" hidden="false" customHeight="false" outlineLevel="0" collapsed="false">
      <c r="A216" s="70" t="n">
        <v>208</v>
      </c>
      <c r="B216" s="20" t="s">
        <v>363</v>
      </c>
      <c r="C216" s="20" t="s">
        <v>512</v>
      </c>
      <c r="D216" s="20" t="s">
        <v>686</v>
      </c>
      <c r="E216" s="20" t="s">
        <v>687</v>
      </c>
      <c r="F216" s="70" t="s">
        <v>533</v>
      </c>
      <c r="G216" s="20" t="s">
        <v>698</v>
      </c>
      <c r="H216" s="49" t="n">
        <v>32</v>
      </c>
      <c r="I216" s="70" t="s">
        <v>368</v>
      </c>
      <c r="J216" s="70" t="s">
        <v>369</v>
      </c>
      <c r="K216" s="73" t="n">
        <v>1</v>
      </c>
      <c r="L216" s="49" t="n">
        <v>2</v>
      </c>
      <c r="M216" s="67" t="n">
        <v>7.5</v>
      </c>
      <c r="N216" s="68" t="n">
        <f aca="false">K216*L216*M216</f>
        <v>15</v>
      </c>
      <c r="O216" s="34" t="n">
        <f aca="false">IFERROR(INDEX(Исходные!$B$18:$B$30,MATCH(H216,Исходные!$A$18:$A$30,0)),0)</f>
        <v>6.313</v>
      </c>
      <c r="P216" s="74" t="n">
        <f aca="false">N216*O216</f>
        <v>94.695</v>
      </c>
      <c r="Q216" s="20" t="s">
        <v>699</v>
      </c>
      <c r="R216" s="75" t="s">
        <v>517</v>
      </c>
      <c r="S216" s="20" t="s">
        <v>700</v>
      </c>
      <c r="T216" s="20" t="s">
        <v>73</v>
      </c>
      <c r="U216" s="47" t="n">
        <v>0</v>
      </c>
      <c r="V216" s="70" t="s">
        <v>687</v>
      </c>
      <c r="W216" s="47" t="n">
        <v>1</v>
      </c>
    </row>
    <row r="217" customFormat="false" ht="23.85" hidden="false" customHeight="false" outlineLevel="0" collapsed="false">
      <c r="A217" s="70" t="n">
        <v>209</v>
      </c>
      <c r="B217" s="20" t="s">
        <v>363</v>
      </c>
      <c r="C217" s="20" t="s">
        <v>512</v>
      </c>
      <c r="D217" s="20" t="s">
        <v>686</v>
      </c>
      <c r="E217" s="20" t="s">
        <v>687</v>
      </c>
      <c r="F217" s="70" t="s">
        <v>533</v>
      </c>
      <c r="G217" s="20" t="s">
        <v>701</v>
      </c>
      <c r="H217" s="49" t="n">
        <v>32</v>
      </c>
      <c r="I217" s="70" t="s">
        <v>368</v>
      </c>
      <c r="J217" s="70" t="s">
        <v>369</v>
      </c>
      <c r="K217" s="73" t="n">
        <v>1</v>
      </c>
      <c r="L217" s="49" t="n">
        <v>2</v>
      </c>
      <c r="M217" s="67" t="n">
        <v>3.6</v>
      </c>
      <c r="N217" s="68" t="n">
        <f aca="false">K217*L217*M217</f>
        <v>7.2</v>
      </c>
      <c r="O217" s="34" t="n">
        <f aca="false">IFERROR(INDEX(Исходные!$B$18:$B$30,MATCH(H217,Исходные!$A$18:$A$30,0)),0)</f>
        <v>6.313</v>
      </c>
      <c r="P217" s="74" t="n">
        <f aca="false">N217*O217</f>
        <v>45.4536</v>
      </c>
      <c r="Q217" s="20" t="s">
        <v>699</v>
      </c>
      <c r="R217" s="75" t="s">
        <v>517</v>
      </c>
      <c r="S217" s="20" t="s">
        <v>702</v>
      </c>
      <c r="T217" s="20" t="s">
        <v>73</v>
      </c>
      <c r="U217" s="47" t="n">
        <v>0</v>
      </c>
      <c r="V217" s="70" t="s">
        <v>687</v>
      </c>
      <c r="W217" s="47" t="n">
        <v>1</v>
      </c>
    </row>
    <row r="218" customFormat="false" ht="23.85" hidden="false" customHeight="false" outlineLevel="0" collapsed="false">
      <c r="A218" s="70" t="n">
        <v>210</v>
      </c>
      <c r="B218" s="20" t="s">
        <v>363</v>
      </c>
      <c r="C218" s="20" t="s">
        <v>512</v>
      </c>
      <c r="D218" s="20" t="s">
        <v>686</v>
      </c>
      <c r="E218" s="20" t="s">
        <v>687</v>
      </c>
      <c r="F218" s="70" t="s">
        <v>533</v>
      </c>
      <c r="G218" s="20" t="s">
        <v>703</v>
      </c>
      <c r="H218" s="49" t="n">
        <v>32</v>
      </c>
      <c r="I218" s="70" t="s">
        <v>368</v>
      </c>
      <c r="J218" s="70" t="s">
        <v>369</v>
      </c>
      <c r="K218" s="73" t="n">
        <v>1</v>
      </c>
      <c r="L218" s="49" t="n">
        <v>2</v>
      </c>
      <c r="M218" s="67" t="n">
        <v>2.85</v>
      </c>
      <c r="N218" s="68" t="n">
        <f aca="false">K218*L218*M218</f>
        <v>5.7</v>
      </c>
      <c r="O218" s="34" t="n">
        <f aca="false">IFERROR(INDEX(Исходные!$B$18:$B$30,MATCH(H218,Исходные!$A$18:$A$30,0)),0)</f>
        <v>6.313</v>
      </c>
      <c r="P218" s="74" t="n">
        <f aca="false">N218*O218</f>
        <v>35.9841</v>
      </c>
      <c r="Q218" s="20" t="s">
        <v>699</v>
      </c>
      <c r="R218" s="75" t="s">
        <v>517</v>
      </c>
      <c r="S218" s="20" t="s">
        <v>704</v>
      </c>
      <c r="T218" s="20" t="s">
        <v>73</v>
      </c>
      <c r="U218" s="47" t="n">
        <v>0</v>
      </c>
      <c r="V218" s="70" t="s">
        <v>687</v>
      </c>
      <c r="W218" s="47" t="n">
        <v>1</v>
      </c>
    </row>
    <row r="219" customFormat="false" ht="23.85" hidden="false" customHeight="false" outlineLevel="0" collapsed="false">
      <c r="A219" s="70" t="n">
        <v>211</v>
      </c>
      <c r="B219" s="20" t="s">
        <v>363</v>
      </c>
      <c r="C219" s="20" t="s">
        <v>512</v>
      </c>
      <c r="D219" s="20" t="s">
        <v>686</v>
      </c>
      <c r="E219" s="20" t="s">
        <v>687</v>
      </c>
      <c r="F219" s="70" t="s">
        <v>533</v>
      </c>
      <c r="G219" s="20" t="s">
        <v>705</v>
      </c>
      <c r="H219" s="49" t="n">
        <v>25</v>
      </c>
      <c r="I219" s="70" t="s">
        <v>368</v>
      </c>
      <c r="J219" s="70" t="s">
        <v>369</v>
      </c>
      <c r="K219" s="73" t="n">
        <v>1</v>
      </c>
      <c r="L219" s="49" t="n">
        <v>2</v>
      </c>
      <c r="M219" s="67" t="n">
        <v>10.5</v>
      </c>
      <c r="N219" s="68" t="n">
        <f aca="false">K219*L219*M219</f>
        <v>21</v>
      </c>
      <c r="O219" s="34" t="n">
        <f aca="false">IFERROR(INDEX(Исходные!$B$18:$B$30,MATCH(H219,Исходные!$A$18:$A$30,0)),0)</f>
        <v>3.853</v>
      </c>
      <c r="P219" s="74" t="n">
        <f aca="false">N219*O219</f>
        <v>80.913</v>
      </c>
      <c r="Q219" s="20" t="s">
        <v>706</v>
      </c>
      <c r="R219" s="75" t="s">
        <v>517</v>
      </c>
      <c r="S219" s="20" t="s">
        <v>707</v>
      </c>
      <c r="T219" s="20" t="s">
        <v>73</v>
      </c>
      <c r="U219" s="47" t="n">
        <v>0</v>
      </c>
      <c r="V219" s="70" t="s">
        <v>687</v>
      </c>
      <c r="W219" s="47" t="n">
        <v>1</v>
      </c>
    </row>
    <row r="220" customFormat="false" ht="23.85" hidden="false" customHeight="false" outlineLevel="0" collapsed="false">
      <c r="A220" s="70" t="n">
        <v>212</v>
      </c>
      <c r="B220" s="20" t="s">
        <v>363</v>
      </c>
      <c r="C220" s="20" t="s">
        <v>512</v>
      </c>
      <c r="D220" s="20" t="s">
        <v>686</v>
      </c>
      <c r="E220" s="20" t="s">
        <v>687</v>
      </c>
      <c r="F220" s="70" t="s">
        <v>533</v>
      </c>
      <c r="G220" s="20" t="s">
        <v>708</v>
      </c>
      <c r="H220" s="49" t="n">
        <v>20</v>
      </c>
      <c r="I220" s="70" t="s">
        <v>368</v>
      </c>
      <c r="J220" s="70" t="s">
        <v>369</v>
      </c>
      <c r="K220" s="73" t="n">
        <v>1</v>
      </c>
      <c r="L220" s="49" t="n">
        <v>2</v>
      </c>
      <c r="M220" s="67" t="n">
        <v>2.85</v>
      </c>
      <c r="N220" s="68" t="n">
        <f aca="false">K220*L220*M220</f>
        <v>5.7</v>
      </c>
      <c r="O220" s="34" t="n">
        <f aca="false">IFERROR(INDEX(Исходные!$B$18:$B$30,MATCH(H220,Исходные!$A$18:$A$30,0)),0)</f>
        <v>2.466</v>
      </c>
      <c r="P220" s="74" t="n">
        <f aca="false">N220*O220</f>
        <v>14.0562</v>
      </c>
      <c r="Q220" s="20" t="s">
        <v>709</v>
      </c>
      <c r="R220" s="75" t="s">
        <v>517</v>
      </c>
      <c r="S220" s="20" t="s">
        <v>704</v>
      </c>
      <c r="T220" s="20" t="s">
        <v>73</v>
      </c>
      <c r="U220" s="47" t="n">
        <v>0</v>
      </c>
      <c r="V220" s="70" t="s">
        <v>687</v>
      </c>
      <c r="W220" s="47" t="n">
        <v>1</v>
      </c>
    </row>
    <row r="221" customFormat="false" ht="23.85" hidden="false" customHeight="false" outlineLevel="0" collapsed="false">
      <c r="A221" s="70" t="n">
        <v>213</v>
      </c>
      <c r="B221" s="20" t="s">
        <v>363</v>
      </c>
      <c r="C221" s="20" t="s">
        <v>512</v>
      </c>
      <c r="D221" s="20" t="s">
        <v>686</v>
      </c>
      <c r="E221" s="20" t="s">
        <v>687</v>
      </c>
      <c r="F221" s="70" t="s">
        <v>533</v>
      </c>
      <c r="G221" s="20" t="s">
        <v>710</v>
      </c>
      <c r="H221" s="49" t="n">
        <v>16</v>
      </c>
      <c r="I221" s="70" t="s">
        <v>368</v>
      </c>
      <c r="J221" s="70" t="s">
        <v>369</v>
      </c>
      <c r="K221" s="73" t="n">
        <v>1</v>
      </c>
      <c r="L221" s="49" t="n">
        <v>2</v>
      </c>
      <c r="M221" s="67" t="n">
        <v>3.6</v>
      </c>
      <c r="N221" s="68" t="n">
        <f aca="false">K221*L221*M221</f>
        <v>7.2</v>
      </c>
      <c r="O221" s="34" t="n">
        <f aca="false">IFERROR(INDEX(Исходные!$B$18:$B$30,MATCH(H221,Исходные!$A$18:$A$30,0)),0)</f>
        <v>1.578</v>
      </c>
      <c r="P221" s="74" t="n">
        <f aca="false">N221*O221</f>
        <v>11.3616</v>
      </c>
      <c r="Q221" s="20" t="s">
        <v>711</v>
      </c>
      <c r="R221" s="75" t="s">
        <v>517</v>
      </c>
      <c r="S221" s="20" t="s">
        <v>702</v>
      </c>
      <c r="T221" s="20" t="s">
        <v>73</v>
      </c>
      <c r="U221" s="47" t="n">
        <v>0</v>
      </c>
      <c r="V221" s="70" t="s">
        <v>687</v>
      </c>
      <c r="W221" s="47" t="n">
        <v>1</v>
      </c>
    </row>
    <row r="222" customFormat="false" ht="23.85" hidden="false" customHeight="false" outlineLevel="0" collapsed="false">
      <c r="A222" s="70" t="n">
        <v>214</v>
      </c>
      <c r="B222" s="20" t="s">
        <v>363</v>
      </c>
      <c r="C222" s="20" t="s">
        <v>512</v>
      </c>
      <c r="D222" s="20" t="s">
        <v>686</v>
      </c>
      <c r="E222" s="20" t="s">
        <v>687</v>
      </c>
      <c r="F222" s="70" t="s">
        <v>533</v>
      </c>
      <c r="G222" s="20" t="s">
        <v>712</v>
      </c>
      <c r="H222" s="49" t="n">
        <v>14</v>
      </c>
      <c r="I222" s="70" t="s">
        <v>368</v>
      </c>
      <c r="J222" s="70" t="s">
        <v>369</v>
      </c>
      <c r="K222" s="73" t="n">
        <v>1</v>
      </c>
      <c r="L222" s="49" t="n">
        <v>2</v>
      </c>
      <c r="M222" s="67" t="n">
        <v>2.4</v>
      </c>
      <c r="N222" s="68" t="n">
        <f aca="false">K222*L222*M222</f>
        <v>4.8</v>
      </c>
      <c r="O222" s="34" t="n">
        <f aca="false">IFERROR(INDEX(Исходные!$B$18:$B$30,MATCH(H222,Исходные!$A$18:$A$30,0)),0)</f>
        <v>1.208</v>
      </c>
      <c r="P222" s="74" t="n">
        <f aca="false">N222*O222</f>
        <v>5.7984</v>
      </c>
      <c r="Q222" s="20" t="s">
        <v>713</v>
      </c>
      <c r="R222" s="75" t="s">
        <v>517</v>
      </c>
      <c r="S222" s="20" t="s">
        <v>694</v>
      </c>
      <c r="T222" s="20" t="s">
        <v>73</v>
      </c>
      <c r="U222" s="47" t="n">
        <v>0</v>
      </c>
      <c r="V222" s="70" t="s">
        <v>687</v>
      </c>
      <c r="W222" s="47" t="n">
        <v>1</v>
      </c>
    </row>
    <row r="223" customFormat="false" ht="23.85" hidden="false" customHeight="false" outlineLevel="0" collapsed="false">
      <c r="A223" s="70" t="n">
        <v>215</v>
      </c>
      <c r="B223" s="20" t="s">
        <v>363</v>
      </c>
      <c r="C223" s="20" t="s">
        <v>512</v>
      </c>
      <c r="D223" s="20" t="s">
        <v>686</v>
      </c>
      <c r="E223" s="20" t="s">
        <v>687</v>
      </c>
      <c r="F223" s="70" t="s">
        <v>533</v>
      </c>
      <c r="G223" s="20" t="s">
        <v>714</v>
      </c>
      <c r="H223" s="49" t="n">
        <v>14</v>
      </c>
      <c r="I223" s="70" t="s">
        <v>368</v>
      </c>
      <c r="J223" s="70" t="s">
        <v>369</v>
      </c>
      <c r="K223" s="73" t="n">
        <v>1</v>
      </c>
      <c r="L223" s="49" t="n">
        <v>2</v>
      </c>
      <c r="M223" s="67" t="n">
        <v>9.1</v>
      </c>
      <c r="N223" s="68" t="n">
        <f aca="false">K223*L223*M223</f>
        <v>18.2</v>
      </c>
      <c r="O223" s="34" t="n">
        <f aca="false">IFERROR(INDEX(Исходные!$B$18:$B$30,MATCH(H223,Исходные!$A$18:$A$30,0)),0)</f>
        <v>1.208</v>
      </c>
      <c r="P223" s="74" t="n">
        <f aca="false">N223*O223</f>
        <v>21.9856</v>
      </c>
      <c r="Q223" s="20" t="s">
        <v>713</v>
      </c>
      <c r="R223" s="75" t="s">
        <v>517</v>
      </c>
      <c r="S223" s="20" t="s">
        <v>715</v>
      </c>
      <c r="T223" s="20" t="s">
        <v>73</v>
      </c>
      <c r="U223" s="47" t="n">
        <v>0</v>
      </c>
      <c r="V223" s="70" t="s">
        <v>687</v>
      </c>
      <c r="W223" s="47" t="n">
        <v>1</v>
      </c>
    </row>
    <row r="224" customFormat="false" ht="23.85" hidden="false" customHeight="false" outlineLevel="0" collapsed="false">
      <c r="A224" s="70" t="n">
        <v>216</v>
      </c>
      <c r="B224" s="20" t="s">
        <v>363</v>
      </c>
      <c r="C224" s="20" t="s">
        <v>512</v>
      </c>
      <c r="D224" s="20" t="s">
        <v>686</v>
      </c>
      <c r="E224" s="20" t="s">
        <v>687</v>
      </c>
      <c r="F224" s="70" t="s">
        <v>533</v>
      </c>
      <c r="G224" s="20" t="s">
        <v>716</v>
      </c>
      <c r="H224" s="49" t="n">
        <v>14</v>
      </c>
      <c r="I224" s="70" t="s">
        <v>368</v>
      </c>
      <c r="J224" s="70" t="s">
        <v>369</v>
      </c>
      <c r="K224" s="73" t="n">
        <v>1</v>
      </c>
      <c r="L224" s="49" t="n">
        <v>2</v>
      </c>
      <c r="M224" s="67" t="n">
        <v>2.85</v>
      </c>
      <c r="N224" s="68" t="n">
        <f aca="false">K224*L224*M224</f>
        <v>5.7</v>
      </c>
      <c r="O224" s="34" t="n">
        <f aca="false">IFERROR(INDEX(Исходные!$B$18:$B$30,MATCH(H224,Исходные!$A$18:$A$30,0)),0)</f>
        <v>1.208</v>
      </c>
      <c r="P224" s="74" t="n">
        <f aca="false">N224*O224</f>
        <v>6.8856</v>
      </c>
      <c r="Q224" s="20" t="s">
        <v>713</v>
      </c>
      <c r="R224" s="75" t="s">
        <v>517</v>
      </c>
      <c r="S224" s="20" t="s">
        <v>704</v>
      </c>
      <c r="T224" s="20" t="s">
        <v>73</v>
      </c>
      <c r="U224" s="47" t="n">
        <v>0</v>
      </c>
      <c r="V224" s="70" t="s">
        <v>687</v>
      </c>
      <c r="W224" s="47" t="n">
        <v>1</v>
      </c>
    </row>
    <row r="225" customFormat="false" ht="23.85" hidden="false" customHeight="false" outlineLevel="0" collapsed="false">
      <c r="A225" s="70" t="n">
        <v>217</v>
      </c>
      <c r="B225" s="20" t="s">
        <v>363</v>
      </c>
      <c r="C225" s="20" t="s">
        <v>512</v>
      </c>
      <c r="D225" s="20" t="s">
        <v>686</v>
      </c>
      <c r="E225" s="20" t="s">
        <v>687</v>
      </c>
      <c r="F225" s="70" t="s">
        <v>553</v>
      </c>
      <c r="G225" s="20" t="s">
        <v>554</v>
      </c>
      <c r="H225" s="49" t="n">
        <v>8</v>
      </c>
      <c r="I225" s="70" t="s">
        <v>403</v>
      </c>
      <c r="J225" s="70" t="s">
        <v>555</v>
      </c>
      <c r="K225" s="73" t="n">
        <v>1</v>
      </c>
      <c r="L225" s="49" t="n">
        <v>47</v>
      </c>
      <c r="M225" s="67" t="n">
        <v>2.06</v>
      </c>
      <c r="N225" s="68" t="n">
        <f aca="false">K225*L225*M225</f>
        <v>96.82</v>
      </c>
      <c r="O225" s="34" t="n">
        <f aca="false">IFERROR(INDEX(Исходные!$B$18:$B$30,MATCH(H225,Исходные!$A$18:$A$30,0)),0)</f>
        <v>0.395</v>
      </c>
      <c r="P225" s="74" t="n">
        <f aca="false">N225*O225</f>
        <v>38.2439</v>
      </c>
      <c r="Q225" s="20" t="s">
        <v>556</v>
      </c>
      <c r="R225" s="75" t="s">
        <v>371</v>
      </c>
      <c r="S225" s="20" t="s">
        <v>717</v>
      </c>
      <c r="T225" s="20" t="s">
        <v>73</v>
      </c>
      <c r="U225" s="47" t="n">
        <v>0</v>
      </c>
      <c r="V225" s="70" t="s">
        <v>687</v>
      </c>
      <c r="W225" s="47" t="n">
        <v>1</v>
      </c>
    </row>
    <row r="226" customFormat="false" ht="23.85" hidden="false" customHeight="false" outlineLevel="0" collapsed="false">
      <c r="A226" s="70" t="n">
        <v>218</v>
      </c>
      <c r="B226" s="20" t="s">
        <v>363</v>
      </c>
      <c r="C226" s="20" t="s">
        <v>512</v>
      </c>
      <c r="D226" s="20" t="s">
        <v>686</v>
      </c>
      <c r="E226" s="20" t="s">
        <v>687</v>
      </c>
      <c r="F226" s="70" t="s">
        <v>418</v>
      </c>
      <c r="G226" s="20" t="s">
        <v>558</v>
      </c>
      <c r="H226" s="49" t="n">
        <v>10</v>
      </c>
      <c r="I226" s="70" t="s">
        <v>403</v>
      </c>
      <c r="J226" s="70" t="n">
        <v>100</v>
      </c>
      <c r="K226" s="73" t="n">
        <v>1</v>
      </c>
      <c r="L226" s="49" t="n">
        <v>92</v>
      </c>
      <c r="M226" s="67" t="n">
        <v>2.06</v>
      </c>
      <c r="N226" s="68" t="n">
        <f aca="false">K226*L226*M226</f>
        <v>189.52</v>
      </c>
      <c r="O226" s="34" t="n">
        <f aca="false">IFERROR(INDEX(Исходные!$B$18:$B$30,MATCH(H226,Исходные!$A$18:$A$30,0)),0)</f>
        <v>0.617</v>
      </c>
      <c r="P226" s="74" t="n">
        <f aca="false">N226*O226</f>
        <v>116.93384</v>
      </c>
      <c r="Q226" s="20" t="s">
        <v>718</v>
      </c>
      <c r="R226" s="75" t="s">
        <v>371</v>
      </c>
      <c r="S226" s="20" t="s">
        <v>719</v>
      </c>
      <c r="T226" s="20" t="s">
        <v>73</v>
      </c>
      <c r="U226" s="47" t="n">
        <v>0</v>
      </c>
      <c r="V226" s="70" t="s">
        <v>687</v>
      </c>
      <c r="W226" s="47" t="n">
        <v>1</v>
      </c>
    </row>
    <row r="227" customFormat="false" ht="23.85" hidden="false" customHeight="false" outlineLevel="0" collapsed="false">
      <c r="A227" s="70" t="n">
        <v>219</v>
      </c>
      <c r="B227" s="20" t="s">
        <v>363</v>
      </c>
      <c r="C227" s="20" t="s">
        <v>512</v>
      </c>
      <c r="D227" s="20" t="s">
        <v>686</v>
      </c>
      <c r="E227" s="20" t="s">
        <v>687</v>
      </c>
      <c r="F227" s="70" t="s">
        <v>460</v>
      </c>
      <c r="G227" s="20" t="s">
        <v>561</v>
      </c>
      <c r="H227" s="49" t="n">
        <v>10</v>
      </c>
      <c r="I227" s="70" t="s">
        <v>403</v>
      </c>
      <c r="J227" s="70" t="n">
        <v>100</v>
      </c>
      <c r="K227" s="73" t="n">
        <v>1</v>
      </c>
      <c r="L227" s="49" t="n">
        <v>86</v>
      </c>
      <c r="M227" s="67" t="n">
        <v>1.6</v>
      </c>
      <c r="N227" s="68" t="n">
        <f aca="false">K227*L227*M227</f>
        <v>137.6</v>
      </c>
      <c r="O227" s="34" t="n">
        <f aca="false">IFERROR(INDEX(Исходные!$B$18:$B$30,MATCH(H227,Исходные!$A$18:$A$30,0)),0)</f>
        <v>0.617</v>
      </c>
      <c r="P227" s="74" t="n">
        <f aca="false">N227*O227</f>
        <v>84.8992</v>
      </c>
      <c r="Q227" s="20" t="s">
        <v>720</v>
      </c>
      <c r="R227" s="75" t="s">
        <v>371</v>
      </c>
      <c r="S227" s="20"/>
      <c r="T227" s="20" t="s">
        <v>73</v>
      </c>
      <c r="U227" s="47" t="n">
        <v>0</v>
      </c>
      <c r="V227" s="70" t="s">
        <v>687</v>
      </c>
      <c r="W227" s="47" t="n">
        <v>1</v>
      </c>
    </row>
    <row r="228" customFormat="false" ht="23.85" hidden="false" customHeight="false" outlineLevel="0" collapsed="false">
      <c r="A228" s="70" t="n">
        <v>220</v>
      </c>
      <c r="B228" s="20" t="s">
        <v>363</v>
      </c>
      <c r="C228" s="20" t="s">
        <v>512</v>
      </c>
      <c r="D228" s="20" t="s">
        <v>686</v>
      </c>
      <c r="E228" s="20" t="s">
        <v>687</v>
      </c>
      <c r="F228" s="70" t="s">
        <v>563</v>
      </c>
      <c r="G228" s="20" t="s">
        <v>564</v>
      </c>
      <c r="H228" s="49" t="n">
        <v>8</v>
      </c>
      <c r="I228" s="70" t="s">
        <v>403</v>
      </c>
      <c r="J228" s="70" t="s">
        <v>565</v>
      </c>
      <c r="K228" s="73" t="n">
        <v>1</v>
      </c>
      <c r="L228" s="49" t="n">
        <v>35</v>
      </c>
      <c r="M228" s="67" t="n">
        <v>0.75</v>
      </c>
      <c r="N228" s="68" t="n">
        <f aca="false">K228*L228*M228</f>
        <v>26.25</v>
      </c>
      <c r="O228" s="34" t="n">
        <f aca="false">IFERROR(INDEX(Исходные!$B$18:$B$30,MATCH(H228,Исходные!$A$18:$A$30,0)),0)</f>
        <v>0.395</v>
      </c>
      <c r="P228" s="74" t="n">
        <f aca="false">N228*O228</f>
        <v>10.36875</v>
      </c>
      <c r="Q228" s="20" t="s">
        <v>566</v>
      </c>
      <c r="R228" s="75" t="s">
        <v>371</v>
      </c>
      <c r="S228" s="20"/>
      <c r="T228" s="20" t="s">
        <v>73</v>
      </c>
      <c r="U228" s="47" t="n">
        <v>0</v>
      </c>
      <c r="V228" s="70" t="s">
        <v>687</v>
      </c>
      <c r="W228" s="47" t="n">
        <v>1</v>
      </c>
    </row>
    <row r="229" customFormat="false" ht="23.85" hidden="false" customHeight="false" outlineLevel="0" collapsed="false">
      <c r="A229" s="70" t="n">
        <v>221</v>
      </c>
      <c r="B229" s="20" t="s">
        <v>363</v>
      </c>
      <c r="C229" s="20" t="s">
        <v>512</v>
      </c>
      <c r="D229" s="20" t="s">
        <v>686</v>
      </c>
      <c r="E229" s="20" t="s">
        <v>687</v>
      </c>
      <c r="F229" s="70" t="s">
        <v>567</v>
      </c>
      <c r="G229" s="20" t="s">
        <v>568</v>
      </c>
      <c r="H229" s="49" t="n">
        <v>8</v>
      </c>
      <c r="I229" s="70" t="s">
        <v>403</v>
      </c>
      <c r="J229" s="70" t="n">
        <v>300</v>
      </c>
      <c r="K229" s="73" t="n">
        <v>1</v>
      </c>
      <c r="L229" s="49" t="n">
        <v>54</v>
      </c>
      <c r="M229" s="67" t="n">
        <v>0.58</v>
      </c>
      <c r="N229" s="68" t="n">
        <f aca="false">K229*L229*M229</f>
        <v>31.32</v>
      </c>
      <c r="O229" s="34" t="n">
        <f aca="false">IFERROR(INDEX(Исходные!$B$18:$B$30,MATCH(H229,Исходные!$A$18:$A$30,0)),0)</f>
        <v>0.395</v>
      </c>
      <c r="P229" s="74" t="n">
        <f aca="false">N229*O229</f>
        <v>12.3714</v>
      </c>
      <c r="Q229" s="20" t="s">
        <v>569</v>
      </c>
      <c r="R229" s="76" t="s">
        <v>495</v>
      </c>
      <c r="S229" s="20" t="s">
        <v>570</v>
      </c>
      <c r="T229" s="20" t="s">
        <v>73</v>
      </c>
      <c r="U229" s="47" t="n">
        <v>1</v>
      </c>
      <c r="V229" s="70" t="s">
        <v>687</v>
      </c>
      <c r="W229" s="47" t="n">
        <v>1</v>
      </c>
    </row>
    <row r="230" customFormat="false" ht="35.05" hidden="false" customHeight="false" outlineLevel="0" collapsed="false">
      <c r="A230" s="70" t="n">
        <v>222</v>
      </c>
      <c r="B230" s="20" t="s">
        <v>363</v>
      </c>
      <c r="C230" s="20" t="s">
        <v>512</v>
      </c>
      <c r="D230" s="20" t="s">
        <v>721</v>
      </c>
      <c r="E230" s="20" t="s">
        <v>722</v>
      </c>
      <c r="F230" s="70" t="s">
        <v>376</v>
      </c>
      <c r="G230" s="20" t="s">
        <v>515</v>
      </c>
      <c r="H230" s="49" t="n">
        <v>28</v>
      </c>
      <c r="I230" s="70" t="s">
        <v>368</v>
      </c>
      <c r="J230" s="70" t="s">
        <v>369</v>
      </c>
      <c r="K230" s="73" t="n">
        <v>1</v>
      </c>
      <c r="L230" s="49" t="n">
        <v>4</v>
      </c>
      <c r="M230" s="67" t="n">
        <v>20.5</v>
      </c>
      <c r="N230" s="68" t="n">
        <f aca="false">K230*L230*M230</f>
        <v>82</v>
      </c>
      <c r="O230" s="34" t="n">
        <f aca="false">IFERROR(INDEX(Исходные!$B$18:$B$30,MATCH(H230,Исходные!$A$18:$A$30,0)),0)</f>
        <v>4.834</v>
      </c>
      <c r="P230" s="74" t="n">
        <f aca="false">N230*O230</f>
        <v>396.388</v>
      </c>
      <c r="Q230" s="20" t="s">
        <v>723</v>
      </c>
      <c r="R230" s="75" t="s">
        <v>517</v>
      </c>
      <c r="S230" s="20" t="s">
        <v>689</v>
      </c>
      <c r="T230" s="20" t="s">
        <v>73</v>
      </c>
      <c r="U230" s="47" t="n">
        <v>0</v>
      </c>
      <c r="V230" s="70" t="s">
        <v>722</v>
      </c>
      <c r="W230" s="47" t="n">
        <v>1</v>
      </c>
    </row>
    <row r="231" customFormat="false" ht="23.85" hidden="false" customHeight="false" outlineLevel="0" collapsed="false">
      <c r="A231" s="70" t="n">
        <v>223</v>
      </c>
      <c r="B231" s="20" t="s">
        <v>363</v>
      </c>
      <c r="C231" s="20" t="s">
        <v>512</v>
      </c>
      <c r="D231" s="20" t="s">
        <v>721</v>
      </c>
      <c r="E231" s="20" t="s">
        <v>722</v>
      </c>
      <c r="F231" s="70" t="s">
        <v>386</v>
      </c>
      <c r="G231" s="20" t="s">
        <v>519</v>
      </c>
      <c r="H231" s="49" t="n">
        <v>18</v>
      </c>
      <c r="I231" s="70" t="s">
        <v>368</v>
      </c>
      <c r="J231" s="70" t="s">
        <v>369</v>
      </c>
      <c r="K231" s="73" t="n">
        <v>1</v>
      </c>
      <c r="L231" s="49" t="n">
        <v>2</v>
      </c>
      <c r="M231" s="67" t="n">
        <v>20.5</v>
      </c>
      <c r="N231" s="68" t="n">
        <f aca="false">K231*L231*M231</f>
        <v>41</v>
      </c>
      <c r="O231" s="34" t="n">
        <f aca="false">IFERROR(INDEX(Исходные!$B$18:$B$30,MATCH(H231,Исходные!$A$18:$A$30,0)),0)</f>
        <v>1.998</v>
      </c>
      <c r="P231" s="74" t="n">
        <f aca="false">N231*O231</f>
        <v>81.918</v>
      </c>
      <c r="Q231" s="20" t="s">
        <v>520</v>
      </c>
      <c r="R231" s="75" t="s">
        <v>517</v>
      </c>
      <c r="S231" s="20"/>
      <c r="T231" s="20" t="s">
        <v>73</v>
      </c>
      <c r="U231" s="47" t="n">
        <v>0</v>
      </c>
      <c r="V231" s="70" t="s">
        <v>722</v>
      </c>
      <c r="W231" s="47" t="n">
        <v>1</v>
      </c>
    </row>
    <row r="232" customFormat="false" ht="35.05" hidden="false" customHeight="false" outlineLevel="0" collapsed="false">
      <c r="A232" s="70" t="n">
        <v>224</v>
      </c>
      <c r="B232" s="20" t="s">
        <v>363</v>
      </c>
      <c r="C232" s="20" t="s">
        <v>512</v>
      </c>
      <c r="D232" s="20" t="s">
        <v>721</v>
      </c>
      <c r="E232" s="20" t="s">
        <v>722</v>
      </c>
      <c r="F232" s="70" t="s">
        <v>521</v>
      </c>
      <c r="G232" s="20" t="s">
        <v>690</v>
      </c>
      <c r="H232" s="49" t="n">
        <v>18</v>
      </c>
      <c r="I232" s="70" t="s">
        <v>368</v>
      </c>
      <c r="J232" s="70" t="s">
        <v>369</v>
      </c>
      <c r="K232" s="73" t="n">
        <v>2</v>
      </c>
      <c r="L232" s="49" t="n">
        <v>1</v>
      </c>
      <c r="M232" s="67" t="n">
        <v>0.144</v>
      </c>
      <c r="N232" s="68" t="n">
        <f aca="false">K232*L232*M232</f>
        <v>0.288</v>
      </c>
      <c r="O232" s="34" t="n">
        <f aca="false">IFERROR(INDEX(Исходные!$B$18:$B$30,MATCH(H232,Исходные!$A$18:$A$30,0)),0)</f>
        <v>1.998</v>
      </c>
      <c r="P232" s="74" t="n">
        <f aca="false">N232*O232</f>
        <v>0.575424</v>
      </c>
      <c r="Q232" s="20" t="s">
        <v>523</v>
      </c>
      <c r="R232" s="75" t="s">
        <v>524</v>
      </c>
      <c r="S232" s="20" t="s">
        <v>662</v>
      </c>
      <c r="T232" s="20" t="s">
        <v>73</v>
      </c>
      <c r="U232" s="47" t="n">
        <v>0</v>
      </c>
      <c r="V232" s="70" t="s">
        <v>722</v>
      </c>
      <c r="W232" s="47" t="n">
        <v>1</v>
      </c>
    </row>
    <row r="233" customFormat="false" ht="23.85" hidden="false" customHeight="false" outlineLevel="0" collapsed="false">
      <c r="A233" s="70" t="n">
        <v>225</v>
      </c>
      <c r="B233" s="20" t="s">
        <v>363</v>
      </c>
      <c r="C233" s="20" t="s">
        <v>512</v>
      </c>
      <c r="D233" s="20" t="s">
        <v>721</v>
      </c>
      <c r="E233" s="20" t="s">
        <v>722</v>
      </c>
      <c r="F233" s="70" t="s">
        <v>526</v>
      </c>
      <c r="G233" s="20" t="s">
        <v>527</v>
      </c>
      <c r="H233" s="49" t="n">
        <v>16</v>
      </c>
      <c r="I233" s="70" t="s">
        <v>368</v>
      </c>
      <c r="J233" s="70" t="s">
        <v>369</v>
      </c>
      <c r="K233" s="73" t="n">
        <v>1</v>
      </c>
      <c r="L233" s="49" t="n">
        <v>2</v>
      </c>
      <c r="M233" s="67" t="n">
        <v>20.5</v>
      </c>
      <c r="N233" s="68" t="n">
        <f aca="false">K233*L233*M233</f>
        <v>41</v>
      </c>
      <c r="O233" s="34" t="n">
        <f aca="false">IFERROR(INDEX(Исходные!$B$18:$B$30,MATCH(H233,Исходные!$A$18:$A$30,0)),0)</f>
        <v>1.578</v>
      </c>
      <c r="P233" s="74" t="n">
        <f aca="false">N233*O233</f>
        <v>64.698</v>
      </c>
      <c r="Q233" s="20" t="s">
        <v>528</v>
      </c>
      <c r="R233" s="75" t="s">
        <v>517</v>
      </c>
      <c r="S233" s="20"/>
      <c r="T233" s="20" t="s">
        <v>73</v>
      </c>
      <c r="U233" s="47" t="n">
        <v>0</v>
      </c>
      <c r="V233" s="70" t="s">
        <v>722</v>
      </c>
      <c r="W233" s="47" t="n">
        <v>1</v>
      </c>
    </row>
    <row r="234" customFormat="false" ht="35.05" hidden="false" customHeight="false" outlineLevel="0" collapsed="false">
      <c r="A234" s="70" t="n">
        <v>226</v>
      </c>
      <c r="B234" s="20" t="s">
        <v>363</v>
      </c>
      <c r="C234" s="20" t="s">
        <v>512</v>
      </c>
      <c r="D234" s="20" t="s">
        <v>721</v>
      </c>
      <c r="E234" s="20" t="s">
        <v>722</v>
      </c>
      <c r="F234" s="70" t="s">
        <v>529</v>
      </c>
      <c r="G234" s="20" t="s">
        <v>691</v>
      </c>
      <c r="H234" s="49" t="n">
        <v>16</v>
      </c>
      <c r="I234" s="70" t="s">
        <v>368</v>
      </c>
      <c r="J234" s="70" t="s">
        <v>369</v>
      </c>
      <c r="K234" s="73" t="n">
        <v>2</v>
      </c>
      <c r="L234" s="49" t="n">
        <v>1</v>
      </c>
      <c r="M234" s="67" t="n">
        <v>0.128</v>
      </c>
      <c r="N234" s="68" t="n">
        <f aca="false">K234*L234*M234</f>
        <v>0.256</v>
      </c>
      <c r="O234" s="34" t="n">
        <f aca="false">IFERROR(INDEX(Исходные!$B$18:$B$30,MATCH(H234,Исходные!$A$18:$A$30,0)),0)</f>
        <v>1.578</v>
      </c>
      <c r="P234" s="74" t="n">
        <f aca="false">N234*O234</f>
        <v>0.403968</v>
      </c>
      <c r="Q234" s="20" t="s">
        <v>531</v>
      </c>
      <c r="R234" s="75" t="s">
        <v>524</v>
      </c>
      <c r="S234" s="20" t="s">
        <v>664</v>
      </c>
      <c r="T234" s="20" t="s">
        <v>73</v>
      </c>
      <c r="U234" s="47" t="n">
        <v>0</v>
      </c>
      <c r="V234" s="70" t="s">
        <v>722</v>
      </c>
      <c r="W234" s="47" t="n">
        <v>1</v>
      </c>
    </row>
    <row r="235" customFormat="false" ht="23.85" hidden="false" customHeight="false" outlineLevel="0" collapsed="false">
      <c r="A235" s="70" t="n">
        <v>227</v>
      </c>
      <c r="B235" s="20" t="s">
        <v>363</v>
      </c>
      <c r="C235" s="20" t="s">
        <v>512</v>
      </c>
      <c r="D235" s="20" t="s">
        <v>721</v>
      </c>
      <c r="E235" s="20" t="s">
        <v>722</v>
      </c>
      <c r="F235" s="70" t="s">
        <v>533</v>
      </c>
      <c r="G235" s="20" t="s">
        <v>534</v>
      </c>
      <c r="H235" s="49" t="n">
        <v>28</v>
      </c>
      <c r="I235" s="70" t="s">
        <v>368</v>
      </c>
      <c r="J235" s="70" t="s">
        <v>369</v>
      </c>
      <c r="K235" s="73" t="n">
        <v>1</v>
      </c>
      <c r="L235" s="49" t="n">
        <v>2</v>
      </c>
      <c r="M235" s="67" t="n">
        <v>2.05</v>
      </c>
      <c r="N235" s="68" t="n">
        <f aca="false">K235*L235*M235</f>
        <v>4.1</v>
      </c>
      <c r="O235" s="34" t="n">
        <f aca="false">IFERROR(INDEX(Исходные!$B$18:$B$30,MATCH(H235,Исходные!$A$18:$A$30,0)),0)</f>
        <v>4.834</v>
      </c>
      <c r="P235" s="74" t="n">
        <f aca="false">N235*O235</f>
        <v>19.8194</v>
      </c>
      <c r="Q235" s="20" t="s">
        <v>724</v>
      </c>
      <c r="R235" s="75" t="s">
        <v>517</v>
      </c>
      <c r="S235" s="20" t="s">
        <v>666</v>
      </c>
      <c r="T235" s="20" t="s">
        <v>73</v>
      </c>
      <c r="U235" s="47" t="n">
        <v>0</v>
      </c>
      <c r="V235" s="70" t="s">
        <v>722</v>
      </c>
      <c r="W235" s="47" t="n">
        <v>1</v>
      </c>
    </row>
    <row r="236" customFormat="false" ht="23.85" hidden="false" customHeight="false" outlineLevel="0" collapsed="false">
      <c r="A236" s="70" t="n">
        <v>228</v>
      </c>
      <c r="B236" s="20" t="s">
        <v>363</v>
      </c>
      <c r="C236" s="20" t="s">
        <v>512</v>
      </c>
      <c r="D236" s="20" t="s">
        <v>721</v>
      </c>
      <c r="E236" s="20" t="s">
        <v>722</v>
      </c>
      <c r="F236" s="70" t="s">
        <v>533</v>
      </c>
      <c r="G236" s="20" t="s">
        <v>667</v>
      </c>
      <c r="H236" s="49" t="n">
        <v>28</v>
      </c>
      <c r="I236" s="70" t="s">
        <v>368</v>
      </c>
      <c r="J236" s="70" t="s">
        <v>369</v>
      </c>
      <c r="K236" s="73" t="n">
        <v>1</v>
      </c>
      <c r="L236" s="49" t="n">
        <v>2</v>
      </c>
      <c r="M236" s="67" t="n">
        <v>3.8</v>
      </c>
      <c r="N236" s="68" t="n">
        <f aca="false">K236*L236*M236</f>
        <v>7.6</v>
      </c>
      <c r="O236" s="34" t="n">
        <f aca="false">IFERROR(INDEX(Исходные!$B$18:$B$30,MATCH(H236,Исходные!$A$18:$A$30,0)),0)</f>
        <v>4.834</v>
      </c>
      <c r="P236" s="74" t="n">
        <f aca="false">N236*O236</f>
        <v>36.7384</v>
      </c>
      <c r="Q236" s="20" t="s">
        <v>724</v>
      </c>
      <c r="R236" s="75" t="s">
        <v>517</v>
      </c>
      <c r="S236" s="20" t="s">
        <v>669</v>
      </c>
      <c r="T236" s="20" t="s">
        <v>73</v>
      </c>
      <c r="U236" s="47" t="n">
        <v>0</v>
      </c>
      <c r="V236" s="70" t="s">
        <v>722</v>
      </c>
      <c r="W236" s="47" t="n">
        <v>1</v>
      </c>
    </row>
    <row r="237" customFormat="false" ht="23.85" hidden="false" customHeight="false" outlineLevel="0" collapsed="false">
      <c r="A237" s="70" t="n">
        <v>229</v>
      </c>
      <c r="B237" s="20" t="s">
        <v>363</v>
      </c>
      <c r="C237" s="20" t="s">
        <v>512</v>
      </c>
      <c r="D237" s="20" t="s">
        <v>721</v>
      </c>
      <c r="E237" s="20" t="s">
        <v>722</v>
      </c>
      <c r="F237" s="70" t="s">
        <v>533</v>
      </c>
      <c r="G237" s="20" t="s">
        <v>725</v>
      </c>
      <c r="H237" s="49" t="n">
        <v>25</v>
      </c>
      <c r="I237" s="70" t="s">
        <v>368</v>
      </c>
      <c r="J237" s="70" t="s">
        <v>369</v>
      </c>
      <c r="K237" s="73" t="n">
        <v>1</v>
      </c>
      <c r="L237" s="49" t="n">
        <v>2</v>
      </c>
      <c r="M237" s="67" t="n">
        <v>3.8</v>
      </c>
      <c r="N237" s="68" t="n">
        <f aca="false">K237*L237*M237</f>
        <v>7.6</v>
      </c>
      <c r="O237" s="34" t="n">
        <f aca="false">IFERROR(INDEX(Исходные!$B$18:$B$30,MATCH(H237,Исходные!$A$18:$A$30,0)),0)</f>
        <v>3.853</v>
      </c>
      <c r="P237" s="74" t="n">
        <f aca="false">N237*O237</f>
        <v>29.2828</v>
      </c>
      <c r="Q237" s="20" t="s">
        <v>726</v>
      </c>
      <c r="R237" s="75" t="s">
        <v>517</v>
      </c>
      <c r="S237" s="20" t="s">
        <v>669</v>
      </c>
      <c r="T237" s="20" t="s">
        <v>73</v>
      </c>
      <c r="U237" s="47" t="n">
        <v>0</v>
      </c>
      <c r="V237" s="70" t="s">
        <v>722</v>
      </c>
      <c r="W237" s="47" t="n">
        <v>1</v>
      </c>
    </row>
    <row r="238" customFormat="false" ht="23.85" hidden="false" customHeight="false" outlineLevel="0" collapsed="false">
      <c r="A238" s="70" t="n">
        <v>230</v>
      </c>
      <c r="B238" s="20" t="s">
        <v>363</v>
      </c>
      <c r="C238" s="20" t="s">
        <v>512</v>
      </c>
      <c r="D238" s="20" t="s">
        <v>721</v>
      </c>
      <c r="E238" s="20" t="s">
        <v>722</v>
      </c>
      <c r="F238" s="70" t="s">
        <v>533</v>
      </c>
      <c r="G238" s="20" t="s">
        <v>727</v>
      </c>
      <c r="H238" s="49" t="n">
        <v>25</v>
      </c>
      <c r="I238" s="70" t="s">
        <v>368</v>
      </c>
      <c r="J238" s="70" t="s">
        <v>369</v>
      </c>
      <c r="K238" s="73" t="n">
        <v>1</v>
      </c>
      <c r="L238" s="49" t="n">
        <v>2</v>
      </c>
      <c r="M238" s="67" t="n">
        <v>3.8</v>
      </c>
      <c r="N238" s="68" t="n">
        <f aca="false">K238*L238*M238</f>
        <v>7.6</v>
      </c>
      <c r="O238" s="34" t="n">
        <f aca="false">IFERROR(INDEX(Исходные!$B$18:$B$30,MATCH(H238,Исходные!$A$18:$A$30,0)),0)</f>
        <v>3.853</v>
      </c>
      <c r="P238" s="74" t="n">
        <f aca="false">N238*O238</f>
        <v>29.2828</v>
      </c>
      <c r="Q238" s="20" t="s">
        <v>726</v>
      </c>
      <c r="R238" s="75" t="s">
        <v>517</v>
      </c>
      <c r="S238" s="20" t="s">
        <v>672</v>
      </c>
      <c r="T238" s="20" t="s">
        <v>73</v>
      </c>
      <c r="U238" s="47" t="n">
        <v>0</v>
      </c>
      <c r="V238" s="70" t="s">
        <v>722</v>
      </c>
      <c r="W238" s="47" t="n">
        <v>1</v>
      </c>
    </row>
    <row r="239" customFormat="false" ht="23.85" hidden="false" customHeight="false" outlineLevel="0" collapsed="false">
      <c r="A239" s="70" t="n">
        <v>231</v>
      </c>
      <c r="B239" s="20" t="s">
        <v>363</v>
      </c>
      <c r="C239" s="20" t="s">
        <v>512</v>
      </c>
      <c r="D239" s="20" t="s">
        <v>721</v>
      </c>
      <c r="E239" s="20" t="s">
        <v>722</v>
      </c>
      <c r="F239" s="70" t="s">
        <v>533</v>
      </c>
      <c r="G239" s="20" t="s">
        <v>728</v>
      </c>
      <c r="H239" s="49" t="n">
        <v>25</v>
      </c>
      <c r="I239" s="70" t="s">
        <v>368</v>
      </c>
      <c r="J239" s="70" t="s">
        <v>369</v>
      </c>
      <c r="K239" s="73" t="n">
        <v>1</v>
      </c>
      <c r="L239" s="49" t="n">
        <v>2</v>
      </c>
      <c r="M239" s="67" t="n">
        <v>3.8</v>
      </c>
      <c r="N239" s="68" t="n">
        <f aca="false">K239*L239*M239</f>
        <v>7.6</v>
      </c>
      <c r="O239" s="34" t="n">
        <f aca="false">IFERROR(INDEX(Исходные!$B$18:$B$30,MATCH(H239,Исходные!$A$18:$A$30,0)),0)</f>
        <v>3.853</v>
      </c>
      <c r="P239" s="74" t="n">
        <f aca="false">N239*O239</f>
        <v>29.2828</v>
      </c>
      <c r="Q239" s="20" t="s">
        <v>726</v>
      </c>
      <c r="R239" s="75" t="s">
        <v>517</v>
      </c>
      <c r="S239" s="20" t="s">
        <v>672</v>
      </c>
      <c r="T239" s="20" t="s">
        <v>73</v>
      </c>
      <c r="U239" s="47" t="n">
        <v>0</v>
      </c>
      <c r="V239" s="70" t="s">
        <v>722</v>
      </c>
      <c r="W239" s="47" t="n">
        <v>1</v>
      </c>
    </row>
    <row r="240" customFormat="false" ht="23.85" hidden="false" customHeight="false" outlineLevel="0" collapsed="false">
      <c r="A240" s="70" t="n">
        <v>232</v>
      </c>
      <c r="B240" s="20" t="s">
        <v>363</v>
      </c>
      <c r="C240" s="20" t="s">
        <v>512</v>
      </c>
      <c r="D240" s="20" t="s">
        <v>721</v>
      </c>
      <c r="E240" s="20" t="s">
        <v>722</v>
      </c>
      <c r="F240" s="70" t="s">
        <v>533</v>
      </c>
      <c r="G240" s="20" t="s">
        <v>729</v>
      </c>
      <c r="H240" s="49" t="n">
        <v>32</v>
      </c>
      <c r="I240" s="70" t="s">
        <v>368</v>
      </c>
      <c r="J240" s="70" t="s">
        <v>369</v>
      </c>
      <c r="K240" s="73" t="n">
        <v>1</v>
      </c>
      <c r="L240" s="49" t="n">
        <v>2</v>
      </c>
      <c r="M240" s="67" t="n">
        <v>2.05</v>
      </c>
      <c r="N240" s="68" t="n">
        <f aca="false">K240*L240*M240</f>
        <v>4.1</v>
      </c>
      <c r="O240" s="34" t="n">
        <f aca="false">IFERROR(INDEX(Исходные!$B$18:$B$30,MATCH(H240,Исходные!$A$18:$A$30,0)),0)</f>
        <v>6.313</v>
      </c>
      <c r="P240" s="74" t="n">
        <f aca="false">N240*O240</f>
        <v>25.8833</v>
      </c>
      <c r="Q240" s="20" t="s">
        <v>730</v>
      </c>
      <c r="R240" s="75" t="s">
        <v>517</v>
      </c>
      <c r="S240" s="20" t="s">
        <v>674</v>
      </c>
      <c r="T240" s="20" t="s">
        <v>73</v>
      </c>
      <c r="U240" s="47" t="n">
        <v>0</v>
      </c>
      <c r="V240" s="70" t="s">
        <v>722</v>
      </c>
      <c r="W240" s="47" t="n">
        <v>1</v>
      </c>
    </row>
    <row r="241" customFormat="false" ht="23.85" hidden="false" customHeight="false" outlineLevel="0" collapsed="false">
      <c r="A241" s="70" t="n">
        <v>233</v>
      </c>
      <c r="B241" s="20" t="s">
        <v>363</v>
      </c>
      <c r="C241" s="20" t="s">
        <v>512</v>
      </c>
      <c r="D241" s="20" t="s">
        <v>721</v>
      </c>
      <c r="E241" s="20" t="s">
        <v>722</v>
      </c>
      <c r="F241" s="70" t="s">
        <v>533</v>
      </c>
      <c r="G241" s="20" t="s">
        <v>586</v>
      </c>
      <c r="H241" s="49" t="n">
        <v>16</v>
      </c>
      <c r="I241" s="70" t="s">
        <v>368</v>
      </c>
      <c r="J241" s="70" t="s">
        <v>369</v>
      </c>
      <c r="K241" s="73" t="n">
        <v>1</v>
      </c>
      <c r="L241" s="49" t="n">
        <v>2</v>
      </c>
      <c r="M241" s="67" t="n">
        <v>2.9</v>
      </c>
      <c r="N241" s="68" t="n">
        <f aca="false">K241*L241*M241</f>
        <v>5.8</v>
      </c>
      <c r="O241" s="34" t="n">
        <f aca="false">IFERROR(INDEX(Исходные!$B$18:$B$30,MATCH(H241,Исходные!$A$18:$A$30,0)),0)</f>
        <v>1.578</v>
      </c>
      <c r="P241" s="74" t="n">
        <f aca="false">N241*O241</f>
        <v>9.1524</v>
      </c>
      <c r="Q241" s="20" t="s">
        <v>731</v>
      </c>
      <c r="R241" s="75" t="s">
        <v>517</v>
      </c>
      <c r="S241" s="20" t="s">
        <v>732</v>
      </c>
      <c r="T241" s="20" t="s">
        <v>73</v>
      </c>
      <c r="U241" s="47" t="n">
        <v>0</v>
      </c>
      <c r="V241" s="70" t="s">
        <v>722</v>
      </c>
      <c r="W241" s="47" t="n">
        <v>1</v>
      </c>
    </row>
    <row r="242" customFormat="false" ht="23.85" hidden="false" customHeight="false" outlineLevel="0" collapsed="false">
      <c r="A242" s="70" t="n">
        <v>234</v>
      </c>
      <c r="B242" s="20" t="s">
        <v>363</v>
      </c>
      <c r="C242" s="20" t="s">
        <v>512</v>
      </c>
      <c r="D242" s="20" t="s">
        <v>721</v>
      </c>
      <c r="E242" s="20" t="s">
        <v>722</v>
      </c>
      <c r="F242" s="70" t="s">
        <v>533</v>
      </c>
      <c r="G242" s="20" t="s">
        <v>733</v>
      </c>
      <c r="H242" s="49" t="n">
        <v>28</v>
      </c>
      <c r="I242" s="70" t="s">
        <v>368</v>
      </c>
      <c r="J242" s="70" t="s">
        <v>369</v>
      </c>
      <c r="K242" s="73" t="n">
        <v>1</v>
      </c>
      <c r="L242" s="49" t="n">
        <v>2</v>
      </c>
      <c r="M242" s="67" t="n">
        <v>3</v>
      </c>
      <c r="N242" s="68" t="n">
        <f aca="false">K242*L242*M242</f>
        <v>6</v>
      </c>
      <c r="O242" s="34" t="n">
        <f aca="false">IFERROR(INDEX(Исходные!$B$18:$B$30,MATCH(H242,Исходные!$A$18:$A$30,0)),0)</f>
        <v>4.834</v>
      </c>
      <c r="P242" s="74" t="n">
        <f aca="false">N242*O242</f>
        <v>29.004</v>
      </c>
      <c r="Q242" s="20" t="s">
        <v>724</v>
      </c>
      <c r="R242" s="75" t="s">
        <v>517</v>
      </c>
      <c r="S242" s="20" t="s">
        <v>679</v>
      </c>
      <c r="T242" s="20" t="s">
        <v>73</v>
      </c>
      <c r="U242" s="47" t="n">
        <v>0</v>
      </c>
      <c r="V242" s="70" t="s">
        <v>722</v>
      </c>
      <c r="W242" s="47" t="n">
        <v>1</v>
      </c>
    </row>
    <row r="243" customFormat="false" ht="23.85" hidden="false" customHeight="false" outlineLevel="0" collapsed="false">
      <c r="A243" s="70" t="n">
        <v>235</v>
      </c>
      <c r="B243" s="20" t="s">
        <v>363</v>
      </c>
      <c r="C243" s="20" t="s">
        <v>512</v>
      </c>
      <c r="D243" s="20" t="s">
        <v>721</v>
      </c>
      <c r="E243" s="20" t="s">
        <v>722</v>
      </c>
      <c r="F243" s="70" t="s">
        <v>533</v>
      </c>
      <c r="G243" s="20" t="s">
        <v>734</v>
      </c>
      <c r="H243" s="49" t="n">
        <v>16</v>
      </c>
      <c r="I243" s="70" t="s">
        <v>368</v>
      </c>
      <c r="J243" s="70" t="s">
        <v>369</v>
      </c>
      <c r="K243" s="73" t="n">
        <v>1</v>
      </c>
      <c r="L243" s="49" t="n">
        <v>2</v>
      </c>
      <c r="M243" s="67" t="n">
        <v>4.95</v>
      </c>
      <c r="N243" s="68" t="n">
        <f aca="false">K243*L243*M243</f>
        <v>9.9</v>
      </c>
      <c r="O243" s="34" t="n">
        <f aca="false">IFERROR(INDEX(Исходные!$B$18:$B$30,MATCH(H243,Исходные!$A$18:$A$30,0)),0)</f>
        <v>1.578</v>
      </c>
      <c r="P243" s="74" t="n">
        <f aca="false">N243*O243</f>
        <v>15.6222</v>
      </c>
      <c r="Q243" s="20" t="s">
        <v>731</v>
      </c>
      <c r="R243" s="75" t="s">
        <v>517</v>
      </c>
      <c r="S243" s="20" t="s">
        <v>735</v>
      </c>
      <c r="T243" s="20" t="s">
        <v>73</v>
      </c>
      <c r="U243" s="47" t="n">
        <v>0</v>
      </c>
      <c r="V243" s="70" t="s">
        <v>722</v>
      </c>
      <c r="W243" s="47" t="n">
        <v>1</v>
      </c>
    </row>
    <row r="244" customFormat="false" ht="23.85" hidden="false" customHeight="false" outlineLevel="0" collapsed="false">
      <c r="A244" s="70" t="n">
        <v>236</v>
      </c>
      <c r="B244" s="20" t="s">
        <v>363</v>
      </c>
      <c r="C244" s="20" t="s">
        <v>512</v>
      </c>
      <c r="D244" s="20" t="s">
        <v>721</v>
      </c>
      <c r="E244" s="20" t="s">
        <v>722</v>
      </c>
      <c r="F244" s="70" t="s">
        <v>533</v>
      </c>
      <c r="G244" s="20" t="s">
        <v>736</v>
      </c>
      <c r="H244" s="49" t="n">
        <v>12</v>
      </c>
      <c r="I244" s="70" t="s">
        <v>368</v>
      </c>
      <c r="J244" s="70" t="s">
        <v>369</v>
      </c>
      <c r="K244" s="73" t="n">
        <v>1</v>
      </c>
      <c r="L244" s="49" t="n">
        <v>4</v>
      </c>
      <c r="M244" s="67" t="n">
        <v>3.8</v>
      </c>
      <c r="N244" s="68" t="n">
        <f aca="false">K244*L244*M244</f>
        <v>15.2</v>
      </c>
      <c r="O244" s="34" t="n">
        <f aca="false">IFERROR(INDEX(Исходные!$B$18:$B$30,MATCH(H244,Исходные!$A$18:$A$30,0)),0)</f>
        <v>0.888</v>
      </c>
      <c r="P244" s="74" t="n">
        <f aca="false">N244*O244</f>
        <v>13.4976</v>
      </c>
      <c r="Q244" s="20" t="s">
        <v>737</v>
      </c>
      <c r="R244" s="75" t="s">
        <v>517</v>
      </c>
      <c r="S244" s="20" t="s">
        <v>669</v>
      </c>
      <c r="T244" s="20" t="s">
        <v>73</v>
      </c>
      <c r="U244" s="47" t="n">
        <v>0</v>
      </c>
      <c r="V244" s="70" t="s">
        <v>722</v>
      </c>
      <c r="W244" s="47" t="n">
        <v>1</v>
      </c>
    </row>
    <row r="245" customFormat="false" ht="23.85" hidden="false" customHeight="false" outlineLevel="0" collapsed="false">
      <c r="A245" s="70" t="n">
        <v>237</v>
      </c>
      <c r="B245" s="20" t="s">
        <v>363</v>
      </c>
      <c r="C245" s="20" t="s">
        <v>512</v>
      </c>
      <c r="D245" s="20" t="s">
        <v>721</v>
      </c>
      <c r="E245" s="20" t="s">
        <v>722</v>
      </c>
      <c r="F245" s="70" t="s">
        <v>533</v>
      </c>
      <c r="G245" s="20" t="s">
        <v>738</v>
      </c>
      <c r="H245" s="49" t="n">
        <v>12</v>
      </c>
      <c r="I245" s="70" t="s">
        <v>368</v>
      </c>
      <c r="J245" s="70" t="s">
        <v>369</v>
      </c>
      <c r="K245" s="73" t="n">
        <v>1</v>
      </c>
      <c r="L245" s="49" t="n">
        <v>4</v>
      </c>
      <c r="M245" s="67" t="n">
        <v>3.8</v>
      </c>
      <c r="N245" s="68" t="n">
        <f aca="false">K245*L245*M245</f>
        <v>15.2</v>
      </c>
      <c r="O245" s="34" t="n">
        <f aca="false">IFERROR(INDEX(Исходные!$B$18:$B$30,MATCH(H245,Исходные!$A$18:$A$30,0)),0)</f>
        <v>0.888</v>
      </c>
      <c r="P245" s="74" t="n">
        <f aca="false">N245*O245</f>
        <v>13.4976</v>
      </c>
      <c r="Q245" s="20" t="s">
        <v>737</v>
      </c>
      <c r="R245" s="75" t="s">
        <v>517</v>
      </c>
      <c r="S245" s="20" t="s">
        <v>672</v>
      </c>
      <c r="T245" s="20" t="s">
        <v>73</v>
      </c>
      <c r="U245" s="47" t="n">
        <v>0</v>
      </c>
      <c r="V245" s="70" t="s">
        <v>722</v>
      </c>
      <c r="W245" s="47" t="n">
        <v>1</v>
      </c>
    </row>
    <row r="246" customFormat="false" ht="23.85" hidden="false" customHeight="false" outlineLevel="0" collapsed="false">
      <c r="A246" s="70" t="n">
        <v>238</v>
      </c>
      <c r="B246" s="20" t="s">
        <v>363</v>
      </c>
      <c r="C246" s="20" t="s">
        <v>512</v>
      </c>
      <c r="D246" s="20" t="s">
        <v>721</v>
      </c>
      <c r="E246" s="20" t="s">
        <v>722</v>
      </c>
      <c r="F246" s="70" t="s">
        <v>533</v>
      </c>
      <c r="G246" s="20" t="s">
        <v>739</v>
      </c>
      <c r="H246" s="49" t="n">
        <v>12</v>
      </c>
      <c r="I246" s="70" t="s">
        <v>368</v>
      </c>
      <c r="J246" s="70" t="s">
        <v>369</v>
      </c>
      <c r="K246" s="73" t="n">
        <v>1</v>
      </c>
      <c r="L246" s="49" t="n">
        <v>4</v>
      </c>
      <c r="M246" s="67" t="n">
        <v>2.05</v>
      </c>
      <c r="N246" s="68" t="n">
        <f aca="false">K246*L246*M246</f>
        <v>8.2</v>
      </c>
      <c r="O246" s="34" t="n">
        <f aca="false">IFERROR(INDEX(Исходные!$B$18:$B$30,MATCH(H246,Исходные!$A$18:$A$30,0)),0)</f>
        <v>0.888</v>
      </c>
      <c r="P246" s="74" t="n">
        <f aca="false">N246*O246</f>
        <v>7.2816</v>
      </c>
      <c r="Q246" s="20" t="s">
        <v>737</v>
      </c>
      <c r="R246" s="75" t="s">
        <v>517</v>
      </c>
      <c r="S246" s="20" t="s">
        <v>674</v>
      </c>
      <c r="T246" s="20" t="s">
        <v>73</v>
      </c>
      <c r="U246" s="47" t="n">
        <v>0</v>
      </c>
      <c r="V246" s="70" t="s">
        <v>722</v>
      </c>
      <c r="W246" s="47" t="n">
        <v>1</v>
      </c>
    </row>
    <row r="247" customFormat="false" ht="23.85" hidden="false" customHeight="false" outlineLevel="0" collapsed="false">
      <c r="A247" s="70" t="n">
        <v>239</v>
      </c>
      <c r="B247" s="20" t="s">
        <v>363</v>
      </c>
      <c r="C247" s="20" t="s">
        <v>512</v>
      </c>
      <c r="D247" s="20" t="s">
        <v>721</v>
      </c>
      <c r="E247" s="20" t="s">
        <v>722</v>
      </c>
      <c r="F247" s="70" t="s">
        <v>553</v>
      </c>
      <c r="G247" s="20" t="s">
        <v>554</v>
      </c>
      <c r="H247" s="49" t="n">
        <v>8</v>
      </c>
      <c r="I247" s="70" t="s">
        <v>403</v>
      </c>
      <c r="J247" s="70" t="s">
        <v>555</v>
      </c>
      <c r="K247" s="73" t="n">
        <v>1</v>
      </c>
      <c r="L247" s="49" t="n">
        <v>52</v>
      </c>
      <c r="M247" s="67" t="n">
        <v>2.06</v>
      </c>
      <c r="N247" s="68" t="n">
        <f aca="false">K247*L247*M247</f>
        <v>107.12</v>
      </c>
      <c r="O247" s="34" t="n">
        <f aca="false">IFERROR(INDEX(Исходные!$B$18:$B$30,MATCH(H247,Исходные!$A$18:$A$30,0)),0)</f>
        <v>0.395</v>
      </c>
      <c r="P247" s="74" t="n">
        <f aca="false">N247*O247</f>
        <v>42.3124</v>
      </c>
      <c r="Q247" s="20" t="s">
        <v>556</v>
      </c>
      <c r="R247" s="75" t="s">
        <v>371</v>
      </c>
      <c r="S247" s="20" t="s">
        <v>683</v>
      </c>
      <c r="T247" s="20" t="s">
        <v>73</v>
      </c>
      <c r="U247" s="47" t="n">
        <v>0</v>
      </c>
      <c r="V247" s="70" t="s">
        <v>722</v>
      </c>
      <c r="W247" s="47" t="n">
        <v>1</v>
      </c>
    </row>
    <row r="248" customFormat="false" ht="35.05" hidden="false" customHeight="false" outlineLevel="0" collapsed="false">
      <c r="A248" s="70" t="n">
        <v>240</v>
      </c>
      <c r="B248" s="20" t="s">
        <v>363</v>
      </c>
      <c r="C248" s="20" t="s">
        <v>512</v>
      </c>
      <c r="D248" s="20" t="s">
        <v>721</v>
      </c>
      <c r="E248" s="20" t="s">
        <v>722</v>
      </c>
      <c r="F248" s="70" t="s">
        <v>418</v>
      </c>
      <c r="G248" s="20" t="s">
        <v>558</v>
      </c>
      <c r="H248" s="49" t="n">
        <v>10</v>
      </c>
      <c r="I248" s="70" t="s">
        <v>403</v>
      </c>
      <c r="J248" s="70" t="n">
        <v>100</v>
      </c>
      <c r="K248" s="73" t="n">
        <v>1</v>
      </c>
      <c r="L248" s="49" t="n">
        <v>106</v>
      </c>
      <c r="M248" s="67" t="n">
        <v>2.06</v>
      </c>
      <c r="N248" s="68" t="n">
        <f aca="false">K248*L248*M248</f>
        <v>218.36</v>
      </c>
      <c r="O248" s="34" t="n">
        <f aca="false">IFERROR(INDEX(Исходные!$B$18:$B$30,MATCH(H248,Исходные!$A$18:$A$30,0)),0)</f>
        <v>0.617</v>
      </c>
      <c r="P248" s="74" t="n">
        <f aca="false">N248*O248</f>
        <v>134.72812</v>
      </c>
      <c r="Q248" s="20" t="s">
        <v>740</v>
      </c>
      <c r="R248" s="75" t="s">
        <v>371</v>
      </c>
      <c r="S248" s="20" t="s">
        <v>741</v>
      </c>
      <c r="T248" s="20" t="s">
        <v>73</v>
      </c>
      <c r="U248" s="47" t="n">
        <v>0</v>
      </c>
      <c r="V248" s="70" t="s">
        <v>722</v>
      </c>
      <c r="W248" s="47" t="n">
        <v>1</v>
      </c>
    </row>
    <row r="249" customFormat="false" ht="23.85" hidden="false" customHeight="false" outlineLevel="0" collapsed="false">
      <c r="A249" s="70" t="n">
        <v>241</v>
      </c>
      <c r="B249" s="20" t="s">
        <v>363</v>
      </c>
      <c r="C249" s="20" t="s">
        <v>512</v>
      </c>
      <c r="D249" s="20" t="s">
        <v>721</v>
      </c>
      <c r="E249" s="20" t="s">
        <v>722</v>
      </c>
      <c r="F249" s="70" t="s">
        <v>460</v>
      </c>
      <c r="G249" s="20" t="s">
        <v>561</v>
      </c>
      <c r="H249" s="49" t="n">
        <v>10</v>
      </c>
      <c r="I249" s="70" t="s">
        <v>403</v>
      </c>
      <c r="J249" s="70" t="n">
        <v>100</v>
      </c>
      <c r="K249" s="73" t="n">
        <v>1</v>
      </c>
      <c r="L249" s="49" t="n">
        <v>50</v>
      </c>
      <c r="M249" s="67" t="n">
        <v>1.6</v>
      </c>
      <c r="N249" s="68" t="n">
        <f aca="false">K249*L249*M249</f>
        <v>80</v>
      </c>
      <c r="O249" s="34" t="n">
        <f aca="false">IFERROR(INDEX(Исходные!$B$18:$B$30,MATCH(H249,Исходные!$A$18:$A$30,0)),0)</f>
        <v>0.617</v>
      </c>
      <c r="P249" s="74" t="n">
        <f aca="false">N249*O249</f>
        <v>49.36</v>
      </c>
      <c r="Q249" s="20" t="s">
        <v>742</v>
      </c>
      <c r="R249" s="75" t="s">
        <v>371</v>
      </c>
      <c r="S249" s="20"/>
      <c r="T249" s="20" t="s">
        <v>73</v>
      </c>
      <c r="U249" s="47" t="n">
        <v>0</v>
      </c>
      <c r="V249" s="70" t="s">
        <v>722</v>
      </c>
      <c r="W249" s="47" t="n">
        <v>1</v>
      </c>
    </row>
    <row r="250" customFormat="false" ht="23.85" hidden="false" customHeight="false" outlineLevel="0" collapsed="false">
      <c r="A250" s="70" t="n">
        <v>242</v>
      </c>
      <c r="B250" s="20" t="s">
        <v>363</v>
      </c>
      <c r="C250" s="20" t="s">
        <v>512</v>
      </c>
      <c r="D250" s="20" t="s">
        <v>721</v>
      </c>
      <c r="E250" s="20" t="s">
        <v>722</v>
      </c>
      <c r="F250" s="70" t="s">
        <v>563</v>
      </c>
      <c r="G250" s="20" t="s">
        <v>564</v>
      </c>
      <c r="H250" s="49" t="n">
        <v>8</v>
      </c>
      <c r="I250" s="70" t="s">
        <v>403</v>
      </c>
      <c r="J250" s="70" t="s">
        <v>565</v>
      </c>
      <c r="K250" s="73" t="n">
        <v>1</v>
      </c>
      <c r="L250" s="49" t="n">
        <v>73</v>
      </c>
      <c r="M250" s="67" t="n">
        <v>0.75</v>
      </c>
      <c r="N250" s="68" t="n">
        <f aca="false">K250*L250*M250</f>
        <v>54.75</v>
      </c>
      <c r="O250" s="34" t="n">
        <f aca="false">IFERROR(INDEX(Исходные!$B$18:$B$30,MATCH(H250,Исходные!$A$18:$A$30,0)),0)</f>
        <v>0.395</v>
      </c>
      <c r="P250" s="74" t="n">
        <f aca="false">N250*O250</f>
        <v>21.62625</v>
      </c>
      <c r="Q250" s="20" t="s">
        <v>566</v>
      </c>
      <c r="R250" s="75" t="s">
        <v>371</v>
      </c>
      <c r="S250" s="20"/>
      <c r="T250" s="20" t="s">
        <v>73</v>
      </c>
      <c r="U250" s="47" t="n">
        <v>0</v>
      </c>
      <c r="V250" s="70" t="s">
        <v>722</v>
      </c>
      <c r="W250" s="47" t="n">
        <v>1</v>
      </c>
    </row>
    <row r="251" customFormat="false" ht="23.85" hidden="false" customHeight="false" outlineLevel="0" collapsed="false">
      <c r="A251" s="70" t="n">
        <v>243</v>
      </c>
      <c r="B251" s="20" t="s">
        <v>363</v>
      </c>
      <c r="C251" s="20" t="s">
        <v>512</v>
      </c>
      <c r="D251" s="20" t="s">
        <v>721</v>
      </c>
      <c r="E251" s="20" t="s">
        <v>722</v>
      </c>
      <c r="F251" s="70" t="s">
        <v>567</v>
      </c>
      <c r="G251" s="20" t="s">
        <v>568</v>
      </c>
      <c r="H251" s="49" t="n">
        <v>8</v>
      </c>
      <c r="I251" s="70" t="s">
        <v>403</v>
      </c>
      <c r="J251" s="70" t="n">
        <v>300</v>
      </c>
      <c r="K251" s="73" t="n">
        <v>1</v>
      </c>
      <c r="L251" s="49" t="n">
        <v>62</v>
      </c>
      <c r="M251" s="67" t="n">
        <v>0.58</v>
      </c>
      <c r="N251" s="68" t="n">
        <f aca="false">K251*L251*M251</f>
        <v>35.96</v>
      </c>
      <c r="O251" s="34" t="n">
        <f aca="false">IFERROR(INDEX(Исходные!$B$18:$B$30,MATCH(H251,Исходные!$A$18:$A$30,0)),0)</f>
        <v>0.395</v>
      </c>
      <c r="P251" s="74" t="n">
        <f aca="false">N251*O251</f>
        <v>14.2042</v>
      </c>
      <c r="Q251" s="20" t="s">
        <v>569</v>
      </c>
      <c r="R251" s="76" t="s">
        <v>495</v>
      </c>
      <c r="S251" s="20" t="s">
        <v>570</v>
      </c>
      <c r="T251" s="20" t="s">
        <v>73</v>
      </c>
      <c r="U251" s="47" t="n">
        <v>1</v>
      </c>
      <c r="V251" s="70" t="s">
        <v>722</v>
      </c>
      <c r="W251" s="47" t="n">
        <v>1</v>
      </c>
    </row>
    <row r="252" customFormat="false" ht="35.05" hidden="false" customHeight="false" outlineLevel="0" collapsed="false">
      <c r="A252" s="70" t="n">
        <v>244</v>
      </c>
      <c r="B252" s="20" t="s">
        <v>363</v>
      </c>
      <c r="C252" s="20" t="s">
        <v>512</v>
      </c>
      <c r="D252" s="20" t="s">
        <v>743</v>
      </c>
      <c r="E252" s="20" t="s">
        <v>744</v>
      </c>
      <c r="F252" s="70" t="s">
        <v>376</v>
      </c>
      <c r="G252" s="20" t="s">
        <v>515</v>
      </c>
      <c r="H252" s="49" t="n">
        <v>28</v>
      </c>
      <c r="I252" s="70" t="s">
        <v>368</v>
      </c>
      <c r="J252" s="70" t="s">
        <v>369</v>
      </c>
      <c r="K252" s="73" t="n">
        <v>1</v>
      </c>
      <c r="L252" s="49" t="n">
        <v>4</v>
      </c>
      <c r="M252" s="67" t="n">
        <v>20.5</v>
      </c>
      <c r="N252" s="68" t="n">
        <f aca="false">K252*L252*M252</f>
        <v>82</v>
      </c>
      <c r="O252" s="34" t="n">
        <f aca="false">IFERROR(INDEX(Исходные!$B$18:$B$30,MATCH(H252,Исходные!$A$18:$A$30,0)),0)</f>
        <v>4.834</v>
      </c>
      <c r="P252" s="74" t="n">
        <f aca="false">N252*O252</f>
        <v>396.388</v>
      </c>
      <c r="Q252" s="20" t="s">
        <v>745</v>
      </c>
      <c r="R252" s="75" t="s">
        <v>517</v>
      </c>
      <c r="S252" s="20" t="s">
        <v>689</v>
      </c>
      <c r="T252" s="20" t="s">
        <v>73</v>
      </c>
      <c r="U252" s="47" t="n">
        <v>0</v>
      </c>
      <c r="V252" s="70" t="s">
        <v>744</v>
      </c>
      <c r="W252" s="47" t="n">
        <v>1</v>
      </c>
    </row>
    <row r="253" customFormat="false" ht="23.85" hidden="false" customHeight="false" outlineLevel="0" collapsed="false">
      <c r="A253" s="70" t="n">
        <v>245</v>
      </c>
      <c r="B253" s="20" t="s">
        <v>363</v>
      </c>
      <c r="C253" s="20" t="s">
        <v>512</v>
      </c>
      <c r="D253" s="20" t="s">
        <v>743</v>
      </c>
      <c r="E253" s="20" t="s">
        <v>744</v>
      </c>
      <c r="F253" s="70" t="s">
        <v>386</v>
      </c>
      <c r="G253" s="20" t="s">
        <v>519</v>
      </c>
      <c r="H253" s="49" t="n">
        <v>18</v>
      </c>
      <c r="I253" s="70" t="s">
        <v>368</v>
      </c>
      <c r="J253" s="70" t="s">
        <v>369</v>
      </c>
      <c r="K253" s="73" t="n">
        <v>1</v>
      </c>
      <c r="L253" s="49" t="n">
        <v>2</v>
      </c>
      <c r="M253" s="67" t="n">
        <v>20.5</v>
      </c>
      <c r="N253" s="68" t="n">
        <f aca="false">K253*L253*M253</f>
        <v>41</v>
      </c>
      <c r="O253" s="34" t="n">
        <f aca="false">IFERROR(INDEX(Исходные!$B$18:$B$30,MATCH(H253,Исходные!$A$18:$A$30,0)),0)</f>
        <v>1.998</v>
      </c>
      <c r="P253" s="74" t="n">
        <f aca="false">N253*O253</f>
        <v>81.918</v>
      </c>
      <c r="Q253" s="20" t="s">
        <v>520</v>
      </c>
      <c r="R253" s="75" t="s">
        <v>517</v>
      </c>
      <c r="S253" s="20"/>
      <c r="T253" s="20" t="s">
        <v>73</v>
      </c>
      <c r="U253" s="47" t="n">
        <v>0</v>
      </c>
      <c r="V253" s="70" t="s">
        <v>744</v>
      </c>
      <c r="W253" s="47" t="n">
        <v>1</v>
      </c>
    </row>
    <row r="254" customFormat="false" ht="35.05" hidden="false" customHeight="false" outlineLevel="0" collapsed="false">
      <c r="A254" s="70" t="n">
        <v>246</v>
      </c>
      <c r="B254" s="20" t="s">
        <v>363</v>
      </c>
      <c r="C254" s="20" t="s">
        <v>512</v>
      </c>
      <c r="D254" s="20" t="s">
        <v>743</v>
      </c>
      <c r="E254" s="20" t="s">
        <v>744</v>
      </c>
      <c r="F254" s="70" t="s">
        <v>521</v>
      </c>
      <c r="G254" s="20" t="s">
        <v>690</v>
      </c>
      <c r="H254" s="49" t="n">
        <v>18</v>
      </c>
      <c r="I254" s="70" t="s">
        <v>368</v>
      </c>
      <c r="J254" s="70" t="s">
        <v>369</v>
      </c>
      <c r="K254" s="73" t="n">
        <v>2</v>
      </c>
      <c r="L254" s="49" t="n">
        <v>1</v>
      </c>
      <c r="M254" s="67" t="n">
        <v>0.144</v>
      </c>
      <c r="N254" s="68" t="n">
        <f aca="false">K254*L254*M254</f>
        <v>0.288</v>
      </c>
      <c r="O254" s="34" t="n">
        <f aca="false">IFERROR(INDEX(Исходные!$B$18:$B$30,MATCH(H254,Исходные!$A$18:$A$30,0)),0)</f>
        <v>1.998</v>
      </c>
      <c r="P254" s="74" t="n">
        <f aca="false">N254*O254</f>
        <v>0.575424</v>
      </c>
      <c r="Q254" s="20" t="s">
        <v>523</v>
      </c>
      <c r="R254" s="75" t="s">
        <v>524</v>
      </c>
      <c r="S254" s="20" t="s">
        <v>662</v>
      </c>
      <c r="T254" s="20" t="s">
        <v>73</v>
      </c>
      <c r="U254" s="47" t="n">
        <v>0</v>
      </c>
      <c r="V254" s="70" t="s">
        <v>744</v>
      </c>
      <c r="W254" s="47" t="n">
        <v>1</v>
      </c>
    </row>
    <row r="255" customFormat="false" ht="23.85" hidden="false" customHeight="false" outlineLevel="0" collapsed="false">
      <c r="A255" s="70" t="n">
        <v>247</v>
      </c>
      <c r="B255" s="20" t="s">
        <v>363</v>
      </c>
      <c r="C255" s="20" t="s">
        <v>512</v>
      </c>
      <c r="D255" s="20" t="s">
        <v>743</v>
      </c>
      <c r="E255" s="20" t="s">
        <v>744</v>
      </c>
      <c r="F255" s="70" t="s">
        <v>526</v>
      </c>
      <c r="G255" s="20" t="s">
        <v>527</v>
      </c>
      <c r="H255" s="49" t="n">
        <v>16</v>
      </c>
      <c r="I255" s="70" t="s">
        <v>368</v>
      </c>
      <c r="J255" s="70" t="s">
        <v>369</v>
      </c>
      <c r="K255" s="73" t="n">
        <v>1</v>
      </c>
      <c r="L255" s="49" t="n">
        <v>2</v>
      </c>
      <c r="M255" s="67" t="n">
        <v>20.5</v>
      </c>
      <c r="N255" s="68" t="n">
        <f aca="false">K255*L255*M255</f>
        <v>41</v>
      </c>
      <c r="O255" s="34" t="n">
        <f aca="false">IFERROR(INDEX(Исходные!$B$18:$B$30,MATCH(H255,Исходные!$A$18:$A$30,0)),0)</f>
        <v>1.578</v>
      </c>
      <c r="P255" s="74" t="n">
        <f aca="false">N255*O255</f>
        <v>64.698</v>
      </c>
      <c r="Q255" s="20" t="s">
        <v>528</v>
      </c>
      <c r="R255" s="75" t="s">
        <v>517</v>
      </c>
      <c r="S255" s="20"/>
      <c r="T255" s="20" t="s">
        <v>73</v>
      </c>
      <c r="U255" s="47" t="n">
        <v>0</v>
      </c>
      <c r="V255" s="70" t="s">
        <v>744</v>
      </c>
      <c r="W255" s="47" t="n">
        <v>1</v>
      </c>
    </row>
    <row r="256" customFormat="false" ht="35.05" hidden="false" customHeight="false" outlineLevel="0" collapsed="false">
      <c r="A256" s="70" t="n">
        <v>248</v>
      </c>
      <c r="B256" s="20" t="s">
        <v>363</v>
      </c>
      <c r="C256" s="20" t="s">
        <v>512</v>
      </c>
      <c r="D256" s="20" t="s">
        <v>743</v>
      </c>
      <c r="E256" s="20" t="s">
        <v>744</v>
      </c>
      <c r="F256" s="70" t="s">
        <v>529</v>
      </c>
      <c r="G256" s="20" t="s">
        <v>691</v>
      </c>
      <c r="H256" s="49" t="n">
        <v>16</v>
      </c>
      <c r="I256" s="70" t="s">
        <v>368</v>
      </c>
      <c r="J256" s="70" t="s">
        <v>369</v>
      </c>
      <c r="K256" s="73" t="n">
        <v>2</v>
      </c>
      <c r="L256" s="49" t="n">
        <v>1</v>
      </c>
      <c r="M256" s="67" t="n">
        <v>0.128</v>
      </c>
      <c r="N256" s="68" t="n">
        <f aca="false">K256*L256*M256</f>
        <v>0.256</v>
      </c>
      <c r="O256" s="34" t="n">
        <f aca="false">IFERROR(INDEX(Исходные!$B$18:$B$30,MATCH(H256,Исходные!$A$18:$A$30,0)),0)</f>
        <v>1.578</v>
      </c>
      <c r="P256" s="74" t="n">
        <f aca="false">N256*O256</f>
        <v>0.403968</v>
      </c>
      <c r="Q256" s="20" t="s">
        <v>531</v>
      </c>
      <c r="R256" s="75" t="s">
        <v>524</v>
      </c>
      <c r="S256" s="20" t="s">
        <v>664</v>
      </c>
      <c r="T256" s="20" t="s">
        <v>73</v>
      </c>
      <c r="U256" s="47" t="n">
        <v>0</v>
      </c>
      <c r="V256" s="70" t="s">
        <v>744</v>
      </c>
      <c r="W256" s="47" t="n">
        <v>1</v>
      </c>
    </row>
    <row r="257" customFormat="false" ht="23.85" hidden="false" customHeight="false" outlineLevel="0" collapsed="false">
      <c r="A257" s="70" t="n">
        <v>249</v>
      </c>
      <c r="B257" s="20" t="s">
        <v>363</v>
      </c>
      <c r="C257" s="20" t="s">
        <v>512</v>
      </c>
      <c r="D257" s="20" t="s">
        <v>743</v>
      </c>
      <c r="E257" s="20" t="s">
        <v>744</v>
      </c>
      <c r="F257" s="70" t="s">
        <v>533</v>
      </c>
      <c r="G257" s="20" t="s">
        <v>746</v>
      </c>
      <c r="H257" s="49" t="n">
        <v>32</v>
      </c>
      <c r="I257" s="70" t="s">
        <v>368</v>
      </c>
      <c r="J257" s="70" t="s">
        <v>369</v>
      </c>
      <c r="K257" s="73" t="n">
        <v>1</v>
      </c>
      <c r="L257" s="49" t="n">
        <v>2</v>
      </c>
      <c r="M257" s="67" t="n">
        <v>2.4</v>
      </c>
      <c r="N257" s="68" t="n">
        <f aca="false">K257*L257*M257</f>
        <v>4.8</v>
      </c>
      <c r="O257" s="34" t="n">
        <f aca="false">IFERROR(INDEX(Исходные!$B$18:$B$30,MATCH(H257,Исходные!$A$18:$A$30,0)),0)</f>
        <v>6.313</v>
      </c>
      <c r="P257" s="74" t="n">
        <f aca="false">N257*O257</f>
        <v>30.3024</v>
      </c>
      <c r="Q257" s="20" t="s">
        <v>747</v>
      </c>
      <c r="R257" s="75" t="s">
        <v>517</v>
      </c>
      <c r="S257" s="20" t="s">
        <v>694</v>
      </c>
      <c r="T257" s="20" t="s">
        <v>73</v>
      </c>
      <c r="U257" s="47" t="n">
        <v>0</v>
      </c>
      <c r="V257" s="70" t="s">
        <v>744</v>
      </c>
      <c r="W257" s="47" t="n">
        <v>1</v>
      </c>
    </row>
    <row r="258" customFormat="false" ht="23.85" hidden="false" customHeight="false" outlineLevel="0" collapsed="false">
      <c r="A258" s="70" t="n">
        <v>250</v>
      </c>
      <c r="B258" s="20" t="s">
        <v>363</v>
      </c>
      <c r="C258" s="20" t="s">
        <v>512</v>
      </c>
      <c r="D258" s="20" t="s">
        <v>743</v>
      </c>
      <c r="E258" s="20" t="s">
        <v>744</v>
      </c>
      <c r="F258" s="70" t="s">
        <v>533</v>
      </c>
      <c r="G258" s="20" t="s">
        <v>748</v>
      </c>
      <c r="H258" s="49" t="n">
        <v>32</v>
      </c>
      <c r="I258" s="70" t="s">
        <v>368</v>
      </c>
      <c r="J258" s="70" t="s">
        <v>369</v>
      </c>
      <c r="K258" s="73" t="n">
        <v>1</v>
      </c>
      <c r="L258" s="49" t="n">
        <v>2</v>
      </c>
      <c r="M258" s="67" t="n">
        <v>3.4</v>
      </c>
      <c r="N258" s="68" t="n">
        <f aca="false">K258*L258*M258</f>
        <v>6.8</v>
      </c>
      <c r="O258" s="34" t="n">
        <f aca="false">IFERROR(INDEX(Исходные!$B$18:$B$30,MATCH(H258,Исходные!$A$18:$A$30,0)),0)</f>
        <v>6.313</v>
      </c>
      <c r="P258" s="74" t="n">
        <f aca="false">N258*O258</f>
        <v>42.9284</v>
      </c>
      <c r="Q258" s="20" t="s">
        <v>747</v>
      </c>
      <c r="R258" s="75" t="s">
        <v>517</v>
      </c>
      <c r="S258" s="20" t="s">
        <v>749</v>
      </c>
      <c r="T258" s="20" t="s">
        <v>73</v>
      </c>
      <c r="U258" s="47" t="n">
        <v>0</v>
      </c>
      <c r="V258" s="70" t="s">
        <v>744</v>
      </c>
      <c r="W258" s="47" t="n">
        <v>1</v>
      </c>
    </row>
    <row r="259" customFormat="false" ht="23.85" hidden="false" customHeight="false" outlineLevel="0" collapsed="false">
      <c r="A259" s="70" t="n">
        <v>251</v>
      </c>
      <c r="B259" s="20" t="s">
        <v>363</v>
      </c>
      <c r="C259" s="20" t="s">
        <v>512</v>
      </c>
      <c r="D259" s="20" t="s">
        <v>743</v>
      </c>
      <c r="E259" s="20" t="s">
        <v>744</v>
      </c>
      <c r="F259" s="70" t="s">
        <v>533</v>
      </c>
      <c r="G259" s="20" t="s">
        <v>750</v>
      </c>
      <c r="H259" s="49" t="n">
        <v>28</v>
      </c>
      <c r="I259" s="70" t="s">
        <v>368</v>
      </c>
      <c r="J259" s="70" t="s">
        <v>369</v>
      </c>
      <c r="K259" s="73" t="n">
        <v>1</v>
      </c>
      <c r="L259" s="49" t="n">
        <v>2</v>
      </c>
      <c r="M259" s="67" t="n">
        <v>3.6</v>
      </c>
      <c r="N259" s="68" t="n">
        <f aca="false">K259*L259*M259</f>
        <v>7.2</v>
      </c>
      <c r="O259" s="34" t="n">
        <f aca="false">IFERROR(INDEX(Исходные!$B$18:$B$30,MATCH(H259,Исходные!$A$18:$A$30,0)),0)</f>
        <v>4.834</v>
      </c>
      <c r="P259" s="74" t="n">
        <f aca="false">N259*O259</f>
        <v>34.8048</v>
      </c>
      <c r="Q259" s="20" t="s">
        <v>751</v>
      </c>
      <c r="R259" s="75" t="s">
        <v>517</v>
      </c>
      <c r="S259" s="20" t="s">
        <v>702</v>
      </c>
      <c r="T259" s="20" t="s">
        <v>73</v>
      </c>
      <c r="U259" s="47" t="n">
        <v>0</v>
      </c>
      <c r="V259" s="70" t="s">
        <v>744</v>
      </c>
      <c r="W259" s="47" t="n">
        <v>1</v>
      </c>
    </row>
    <row r="260" customFormat="false" ht="23.85" hidden="false" customHeight="false" outlineLevel="0" collapsed="false">
      <c r="A260" s="70" t="n">
        <v>252</v>
      </c>
      <c r="B260" s="20" t="s">
        <v>363</v>
      </c>
      <c r="C260" s="20" t="s">
        <v>512</v>
      </c>
      <c r="D260" s="20" t="s">
        <v>743</v>
      </c>
      <c r="E260" s="20" t="s">
        <v>744</v>
      </c>
      <c r="F260" s="70" t="s">
        <v>533</v>
      </c>
      <c r="G260" s="20" t="s">
        <v>703</v>
      </c>
      <c r="H260" s="49" t="n">
        <v>32</v>
      </c>
      <c r="I260" s="70" t="s">
        <v>368</v>
      </c>
      <c r="J260" s="70" t="s">
        <v>369</v>
      </c>
      <c r="K260" s="73" t="n">
        <v>1</v>
      </c>
      <c r="L260" s="49" t="n">
        <v>2</v>
      </c>
      <c r="M260" s="67" t="n">
        <v>2.85</v>
      </c>
      <c r="N260" s="68" t="n">
        <f aca="false">K260*L260*M260</f>
        <v>5.7</v>
      </c>
      <c r="O260" s="34" t="n">
        <f aca="false">IFERROR(INDEX(Исходные!$B$18:$B$30,MATCH(H260,Исходные!$A$18:$A$30,0)),0)</f>
        <v>6.313</v>
      </c>
      <c r="P260" s="74" t="n">
        <f aca="false">N260*O260</f>
        <v>35.9841</v>
      </c>
      <c r="Q260" s="20" t="s">
        <v>747</v>
      </c>
      <c r="R260" s="75" t="s">
        <v>517</v>
      </c>
      <c r="S260" s="20" t="s">
        <v>704</v>
      </c>
      <c r="T260" s="20" t="s">
        <v>73</v>
      </c>
      <c r="U260" s="47" t="n">
        <v>0</v>
      </c>
      <c r="V260" s="70" t="s">
        <v>744</v>
      </c>
      <c r="W260" s="47" t="n">
        <v>1</v>
      </c>
    </row>
    <row r="261" customFormat="false" ht="23.85" hidden="false" customHeight="false" outlineLevel="0" collapsed="false">
      <c r="A261" s="70" t="n">
        <v>253</v>
      </c>
      <c r="B261" s="20" t="s">
        <v>363</v>
      </c>
      <c r="C261" s="20" t="s">
        <v>512</v>
      </c>
      <c r="D261" s="20" t="s">
        <v>743</v>
      </c>
      <c r="E261" s="20" t="s">
        <v>744</v>
      </c>
      <c r="F261" s="70" t="s">
        <v>533</v>
      </c>
      <c r="G261" s="20" t="s">
        <v>752</v>
      </c>
      <c r="H261" s="49" t="n">
        <v>25</v>
      </c>
      <c r="I261" s="70" t="s">
        <v>368</v>
      </c>
      <c r="J261" s="70" t="s">
        <v>369</v>
      </c>
      <c r="K261" s="73" t="n">
        <v>1</v>
      </c>
      <c r="L261" s="49" t="n">
        <v>2</v>
      </c>
      <c r="M261" s="67" t="n">
        <v>6.2</v>
      </c>
      <c r="N261" s="68" t="n">
        <f aca="false">K261*L261*M261</f>
        <v>12.4</v>
      </c>
      <c r="O261" s="34" t="n">
        <f aca="false">IFERROR(INDEX(Исходные!$B$18:$B$30,MATCH(H261,Исходные!$A$18:$A$30,0)),0)</f>
        <v>3.853</v>
      </c>
      <c r="P261" s="74" t="n">
        <f aca="false">N261*O261</f>
        <v>47.7772</v>
      </c>
      <c r="Q261" s="20" t="s">
        <v>753</v>
      </c>
      <c r="R261" s="75" t="s">
        <v>517</v>
      </c>
      <c r="S261" s="20" t="s">
        <v>754</v>
      </c>
      <c r="T261" s="20" t="s">
        <v>73</v>
      </c>
      <c r="U261" s="47" t="n">
        <v>0</v>
      </c>
      <c r="V261" s="70" t="s">
        <v>744</v>
      </c>
      <c r="W261" s="47" t="n">
        <v>1</v>
      </c>
    </row>
    <row r="262" customFormat="false" ht="23.85" hidden="false" customHeight="false" outlineLevel="0" collapsed="false">
      <c r="A262" s="70" t="n">
        <v>254</v>
      </c>
      <c r="B262" s="20" t="s">
        <v>363</v>
      </c>
      <c r="C262" s="20" t="s">
        <v>512</v>
      </c>
      <c r="D262" s="20" t="s">
        <v>743</v>
      </c>
      <c r="E262" s="20" t="s">
        <v>744</v>
      </c>
      <c r="F262" s="70" t="s">
        <v>533</v>
      </c>
      <c r="G262" s="20" t="s">
        <v>755</v>
      </c>
      <c r="H262" s="49" t="n">
        <v>20</v>
      </c>
      <c r="I262" s="70" t="s">
        <v>368</v>
      </c>
      <c r="J262" s="70" t="s">
        <v>369</v>
      </c>
      <c r="K262" s="73" t="n">
        <v>1</v>
      </c>
      <c r="L262" s="49" t="n">
        <v>2</v>
      </c>
      <c r="M262" s="67" t="n">
        <v>3</v>
      </c>
      <c r="N262" s="68" t="n">
        <f aca="false">K262*L262*M262</f>
        <v>6</v>
      </c>
      <c r="O262" s="34" t="n">
        <f aca="false">IFERROR(INDEX(Исходные!$B$18:$B$30,MATCH(H262,Исходные!$A$18:$A$30,0)),0)</f>
        <v>2.466</v>
      </c>
      <c r="P262" s="74" t="n">
        <f aca="false">N262*O262</f>
        <v>14.796</v>
      </c>
      <c r="Q262" s="20" t="s">
        <v>756</v>
      </c>
      <c r="R262" s="75" t="s">
        <v>517</v>
      </c>
      <c r="S262" s="20" t="s">
        <v>679</v>
      </c>
      <c r="T262" s="20" t="s">
        <v>73</v>
      </c>
      <c r="U262" s="47" t="n">
        <v>0</v>
      </c>
      <c r="V262" s="70" t="s">
        <v>744</v>
      </c>
      <c r="W262" s="47" t="n">
        <v>1</v>
      </c>
    </row>
    <row r="263" customFormat="false" ht="23.85" hidden="false" customHeight="false" outlineLevel="0" collapsed="false">
      <c r="A263" s="70" t="n">
        <v>255</v>
      </c>
      <c r="B263" s="20" t="s">
        <v>363</v>
      </c>
      <c r="C263" s="20" t="s">
        <v>512</v>
      </c>
      <c r="D263" s="20" t="s">
        <v>743</v>
      </c>
      <c r="E263" s="20" t="s">
        <v>744</v>
      </c>
      <c r="F263" s="70" t="s">
        <v>533</v>
      </c>
      <c r="G263" s="20" t="s">
        <v>757</v>
      </c>
      <c r="H263" s="49" t="n">
        <v>16</v>
      </c>
      <c r="I263" s="70" t="s">
        <v>368</v>
      </c>
      <c r="J263" s="70" t="s">
        <v>369</v>
      </c>
      <c r="K263" s="73" t="n">
        <v>1</v>
      </c>
      <c r="L263" s="49" t="n">
        <v>2</v>
      </c>
      <c r="M263" s="67" t="n">
        <v>2.3</v>
      </c>
      <c r="N263" s="68" t="n">
        <f aca="false">K263*L263*M263</f>
        <v>4.6</v>
      </c>
      <c r="O263" s="34" t="n">
        <f aca="false">IFERROR(INDEX(Исходные!$B$18:$B$30,MATCH(H263,Исходные!$A$18:$A$30,0)),0)</f>
        <v>1.578</v>
      </c>
      <c r="P263" s="74" t="n">
        <f aca="false">N263*O263</f>
        <v>7.2588</v>
      </c>
      <c r="Q263" s="20" t="s">
        <v>758</v>
      </c>
      <c r="R263" s="75" t="s">
        <v>517</v>
      </c>
      <c r="S263" s="20" t="s">
        <v>759</v>
      </c>
      <c r="T263" s="20" t="s">
        <v>73</v>
      </c>
      <c r="U263" s="47" t="n">
        <v>0</v>
      </c>
      <c r="V263" s="70" t="s">
        <v>744</v>
      </c>
      <c r="W263" s="47" t="n">
        <v>1</v>
      </c>
    </row>
    <row r="264" customFormat="false" ht="23.85" hidden="false" customHeight="false" outlineLevel="0" collapsed="false">
      <c r="A264" s="70" t="n">
        <v>256</v>
      </c>
      <c r="B264" s="20" t="s">
        <v>363</v>
      </c>
      <c r="C264" s="20" t="s">
        <v>512</v>
      </c>
      <c r="D264" s="20" t="s">
        <v>743</v>
      </c>
      <c r="E264" s="20" t="s">
        <v>744</v>
      </c>
      <c r="F264" s="70" t="s">
        <v>533</v>
      </c>
      <c r="G264" s="20" t="s">
        <v>760</v>
      </c>
      <c r="H264" s="49" t="n">
        <v>12</v>
      </c>
      <c r="I264" s="70" t="s">
        <v>368</v>
      </c>
      <c r="J264" s="70" t="s">
        <v>369</v>
      </c>
      <c r="K264" s="73" t="n">
        <v>1</v>
      </c>
      <c r="L264" s="49" t="n">
        <v>4</v>
      </c>
      <c r="M264" s="67" t="n">
        <v>2.4</v>
      </c>
      <c r="N264" s="68" t="n">
        <f aca="false">K264*L264*M264</f>
        <v>9.6</v>
      </c>
      <c r="O264" s="34" t="n">
        <f aca="false">IFERROR(INDEX(Исходные!$B$18:$B$30,MATCH(H264,Исходные!$A$18:$A$30,0)),0)</f>
        <v>0.888</v>
      </c>
      <c r="P264" s="74" t="n">
        <f aca="false">N264*O264</f>
        <v>8.5248</v>
      </c>
      <c r="Q264" s="20" t="s">
        <v>761</v>
      </c>
      <c r="R264" s="75" t="s">
        <v>517</v>
      </c>
      <c r="S264" s="20" t="s">
        <v>694</v>
      </c>
      <c r="T264" s="20" t="s">
        <v>73</v>
      </c>
      <c r="U264" s="47" t="n">
        <v>0</v>
      </c>
      <c r="V264" s="70" t="s">
        <v>744</v>
      </c>
      <c r="W264" s="47" t="n">
        <v>1</v>
      </c>
    </row>
    <row r="265" customFormat="false" ht="23.85" hidden="false" customHeight="false" outlineLevel="0" collapsed="false">
      <c r="A265" s="70" t="n">
        <v>257</v>
      </c>
      <c r="B265" s="20" t="s">
        <v>363</v>
      </c>
      <c r="C265" s="20" t="s">
        <v>512</v>
      </c>
      <c r="D265" s="20" t="s">
        <v>743</v>
      </c>
      <c r="E265" s="20" t="s">
        <v>744</v>
      </c>
      <c r="F265" s="70" t="s">
        <v>533</v>
      </c>
      <c r="G265" s="20" t="s">
        <v>762</v>
      </c>
      <c r="H265" s="49" t="n">
        <v>12</v>
      </c>
      <c r="I265" s="70" t="s">
        <v>368</v>
      </c>
      <c r="J265" s="70" t="s">
        <v>369</v>
      </c>
      <c r="K265" s="73" t="n">
        <v>1</v>
      </c>
      <c r="L265" s="49" t="n">
        <v>4</v>
      </c>
      <c r="M265" s="67" t="n">
        <v>3.4</v>
      </c>
      <c r="N265" s="68" t="n">
        <f aca="false">K265*L265*M265</f>
        <v>13.6</v>
      </c>
      <c r="O265" s="34" t="n">
        <f aca="false">IFERROR(INDEX(Исходные!$B$18:$B$30,MATCH(H265,Исходные!$A$18:$A$30,0)),0)</f>
        <v>0.888</v>
      </c>
      <c r="P265" s="74" t="n">
        <f aca="false">N265*O265</f>
        <v>12.0768</v>
      </c>
      <c r="Q265" s="20" t="s">
        <v>761</v>
      </c>
      <c r="R265" s="75" t="s">
        <v>517</v>
      </c>
      <c r="S265" s="20" t="s">
        <v>749</v>
      </c>
      <c r="T265" s="20" t="s">
        <v>73</v>
      </c>
      <c r="U265" s="47" t="n">
        <v>0</v>
      </c>
      <c r="V265" s="70" t="s">
        <v>744</v>
      </c>
      <c r="W265" s="47" t="n">
        <v>1</v>
      </c>
    </row>
    <row r="266" customFormat="false" ht="23.85" hidden="false" customHeight="false" outlineLevel="0" collapsed="false">
      <c r="A266" s="70" t="n">
        <v>258</v>
      </c>
      <c r="B266" s="20" t="s">
        <v>363</v>
      </c>
      <c r="C266" s="20" t="s">
        <v>512</v>
      </c>
      <c r="D266" s="20" t="s">
        <v>743</v>
      </c>
      <c r="E266" s="20" t="s">
        <v>744</v>
      </c>
      <c r="F266" s="70" t="s">
        <v>533</v>
      </c>
      <c r="G266" s="20" t="s">
        <v>763</v>
      </c>
      <c r="H266" s="49" t="n">
        <v>12</v>
      </c>
      <c r="I266" s="70" t="s">
        <v>368</v>
      </c>
      <c r="J266" s="70" t="s">
        <v>369</v>
      </c>
      <c r="K266" s="73" t="n">
        <v>1</v>
      </c>
      <c r="L266" s="49" t="n">
        <v>4</v>
      </c>
      <c r="M266" s="67" t="n">
        <v>3.6</v>
      </c>
      <c r="N266" s="68" t="n">
        <f aca="false">K266*L266*M266</f>
        <v>14.4</v>
      </c>
      <c r="O266" s="34" t="n">
        <f aca="false">IFERROR(INDEX(Исходные!$B$18:$B$30,MATCH(H266,Исходные!$A$18:$A$30,0)),0)</f>
        <v>0.888</v>
      </c>
      <c r="P266" s="74" t="n">
        <f aca="false">N266*O266</f>
        <v>12.7872</v>
      </c>
      <c r="Q266" s="20" t="s">
        <v>761</v>
      </c>
      <c r="R266" s="75" t="s">
        <v>517</v>
      </c>
      <c r="S266" s="20" t="s">
        <v>702</v>
      </c>
      <c r="T266" s="20" t="s">
        <v>73</v>
      </c>
      <c r="U266" s="47" t="n">
        <v>0</v>
      </c>
      <c r="V266" s="70" t="s">
        <v>744</v>
      </c>
      <c r="W266" s="47" t="n">
        <v>1</v>
      </c>
    </row>
    <row r="267" customFormat="false" ht="23.85" hidden="false" customHeight="false" outlineLevel="0" collapsed="false">
      <c r="A267" s="70" t="n">
        <v>259</v>
      </c>
      <c r="B267" s="20" t="s">
        <v>363</v>
      </c>
      <c r="C267" s="20" t="s">
        <v>512</v>
      </c>
      <c r="D267" s="20" t="s">
        <v>743</v>
      </c>
      <c r="E267" s="20" t="s">
        <v>744</v>
      </c>
      <c r="F267" s="70" t="s">
        <v>533</v>
      </c>
      <c r="G267" s="20" t="s">
        <v>764</v>
      </c>
      <c r="H267" s="49" t="n">
        <v>12</v>
      </c>
      <c r="I267" s="70" t="s">
        <v>368</v>
      </c>
      <c r="J267" s="70" t="s">
        <v>369</v>
      </c>
      <c r="K267" s="73" t="n">
        <v>1</v>
      </c>
      <c r="L267" s="49" t="n">
        <v>4</v>
      </c>
      <c r="M267" s="67" t="n">
        <v>2.3</v>
      </c>
      <c r="N267" s="68" t="n">
        <f aca="false">K267*L267*M267</f>
        <v>9.2</v>
      </c>
      <c r="O267" s="34" t="n">
        <f aca="false">IFERROR(INDEX(Исходные!$B$18:$B$30,MATCH(H267,Исходные!$A$18:$A$30,0)),0)</f>
        <v>0.888</v>
      </c>
      <c r="P267" s="74" t="n">
        <f aca="false">N267*O267</f>
        <v>8.1696</v>
      </c>
      <c r="Q267" s="20" t="s">
        <v>761</v>
      </c>
      <c r="R267" s="75" t="s">
        <v>517</v>
      </c>
      <c r="S267" s="20" t="s">
        <v>759</v>
      </c>
      <c r="T267" s="20" t="s">
        <v>73</v>
      </c>
      <c r="U267" s="47" t="n">
        <v>0</v>
      </c>
      <c r="V267" s="70" t="s">
        <v>744</v>
      </c>
      <c r="W267" s="47" t="n">
        <v>1</v>
      </c>
    </row>
    <row r="268" customFormat="false" ht="23.85" hidden="false" customHeight="false" outlineLevel="0" collapsed="false">
      <c r="A268" s="70" t="n">
        <v>260</v>
      </c>
      <c r="B268" s="20" t="s">
        <v>363</v>
      </c>
      <c r="C268" s="20" t="s">
        <v>512</v>
      </c>
      <c r="D268" s="20" t="s">
        <v>743</v>
      </c>
      <c r="E268" s="20" t="s">
        <v>744</v>
      </c>
      <c r="F268" s="70" t="s">
        <v>553</v>
      </c>
      <c r="G268" s="20" t="s">
        <v>554</v>
      </c>
      <c r="H268" s="49" t="n">
        <v>8</v>
      </c>
      <c r="I268" s="70" t="s">
        <v>403</v>
      </c>
      <c r="J268" s="70" t="s">
        <v>555</v>
      </c>
      <c r="K268" s="73" t="n">
        <v>1</v>
      </c>
      <c r="L268" s="49" t="n">
        <v>51</v>
      </c>
      <c r="M268" s="67" t="n">
        <v>2.06</v>
      </c>
      <c r="N268" s="68" t="n">
        <f aca="false">K268*L268*M268</f>
        <v>105.06</v>
      </c>
      <c r="O268" s="34" t="n">
        <f aca="false">IFERROR(INDEX(Исходные!$B$18:$B$30,MATCH(H268,Исходные!$A$18:$A$30,0)),0)</f>
        <v>0.395</v>
      </c>
      <c r="P268" s="74" t="n">
        <f aca="false">N268*O268</f>
        <v>41.4987</v>
      </c>
      <c r="Q268" s="20" t="s">
        <v>556</v>
      </c>
      <c r="R268" s="75" t="s">
        <v>371</v>
      </c>
      <c r="S268" s="20" t="s">
        <v>717</v>
      </c>
      <c r="T268" s="20" t="s">
        <v>73</v>
      </c>
      <c r="U268" s="47" t="n">
        <v>0</v>
      </c>
      <c r="V268" s="70" t="s">
        <v>744</v>
      </c>
      <c r="W268" s="47" t="n">
        <v>1</v>
      </c>
    </row>
    <row r="269" customFormat="false" ht="23.85" hidden="false" customHeight="false" outlineLevel="0" collapsed="false">
      <c r="A269" s="70" t="n">
        <v>261</v>
      </c>
      <c r="B269" s="20" t="s">
        <v>363</v>
      </c>
      <c r="C269" s="20" t="s">
        <v>512</v>
      </c>
      <c r="D269" s="20" t="s">
        <v>743</v>
      </c>
      <c r="E269" s="20" t="s">
        <v>744</v>
      </c>
      <c r="F269" s="70" t="s">
        <v>418</v>
      </c>
      <c r="G269" s="20" t="s">
        <v>558</v>
      </c>
      <c r="H269" s="49" t="n">
        <v>10</v>
      </c>
      <c r="I269" s="70" t="s">
        <v>403</v>
      </c>
      <c r="J269" s="70" t="n">
        <v>100</v>
      </c>
      <c r="K269" s="73" t="n">
        <v>1</v>
      </c>
      <c r="L269" s="49" t="n">
        <v>86</v>
      </c>
      <c r="M269" s="67" t="n">
        <v>2.06</v>
      </c>
      <c r="N269" s="68" t="n">
        <f aca="false">K269*L269*M269</f>
        <v>177.16</v>
      </c>
      <c r="O269" s="34" t="n">
        <f aca="false">IFERROR(INDEX(Исходные!$B$18:$B$30,MATCH(H269,Исходные!$A$18:$A$30,0)),0)</f>
        <v>0.617</v>
      </c>
      <c r="P269" s="74" t="n">
        <f aca="false">N269*O269</f>
        <v>109.30772</v>
      </c>
      <c r="Q269" s="20" t="s">
        <v>765</v>
      </c>
      <c r="R269" s="75" t="s">
        <v>371</v>
      </c>
      <c r="S269" s="20" t="s">
        <v>766</v>
      </c>
      <c r="T269" s="20" t="s">
        <v>73</v>
      </c>
      <c r="U269" s="47" t="n">
        <v>0</v>
      </c>
      <c r="V269" s="70" t="s">
        <v>744</v>
      </c>
      <c r="W269" s="47" t="n">
        <v>1</v>
      </c>
    </row>
    <row r="270" customFormat="false" ht="23.85" hidden="false" customHeight="false" outlineLevel="0" collapsed="false">
      <c r="A270" s="70" t="n">
        <v>262</v>
      </c>
      <c r="B270" s="20" t="s">
        <v>363</v>
      </c>
      <c r="C270" s="20" t="s">
        <v>512</v>
      </c>
      <c r="D270" s="20" t="s">
        <v>743</v>
      </c>
      <c r="E270" s="20" t="s">
        <v>744</v>
      </c>
      <c r="F270" s="70" t="s">
        <v>460</v>
      </c>
      <c r="G270" s="20" t="s">
        <v>561</v>
      </c>
      <c r="H270" s="49" t="n">
        <v>10</v>
      </c>
      <c r="I270" s="70" t="s">
        <v>403</v>
      </c>
      <c r="J270" s="70" t="n">
        <v>100</v>
      </c>
      <c r="K270" s="73" t="n">
        <v>1</v>
      </c>
      <c r="L270" s="49" t="n">
        <v>26</v>
      </c>
      <c r="M270" s="67" t="n">
        <v>1.6</v>
      </c>
      <c r="N270" s="68" t="n">
        <f aca="false">K270*L270*M270</f>
        <v>41.6</v>
      </c>
      <c r="O270" s="34" t="n">
        <f aca="false">IFERROR(INDEX(Исходные!$B$18:$B$30,MATCH(H270,Исходные!$A$18:$A$30,0)),0)</f>
        <v>0.617</v>
      </c>
      <c r="P270" s="74" t="n">
        <f aca="false">N270*O270</f>
        <v>25.6672</v>
      </c>
      <c r="Q270" s="20" t="s">
        <v>767</v>
      </c>
      <c r="R270" s="75" t="s">
        <v>371</v>
      </c>
      <c r="S270" s="20"/>
      <c r="T270" s="20" t="s">
        <v>73</v>
      </c>
      <c r="U270" s="47" t="n">
        <v>0</v>
      </c>
      <c r="V270" s="70" t="s">
        <v>744</v>
      </c>
      <c r="W270" s="47" t="n">
        <v>1</v>
      </c>
    </row>
    <row r="271" customFormat="false" ht="23.85" hidden="false" customHeight="false" outlineLevel="0" collapsed="false">
      <c r="A271" s="70" t="n">
        <v>263</v>
      </c>
      <c r="B271" s="20" t="s">
        <v>363</v>
      </c>
      <c r="C271" s="20" t="s">
        <v>512</v>
      </c>
      <c r="D271" s="20" t="s">
        <v>743</v>
      </c>
      <c r="E271" s="20" t="s">
        <v>744</v>
      </c>
      <c r="F271" s="70" t="s">
        <v>563</v>
      </c>
      <c r="G271" s="20" t="s">
        <v>564</v>
      </c>
      <c r="H271" s="49" t="n">
        <v>8</v>
      </c>
      <c r="I271" s="70" t="s">
        <v>403</v>
      </c>
      <c r="J271" s="70" t="s">
        <v>565</v>
      </c>
      <c r="K271" s="73" t="n">
        <v>1</v>
      </c>
      <c r="L271" s="49" t="n">
        <v>71</v>
      </c>
      <c r="M271" s="67" t="n">
        <v>0.75</v>
      </c>
      <c r="N271" s="68" t="n">
        <f aca="false">K271*L271*M271</f>
        <v>53.25</v>
      </c>
      <c r="O271" s="34" t="n">
        <f aca="false">IFERROR(INDEX(Исходные!$B$18:$B$30,MATCH(H271,Исходные!$A$18:$A$30,0)),0)</f>
        <v>0.395</v>
      </c>
      <c r="P271" s="74" t="n">
        <f aca="false">N271*O271</f>
        <v>21.03375</v>
      </c>
      <c r="Q271" s="20" t="s">
        <v>566</v>
      </c>
      <c r="R271" s="75" t="s">
        <v>371</v>
      </c>
      <c r="S271" s="20"/>
      <c r="T271" s="20" t="s">
        <v>73</v>
      </c>
      <c r="U271" s="47" t="n">
        <v>0</v>
      </c>
      <c r="V271" s="70" t="s">
        <v>744</v>
      </c>
      <c r="W271" s="47" t="n">
        <v>1</v>
      </c>
    </row>
    <row r="272" customFormat="false" ht="23.85" hidden="false" customHeight="false" outlineLevel="0" collapsed="false">
      <c r="A272" s="70" t="n">
        <v>264</v>
      </c>
      <c r="B272" s="20" t="s">
        <v>363</v>
      </c>
      <c r="C272" s="20" t="s">
        <v>512</v>
      </c>
      <c r="D272" s="20" t="s">
        <v>743</v>
      </c>
      <c r="E272" s="20" t="s">
        <v>744</v>
      </c>
      <c r="F272" s="70" t="s">
        <v>567</v>
      </c>
      <c r="G272" s="20" t="s">
        <v>568</v>
      </c>
      <c r="H272" s="49" t="n">
        <v>8</v>
      </c>
      <c r="I272" s="70" t="s">
        <v>403</v>
      </c>
      <c r="J272" s="70" t="n">
        <v>300</v>
      </c>
      <c r="K272" s="73" t="n">
        <v>1</v>
      </c>
      <c r="L272" s="49" t="n">
        <v>54</v>
      </c>
      <c r="M272" s="67" t="n">
        <v>0.58</v>
      </c>
      <c r="N272" s="68" t="n">
        <f aca="false">K272*L272*M272</f>
        <v>31.32</v>
      </c>
      <c r="O272" s="34" t="n">
        <f aca="false">IFERROR(INDEX(Исходные!$B$18:$B$30,MATCH(H272,Исходные!$A$18:$A$30,0)),0)</f>
        <v>0.395</v>
      </c>
      <c r="P272" s="74" t="n">
        <f aca="false">N272*O272</f>
        <v>12.3714</v>
      </c>
      <c r="Q272" s="20" t="s">
        <v>569</v>
      </c>
      <c r="R272" s="76" t="s">
        <v>495</v>
      </c>
      <c r="S272" s="20" t="s">
        <v>570</v>
      </c>
      <c r="T272" s="20" t="s">
        <v>73</v>
      </c>
      <c r="U272" s="47" t="n">
        <v>1</v>
      </c>
      <c r="V272" s="70" t="s">
        <v>744</v>
      </c>
      <c r="W272" s="47" t="n">
        <v>1</v>
      </c>
    </row>
    <row r="273" customFormat="false" ht="15" hidden="false" customHeight="true" outlineLevel="0" collapsed="false">
      <c r="A273" s="72" t="s">
        <v>768</v>
      </c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</row>
    <row r="274" customFormat="false" ht="23.85" hidden="false" customHeight="false" outlineLevel="0" collapsed="false">
      <c r="A274" s="70" t="n">
        <v>265</v>
      </c>
      <c r="B274" s="20" t="s">
        <v>363</v>
      </c>
      <c r="C274" s="20" t="s">
        <v>769</v>
      </c>
      <c r="D274" s="20" t="s">
        <v>770</v>
      </c>
      <c r="E274" s="20" t="s">
        <v>771</v>
      </c>
      <c r="F274" s="70" t="s">
        <v>772</v>
      </c>
      <c r="G274" s="20" t="s">
        <v>773</v>
      </c>
      <c r="H274" s="49" t="n">
        <v>10</v>
      </c>
      <c r="I274" s="70" t="s">
        <v>368</v>
      </c>
      <c r="J274" s="70" t="n">
        <v>200</v>
      </c>
      <c r="K274" s="73" t="n">
        <v>1</v>
      </c>
      <c r="L274" s="49" t="n">
        <v>26</v>
      </c>
      <c r="M274" s="67" t="n">
        <v>27.35</v>
      </c>
      <c r="N274" s="68" t="n">
        <f aca="false">K274*L274*M274</f>
        <v>711.1</v>
      </c>
      <c r="O274" s="34" t="n">
        <f aca="false">IFERROR(INDEX(Исходные!$B$18:$B$30,MATCH(H274,Исходные!$A$18:$A$30,0)),0)</f>
        <v>0.617</v>
      </c>
      <c r="P274" s="74" t="n">
        <f aca="false">N274*O274</f>
        <v>438.7487</v>
      </c>
      <c r="Q274" s="20" t="s">
        <v>774</v>
      </c>
      <c r="R274" s="75" t="s">
        <v>517</v>
      </c>
      <c r="S274" s="20"/>
      <c r="T274" s="20" t="s">
        <v>73</v>
      </c>
      <c r="U274" s="47" t="n">
        <v>0</v>
      </c>
      <c r="V274" s="70" t="s">
        <v>775</v>
      </c>
      <c r="W274" s="47" t="n">
        <v>1</v>
      </c>
    </row>
    <row r="275" customFormat="false" ht="35.05" hidden="false" customHeight="false" outlineLevel="0" collapsed="false">
      <c r="A275" s="70" t="n">
        <v>266</v>
      </c>
      <c r="B275" s="20" t="s">
        <v>363</v>
      </c>
      <c r="C275" s="20" t="s">
        <v>769</v>
      </c>
      <c r="D275" s="20" t="s">
        <v>770</v>
      </c>
      <c r="E275" s="20" t="s">
        <v>771</v>
      </c>
      <c r="F275" s="70" t="s">
        <v>776</v>
      </c>
      <c r="G275" s="20" t="s">
        <v>777</v>
      </c>
      <c r="H275" s="49" t="n">
        <v>10</v>
      </c>
      <c r="I275" s="70" t="s">
        <v>368</v>
      </c>
      <c r="J275" s="70" t="s">
        <v>369</v>
      </c>
      <c r="K275" s="73" t="n">
        <v>26</v>
      </c>
      <c r="L275" s="49" t="n">
        <v>2</v>
      </c>
      <c r="M275" s="67" t="n">
        <v>0.4</v>
      </c>
      <c r="N275" s="68" t="n">
        <f aca="false">K275*L275*M275</f>
        <v>20.8</v>
      </c>
      <c r="O275" s="34" t="n">
        <f aca="false">IFERROR(INDEX(Исходные!$B$18:$B$30,MATCH(H275,Исходные!$A$18:$A$30,0)),0)</f>
        <v>0.617</v>
      </c>
      <c r="P275" s="74" t="n">
        <f aca="false">N275*O275</f>
        <v>12.8336</v>
      </c>
      <c r="Q275" s="20" t="s">
        <v>778</v>
      </c>
      <c r="R275" s="75" t="s">
        <v>524</v>
      </c>
      <c r="S275" s="20" t="s">
        <v>779</v>
      </c>
      <c r="T275" s="20" t="s">
        <v>73</v>
      </c>
      <c r="U275" s="47" t="n">
        <v>0</v>
      </c>
      <c r="V275" s="70" t="s">
        <v>775</v>
      </c>
      <c r="W275" s="47" t="n">
        <v>1</v>
      </c>
    </row>
    <row r="276" customFormat="false" ht="23.85" hidden="false" customHeight="false" outlineLevel="0" collapsed="false">
      <c r="A276" s="70" t="n">
        <v>267</v>
      </c>
      <c r="B276" s="20" t="s">
        <v>363</v>
      </c>
      <c r="C276" s="20" t="s">
        <v>769</v>
      </c>
      <c r="D276" s="20" t="s">
        <v>770</v>
      </c>
      <c r="E276" s="20" t="s">
        <v>771</v>
      </c>
      <c r="F276" s="70" t="s">
        <v>772</v>
      </c>
      <c r="G276" s="20" t="s">
        <v>773</v>
      </c>
      <c r="H276" s="49" t="n">
        <v>10</v>
      </c>
      <c r="I276" s="70" t="s">
        <v>368</v>
      </c>
      <c r="J276" s="70" t="n">
        <v>200</v>
      </c>
      <c r="K276" s="73" t="n">
        <v>1</v>
      </c>
      <c r="L276" s="49" t="n">
        <v>49</v>
      </c>
      <c r="M276" s="67" t="n">
        <v>25.62</v>
      </c>
      <c r="N276" s="68" t="n">
        <f aca="false">K276*L276*M276</f>
        <v>1255.38</v>
      </c>
      <c r="O276" s="34" t="n">
        <f aca="false">IFERROR(INDEX(Исходные!$B$18:$B$30,MATCH(H276,Исходные!$A$18:$A$30,0)),0)</f>
        <v>0.617</v>
      </c>
      <c r="P276" s="74" t="n">
        <f aca="false">N276*O276</f>
        <v>774.56946</v>
      </c>
      <c r="Q276" s="20" t="s">
        <v>774</v>
      </c>
      <c r="R276" s="75" t="s">
        <v>517</v>
      </c>
      <c r="S276" s="20"/>
      <c r="T276" s="20" t="s">
        <v>73</v>
      </c>
      <c r="U276" s="47" t="n">
        <v>0</v>
      </c>
      <c r="V276" s="70" t="s">
        <v>775</v>
      </c>
      <c r="W276" s="47" t="n">
        <v>1</v>
      </c>
    </row>
    <row r="277" customFormat="false" ht="35.05" hidden="false" customHeight="false" outlineLevel="0" collapsed="false">
      <c r="A277" s="70" t="n">
        <v>268</v>
      </c>
      <c r="B277" s="20" t="s">
        <v>363</v>
      </c>
      <c r="C277" s="20" t="s">
        <v>769</v>
      </c>
      <c r="D277" s="20" t="s">
        <v>770</v>
      </c>
      <c r="E277" s="20" t="s">
        <v>771</v>
      </c>
      <c r="F277" s="70" t="s">
        <v>776</v>
      </c>
      <c r="G277" s="20" t="s">
        <v>780</v>
      </c>
      <c r="H277" s="49" t="n">
        <v>10</v>
      </c>
      <c r="I277" s="70" t="s">
        <v>368</v>
      </c>
      <c r="J277" s="70" t="s">
        <v>369</v>
      </c>
      <c r="K277" s="73" t="n">
        <v>49</v>
      </c>
      <c r="L277" s="49" t="n">
        <v>2</v>
      </c>
      <c r="M277" s="67" t="n">
        <v>0.4</v>
      </c>
      <c r="N277" s="68" t="n">
        <f aca="false">K277*L277*M277</f>
        <v>39.2</v>
      </c>
      <c r="O277" s="34" t="n">
        <f aca="false">IFERROR(INDEX(Исходные!$B$18:$B$30,MATCH(H277,Исходные!$A$18:$A$30,0)),0)</f>
        <v>0.617</v>
      </c>
      <c r="P277" s="74" t="n">
        <f aca="false">N277*O277</f>
        <v>24.1864</v>
      </c>
      <c r="Q277" s="20" t="s">
        <v>778</v>
      </c>
      <c r="R277" s="75" t="s">
        <v>524</v>
      </c>
      <c r="S277" s="20" t="s">
        <v>781</v>
      </c>
      <c r="T277" s="20" t="s">
        <v>73</v>
      </c>
      <c r="U277" s="47" t="n">
        <v>0</v>
      </c>
      <c r="V277" s="70" t="s">
        <v>775</v>
      </c>
      <c r="W277" s="47" t="n">
        <v>1</v>
      </c>
    </row>
    <row r="278" customFormat="false" ht="23.85" hidden="false" customHeight="false" outlineLevel="0" collapsed="false">
      <c r="A278" s="70" t="n">
        <v>269</v>
      </c>
      <c r="B278" s="20" t="s">
        <v>363</v>
      </c>
      <c r="C278" s="20" t="s">
        <v>769</v>
      </c>
      <c r="D278" s="20" t="s">
        <v>770</v>
      </c>
      <c r="E278" s="20" t="s">
        <v>771</v>
      </c>
      <c r="F278" s="70" t="s">
        <v>772</v>
      </c>
      <c r="G278" s="20" t="s">
        <v>773</v>
      </c>
      <c r="H278" s="49" t="n">
        <v>10</v>
      </c>
      <c r="I278" s="70" t="s">
        <v>368</v>
      </c>
      <c r="J278" s="70" t="n">
        <v>200</v>
      </c>
      <c r="K278" s="73" t="n">
        <v>1</v>
      </c>
      <c r="L278" s="49" t="n">
        <v>1</v>
      </c>
      <c r="M278" s="67" t="n">
        <v>22.2</v>
      </c>
      <c r="N278" s="68" t="n">
        <f aca="false">K278*L278*M278</f>
        <v>22.2</v>
      </c>
      <c r="O278" s="34" t="n">
        <f aca="false">IFERROR(INDEX(Исходные!$B$18:$B$30,MATCH(H278,Исходные!$A$18:$A$30,0)),0)</f>
        <v>0.617</v>
      </c>
      <c r="P278" s="74" t="n">
        <f aca="false">N278*O278</f>
        <v>13.6974</v>
      </c>
      <c r="Q278" s="20" t="s">
        <v>774</v>
      </c>
      <c r="R278" s="75" t="s">
        <v>517</v>
      </c>
      <c r="S278" s="20"/>
      <c r="T278" s="20" t="s">
        <v>73</v>
      </c>
      <c r="U278" s="47" t="n">
        <v>0</v>
      </c>
      <c r="V278" s="70" t="s">
        <v>775</v>
      </c>
      <c r="W278" s="47" t="n">
        <v>1</v>
      </c>
    </row>
    <row r="279" customFormat="false" ht="35.05" hidden="false" customHeight="false" outlineLevel="0" collapsed="false">
      <c r="A279" s="70" t="n">
        <v>270</v>
      </c>
      <c r="B279" s="20" t="s">
        <v>363</v>
      </c>
      <c r="C279" s="20" t="s">
        <v>769</v>
      </c>
      <c r="D279" s="20" t="s">
        <v>770</v>
      </c>
      <c r="E279" s="20" t="s">
        <v>771</v>
      </c>
      <c r="F279" s="70" t="s">
        <v>776</v>
      </c>
      <c r="G279" s="20" t="s">
        <v>782</v>
      </c>
      <c r="H279" s="49" t="n">
        <v>10</v>
      </c>
      <c r="I279" s="70" t="s">
        <v>368</v>
      </c>
      <c r="J279" s="70" t="s">
        <v>369</v>
      </c>
      <c r="K279" s="73" t="n">
        <v>1</v>
      </c>
      <c r="L279" s="49" t="n">
        <v>1</v>
      </c>
      <c r="M279" s="67" t="n">
        <v>0.4</v>
      </c>
      <c r="N279" s="68" t="n">
        <f aca="false">K279*L279*M279</f>
        <v>0.4</v>
      </c>
      <c r="O279" s="34" t="n">
        <f aca="false">IFERROR(INDEX(Исходные!$B$18:$B$30,MATCH(H279,Исходные!$A$18:$A$30,0)),0)</f>
        <v>0.617</v>
      </c>
      <c r="P279" s="74" t="n">
        <f aca="false">N279*O279</f>
        <v>0.2468</v>
      </c>
      <c r="Q279" s="20" t="s">
        <v>778</v>
      </c>
      <c r="R279" s="75" t="s">
        <v>524</v>
      </c>
      <c r="S279" s="20" t="s">
        <v>783</v>
      </c>
      <c r="T279" s="20" t="s">
        <v>73</v>
      </c>
      <c r="U279" s="47" t="n">
        <v>0</v>
      </c>
      <c r="V279" s="70" t="s">
        <v>775</v>
      </c>
      <c r="W279" s="47" t="n">
        <v>1</v>
      </c>
    </row>
    <row r="280" customFormat="false" ht="23.85" hidden="false" customHeight="false" outlineLevel="0" collapsed="false">
      <c r="A280" s="70" t="n">
        <v>271</v>
      </c>
      <c r="B280" s="20" t="s">
        <v>363</v>
      </c>
      <c r="C280" s="20" t="s">
        <v>769</v>
      </c>
      <c r="D280" s="20" t="s">
        <v>770</v>
      </c>
      <c r="E280" s="20" t="s">
        <v>771</v>
      </c>
      <c r="F280" s="70" t="s">
        <v>772</v>
      </c>
      <c r="G280" s="20" t="s">
        <v>773</v>
      </c>
      <c r="H280" s="49" t="n">
        <v>10</v>
      </c>
      <c r="I280" s="70" t="s">
        <v>368</v>
      </c>
      <c r="J280" s="70" t="n">
        <v>200</v>
      </c>
      <c r="K280" s="73" t="n">
        <v>1</v>
      </c>
      <c r="L280" s="49" t="n">
        <v>16</v>
      </c>
      <c r="M280" s="67" t="n">
        <v>15.62</v>
      </c>
      <c r="N280" s="68" t="n">
        <f aca="false">K280*L280*M280</f>
        <v>249.92</v>
      </c>
      <c r="O280" s="34" t="n">
        <f aca="false">IFERROR(INDEX(Исходные!$B$18:$B$30,MATCH(H280,Исходные!$A$18:$A$30,0)),0)</f>
        <v>0.617</v>
      </c>
      <c r="P280" s="74" t="n">
        <f aca="false">N280*O280</f>
        <v>154.20064</v>
      </c>
      <c r="Q280" s="20" t="s">
        <v>774</v>
      </c>
      <c r="R280" s="75" t="s">
        <v>517</v>
      </c>
      <c r="S280" s="20"/>
      <c r="T280" s="20" t="s">
        <v>73</v>
      </c>
      <c r="U280" s="47" t="n">
        <v>0</v>
      </c>
      <c r="V280" s="70" t="s">
        <v>775</v>
      </c>
      <c r="W280" s="47" t="n">
        <v>1</v>
      </c>
    </row>
    <row r="281" customFormat="false" ht="35.05" hidden="false" customHeight="false" outlineLevel="0" collapsed="false">
      <c r="A281" s="70" t="n">
        <v>272</v>
      </c>
      <c r="B281" s="20" t="s">
        <v>363</v>
      </c>
      <c r="C281" s="20" t="s">
        <v>769</v>
      </c>
      <c r="D281" s="20" t="s">
        <v>770</v>
      </c>
      <c r="E281" s="20" t="s">
        <v>771</v>
      </c>
      <c r="F281" s="70" t="s">
        <v>776</v>
      </c>
      <c r="G281" s="20" t="s">
        <v>784</v>
      </c>
      <c r="H281" s="49" t="n">
        <v>10</v>
      </c>
      <c r="I281" s="70" t="s">
        <v>368</v>
      </c>
      <c r="J281" s="70" t="s">
        <v>369</v>
      </c>
      <c r="K281" s="73" t="n">
        <v>16</v>
      </c>
      <c r="L281" s="49" t="n">
        <v>1</v>
      </c>
      <c r="M281" s="67" t="n">
        <v>0.4</v>
      </c>
      <c r="N281" s="68" t="n">
        <f aca="false">K281*L281*M281</f>
        <v>6.4</v>
      </c>
      <c r="O281" s="34" t="n">
        <f aca="false">IFERROR(INDEX(Исходные!$B$18:$B$30,MATCH(H281,Исходные!$A$18:$A$30,0)),0)</f>
        <v>0.617</v>
      </c>
      <c r="P281" s="74" t="n">
        <f aca="false">N281*O281</f>
        <v>3.9488</v>
      </c>
      <c r="Q281" s="20" t="s">
        <v>778</v>
      </c>
      <c r="R281" s="75" t="s">
        <v>524</v>
      </c>
      <c r="S281" s="20" t="s">
        <v>785</v>
      </c>
      <c r="T281" s="20" t="s">
        <v>73</v>
      </c>
      <c r="U281" s="47" t="n">
        <v>0</v>
      </c>
      <c r="V281" s="70" t="s">
        <v>775</v>
      </c>
      <c r="W281" s="47" t="n">
        <v>1</v>
      </c>
    </row>
    <row r="282" customFormat="false" ht="23.85" hidden="false" customHeight="false" outlineLevel="0" collapsed="false">
      <c r="A282" s="70" t="n">
        <v>273</v>
      </c>
      <c r="B282" s="20" t="s">
        <v>363</v>
      </c>
      <c r="C282" s="20" t="s">
        <v>769</v>
      </c>
      <c r="D282" s="20" t="s">
        <v>770</v>
      </c>
      <c r="E282" s="20" t="s">
        <v>771</v>
      </c>
      <c r="F282" s="70" t="s">
        <v>772</v>
      </c>
      <c r="G282" s="20" t="s">
        <v>773</v>
      </c>
      <c r="H282" s="49" t="n">
        <v>10</v>
      </c>
      <c r="I282" s="70" t="s">
        <v>368</v>
      </c>
      <c r="J282" s="70" t="n">
        <v>200</v>
      </c>
      <c r="K282" s="73" t="n">
        <v>1</v>
      </c>
      <c r="L282" s="49" t="n">
        <v>12</v>
      </c>
      <c r="M282" s="67" t="n">
        <v>13.9</v>
      </c>
      <c r="N282" s="68" t="n">
        <f aca="false">K282*L282*M282</f>
        <v>166.8</v>
      </c>
      <c r="O282" s="34" t="n">
        <f aca="false">IFERROR(INDEX(Исходные!$B$18:$B$30,MATCH(H282,Исходные!$A$18:$A$30,0)),0)</f>
        <v>0.617</v>
      </c>
      <c r="P282" s="74" t="n">
        <f aca="false">N282*O282</f>
        <v>102.9156</v>
      </c>
      <c r="Q282" s="20" t="s">
        <v>774</v>
      </c>
      <c r="R282" s="75" t="s">
        <v>517</v>
      </c>
      <c r="S282" s="20"/>
      <c r="T282" s="20" t="s">
        <v>73</v>
      </c>
      <c r="U282" s="47" t="n">
        <v>0</v>
      </c>
      <c r="V282" s="70" t="s">
        <v>775</v>
      </c>
      <c r="W282" s="47" t="n">
        <v>1</v>
      </c>
    </row>
    <row r="283" customFormat="false" ht="35.05" hidden="false" customHeight="false" outlineLevel="0" collapsed="false">
      <c r="A283" s="70" t="n">
        <v>274</v>
      </c>
      <c r="B283" s="20" t="s">
        <v>363</v>
      </c>
      <c r="C283" s="20" t="s">
        <v>769</v>
      </c>
      <c r="D283" s="20" t="s">
        <v>770</v>
      </c>
      <c r="E283" s="20" t="s">
        <v>771</v>
      </c>
      <c r="F283" s="70" t="s">
        <v>776</v>
      </c>
      <c r="G283" s="20" t="s">
        <v>786</v>
      </c>
      <c r="H283" s="49" t="n">
        <v>10</v>
      </c>
      <c r="I283" s="70" t="s">
        <v>368</v>
      </c>
      <c r="J283" s="70" t="s">
        <v>369</v>
      </c>
      <c r="K283" s="73" t="n">
        <v>12</v>
      </c>
      <c r="L283" s="49" t="n">
        <v>1</v>
      </c>
      <c r="M283" s="67" t="n">
        <v>0.4</v>
      </c>
      <c r="N283" s="68" t="n">
        <f aca="false">K283*L283*M283</f>
        <v>4.8</v>
      </c>
      <c r="O283" s="34" t="n">
        <f aca="false">IFERROR(INDEX(Исходные!$B$18:$B$30,MATCH(H283,Исходные!$A$18:$A$30,0)),0)</f>
        <v>0.617</v>
      </c>
      <c r="P283" s="74" t="n">
        <f aca="false">N283*O283</f>
        <v>2.9616</v>
      </c>
      <c r="Q283" s="20" t="s">
        <v>778</v>
      </c>
      <c r="R283" s="75" t="s">
        <v>524</v>
      </c>
      <c r="S283" s="20" t="s">
        <v>787</v>
      </c>
      <c r="T283" s="20" t="s">
        <v>73</v>
      </c>
      <c r="U283" s="47" t="n">
        <v>0</v>
      </c>
      <c r="V283" s="70" t="s">
        <v>775</v>
      </c>
      <c r="W283" s="47" t="n">
        <v>1</v>
      </c>
    </row>
    <row r="284" customFormat="false" ht="23.85" hidden="false" customHeight="false" outlineLevel="0" collapsed="false">
      <c r="A284" s="70" t="n">
        <v>275</v>
      </c>
      <c r="B284" s="20" t="s">
        <v>363</v>
      </c>
      <c r="C284" s="20" t="s">
        <v>769</v>
      </c>
      <c r="D284" s="20" t="s">
        <v>770</v>
      </c>
      <c r="E284" s="20" t="s">
        <v>771</v>
      </c>
      <c r="F284" s="70" t="s">
        <v>772</v>
      </c>
      <c r="G284" s="20" t="s">
        <v>773</v>
      </c>
      <c r="H284" s="49" t="n">
        <v>10</v>
      </c>
      <c r="I284" s="70" t="s">
        <v>368</v>
      </c>
      <c r="J284" s="70" t="n">
        <v>200</v>
      </c>
      <c r="K284" s="73" t="n">
        <v>1</v>
      </c>
      <c r="L284" s="49" t="n">
        <v>1</v>
      </c>
      <c r="M284" s="67" t="n">
        <v>10.8</v>
      </c>
      <c r="N284" s="68" t="n">
        <f aca="false">K284*L284*M284</f>
        <v>10.8</v>
      </c>
      <c r="O284" s="34" t="n">
        <f aca="false">IFERROR(INDEX(Исходные!$B$18:$B$30,MATCH(H284,Исходные!$A$18:$A$30,0)),0)</f>
        <v>0.617</v>
      </c>
      <c r="P284" s="74" t="n">
        <f aca="false">N284*O284</f>
        <v>6.6636</v>
      </c>
      <c r="Q284" s="20" t="s">
        <v>774</v>
      </c>
      <c r="R284" s="75" t="s">
        <v>517</v>
      </c>
      <c r="S284" s="20"/>
      <c r="T284" s="20" t="s">
        <v>73</v>
      </c>
      <c r="U284" s="47" t="n">
        <v>0</v>
      </c>
      <c r="V284" s="70" t="s">
        <v>775</v>
      </c>
      <c r="W284" s="47" t="n">
        <v>1</v>
      </c>
    </row>
    <row r="285" customFormat="false" ht="23.85" hidden="false" customHeight="false" outlineLevel="0" collapsed="false">
      <c r="A285" s="70" t="n">
        <v>276</v>
      </c>
      <c r="B285" s="20" t="s">
        <v>363</v>
      </c>
      <c r="C285" s="20" t="s">
        <v>769</v>
      </c>
      <c r="D285" s="20" t="s">
        <v>770</v>
      </c>
      <c r="E285" s="20" t="s">
        <v>771</v>
      </c>
      <c r="F285" s="70" t="s">
        <v>772</v>
      </c>
      <c r="G285" s="20" t="s">
        <v>773</v>
      </c>
      <c r="H285" s="49" t="n">
        <v>10</v>
      </c>
      <c r="I285" s="70" t="s">
        <v>368</v>
      </c>
      <c r="J285" s="70" t="n">
        <v>200</v>
      </c>
      <c r="K285" s="73" t="n">
        <v>1</v>
      </c>
      <c r="L285" s="49" t="n">
        <v>14</v>
      </c>
      <c r="M285" s="67" t="n">
        <v>8</v>
      </c>
      <c r="N285" s="68" t="n">
        <f aca="false">K285*L285*M285</f>
        <v>112</v>
      </c>
      <c r="O285" s="34" t="n">
        <f aca="false">IFERROR(INDEX(Исходные!$B$18:$B$30,MATCH(H285,Исходные!$A$18:$A$30,0)),0)</f>
        <v>0.617</v>
      </c>
      <c r="P285" s="74" t="n">
        <f aca="false">N285*O285</f>
        <v>69.104</v>
      </c>
      <c r="Q285" s="20" t="s">
        <v>774</v>
      </c>
      <c r="R285" s="75" t="s">
        <v>517</v>
      </c>
      <c r="S285" s="20"/>
      <c r="T285" s="20" t="s">
        <v>73</v>
      </c>
      <c r="U285" s="47" t="n">
        <v>0</v>
      </c>
      <c r="V285" s="70" t="s">
        <v>775</v>
      </c>
      <c r="W285" s="47" t="n">
        <v>1</v>
      </c>
    </row>
    <row r="286" customFormat="false" ht="23.85" hidden="false" customHeight="false" outlineLevel="0" collapsed="false">
      <c r="A286" s="70" t="n">
        <v>277</v>
      </c>
      <c r="B286" s="20" t="s">
        <v>363</v>
      </c>
      <c r="C286" s="20" t="s">
        <v>769</v>
      </c>
      <c r="D286" s="20" t="s">
        <v>770</v>
      </c>
      <c r="E286" s="20" t="s">
        <v>771</v>
      </c>
      <c r="F286" s="70" t="s">
        <v>772</v>
      </c>
      <c r="G286" s="20" t="s">
        <v>773</v>
      </c>
      <c r="H286" s="49" t="n">
        <v>10</v>
      </c>
      <c r="I286" s="70" t="s">
        <v>368</v>
      </c>
      <c r="J286" s="70" t="n">
        <v>200</v>
      </c>
      <c r="K286" s="73" t="n">
        <v>1</v>
      </c>
      <c r="L286" s="49" t="n">
        <v>9</v>
      </c>
      <c r="M286" s="67" t="n">
        <v>7.95</v>
      </c>
      <c r="N286" s="68" t="n">
        <f aca="false">K286*L286*M286</f>
        <v>71.55</v>
      </c>
      <c r="O286" s="34" t="n">
        <f aca="false">IFERROR(INDEX(Исходные!$B$18:$B$30,MATCH(H286,Исходные!$A$18:$A$30,0)),0)</f>
        <v>0.617</v>
      </c>
      <c r="P286" s="74" t="n">
        <f aca="false">N286*O286</f>
        <v>44.14635</v>
      </c>
      <c r="Q286" s="20" t="s">
        <v>774</v>
      </c>
      <c r="R286" s="75" t="s">
        <v>517</v>
      </c>
      <c r="S286" s="20"/>
      <c r="T286" s="20" t="s">
        <v>73</v>
      </c>
      <c r="U286" s="47" t="n">
        <v>0</v>
      </c>
      <c r="V286" s="70" t="s">
        <v>775</v>
      </c>
      <c r="W286" s="47" t="n">
        <v>1</v>
      </c>
    </row>
    <row r="287" customFormat="false" ht="23.85" hidden="false" customHeight="false" outlineLevel="0" collapsed="false">
      <c r="A287" s="70" t="n">
        <v>278</v>
      </c>
      <c r="B287" s="20" t="s">
        <v>363</v>
      </c>
      <c r="C287" s="20" t="s">
        <v>769</v>
      </c>
      <c r="D287" s="20" t="s">
        <v>770</v>
      </c>
      <c r="E287" s="20" t="s">
        <v>771</v>
      </c>
      <c r="F287" s="70" t="s">
        <v>772</v>
      </c>
      <c r="G287" s="20" t="s">
        <v>773</v>
      </c>
      <c r="H287" s="49" t="n">
        <v>10</v>
      </c>
      <c r="I287" s="70" t="s">
        <v>368</v>
      </c>
      <c r="J287" s="70" t="n">
        <v>200</v>
      </c>
      <c r="K287" s="73" t="n">
        <v>1</v>
      </c>
      <c r="L287" s="49" t="n">
        <v>13</v>
      </c>
      <c r="M287" s="67" t="n">
        <v>6.9</v>
      </c>
      <c r="N287" s="68" t="n">
        <f aca="false">K287*L287*M287</f>
        <v>89.7</v>
      </c>
      <c r="O287" s="34" t="n">
        <f aca="false">IFERROR(INDEX(Исходные!$B$18:$B$30,MATCH(H287,Исходные!$A$18:$A$30,0)),0)</f>
        <v>0.617</v>
      </c>
      <c r="P287" s="74" t="n">
        <f aca="false">N287*O287</f>
        <v>55.3449</v>
      </c>
      <c r="Q287" s="20" t="s">
        <v>774</v>
      </c>
      <c r="R287" s="75" t="s">
        <v>517</v>
      </c>
      <c r="S287" s="20"/>
      <c r="T287" s="20" t="s">
        <v>73</v>
      </c>
      <c r="U287" s="47" t="n">
        <v>0</v>
      </c>
      <c r="V287" s="70" t="s">
        <v>775</v>
      </c>
      <c r="W287" s="47" t="n">
        <v>1</v>
      </c>
    </row>
    <row r="288" customFormat="false" ht="23.85" hidden="false" customHeight="false" outlineLevel="0" collapsed="false">
      <c r="A288" s="70" t="n">
        <v>279</v>
      </c>
      <c r="B288" s="20" t="s">
        <v>363</v>
      </c>
      <c r="C288" s="20" t="s">
        <v>769</v>
      </c>
      <c r="D288" s="20" t="s">
        <v>770</v>
      </c>
      <c r="E288" s="20" t="s">
        <v>771</v>
      </c>
      <c r="F288" s="70" t="s">
        <v>772</v>
      </c>
      <c r="G288" s="20" t="s">
        <v>773</v>
      </c>
      <c r="H288" s="49" t="n">
        <v>10</v>
      </c>
      <c r="I288" s="70" t="s">
        <v>368</v>
      </c>
      <c r="J288" s="70" t="n">
        <v>200</v>
      </c>
      <c r="K288" s="73" t="n">
        <v>1</v>
      </c>
      <c r="L288" s="49" t="n">
        <v>9</v>
      </c>
      <c r="M288" s="67" t="n">
        <v>3.78</v>
      </c>
      <c r="N288" s="68" t="n">
        <f aca="false">K288*L288*M288</f>
        <v>34.02</v>
      </c>
      <c r="O288" s="34" t="n">
        <f aca="false">IFERROR(INDEX(Исходные!$B$18:$B$30,MATCH(H288,Исходные!$A$18:$A$30,0)),0)</f>
        <v>0.617</v>
      </c>
      <c r="P288" s="74" t="n">
        <f aca="false">N288*O288</f>
        <v>20.99034</v>
      </c>
      <c r="Q288" s="20" t="s">
        <v>774</v>
      </c>
      <c r="R288" s="75" t="s">
        <v>517</v>
      </c>
      <c r="S288" s="20"/>
      <c r="T288" s="20" t="s">
        <v>73</v>
      </c>
      <c r="U288" s="47" t="n">
        <v>0</v>
      </c>
      <c r="V288" s="70" t="s">
        <v>775</v>
      </c>
      <c r="W288" s="47" t="n">
        <v>1</v>
      </c>
    </row>
    <row r="289" customFormat="false" ht="23.85" hidden="false" customHeight="false" outlineLevel="0" collapsed="false">
      <c r="A289" s="70" t="n">
        <v>280</v>
      </c>
      <c r="B289" s="20" t="s">
        <v>363</v>
      </c>
      <c r="C289" s="20" t="s">
        <v>769</v>
      </c>
      <c r="D289" s="20" t="s">
        <v>770</v>
      </c>
      <c r="E289" s="20" t="s">
        <v>771</v>
      </c>
      <c r="F289" s="70" t="s">
        <v>788</v>
      </c>
      <c r="G289" s="20" t="s">
        <v>789</v>
      </c>
      <c r="H289" s="49" t="n">
        <v>10</v>
      </c>
      <c r="I289" s="70" t="s">
        <v>368</v>
      </c>
      <c r="J289" s="70" t="n">
        <v>200</v>
      </c>
      <c r="K289" s="73" t="n">
        <v>1</v>
      </c>
      <c r="L289" s="49" t="n">
        <v>40</v>
      </c>
      <c r="M289" s="67" t="n">
        <v>22.35</v>
      </c>
      <c r="N289" s="68" t="n">
        <f aca="false">K289*L289*M289</f>
        <v>894</v>
      </c>
      <c r="O289" s="34" t="n">
        <f aca="false">IFERROR(INDEX(Исходные!$B$18:$B$30,MATCH(H289,Исходные!$A$18:$A$30,0)),0)</f>
        <v>0.617</v>
      </c>
      <c r="P289" s="74" t="n">
        <f aca="false">N289*O289</f>
        <v>551.598</v>
      </c>
      <c r="Q289" s="20" t="s">
        <v>774</v>
      </c>
      <c r="R289" s="75" t="s">
        <v>517</v>
      </c>
      <c r="S289" s="20"/>
      <c r="T289" s="20" t="s">
        <v>73</v>
      </c>
      <c r="U289" s="47" t="n">
        <v>0</v>
      </c>
      <c r="V289" s="70" t="s">
        <v>775</v>
      </c>
      <c r="W289" s="47" t="n">
        <v>1</v>
      </c>
    </row>
    <row r="290" customFormat="false" ht="35.05" hidden="false" customHeight="false" outlineLevel="0" collapsed="false">
      <c r="A290" s="70" t="n">
        <v>281</v>
      </c>
      <c r="B290" s="20" t="s">
        <v>363</v>
      </c>
      <c r="C290" s="20" t="s">
        <v>769</v>
      </c>
      <c r="D290" s="20" t="s">
        <v>770</v>
      </c>
      <c r="E290" s="20" t="s">
        <v>771</v>
      </c>
      <c r="F290" s="70" t="s">
        <v>790</v>
      </c>
      <c r="G290" s="20" t="s">
        <v>791</v>
      </c>
      <c r="H290" s="49" t="n">
        <v>10</v>
      </c>
      <c r="I290" s="70" t="s">
        <v>368</v>
      </c>
      <c r="J290" s="70" t="s">
        <v>369</v>
      </c>
      <c r="K290" s="73" t="n">
        <v>40</v>
      </c>
      <c r="L290" s="49" t="n">
        <v>1</v>
      </c>
      <c r="M290" s="67" t="n">
        <v>0.4</v>
      </c>
      <c r="N290" s="68" t="n">
        <f aca="false">K290*L290*M290</f>
        <v>16</v>
      </c>
      <c r="O290" s="34" t="n">
        <f aca="false">IFERROR(INDEX(Исходные!$B$18:$B$30,MATCH(H290,Исходные!$A$18:$A$30,0)),0)</f>
        <v>0.617</v>
      </c>
      <c r="P290" s="74" t="n">
        <f aca="false">N290*O290</f>
        <v>9.872</v>
      </c>
      <c r="Q290" s="20" t="s">
        <v>778</v>
      </c>
      <c r="R290" s="75" t="s">
        <v>524</v>
      </c>
      <c r="S290" s="20" t="s">
        <v>792</v>
      </c>
      <c r="T290" s="20" t="s">
        <v>73</v>
      </c>
      <c r="U290" s="47" t="n">
        <v>0</v>
      </c>
      <c r="V290" s="70" t="s">
        <v>775</v>
      </c>
      <c r="W290" s="47" t="n">
        <v>1</v>
      </c>
    </row>
    <row r="291" customFormat="false" ht="23.85" hidden="false" customHeight="false" outlineLevel="0" collapsed="false">
      <c r="A291" s="70" t="n">
        <v>282</v>
      </c>
      <c r="B291" s="20" t="s">
        <v>363</v>
      </c>
      <c r="C291" s="20" t="s">
        <v>769</v>
      </c>
      <c r="D291" s="20" t="s">
        <v>770</v>
      </c>
      <c r="E291" s="20" t="s">
        <v>771</v>
      </c>
      <c r="F291" s="70" t="s">
        <v>788</v>
      </c>
      <c r="G291" s="20" t="s">
        <v>789</v>
      </c>
      <c r="H291" s="49" t="n">
        <v>10</v>
      </c>
      <c r="I291" s="70" t="s">
        <v>368</v>
      </c>
      <c r="J291" s="70" t="n">
        <v>200</v>
      </c>
      <c r="K291" s="73" t="n">
        <v>1</v>
      </c>
      <c r="L291" s="49" t="n">
        <v>39</v>
      </c>
      <c r="M291" s="67" t="n">
        <v>20.62</v>
      </c>
      <c r="N291" s="68" t="n">
        <f aca="false">K291*L291*M291</f>
        <v>804.18</v>
      </c>
      <c r="O291" s="34" t="n">
        <f aca="false">IFERROR(INDEX(Исходные!$B$18:$B$30,MATCH(H291,Исходные!$A$18:$A$30,0)),0)</f>
        <v>0.617</v>
      </c>
      <c r="P291" s="74" t="n">
        <f aca="false">N291*O291</f>
        <v>496.17906</v>
      </c>
      <c r="Q291" s="20" t="s">
        <v>774</v>
      </c>
      <c r="R291" s="75" t="s">
        <v>517</v>
      </c>
      <c r="S291" s="20"/>
      <c r="T291" s="20" t="s">
        <v>73</v>
      </c>
      <c r="U291" s="47" t="n">
        <v>0</v>
      </c>
      <c r="V291" s="70" t="s">
        <v>775</v>
      </c>
      <c r="W291" s="47" t="n">
        <v>1</v>
      </c>
    </row>
    <row r="292" customFormat="false" ht="35.05" hidden="false" customHeight="false" outlineLevel="0" collapsed="false">
      <c r="A292" s="70" t="n">
        <v>283</v>
      </c>
      <c r="B292" s="20" t="s">
        <v>363</v>
      </c>
      <c r="C292" s="20" t="s">
        <v>769</v>
      </c>
      <c r="D292" s="20" t="s">
        <v>770</v>
      </c>
      <c r="E292" s="20" t="s">
        <v>771</v>
      </c>
      <c r="F292" s="70" t="s">
        <v>790</v>
      </c>
      <c r="G292" s="20" t="s">
        <v>793</v>
      </c>
      <c r="H292" s="49" t="n">
        <v>10</v>
      </c>
      <c r="I292" s="70" t="s">
        <v>368</v>
      </c>
      <c r="J292" s="70" t="s">
        <v>369</v>
      </c>
      <c r="K292" s="73" t="n">
        <v>39</v>
      </c>
      <c r="L292" s="49" t="n">
        <v>1</v>
      </c>
      <c r="M292" s="67" t="n">
        <v>0.4</v>
      </c>
      <c r="N292" s="68" t="n">
        <f aca="false">K292*L292*M292</f>
        <v>15.6</v>
      </c>
      <c r="O292" s="34" t="n">
        <f aca="false">IFERROR(INDEX(Исходные!$B$18:$B$30,MATCH(H292,Исходные!$A$18:$A$30,0)),0)</f>
        <v>0.617</v>
      </c>
      <c r="P292" s="74" t="n">
        <f aca="false">N292*O292</f>
        <v>9.6252</v>
      </c>
      <c r="Q292" s="20" t="s">
        <v>778</v>
      </c>
      <c r="R292" s="75" t="s">
        <v>524</v>
      </c>
      <c r="S292" s="20" t="s">
        <v>794</v>
      </c>
      <c r="T292" s="20" t="s">
        <v>73</v>
      </c>
      <c r="U292" s="47" t="n">
        <v>0</v>
      </c>
      <c r="V292" s="70" t="s">
        <v>775</v>
      </c>
      <c r="W292" s="47" t="n">
        <v>1</v>
      </c>
    </row>
    <row r="293" customFormat="false" ht="23.85" hidden="false" customHeight="false" outlineLevel="0" collapsed="false">
      <c r="A293" s="70" t="n">
        <v>284</v>
      </c>
      <c r="B293" s="20" t="s">
        <v>363</v>
      </c>
      <c r="C293" s="20" t="s">
        <v>769</v>
      </c>
      <c r="D293" s="20" t="s">
        <v>770</v>
      </c>
      <c r="E293" s="20" t="s">
        <v>771</v>
      </c>
      <c r="F293" s="70" t="s">
        <v>788</v>
      </c>
      <c r="G293" s="20" t="s">
        <v>789</v>
      </c>
      <c r="H293" s="49" t="n">
        <v>10</v>
      </c>
      <c r="I293" s="70" t="s">
        <v>368</v>
      </c>
      <c r="J293" s="70" t="n">
        <v>200</v>
      </c>
      <c r="K293" s="73" t="n">
        <v>1</v>
      </c>
      <c r="L293" s="49" t="n">
        <v>26</v>
      </c>
      <c r="M293" s="67" t="n">
        <v>20.48</v>
      </c>
      <c r="N293" s="68" t="n">
        <f aca="false">K293*L293*M293</f>
        <v>532.48</v>
      </c>
      <c r="O293" s="34" t="n">
        <f aca="false">IFERROR(INDEX(Исходные!$B$18:$B$30,MATCH(H293,Исходные!$A$18:$A$30,0)),0)</f>
        <v>0.617</v>
      </c>
      <c r="P293" s="74" t="n">
        <f aca="false">N293*O293</f>
        <v>328.54016</v>
      </c>
      <c r="Q293" s="20" t="s">
        <v>774</v>
      </c>
      <c r="R293" s="75" t="s">
        <v>517</v>
      </c>
      <c r="S293" s="20"/>
      <c r="T293" s="20" t="s">
        <v>73</v>
      </c>
      <c r="U293" s="47" t="n">
        <v>0</v>
      </c>
      <c r="V293" s="70" t="s">
        <v>775</v>
      </c>
      <c r="W293" s="47" t="n">
        <v>1</v>
      </c>
    </row>
    <row r="294" customFormat="false" ht="35.05" hidden="false" customHeight="false" outlineLevel="0" collapsed="false">
      <c r="A294" s="70" t="n">
        <v>285</v>
      </c>
      <c r="B294" s="20" t="s">
        <v>363</v>
      </c>
      <c r="C294" s="20" t="s">
        <v>769</v>
      </c>
      <c r="D294" s="20" t="s">
        <v>770</v>
      </c>
      <c r="E294" s="20" t="s">
        <v>771</v>
      </c>
      <c r="F294" s="70" t="s">
        <v>790</v>
      </c>
      <c r="G294" s="20" t="s">
        <v>795</v>
      </c>
      <c r="H294" s="49" t="n">
        <v>10</v>
      </c>
      <c r="I294" s="70" t="s">
        <v>368</v>
      </c>
      <c r="J294" s="70" t="s">
        <v>369</v>
      </c>
      <c r="K294" s="73" t="n">
        <v>26</v>
      </c>
      <c r="L294" s="49" t="n">
        <v>1</v>
      </c>
      <c r="M294" s="67" t="n">
        <v>0.4</v>
      </c>
      <c r="N294" s="68" t="n">
        <f aca="false">K294*L294*M294</f>
        <v>10.4</v>
      </c>
      <c r="O294" s="34" t="n">
        <f aca="false">IFERROR(INDEX(Исходные!$B$18:$B$30,MATCH(H294,Исходные!$A$18:$A$30,0)),0)</f>
        <v>0.617</v>
      </c>
      <c r="P294" s="74" t="n">
        <f aca="false">N294*O294</f>
        <v>6.4168</v>
      </c>
      <c r="Q294" s="20" t="s">
        <v>778</v>
      </c>
      <c r="R294" s="75" t="s">
        <v>524</v>
      </c>
      <c r="S294" s="20" t="s">
        <v>796</v>
      </c>
      <c r="T294" s="20" t="s">
        <v>73</v>
      </c>
      <c r="U294" s="47" t="n">
        <v>0</v>
      </c>
      <c r="V294" s="70" t="s">
        <v>775</v>
      </c>
      <c r="W294" s="47" t="n">
        <v>1</v>
      </c>
    </row>
    <row r="295" customFormat="false" ht="23.85" hidden="false" customHeight="false" outlineLevel="0" collapsed="false">
      <c r="A295" s="70" t="n">
        <v>286</v>
      </c>
      <c r="B295" s="20" t="s">
        <v>363</v>
      </c>
      <c r="C295" s="20" t="s">
        <v>769</v>
      </c>
      <c r="D295" s="20" t="s">
        <v>770</v>
      </c>
      <c r="E295" s="20" t="s">
        <v>771</v>
      </c>
      <c r="F295" s="70" t="s">
        <v>788</v>
      </c>
      <c r="G295" s="20" t="s">
        <v>789</v>
      </c>
      <c r="H295" s="49" t="n">
        <v>10</v>
      </c>
      <c r="I295" s="70" t="s">
        <v>368</v>
      </c>
      <c r="J295" s="70" t="n">
        <v>200</v>
      </c>
      <c r="K295" s="73" t="n">
        <v>1</v>
      </c>
      <c r="L295" s="49" t="n">
        <v>2</v>
      </c>
      <c r="M295" s="67" t="n">
        <v>19.01</v>
      </c>
      <c r="N295" s="68" t="n">
        <f aca="false">K295*L295*M295</f>
        <v>38.02</v>
      </c>
      <c r="O295" s="34" t="n">
        <f aca="false">IFERROR(INDEX(Исходные!$B$18:$B$30,MATCH(H295,Исходные!$A$18:$A$30,0)),0)</f>
        <v>0.617</v>
      </c>
      <c r="P295" s="74" t="n">
        <f aca="false">N295*O295</f>
        <v>23.45834</v>
      </c>
      <c r="Q295" s="20" t="s">
        <v>774</v>
      </c>
      <c r="R295" s="75" t="s">
        <v>517</v>
      </c>
      <c r="S295" s="20"/>
      <c r="T295" s="20" t="s">
        <v>73</v>
      </c>
      <c r="U295" s="47" t="n">
        <v>0</v>
      </c>
      <c r="V295" s="70" t="s">
        <v>775</v>
      </c>
      <c r="W295" s="47" t="n">
        <v>1</v>
      </c>
    </row>
    <row r="296" customFormat="false" ht="35.05" hidden="false" customHeight="false" outlineLevel="0" collapsed="false">
      <c r="A296" s="70" t="n">
        <v>287</v>
      </c>
      <c r="B296" s="20" t="s">
        <v>363</v>
      </c>
      <c r="C296" s="20" t="s">
        <v>769</v>
      </c>
      <c r="D296" s="20" t="s">
        <v>770</v>
      </c>
      <c r="E296" s="20" t="s">
        <v>771</v>
      </c>
      <c r="F296" s="70" t="s">
        <v>790</v>
      </c>
      <c r="G296" s="20" t="s">
        <v>797</v>
      </c>
      <c r="H296" s="49" t="n">
        <v>10</v>
      </c>
      <c r="I296" s="70" t="s">
        <v>368</v>
      </c>
      <c r="J296" s="70" t="s">
        <v>369</v>
      </c>
      <c r="K296" s="73" t="n">
        <v>2</v>
      </c>
      <c r="L296" s="49" t="n">
        <v>1</v>
      </c>
      <c r="M296" s="67" t="n">
        <v>0.4</v>
      </c>
      <c r="N296" s="68" t="n">
        <f aca="false">K296*L296*M296</f>
        <v>0.8</v>
      </c>
      <c r="O296" s="34" t="n">
        <f aca="false">IFERROR(INDEX(Исходные!$B$18:$B$30,MATCH(H296,Исходные!$A$18:$A$30,0)),0)</f>
        <v>0.617</v>
      </c>
      <c r="P296" s="74" t="n">
        <f aca="false">N296*O296</f>
        <v>0.4936</v>
      </c>
      <c r="Q296" s="20" t="s">
        <v>778</v>
      </c>
      <c r="R296" s="75" t="s">
        <v>524</v>
      </c>
      <c r="S296" s="20" t="s">
        <v>798</v>
      </c>
      <c r="T296" s="20" t="s">
        <v>73</v>
      </c>
      <c r="U296" s="47" t="n">
        <v>0</v>
      </c>
      <c r="V296" s="70" t="s">
        <v>775</v>
      </c>
      <c r="W296" s="47" t="n">
        <v>1</v>
      </c>
    </row>
    <row r="297" customFormat="false" ht="23.85" hidden="false" customHeight="false" outlineLevel="0" collapsed="false">
      <c r="A297" s="70" t="n">
        <v>288</v>
      </c>
      <c r="B297" s="20" t="s">
        <v>363</v>
      </c>
      <c r="C297" s="20" t="s">
        <v>769</v>
      </c>
      <c r="D297" s="20" t="s">
        <v>770</v>
      </c>
      <c r="E297" s="20" t="s">
        <v>771</v>
      </c>
      <c r="F297" s="70" t="s">
        <v>788</v>
      </c>
      <c r="G297" s="20" t="s">
        <v>789</v>
      </c>
      <c r="H297" s="49" t="n">
        <v>10</v>
      </c>
      <c r="I297" s="70" t="s">
        <v>368</v>
      </c>
      <c r="J297" s="70" t="n">
        <v>200</v>
      </c>
      <c r="K297" s="73" t="n">
        <v>1</v>
      </c>
      <c r="L297" s="49" t="n">
        <v>5</v>
      </c>
      <c r="M297" s="67" t="n">
        <v>17.28</v>
      </c>
      <c r="N297" s="68" t="n">
        <f aca="false">K297*L297*M297</f>
        <v>86.4</v>
      </c>
      <c r="O297" s="34" t="n">
        <f aca="false">IFERROR(INDEX(Исходные!$B$18:$B$30,MATCH(H297,Исходные!$A$18:$A$30,0)),0)</f>
        <v>0.617</v>
      </c>
      <c r="P297" s="74" t="n">
        <f aca="false">N297*O297</f>
        <v>53.3088</v>
      </c>
      <c r="Q297" s="20" t="s">
        <v>774</v>
      </c>
      <c r="R297" s="75" t="s">
        <v>517</v>
      </c>
      <c r="S297" s="20"/>
      <c r="T297" s="20" t="s">
        <v>73</v>
      </c>
      <c r="U297" s="47" t="n">
        <v>0</v>
      </c>
      <c r="V297" s="70" t="s">
        <v>775</v>
      </c>
      <c r="W297" s="47" t="n">
        <v>1</v>
      </c>
    </row>
    <row r="298" customFormat="false" ht="35.05" hidden="false" customHeight="false" outlineLevel="0" collapsed="false">
      <c r="A298" s="70" t="n">
        <v>289</v>
      </c>
      <c r="B298" s="20" t="s">
        <v>363</v>
      </c>
      <c r="C298" s="20" t="s">
        <v>769</v>
      </c>
      <c r="D298" s="20" t="s">
        <v>770</v>
      </c>
      <c r="E298" s="20" t="s">
        <v>771</v>
      </c>
      <c r="F298" s="70" t="s">
        <v>790</v>
      </c>
      <c r="G298" s="20" t="s">
        <v>799</v>
      </c>
      <c r="H298" s="49" t="n">
        <v>10</v>
      </c>
      <c r="I298" s="70" t="s">
        <v>368</v>
      </c>
      <c r="J298" s="70" t="s">
        <v>369</v>
      </c>
      <c r="K298" s="73" t="n">
        <v>5</v>
      </c>
      <c r="L298" s="49" t="n">
        <v>1</v>
      </c>
      <c r="M298" s="67" t="n">
        <v>0.4</v>
      </c>
      <c r="N298" s="68" t="n">
        <f aca="false">K298*L298*M298</f>
        <v>2</v>
      </c>
      <c r="O298" s="34" t="n">
        <f aca="false">IFERROR(INDEX(Исходные!$B$18:$B$30,MATCH(H298,Исходные!$A$18:$A$30,0)),0)</f>
        <v>0.617</v>
      </c>
      <c r="P298" s="74" t="n">
        <f aca="false">N298*O298</f>
        <v>1.234</v>
      </c>
      <c r="Q298" s="20" t="s">
        <v>778</v>
      </c>
      <c r="R298" s="75" t="s">
        <v>524</v>
      </c>
      <c r="S298" s="20" t="s">
        <v>800</v>
      </c>
      <c r="T298" s="20" t="s">
        <v>73</v>
      </c>
      <c r="U298" s="47" t="n">
        <v>0</v>
      </c>
      <c r="V298" s="70" t="s">
        <v>775</v>
      </c>
      <c r="W298" s="47" t="n">
        <v>1</v>
      </c>
    </row>
    <row r="299" customFormat="false" ht="23.85" hidden="false" customHeight="false" outlineLevel="0" collapsed="false">
      <c r="A299" s="70" t="n">
        <v>290</v>
      </c>
      <c r="B299" s="20" t="s">
        <v>363</v>
      </c>
      <c r="C299" s="20" t="s">
        <v>769</v>
      </c>
      <c r="D299" s="20" t="s">
        <v>770</v>
      </c>
      <c r="E299" s="20" t="s">
        <v>771</v>
      </c>
      <c r="F299" s="70" t="s">
        <v>788</v>
      </c>
      <c r="G299" s="20" t="s">
        <v>789</v>
      </c>
      <c r="H299" s="49" t="n">
        <v>10</v>
      </c>
      <c r="I299" s="70" t="s">
        <v>368</v>
      </c>
      <c r="J299" s="70" t="n">
        <v>200</v>
      </c>
      <c r="K299" s="73" t="n">
        <v>1</v>
      </c>
      <c r="L299" s="49" t="n">
        <v>17</v>
      </c>
      <c r="M299" s="67" t="n">
        <v>15.6</v>
      </c>
      <c r="N299" s="68" t="n">
        <f aca="false">K299*L299*M299</f>
        <v>265.2</v>
      </c>
      <c r="O299" s="34" t="n">
        <f aca="false">IFERROR(INDEX(Исходные!$B$18:$B$30,MATCH(H299,Исходные!$A$18:$A$30,0)),0)</f>
        <v>0.617</v>
      </c>
      <c r="P299" s="74" t="n">
        <f aca="false">N299*O299</f>
        <v>163.6284</v>
      </c>
      <c r="Q299" s="20" t="s">
        <v>774</v>
      </c>
      <c r="R299" s="75" t="s">
        <v>517</v>
      </c>
      <c r="S299" s="20"/>
      <c r="T299" s="20" t="s">
        <v>73</v>
      </c>
      <c r="U299" s="47" t="n">
        <v>0</v>
      </c>
      <c r="V299" s="70" t="s">
        <v>775</v>
      </c>
      <c r="W299" s="47" t="n">
        <v>1</v>
      </c>
    </row>
    <row r="300" customFormat="false" ht="35.05" hidden="false" customHeight="false" outlineLevel="0" collapsed="false">
      <c r="A300" s="70" t="n">
        <v>291</v>
      </c>
      <c r="B300" s="20" t="s">
        <v>363</v>
      </c>
      <c r="C300" s="20" t="s">
        <v>769</v>
      </c>
      <c r="D300" s="20" t="s">
        <v>770</v>
      </c>
      <c r="E300" s="20" t="s">
        <v>771</v>
      </c>
      <c r="F300" s="70" t="s">
        <v>790</v>
      </c>
      <c r="G300" s="20" t="s">
        <v>801</v>
      </c>
      <c r="H300" s="49" t="n">
        <v>10</v>
      </c>
      <c r="I300" s="70" t="s">
        <v>368</v>
      </c>
      <c r="J300" s="70" t="s">
        <v>369</v>
      </c>
      <c r="K300" s="73" t="n">
        <v>17</v>
      </c>
      <c r="L300" s="49" t="n">
        <v>1</v>
      </c>
      <c r="M300" s="67" t="n">
        <v>0.4</v>
      </c>
      <c r="N300" s="68" t="n">
        <f aca="false">K300*L300*M300</f>
        <v>6.8</v>
      </c>
      <c r="O300" s="34" t="n">
        <f aca="false">IFERROR(INDEX(Исходные!$B$18:$B$30,MATCH(H300,Исходные!$A$18:$A$30,0)),0)</f>
        <v>0.617</v>
      </c>
      <c r="P300" s="74" t="n">
        <f aca="false">N300*O300</f>
        <v>4.1956</v>
      </c>
      <c r="Q300" s="20" t="s">
        <v>778</v>
      </c>
      <c r="R300" s="75" t="s">
        <v>524</v>
      </c>
      <c r="S300" s="20" t="s">
        <v>802</v>
      </c>
      <c r="T300" s="20" t="s">
        <v>73</v>
      </c>
      <c r="U300" s="47" t="n">
        <v>0</v>
      </c>
      <c r="V300" s="70" t="s">
        <v>775</v>
      </c>
      <c r="W300" s="47" t="n">
        <v>1</v>
      </c>
    </row>
    <row r="301" customFormat="false" ht="23.85" hidden="false" customHeight="false" outlineLevel="0" collapsed="false">
      <c r="A301" s="70" t="n">
        <v>292</v>
      </c>
      <c r="B301" s="20" t="s">
        <v>363</v>
      </c>
      <c r="C301" s="20" t="s">
        <v>769</v>
      </c>
      <c r="D301" s="20" t="s">
        <v>770</v>
      </c>
      <c r="E301" s="20" t="s">
        <v>771</v>
      </c>
      <c r="F301" s="70" t="s">
        <v>788</v>
      </c>
      <c r="G301" s="20" t="s">
        <v>789</v>
      </c>
      <c r="H301" s="49" t="n">
        <v>10</v>
      </c>
      <c r="I301" s="70" t="s">
        <v>368</v>
      </c>
      <c r="J301" s="70" t="n">
        <v>200</v>
      </c>
      <c r="K301" s="73" t="n">
        <v>1</v>
      </c>
      <c r="L301" s="49" t="n">
        <v>18</v>
      </c>
      <c r="M301" s="67" t="n">
        <v>4.15</v>
      </c>
      <c r="N301" s="68" t="n">
        <f aca="false">K301*L301*M301</f>
        <v>74.7</v>
      </c>
      <c r="O301" s="34" t="n">
        <f aca="false">IFERROR(INDEX(Исходные!$B$18:$B$30,MATCH(H301,Исходные!$A$18:$A$30,0)),0)</f>
        <v>0.617</v>
      </c>
      <c r="P301" s="74" t="n">
        <f aca="false">N301*O301</f>
        <v>46.0899</v>
      </c>
      <c r="Q301" s="20" t="s">
        <v>774</v>
      </c>
      <c r="R301" s="75" t="s">
        <v>517</v>
      </c>
      <c r="S301" s="20"/>
      <c r="T301" s="20" t="s">
        <v>73</v>
      </c>
      <c r="U301" s="47" t="n">
        <v>0</v>
      </c>
      <c r="V301" s="70" t="s">
        <v>775</v>
      </c>
      <c r="W301" s="47" t="n">
        <v>1</v>
      </c>
    </row>
    <row r="302" customFormat="false" ht="23.85" hidden="false" customHeight="false" outlineLevel="0" collapsed="false">
      <c r="A302" s="70" t="n">
        <v>293</v>
      </c>
      <c r="B302" s="20" t="s">
        <v>363</v>
      </c>
      <c r="C302" s="20" t="s">
        <v>769</v>
      </c>
      <c r="D302" s="20" t="s">
        <v>770</v>
      </c>
      <c r="E302" s="20" t="s">
        <v>771</v>
      </c>
      <c r="F302" s="70" t="s">
        <v>788</v>
      </c>
      <c r="G302" s="20" t="s">
        <v>789</v>
      </c>
      <c r="H302" s="49" t="n">
        <v>10</v>
      </c>
      <c r="I302" s="70" t="s">
        <v>368</v>
      </c>
      <c r="J302" s="70" t="n">
        <v>200</v>
      </c>
      <c r="K302" s="73" t="n">
        <v>1</v>
      </c>
      <c r="L302" s="49" t="n">
        <v>24</v>
      </c>
      <c r="M302" s="67" t="n">
        <v>0.62</v>
      </c>
      <c r="N302" s="68" t="n">
        <f aca="false">K302*L302*M302</f>
        <v>14.88</v>
      </c>
      <c r="O302" s="34" t="n">
        <f aca="false">IFERROR(INDEX(Исходные!$B$18:$B$30,MATCH(H302,Исходные!$A$18:$A$30,0)),0)</f>
        <v>0.617</v>
      </c>
      <c r="P302" s="74" t="n">
        <f aca="false">N302*O302</f>
        <v>9.18096</v>
      </c>
      <c r="Q302" s="20" t="s">
        <v>774</v>
      </c>
      <c r="R302" s="75" t="s">
        <v>517</v>
      </c>
      <c r="S302" s="20"/>
      <c r="T302" s="20" t="s">
        <v>73</v>
      </c>
      <c r="U302" s="47" t="n">
        <v>0</v>
      </c>
      <c r="V302" s="70" t="s">
        <v>775</v>
      </c>
      <c r="W302" s="47" t="n">
        <v>1</v>
      </c>
    </row>
    <row r="303" customFormat="false" ht="23.85" hidden="false" customHeight="false" outlineLevel="0" collapsed="false">
      <c r="A303" s="70" t="n">
        <v>294</v>
      </c>
      <c r="B303" s="20" t="s">
        <v>363</v>
      </c>
      <c r="C303" s="20" t="s">
        <v>769</v>
      </c>
      <c r="D303" s="20" t="s">
        <v>770</v>
      </c>
      <c r="E303" s="20" t="s">
        <v>771</v>
      </c>
      <c r="F303" s="70" t="s">
        <v>803</v>
      </c>
      <c r="G303" s="20" t="s">
        <v>804</v>
      </c>
      <c r="H303" s="49" t="n">
        <v>10</v>
      </c>
      <c r="I303" s="70" t="s">
        <v>368</v>
      </c>
      <c r="J303" s="70" t="n">
        <v>200</v>
      </c>
      <c r="K303" s="73" t="n">
        <v>1</v>
      </c>
      <c r="L303" s="49" t="n">
        <v>26</v>
      </c>
      <c r="M303" s="67" t="n">
        <v>27.35</v>
      </c>
      <c r="N303" s="68" t="n">
        <f aca="false">K303*L303*M303</f>
        <v>711.1</v>
      </c>
      <c r="O303" s="34" t="n">
        <f aca="false">IFERROR(INDEX(Исходные!$B$18:$B$30,MATCH(H303,Исходные!$A$18:$A$30,0)),0)</f>
        <v>0.617</v>
      </c>
      <c r="P303" s="74" t="n">
        <f aca="false">N303*O303</f>
        <v>438.7487</v>
      </c>
      <c r="Q303" s="20" t="s">
        <v>774</v>
      </c>
      <c r="R303" s="75" t="s">
        <v>517</v>
      </c>
      <c r="S303" s="20"/>
      <c r="T303" s="20" t="s">
        <v>73</v>
      </c>
      <c r="U303" s="47" t="n">
        <v>0</v>
      </c>
      <c r="V303" s="70" t="s">
        <v>775</v>
      </c>
      <c r="W303" s="47" t="n">
        <v>1</v>
      </c>
    </row>
    <row r="304" customFormat="false" ht="35.05" hidden="false" customHeight="false" outlineLevel="0" collapsed="false">
      <c r="A304" s="70" t="n">
        <v>295</v>
      </c>
      <c r="B304" s="20" t="s">
        <v>363</v>
      </c>
      <c r="C304" s="20" t="s">
        <v>769</v>
      </c>
      <c r="D304" s="20" t="s">
        <v>770</v>
      </c>
      <c r="E304" s="20" t="s">
        <v>771</v>
      </c>
      <c r="F304" s="70" t="s">
        <v>805</v>
      </c>
      <c r="G304" s="20" t="s">
        <v>806</v>
      </c>
      <c r="H304" s="49" t="n">
        <v>10</v>
      </c>
      <c r="I304" s="70" t="s">
        <v>368</v>
      </c>
      <c r="J304" s="70" t="s">
        <v>369</v>
      </c>
      <c r="K304" s="73" t="n">
        <v>26</v>
      </c>
      <c r="L304" s="49" t="n">
        <v>2</v>
      </c>
      <c r="M304" s="67" t="n">
        <v>0.4</v>
      </c>
      <c r="N304" s="68" t="n">
        <f aca="false">K304*L304*M304</f>
        <v>20.8</v>
      </c>
      <c r="O304" s="34" t="n">
        <f aca="false">IFERROR(INDEX(Исходные!$B$18:$B$30,MATCH(H304,Исходные!$A$18:$A$30,0)),0)</f>
        <v>0.617</v>
      </c>
      <c r="P304" s="74" t="n">
        <f aca="false">N304*O304</f>
        <v>12.8336</v>
      </c>
      <c r="Q304" s="20" t="s">
        <v>778</v>
      </c>
      <c r="R304" s="75" t="s">
        <v>524</v>
      </c>
      <c r="S304" s="20" t="s">
        <v>779</v>
      </c>
      <c r="T304" s="20" t="s">
        <v>73</v>
      </c>
      <c r="U304" s="47" t="n">
        <v>0</v>
      </c>
      <c r="V304" s="70" t="s">
        <v>775</v>
      </c>
      <c r="W304" s="47" t="n">
        <v>1</v>
      </c>
    </row>
    <row r="305" customFormat="false" ht="23.85" hidden="false" customHeight="false" outlineLevel="0" collapsed="false">
      <c r="A305" s="70" t="n">
        <v>296</v>
      </c>
      <c r="B305" s="20" t="s">
        <v>363</v>
      </c>
      <c r="C305" s="20" t="s">
        <v>769</v>
      </c>
      <c r="D305" s="20" t="s">
        <v>770</v>
      </c>
      <c r="E305" s="20" t="s">
        <v>771</v>
      </c>
      <c r="F305" s="70" t="s">
        <v>803</v>
      </c>
      <c r="G305" s="20" t="s">
        <v>804</v>
      </c>
      <c r="H305" s="49" t="n">
        <v>10</v>
      </c>
      <c r="I305" s="70" t="s">
        <v>368</v>
      </c>
      <c r="J305" s="70" t="n">
        <v>200</v>
      </c>
      <c r="K305" s="73" t="n">
        <v>1</v>
      </c>
      <c r="L305" s="49" t="n">
        <v>49</v>
      </c>
      <c r="M305" s="67" t="n">
        <v>25.62</v>
      </c>
      <c r="N305" s="68" t="n">
        <f aca="false">K305*L305*M305</f>
        <v>1255.38</v>
      </c>
      <c r="O305" s="34" t="n">
        <f aca="false">IFERROR(INDEX(Исходные!$B$18:$B$30,MATCH(H305,Исходные!$A$18:$A$30,0)),0)</f>
        <v>0.617</v>
      </c>
      <c r="P305" s="74" t="n">
        <f aca="false">N305*O305</f>
        <v>774.56946</v>
      </c>
      <c r="Q305" s="20" t="s">
        <v>774</v>
      </c>
      <c r="R305" s="75" t="s">
        <v>517</v>
      </c>
      <c r="S305" s="20"/>
      <c r="T305" s="20" t="s">
        <v>73</v>
      </c>
      <c r="U305" s="47" t="n">
        <v>0</v>
      </c>
      <c r="V305" s="70" t="s">
        <v>775</v>
      </c>
      <c r="W305" s="47" t="n">
        <v>1</v>
      </c>
    </row>
    <row r="306" customFormat="false" ht="35.05" hidden="false" customHeight="false" outlineLevel="0" collapsed="false">
      <c r="A306" s="70" t="n">
        <v>297</v>
      </c>
      <c r="B306" s="20" t="s">
        <v>363</v>
      </c>
      <c r="C306" s="20" t="s">
        <v>769</v>
      </c>
      <c r="D306" s="20" t="s">
        <v>770</v>
      </c>
      <c r="E306" s="20" t="s">
        <v>771</v>
      </c>
      <c r="F306" s="70" t="s">
        <v>805</v>
      </c>
      <c r="G306" s="20" t="s">
        <v>807</v>
      </c>
      <c r="H306" s="49" t="n">
        <v>10</v>
      </c>
      <c r="I306" s="70" t="s">
        <v>368</v>
      </c>
      <c r="J306" s="70" t="s">
        <v>369</v>
      </c>
      <c r="K306" s="73" t="n">
        <v>49</v>
      </c>
      <c r="L306" s="49" t="n">
        <v>2</v>
      </c>
      <c r="M306" s="67" t="n">
        <v>0.4</v>
      </c>
      <c r="N306" s="68" t="n">
        <f aca="false">K306*L306*M306</f>
        <v>39.2</v>
      </c>
      <c r="O306" s="34" t="n">
        <f aca="false">IFERROR(INDEX(Исходные!$B$18:$B$30,MATCH(H306,Исходные!$A$18:$A$30,0)),0)</f>
        <v>0.617</v>
      </c>
      <c r="P306" s="74" t="n">
        <f aca="false">N306*O306</f>
        <v>24.1864</v>
      </c>
      <c r="Q306" s="20" t="s">
        <v>778</v>
      </c>
      <c r="R306" s="75" t="s">
        <v>524</v>
      </c>
      <c r="S306" s="20" t="s">
        <v>781</v>
      </c>
      <c r="T306" s="20" t="s">
        <v>73</v>
      </c>
      <c r="U306" s="47" t="n">
        <v>0</v>
      </c>
      <c r="V306" s="70" t="s">
        <v>775</v>
      </c>
      <c r="W306" s="47" t="n">
        <v>1</v>
      </c>
    </row>
    <row r="307" customFormat="false" ht="23.85" hidden="false" customHeight="false" outlineLevel="0" collapsed="false">
      <c r="A307" s="70" t="n">
        <v>298</v>
      </c>
      <c r="B307" s="20" t="s">
        <v>363</v>
      </c>
      <c r="C307" s="20" t="s">
        <v>769</v>
      </c>
      <c r="D307" s="20" t="s">
        <v>770</v>
      </c>
      <c r="E307" s="20" t="s">
        <v>771</v>
      </c>
      <c r="F307" s="70" t="s">
        <v>803</v>
      </c>
      <c r="G307" s="20" t="s">
        <v>804</v>
      </c>
      <c r="H307" s="49" t="n">
        <v>10</v>
      </c>
      <c r="I307" s="70" t="s">
        <v>368</v>
      </c>
      <c r="J307" s="70" t="n">
        <v>200</v>
      </c>
      <c r="K307" s="73" t="n">
        <v>1</v>
      </c>
      <c r="L307" s="49" t="n">
        <v>1</v>
      </c>
      <c r="M307" s="67" t="n">
        <v>22.2</v>
      </c>
      <c r="N307" s="68" t="n">
        <f aca="false">K307*L307*M307</f>
        <v>22.2</v>
      </c>
      <c r="O307" s="34" t="n">
        <f aca="false">IFERROR(INDEX(Исходные!$B$18:$B$30,MATCH(H307,Исходные!$A$18:$A$30,0)),0)</f>
        <v>0.617</v>
      </c>
      <c r="P307" s="74" t="n">
        <f aca="false">N307*O307</f>
        <v>13.6974</v>
      </c>
      <c r="Q307" s="20" t="s">
        <v>774</v>
      </c>
      <c r="R307" s="75" t="s">
        <v>517</v>
      </c>
      <c r="S307" s="20"/>
      <c r="T307" s="20" t="s">
        <v>73</v>
      </c>
      <c r="U307" s="47" t="n">
        <v>0</v>
      </c>
      <c r="V307" s="70" t="s">
        <v>775</v>
      </c>
      <c r="W307" s="47" t="n">
        <v>1</v>
      </c>
    </row>
    <row r="308" customFormat="false" ht="35.05" hidden="false" customHeight="false" outlineLevel="0" collapsed="false">
      <c r="A308" s="70" t="n">
        <v>299</v>
      </c>
      <c r="B308" s="20" t="s">
        <v>363</v>
      </c>
      <c r="C308" s="20" t="s">
        <v>769</v>
      </c>
      <c r="D308" s="20" t="s">
        <v>770</v>
      </c>
      <c r="E308" s="20" t="s">
        <v>771</v>
      </c>
      <c r="F308" s="70" t="s">
        <v>805</v>
      </c>
      <c r="G308" s="20" t="s">
        <v>808</v>
      </c>
      <c r="H308" s="49" t="n">
        <v>10</v>
      </c>
      <c r="I308" s="70" t="s">
        <v>368</v>
      </c>
      <c r="J308" s="70" t="s">
        <v>369</v>
      </c>
      <c r="K308" s="73" t="n">
        <v>1</v>
      </c>
      <c r="L308" s="49" t="n">
        <v>1</v>
      </c>
      <c r="M308" s="67" t="n">
        <v>0.4</v>
      </c>
      <c r="N308" s="68" t="n">
        <f aca="false">K308*L308*M308</f>
        <v>0.4</v>
      </c>
      <c r="O308" s="34" t="n">
        <f aca="false">IFERROR(INDEX(Исходные!$B$18:$B$30,MATCH(H308,Исходные!$A$18:$A$30,0)),0)</f>
        <v>0.617</v>
      </c>
      <c r="P308" s="74" t="n">
        <f aca="false">N308*O308</f>
        <v>0.2468</v>
      </c>
      <c r="Q308" s="20" t="s">
        <v>778</v>
      </c>
      <c r="R308" s="75" t="s">
        <v>524</v>
      </c>
      <c r="S308" s="20" t="s">
        <v>783</v>
      </c>
      <c r="T308" s="20" t="s">
        <v>73</v>
      </c>
      <c r="U308" s="47" t="n">
        <v>0</v>
      </c>
      <c r="V308" s="70" t="s">
        <v>775</v>
      </c>
      <c r="W308" s="47" t="n">
        <v>1</v>
      </c>
    </row>
    <row r="309" customFormat="false" ht="23.85" hidden="false" customHeight="false" outlineLevel="0" collapsed="false">
      <c r="A309" s="70" t="n">
        <v>300</v>
      </c>
      <c r="B309" s="20" t="s">
        <v>363</v>
      </c>
      <c r="C309" s="20" t="s">
        <v>769</v>
      </c>
      <c r="D309" s="20" t="s">
        <v>770</v>
      </c>
      <c r="E309" s="20" t="s">
        <v>771</v>
      </c>
      <c r="F309" s="70" t="s">
        <v>803</v>
      </c>
      <c r="G309" s="20" t="s">
        <v>804</v>
      </c>
      <c r="H309" s="49" t="n">
        <v>10</v>
      </c>
      <c r="I309" s="70" t="s">
        <v>368</v>
      </c>
      <c r="J309" s="70" t="n">
        <v>200</v>
      </c>
      <c r="K309" s="73" t="n">
        <v>1</v>
      </c>
      <c r="L309" s="49" t="n">
        <v>16</v>
      </c>
      <c r="M309" s="67" t="n">
        <v>15.62</v>
      </c>
      <c r="N309" s="68" t="n">
        <f aca="false">K309*L309*M309</f>
        <v>249.92</v>
      </c>
      <c r="O309" s="34" t="n">
        <f aca="false">IFERROR(INDEX(Исходные!$B$18:$B$30,MATCH(H309,Исходные!$A$18:$A$30,0)),0)</f>
        <v>0.617</v>
      </c>
      <c r="P309" s="74" t="n">
        <f aca="false">N309*O309</f>
        <v>154.20064</v>
      </c>
      <c r="Q309" s="20" t="s">
        <v>774</v>
      </c>
      <c r="R309" s="75" t="s">
        <v>517</v>
      </c>
      <c r="S309" s="20"/>
      <c r="T309" s="20" t="s">
        <v>73</v>
      </c>
      <c r="U309" s="47" t="n">
        <v>0</v>
      </c>
      <c r="V309" s="70" t="s">
        <v>775</v>
      </c>
      <c r="W309" s="47" t="n">
        <v>1</v>
      </c>
    </row>
    <row r="310" customFormat="false" ht="35.05" hidden="false" customHeight="false" outlineLevel="0" collapsed="false">
      <c r="A310" s="70" t="n">
        <v>301</v>
      </c>
      <c r="B310" s="20" t="s">
        <v>363</v>
      </c>
      <c r="C310" s="20" t="s">
        <v>769</v>
      </c>
      <c r="D310" s="20" t="s">
        <v>770</v>
      </c>
      <c r="E310" s="20" t="s">
        <v>771</v>
      </c>
      <c r="F310" s="70" t="s">
        <v>805</v>
      </c>
      <c r="G310" s="20" t="s">
        <v>809</v>
      </c>
      <c r="H310" s="49" t="n">
        <v>10</v>
      </c>
      <c r="I310" s="70" t="s">
        <v>368</v>
      </c>
      <c r="J310" s="70" t="s">
        <v>369</v>
      </c>
      <c r="K310" s="73" t="n">
        <v>16</v>
      </c>
      <c r="L310" s="49" t="n">
        <v>1</v>
      </c>
      <c r="M310" s="67" t="n">
        <v>0.4</v>
      </c>
      <c r="N310" s="68" t="n">
        <f aca="false">K310*L310*M310</f>
        <v>6.4</v>
      </c>
      <c r="O310" s="34" t="n">
        <f aca="false">IFERROR(INDEX(Исходные!$B$18:$B$30,MATCH(H310,Исходные!$A$18:$A$30,0)),0)</f>
        <v>0.617</v>
      </c>
      <c r="P310" s="74" t="n">
        <f aca="false">N310*O310</f>
        <v>3.9488</v>
      </c>
      <c r="Q310" s="20" t="s">
        <v>778</v>
      </c>
      <c r="R310" s="75" t="s">
        <v>524</v>
      </c>
      <c r="S310" s="20" t="s">
        <v>785</v>
      </c>
      <c r="T310" s="20" t="s">
        <v>73</v>
      </c>
      <c r="U310" s="47" t="n">
        <v>0</v>
      </c>
      <c r="V310" s="70" t="s">
        <v>775</v>
      </c>
      <c r="W310" s="47" t="n">
        <v>1</v>
      </c>
    </row>
    <row r="311" customFormat="false" ht="23.85" hidden="false" customHeight="false" outlineLevel="0" collapsed="false">
      <c r="A311" s="70" t="n">
        <v>302</v>
      </c>
      <c r="B311" s="20" t="s">
        <v>363</v>
      </c>
      <c r="C311" s="20" t="s">
        <v>769</v>
      </c>
      <c r="D311" s="20" t="s">
        <v>770</v>
      </c>
      <c r="E311" s="20" t="s">
        <v>771</v>
      </c>
      <c r="F311" s="70" t="s">
        <v>803</v>
      </c>
      <c r="G311" s="20" t="s">
        <v>804</v>
      </c>
      <c r="H311" s="49" t="n">
        <v>10</v>
      </c>
      <c r="I311" s="70" t="s">
        <v>368</v>
      </c>
      <c r="J311" s="70" t="n">
        <v>200</v>
      </c>
      <c r="K311" s="73" t="n">
        <v>1</v>
      </c>
      <c r="L311" s="49" t="n">
        <v>12</v>
      </c>
      <c r="M311" s="67" t="n">
        <v>13.9</v>
      </c>
      <c r="N311" s="68" t="n">
        <f aca="false">K311*L311*M311</f>
        <v>166.8</v>
      </c>
      <c r="O311" s="34" t="n">
        <f aca="false">IFERROR(INDEX(Исходные!$B$18:$B$30,MATCH(H311,Исходные!$A$18:$A$30,0)),0)</f>
        <v>0.617</v>
      </c>
      <c r="P311" s="74" t="n">
        <f aca="false">N311*O311</f>
        <v>102.9156</v>
      </c>
      <c r="Q311" s="20" t="s">
        <v>774</v>
      </c>
      <c r="R311" s="75" t="s">
        <v>517</v>
      </c>
      <c r="S311" s="20"/>
      <c r="T311" s="20" t="s">
        <v>73</v>
      </c>
      <c r="U311" s="47" t="n">
        <v>0</v>
      </c>
      <c r="V311" s="70" t="s">
        <v>775</v>
      </c>
      <c r="W311" s="47" t="n">
        <v>1</v>
      </c>
    </row>
    <row r="312" customFormat="false" ht="35.05" hidden="false" customHeight="false" outlineLevel="0" collapsed="false">
      <c r="A312" s="70" t="n">
        <v>303</v>
      </c>
      <c r="B312" s="20" t="s">
        <v>363</v>
      </c>
      <c r="C312" s="20" t="s">
        <v>769</v>
      </c>
      <c r="D312" s="20" t="s">
        <v>770</v>
      </c>
      <c r="E312" s="20" t="s">
        <v>771</v>
      </c>
      <c r="F312" s="70" t="s">
        <v>805</v>
      </c>
      <c r="G312" s="20" t="s">
        <v>810</v>
      </c>
      <c r="H312" s="49" t="n">
        <v>10</v>
      </c>
      <c r="I312" s="70" t="s">
        <v>368</v>
      </c>
      <c r="J312" s="70" t="s">
        <v>369</v>
      </c>
      <c r="K312" s="73" t="n">
        <v>12</v>
      </c>
      <c r="L312" s="49" t="n">
        <v>1</v>
      </c>
      <c r="M312" s="67" t="n">
        <v>0.4</v>
      </c>
      <c r="N312" s="68" t="n">
        <f aca="false">K312*L312*M312</f>
        <v>4.8</v>
      </c>
      <c r="O312" s="34" t="n">
        <f aca="false">IFERROR(INDEX(Исходные!$B$18:$B$30,MATCH(H312,Исходные!$A$18:$A$30,0)),0)</f>
        <v>0.617</v>
      </c>
      <c r="P312" s="74" t="n">
        <f aca="false">N312*O312</f>
        <v>2.9616</v>
      </c>
      <c r="Q312" s="20" t="s">
        <v>778</v>
      </c>
      <c r="R312" s="75" t="s">
        <v>524</v>
      </c>
      <c r="S312" s="20" t="s">
        <v>787</v>
      </c>
      <c r="T312" s="20" t="s">
        <v>73</v>
      </c>
      <c r="U312" s="47" t="n">
        <v>0</v>
      </c>
      <c r="V312" s="70" t="s">
        <v>775</v>
      </c>
      <c r="W312" s="47" t="n">
        <v>1</v>
      </c>
    </row>
    <row r="313" customFormat="false" ht="23.85" hidden="false" customHeight="false" outlineLevel="0" collapsed="false">
      <c r="A313" s="70" t="n">
        <v>304</v>
      </c>
      <c r="B313" s="20" t="s">
        <v>363</v>
      </c>
      <c r="C313" s="20" t="s">
        <v>769</v>
      </c>
      <c r="D313" s="20" t="s">
        <v>770</v>
      </c>
      <c r="E313" s="20" t="s">
        <v>771</v>
      </c>
      <c r="F313" s="70" t="s">
        <v>803</v>
      </c>
      <c r="G313" s="20" t="s">
        <v>804</v>
      </c>
      <c r="H313" s="49" t="n">
        <v>10</v>
      </c>
      <c r="I313" s="70" t="s">
        <v>368</v>
      </c>
      <c r="J313" s="70" t="n">
        <v>200</v>
      </c>
      <c r="K313" s="73" t="n">
        <v>1</v>
      </c>
      <c r="L313" s="49" t="n">
        <v>1</v>
      </c>
      <c r="M313" s="67" t="n">
        <v>10.8</v>
      </c>
      <c r="N313" s="68" t="n">
        <f aca="false">K313*L313*M313</f>
        <v>10.8</v>
      </c>
      <c r="O313" s="34" t="n">
        <f aca="false">IFERROR(INDEX(Исходные!$B$18:$B$30,MATCH(H313,Исходные!$A$18:$A$30,0)),0)</f>
        <v>0.617</v>
      </c>
      <c r="P313" s="74" t="n">
        <f aca="false">N313*O313</f>
        <v>6.6636</v>
      </c>
      <c r="Q313" s="20" t="s">
        <v>774</v>
      </c>
      <c r="R313" s="75" t="s">
        <v>517</v>
      </c>
      <c r="S313" s="20"/>
      <c r="T313" s="20" t="s">
        <v>73</v>
      </c>
      <c r="U313" s="47" t="n">
        <v>0</v>
      </c>
      <c r="V313" s="70" t="s">
        <v>775</v>
      </c>
      <c r="W313" s="47" t="n">
        <v>1</v>
      </c>
    </row>
    <row r="314" customFormat="false" ht="23.85" hidden="false" customHeight="false" outlineLevel="0" collapsed="false">
      <c r="A314" s="70" t="n">
        <v>305</v>
      </c>
      <c r="B314" s="20" t="s">
        <v>363</v>
      </c>
      <c r="C314" s="20" t="s">
        <v>769</v>
      </c>
      <c r="D314" s="20" t="s">
        <v>770</v>
      </c>
      <c r="E314" s="20" t="s">
        <v>771</v>
      </c>
      <c r="F314" s="70" t="s">
        <v>803</v>
      </c>
      <c r="G314" s="20" t="s">
        <v>804</v>
      </c>
      <c r="H314" s="49" t="n">
        <v>10</v>
      </c>
      <c r="I314" s="70" t="s">
        <v>368</v>
      </c>
      <c r="J314" s="70" t="n">
        <v>200</v>
      </c>
      <c r="K314" s="73" t="n">
        <v>1</v>
      </c>
      <c r="L314" s="49" t="n">
        <v>14</v>
      </c>
      <c r="M314" s="67" t="n">
        <v>8</v>
      </c>
      <c r="N314" s="68" t="n">
        <f aca="false">K314*L314*M314</f>
        <v>112</v>
      </c>
      <c r="O314" s="34" t="n">
        <f aca="false">IFERROR(INDEX(Исходные!$B$18:$B$30,MATCH(H314,Исходные!$A$18:$A$30,0)),0)</f>
        <v>0.617</v>
      </c>
      <c r="P314" s="74" t="n">
        <f aca="false">N314*O314</f>
        <v>69.104</v>
      </c>
      <c r="Q314" s="20" t="s">
        <v>774</v>
      </c>
      <c r="R314" s="75" t="s">
        <v>517</v>
      </c>
      <c r="S314" s="20"/>
      <c r="T314" s="20" t="s">
        <v>73</v>
      </c>
      <c r="U314" s="47" t="n">
        <v>0</v>
      </c>
      <c r="V314" s="70" t="s">
        <v>775</v>
      </c>
      <c r="W314" s="47" t="n">
        <v>1</v>
      </c>
    </row>
    <row r="315" customFormat="false" ht="23.85" hidden="false" customHeight="false" outlineLevel="0" collapsed="false">
      <c r="A315" s="70" t="n">
        <v>306</v>
      </c>
      <c r="B315" s="20" t="s">
        <v>363</v>
      </c>
      <c r="C315" s="20" t="s">
        <v>769</v>
      </c>
      <c r="D315" s="20" t="s">
        <v>770</v>
      </c>
      <c r="E315" s="20" t="s">
        <v>771</v>
      </c>
      <c r="F315" s="70" t="s">
        <v>803</v>
      </c>
      <c r="G315" s="20" t="s">
        <v>804</v>
      </c>
      <c r="H315" s="49" t="n">
        <v>10</v>
      </c>
      <c r="I315" s="70" t="s">
        <v>368</v>
      </c>
      <c r="J315" s="70" t="n">
        <v>200</v>
      </c>
      <c r="K315" s="73" t="n">
        <v>1</v>
      </c>
      <c r="L315" s="49" t="n">
        <v>9</v>
      </c>
      <c r="M315" s="67" t="n">
        <v>7.95</v>
      </c>
      <c r="N315" s="68" t="n">
        <f aca="false">K315*L315*M315</f>
        <v>71.55</v>
      </c>
      <c r="O315" s="34" t="n">
        <f aca="false">IFERROR(INDEX(Исходные!$B$18:$B$30,MATCH(H315,Исходные!$A$18:$A$30,0)),0)</f>
        <v>0.617</v>
      </c>
      <c r="P315" s="74" t="n">
        <f aca="false">N315*O315</f>
        <v>44.14635</v>
      </c>
      <c r="Q315" s="20" t="s">
        <v>774</v>
      </c>
      <c r="R315" s="75" t="s">
        <v>517</v>
      </c>
      <c r="S315" s="20"/>
      <c r="T315" s="20" t="s">
        <v>73</v>
      </c>
      <c r="U315" s="47" t="n">
        <v>0</v>
      </c>
      <c r="V315" s="70" t="s">
        <v>775</v>
      </c>
      <c r="W315" s="47" t="n">
        <v>1</v>
      </c>
    </row>
    <row r="316" customFormat="false" ht="23.85" hidden="false" customHeight="false" outlineLevel="0" collapsed="false">
      <c r="A316" s="70" t="n">
        <v>307</v>
      </c>
      <c r="B316" s="20" t="s">
        <v>363</v>
      </c>
      <c r="C316" s="20" t="s">
        <v>769</v>
      </c>
      <c r="D316" s="20" t="s">
        <v>770</v>
      </c>
      <c r="E316" s="20" t="s">
        <v>771</v>
      </c>
      <c r="F316" s="70" t="s">
        <v>803</v>
      </c>
      <c r="G316" s="20" t="s">
        <v>804</v>
      </c>
      <c r="H316" s="49" t="n">
        <v>10</v>
      </c>
      <c r="I316" s="70" t="s">
        <v>368</v>
      </c>
      <c r="J316" s="70" t="n">
        <v>200</v>
      </c>
      <c r="K316" s="73" t="n">
        <v>1</v>
      </c>
      <c r="L316" s="49" t="n">
        <v>13</v>
      </c>
      <c r="M316" s="67" t="n">
        <v>6.9</v>
      </c>
      <c r="N316" s="68" t="n">
        <f aca="false">K316*L316*M316</f>
        <v>89.7</v>
      </c>
      <c r="O316" s="34" t="n">
        <f aca="false">IFERROR(INDEX(Исходные!$B$18:$B$30,MATCH(H316,Исходные!$A$18:$A$30,0)),0)</f>
        <v>0.617</v>
      </c>
      <c r="P316" s="74" t="n">
        <f aca="false">N316*O316</f>
        <v>55.3449</v>
      </c>
      <c r="Q316" s="20" t="s">
        <v>774</v>
      </c>
      <c r="R316" s="75" t="s">
        <v>517</v>
      </c>
      <c r="S316" s="20"/>
      <c r="T316" s="20" t="s">
        <v>73</v>
      </c>
      <c r="U316" s="47" t="n">
        <v>0</v>
      </c>
      <c r="V316" s="70" t="s">
        <v>775</v>
      </c>
      <c r="W316" s="47" t="n">
        <v>1</v>
      </c>
    </row>
    <row r="317" customFormat="false" ht="23.85" hidden="false" customHeight="false" outlineLevel="0" collapsed="false">
      <c r="A317" s="70" t="n">
        <v>308</v>
      </c>
      <c r="B317" s="20" t="s">
        <v>363</v>
      </c>
      <c r="C317" s="20" t="s">
        <v>769</v>
      </c>
      <c r="D317" s="20" t="s">
        <v>770</v>
      </c>
      <c r="E317" s="20" t="s">
        <v>771</v>
      </c>
      <c r="F317" s="70" t="s">
        <v>803</v>
      </c>
      <c r="G317" s="20" t="s">
        <v>804</v>
      </c>
      <c r="H317" s="49" t="n">
        <v>10</v>
      </c>
      <c r="I317" s="70" t="s">
        <v>368</v>
      </c>
      <c r="J317" s="70" t="n">
        <v>200</v>
      </c>
      <c r="K317" s="73" t="n">
        <v>1</v>
      </c>
      <c r="L317" s="49" t="n">
        <v>9</v>
      </c>
      <c r="M317" s="67" t="n">
        <v>3.78</v>
      </c>
      <c r="N317" s="68" t="n">
        <f aca="false">K317*L317*M317</f>
        <v>34.02</v>
      </c>
      <c r="O317" s="34" t="n">
        <f aca="false">IFERROR(INDEX(Исходные!$B$18:$B$30,MATCH(H317,Исходные!$A$18:$A$30,0)),0)</f>
        <v>0.617</v>
      </c>
      <c r="P317" s="74" t="n">
        <f aca="false">N317*O317</f>
        <v>20.99034</v>
      </c>
      <c r="Q317" s="20" t="s">
        <v>774</v>
      </c>
      <c r="R317" s="75" t="s">
        <v>517</v>
      </c>
      <c r="S317" s="20"/>
      <c r="T317" s="20" t="s">
        <v>73</v>
      </c>
      <c r="U317" s="47" t="n">
        <v>0</v>
      </c>
      <c r="V317" s="70" t="s">
        <v>775</v>
      </c>
      <c r="W317" s="47" t="n">
        <v>1</v>
      </c>
    </row>
    <row r="318" customFormat="false" ht="23.85" hidden="false" customHeight="false" outlineLevel="0" collapsed="false">
      <c r="A318" s="70" t="n">
        <v>309</v>
      </c>
      <c r="B318" s="20" t="s">
        <v>363</v>
      </c>
      <c r="C318" s="20" t="s">
        <v>769</v>
      </c>
      <c r="D318" s="20" t="s">
        <v>770</v>
      </c>
      <c r="E318" s="20" t="s">
        <v>771</v>
      </c>
      <c r="F318" s="70" t="s">
        <v>811</v>
      </c>
      <c r="G318" s="20" t="s">
        <v>812</v>
      </c>
      <c r="H318" s="49" t="n">
        <v>10</v>
      </c>
      <c r="I318" s="70" t="s">
        <v>368</v>
      </c>
      <c r="J318" s="70" t="n">
        <v>200</v>
      </c>
      <c r="K318" s="73" t="n">
        <v>1</v>
      </c>
      <c r="L318" s="49" t="n">
        <v>40</v>
      </c>
      <c r="M318" s="67" t="n">
        <v>22.35</v>
      </c>
      <c r="N318" s="68" t="n">
        <f aca="false">K318*L318*M318</f>
        <v>894</v>
      </c>
      <c r="O318" s="34" t="n">
        <f aca="false">IFERROR(INDEX(Исходные!$B$18:$B$30,MATCH(H318,Исходные!$A$18:$A$30,0)),0)</f>
        <v>0.617</v>
      </c>
      <c r="P318" s="74" t="n">
        <f aca="false">N318*O318</f>
        <v>551.598</v>
      </c>
      <c r="Q318" s="20" t="s">
        <v>774</v>
      </c>
      <c r="R318" s="75" t="s">
        <v>517</v>
      </c>
      <c r="S318" s="20"/>
      <c r="T318" s="20" t="s">
        <v>73</v>
      </c>
      <c r="U318" s="47" t="n">
        <v>0</v>
      </c>
      <c r="V318" s="70" t="s">
        <v>775</v>
      </c>
      <c r="W318" s="47" t="n">
        <v>1</v>
      </c>
    </row>
    <row r="319" customFormat="false" ht="35.05" hidden="false" customHeight="false" outlineLevel="0" collapsed="false">
      <c r="A319" s="70" t="n">
        <v>310</v>
      </c>
      <c r="B319" s="20" t="s">
        <v>363</v>
      </c>
      <c r="C319" s="20" t="s">
        <v>769</v>
      </c>
      <c r="D319" s="20" t="s">
        <v>770</v>
      </c>
      <c r="E319" s="20" t="s">
        <v>771</v>
      </c>
      <c r="F319" s="70" t="s">
        <v>813</v>
      </c>
      <c r="G319" s="20" t="s">
        <v>814</v>
      </c>
      <c r="H319" s="49" t="n">
        <v>10</v>
      </c>
      <c r="I319" s="70" t="s">
        <v>368</v>
      </c>
      <c r="J319" s="70" t="s">
        <v>369</v>
      </c>
      <c r="K319" s="73" t="n">
        <v>40</v>
      </c>
      <c r="L319" s="49" t="n">
        <v>1</v>
      </c>
      <c r="M319" s="67" t="n">
        <v>0.4</v>
      </c>
      <c r="N319" s="68" t="n">
        <f aca="false">K319*L319*M319</f>
        <v>16</v>
      </c>
      <c r="O319" s="34" t="n">
        <f aca="false">IFERROR(INDEX(Исходные!$B$18:$B$30,MATCH(H319,Исходные!$A$18:$A$30,0)),0)</f>
        <v>0.617</v>
      </c>
      <c r="P319" s="74" t="n">
        <f aca="false">N319*O319</f>
        <v>9.872</v>
      </c>
      <c r="Q319" s="20" t="s">
        <v>778</v>
      </c>
      <c r="R319" s="75" t="s">
        <v>524</v>
      </c>
      <c r="S319" s="20" t="s">
        <v>792</v>
      </c>
      <c r="T319" s="20" t="s">
        <v>73</v>
      </c>
      <c r="U319" s="47" t="n">
        <v>0</v>
      </c>
      <c r="V319" s="70" t="s">
        <v>775</v>
      </c>
      <c r="W319" s="47" t="n">
        <v>1</v>
      </c>
    </row>
    <row r="320" customFormat="false" ht="23.85" hidden="false" customHeight="false" outlineLevel="0" collapsed="false">
      <c r="A320" s="70" t="n">
        <v>311</v>
      </c>
      <c r="B320" s="20" t="s">
        <v>363</v>
      </c>
      <c r="C320" s="20" t="s">
        <v>769</v>
      </c>
      <c r="D320" s="20" t="s">
        <v>770</v>
      </c>
      <c r="E320" s="20" t="s">
        <v>771</v>
      </c>
      <c r="F320" s="70" t="s">
        <v>811</v>
      </c>
      <c r="G320" s="20" t="s">
        <v>812</v>
      </c>
      <c r="H320" s="49" t="n">
        <v>10</v>
      </c>
      <c r="I320" s="70" t="s">
        <v>368</v>
      </c>
      <c r="J320" s="70" t="n">
        <v>200</v>
      </c>
      <c r="K320" s="73" t="n">
        <v>1</v>
      </c>
      <c r="L320" s="49" t="n">
        <v>39</v>
      </c>
      <c r="M320" s="67" t="n">
        <v>20.62</v>
      </c>
      <c r="N320" s="68" t="n">
        <f aca="false">K320*L320*M320</f>
        <v>804.18</v>
      </c>
      <c r="O320" s="34" t="n">
        <f aca="false">IFERROR(INDEX(Исходные!$B$18:$B$30,MATCH(H320,Исходные!$A$18:$A$30,0)),0)</f>
        <v>0.617</v>
      </c>
      <c r="P320" s="74" t="n">
        <f aca="false">N320*O320</f>
        <v>496.17906</v>
      </c>
      <c r="Q320" s="20" t="s">
        <v>774</v>
      </c>
      <c r="R320" s="75" t="s">
        <v>517</v>
      </c>
      <c r="S320" s="20"/>
      <c r="T320" s="20" t="s">
        <v>73</v>
      </c>
      <c r="U320" s="47" t="n">
        <v>0</v>
      </c>
      <c r="V320" s="70" t="s">
        <v>775</v>
      </c>
      <c r="W320" s="47" t="n">
        <v>1</v>
      </c>
    </row>
    <row r="321" customFormat="false" ht="35.05" hidden="false" customHeight="false" outlineLevel="0" collapsed="false">
      <c r="A321" s="70" t="n">
        <v>312</v>
      </c>
      <c r="B321" s="20" t="s">
        <v>363</v>
      </c>
      <c r="C321" s="20" t="s">
        <v>769</v>
      </c>
      <c r="D321" s="20" t="s">
        <v>770</v>
      </c>
      <c r="E321" s="20" t="s">
        <v>771</v>
      </c>
      <c r="F321" s="70" t="s">
        <v>813</v>
      </c>
      <c r="G321" s="20" t="s">
        <v>815</v>
      </c>
      <c r="H321" s="49" t="n">
        <v>10</v>
      </c>
      <c r="I321" s="70" t="s">
        <v>368</v>
      </c>
      <c r="J321" s="70" t="s">
        <v>369</v>
      </c>
      <c r="K321" s="73" t="n">
        <v>39</v>
      </c>
      <c r="L321" s="49" t="n">
        <v>1</v>
      </c>
      <c r="M321" s="67" t="n">
        <v>0.4</v>
      </c>
      <c r="N321" s="68" t="n">
        <f aca="false">K321*L321*M321</f>
        <v>15.6</v>
      </c>
      <c r="O321" s="34" t="n">
        <f aca="false">IFERROR(INDEX(Исходные!$B$18:$B$30,MATCH(H321,Исходные!$A$18:$A$30,0)),0)</f>
        <v>0.617</v>
      </c>
      <c r="P321" s="74" t="n">
        <f aca="false">N321*O321</f>
        <v>9.6252</v>
      </c>
      <c r="Q321" s="20" t="s">
        <v>778</v>
      </c>
      <c r="R321" s="75" t="s">
        <v>524</v>
      </c>
      <c r="S321" s="20" t="s">
        <v>794</v>
      </c>
      <c r="T321" s="20" t="s">
        <v>73</v>
      </c>
      <c r="U321" s="47" t="n">
        <v>0</v>
      </c>
      <c r="V321" s="70" t="s">
        <v>775</v>
      </c>
      <c r="W321" s="47" t="n">
        <v>1</v>
      </c>
    </row>
    <row r="322" customFormat="false" ht="23.85" hidden="false" customHeight="false" outlineLevel="0" collapsed="false">
      <c r="A322" s="70" t="n">
        <v>313</v>
      </c>
      <c r="B322" s="20" t="s">
        <v>363</v>
      </c>
      <c r="C322" s="20" t="s">
        <v>769</v>
      </c>
      <c r="D322" s="20" t="s">
        <v>770</v>
      </c>
      <c r="E322" s="20" t="s">
        <v>771</v>
      </c>
      <c r="F322" s="70" t="s">
        <v>811</v>
      </c>
      <c r="G322" s="20" t="s">
        <v>812</v>
      </c>
      <c r="H322" s="49" t="n">
        <v>10</v>
      </c>
      <c r="I322" s="70" t="s">
        <v>368</v>
      </c>
      <c r="J322" s="70" t="n">
        <v>200</v>
      </c>
      <c r="K322" s="73" t="n">
        <v>1</v>
      </c>
      <c r="L322" s="49" t="n">
        <v>26</v>
      </c>
      <c r="M322" s="67" t="n">
        <v>20.48</v>
      </c>
      <c r="N322" s="68" t="n">
        <f aca="false">K322*L322*M322</f>
        <v>532.48</v>
      </c>
      <c r="O322" s="34" t="n">
        <f aca="false">IFERROR(INDEX(Исходные!$B$18:$B$30,MATCH(H322,Исходные!$A$18:$A$30,0)),0)</f>
        <v>0.617</v>
      </c>
      <c r="P322" s="74" t="n">
        <f aca="false">N322*O322</f>
        <v>328.54016</v>
      </c>
      <c r="Q322" s="20" t="s">
        <v>774</v>
      </c>
      <c r="R322" s="75" t="s">
        <v>517</v>
      </c>
      <c r="S322" s="20"/>
      <c r="T322" s="20" t="s">
        <v>73</v>
      </c>
      <c r="U322" s="47" t="n">
        <v>0</v>
      </c>
      <c r="V322" s="70" t="s">
        <v>775</v>
      </c>
      <c r="W322" s="47" t="n">
        <v>1</v>
      </c>
    </row>
    <row r="323" customFormat="false" ht="35.05" hidden="false" customHeight="false" outlineLevel="0" collapsed="false">
      <c r="A323" s="70" t="n">
        <v>314</v>
      </c>
      <c r="B323" s="20" t="s">
        <v>363</v>
      </c>
      <c r="C323" s="20" t="s">
        <v>769</v>
      </c>
      <c r="D323" s="20" t="s">
        <v>770</v>
      </c>
      <c r="E323" s="20" t="s">
        <v>771</v>
      </c>
      <c r="F323" s="70" t="s">
        <v>813</v>
      </c>
      <c r="G323" s="20" t="s">
        <v>816</v>
      </c>
      <c r="H323" s="49" t="n">
        <v>10</v>
      </c>
      <c r="I323" s="70" t="s">
        <v>368</v>
      </c>
      <c r="J323" s="70" t="s">
        <v>369</v>
      </c>
      <c r="K323" s="73" t="n">
        <v>26</v>
      </c>
      <c r="L323" s="49" t="n">
        <v>1</v>
      </c>
      <c r="M323" s="67" t="n">
        <v>0.4</v>
      </c>
      <c r="N323" s="68" t="n">
        <f aca="false">K323*L323*M323</f>
        <v>10.4</v>
      </c>
      <c r="O323" s="34" t="n">
        <f aca="false">IFERROR(INDEX(Исходные!$B$18:$B$30,MATCH(H323,Исходные!$A$18:$A$30,0)),0)</f>
        <v>0.617</v>
      </c>
      <c r="P323" s="74" t="n">
        <f aca="false">N323*O323</f>
        <v>6.4168</v>
      </c>
      <c r="Q323" s="20" t="s">
        <v>778</v>
      </c>
      <c r="R323" s="75" t="s">
        <v>524</v>
      </c>
      <c r="S323" s="20" t="s">
        <v>796</v>
      </c>
      <c r="T323" s="20" t="s">
        <v>73</v>
      </c>
      <c r="U323" s="47" t="n">
        <v>0</v>
      </c>
      <c r="V323" s="70" t="s">
        <v>775</v>
      </c>
      <c r="W323" s="47" t="n">
        <v>1</v>
      </c>
    </row>
    <row r="324" customFormat="false" ht="23.85" hidden="false" customHeight="false" outlineLevel="0" collapsed="false">
      <c r="A324" s="70" t="n">
        <v>315</v>
      </c>
      <c r="B324" s="20" t="s">
        <v>363</v>
      </c>
      <c r="C324" s="20" t="s">
        <v>769</v>
      </c>
      <c r="D324" s="20" t="s">
        <v>770</v>
      </c>
      <c r="E324" s="20" t="s">
        <v>771</v>
      </c>
      <c r="F324" s="70" t="s">
        <v>811</v>
      </c>
      <c r="G324" s="20" t="s">
        <v>812</v>
      </c>
      <c r="H324" s="49" t="n">
        <v>10</v>
      </c>
      <c r="I324" s="70" t="s">
        <v>368</v>
      </c>
      <c r="J324" s="70" t="n">
        <v>200</v>
      </c>
      <c r="K324" s="73" t="n">
        <v>1</v>
      </c>
      <c r="L324" s="49" t="n">
        <v>2</v>
      </c>
      <c r="M324" s="67" t="n">
        <v>19.01</v>
      </c>
      <c r="N324" s="68" t="n">
        <f aca="false">K324*L324*M324</f>
        <v>38.02</v>
      </c>
      <c r="O324" s="34" t="n">
        <f aca="false">IFERROR(INDEX(Исходные!$B$18:$B$30,MATCH(H324,Исходные!$A$18:$A$30,0)),0)</f>
        <v>0.617</v>
      </c>
      <c r="P324" s="74" t="n">
        <f aca="false">N324*O324</f>
        <v>23.45834</v>
      </c>
      <c r="Q324" s="20" t="s">
        <v>774</v>
      </c>
      <c r="R324" s="75" t="s">
        <v>517</v>
      </c>
      <c r="S324" s="20"/>
      <c r="T324" s="20" t="s">
        <v>73</v>
      </c>
      <c r="U324" s="47" t="n">
        <v>0</v>
      </c>
      <c r="V324" s="70" t="s">
        <v>775</v>
      </c>
      <c r="W324" s="47" t="n">
        <v>1</v>
      </c>
    </row>
    <row r="325" customFormat="false" ht="35.05" hidden="false" customHeight="false" outlineLevel="0" collapsed="false">
      <c r="A325" s="70" t="n">
        <v>316</v>
      </c>
      <c r="B325" s="20" t="s">
        <v>363</v>
      </c>
      <c r="C325" s="20" t="s">
        <v>769</v>
      </c>
      <c r="D325" s="20" t="s">
        <v>770</v>
      </c>
      <c r="E325" s="20" t="s">
        <v>771</v>
      </c>
      <c r="F325" s="70" t="s">
        <v>813</v>
      </c>
      <c r="G325" s="20" t="s">
        <v>817</v>
      </c>
      <c r="H325" s="49" t="n">
        <v>10</v>
      </c>
      <c r="I325" s="70" t="s">
        <v>368</v>
      </c>
      <c r="J325" s="70" t="s">
        <v>369</v>
      </c>
      <c r="K325" s="73" t="n">
        <v>2</v>
      </c>
      <c r="L325" s="49" t="n">
        <v>1</v>
      </c>
      <c r="M325" s="67" t="n">
        <v>0.4</v>
      </c>
      <c r="N325" s="68" t="n">
        <f aca="false">K325*L325*M325</f>
        <v>0.8</v>
      </c>
      <c r="O325" s="34" t="n">
        <f aca="false">IFERROR(INDEX(Исходные!$B$18:$B$30,MATCH(H325,Исходные!$A$18:$A$30,0)),0)</f>
        <v>0.617</v>
      </c>
      <c r="P325" s="74" t="n">
        <f aca="false">N325*O325</f>
        <v>0.4936</v>
      </c>
      <c r="Q325" s="20" t="s">
        <v>778</v>
      </c>
      <c r="R325" s="75" t="s">
        <v>524</v>
      </c>
      <c r="S325" s="20" t="s">
        <v>798</v>
      </c>
      <c r="T325" s="20" t="s">
        <v>73</v>
      </c>
      <c r="U325" s="47" t="n">
        <v>0</v>
      </c>
      <c r="V325" s="70" t="s">
        <v>775</v>
      </c>
      <c r="W325" s="47" t="n">
        <v>1</v>
      </c>
    </row>
    <row r="326" customFormat="false" ht="23.85" hidden="false" customHeight="false" outlineLevel="0" collapsed="false">
      <c r="A326" s="70" t="n">
        <v>317</v>
      </c>
      <c r="B326" s="20" t="s">
        <v>363</v>
      </c>
      <c r="C326" s="20" t="s">
        <v>769</v>
      </c>
      <c r="D326" s="20" t="s">
        <v>770</v>
      </c>
      <c r="E326" s="20" t="s">
        <v>771</v>
      </c>
      <c r="F326" s="70" t="s">
        <v>811</v>
      </c>
      <c r="G326" s="20" t="s">
        <v>812</v>
      </c>
      <c r="H326" s="49" t="n">
        <v>10</v>
      </c>
      <c r="I326" s="70" t="s">
        <v>368</v>
      </c>
      <c r="J326" s="70" t="n">
        <v>200</v>
      </c>
      <c r="K326" s="73" t="n">
        <v>1</v>
      </c>
      <c r="L326" s="49" t="n">
        <v>5</v>
      </c>
      <c r="M326" s="67" t="n">
        <v>17.28</v>
      </c>
      <c r="N326" s="68" t="n">
        <f aca="false">K326*L326*M326</f>
        <v>86.4</v>
      </c>
      <c r="O326" s="34" t="n">
        <f aca="false">IFERROR(INDEX(Исходные!$B$18:$B$30,MATCH(H326,Исходные!$A$18:$A$30,0)),0)</f>
        <v>0.617</v>
      </c>
      <c r="P326" s="74" t="n">
        <f aca="false">N326*O326</f>
        <v>53.3088</v>
      </c>
      <c r="Q326" s="20" t="s">
        <v>774</v>
      </c>
      <c r="R326" s="75" t="s">
        <v>517</v>
      </c>
      <c r="S326" s="20"/>
      <c r="T326" s="20" t="s">
        <v>73</v>
      </c>
      <c r="U326" s="47" t="n">
        <v>0</v>
      </c>
      <c r="V326" s="70" t="s">
        <v>775</v>
      </c>
      <c r="W326" s="47" t="n">
        <v>1</v>
      </c>
    </row>
    <row r="327" customFormat="false" ht="35.05" hidden="false" customHeight="false" outlineLevel="0" collapsed="false">
      <c r="A327" s="70" t="n">
        <v>318</v>
      </c>
      <c r="B327" s="20" t="s">
        <v>363</v>
      </c>
      <c r="C327" s="20" t="s">
        <v>769</v>
      </c>
      <c r="D327" s="20" t="s">
        <v>770</v>
      </c>
      <c r="E327" s="20" t="s">
        <v>771</v>
      </c>
      <c r="F327" s="70" t="s">
        <v>813</v>
      </c>
      <c r="G327" s="20" t="s">
        <v>818</v>
      </c>
      <c r="H327" s="49" t="n">
        <v>10</v>
      </c>
      <c r="I327" s="70" t="s">
        <v>368</v>
      </c>
      <c r="J327" s="70" t="s">
        <v>369</v>
      </c>
      <c r="K327" s="73" t="n">
        <v>5</v>
      </c>
      <c r="L327" s="49" t="n">
        <v>1</v>
      </c>
      <c r="M327" s="67" t="n">
        <v>0.4</v>
      </c>
      <c r="N327" s="68" t="n">
        <f aca="false">K327*L327*M327</f>
        <v>2</v>
      </c>
      <c r="O327" s="34" t="n">
        <f aca="false">IFERROR(INDEX(Исходные!$B$18:$B$30,MATCH(H327,Исходные!$A$18:$A$30,0)),0)</f>
        <v>0.617</v>
      </c>
      <c r="P327" s="74" t="n">
        <f aca="false">N327*O327</f>
        <v>1.234</v>
      </c>
      <c r="Q327" s="20" t="s">
        <v>778</v>
      </c>
      <c r="R327" s="75" t="s">
        <v>524</v>
      </c>
      <c r="S327" s="20" t="s">
        <v>800</v>
      </c>
      <c r="T327" s="20" t="s">
        <v>73</v>
      </c>
      <c r="U327" s="47" t="n">
        <v>0</v>
      </c>
      <c r="V327" s="70" t="s">
        <v>775</v>
      </c>
      <c r="W327" s="47" t="n">
        <v>1</v>
      </c>
    </row>
    <row r="328" customFormat="false" ht="23.85" hidden="false" customHeight="false" outlineLevel="0" collapsed="false">
      <c r="A328" s="70" t="n">
        <v>319</v>
      </c>
      <c r="B328" s="20" t="s">
        <v>363</v>
      </c>
      <c r="C328" s="20" t="s">
        <v>769</v>
      </c>
      <c r="D328" s="20" t="s">
        <v>770</v>
      </c>
      <c r="E328" s="20" t="s">
        <v>771</v>
      </c>
      <c r="F328" s="70" t="s">
        <v>811</v>
      </c>
      <c r="G328" s="20" t="s">
        <v>812</v>
      </c>
      <c r="H328" s="49" t="n">
        <v>10</v>
      </c>
      <c r="I328" s="70" t="s">
        <v>368</v>
      </c>
      <c r="J328" s="70" t="n">
        <v>200</v>
      </c>
      <c r="K328" s="73" t="n">
        <v>1</v>
      </c>
      <c r="L328" s="49" t="n">
        <v>17</v>
      </c>
      <c r="M328" s="67" t="n">
        <v>15.6</v>
      </c>
      <c r="N328" s="68" t="n">
        <f aca="false">K328*L328*M328</f>
        <v>265.2</v>
      </c>
      <c r="O328" s="34" t="n">
        <f aca="false">IFERROR(INDEX(Исходные!$B$18:$B$30,MATCH(H328,Исходные!$A$18:$A$30,0)),0)</f>
        <v>0.617</v>
      </c>
      <c r="P328" s="74" t="n">
        <f aca="false">N328*O328</f>
        <v>163.6284</v>
      </c>
      <c r="Q328" s="20" t="s">
        <v>774</v>
      </c>
      <c r="R328" s="75" t="s">
        <v>517</v>
      </c>
      <c r="S328" s="20"/>
      <c r="T328" s="20" t="s">
        <v>73</v>
      </c>
      <c r="U328" s="47" t="n">
        <v>0</v>
      </c>
      <c r="V328" s="70" t="s">
        <v>775</v>
      </c>
      <c r="W328" s="47" t="n">
        <v>1</v>
      </c>
    </row>
    <row r="329" customFormat="false" ht="35.05" hidden="false" customHeight="false" outlineLevel="0" collapsed="false">
      <c r="A329" s="70" t="n">
        <v>320</v>
      </c>
      <c r="B329" s="20" t="s">
        <v>363</v>
      </c>
      <c r="C329" s="20" t="s">
        <v>769</v>
      </c>
      <c r="D329" s="20" t="s">
        <v>770</v>
      </c>
      <c r="E329" s="20" t="s">
        <v>771</v>
      </c>
      <c r="F329" s="70" t="s">
        <v>813</v>
      </c>
      <c r="G329" s="20" t="s">
        <v>819</v>
      </c>
      <c r="H329" s="49" t="n">
        <v>10</v>
      </c>
      <c r="I329" s="70" t="s">
        <v>368</v>
      </c>
      <c r="J329" s="70" t="s">
        <v>369</v>
      </c>
      <c r="K329" s="73" t="n">
        <v>17</v>
      </c>
      <c r="L329" s="49" t="n">
        <v>1</v>
      </c>
      <c r="M329" s="67" t="n">
        <v>0.4</v>
      </c>
      <c r="N329" s="68" t="n">
        <f aca="false">K329*L329*M329</f>
        <v>6.8</v>
      </c>
      <c r="O329" s="34" t="n">
        <f aca="false">IFERROR(INDEX(Исходные!$B$18:$B$30,MATCH(H329,Исходные!$A$18:$A$30,0)),0)</f>
        <v>0.617</v>
      </c>
      <c r="P329" s="74" t="n">
        <f aca="false">N329*O329</f>
        <v>4.1956</v>
      </c>
      <c r="Q329" s="20" t="s">
        <v>778</v>
      </c>
      <c r="R329" s="75" t="s">
        <v>524</v>
      </c>
      <c r="S329" s="20" t="s">
        <v>802</v>
      </c>
      <c r="T329" s="20" t="s">
        <v>73</v>
      </c>
      <c r="U329" s="47" t="n">
        <v>0</v>
      </c>
      <c r="V329" s="70" t="s">
        <v>775</v>
      </c>
      <c r="W329" s="47" t="n">
        <v>1</v>
      </c>
    </row>
    <row r="330" customFormat="false" ht="23.85" hidden="false" customHeight="false" outlineLevel="0" collapsed="false">
      <c r="A330" s="70" t="n">
        <v>321</v>
      </c>
      <c r="B330" s="20" t="s">
        <v>363</v>
      </c>
      <c r="C330" s="20" t="s">
        <v>769</v>
      </c>
      <c r="D330" s="20" t="s">
        <v>770</v>
      </c>
      <c r="E330" s="20" t="s">
        <v>771</v>
      </c>
      <c r="F330" s="70" t="s">
        <v>811</v>
      </c>
      <c r="G330" s="20" t="s">
        <v>812</v>
      </c>
      <c r="H330" s="49" t="n">
        <v>10</v>
      </c>
      <c r="I330" s="70" t="s">
        <v>368</v>
      </c>
      <c r="J330" s="70" t="n">
        <v>200</v>
      </c>
      <c r="K330" s="73" t="n">
        <v>1</v>
      </c>
      <c r="L330" s="49" t="n">
        <v>18</v>
      </c>
      <c r="M330" s="67" t="n">
        <v>4.15</v>
      </c>
      <c r="N330" s="68" t="n">
        <f aca="false">K330*L330*M330</f>
        <v>74.7</v>
      </c>
      <c r="O330" s="34" t="n">
        <f aca="false">IFERROR(INDEX(Исходные!$B$18:$B$30,MATCH(H330,Исходные!$A$18:$A$30,0)),0)</f>
        <v>0.617</v>
      </c>
      <c r="P330" s="74" t="n">
        <f aca="false">N330*O330</f>
        <v>46.0899</v>
      </c>
      <c r="Q330" s="20" t="s">
        <v>774</v>
      </c>
      <c r="R330" s="75" t="s">
        <v>517</v>
      </c>
      <c r="S330" s="20"/>
      <c r="T330" s="20" t="s">
        <v>73</v>
      </c>
      <c r="U330" s="47" t="n">
        <v>0</v>
      </c>
      <c r="V330" s="70" t="s">
        <v>775</v>
      </c>
      <c r="W330" s="47" t="n">
        <v>1</v>
      </c>
    </row>
    <row r="331" customFormat="false" ht="23.85" hidden="false" customHeight="false" outlineLevel="0" collapsed="false">
      <c r="A331" s="70" t="n">
        <v>322</v>
      </c>
      <c r="B331" s="20" t="s">
        <v>363</v>
      </c>
      <c r="C331" s="20" t="s">
        <v>769</v>
      </c>
      <c r="D331" s="20" t="s">
        <v>770</v>
      </c>
      <c r="E331" s="20" t="s">
        <v>771</v>
      </c>
      <c r="F331" s="70" t="s">
        <v>811</v>
      </c>
      <c r="G331" s="20" t="s">
        <v>812</v>
      </c>
      <c r="H331" s="49" t="n">
        <v>10</v>
      </c>
      <c r="I331" s="70" t="s">
        <v>368</v>
      </c>
      <c r="J331" s="70" t="n">
        <v>200</v>
      </c>
      <c r="K331" s="73" t="n">
        <v>1</v>
      </c>
      <c r="L331" s="49" t="n">
        <v>24</v>
      </c>
      <c r="M331" s="67" t="n">
        <v>0.62</v>
      </c>
      <c r="N331" s="68" t="n">
        <f aca="false">K331*L331*M331</f>
        <v>14.88</v>
      </c>
      <c r="O331" s="34" t="n">
        <f aca="false">IFERROR(INDEX(Исходные!$B$18:$B$30,MATCH(H331,Исходные!$A$18:$A$30,0)),0)</f>
        <v>0.617</v>
      </c>
      <c r="P331" s="74" t="n">
        <f aca="false">N331*O331</f>
        <v>9.18096</v>
      </c>
      <c r="Q331" s="20" t="s">
        <v>774</v>
      </c>
      <c r="R331" s="75" t="s">
        <v>517</v>
      </c>
      <c r="S331" s="20"/>
      <c r="T331" s="20" t="s">
        <v>73</v>
      </c>
      <c r="U331" s="47" t="n">
        <v>0</v>
      </c>
      <c r="V331" s="70" t="s">
        <v>775</v>
      </c>
      <c r="W331" s="47" t="n">
        <v>1</v>
      </c>
    </row>
    <row r="332" customFormat="false" ht="23.85" hidden="false" customHeight="false" outlineLevel="0" collapsed="false">
      <c r="A332" s="70" t="n">
        <v>323</v>
      </c>
      <c r="B332" s="20" t="s">
        <v>363</v>
      </c>
      <c r="C332" s="20" t="s">
        <v>769</v>
      </c>
      <c r="D332" s="20" t="s">
        <v>820</v>
      </c>
      <c r="E332" s="20" t="s">
        <v>771</v>
      </c>
      <c r="F332" s="70" t="s">
        <v>821</v>
      </c>
      <c r="G332" s="20" t="s">
        <v>822</v>
      </c>
      <c r="H332" s="49" t="n">
        <v>10</v>
      </c>
      <c r="I332" s="70" t="s">
        <v>368</v>
      </c>
      <c r="J332" s="70" t="n">
        <v>200</v>
      </c>
      <c r="K332" s="73" t="n">
        <v>1</v>
      </c>
      <c r="L332" s="49" t="n">
        <v>22</v>
      </c>
      <c r="M332" s="67" t="n">
        <v>5.05</v>
      </c>
      <c r="N332" s="68" t="n">
        <f aca="false">K332*L332*M332</f>
        <v>111.1</v>
      </c>
      <c r="O332" s="34" t="n">
        <f aca="false">IFERROR(INDEX(Исходные!$B$18:$B$30,MATCH(H332,Исходные!$A$18:$A$30,0)),0)</f>
        <v>0.617</v>
      </c>
      <c r="P332" s="74" t="n">
        <f aca="false">N332*O332</f>
        <v>68.5487</v>
      </c>
      <c r="Q332" s="20" t="s">
        <v>823</v>
      </c>
      <c r="R332" s="75" t="s">
        <v>371</v>
      </c>
      <c r="S332" s="20"/>
      <c r="T332" s="20" t="s">
        <v>73</v>
      </c>
      <c r="U332" s="47" t="n">
        <v>0</v>
      </c>
      <c r="V332" s="70" t="s">
        <v>824</v>
      </c>
      <c r="W332" s="47" t="n">
        <v>1</v>
      </c>
    </row>
    <row r="333" customFormat="false" ht="23.85" hidden="false" customHeight="false" outlineLevel="0" collapsed="false">
      <c r="A333" s="70" t="n">
        <v>324</v>
      </c>
      <c r="B333" s="20" t="s">
        <v>363</v>
      </c>
      <c r="C333" s="20" t="s">
        <v>769</v>
      </c>
      <c r="D333" s="20" t="s">
        <v>820</v>
      </c>
      <c r="E333" s="20" t="s">
        <v>771</v>
      </c>
      <c r="F333" s="70" t="s">
        <v>821</v>
      </c>
      <c r="G333" s="20" t="s">
        <v>825</v>
      </c>
      <c r="H333" s="49" t="n">
        <v>10</v>
      </c>
      <c r="I333" s="70" t="s">
        <v>368</v>
      </c>
      <c r="J333" s="70" t="n">
        <v>200</v>
      </c>
      <c r="K333" s="73" t="n">
        <v>1</v>
      </c>
      <c r="L333" s="49" t="n">
        <v>25</v>
      </c>
      <c r="M333" s="67" t="n">
        <v>4.5</v>
      </c>
      <c r="N333" s="68" t="n">
        <f aca="false">K333*L333*M333</f>
        <v>112.5</v>
      </c>
      <c r="O333" s="34" t="n">
        <f aca="false">IFERROR(INDEX(Исходные!$B$18:$B$30,MATCH(H333,Исходные!$A$18:$A$30,0)),0)</f>
        <v>0.617</v>
      </c>
      <c r="P333" s="74" t="n">
        <f aca="false">N333*O333</f>
        <v>69.4125</v>
      </c>
      <c r="Q333" s="20" t="s">
        <v>823</v>
      </c>
      <c r="R333" s="75" t="s">
        <v>371</v>
      </c>
      <c r="S333" s="20"/>
      <c r="T333" s="20" t="s">
        <v>73</v>
      </c>
      <c r="U333" s="47" t="n">
        <v>0</v>
      </c>
      <c r="V333" s="70" t="s">
        <v>824</v>
      </c>
      <c r="W333" s="47" t="n">
        <v>1</v>
      </c>
    </row>
    <row r="334" customFormat="false" ht="23.85" hidden="false" customHeight="false" outlineLevel="0" collapsed="false">
      <c r="A334" s="70" t="n">
        <v>325</v>
      </c>
      <c r="B334" s="20" t="s">
        <v>363</v>
      </c>
      <c r="C334" s="20" t="s">
        <v>769</v>
      </c>
      <c r="D334" s="20" t="s">
        <v>820</v>
      </c>
      <c r="E334" s="20" t="s">
        <v>771</v>
      </c>
      <c r="F334" s="70" t="s">
        <v>821</v>
      </c>
      <c r="G334" s="20" t="s">
        <v>826</v>
      </c>
      <c r="H334" s="49" t="n">
        <v>10</v>
      </c>
      <c r="I334" s="70" t="s">
        <v>368</v>
      </c>
      <c r="J334" s="70" t="n">
        <v>200</v>
      </c>
      <c r="K334" s="73" t="n">
        <v>1</v>
      </c>
      <c r="L334" s="49" t="n">
        <v>20</v>
      </c>
      <c r="M334" s="67" t="n">
        <v>3.625</v>
      </c>
      <c r="N334" s="68" t="n">
        <f aca="false">K334*L334*M334</f>
        <v>72.5</v>
      </c>
      <c r="O334" s="34" t="n">
        <f aca="false">IFERROR(INDEX(Исходные!$B$18:$B$30,MATCH(H334,Исходные!$A$18:$A$30,0)),0)</f>
        <v>0.617</v>
      </c>
      <c r="P334" s="74" t="n">
        <f aca="false">N334*O334</f>
        <v>44.7325</v>
      </c>
      <c r="Q334" s="20" t="s">
        <v>823</v>
      </c>
      <c r="R334" s="75" t="s">
        <v>371</v>
      </c>
      <c r="S334" s="20"/>
      <c r="T334" s="20" t="s">
        <v>73</v>
      </c>
      <c r="U334" s="47" t="n">
        <v>0</v>
      </c>
      <c r="V334" s="70" t="s">
        <v>824</v>
      </c>
      <c r="W334" s="47" t="n">
        <v>1</v>
      </c>
    </row>
    <row r="335" customFormat="false" ht="23.85" hidden="false" customHeight="false" outlineLevel="0" collapsed="false">
      <c r="A335" s="70" t="n">
        <v>326</v>
      </c>
      <c r="B335" s="20" t="s">
        <v>363</v>
      </c>
      <c r="C335" s="20" t="s">
        <v>769</v>
      </c>
      <c r="D335" s="20" t="s">
        <v>820</v>
      </c>
      <c r="E335" s="20" t="s">
        <v>771</v>
      </c>
      <c r="F335" s="70" t="s">
        <v>821</v>
      </c>
      <c r="G335" s="20" t="s">
        <v>827</v>
      </c>
      <c r="H335" s="49" t="n">
        <v>10</v>
      </c>
      <c r="I335" s="70" t="s">
        <v>368</v>
      </c>
      <c r="J335" s="70" t="n">
        <v>200</v>
      </c>
      <c r="K335" s="73" t="n">
        <v>1</v>
      </c>
      <c r="L335" s="49" t="n">
        <v>17</v>
      </c>
      <c r="M335" s="67" t="n">
        <v>4.5</v>
      </c>
      <c r="N335" s="68" t="n">
        <f aca="false">K335*L335*M335</f>
        <v>76.5</v>
      </c>
      <c r="O335" s="34" t="n">
        <f aca="false">IFERROR(INDEX(Исходные!$B$18:$B$30,MATCH(H335,Исходные!$A$18:$A$30,0)),0)</f>
        <v>0.617</v>
      </c>
      <c r="P335" s="74" t="n">
        <f aca="false">N335*O335</f>
        <v>47.2005</v>
      </c>
      <c r="Q335" s="20" t="s">
        <v>823</v>
      </c>
      <c r="R335" s="75" t="s">
        <v>371</v>
      </c>
      <c r="S335" s="20"/>
      <c r="T335" s="20" t="s">
        <v>73</v>
      </c>
      <c r="U335" s="47" t="n">
        <v>0</v>
      </c>
      <c r="V335" s="70" t="s">
        <v>824</v>
      </c>
      <c r="W335" s="47" t="n">
        <v>1</v>
      </c>
    </row>
    <row r="336" customFormat="false" ht="23.85" hidden="false" customHeight="false" outlineLevel="0" collapsed="false">
      <c r="A336" s="70" t="n">
        <v>327</v>
      </c>
      <c r="B336" s="20" t="s">
        <v>363</v>
      </c>
      <c r="C336" s="20" t="s">
        <v>769</v>
      </c>
      <c r="D336" s="20" t="s">
        <v>820</v>
      </c>
      <c r="E336" s="20" t="s">
        <v>771</v>
      </c>
      <c r="F336" s="70" t="s">
        <v>821</v>
      </c>
      <c r="G336" s="20" t="s">
        <v>828</v>
      </c>
      <c r="H336" s="49" t="n">
        <v>10</v>
      </c>
      <c r="I336" s="70" t="s">
        <v>368</v>
      </c>
      <c r="J336" s="70" t="n">
        <v>200</v>
      </c>
      <c r="K336" s="73" t="n">
        <v>1</v>
      </c>
      <c r="L336" s="49" t="n">
        <v>17</v>
      </c>
      <c r="M336" s="67" t="n">
        <v>1.2</v>
      </c>
      <c r="N336" s="68" t="n">
        <f aca="false">K336*L336*M336</f>
        <v>20.4</v>
      </c>
      <c r="O336" s="34" t="n">
        <f aca="false">IFERROR(INDEX(Исходные!$B$18:$B$30,MATCH(H336,Исходные!$A$18:$A$30,0)),0)</f>
        <v>0.617</v>
      </c>
      <c r="P336" s="74" t="n">
        <f aca="false">N336*O336</f>
        <v>12.5868</v>
      </c>
      <c r="Q336" s="20" t="s">
        <v>823</v>
      </c>
      <c r="R336" s="75" t="s">
        <v>371</v>
      </c>
      <c r="S336" s="20"/>
      <c r="T336" s="20" t="s">
        <v>73</v>
      </c>
      <c r="U336" s="47" t="n">
        <v>0</v>
      </c>
      <c r="V336" s="70" t="s">
        <v>824</v>
      </c>
      <c r="W336" s="47" t="n">
        <v>1</v>
      </c>
    </row>
    <row r="337" customFormat="false" ht="23.85" hidden="false" customHeight="false" outlineLevel="0" collapsed="false">
      <c r="A337" s="70" t="n">
        <v>328</v>
      </c>
      <c r="B337" s="20" t="s">
        <v>363</v>
      </c>
      <c r="C337" s="20" t="s">
        <v>769</v>
      </c>
      <c r="D337" s="20" t="s">
        <v>820</v>
      </c>
      <c r="E337" s="20" t="s">
        <v>771</v>
      </c>
      <c r="F337" s="70" t="s">
        <v>829</v>
      </c>
      <c r="G337" s="20" t="s">
        <v>830</v>
      </c>
      <c r="H337" s="49" t="n">
        <v>10</v>
      </c>
      <c r="I337" s="70" t="s">
        <v>368</v>
      </c>
      <c r="J337" s="70" t="n">
        <v>200</v>
      </c>
      <c r="K337" s="73" t="n">
        <v>1</v>
      </c>
      <c r="L337" s="49" t="n">
        <v>18</v>
      </c>
      <c r="M337" s="67" t="n">
        <v>1.2</v>
      </c>
      <c r="N337" s="68" t="n">
        <f aca="false">K337*L337*M337</f>
        <v>21.6</v>
      </c>
      <c r="O337" s="34" t="n">
        <f aca="false">IFERROR(INDEX(Исходные!$B$18:$B$30,MATCH(H337,Исходные!$A$18:$A$30,0)),0)</f>
        <v>0.617</v>
      </c>
      <c r="P337" s="74" t="n">
        <f aca="false">N337*O337</f>
        <v>13.3272</v>
      </c>
      <c r="Q337" s="20" t="s">
        <v>831</v>
      </c>
      <c r="R337" s="75" t="s">
        <v>371</v>
      </c>
      <c r="S337" s="20"/>
      <c r="T337" s="20" t="s">
        <v>73</v>
      </c>
      <c r="U337" s="47" t="n">
        <v>0</v>
      </c>
      <c r="V337" s="70" t="s">
        <v>832</v>
      </c>
      <c r="W337" s="47" t="n">
        <v>1</v>
      </c>
    </row>
    <row r="338" customFormat="false" ht="23.85" hidden="false" customHeight="false" outlineLevel="0" collapsed="false">
      <c r="A338" s="70" t="n">
        <v>329</v>
      </c>
      <c r="B338" s="20" t="s">
        <v>363</v>
      </c>
      <c r="C338" s="20" t="s">
        <v>769</v>
      </c>
      <c r="D338" s="20" t="s">
        <v>820</v>
      </c>
      <c r="E338" s="20" t="s">
        <v>771</v>
      </c>
      <c r="F338" s="70" t="s">
        <v>829</v>
      </c>
      <c r="G338" s="20" t="s">
        <v>833</v>
      </c>
      <c r="H338" s="49" t="n">
        <v>10</v>
      </c>
      <c r="I338" s="70" t="s">
        <v>368</v>
      </c>
      <c r="J338" s="70" t="n">
        <v>200</v>
      </c>
      <c r="K338" s="73" t="n">
        <v>1</v>
      </c>
      <c r="L338" s="49" t="n">
        <v>11</v>
      </c>
      <c r="M338" s="67" t="n">
        <v>1.2</v>
      </c>
      <c r="N338" s="68" t="n">
        <f aca="false">K338*L338*M338</f>
        <v>13.2</v>
      </c>
      <c r="O338" s="34" t="n">
        <f aca="false">IFERROR(INDEX(Исходные!$B$18:$B$30,MATCH(H338,Исходные!$A$18:$A$30,0)),0)</f>
        <v>0.617</v>
      </c>
      <c r="P338" s="74" t="n">
        <f aca="false">N338*O338</f>
        <v>8.1444</v>
      </c>
      <c r="Q338" s="20" t="s">
        <v>831</v>
      </c>
      <c r="R338" s="75" t="s">
        <v>371</v>
      </c>
      <c r="S338" s="20"/>
      <c r="T338" s="20" t="s">
        <v>73</v>
      </c>
      <c r="U338" s="47" t="n">
        <v>0</v>
      </c>
      <c r="V338" s="70" t="s">
        <v>832</v>
      </c>
      <c r="W338" s="47" t="n">
        <v>1</v>
      </c>
    </row>
    <row r="339" customFormat="false" ht="23.85" hidden="false" customHeight="false" outlineLevel="0" collapsed="false">
      <c r="A339" s="70" t="n">
        <v>330</v>
      </c>
      <c r="B339" s="20" t="s">
        <v>363</v>
      </c>
      <c r="C339" s="20" t="s">
        <v>769</v>
      </c>
      <c r="D339" s="20" t="s">
        <v>820</v>
      </c>
      <c r="E339" s="20" t="s">
        <v>771</v>
      </c>
      <c r="F339" s="70" t="s">
        <v>829</v>
      </c>
      <c r="G339" s="20" t="s">
        <v>834</v>
      </c>
      <c r="H339" s="49" t="n">
        <v>10</v>
      </c>
      <c r="I339" s="70" t="s">
        <v>368</v>
      </c>
      <c r="J339" s="70" t="n">
        <v>200</v>
      </c>
      <c r="K339" s="73" t="n">
        <v>1</v>
      </c>
      <c r="L339" s="49" t="n">
        <v>18</v>
      </c>
      <c r="M339" s="67" t="n">
        <v>1.2</v>
      </c>
      <c r="N339" s="68" t="n">
        <f aca="false">K339*L339*M339</f>
        <v>21.6</v>
      </c>
      <c r="O339" s="34" t="n">
        <f aca="false">IFERROR(INDEX(Исходные!$B$18:$B$30,MATCH(H339,Исходные!$A$18:$A$30,0)),0)</f>
        <v>0.617</v>
      </c>
      <c r="P339" s="74" t="n">
        <f aca="false">N339*O339</f>
        <v>13.3272</v>
      </c>
      <c r="Q339" s="20" t="s">
        <v>831</v>
      </c>
      <c r="R339" s="75" t="s">
        <v>371</v>
      </c>
      <c r="S339" s="20"/>
      <c r="T339" s="20" t="s">
        <v>73</v>
      </c>
      <c r="U339" s="47" t="n">
        <v>0</v>
      </c>
      <c r="V339" s="70" t="s">
        <v>832</v>
      </c>
      <c r="W339" s="47" t="n">
        <v>1</v>
      </c>
    </row>
    <row r="340" customFormat="false" ht="23.85" hidden="false" customHeight="false" outlineLevel="0" collapsed="false">
      <c r="A340" s="70" t="n">
        <v>331</v>
      </c>
      <c r="B340" s="20" t="s">
        <v>363</v>
      </c>
      <c r="C340" s="20" t="s">
        <v>769</v>
      </c>
      <c r="D340" s="20" t="s">
        <v>820</v>
      </c>
      <c r="E340" s="20" t="s">
        <v>771</v>
      </c>
      <c r="F340" s="70" t="s">
        <v>829</v>
      </c>
      <c r="G340" s="20" t="s">
        <v>835</v>
      </c>
      <c r="H340" s="49" t="n">
        <v>12</v>
      </c>
      <c r="I340" s="70" t="s">
        <v>368</v>
      </c>
      <c r="J340" s="70" t="n">
        <v>200</v>
      </c>
      <c r="K340" s="73" t="n">
        <v>1</v>
      </c>
      <c r="L340" s="49" t="n">
        <v>12</v>
      </c>
      <c r="M340" s="67" t="n">
        <v>1.4</v>
      </c>
      <c r="N340" s="68" t="n">
        <f aca="false">K340*L340*M340</f>
        <v>16.8</v>
      </c>
      <c r="O340" s="34" t="n">
        <f aca="false">IFERROR(INDEX(Исходные!$B$18:$B$30,MATCH(H340,Исходные!$A$18:$A$30,0)),0)</f>
        <v>0.888</v>
      </c>
      <c r="P340" s="74" t="n">
        <f aca="false">N340*O340</f>
        <v>14.9184</v>
      </c>
      <c r="Q340" s="20" t="s">
        <v>831</v>
      </c>
      <c r="R340" s="75" t="s">
        <v>371</v>
      </c>
      <c r="S340" s="20"/>
      <c r="T340" s="20" t="s">
        <v>73</v>
      </c>
      <c r="U340" s="47" t="n">
        <v>0</v>
      </c>
      <c r="V340" s="70" t="s">
        <v>832</v>
      </c>
      <c r="W340" s="47" t="n">
        <v>1</v>
      </c>
    </row>
    <row r="341" customFormat="false" ht="23.85" hidden="false" customHeight="false" outlineLevel="0" collapsed="false">
      <c r="A341" s="70" t="n">
        <v>332</v>
      </c>
      <c r="B341" s="20" t="s">
        <v>363</v>
      </c>
      <c r="C341" s="20" t="s">
        <v>769</v>
      </c>
      <c r="D341" s="20" t="s">
        <v>820</v>
      </c>
      <c r="E341" s="20" t="s">
        <v>771</v>
      </c>
      <c r="F341" s="70" t="s">
        <v>829</v>
      </c>
      <c r="G341" s="20" t="s">
        <v>836</v>
      </c>
      <c r="H341" s="49" t="n">
        <v>10</v>
      </c>
      <c r="I341" s="70" t="s">
        <v>368</v>
      </c>
      <c r="J341" s="70" t="n">
        <v>200</v>
      </c>
      <c r="K341" s="73" t="n">
        <v>1</v>
      </c>
      <c r="L341" s="49" t="n">
        <v>18</v>
      </c>
      <c r="M341" s="67" t="n">
        <v>1.4</v>
      </c>
      <c r="N341" s="68" t="n">
        <f aca="false">K341*L341*M341</f>
        <v>25.2</v>
      </c>
      <c r="O341" s="34" t="n">
        <f aca="false">IFERROR(INDEX(Исходные!$B$18:$B$30,MATCH(H341,Исходные!$A$18:$A$30,0)),0)</f>
        <v>0.617</v>
      </c>
      <c r="P341" s="74" t="n">
        <f aca="false">N341*O341</f>
        <v>15.5484</v>
      </c>
      <c r="Q341" s="20" t="s">
        <v>831</v>
      </c>
      <c r="R341" s="75" t="s">
        <v>371</v>
      </c>
      <c r="S341" s="20"/>
      <c r="T341" s="20" t="s">
        <v>73</v>
      </c>
      <c r="U341" s="47" t="n">
        <v>0</v>
      </c>
      <c r="V341" s="70" t="s">
        <v>832</v>
      </c>
      <c r="W341" s="47" t="n">
        <v>1</v>
      </c>
    </row>
    <row r="342" customFormat="false" ht="23.85" hidden="false" customHeight="false" outlineLevel="0" collapsed="false">
      <c r="A342" s="70" t="n">
        <v>333</v>
      </c>
      <c r="B342" s="20" t="s">
        <v>363</v>
      </c>
      <c r="C342" s="20" t="s">
        <v>769</v>
      </c>
      <c r="D342" s="20" t="s">
        <v>820</v>
      </c>
      <c r="E342" s="20" t="s">
        <v>771</v>
      </c>
      <c r="F342" s="70" t="s">
        <v>829</v>
      </c>
      <c r="G342" s="20" t="s">
        <v>837</v>
      </c>
      <c r="H342" s="49" t="n">
        <v>12</v>
      </c>
      <c r="I342" s="70" t="s">
        <v>368</v>
      </c>
      <c r="J342" s="70" t="n">
        <v>200</v>
      </c>
      <c r="K342" s="73" t="n">
        <v>1</v>
      </c>
      <c r="L342" s="49" t="n">
        <v>12</v>
      </c>
      <c r="M342" s="67" t="n">
        <v>2.2</v>
      </c>
      <c r="N342" s="68" t="n">
        <f aca="false">K342*L342*M342</f>
        <v>26.4</v>
      </c>
      <c r="O342" s="34" t="n">
        <f aca="false">IFERROR(INDEX(Исходные!$B$18:$B$30,MATCH(H342,Исходные!$A$18:$A$30,0)),0)</f>
        <v>0.888</v>
      </c>
      <c r="P342" s="74" t="n">
        <f aca="false">N342*O342</f>
        <v>23.4432</v>
      </c>
      <c r="Q342" s="20" t="s">
        <v>831</v>
      </c>
      <c r="R342" s="75" t="s">
        <v>371</v>
      </c>
      <c r="S342" s="20"/>
      <c r="T342" s="20" t="s">
        <v>73</v>
      </c>
      <c r="U342" s="47" t="n">
        <v>0</v>
      </c>
      <c r="V342" s="70" t="s">
        <v>832</v>
      </c>
      <c r="W342" s="47" t="n">
        <v>1</v>
      </c>
    </row>
    <row r="343" customFormat="false" ht="23.85" hidden="false" customHeight="false" outlineLevel="0" collapsed="false">
      <c r="A343" s="70" t="n">
        <v>334</v>
      </c>
      <c r="B343" s="20" t="s">
        <v>363</v>
      </c>
      <c r="C343" s="20" t="s">
        <v>769</v>
      </c>
      <c r="D343" s="20" t="s">
        <v>820</v>
      </c>
      <c r="E343" s="20" t="s">
        <v>771</v>
      </c>
      <c r="F343" s="70" t="s">
        <v>829</v>
      </c>
      <c r="G343" s="20" t="s">
        <v>838</v>
      </c>
      <c r="H343" s="49" t="n">
        <v>10</v>
      </c>
      <c r="I343" s="70" t="s">
        <v>368</v>
      </c>
      <c r="J343" s="70" t="n">
        <v>200</v>
      </c>
      <c r="K343" s="73" t="n">
        <v>1</v>
      </c>
      <c r="L343" s="49" t="n">
        <v>18</v>
      </c>
      <c r="M343" s="67" t="n">
        <v>2.2</v>
      </c>
      <c r="N343" s="68" t="n">
        <f aca="false">K343*L343*M343</f>
        <v>39.6</v>
      </c>
      <c r="O343" s="34" t="n">
        <f aca="false">IFERROR(INDEX(Исходные!$B$18:$B$30,MATCH(H343,Исходные!$A$18:$A$30,0)),0)</f>
        <v>0.617</v>
      </c>
      <c r="P343" s="74" t="n">
        <f aca="false">N343*O343</f>
        <v>24.4332</v>
      </c>
      <c r="Q343" s="20" t="s">
        <v>831</v>
      </c>
      <c r="R343" s="75" t="s">
        <v>371</v>
      </c>
      <c r="S343" s="20"/>
      <c r="T343" s="20" t="s">
        <v>73</v>
      </c>
      <c r="U343" s="47" t="n">
        <v>0</v>
      </c>
      <c r="V343" s="70" t="s">
        <v>832</v>
      </c>
      <c r="W343" s="47" t="n">
        <v>1</v>
      </c>
    </row>
    <row r="344" customFormat="false" ht="23.85" hidden="false" customHeight="false" outlineLevel="0" collapsed="false">
      <c r="A344" s="70" t="n">
        <v>335</v>
      </c>
      <c r="B344" s="20" t="s">
        <v>363</v>
      </c>
      <c r="C344" s="20" t="s">
        <v>769</v>
      </c>
      <c r="D344" s="20" t="s">
        <v>820</v>
      </c>
      <c r="E344" s="20" t="s">
        <v>771</v>
      </c>
      <c r="F344" s="70" t="s">
        <v>829</v>
      </c>
      <c r="G344" s="20" t="s">
        <v>839</v>
      </c>
      <c r="H344" s="49" t="n">
        <v>10</v>
      </c>
      <c r="I344" s="70" t="s">
        <v>368</v>
      </c>
      <c r="J344" s="70" t="n">
        <v>200</v>
      </c>
      <c r="K344" s="73" t="n">
        <v>1</v>
      </c>
      <c r="L344" s="49" t="n">
        <v>24</v>
      </c>
      <c r="M344" s="67" t="n">
        <v>1.2</v>
      </c>
      <c r="N344" s="68" t="n">
        <f aca="false">K344*L344*M344</f>
        <v>28.8</v>
      </c>
      <c r="O344" s="34" t="n">
        <f aca="false">IFERROR(INDEX(Исходные!$B$18:$B$30,MATCH(H344,Исходные!$A$18:$A$30,0)),0)</f>
        <v>0.617</v>
      </c>
      <c r="P344" s="74" t="n">
        <f aca="false">N344*O344</f>
        <v>17.7696</v>
      </c>
      <c r="Q344" s="20" t="s">
        <v>831</v>
      </c>
      <c r="R344" s="75" t="s">
        <v>371</v>
      </c>
      <c r="S344" s="20"/>
      <c r="T344" s="20" t="s">
        <v>73</v>
      </c>
      <c r="U344" s="47" t="n">
        <v>0</v>
      </c>
      <c r="V344" s="70" t="s">
        <v>832</v>
      </c>
      <c r="W344" s="47" t="n">
        <v>1</v>
      </c>
    </row>
    <row r="345" customFormat="false" ht="23.85" hidden="false" customHeight="false" outlineLevel="0" collapsed="false">
      <c r="A345" s="70" t="n">
        <v>336</v>
      </c>
      <c r="B345" s="20" t="s">
        <v>363</v>
      </c>
      <c r="C345" s="20" t="s">
        <v>769</v>
      </c>
      <c r="D345" s="20" t="s">
        <v>820</v>
      </c>
      <c r="E345" s="20" t="s">
        <v>771</v>
      </c>
      <c r="F345" s="70" t="s">
        <v>829</v>
      </c>
      <c r="G345" s="20" t="s">
        <v>840</v>
      </c>
      <c r="H345" s="49" t="n">
        <v>10</v>
      </c>
      <c r="I345" s="70" t="s">
        <v>368</v>
      </c>
      <c r="J345" s="70" t="n">
        <v>200</v>
      </c>
      <c r="K345" s="73" t="n">
        <v>1</v>
      </c>
      <c r="L345" s="49" t="n">
        <v>25</v>
      </c>
      <c r="M345" s="67" t="n">
        <v>2</v>
      </c>
      <c r="N345" s="68" t="n">
        <f aca="false">K345*L345*M345</f>
        <v>50</v>
      </c>
      <c r="O345" s="34" t="n">
        <f aca="false">IFERROR(INDEX(Исходные!$B$18:$B$30,MATCH(H345,Исходные!$A$18:$A$30,0)),0)</f>
        <v>0.617</v>
      </c>
      <c r="P345" s="74" t="n">
        <f aca="false">N345*O345</f>
        <v>30.85</v>
      </c>
      <c r="Q345" s="20" t="s">
        <v>831</v>
      </c>
      <c r="R345" s="75" t="s">
        <v>371</v>
      </c>
      <c r="S345" s="20"/>
      <c r="T345" s="20" t="s">
        <v>73</v>
      </c>
      <c r="U345" s="47" t="n">
        <v>0</v>
      </c>
      <c r="V345" s="70" t="s">
        <v>832</v>
      </c>
      <c r="W345" s="47" t="n">
        <v>1</v>
      </c>
    </row>
    <row r="346" customFormat="false" ht="23.85" hidden="false" customHeight="false" outlineLevel="0" collapsed="false">
      <c r="A346" s="70" t="n">
        <v>337</v>
      </c>
      <c r="B346" s="20" t="s">
        <v>363</v>
      </c>
      <c r="C346" s="20" t="s">
        <v>769</v>
      </c>
      <c r="D346" s="20" t="s">
        <v>820</v>
      </c>
      <c r="E346" s="20" t="s">
        <v>771</v>
      </c>
      <c r="F346" s="70" t="s">
        <v>829</v>
      </c>
      <c r="G346" s="20" t="s">
        <v>841</v>
      </c>
      <c r="H346" s="49" t="n">
        <v>10</v>
      </c>
      <c r="I346" s="70" t="s">
        <v>368</v>
      </c>
      <c r="J346" s="70" t="n">
        <v>200</v>
      </c>
      <c r="K346" s="73" t="n">
        <v>1</v>
      </c>
      <c r="L346" s="49" t="n">
        <v>25</v>
      </c>
      <c r="M346" s="67" t="n">
        <v>1.2</v>
      </c>
      <c r="N346" s="68" t="n">
        <f aca="false">K346*L346*M346</f>
        <v>30</v>
      </c>
      <c r="O346" s="34" t="n">
        <f aca="false">IFERROR(INDEX(Исходные!$B$18:$B$30,MATCH(H346,Исходные!$A$18:$A$30,0)),0)</f>
        <v>0.617</v>
      </c>
      <c r="P346" s="74" t="n">
        <f aca="false">N346*O346</f>
        <v>18.51</v>
      </c>
      <c r="Q346" s="20" t="s">
        <v>831</v>
      </c>
      <c r="R346" s="75" t="s">
        <v>371</v>
      </c>
      <c r="S346" s="20"/>
      <c r="T346" s="20" t="s">
        <v>73</v>
      </c>
      <c r="U346" s="47" t="n">
        <v>0</v>
      </c>
      <c r="V346" s="70" t="s">
        <v>832</v>
      </c>
      <c r="W346" s="47" t="n">
        <v>1</v>
      </c>
    </row>
    <row r="347" customFormat="false" ht="23.85" hidden="false" customHeight="false" outlineLevel="0" collapsed="false">
      <c r="A347" s="70" t="n">
        <v>338</v>
      </c>
      <c r="B347" s="20" t="s">
        <v>363</v>
      </c>
      <c r="C347" s="20" t="s">
        <v>769</v>
      </c>
      <c r="D347" s="20" t="s">
        <v>820</v>
      </c>
      <c r="E347" s="20" t="s">
        <v>771</v>
      </c>
      <c r="F347" s="70" t="s">
        <v>829</v>
      </c>
      <c r="G347" s="20" t="s">
        <v>842</v>
      </c>
      <c r="H347" s="49" t="n">
        <v>10</v>
      </c>
      <c r="I347" s="70" t="s">
        <v>368</v>
      </c>
      <c r="J347" s="70" t="n">
        <v>200</v>
      </c>
      <c r="K347" s="73" t="n">
        <v>1</v>
      </c>
      <c r="L347" s="49" t="n">
        <v>17</v>
      </c>
      <c r="M347" s="67" t="n">
        <v>1.2</v>
      </c>
      <c r="N347" s="68" t="n">
        <f aca="false">K347*L347*M347</f>
        <v>20.4</v>
      </c>
      <c r="O347" s="34" t="n">
        <f aca="false">IFERROR(INDEX(Исходные!$B$18:$B$30,MATCH(H347,Исходные!$A$18:$A$30,0)),0)</f>
        <v>0.617</v>
      </c>
      <c r="P347" s="74" t="n">
        <f aca="false">N347*O347</f>
        <v>12.5868</v>
      </c>
      <c r="Q347" s="20" t="s">
        <v>831</v>
      </c>
      <c r="R347" s="75" t="s">
        <v>371</v>
      </c>
      <c r="S347" s="20"/>
      <c r="T347" s="20" t="s">
        <v>73</v>
      </c>
      <c r="U347" s="47" t="n">
        <v>0</v>
      </c>
      <c r="V347" s="70" t="s">
        <v>832</v>
      </c>
      <c r="W347" s="47" t="n">
        <v>1</v>
      </c>
    </row>
    <row r="348" customFormat="false" ht="23.85" hidden="false" customHeight="false" outlineLevel="0" collapsed="false">
      <c r="A348" s="70" t="n">
        <v>339</v>
      </c>
      <c r="B348" s="20" t="s">
        <v>363</v>
      </c>
      <c r="C348" s="20" t="s">
        <v>769</v>
      </c>
      <c r="D348" s="20" t="s">
        <v>820</v>
      </c>
      <c r="E348" s="20" t="s">
        <v>771</v>
      </c>
      <c r="F348" s="70" t="s">
        <v>829</v>
      </c>
      <c r="G348" s="20" t="s">
        <v>843</v>
      </c>
      <c r="H348" s="49" t="n">
        <v>10</v>
      </c>
      <c r="I348" s="70" t="s">
        <v>368</v>
      </c>
      <c r="J348" s="70" t="n">
        <v>200</v>
      </c>
      <c r="K348" s="73" t="n">
        <v>1</v>
      </c>
      <c r="L348" s="49" t="n">
        <v>36</v>
      </c>
      <c r="M348" s="67" t="n">
        <v>1.2</v>
      </c>
      <c r="N348" s="68" t="n">
        <f aca="false">K348*L348*M348</f>
        <v>43.2</v>
      </c>
      <c r="O348" s="34" t="n">
        <f aca="false">IFERROR(INDEX(Исходные!$B$18:$B$30,MATCH(H348,Исходные!$A$18:$A$30,0)),0)</f>
        <v>0.617</v>
      </c>
      <c r="P348" s="74" t="n">
        <f aca="false">N348*O348</f>
        <v>26.6544</v>
      </c>
      <c r="Q348" s="20" t="s">
        <v>831</v>
      </c>
      <c r="R348" s="75" t="s">
        <v>371</v>
      </c>
      <c r="S348" s="20"/>
      <c r="T348" s="20" t="s">
        <v>73</v>
      </c>
      <c r="U348" s="47" t="n">
        <v>0</v>
      </c>
      <c r="V348" s="70" t="s">
        <v>832</v>
      </c>
      <c r="W348" s="47" t="n">
        <v>1</v>
      </c>
    </row>
    <row r="349" customFormat="false" ht="23.85" hidden="false" customHeight="false" outlineLevel="0" collapsed="false">
      <c r="A349" s="70" t="n">
        <v>340</v>
      </c>
      <c r="B349" s="20" t="s">
        <v>363</v>
      </c>
      <c r="C349" s="20" t="s">
        <v>769</v>
      </c>
      <c r="D349" s="20" t="s">
        <v>820</v>
      </c>
      <c r="E349" s="20" t="s">
        <v>771</v>
      </c>
      <c r="F349" s="70" t="s">
        <v>829</v>
      </c>
      <c r="G349" s="20" t="s">
        <v>844</v>
      </c>
      <c r="H349" s="49" t="n">
        <v>10</v>
      </c>
      <c r="I349" s="70" t="s">
        <v>368</v>
      </c>
      <c r="J349" s="70" t="n">
        <v>200</v>
      </c>
      <c r="K349" s="73" t="n">
        <v>1</v>
      </c>
      <c r="L349" s="49" t="n">
        <v>15</v>
      </c>
      <c r="M349" s="67" t="n">
        <v>1.4</v>
      </c>
      <c r="N349" s="68" t="n">
        <f aca="false">K349*L349*M349</f>
        <v>21</v>
      </c>
      <c r="O349" s="34" t="n">
        <f aca="false">IFERROR(INDEX(Исходные!$B$18:$B$30,MATCH(H349,Исходные!$A$18:$A$30,0)),0)</f>
        <v>0.617</v>
      </c>
      <c r="P349" s="74" t="n">
        <f aca="false">N349*O349</f>
        <v>12.957</v>
      </c>
      <c r="Q349" s="20" t="s">
        <v>831</v>
      </c>
      <c r="R349" s="75" t="s">
        <v>371</v>
      </c>
      <c r="S349" s="20"/>
      <c r="T349" s="20" t="s">
        <v>73</v>
      </c>
      <c r="U349" s="47" t="n">
        <v>0</v>
      </c>
      <c r="V349" s="70" t="s">
        <v>832</v>
      </c>
      <c r="W349" s="47" t="n">
        <v>1</v>
      </c>
    </row>
    <row r="350" customFormat="false" ht="23.85" hidden="false" customHeight="false" outlineLevel="0" collapsed="false">
      <c r="A350" s="70" t="n">
        <v>341</v>
      </c>
      <c r="B350" s="20" t="s">
        <v>363</v>
      </c>
      <c r="C350" s="20" t="s">
        <v>769</v>
      </c>
      <c r="D350" s="20" t="s">
        <v>820</v>
      </c>
      <c r="E350" s="20" t="s">
        <v>771</v>
      </c>
      <c r="F350" s="70" t="s">
        <v>829</v>
      </c>
      <c r="G350" s="20" t="s">
        <v>845</v>
      </c>
      <c r="H350" s="49" t="n">
        <v>10</v>
      </c>
      <c r="I350" s="70" t="s">
        <v>368</v>
      </c>
      <c r="J350" s="70" t="n">
        <v>200</v>
      </c>
      <c r="K350" s="73" t="n">
        <v>1</v>
      </c>
      <c r="L350" s="49" t="n">
        <v>17</v>
      </c>
      <c r="M350" s="67" t="n">
        <v>2.2</v>
      </c>
      <c r="N350" s="68" t="n">
        <f aca="false">K350*L350*M350</f>
        <v>37.4</v>
      </c>
      <c r="O350" s="34" t="n">
        <f aca="false">IFERROR(INDEX(Исходные!$B$18:$B$30,MATCH(H350,Исходные!$A$18:$A$30,0)),0)</f>
        <v>0.617</v>
      </c>
      <c r="P350" s="74" t="n">
        <f aca="false">N350*O350</f>
        <v>23.0758</v>
      </c>
      <c r="Q350" s="20" t="s">
        <v>831</v>
      </c>
      <c r="R350" s="75" t="s">
        <v>371</v>
      </c>
      <c r="S350" s="20"/>
      <c r="T350" s="20" t="s">
        <v>73</v>
      </c>
      <c r="U350" s="47" t="n">
        <v>0</v>
      </c>
      <c r="V350" s="70" t="s">
        <v>832</v>
      </c>
      <c r="W350" s="47" t="n">
        <v>1</v>
      </c>
    </row>
    <row r="351" customFormat="false" ht="23.85" hidden="false" customHeight="false" outlineLevel="0" collapsed="false">
      <c r="A351" s="70" t="n">
        <v>342</v>
      </c>
      <c r="B351" s="20" t="s">
        <v>363</v>
      </c>
      <c r="C351" s="20" t="s">
        <v>769</v>
      </c>
      <c r="D351" s="20" t="s">
        <v>820</v>
      </c>
      <c r="E351" s="20" t="s">
        <v>771</v>
      </c>
      <c r="F351" s="70" t="s">
        <v>829</v>
      </c>
      <c r="G351" s="20" t="s">
        <v>846</v>
      </c>
      <c r="H351" s="49" t="n">
        <v>10</v>
      </c>
      <c r="I351" s="70" t="s">
        <v>368</v>
      </c>
      <c r="J351" s="70" t="n">
        <v>200</v>
      </c>
      <c r="K351" s="73" t="n">
        <v>1</v>
      </c>
      <c r="L351" s="49" t="n">
        <v>29</v>
      </c>
      <c r="M351" s="67" t="n">
        <v>1.4</v>
      </c>
      <c r="N351" s="68" t="n">
        <f aca="false">K351*L351*M351</f>
        <v>40.6</v>
      </c>
      <c r="O351" s="34" t="n">
        <f aca="false">IFERROR(INDEX(Исходные!$B$18:$B$30,MATCH(H351,Исходные!$A$18:$A$30,0)),0)</f>
        <v>0.617</v>
      </c>
      <c r="P351" s="74" t="n">
        <f aca="false">N351*O351</f>
        <v>25.0502</v>
      </c>
      <c r="Q351" s="20" t="s">
        <v>831</v>
      </c>
      <c r="R351" s="75" t="s">
        <v>371</v>
      </c>
      <c r="S351" s="20"/>
      <c r="T351" s="20" t="s">
        <v>73</v>
      </c>
      <c r="U351" s="47" t="n">
        <v>0</v>
      </c>
      <c r="V351" s="70" t="s">
        <v>832</v>
      </c>
      <c r="W351" s="47" t="n">
        <v>1</v>
      </c>
    </row>
    <row r="352" customFormat="false" ht="23.85" hidden="false" customHeight="false" outlineLevel="0" collapsed="false">
      <c r="A352" s="70" t="n">
        <v>343</v>
      </c>
      <c r="B352" s="20" t="s">
        <v>363</v>
      </c>
      <c r="C352" s="20" t="s">
        <v>769</v>
      </c>
      <c r="D352" s="20" t="s">
        <v>820</v>
      </c>
      <c r="E352" s="20" t="s">
        <v>771</v>
      </c>
      <c r="F352" s="70" t="s">
        <v>829</v>
      </c>
      <c r="G352" s="20" t="s">
        <v>847</v>
      </c>
      <c r="H352" s="49" t="n">
        <v>10</v>
      </c>
      <c r="I352" s="70" t="s">
        <v>368</v>
      </c>
      <c r="J352" s="70" t="n">
        <v>200</v>
      </c>
      <c r="K352" s="73" t="n">
        <v>1</v>
      </c>
      <c r="L352" s="49" t="n">
        <v>62</v>
      </c>
      <c r="M352" s="67" t="n">
        <v>2.2</v>
      </c>
      <c r="N352" s="68" t="n">
        <f aca="false">K352*L352*M352</f>
        <v>136.4</v>
      </c>
      <c r="O352" s="34" t="n">
        <f aca="false">IFERROR(INDEX(Исходные!$B$18:$B$30,MATCH(H352,Исходные!$A$18:$A$30,0)),0)</f>
        <v>0.617</v>
      </c>
      <c r="P352" s="74" t="n">
        <f aca="false">N352*O352</f>
        <v>84.1588</v>
      </c>
      <c r="Q352" s="20" t="s">
        <v>831</v>
      </c>
      <c r="R352" s="75" t="s">
        <v>371</v>
      </c>
      <c r="S352" s="20"/>
      <c r="T352" s="20" t="s">
        <v>73</v>
      </c>
      <c r="U352" s="47" t="n">
        <v>0</v>
      </c>
      <c r="V352" s="70" t="s">
        <v>832</v>
      </c>
      <c r="W352" s="47" t="n">
        <v>1</v>
      </c>
    </row>
    <row r="353" customFormat="false" ht="23.85" hidden="false" customHeight="false" outlineLevel="0" collapsed="false">
      <c r="A353" s="70" t="n">
        <v>344</v>
      </c>
      <c r="B353" s="20" t="s">
        <v>363</v>
      </c>
      <c r="C353" s="20" t="s">
        <v>769</v>
      </c>
      <c r="D353" s="20" t="s">
        <v>848</v>
      </c>
      <c r="E353" s="20" t="s">
        <v>771</v>
      </c>
      <c r="F353" s="70" t="s">
        <v>829</v>
      </c>
      <c r="G353" s="20" t="s">
        <v>849</v>
      </c>
      <c r="H353" s="49" t="n">
        <v>20</v>
      </c>
      <c r="I353" s="70" t="s">
        <v>368</v>
      </c>
      <c r="J353" s="70" t="s">
        <v>369</v>
      </c>
      <c r="K353" s="73" t="n">
        <v>4</v>
      </c>
      <c r="L353" s="49" t="n">
        <v>1</v>
      </c>
      <c r="M353" s="67" t="n">
        <v>3</v>
      </c>
      <c r="N353" s="68" t="n">
        <f aca="false">K353*L353*M353</f>
        <v>12</v>
      </c>
      <c r="O353" s="34" t="n">
        <f aca="false">IFERROR(INDEX(Исходные!$B$18:$B$30,MATCH(H353,Исходные!$A$18:$A$30,0)),0)</f>
        <v>2.466</v>
      </c>
      <c r="P353" s="74" t="n">
        <f aca="false">N353*O353</f>
        <v>29.592</v>
      </c>
      <c r="Q353" s="20" t="s">
        <v>850</v>
      </c>
      <c r="R353" s="75" t="s">
        <v>371</v>
      </c>
      <c r="S353" s="20"/>
      <c r="T353" s="20" t="s">
        <v>73</v>
      </c>
      <c r="U353" s="47" t="n">
        <v>0</v>
      </c>
      <c r="V353" s="70" t="s">
        <v>832</v>
      </c>
      <c r="W353" s="47" t="n">
        <v>1</v>
      </c>
    </row>
    <row r="354" customFormat="false" ht="23.85" hidden="false" customHeight="false" outlineLevel="0" collapsed="false">
      <c r="A354" s="70" t="n">
        <v>345</v>
      </c>
      <c r="B354" s="20" t="s">
        <v>363</v>
      </c>
      <c r="C354" s="20" t="s">
        <v>769</v>
      </c>
      <c r="D354" s="20" t="s">
        <v>851</v>
      </c>
      <c r="E354" s="20" t="s">
        <v>771</v>
      </c>
      <c r="F354" s="70" t="s">
        <v>852</v>
      </c>
      <c r="G354" s="20" t="s">
        <v>853</v>
      </c>
      <c r="H354" s="49" t="n">
        <v>14</v>
      </c>
      <c r="I354" s="70" t="s">
        <v>368</v>
      </c>
      <c r="J354" s="70" t="s">
        <v>369</v>
      </c>
      <c r="K354" s="73" t="n">
        <v>1</v>
      </c>
      <c r="L354" s="49" t="n">
        <v>2</v>
      </c>
      <c r="M354" s="67" t="n">
        <v>25.825</v>
      </c>
      <c r="N354" s="68" t="n">
        <f aca="false">K354*L354*M354</f>
        <v>51.65</v>
      </c>
      <c r="O354" s="34" t="n">
        <f aca="false">IFERROR(INDEX(Исходные!$B$18:$B$30,MATCH(H354,Исходные!$A$18:$A$30,0)),0)</f>
        <v>1.208</v>
      </c>
      <c r="P354" s="74" t="n">
        <f aca="false">N354*O354</f>
        <v>62.3932</v>
      </c>
      <c r="Q354" s="20" t="s">
        <v>854</v>
      </c>
      <c r="R354" s="75" t="s">
        <v>517</v>
      </c>
      <c r="S354" s="20"/>
      <c r="T354" s="20" t="s">
        <v>73</v>
      </c>
      <c r="U354" s="47" t="n">
        <v>0</v>
      </c>
      <c r="V354" s="70" t="s">
        <v>855</v>
      </c>
      <c r="W354" s="47" t="n">
        <v>1</v>
      </c>
    </row>
    <row r="355" customFormat="false" ht="35.05" hidden="false" customHeight="false" outlineLevel="0" collapsed="false">
      <c r="A355" s="70" t="n">
        <v>346</v>
      </c>
      <c r="B355" s="20" t="s">
        <v>363</v>
      </c>
      <c r="C355" s="20" t="s">
        <v>769</v>
      </c>
      <c r="D355" s="20" t="s">
        <v>851</v>
      </c>
      <c r="E355" s="20" t="s">
        <v>771</v>
      </c>
      <c r="F355" s="70" t="s">
        <v>856</v>
      </c>
      <c r="G355" s="20" t="s">
        <v>857</v>
      </c>
      <c r="H355" s="49" t="n">
        <v>14</v>
      </c>
      <c r="I355" s="70" t="s">
        <v>368</v>
      </c>
      <c r="J355" s="70" t="s">
        <v>369</v>
      </c>
      <c r="K355" s="73" t="n">
        <v>2</v>
      </c>
      <c r="L355" s="49" t="n">
        <v>2</v>
      </c>
      <c r="M355" s="67" t="n">
        <v>0.56</v>
      </c>
      <c r="N355" s="68" t="n">
        <f aca="false">K355*L355*M355</f>
        <v>2.24</v>
      </c>
      <c r="O355" s="34" t="n">
        <f aca="false">IFERROR(INDEX(Исходные!$B$18:$B$30,MATCH(H355,Исходные!$A$18:$A$30,0)),0)</f>
        <v>1.208</v>
      </c>
      <c r="P355" s="74" t="n">
        <f aca="false">N355*O355</f>
        <v>2.70592</v>
      </c>
      <c r="Q355" s="20" t="s">
        <v>858</v>
      </c>
      <c r="R355" s="75" t="s">
        <v>524</v>
      </c>
      <c r="S355" s="20" t="s">
        <v>859</v>
      </c>
      <c r="T355" s="20" t="s">
        <v>73</v>
      </c>
      <c r="U355" s="47" t="n">
        <v>0</v>
      </c>
      <c r="V355" s="70" t="s">
        <v>855</v>
      </c>
      <c r="W355" s="47" t="n">
        <v>1</v>
      </c>
    </row>
    <row r="356" customFormat="false" ht="23.85" hidden="false" customHeight="false" outlineLevel="0" collapsed="false">
      <c r="A356" s="70" t="n">
        <v>347</v>
      </c>
      <c r="B356" s="20" t="s">
        <v>363</v>
      </c>
      <c r="C356" s="20" t="s">
        <v>769</v>
      </c>
      <c r="D356" s="20" t="s">
        <v>851</v>
      </c>
      <c r="E356" s="20" t="s">
        <v>771</v>
      </c>
      <c r="F356" s="70" t="s">
        <v>852</v>
      </c>
      <c r="G356" s="20" t="s">
        <v>860</v>
      </c>
      <c r="H356" s="49" t="n">
        <v>14</v>
      </c>
      <c r="I356" s="70" t="s">
        <v>368</v>
      </c>
      <c r="J356" s="70" t="s">
        <v>369</v>
      </c>
      <c r="K356" s="73" t="n">
        <v>1</v>
      </c>
      <c r="L356" s="49" t="n">
        <v>2</v>
      </c>
      <c r="M356" s="67" t="n">
        <v>20.525</v>
      </c>
      <c r="N356" s="68" t="n">
        <f aca="false">K356*L356*M356</f>
        <v>41.05</v>
      </c>
      <c r="O356" s="34" t="n">
        <f aca="false">IFERROR(INDEX(Исходные!$B$18:$B$30,MATCH(H356,Исходные!$A$18:$A$30,0)),0)</f>
        <v>1.208</v>
      </c>
      <c r="P356" s="74" t="n">
        <f aca="false">N356*O356</f>
        <v>49.5884</v>
      </c>
      <c r="Q356" s="20" t="s">
        <v>861</v>
      </c>
      <c r="R356" s="75" t="s">
        <v>517</v>
      </c>
      <c r="S356" s="20"/>
      <c r="T356" s="20" t="s">
        <v>73</v>
      </c>
      <c r="U356" s="47" t="n">
        <v>0</v>
      </c>
      <c r="V356" s="70" t="s">
        <v>855</v>
      </c>
      <c r="W356" s="47" t="n">
        <v>1</v>
      </c>
    </row>
    <row r="357" customFormat="false" ht="35.05" hidden="false" customHeight="false" outlineLevel="0" collapsed="false">
      <c r="A357" s="70" t="n">
        <v>348</v>
      </c>
      <c r="B357" s="20" t="s">
        <v>363</v>
      </c>
      <c r="C357" s="20" t="s">
        <v>769</v>
      </c>
      <c r="D357" s="20" t="s">
        <v>851</v>
      </c>
      <c r="E357" s="20" t="s">
        <v>771</v>
      </c>
      <c r="F357" s="70" t="s">
        <v>856</v>
      </c>
      <c r="G357" s="20" t="s">
        <v>862</v>
      </c>
      <c r="H357" s="49" t="n">
        <v>14</v>
      </c>
      <c r="I357" s="70" t="s">
        <v>368</v>
      </c>
      <c r="J357" s="70" t="s">
        <v>369</v>
      </c>
      <c r="K357" s="73" t="n">
        <v>2</v>
      </c>
      <c r="L357" s="49" t="n">
        <v>1</v>
      </c>
      <c r="M357" s="67" t="n">
        <v>0.56</v>
      </c>
      <c r="N357" s="68" t="n">
        <f aca="false">K357*L357*M357</f>
        <v>1.12</v>
      </c>
      <c r="O357" s="34" t="n">
        <f aca="false">IFERROR(INDEX(Исходные!$B$18:$B$30,MATCH(H357,Исходные!$A$18:$A$30,0)),0)</f>
        <v>1.208</v>
      </c>
      <c r="P357" s="74" t="n">
        <f aca="false">N357*O357</f>
        <v>1.35296</v>
      </c>
      <c r="Q357" s="20" t="s">
        <v>858</v>
      </c>
      <c r="R357" s="75" t="s">
        <v>524</v>
      </c>
      <c r="S357" s="20" t="s">
        <v>863</v>
      </c>
      <c r="T357" s="20" t="s">
        <v>73</v>
      </c>
      <c r="U357" s="47" t="n">
        <v>0</v>
      </c>
      <c r="V357" s="70" t="s">
        <v>855</v>
      </c>
      <c r="W357" s="47" t="n">
        <v>1</v>
      </c>
    </row>
    <row r="358" customFormat="false" ht="23.85" hidden="false" customHeight="false" outlineLevel="0" collapsed="false">
      <c r="A358" s="70" t="n">
        <v>349</v>
      </c>
      <c r="B358" s="20" t="s">
        <v>363</v>
      </c>
      <c r="C358" s="20" t="s">
        <v>769</v>
      </c>
      <c r="D358" s="20" t="s">
        <v>851</v>
      </c>
      <c r="E358" s="20" t="s">
        <v>771</v>
      </c>
      <c r="F358" s="70" t="s">
        <v>401</v>
      </c>
      <c r="G358" s="20" t="s">
        <v>864</v>
      </c>
      <c r="H358" s="49" t="n">
        <v>10</v>
      </c>
      <c r="I358" s="70" t="s">
        <v>403</v>
      </c>
      <c r="J358" s="70" t="n">
        <v>400</v>
      </c>
      <c r="K358" s="73" t="n">
        <v>1</v>
      </c>
      <c r="L358" s="49" t="n">
        <v>119</v>
      </c>
      <c r="M358" s="67" t="n">
        <v>0.7</v>
      </c>
      <c r="N358" s="68" t="n">
        <f aca="false">K358*L358*M358</f>
        <v>83.3</v>
      </c>
      <c r="O358" s="34" t="n">
        <f aca="false">IFERROR(INDEX(Исходные!$B$18:$B$30,MATCH(H358,Исходные!$A$18:$A$30,0)),0)</f>
        <v>0.617</v>
      </c>
      <c r="P358" s="74" t="n">
        <f aca="false">N358*O358</f>
        <v>51.3961</v>
      </c>
      <c r="Q358" s="20" t="s">
        <v>865</v>
      </c>
      <c r="R358" s="75" t="s">
        <v>371</v>
      </c>
      <c r="S358" s="20"/>
      <c r="T358" s="20" t="s">
        <v>73</v>
      </c>
      <c r="U358" s="47" t="n">
        <v>0</v>
      </c>
      <c r="V358" s="70" t="s">
        <v>855</v>
      </c>
      <c r="W358" s="47" t="n">
        <v>1</v>
      </c>
    </row>
    <row r="359" customFormat="false" ht="23.85" hidden="false" customHeight="false" outlineLevel="0" collapsed="false">
      <c r="A359" s="70" t="n">
        <v>350</v>
      </c>
      <c r="B359" s="20" t="s">
        <v>363</v>
      </c>
      <c r="C359" s="20" t="s">
        <v>769</v>
      </c>
      <c r="D359" s="20" t="s">
        <v>866</v>
      </c>
      <c r="E359" s="20" t="s">
        <v>867</v>
      </c>
      <c r="F359" s="70" t="s">
        <v>867</v>
      </c>
      <c r="G359" s="20" t="s">
        <v>868</v>
      </c>
      <c r="H359" s="49" t="n">
        <v>10</v>
      </c>
      <c r="I359" s="70" t="s">
        <v>403</v>
      </c>
      <c r="J359" s="70" t="s">
        <v>869</v>
      </c>
      <c r="K359" s="73" t="n">
        <v>1</v>
      </c>
      <c r="L359" s="49" t="n">
        <v>847</v>
      </c>
      <c r="M359" s="67" t="n">
        <v>0.42</v>
      </c>
      <c r="N359" s="68" t="n">
        <f aca="false">K359*L359*M359</f>
        <v>355.74</v>
      </c>
      <c r="O359" s="34" t="n">
        <f aca="false">IFERROR(INDEX(Исходные!$B$18:$B$30,MATCH(H359,Исходные!$A$18:$A$30,0)),0)</f>
        <v>0.617</v>
      </c>
      <c r="P359" s="74" t="n">
        <f aca="false">N359*O359</f>
        <v>219.49158</v>
      </c>
      <c r="Q359" s="20" t="s">
        <v>870</v>
      </c>
      <c r="R359" s="77" t="s">
        <v>871</v>
      </c>
      <c r="S359" s="20"/>
      <c r="T359" s="20" t="s">
        <v>73</v>
      </c>
      <c r="U359" s="47" t="n">
        <v>1</v>
      </c>
      <c r="V359" s="70" t="s">
        <v>872</v>
      </c>
      <c r="W359" s="47" t="n">
        <v>1</v>
      </c>
    </row>
    <row r="360" customFormat="false" ht="23.85" hidden="false" customHeight="false" outlineLevel="0" collapsed="false">
      <c r="A360" s="70" t="n">
        <v>351</v>
      </c>
      <c r="B360" s="20" t="s">
        <v>363</v>
      </c>
      <c r="C360" s="20" t="s">
        <v>769</v>
      </c>
      <c r="D360" s="20" t="s">
        <v>866</v>
      </c>
      <c r="E360" s="20" t="s">
        <v>873</v>
      </c>
      <c r="F360" s="70" t="s">
        <v>873</v>
      </c>
      <c r="G360" s="20" t="s">
        <v>874</v>
      </c>
      <c r="H360" s="49" t="n">
        <v>8</v>
      </c>
      <c r="I360" s="70" t="s">
        <v>403</v>
      </c>
      <c r="J360" s="70" t="s">
        <v>875</v>
      </c>
      <c r="K360" s="73" t="n">
        <v>1</v>
      </c>
      <c r="L360" s="49" t="n">
        <v>847</v>
      </c>
      <c r="M360" s="67" t="n">
        <v>0.22</v>
      </c>
      <c r="N360" s="68" t="n">
        <f aca="false">K360*L360*M360</f>
        <v>186.34</v>
      </c>
      <c r="O360" s="34" t="n">
        <f aca="false">IFERROR(INDEX(Исходные!$B$18:$B$30,MATCH(H360,Исходные!$A$18:$A$30,0)),0)</f>
        <v>0.395</v>
      </c>
      <c r="P360" s="74" t="n">
        <f aca="false">N360*O360</f>
        <v>73.6043</v>
      </c>
      <c r="Q360" s="20" t="s">
        <v>876</v>
      </c>
      <c r="R360" s="77" t="s">
        <v>871</v>
      </c>
      <c r="S360" s="20"/>
      <c r="T360" s="20" t="s">
        <v>73</v>
      </c>
      <c r="U360" s="47" t="n">
        <v>1</v>
      </c>
      <c r="V360" s="70" t="s">
        <v>872</v>
      </c>
      <c r="W360" s="47" t="n">
        <v>1</v>
      </c>
    </row>
    <row r="361" customFormat="false" ht="15" hidden="false" customHeight="true" outlineLevel="0" collapsed="false">
      <c r="A361" s="72" t="s">
        <v>877</v>
      </c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</row>
    <row r="362" customFormat="false" ht="35.05" hidden="false" customHeight="false" outlineLevel="0" collapsed="false">
      <c r="A362" s="70" t="n">
        <v>352</v>
      </c>
      <c r="B362" s="20" t="s">
        <v>363</v>
      </c>
      <c r="C362" s="20" t="s">
        <v>878</v>
      </c>
      <c r="D362" s="20" t="s">
        <v>879</v>
      </c>
      <c r="E362" s="20" t="s">
        <v>880</v>
      </c>
      <c r="F362" s="70" t="s">
        <v>379</v>
      </c>
      <c r="G362" s="20" t="s">
        <v>881</v>
      </c>
      <c r="H362" s="49" t="n">
        <v>25</v>
      </c>
      <c r="I362" s="70" t="s">
        <v>368</v>
      </c>
      <c r="J362" s="70" t="s">
        <v>369</v>
      </c>
      <c r="K362" s="73" t="n">
        <v>1</v>
      </c>
      <c r="L362" s="49" t="n">
        <v>4</v>
      </c>
      <c r="M362" s="67" t="n">
        <v>20.4</v>
      </c>
      <c r="N362" s="68" t="n">
        <f aca="false">K362*L362*M362</f>
        <v>81.6</v>
      </c>
      <c r="O362" s="34" t="n">
        <f aca="false">IFERROR(INDEX(Исходные!$B$18:$B$30,MATCH(H362,Исходные!$A$18:$A$30,0)),0)</f>
        <v>3.853</v>
      </c>
      <c r="P362" s="74" t="n">
        <f aca="false">N362*O362</f>
        <v>314.4048</v>
      </c>
      <c r="Q362" s="20" t="s">
        <v>882</v>
      </c>
      <c r="R362" s="75" t="s">
        <v>517</v>
      </c>
      <c r="S362" s="20" t="s">
        <v>689</v>
      </c>
      <c r="T362" s="20" t="s">
        <v>73</v>
      </c>
      <c r="U362" s="47" t="n">
        <v>0</v>
      </c>
      <c r="V362" s="70" t="s">
        <v>883</v>
      </c>
      <c r="W362" s="47" t="n">
        <v>1</v>
      </c>
    </row>
    <row r="363" customFormat="false" ht="35.05" hidden="false" customHeight="false" outlineLevel="0" collapsed="false">
      <c r="A363" s="70" t="n">
        <v>353</v>
      </c>
      <c r="B363" s="20" t="s">
        <v>363</v>
      </c>
      <c r="C363" s="20" t="s">
        <v>878</v>
      </c>
      <c r="D363" s="20" t="s">
        <v>884</v>
      </c>
      <c r="E363" s="20" t="s">
        <v>880</v>
      </c>
      <c r="F363" s="70" t="s">
        <v>379</v>
      </c>
      <c r="G363" s="20" t="s">
        <v>885</v>
      </c>
      <c r="H363" s="49" t="n">
        <v>25</v>
      </c>
      <c r="I363" s="70" t="s">
        <v>368</v>
      </c>
      <c r="J363" s="70" t="s">
        <v>369</v>
      </c>
      <c r="K363" s="73" t="n">
        <v>1</v>
      </c>
      <c r="L363" s="49" t="n">
        <v>4</v>
      </c>
      <c r="M363" s="67" t="n">
        <v>20.4</v>
      </c>
      <c r="N363" s="68" t="n">
        <f aca="false">K363*L363*M363</f>
        <v>81.6</v>
      </c>
      <c r="O363" s="34" t="n">
        <f aca="false">IFERROR(INDEX(Исходные!$B$18:$B$30,MATCH(H363,Исходные!$A$18:$A$30,0)),0)</f>
        <v>3.853</v>
      </c>
      <c r="P363" s="74" t="n">
        <f aca="false">N363*O363</f>
        <v>314.4048</v>
      </c>
      <c r="Q363" s="20" t="s">
        <v>882</v>
      </c>
      <c r="R363" s="75" t="s">
        <v>517</v>
      </c>
      <c r="S363" s="20" t="s">
        <v>689</v>
      </c>
      <c r="T363" s="20" t="s">
        <v>73</v>
      </c>
      <c r="U363" s="47" t="n">
        <v>0</v>
      </c>
      <c r="V363" s="70" t="s">
        <v>883</v>
      </c>
      <c r="W363" s="47" t="n">
        <v>1</v>
      </c>
    </row>
    <row r="364" customFormat="false" ht="35.05" hidden="false" customHeight="false" outlineLevel="0" collapsed="false">
      <c r="A364" s="70" t="n">
        <v>354</v>
      </c>
      <c r="B364" s="20" t="s">
        <v>363</v>
      </c>
      <c r="C364" s="20" t="s">
        <v>878</v>
      </c>
      <c r="D364" s="20" t="s">
        <v>886</v>
      </c>
      <c r="E364" s="20" t="s">
        <v>880</v>
      </c>
      <c r="F364" s="70" t="s">
        <v>379</v>
      </c>
      <c r="G364" s="20" t="s">
        <v>887</v>
      </c>
      <c r="H364" s="49" t="n">
        <v>25</v>
      </c>
      <c r="I364" s="70" t="s">
        <v>368</v>
      </c>
      <c r="J364" s="70" t="s">
        <v>369</v>
      </c>
      <c r="K364" s="73" t="n">
        <v>1</v>
      </c>
      <c r="L364" s="49" t="n">
        <v>4</v>
      </c>
      <c r="M364" s="67" t="n">
        <v>13.9</v>
      </c>
      <c r="N364" s="68" t="n">
        <f aca="false">K364*L364*M364</f>
        <v>55.6</v>
      </c>
      <c r="O364" s="34" t="n">
        <f aca="false">IFERROR(INDEX(Исходные!$B$18:$B$30,MATCH(H364,Исходные!$A$18:$A$30,0)),0)</f>
        <v>3.853</v>
      </c>
      <c r="P364" s="74" t="n">
        <f aca="false">N364*O364</f>
        <v>214.2268</v>
      </c>
      <c r="Q364" s="20" t="s">
        <v>882</v>
      </c>
      <c r="R364" s="75" t="s">
        <v>517</v>
      </c>
      <c r="S364" s="20" t="s">
        <v>689</v>
      </c>
      <c r="T364" s="20" t="s">
        <v>73</v>
      </c>
      <c r="U364" s="47" t="n">
        <v>0</v>
      </c>
      <c r="V364" s="70" t="s">
        <v>883</v>
      </c>
      <c r="W364" s="47" t="n">
        <v>1</v>
      </c>
    </row>
    <row r="365" customFormat="false" ht="35.05" hidden="false" customHeight="false" outlineLevel="0" collapsed="false">
      <c r="A365" s="70" t="n">
        <v>355</v>
      </c>
      <c r="B365" s="20" t="s">
        <v>363</v>
      </c>
      <c r="C365" s="20" t="s">
        <v>878</v>
      </c>
      <c r="D365" s="20" t="s">
        <v>888</v>
      </c>
      <c r="E365" s="20" t="s">
        <v>880</v>
      </c>
      <c r="F365" s="70" t="s">
        <v>379</v>
      </c>
      <c r="G365" s="20" t="s">
        <v>889</v>
      </c>
      <c r="H365" s="49" t="n">
        <v>25</v>
      </c>
      <c r="I365" s="70" t="s">
        <v>368</v>
      </c>
      <c r="J365" s="70" t="s">
        <v>369</v>
      </c>
      <c r="K365" s="73" t="n">
        <v>1</v>
      </c>
      <c r="L365" s="49" t="n">
        <v>4</v>
      </c>
      <c r="M365" s="67" t="n">
        <v>20.4</v>
      </c>
      <c r="N365" s="68" t="n">
        <f aca="false">K365*L365*M365</f>
        <v>81.6</v>
      </c>
      <c r="O365" s="34" t="n">
        <f aca="false">IFERROR(INDEX(Исходные!$B$18:$B$30,MATCH(H365,Исходные!$A$18:$A$30,0)),0)</f>
        <v>3.853</v>
      </c>
      <c r="P365" s="74" t="n">
        <f aca="false">N365*O365</f>
        <v>314.4048</v>
      </c>
      <c r="Q365" s="20" t="s">
        <v>882</v>
      </c>
      <c r="R365" s="75" t="s">
        <v>517</v>
      </c>
      <c r="S365" s="20" t="s">
        <v>689</v>
      </c>
      <c r="T365" s="20" t="s">
        <v>73</v>
      </c>
      <c r="U365" s="47" t="n">
        <v>0</v>
      </c>
      <c r="V365" s="70" t="s">
        <v>883</v>
      </c>
      <c r="W365" s="47" t="n">
        <v>1</v>
      </c>
    </row>
    <row r="366" customFormat="false" ht="35.05" hidden="false" customHeight="false" outlineLevel="0" collapsed="false">
      <c r="A366" s="70" t="n">
        <v>356</v>
      </c>
      <c r="B366" s="20" t="s">
        <v>363</v>
      </c>
      <c r="C366" s="20" t="s">
        <v>878</v>
      </c>
      <c r="D366" s="20" t="s">
        <v>890</v>
      </c>
      <c r="E366" s="20" t="s">
        <v>880</v>
      </c>
      <c r="F366" s="70" t="s">
        <v>379</v>
      </c>
      <c r="G366" s="20" t="s">
        <v>891</v>
      </c>
      <c r="H366" s="49" t="n">
        <v>25</v>
      </c>
      <c r="I366" s="70" t="s">
        <v>368</v>
      </c>
      <c r="J366" s="70" t="s">
        <v>369</v>
      </c>
      <c r="K366" s="73" t="n">
        <v>1</v>
      </c>
      <c r="L366" s="49" t="n">
        <v>4</v>
      </c>
      <c r="M366" s="67" t="n">
        <v>25.4</v>
      </c>
      <c r="N366" s="68" t="n">
        <f aca="false">K366*L366*M366</f>
        <v>101.6</v>
      </c>
      <c r="O366" s="34" t="n">
        <f aca="false">IFERROR(INDEX(Исходные!$B$18:$B$30,MATCH(H366,Исходные!$A$18:$A$30,0)),0)</f>
        <v>3.853</v>
      </c>
      <c r="P366" s="74" t="n">
        <f aca="false">N366*O366</f>
        <v>391.4648</v>
      </c>
      <c r="Q366" s="20" t="s">
        <v>882</v>
      </c>
      <c r="R366" s="75" t="s">
        <v>517</v>
      </c>
      <c r="S366" s="20" t="s">
        <v>518</v>
      </c>
      <c r="T366" s="20" t="s">
        <v>73</v>
      </c>
      <c r="U366" s="47" t="n">
        <v>0</v>
      </c>
      <c r="V366" s="70" t="s">
        <v>883</v>
      </c>
      <c r="W366" s="47" t="n">
        <v>1</v>
      </c>
    </row>
    <row r="367" customFormat="false" ht="35.05" hidden="false" customHeight="false" outlineLevel="0" collapsed="false">
      <c r="A367" s="70" t="n">
        <v>357</v>
      </c>
      <c r="B367" s="20" t="s">
        <v>363</v>
      </c>
      <c r="C367" s="20" t="s">
        <v>878</v>
      </c>
      <c r="D367" s="20" t="s">
        <v>892</v>
      </c>
      <c r="E367" s="20" t="s">
        <v>880</v>
      </c>
      <c r="F367" s="70" t="s">
        <v>379</v>
      </c>
      <c r="G367" s="20" t="s">
        <v>893</v>
      </c>
      <c r="H367" s="49" t="n">
        <v>25</v>
      </c>
      <c r="I367" s="70" t="s">
        <v>368</v>
      </c>
      <c r="J367" s="70" t="s">
        <v>369</v>
      </c>
      <c r="K367" s="73" t="n">
        <v>1</v>
      </c>
      <c r="L367" s="49" t="n">
        <v>4</v>
      </c>
      <c r="M367" s="67" t="n">
        <v>25.4</v>
      </c>
      <c r="N367" s="68" t="n">
        <f aca="false">K367*L367*M367</f>
        <v>101.6</v>
      </c>
      <c r="O367" s="34" t="n">
        <f aca="false">IFERROR(INDEX(Исходные!$B$18:$B$30,MATCH(H367,Исходные!$A$18:$A$30,0)),0)</f>
        <v>3.853</v>
      </c>
      <c r="P367" s="74" t="n">
        <f aca="false">N367*O367</f>
        <v>391.4648</v>
      </c>
      <c r="Q367" s="20" t="s">
        <v>882</v>
      </c>
      <c r="R367" s="75" t="s">
        <v>517</v>
      </c>
      <c r="S367" s="20" t="s">
        <v>518</v>
      </c>
      <c r="T367" s="20" t="s">
        <v>73</v>
      </c>
      <c r="U367" s="47" t="n">
        <v>0</v>
      </c>
      <c r="V367" s="70" t="s">
        <v>883</v>
      </c>
      <c r="W367" s="47" t="n">
        <v>1</v>
      </c>
    </row>
    <row r="368" customFormat="false" ht="35.05" hidden="false" customHeight="false" outlineLevel="0" collapsed="false">
      <c r="A368" s="70" t="n">
        <v>358</v>
      </c>
      <c r="B368" s="20" t="s">
        <v>363</v>
      </c>
      <c r="C368" s="20" t="s">
        <v>878</v>
      </c>
      <c r="D368" s="20" t="s">
        <v>894</v>
      </c>
      <c r="E368" s="20" t="s">
        <v>880</v>
      </c>
      <c r="F368" s="70" t="s">
        <v>379</v>
      </c>
      <c r="G368" s="20" t="s">
        <v>895</v>
      </c>
      <c r="H368" s="49" t="n">
        <v>25</v>
      </c>
      <c r="I368" s="70" t="s">
        <v>368</v>
      </c>
      <c r="J368" s="70" t="s">
        <v>369</v>
      </c>
      <c r="K368" s="73" t="n">
        <v>1</v>
      </c>
      <c r="L368" s="49" t="n">
        <v>4</v>
      </c>
      <c r="M368" s="67" t="n">
        <v>13.9</v>
      </c>
      <c r="N368" s="68" t="n">
        <f aca="false">K368*L368*M368</f>
        <v>55.6</v>
      </c>
      <c r="O368" s="34" t="n">
        <f aca="false">IFERROR(INDEX(Исходные!$B$18:$B$30,MATCH(H368,Исходные!$A$18:$A$30,0)),0)</f>
        <v>3.853</v>
      </c>
      <c r="P368" s="74" t="n">
        <f aca="false">N368*O368</f>
        <v>214.2268</v>
      </c>
      <c r="Q368" s="20" t="s">
        <v>882</v>
      </c>
      <c r="R368" s="75" t="s">
        <v>517</v>
      </c>
      <c r="S368" s="20" t="s">
        <v>689</v>
      </c>
      <c r="T368" s="20" t="s">
        <v>73</v>
      </c>
      <c r="U368" s="47" t="n">
        <v>0</v>
      </c>
      <c r="V368" s="70" t="s">
        <v>883</v>
      </c>
      <c r="W368" s="47" t="n">
        <v>1</v>
      </c>
    </row>
    <row r="369" customFormat="false" ht="35.05" hidden="false" customHeight="false" outlineLevel="0" collapsed="false">
      <c r="A369" s="70" t="n">
        <v>359</v>
      </c>
      <c r="B369" s="20" t="s">
        <v>363</v>
      </c>
      <c r="C369" s="20" t="s">
        <v>878</v>
      </c>
      <c r="D369" s="20" t="s">
        <v>896</v>
      </c>
      <c r="E369" s="20" t="s">
        <v>897</v>
      </c>
      <c r="F369" s="70" t="s">
        <v>379</v>
      </c>
      <c r="G369" s="20" t="s">
        <v>898</v>
      </c>
      <c r="H369" s="49" t="n">
        <v>25</v>
      </c>
      <c r="I369" s="70" t="s">
        <v>368</v>
      </c>
      <c r="J369" s="70" t="s">
        <v>369</v>
      </c>
      <c r="K369" s="73" t="n">
        <v>1</v>
      </c>
      <c r="L369" s="49" t="n">
        <v>4</v>
      </c>
      <c r="M369" s="67" t="n">
        <v>11.9</v>
      </c>
      <c r="N369" s="68" t="n">
        <f aca="false">K369*L369*M369</f>
        <v>47.6</v>
      </c>
      <c r="O369" s="34" t="n">
        <f aca="false">IFERROR(INDEX(Исходные!$B$18:$B$30,MATCH(H369,Исходные!$A$18:$A$30,0)),0)</f>
        <v>3.853</v>
      </c>
      <c r="P369" s="74" t="n">
        <f aca="false">N369*O369</f>
        <v>183.4028</v>
      </c>
      <c r="Q369" s="20" t="s">
        <v>899</v>
      </c>
      <c r="R369" s="75" t="s">
        <v>517</v>
      </c>
      <c r="S369" s="20" t="s">
        <v>689</v>
      </c>
      <c r="T369" s="20" t="s">
        <v>73</v>
      </c>
      <c r="U369" s="47" t="n">
        <v>0</v>
      </c>
      <c r="V369" s="70" t="s">
        <v>883</v>
      </c>
      <c r="W369" s="47" t="n">
        <v>1</v>
      </c>
    </row>
    <row r="370" customFormat="false" ht="35.05" hidden="false" customHeight="false" outlineLevel="0" collapsed="false">
      <c r="A370" s="70" t="n">
        <v>360</v>
      </c>
      <c r="B370" s="20" t="s">
        <v>363</v>
      </c>
      <c r="C370" s="20" t="s">
        <v>878</v>
      </c>
      <c r="D370" s="20" t="s">
        <v>900</v>
      </c>
      <c r="E370" s="20" t="s">
        <v>901</v>
      </c>
      <c r="F370" s="70" t="s">
        <v>379</v>
      </c>
      <c r="G370" s="20" t="s">
        <v>902</v>
      </c>
      <c r="H370" s="49" t="n">
        <v>25</v>
      </c>
      <c r="I370" s="70" t="s">
        <v>368</v>
      </c>
      <c r="J370" s="70" t="s">
        <v>369</v>
      </c>
      <c r="K370" s="73" t="n">
        <v>1</v>
      </c>
      <c r="L370" s="49" t="n">
        <v>4</v>
      </c>
      <c r="M370" s="67" t="n">
        <v>3.785</v>
      </c>
      <c r="N370" s="68" t="n">
        <f aca="false">K370*L370*M370</f>
        <v>15.14</v>
      </c>
      <c r="O370" s="34" t="n">
        <f aca="false">IFERROR(INDEX(Исходные!$B$18:$B$30,MATCH(H370,Исходные!$A$18:$A$30,0)),0)</f>
        <v>3.853</v>
      </c>
      <c r="P370" s="74" t="n">
        <f aca="false">N370*O370</f>
        <v>58.33442</v>
      </c>
      <c r="Q370" s="20" t="s">
        <v>903</v>
      </c>
      <c r="R370" s="75" t="s">
        <v>517</v>
      </c>
      <c r="S370" s="20"/>
      <c r="T370" s="20" t="s">
        <v>73</v>
      </c>
      <c r="U370" s="47" t="n">
        <v>0</v>
      </c>
      <c r="V370" s="70" t="s">
        <v>883</v>
      </c>
      <c r="W370" s="47" t="n">
        <v>1</v>
      </c>
    </row>
    <row r="371" customFormat="false" ht="35.05" hidden="false" customHeight="false" outlineLevel="0" collapsed="false">
      <c r="A371" s="70" t="n">
        <v>361</v>
      </c>
      <c r="B371" s="20" t="s">
        <v>363</v>
      </c>
      <c r="C371" s="20" t="s">
        <v>878</v>
      </c>
      <c r="D371" s="20" t="s">
        <v>904</v>
      </c>
      <c r="E371" s="20" t="s">
        <v>901</v>
      </c>
      <c r="F371" s="70" t="s">
        <v>379</v>
      </c>
      <c r="G371" s="20" t="s">
        <v>905</v>
      </c>
      <c r="H371" s="49" t="n">
        <v>25</v>
      </c>
      <c r="I371" s="70" t="s">
        <v>368</v>
      </c>
      <c r="J371" s="70" t="s">
        <v>369</v>
      </c>
      <c r="K371" s="73" t="n">
        <v>1</v>
      </c>
      <c r="L371" s="49" t="n">
        <v>4</v>
      </c>
      <c r="M371" s="67" t="n">
        <v>3.365</v>
      </c>
      <c r="N371" s="68" t="n">
        <f aca="false">K371*L371*M371</f>
        <v>13.46</v>
      </c>
      <c r="O371" s="34" t="n">
        <f aca="false">IFERROR(INDEX(Исходные!$B$18:$B$30,MATCH(H371,Исходные!$A$18:$A$30,0)),0)</f>
        <v>3.853</v>
      </c>
      <c r="P371" s="74" t="n">
        <f aca="false">N371*O371</f>
        <v>51.86138</v>
      </c>
      <c r="Q371" s="20" t="s">
        <v>903</v>
      </c>
      <c r="R371" s="75" t="s">
        <v>517</v>
      </c>
      <c r="S371" s="20"/>
      <c r="T371" s="20" t="s">
        <v>73</v>
      </c>
      <c r="U371" s="47" t="n">
        <v>0</v>
      </c>
      <c r="V371" s="70" t="s">
        <v>883</v>
      </c>
      <c r="W371" s="47" t="n">
        <v>1</v>
      </c>
    </row>
    <row r="372" customFormat="false" ht="35.05" hidden="false" customHeight="false" outlineLevel="0" collapsed="false">
      <c r="A372" s="70" t="n">
        <v>362</v>
      </c>
      <c r="B372" s="20" t="s">
        <v>363</v>
      </c>
      <c r="C372" s="20" t="s">
        <v>878</v>
      </c>
      <c r="D372" s="20" t="s">
        <v>906</v>
      </c>
      <c r="E372" s="20" t="s">
        <v>907</v>
      </c>
      <c r="F372" s="70" t="s">
        <v>373</v>
      </c>
      <c r="G372" s="20" t="s">
        <v>908</v>
      </c>
      <c r="H372" s="49" t="n">
        <v>20</v>
      </c>
      <c r="I372" s="70" t="s">
        <v>368</v>
      </c>
      <c r="J372" s="70" t="s">
        <v>369</v>
      </c>
      <c r="K372" s="73" t="n">
        <v>1</v>
      </c>
      <c r="L372" s="49" t="n">
        <v>4</v>
      </c>
      <c r="M372" s="67" t="n">
        <v>3.05</v>
      </c>
      <c r="N372" s="68" t="n">
        <f aca="false">K372*L372*M372</f>
        <v>12.2</v>
      </c>
      <c r="O372" s="34" t="n">
        <f aca="false">IFERROR(INDEX(Исходные!$B$18:$B$30,MATCH(H372,Исходные!$A$18:$A$30,0)),0)</f>
        <v>2.466</v>
      </c>
      <c r="P372" s="74" t="n">
        <f aca="false">N372*O372</f>
        <v>30.0852</v>
      </c>
      <c r="Q372" s="20" t="s">
        <v>909</v>
      </c>
      <c r="R372" s="75" t="s">
        <v>517</v>
      </c>
      <c r="S372" s="20"/>
      <c r="T372" s="20" t="s">
        <v>73</v>
      </c>
      <c r="U372" s="47" t="n">
        <v>0</v>
      </c>
      <c r="V372" s="70" t="s">
        <v>883</v>
      </c>
      <c r="W372" s="47" t="n">
        <v>1</v>
      </c>
    </row>
    <row r="373" customFormat="false" ht="35.05" hidden="false" customHeight="false" outlineLevel="0" collapsed="false">
      <c r="A373" s="70" t="n">
        <v>363</v>
      </c>
      <c r="B373" s="20" t="s">
        <v>363</v>
      </c>
      <c r="C373" s="20" t="s">
        <v>878</v>
      </c>
      <c r="D373" s="20" t="s">
        <v>910</v>
      </c>
      <c r="E373" s="20" t="s">
        <v>907</v>
      </c>
      <c r="F373" s="70" t="s">
        <v>373</v>
      </c>
      <c r="G373" s="20" t="s">
        <v>911</v>
      </c>
      <c r="H373" s="49" t="n">
        <v>20</v>
      </c>
      <c r="I373" s="70" t="s">
        <v>368</v>
      </c>
      <c r="J373" s="70" t="s">
        <v>369</v>
      </c>
      <c r="K373" s="73" t="n">
        <v>1</v>
      </c>
      <c r="L373" s="49" t="n">
        <v>4</v>
      </c>
      <c r="M373" s="67" t="n">
        <v>3.785</v>
      </c>
      <c r="N373" s="68" t="n">
        <f aca="false">K373*L373*M373</f>
        <v>15.14</v>
      </c>
      <c r="O373" s="34" t="n">
        <f aca="false">IFERROR(INDEX(Исходные!$B$18:$B$30,MATCH(H373,Исходные!$A$18:$A$30,0)),0)</f>
        <v>2.466</v>
      </c>
      <c r="P373" s="74" t="n">
        <f aca="false">N373*O373</f>
        <v>37.33524</v>
      </c>
      <c r="Q373" s="20" t="s">
        <v>909</v>
      </c>
      <c r="R373" s="75" t="s">
        <v>517</v>
      </c>
      <c r="S373" s="20"/>
      <c r="T373" s="20" t="s">
        <v>73</v>
      </c>
      <c r="U373" s="47" t="n">
        <v>0</v>
      </c>
      <c r="V373" s="70" t="s">
        <v>883</v>
      </c>
      <c r="W373" s="47" t="n">
        <v>1</v>
      </c>
    </row>
    <row r="374" customFormat="false" ht="35.05" hidden="false" customHeight="false" outlineLevel="0" collapsed="false">
      <c r="A374" s="70" t="n">
        <v>364</v>
      </c>
      <c r="B374" s="20" t="s">
        <v>363</v>
      </c>
      <c r="C374" s="20" t="s">
        <v>878</v>
      </c>
      <c r="D374" s="20" t="s">
        <v>912</v>
      </c>
      <c r="E374" s="20" t="s">
        <v>907</v>
      </c>
      <c r="F374" s="70" t="s">
        <v>373</v>
      </c>
      <c r="G374" s="20" t="s">
        <v>913</v>
      </c>
      <c r="H374" s="49" t="n">
        <v>20</v>
      </c>
      <c r="I374" s="70" t="s">
        <v>368</v>
      </c>
      <c r="J374" s="70" t="s">
        <v>369</v>
      </c>
      <c r="K374" s="73" t="n">
        <v>1</v>
      </c>
      <c r="L374" s="49" t="n">
        <v>4</v>
      </c>
      <c r="M374" s="67" t="n">
        <v>4.1</v>
      </c>
      <c r="N374" s="68" t="n">
        <f aca="false">K374*L374*M374</f>
        <v>16.4</v>
      </c>
      <c r="O374" s="34" t="n">
        <f aca="false">IFERROR(INDEX(Исходные!$B$18:$B$30,MATCH(H374,Исходные!$A$18:$A$30,0)),0)</f>
        <v>2.466</v>
      </c>
      <c r="P374" s="74" t="n">
        <f aca="false">N374*O374</f>
        <v>40.4424</v>
      </c>
      <c r="Q374" s="20" t="s">
        <v>909</v>
      </c>
      <c r="R374" s="75" t="s">
        <v>517</v>
      </c>
      <c r="S374" s="20"/>
      <c r="T374" s="20" t="s">
        <v>73</v>
      </c>
      <c r="U374" s="47" t="n">
        <v>0</v>
      </c>
      <c r="V374" s="70" t="s">
        <v>883</v>
      </c>
      <c r="W374" s="47" t="n">
        <v>1</v>
      </c>
    </row>
    <row r="375" customFormat="false" ht="35.05" hidden="false" customHeight="false" outlineLevel="0" collapsed="false">
      <c r="A375" s="70" t="n">
        <v>365</v>
      </c>
      <c r="B375" s="20" t="s">
        <v>363</v>
      </c>
      <c r="C375" s="20" t="s">
        <v>878</v>
      </c>
      <c r="D375" s="20" t="s">
        <v>914</v>
      </c>
      <c r="E375" s="20" t="s">
        <v>907</v>
      </c>
      <c r="F375" s="70" t="s">
        <v>373</v>
      </c>
      <c r="G375" s="20" t="s">
        <v>915</v>
      </c>
      <c r="H375" s="49" t="n">
        <v>20</v>
      </c>
      <c r="I375" s="70" t="s">
        <v>368</v>
      </c>
      <c r="J375" s="70" t="s">
        <v>369</v>
      </c>
      <c r="K375" s="73" t="n">
        <v>1</v>
      </c>
      <c r="L375" s="49" t="n">
        <v>4</v>
      </c>
      <c r="M375" s="67" t="n">
        <v>3.325</v>
      </c>
      <c r="N375" s="68" t="n">
        <f aca="false">K375*L375*M375</f>
        <v>13.3</v>
      </c>
      <c r="O375" s="34" t="n">
        <f aca="false">IFERROR(INDEX(Исходные!$B$18:$B$30,MATCH(H375,Исходные!$A$18:$A$30,0)),0)</f>
        <v>2.466</v>
      </c>
      <c r="P375" s="74" t="n">
        <f aca="false">N375*O375</f>
        <v>32.7978</v>
      </c>
      <c r="Q375" s="20" t="s">
        <v>909</v>
      </c>
      <c r="R375" s="75" t="s">
        <v>517</v>
      </c>
      <c r="S375" s="20"/>
      <c r="T375" s="20" t="s">
        <v>73</v>
      </c>
      <c r="U375" s="47" t="n">
        <v>0</v>
      </c>
      <c r="V375" s="70" t="s">
        <v>883</v>
      </c>
      <c r="W375" s="47" t="n">
        <v>1</v>
      </c>
    </row>
    <row r="376" customFormat="false" ht="35.05" hidden="false" customHeight="false" outlineLevel="0" collapsed="false">
      <c r="A376" s="70" t="n">
        <v>366</v>
      </c>
      <c r="B376" s="20" t="s">
        <v>363</v>
      </c>
      <c r="C376" s="20" t="s">
        <v>878</v>
      </c>
      <c r="D376" s="20" t="s">
        <v>916</v>
      </c>
      <c r="E376" s="20" t="s">
        <v>917</v>
      </c>
      <c r="F376" s="70" t="s">
        <v>432</v>
      </c>
      <c r="G376" s="20" t="s">
        <v>918</v>
      </c>
      <c r="H376" s="49" t="n">
        <v>22</v>
      </c>
      <c r="I376" s="70" t="s">
        <v>368</v>
      </c>
      <c r="J376" s="70" t="s">
        <v>369</v>
      </c>
      <c r="K376" s="73" t="n">
        <v>1</v>
      </c>
      <c r="L376" s="49" t="n">
        <v>4</v>
      </c>
      <c r="M376" s="67" t="n">
        <v>2.175</v>
      </c>
      <c r="N376" s="68" t="n">
        <f aca="false">K376*L376*M376</f>
        <v>8.7</v>
      </c>
      <c r="O376" s="34" t="n">
        <f aca="false">IFERROR(INDEX(Исходные!$B$18:$B$30,MATCH(H376,Исходные!$A$18:$A$30,0)),0)</f>
        <v>2.984</v>
      </c>
      <c r="P376" s="74" t="n">
        <f aca="false">N376*O376</f>
        <v>25.9608</v>
      </c>
      <c r="Q376" s="20" t="s">
        <v>919</v>
      </c>
      <c r="R376" s="75" t="s">
        <v>517</v>
      </c>
      <c r="S376" s="20"/>
      <c r="T376" s="20" t="s">
        <v>73</v>
      </c>
      <c r="U376" s="47" t="n">
        <v>0</v>
      </c>
      <c r="V376" s="70" t="s">
        <v>883</v>
      </c>
      <c r="W376" s="47" t="n">
        <v>1</v>
      </c>
    </row>
    <row r="377" customFormat="false" ht="35.05" hidden="false" customHeight="false" outlineLevel="0" collapsed="false">
      <c r="A377" s="70" t="n">
        <v>367</v>
      </c>
      <c r="B377" s="20" t="s">
        <v>363</v>
      </c>
      <c r="C377" s="20" t="s">
        <v>878</v>
      </c>
      <c r="D377" s="20" t="s">
        <v>916</v>
      </c>
      <c r="E377" s="20" t="s">
        <v>917</v>
      </c>
      <c r="F377" s="70" t="s">
        <v>432</v>
      </c>
      <c r="G377" s="20" t="s">
        <v>920</v>
      </c>
      <c r="H377" s="49" t="n">
        <v>22</v>
      </c>
      <c r="I377" s="70" t="s">
        <v>368</v>
      </c>
      <c r="J377" s="70" t="s">
        <v>369</v>
      </c>
      <c r="K377" s="73" t="n">
        <v>1</v>
      </c>
      <c r="L377" s="49" t="n">
        <v>4</v>
      </c>
      <c r="M377" s="67" t="n">
        <v>4.15</v>
      </c>
      <c r="N377" s="68" t="n">
        <f aca="false">K377*L377*M377</f>
        <v>16.6</v>
      </c>
      <c r="O377" s="34" t="n">
        <f aca="false">IFERROR(INDEX(Исходные!$B$18:$B$30,MATCH(H377,Исходные!$A$18:$A$30,0)),0)</f>
        <v>2.984</v>
      </c>
      <c r="P377" s="74" t="n">
        <f aca="false">N377*O377</f>
        <v>49.5344</v>
      </c>
      <c r="Q377" s="20" t="s">
        <v>919</v>
      </c>
      <c r="R377" s="75" t="s">
        <v>517</v>
      </c>
      <c r="S377" s="20"/>
      <c r="T377" s="20" t="s">
        <v>73</v>
      </c>
      <c r="U377" s="47" t="n">
        <v>0</v>
      </c>
      <c r="V377" s="70" t="s">
        <v>883</v>
      </c>
      <c r="W377" s="47" t="n">
        <v>1</v>
      </c>
    </row>
    <row r="378" customFormat="false" ht="35.05" hidden="false" customHeight="false" outlineLevel="0" collapsed="false">
      <c r="A378" s="70" t="n">
        <v>368</v>
      </c>
      <c r="B378" s="20" t="s">
        <v>363</v>
      </c>
      <c r="C378" s="20" t="s">
        <v>878</v>
      </c>
      <c r="D378" s="20" t="s">
        <v>916</v>
      </c>
      <c r="E378" s="20" t="s">
        <v>917</v>
      </c>
      <c r="F378" s="70" t="s">
        <v>432</v>
      </c>
      <c r="G378" s="20" t="s">
        <v>921</v>
      </c>
      <c r="H378" s="49" t="n">
        <v>22</v>
      </c>
      <c r="I378" s="70" t="s">
        <v>368</v>
      </c>
      <c r="J378" s="70" t="s">
        <v>369</v>
      </c>
      <c r="K378" s="73" t="n">
        <v>1</v>
      </c>
      <c r="L378" s="49" t="n">
        <v>4</v>
      </c>
      <c r="M378" s="67" t="n">
        <v>2.175</v>
      </c>
      <c r="N378" s="68" t="n">
        <f aca="false">K378*L378*M378</f>
        <v>8.7</v>
      </c>
      <c r="O378" s="34" t="n">
        <f aca="false">IFERROR(INDEX(Исходные!$B$18:$B$30,MATCH(H378,Исходные!$A$18:$A$30,0)),0)</f>
        <v>2.984</v>
      </c>
      <c r="P378" s="74" t="n">
        <f aca="false">N378*O378</f>
        <v>25.9608</v>
      </c>
      <c r="Q378" s="20" t="s">
        <v>919</v>
      </c>
      <c r="R378" s="75" t="s">
        <v>517</v>
      </c>
      <c r="S378" s="20"/>
      <c r="T378" s="20" t="s">
        <v>73</v>
      </c>
      <c r="U378" s="47" t="n">
        <v>0</v>
      </c>
      <c r="V378" s="70" t="s">
        <v>883</v>
      </c>
      <c r="W378" s="47" t="n">
        <v>1</v>
      </c>
    </row>
    <row r="379" customFormat="false" ht="35.05" hidden="false" customHeight="false" outlineLevel="0" collapsed="false">
      <c r="A379" s="70" t="n">
        <v>369</v>
      </c>
      <c r="B379" s="20" t="s">
        <v>363</v>
      </c>
      <c r="C379" s="20" t="s">
        <v>878</v>
      </c>
      <c r="D379" s="20" t="s">
        <v>922</v>
      </c>
      <c r="E379" s="20" t="s">
        <v>917</v>
      </c>
      <c r="F379" s="70" t="s">
        <v>432</v>
      </c>
      <c r="G379" s="20" t="s">
        <v>918</v>
      </c>
      <c r="H379" s="49" t="n">
        <v>22</v>
      </c>
      <c r="I379" s="70" t="s">
        <v>368</v>
      </c>
      <c r="J379" s="70" t="s">
        <v>369</v>
      </c>
      <c r="K379" s="73" t="n">
        <v>1</v>
      </c>
      <c r="L379" s="49" t="n">
        <v>4</v>
      </c>
      <c r="M379" s="67" t="n">
        <v>2.175</v>
      </c>
      <c r="N379" s="68" t="n">
        <f aca="false">K379*L379*M379</f>
        <v>8.7</v>
      </c>
      <c r="O379" s="34" t="n">
        <f aca="false">IFERROR(INDEX(Исходные!$B$18:$B$30,MATCH(H379,Исходные!$A$18:$A$30,0)),0)</f>
        <v>2.984</v>
      </c>
      <c r="P379" s="74" t="n">
        <f aca="false">N379*O379</f>
        <v>25.9608</v>
      </c>
      <c r="Q379" s="20" t="s">
        <v>919</v>
      </c>
      <c r="R379" s="75" t="s">
        <v>517</v>
      </c>
      <c r="S379" s="20"/>
      <c r="T379" s="20" t="s">
        <v>73</v>
      </c>
      <c r="U379" s="47" t="n">
        <v>0</v>
      </c>
      <c r="V379" s="70" t="s">
        <v>883</v>
      </c>
      <c r="W379" s="47" t="n">
        <v>1</v>
      </c>
    </row>
    <row r="380" customFormat="false" ht="35.05" hidden="false" customHeight="false" outlineLevel="0" collapsed="false">
      <c r="A380" s="70" t="n">
        <v>370</v>
      </c>
      <c r="B380" s="20" t="s">
        <v>363</v>
      </c>
      <c r="C380" s="20" t="s">
        <v>878</v>
      </c>
      <c r="D380" s="20" t="s">
        <v>922</v>
      </c>
      <c r="E380" s="20" t="s">
        <v>917</v>
      </c>
      <c r="F380" s="70" t="s">
        <v>432</v>
      </c>
      <c r="G380" s="20" t="s">
        <v>920</v>
      </c>
      <c r="H380" s="49" t="n">
        <v>22</v>
      </c>
      <c r="I380" s="70" t="s">
        <v>368</v>
      </c>
      <c r="J380" s="70" t="s">
        <v>369</v>
      </c>
      <c r="K380" s="73" t="n">
        <v>1</v>
      </c>
      <c r="L380" s="49" t="n">
        <v>4</v>
      </c>
      <c r="M380" s="67" t="n">
        <v>4.15</v>
      </c>
      <c r="N380" s="68" t="n">
        <f aca="false">K380*L380*M380</f>
        <v>16.6</v>
      </c>
      <c r="O380" s="34" t="n">
        <f aca="false">IFERROR(INDEX(Исходные!$B$18:$B$30,MATCH(H380,Исходные!$A$18:$A$30,0)),0)</f>
        <v>2.984</v>
      </c>
      <c r="P380" s="74" t="n">
        <f aca="false">N380*O380</f>
        <v>49.5344</v>
      </c>
      <c r="Q380" s="20" t="s">
        <v>919</v>
      </c>
      <c r="R380" s="75" t="s">
        <v>517</v>
      </c>
      <c r="S380" s="20"/>
      <c r="T380" s="20" t="s">
        <v>73</v>
      </c>
      <c r="U380" s="47" t="n">
        <v>0</v>
      </c>
      <c r="V380" s="70" t="s">
        <v>883</v>
      </c>
      <c r="W380" s="47" t="n">
        <v>1</v>
      </c>
    </row>
    <row r="381" customFormat="false" ht="35.05" hidden="false" customHeight="false" outlineLevel="0" collapsed="false">
      <c r="A381" s="70" t="n">
        <v>371</v>
      </c>
      <c r="B381" s="20" t="s">
        <v>363</v>
      </c>
      <c r="C381" s="20" t="s">
        <v>878</v>
      </c>
      <c r="D381" s="20" t="s">
        <v>922</v>
      </c>
      <c r="E381" s="20" t="s">
        <v>917</v>
      </c>
      <c r="F381" s="70" t="s">
        <v>432</v>
      </c>
      <c r="G381" s="20" t="s">
        <v>921</v>
      </c>
      <c r="H381" s="49" t="n">
        <v>22</v>
      </c>
      <c r="I381" s="70" t="s">
        <v>368</v>
      </c>
      <c r="J381" s="70" t="s">
        <v>369</v>
      </c>
      <c r="K381" s="73" t="n">
        <v>1</v>
      </c>
      <c r="L381" s="49" t="n">
        <v>4</v>
      </c>
      <c r="M381" s="67" t="n">
        <v>2.175</v>
      </c>
      <c r="N381" s="68" t="n">
        <f aca="false">K381*L381*M381</f>
        <v>8.7</v>
      </c>
      <c r="O381" s="34" t="n">
        <f aca="false">IFERROR(INDEX(Исходные!$B$18:$B$30,MATCH(H381,Исходные!$A$18:$A$30,0)),0)</f>
        <v>2.984</v>
      </c>
      <c r="P381" s="74" t="n">
        <f aca="false">N381*O381</f>
        <v>25.9608</v>
      </c>
      <c r="Q381" s="20" t="s">
        <v>919</v>
      </c>
      <c r="R381" s="75" t="s">
        <v>517</v>
      </c>
      <c r="S381" s="20"/>
      <c r="T381" s="20" t="s">
        <v>73</v>
      </c>
      <c r="U381" s="47" t="n">
        <v>0</v>
      </c>
      <c r="V381" s="70" t="s">
        <v>883</v>
      </c>
      <c r="W381" s="47" t="n">
        <v>1</v>
      </c>
    </row>
    <row r="382" customFormat="false" ht="35.05" hidden="false" customHeight="false" outlineLevel="0" collapsed="false">
      <c r="A382" s="70" t="n">
        <v>372</v>
      </c>
      <c r="B382" s="20" t="s">
        <v>363</v>
      </c>
      <c r="C382" s="20" t="s">
        <v>878</v>
      </c>
      <c r="D382" s="20" t="s">
        <v>923</v>
      </c>
      <c r="E382" s="20" t="s">
        <v>917</v>
      </c>
      <c r="F382" s="70" t="s">
        <v>432</v>
      </c>
      <c r="G382" s="20" t="s">
        <v>918</v>
      </c>
      <c r="H382" s="49" t="n">
        <v>22</v>
      </c>
      <c r="I382" s="70" t="s">
        <v>368</v>
      </c>
      <c r="J382" s="70" t="s">
        <v>369</v>
      </c>
      <c r="K382" s="73" t="n">
        <v>1</v>
      </c>
      <c r="L382" s="49" t="n">
        <v>4</v>
      </c>
      <c r="M382" s="67" t="n">
        <v>2.15</v>
      </c>
      <c r="N382" s="68" t="n">
        <f aca="false">K382*L382*M382</f>
        <v>8.6</v>
      </c>
      <c r="O382" s="34" t="n">
        <f aca="false">IFERROR(INDEX(Исходные!$B$18:$B$30,MATCH(H382,Исходные!$A$18:$A$30,0)),0)</f>
        <v>2.984</v>
      </c>
      <c r="P382" s="74" t="n">
        <f aca="false">N382*O382</f>
        <v>25.6624</v>
      </c>
      <c r="Q382" s="20" t="s">
        <v>919</v>
      </c>
      <c r="R382" s="75" t="s">
        <v>517</v>
      </c>
      <c r="S382" s="20"/>
      <c r="T382" s="20" t="s">
        <v>73</v>
      </c>
      <c r="U382" s="47" t="n">
        <v>0</v>
      </c>
      <c r="V382" s="70" t="s">
        <v>883</v>
      </c>
      <c r="W382" s="47" t="n">
        <v>1</v>
      </c>
    </row>
    <row r="383" customFormat="false" ht="35.05" hidden="false" customHeight="false" outlineLevel="0" collapsed="false">
      <c r="A383" s="70" t="n">
        <v>373</v>
      </c>
      <c r="B383" s="20" t="s">
        <v>363</v>
      </c>
      <c r="C383" s="20" t="s">
        <v>878</v>
      </c>
      <c r="D383" s="20" t="s">
        <v>923</v>
      </c>
      <c r="E383" s="20" t="s">
        <v>917</v>
      </c>
      <c r="F383" s="70" t="s">
        <v>432</v>
      </c>
      <c r="G383" s="20" t="s">
        <v>920</v>
      </c>
      <c r="H383" s="49" t="n">
        <v>22</v>
      </c>
      <c r="I383" s="70" t="s">
        <v>368</v>
      </c>
      <c r="J383" s="70" t="s">
        <v>369</v>
      </c>
      <c r="K383" s="73" t="n">
        <v>1</v>
      </c>
      <c r="L383" s="49" t="n">
        <v>4</v>
      </c>
      <c r="M383" s="67" t="n">
        <v>3.775</v>
      </c>
      <c r="N383" s="68" t="n">
        <f aca="false">K383*L383*M383</f>
        <v>15.1</v>
      </c>
      <c r="O383" s="34" t="n">
        <f aca="false">IFERROR(INDEX(Исходные!$B$18:$B$30,MATCH(H383,Исходные!$A$18:$A$30,0)),0)</f>
        <v>2.984</v>
      </c>
      <c r="P383" s="74" t="n">
        <f aca="false">N383*O383</f>
        <v>45.0584</v>
      </c>
      <c r="Q383" s="20" t="s">
        <v>919</v>
      </c>
      <c r="R383" s="75" t="s">
        <v>517</v>
      </c>
      <c r="S383" s="20"/>
      <c r="T383" s="20" t="s">
        <v>73</v>
      </c>
      <c r="U383" s="47" t="n">
        <v>0</v>
      </c>
      <c r="V383" s="70" t="s">
        <v>883</v>
      </c>
      <c r="W383" s="47" t="n">
        <v>1</v>
      </c>
    </row>
    <row r="384" customFormat="false" ht="35.05" hidden="false" customHeight="false" outlineLevel="0" collapsed="false">
      <c r="A384" s="70" t="n">
        <v>374</v>
      </c>
      <c r="B384" s="20" t="s">
        <v>363</v>
      </c>
      <c r="C384" s="20" t="s">
        <v>878</v>
      </c>
      <c r="D384" s="20" t="s">
        <v>923</v>
      </c>
      <c r="E384" s="20" t="s">
        <v>917</v>
      </c>
      <c r="F384" s="70" t="s">
        <v>432</v>
      </c>
      <c r="G384" s="20" t="s">
        <v>921</v>
      </c>
      <c r="H384" s="49" t="n">
        <v>22</v>
      </c>
      <c r="I384" s="70" t="s">
        <v>368</v>
      </c>
      <c r="J384" s="70" t="s">
        <v>369</v>
      </c>
      <c r="K384" s="73" t="n">
        <v>1</v>
      </c>
      <c r="L384" s="49" t="n">
        <v>4</v>
      </c>
      <c r="M384" s="67" t="n">
        <v>2.15</v>
      </c>
      <c r="N384" s="68" t="n">
        <f aca="false">K384*L384*M384</f>
        <v>8.6</v>
      </c>
      <c r="O384" s="34" t="n">
        <f aca="false">IFERROR(INDEX(Исходные!$B$18:$B$30,MATCH(H384,Исходные!$A$18:$A$30,0)),0)</f>
        <v>2.984</v>
      </c>
      <c r="P384" s="74" t="n">
        <f aca="false">N384*O384</f>
        <v>25.6624</v>
      </c>
      <c r="Q384" s="20" t="s">
        <v>919</v>
      </c>
      <c r="R384" s="75" t="s">
        <v>517</v>
      </c>
      <c r="S384" s="20"/>
      <c r="T384" s="20" t="s">
        <v>73</v>
      </c>
      <c r="U384" s="47" t="n">
        <v>0</v>
      </c>
      <c r="V384" s="70" t="s">
        <v>883</v>
      </c>
      <c r="W384" s="47" t="n">
        <v>1</v>
      </c>
    </row>
    <row r="385" customFormat="false" ht="35.05" hidden="false" customHeight="false" outlineLevel="0" collapsed="false">
      <c r="A385" s="70" t="n">
        <v>375</v>
      </c>
      <c r="B385" s="20" t="s">
        <v>363</v>
      </c>
      <c r="C385" s="20" t="s">
        <v>878</v>
      </c>
      <c r="D385" s="20" t="s">
        <v>924</v>
      </c>
      <c r="E385" s="20" t="s">
        <v>917</v>
      </c>
      <c r="F385" s="70" t="s">
        <v>432</v>
      </c>
      <c r="G385" s="20" t="s">
        <v>918</v>
      </c>
      <c r="H385" s="49" t="n">
        <v>22</v>
      </c>
      <c r="I385" s="70" t="s">
        <v>368</v>
      </c>
      <c r="J385" s="70" t="s">
        <v>369</v>
      </c>
      <c r="K385" s="73" t="n">
        <v>1</v>
      </c>
      <c r="L385" s="49" t="n">
        <v>4</v>
      </c>
      <c r="M385" s="67" t="n">
        <v>2.15</v>
      </c>
      <c r="N385" s="68" t="n">
        <f aca="false">K385*L385*M385</f>
        <v>8.6</v>
      </c>
      <c r="O385" s="34" t="n">
        <f aca="false">IFERROR(INDEX(Исходные!$B$18:$B$30,MATCH(H385,Исходные!$A$18:$A$30,0)),0)</f>
        <v>2.984</v>
      </c>
      <c r="P385" s="74" t="n">
        <f aca="false">N385*O385</f>
        <v>25.6624</v>
      </c>
      <c r="Q385" s="20" t="s">
        <v>919</v>
      </c>
      <c r="R385" s="75" t="s">
        <v>517</v>
      </c>
      <c r="S385" s="20"/>
      <c r="T385" s="20" t="s">
        <v>73</v>
      </c>
      <c r="U385" s="47" t="n">
        <v>0</v>
      </c>
      <c r="V385" s="70" t="s">
        <v>883</v>
      </c>
      <c r="W385" s="47" t="n">
        <v>1</v>
      </c>
    </row>
    <row r="386" customFormat="false" ht="35.05" hidden="false" customHeight="false" outlineLevel="0" collapsed="false">
      <c r="A386" s="70" t="n">
        <v>376</v>
      </c>
      <c r="B386" s="20" t="s">
        <v>363</v>
      </c>
      <c r="C386" s="20" t="s">
        <v>878</v>
      </c>
      <c r="D386" s="20" t="s">
        <v>924</v>
      </c>
      <c r="E386" s="20" t="s">
        <v>917</v>
      </c>
      <c r="F386" s="70" t="s">
        <v>432</v>
      </c>
      <c r="G386" s="20" t="s">
        <v>920</v>
      </c>
      <c r="H386" s="49" t="n">
        <v>22</v>
      </c>
      <c r="I386" s="70" t="s">
        <v>368</v>
      </c>
      <c r="J386" s="70" t="s">
        <v>369</v>
      </c>
      <c r="K386" s="73" t="n">
        <v>1</v>
      </c>
      <c r="L386" s="49" t="n">
        <v>4</v>
      </c>
      <c r="M386" s="67" t="n">
        <v>7.95</v>
      </c>
      <c r="N386" s="68" t="n">
        <f aca="false">K386*L386*M386</f>
        <v>31.8</v>
      </c>
      <c r="O386" s="34" t="n">
        <f aca="false">IFERROR(INDEX(Исходные!$B$18:$B$30,MATCH(H386,Исходные!$A$18:$A$30,0)),0)</f>
        <v>2.984</v>
      </c>
      <c r="P386" s="74" t="n">
        <f aca="false">N386*O386</f>
        <v>94.8912</v>
      </c>
      <c r="Q386" s="20" t="s">
        <v>919</v>
      </c>
      <c r="R386" s="75" t="s">
        <v>517</v>
      </c>
      <c r="S386" s="20"/>
      <c r="T386" s="20" t="s">
        <v>73</v>
      </c>
      <c r="U386" s="47" t="n">
        <v>0</v>
      </c>
      <c r="V386" s="70" t="s">
        <v>883</v>
      </c>
      <c r="W386" s="47" t="n">
        <v>1</v>
      </c>
    </row>
    <row r="387" customFormat="false" ht="35.05" hidden="false" customHeight="false" outlineLevel="0" collapsed="false">
      <c r="A387" s="70" t="n">
        <v>377</v>
      </c>
      <c r="B387" s="20" t="s">
        <v>363</v>
      </c>
      <c r="C387" s="20" t="s">
        <v>878</v>
      </c>
      <c r="D387" s="20" t="s">
        <v>924</v>
      </c>
      <c r="E387" s="20" t="s">
        <v>917</v>
      </c>
      <c r="F387" s="70" t="s">
        <v>432</v>
      </c>
      <c r="G387" s="20" t="s">
        <v>921</v>
      </c>
      <c r="H387" s="49" t="n">
        <v>22</v>
      </c>
      <c r="I387" s="70" t="s">
        <v>368</v>
      </c>
      <c r="J387" s="70" t="s">
        <v>369</v>
      </c>
      <c r="K387" s="73" t="n">
        <v>1</v>
      </c>
      <c r="L387" s="49" t="n">
        <v>4</v>
      </c>
      <c r="M387" s="67" t="n">
        <v>2.15</v>
      </c>
      <c r="N387" s="68" t="n">
        <f aca="false">K387*L387*M387</f>
        <v>8.6</v>
      </c>
      <c r="O387" s="34" t="n">
        <f aca="false">IFERROR(INDEX(Исходные!$B$18:$B$30,MATCH(H387,Исходные!$A$18:$A$30,0)),0)</f>
        <v>2.984</v>
      </c>
      <c r="P387" s="74" t="n">
        <f aca="false">N387*O387</f>
        <v>25.6624</v>
      </c>
      <c r="Q387" s="20" t="s">
        <v>919</v>
      </c>
      <c r="R387" s="75" t="s">
        <v>517</v>
      </c>
      <c r="S387" s="20"/>
      <c r="T387" s="20" t="s">
        <v>73</v>
      </c>
      <c r="U387" s="47" t="n">
        <v>0</v>
      </c>
      <c r="V387" s="70" t="s">
        <v>883</v>
      </c>
      <c r="W387" s="47" t="n">
        <v>1</v>
      </c>
    </row>
    <row r="388" customFormat="false" ht="35.05" hidden="false" customHeight="false" outlineLevel="0" collapsed="false">
      <c r="A388" s="70" t="n">
        <v>378</v>
      </c>
      <c r="B388" s="20" t="s">
        <v>363</v>
      </c>
      <c r="C388" s="20" t="s">
        <v>878</v>
      </c>
      <c r="D388" s="20" t="s">
        <v>924</v>
      </c>
      <c r="E388" s="20" t="s">
        <v>917</v>
      </c>
      <c r="F388" s="70" t="s">
        <v>432</v>
      </c>
      <c r="G388" s="20" t="s">
        <v>925</v>
      </c>
      <c r="H388" s="49" t="n">
        <v>22</v>
      </c>
      <c r="I388" s="70" t="s">
        <v>368</v>
      </c>
      <c r="J388" s="70" t="s">
        <v>369</v>
      </c>
      <c r="K388" s="73" t="n">
        <v>1</v>
      </c>
      <c r="L388" s="49" t="n">
        <v>4</v>
      </c>
      <c r="M388" s="67" t="n">
        <v>2.375</v>
      </c>
      <c r="N388" s="68" t="n">
        <f aca="false">K388*L388*M388</f>
        <v>9.5</v>
      </c>
      <c r="O388" s="34" t="n">
        <f aca="false">IFERROR(INDEX(Исходные!$B$18:$B$30,MATCH(H388,Исходные!$A$18:$A$30,0)),0)</f>
        <v>2.984</v>
      </c>
      <c r="P388" s="74" t="n">
        <f aca="false">N388*O388</f>
        <v>28.348</v>
      </c>
      <c r="Q388" s="20" t="s">
        <v>919</v>
      </c>
      <c r="R388" s="75" t="s">
        <v>517</v>
      </c>
      <c r="S388" s="20"/>
      <c r="T388" s="20" t="s">
        <v>73</v>
      </c>
      <c r="U388" s="47" t="n">
        <v>0</v>
      </c>
      <c r="V388" s="70" t="s">
        <v>883</v>
      </c>
      <c r="W388" s="47" t="n">
        <v>1</v>
      </c>
    </row>
    <row r="389" customFormat="false" ht="35.05" hidden="false" customHeight="false" outlineLevel="0" collapsed="false">
      <c r="A389" s="70" t="n">
        <v>379</v>
      </c>
      <c r="B389" s="20" t="s">
        <v>363</v>
      </c>
      <c r="C389" s="20" t="s">
        <v>878</v>
      </c>
      <c r="D389" s="20" t="s">
        <v>926</v>
      </c>
      <c r="E389" s="20" t="s">
        <v>927</v>
      </c>
      <c r="F389" s="70" t="s">
        <v>369</v>
      </c>
      <c r="G389" s="20" t="s">
        <v>928</v>
      </c>
      <c r="H389" s="49" t="n">
        <v>18</v>
      </c>
      <c r="I389" s="70" t="s">
        <v>368</v>
      </c>
      <c r="J389" s="70" t="s">
        <v>369</v>
      </c>
      <c r="K389" s="73" t="n">
        <v>1</v>
      </c>
      <c r="L389" s="49" t="n">
        <v>42</v>
      </c>
      <c r="M389" s="67" t="n">
        <v>1.2</v>
      </c>
      <c r="N389" s="68" t="n">
        <f aca="false">K389*L389*M389</f>
        <v>50.4</v>
      </c>
      <c r="O389" s="34" t="n">
        <f aca="false">IFERROR(INDEX(Исходные!$B$18:$B$30,MATCH(H389,Исходные!$A$18:$A$30,0)),0)</f>
        <v>1.998</v>
      </c>
      <c r="P389" s="74" t="n">
        <f aca="false">N389*O389</f>
        <v>100.6992</v>
      </c>
      <c r="Q389" s="20" t="s">
        <v>929</v>
      </c>
      <c r="R389" s="76" t="s">
        <v>495</v>
      </c>
      <c r="S389" s="20"/>
      <c r="T389" s="20" t="s">
        <v>73</v>
      </c>
      <c r="U389" s="47" t="n">
        <v>1</v>
      </c>
      <c r="V389" s="70" t="s">
        <v>930</v>
      </c>
      <c r="W389" s="47" t="n">
        <v>1</v>
      </c>
    </row>
    <row r="390" customFormat="false" ht="35.05" hidden="false" customHeight="false" outlineLevel="0" collapsed="false">
      <c r="A390" s="70" t="n">
        <v>380</v>
      </c>
      <c r="B390" s="20" t="s">
        <v>363</v>
      </c>
      <c r="C390" s="20" t="s">
        <v>878</v>
      </c>
      <c r="D390" s="20" t="s">
        <v>931</v>
      </c>
      <c r="E390" s="20" t="s">
        <v>932</v>
      </c>
      <c r="F390" s="70" t="s">
        <v>412</v>
      </c>
      <c r="G390" s="20" t="s">
        <v>933</v>
      </c>
      <c r="H390" s="49" t="n">
        <v>8</v>
      </c>
      <c r="I390" s="70" t="s">
        <v>403</v>
      </c>
      <c r="J390" s="70" t="s">
        <v>501</v>
      </c>
      <c r="K390" s="73" t="n">
        <v>1</v>
      </c>
      <c r="L390" s="49" t="n">
        <v>925</v>
      </c>
      <c r="M390" s="67" t="n">
        <v>1.24</v>
      </c>
      <c r="N390" s="68" t="n">
        <f aca="false">K390*L390*M390</f>
        <v>1147</v>
      </c>
      <c r="O390" s="34" t="n">
        <f aca="false">IFERROR(INDEX(Исходные!$B$18:$B$30,MATCH(H390,Исходные!$A$18:$A$30,0)),0)</f>
        <v>0.395</v>
      </c>
      <c r="P390" s="74" t="n">
        <f aca="false">N390*O390</f>
        <v>453.065</v>
      </c>
      <c r="Q390" s="20" t="s">
        <v>934</v>
      </c>
      <c r="R390" s="75" t="s">
        <v>371</v>
      </c>
      <c r="S390" s="20"/>
      <c r="T390" s="20" t="s">
        <v>73</v>
      </c>
      <c r="U390" s="47" t="n">
        <v>0</v>
      </c>
      <c r="V390" s="70" t="s">
        <v>935</v>
      </c>
      <c r="W390" s="47" t="n">
        <v>1</v>
      </c>
    </row>
    <row r="391" customFormat="false" ht="35.05" hidden="false" customHeight="false" outlineLevel="0" collapsed="false">
      <c r="A391" s="70" t="n">
        <v>381</v>
      </c>
      <c r="B391" s="20" t="s">
        <v>363</v>
      </c>
      <c r="C391" s="20" t="s">
        <v>878</v>
      </c>
      <c r="D391" s="20" t="s">
        <v>936</v>
      </c>
      <c r="E391" s="20" t="s">
        <v>937</v>
      </c>
      <c r="F391" s="70" t="s">
        <v>412</v>
      </c>
      <c r="G391" s="20" t="s">
        <v>938</v>
      </c>
      <c r="H391" s="49" t="n">
        <v>8</v>
      </c>
      <c r="I391" s="70" t="s">
        <v>403</v>
      </c>
      <c r="J391" s="70" t="s">
        <v>501</v>
      </c>
      <c r="K391" s="73" t="n">
        <v>1</v>
      </c>
      <c r="L391" s="49" t="n">
        <v>44</v>
      </c>
      <c r="M391" s="67" t="n">
        <v>1.24</v>
      </c>
      <c r="N391" s="68" t="n">
        <f aca="false">K391*L391*M391</f>
        <v>54.56</v>
      </c>
      <c r="O391" s="34" t="n">
        <f aca="false">IFERROR(INDEX(Исходные!$B$18:$B$30,MATCH(H391,Исходные!$A$18:$A$30,0)),0)</f>
        <v>0.395</v>
      </c>
      <c r="P391" s="74" t="n">
        <f aca="false">N391*O391</f>
        <v>21.5512</v>
      </c>
      <c r="Q391" s="20" t="s">
        <v>939</v>
      </c>
      <c r="R391" s="75" t="s">
        <v>371</v>
      </c>
      <c r="S391" s="20"/>
      <c r="T391" s="20" t="s">
        <v>73</v>
      </c>
      <c r="U391" s="47" t="n">
        <v>0</v>
      </c>
      <c r="V391" s="70" t="s">
        <v>935</v>
      </c>
      <c r="W391" s="47" t="n">
        <v>1</v>
      </c>
    </row>
    <row r="392" customFormat="false" ht="35.05" hidden="false" customHeight="false" outlineLevel="0" collapsed="false">
      <c r="A392" s="70" t="n">
        <v>382</v>
      </c>
      <c r="B392" s="20" t="s">
        <v>363</v>
      </c>
      <c r="C392" s="20" t="s">
        <v>878</v>
      </c>
      <c r="D392" s="20" t="s">
        <v>940</v>
      </c>
      <c r="E392" s="20" t="s">
        <v>941</v>
      </c>
      <c r="F392" s="70" t="s">
        <v>553</v>
      </c>
      <c r="G392" s="20" t="s">
        <v>942</v>
      </c>
      <c r="H392" s="49" t="n">
        <v>8</v>
      </c>
      <c r="I392" s="70" t="s">
        <v>403</v>
      </c>
      <c r="J392" s="70" t="s">
        <v>501</v>
      </c>
      <c r="K392" s="73" t="n">
        <v>1</v>
      </c>
      <c r="L392" s="49" t="n">
        <v>44</v>
      </c>
      <c r="M392" s="67" t="n">
        <v>1.44</v>
      </c>
      <c r="N392" s="68" t="n">
        <f aca="false">K392*L392*M392</f>
        <v>63.36</v>
      </c>
      <c r="O392" s="34" t="n">
        <f aca="false">IFERROR(INDEX(Исходные!$B$18:$B$30,MATCH(H392,Исходные!$A$18:$A$30,0)),0)</f>
        <v>0.395</v>
      </c>
      <c r="P392" s="74" t="n">
        <f aca="false">N392*O392</f>
        <v>25.0272</v>
      </c>
      <c r="Q392" s="20" t="s">
        <v>943</v>
      </c>
      <c r="R392" s="75" t="s">
        <v>371</v>
      </c>
      <c r="S392" s="20"/>
      <c r="T392" s="20" t="s">
        <v>73</v>
      </c>
      <c r="U392" s="47" t="n">
        <v>0</v>
      </c>
      <c r="V392" s="70" t="s">
        <v>935</v>
      </c>
      <c r="W392" s="47" t="n">
        <v>1</v>
      </c>
    </row>
    <row r="393" customFormat="false" ht="35.05" hidden="false" customHeight="false" outlineLevel="0" collapsed="false">
      <c r="A393" s="70" t="n">
        <v>383</v>
      </c>
      <c r="B393" s="20" t="s">
        <v>363</v>
      </c>
      <c r="C393" s="20" t="s">
        <v>878</v>
      </c>
      <c r="D393" s="20" t="s">
        <v>944</v>
      </c>
      <c r="E393" s="20" t="s">
        <v>945</v>
      </c>
      <c r="F393" s="70" t="s">
        <v>418</v>
      </c>
      <c r="G393" s="20" t="s">
        <v>946</v>
      </c>
      <c r="H393" s="49" t="n">
        <v>8</v>
      </c>
      <c r="I393" s="70" t="s">
        <v>403</v>
      </c>
      <c r="J393" s="70" t="s">
        <v>501</v>
      </c>
      <c r="K393" s="73" t="n">
        <v>1</v>
      </c>
      <c r="L393" s="49" t="n">
        <v>88</v>
      </c>
      <c r="M393" s="67" t="n">
        <v>1.04</v>
      </c>
      <c r="N393" s="68" t="n">
        <f aca="false">K393*L393*M393</f>
        <v>91.52</v>
      </c>
      <c r="O393" s="34" t="n">
        <f aca="false">IFERROR(INDEX(Исходные!$B$18:$B$30,MATCH(H393,Исходные!$A$18:$A$30,0)),0)</f>
        <v>0.395</v>
      </c>
      <c r="P393" s="74" t="n">
        <f aca="false">N393*O393</f>
        <v>36.1504</v>
      </c>
      <c r="Q393" s="20" t="s">
        <v>947</v>
      </c>
      <c r="R393" s="75" t="s">
        <v>371</v>
      </c>
      <c r="S393" s="20"/>
      <c r="T393" s="20" t="s">
        <v>73</v>
      </c>
      <c r="U393" s="47" t="n">
        <v>0</v>
      </c>
      <c r="V393" s="70" t="s">
        <v>935</v>
      </c>
      <c r="W393" s="47" t="n">
        <v>1</v>
      </c>
    </row>
    <row r="394" customFormat="false" ht="35.05" hidden="false" customHeight="false" outlineLevel="0" collapsed="false">
      <c r="A394" s="70" t="n">
        <v>384</v>
      </c>
      <c r="B394" s="20" t="s">
        <v>363</v>
      </c>
      <c r="C394" s="20" t="s">
        <v>878</v>
      </c>
      <c r="D394" s="20" t="s">
        <v>948</v>
      </c>
      <c r="E394" s="20" t="s">
        <v>949</v>
      </c>
      <c r="F394" s="70" t="s">
        <v>415</v>
      </c>
      <c r="G394" s="20" t="s">
        <v>950</v>
      </c>
      <c r="H394" s="49" t="n">
        <v>8</v>
      </c>
      <c r="I394" s="70" t="s">
        <v>403</v>
      </c>
      <c r="J394" s="70" t="s">
        <v>501</v>
      </c>
      <c r="K394" s="73" t="n">
        <v>1</v>
      </c>
      <c r="L394" s="49" t="n">
        <v>272</v>
      </c>
      <c r="M394" s="67" t="n">
        <v>1.14</v>
      </c>
      <c r="N394" s="68" t="n">
        <f aca="false">K394*L394*M394</f>
        <v>310.08</v>
      </c>
      <c r="O394" s="34" t="n">
        <f aca="false">IFERROR(INDEX(Исходные!$B$18:$B$30,MATCH(H394,Исходные!$A$18:$A$30,0)),0)</f>
        <v>0.395</v>
      </c>
      <c r="P394" s="74" t="n">
        <f aca="false">N394*O394</f>
        <v>122.4816</v>
      </c>
      <c r="Q394" s="20" t="s">
        <v>951</v>
      </c>
      <c r="R394" s="75" t="s">
        <v>371</v>
      </c>
      <c r="S394" s="20"/>
      <c r="T394" s="20" t="s">
        <v>73</v>
      </c>
      <c r="U394" s="47" t="n">
        <v>0</v>
      </c>
      <c r="V394" s="70" t="s">
        <v>935</v>
      </c>
      <c r="W394" s="47" t="n">
        <v>1</v>
      </c>
    </row>
    <row r="395" customFormat="false" ht="15" hidden="false" customHeight="true" outlineLevel="0" collapsed="false">
      <c r="A395" s="72" t="s">
        <v>952</v>
      </c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</row>
    <row r="396" customFormat="false" ht="35.05" hidden="false" customHeight="false" outlineLevel="0" collapsed="false">
      <c r="A396" s="70" t="n">
        <v>385</v>
      </c>
      <c r="B396" s="20" t="s">
        <v>363</v>
      </c>
      <c r="C396" s="20" t="s">
        <v>953</v>
      </c>
      <c r="D396" s="20" t="s">
        <v>954</v>
      </c>
      <c r="E396" s="20" t="s">
        <v>89</v>
      </c>
      <c r="F396" s="70" t="s">
        <v>366</v>
      </c>
      <c r="G396" s="20" t="s">
        <v>955</v>
      </c>
      <c r="H396" s="49" t="n">
        <v>10</v>
      </c>
      <c r="I396" s="70" t="s">
        <v>368</v>
      </c>
      <c r="J396" s="70" t="n">
        <v>90</v>
      </c>
      <c r="K396" s="73" t="n">
        <v>240</v>
      </c>
      <c r="L396" s="49" t="n">
        <v>7</v>
      </c>
      <c r="M396" s="67" t="n">
        <v>0.57</v>
      </c>
      <c r="N396" s="68" t="n">
        <f aca="false">K396*L396*M396</f>
        <v>957.6</v>
      </c>
      <c r="O396" s="34" t="n">
        <f aca="false">IFERROR(INDEX(Исходные!$B$18:$B$30,MATCH(H396,Исходные!$A$18:$A$30,0)),0)</f>
        <v>0.617</v>
      </c>
      <c r="P396" s="74" t="n">
        <f aca="false">N396*O396</f>
        <v>590.8392</v>
      </c>
      <c r="Q396" s="20" t="s">
        <v>956</v>
      </c>
      <c r="R396" s="76" t="s">
        <v>495</v>
      </c>
      <c r="S396" s="20"/>
      <c r="T396" s="20" t="s">
        <v>73</v>
      </c>
      <c r="U396" s="47" t="n">
        <v>1</v>
      </c>
      <c r="V396" s="70" t="s">
        <v>89</v>
      </c>
      <c r="W396" s="47" t="n">
        <v>1</v>
      </c>
    </row>
    <row r="397" customFormat="false" ht="15" hidden="false" customHeight="true" outlineLevel="0" collapsed="false">
      <c r="A397" s="72" t="s">
        <v>957</v>
      </c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</row>
    <row r="398" customFormat="false" ht="35.05" hidden="false" customHeight="false" outlineLevel="0" collapsed="false">
      <c r="A398" s="70" t="n">
        <v>386</v>
      </c>
      <c r="B398" s="20" t="s">
        <v>363</v>
      </c>
      <c r="C398" s="20" t="s">
        <v>958</v>
      </c>
      <c r="D398" s="20" t="s">
        <v>959</v>
      </c>
      <c r="E398" s="20" t="s">
        <v>960</v>
      </c>
      <c r="F398" s="70" t="s">
        <v>366</v>
      </c>
      <c r="G398" s="20" t="s">
        <v>961</v>
      </c>
      <c r="H398" s="49" t="n">
        <v>18</v>
      </c>
      <c r="I398" s="70" t="s">
        <v>368</v>
      </c>
      <c r="J398" s="70" t="n">
        <v>150</v>
      </c>
      <c r="K398" s="73" t="n">
        <v>1</v>
      </c>
      <c r="L398" s="49" t="n">
        <v>18</v>
      </c>
      <c r="M398" s="67" t="n">
        <v>5.93</v>
      </c>
      <c r="N398" s="68" t="n">
        <f aca="false">K398*L398*M398</f>
        <v>106.74</v>
      </c>
      <c r="O398" s="34" t="n">
        <f aca="false">IFERROR(INDEX(Исходные!$B$18:$B$30,MATCH(H398,Исходные!$A$18:$A$30,0)),0)</f>
        <v>1.998</v>
      </c>
      <c r="P398" s="74" t="n">
        <f aca="false">N398*O398</f>
        <v>213.26652</v>
      </c>
      <c r="Q398" s="20" t="s">
        <v>962</v>
      </c>
      <c r="R398" s="76" t="s">
        <v>392</v>
      </c>
      <c r="S398" s="20" t="s">
        <v>963</v>
      </c>
      <c r="T398" s="20" t="s">
        <v>74</v>
      </c>
      <c r="U398" s="47" t="n">
        <v>1</v>
      </c>
      <c r="V398" s="70" t="s">
        <v>90</v>
      </c>
      <c r="W398" s="47" t="n">
        <v>1</v>
      </c>
    </row>
    <row r="399" customFormat="false" ht="23.85" hidden="false" customHeight="false" outlineLevel="0" collapsed="false">
      <c r="A399" s="70" t="n">
        <v>387</v>
      </c>
      <c r="B399" s="20" t="s">
        <v>363</v>
      </c>
      <c r="C399" s="20" t="s">
        <v>958</v>
      </c>
      <c r="D399" s="20" t="s">
        <v>964</v>
      </c>
      <c r="E399" s="20" t="s">
        <v>960</v>
      </c>
      <c r="F399" s="70" t="s">
        <v>376</v>
      </c>
      <c r="G399" s="20" t="s">
        <v>965</v>
      </c>
      <c r="H399" s="49" t="n">
        <v>10</v>
      </c>
      <c r="I399" s="70" t="s">
        <v>368</v>
      </c>
      <c r="J399" s="70" t="s">
        <v>966</v>
      </c>
      <c r="K399" s="73" t="n">
        <v>1</v>
      </c>
      <c r="L399" s="49" t="n">
        <v>62</v>
      </c>
      <c r="M399" s="67" t="n">
        <v>1.19</v>
      </c>
      <c r="N399" s="68" t="n">
        <f aca="false">K399*L399*M399</f>
        <v>73.78</v>
      </c>
      <c r="O399" s="34" t="n">
        <f aca="false">IFERROR(INDEX(Исходные!$B$18:$B$30,MATCH(H399,Исходные!$A$18:$A$30,0)),0)</f>
        <v>0.617</v>
      </c>
      <c r="P399" s="74" t="n">
        <f aca="false">N399*O399</f>
        <v>45.52226</v>
      </c>
      <c r="Q399" s="20" t="s">
        <v>967</v>
      </c>
      <c r="R399" s="75" t="s">
        <v>371</v>
      </c>
      <c r="S399" s="20" t="s">
        <v>968</v>
      </c>
      <c r="T399" s="20" t="s">
        <v>74</v>
      </c>
      <c r="U399" s="47" t="n">
        <v>0</v>
      </c>
      <c r="V399" s="70" t="s">
        <v>90</v>
      </c>
      <c r="W399" s="47" t="n">
        <v>1</v>
      </c>
    </row>
    <row r="400" customFormat="false" ht="23.85" hidden="false" customHeight="false" outlineLevel="0" collapsed="false">
      <c r="A400" s="70" t="n">
        <v>388</v>
      </c>
      <c r="B400" s="20" t="s">
        <v>363</v>
      </c>
      <c r="C400" s="20" t="s">
        <v>958</v>
      </c>
      <c r="D400" s="20" t="s">
        <v>964</v>
      </c>
      <c r="E400" s="20" t="s">
        <v>960</v>
      </c>
      <c r="F400" s="70" t="s">
        <v>432</v>
      </c>
      <c r="G400" s="20" t="s">
        <v>969</v>
      </c>
      <c r="H400" s="49" t="n">
        <v>10</v>
      </c>
      <c r="I400" s="70" t="s">
        <v>403</v>
      </c>
      <c r="J400" s="70" t="s">
        <v>966</v>
      </c>
      <c r="K400" s="73" t="n">
        <v>1</v>
      </c>
      <c r="L400" s="49" t="n">
        <v>62</v>
      </c>
      <c r="M400" s="67" t="n">
        <v>0.52</v>
      </c>
      <c r="N400" s="68" t="n">
        <f aca="false">K400*L400*M400</f>
        <v>32.24</v>
      </c>
      <c r="O400" s="34" t="n">
        <f aca="false">IFERROR(INDEX(Исходные!$B$18:$B$30,MATCH(H400,Исходные!$A$18:$A$30,0)),0)</f>
        <v>0.617</v>
      </c>
      <c r="P400" s="74" t="n">
        <f aca="false">N400*O400</f>
        <v>19.89208</v>
      </c>
      <c r="Q400" s="20" t="s">
        <v>970</v>
      </c>
      <c r="R400" s="75" t="s">
        <v>371</v>
      </c>
      <c r="S400" s="20"/>
      <c r="T400" s="20" t="s">
        <v>74</v>
      </c>
      <c r="U400" s="47" t="n">
        <v>0</v>
      </c>
      <c r="V400" s="70" t="s">
        <v>90</v>
      </c>
      <c r="W400" s="47" t="n">
        <v>1</v>
      </c>
    </row>
    <row r="401" customFormat="false" ht="23.85" hidden="false" customHeight="false" outlineLevel="0" collapsed="false">
      <c r="A401" s="70" t="n">
        <v>389</v>
      </c>
      <c r="B401" s="20" t="s">
        <v>363</v>
      </c>
      <c r="C401" s="20" t="s">
        <v>958</v>
      </c>
      <c r="D401" s="20" t="s">
        <v>964</v>
      </c>
      <c r="E401" s="20" t="s">
        <v>960</v>
      </c>
      <c r="F401" s="70" t="s">
        <v>379</v>
      </c>
      <c r="G401" s="20" t="s">
        <v>971</v>
      </c>
      <c r="H401" s="49" t="n">
        <v>6</v>
      </c>
      <c r="I401" s="70" t="s">
        <v>403</v>
      </c>
      <c r="J401" s="70" t="s">
        <v>972</v>
      </c>
      <c r="K401" s="73" t="n">
        <v>1</v>
      </c>
      <c r="L401" s="49" t="n">
        <v>41</v>
      </c>
      <c r="M401" s="67" t="n">
        <v>0.28</v>
      </c>
      <c r="N401" s="68" t="n">
        <f aca="false">K401*L401*M401</f>
        <v>11.48</v>
      </c>
      <c r="O401" s="34" t="n">
        <f aca="false">IFERROR(INDEX(Исходные!$B$18:$B$30,MATCH(H401,Исходные!$A$18:$A$30,0)),0)</f>
        <v>0.222</v>
      </c>
      <c r="P401" s="74" t="n">
        <f aca="false">N401*O401</f>
        <v>2.54856</v>
      </c>
      <c r="Q401" s="20" t="s">
        <v>973</v>
      </c>
      <c r="R401" s="76" t="s">
        <v>495</v>
      </c>
      <c r="S401" s="20" t="s">
        <v>974</v>
      </c>
      <c r="T401" s="20" t="s">
        <v>74</v>
      </c>
      <c r="U401" s="47" t="n">
        <v>1</v>
      </c>
      <c r="V401" s="70" t="s">
        <v>90</v>
      </c>
      <c r="W401" s="47" t="n">
        <v>1</v>
      </c>
    </row>
    <row r="402" customFormat="false" ht="23.85" hidden="false" customHeight="false" outlineLevel="0" collapsed="false">
      <c r="A402" s="70" t="n">
        <v>390</v>
      </c>
      <c r="B402" s="20" t="s">
        <v>363</v>
      </c>
      <c r="C402" s="20" t="s">
        <v>958</v>
      </c>
      <c r="D402" s="20" t="s">
        <v>964</v>
      </c>
      <c r="E402" s="20" t="s">
        <v>960</v>
      </c>
      <c r="F402" s="70" t="s">
        <v>89</v>
      </c>
      <c r="G402" s="20" t="s">
        <v>975</v>
      </c>
      <c r="H402" s="49" t="n">
        <v>5</v>
      </c>
      <c r="I402" s="70" t="s">
        <v>976</v>
      </c>
      <c r="J402" s="70" t="s">
        <v>977</v>
      </c>
      <c r="K402" s="73" t="n">
        <v>6.9</v>
      </c>
      <c r="L402" s="49" t="n">
        <v>20</v>
      </c>
      <c r="M402" s="67" t="n">
        <v>1</v>
      </c>
      <c r="N402" s="68" t="n">
        <f aca="false">K402*L402*M402</f>
        <v>138</v>
      </c>
      <c r="O402" s="34" t="n">
        <f aca="false">IFERROR(INDEX(Исходные!$B$18:$B$30,MATCH(H402,Исходные!$A$18:$A$30,0)),0)</f>
        <v>0.154</v>
      </c>
      <c r="P402" s="74" t="n">
        <f aca="false">N402*O402</f>
        <v>21.252</v>
      </c>
      <c r="Q402" s="20" t="s">
        <v>978</v>
      </c>
      <c r="R402" s="76" t="s">
        <v>392</v>
      </c>
      <c r="S402" s="20" t="s">
        <v>979</v>
      </c>
      <c r="T402" s="20" t="s">
        <v>74</v>
      </c>
      <c r="U402" s="47" t="n">
        <v>1</v>
      </c>
      <c r="V402" s="70" t="s">
        <v>90</v>
      </c>
      <c r="W402" s="47" t="n">
        <v>1</v>
      </c>
    </row>
    <row r="403" customFormat="false" ht="35.05" hidden="false" customHeight="false" outlineLevel="0" collapsed="false">
      <c r="A403" s="70" t="n">
        <v>391</v>
      </c>
      <c r="B403" s="20" t="s">
        <v>363</v>
      </c>
      <c r="C403" s="20" t="s">
        <v>958</v>
      </c>
      <c r="D403" s="20" t="s">
        <v>959</v>
      </c>
      <c r="E403" s="20" t="s">
        <v>980</v>
      </c>
      <c r="F403" s="70" t="s">
        <v>366</v>
      </c>
      <c r="G403" s="20" t="s">
        <v>981</v>
      </c>
      <c r="H403" s="49" t="n">
        <v>18</v>
      </c>
      <c r="I403" s="70" t="s">
        <v>368</v>
      </c>
      <c r="J403" s="70" t="n">
        <v>150</v>
      </c>
      <c r="K403" s="73" t="n">
        <v>1</v>
      </c>
      <c r="L403" s="49" t="n">
        <v>18</v>
      </c>
      <c r="M403" s="67" t="n">
        <v>6.508</v>
      </c>
      <c r="N403" s="68" t="n">
        <f aca="false">K403*L403*M403</f>
        <v>117.144</v>
      </c>
      <c r="O403" s="34" t="n">
        <f aca="false">IFERROR(INDEX(Исходные!$B$18:$B$30,MATCH(H403,Исходные!$A$18:$A$30,0)),0)</f>
        <v>1.998</v>
      </c>
      <c r="P403" s="74" t="n">
        <f aca="false">N403*O403</f>
        <v>234.053712</v>
      </c>
      <c r="Q403" s="20" t="s">
        <v>962</v>
      </c>
      <c r="R403" s="76" t="s">
        <v>392</v>
      </c>
      <c r="S403" s="20" t="s">
        <v>982</v>
      </c>
      <c r="T403" s="20" t="s">
        <v>74</v>
      </c>
      <c r="U403" s="47" t="n">
        <v>1</v>
      </c>
      <c r="V403" s="70" t="s">
        <v>91</v>
      </c>
      <c r="W403" s="47" t="n">
        <v>1</v>
      </c>
    </row>
    <row r="404" customFormat="false" ht="23.85" hidden="false" customHeight="false" outlineLevel="0" collapsed="false">
      <c r="A404" s="70" t="n">
        <v>392</v>
      </c>
      <c r="B404" s="20" t="s">
        <v>363</v>
      </c>
      <c r="C404" s="20" t="s">
        <v>958</v>
      </c>
      <c r="D404" s="20" t="s">
        <v>964</v>
      </c>
      <c r="E404" s="20" t="s">
        <v>980</v>
      </c>
      <c r="F404" s="70" t="s">
        <v>376</v>
      </c>
      <c r="G404" s="20" t="s">
        <v>965</v>
      </c>
      <c r="H404" s="49" t="n">
        <v>10</v>
      </c>
      <c r="I404" s="70" t="s">
        <v>368</v>
      </c>
      <c r="J404" s="70" t="s">
        <v>966</v>
      </c>
      <c r="K404" s="73" t="n">
        <v>1</v>
      </c>
      <c r="L404" s="49" t="n">
        <v>64</v>
      </c>
      <c r="M404" s="67" t="n">
        <v>1.19</v>
      </c>
      <c r="N404" s="68" t="n">
        <f aca="false">K404*L404*M404</f>
        <v>76.16</v>
      </c>
      <c r="O404" s="34" t="n">
        <f aca="false">IFERROR(INDEX(Исходные!$B$18:$B$30,MATCH(H404,Исходные!$A$18:$A$30,0)),0)</f>
        <v>0.617</v>
      </c>
      <c r="P404" s="74" t="n">
        <f aca="false">N404*O404</f>
        <v>46.99072</v>
      </c>
      <c r="Q404" s="20" t="s">
        <v>967</v>
      </c>
      <c r="R404" s="75" t="s">
        <v>371</v>
      </c>
      <c r="S404" s="20" t="s">
        <v>983</v>
      </c>
      <c r="T404" s="20" t="s">
        <v>74</v>
      </c>
      <c r="U404" s="47" t="n">
        <v>0</v>
      </c>
      <c r="V404" s="70" t="s">
        <v>91</v>
      </c>
      <c r="W404" s="47" t="n">
        <v>1</v>
      </c>
    </row>
    <row r="405" customFormat="false" ht="23.85" hidden="false" customHeight="false" outlineLevel="0" collapsed="false">
      <c r="A405" s="70" t="n">
        <v>393</v>
      </c>
      <c r="B405" s="20" t="s">
        <v>363</v>
      </c>
      <c r="C405" s="20" t="s">
        <v>958</v>
      </c>
      <c r="D405" s="20" t="s">
        <v>964</v>
      </c>
      <c r="E405" s="20" t="s">
        <v>980</v>
      </c>
      <c r="F405" s="70" t="s">
        <v>432</v>
      </c>
      <c r="G405" s="20" t="s">
        <v>969</v>
      </c>
      <c r="H405" s="49" t="n">
        <v>10</v>
      </c>
      <c r="I405" s="70" t="s">
        <v>403</v>
      </c>
      <c r="J405" s="70" t="s">
        <v>966</v>
      </c>
      <c r="K405" s="73" t="n">
        <v>1</v>
      </c>
      <c r="L405" s="49" t="n">
        <v>64</v>
      </c>
      <c r="M405" s="67" t="n">
        <v>0.52</v>
      </c>
      <c r="N405" s="68" t="n">
        <f aca="false">K405*L405*M405</f>
        <v>33.28</v>
      </c>
      <c r="O405" s="34" t="n">
        <f aca="false">IFERROR(INDEX(Исходные!$B$18:$B$30,MATCH(H405,Исходные!$A$18:$A$30,0)),0)</f>
        <v>0.617</v>
      </c>
      <c r="P405" s="74" t="n">
        <f aca="false">N405*O405</f>
        <v>20.53376</v>
      </c>
      <c r="Q405" s="20" t="s">
        <v>970</v>
      </c>
      <c r="R405" s="75" t="s">
        <v>371</v>
      </c>
      <c r="S405" s="20"/>
      <c r="T405" s="20" t="s">
        <v>74</v>
      </c>
      <c r="U405" s="47" t="n">
        <v>0</v>
      </c>
      <c r="V405" s="70" t="s">
        <v>91</v>
      </c>
      <c r="W405" s="47" t="n">
        <v>1</v>
      </c>
    </row>
    <row r="406" customFormat="false" ht="23.85" hidden="false" customHeight="false" outlineLevel="0" collapsed="false">
      <c r="A406" s="70" t="n">
        <v>394</v>
      </c>
      <c r="B406" s="20" t="s">
        <v>363</v>
      </c>
      <c r="C406" s="20" t="s">
        <v>958</v>
      </c>
      <c r="D406" s="20" t="s">
        <v>964</v>
      </c>
      <c r="E406" s="20" t="s">
        <v>980</v>
      </c>
      <c r="F406" s="70" t="s">
        <v>379</v>
      </c>
      <c r="G406" s="20" t="s">
        <v>971</v>
      </c>
      <c r="H406" s="49" t="n">
        <v>6</v>
      </c>
      <c r="I406" s="70" t="s">
        <v>403</v>
      </c>
      <c r="J406" s="70" t="s">
        <v>972</v>
      </c>
      <c r="K406" s="73" t="n">
        <v>1</v>
      </c>
      <c r="L406" s="49" t="n">
        <v>42</v>
      </c>
      <c r="M406" s="67" t="n">
        <v>0.28</v>
      </c>
      <c r="N406" s="68" t="n">
        <f aca="false">K406*L406*M406</f>
        <v>11.76</v>
      </c>
      <c r="O406" s="34" t="n">
        <f aca="false">IFERROR(INDEX(Исходные!$B$18:$B$30,MATCH(H406,Исходные!$A$18:$A$30,0)),0)</f>
        <v>0.222</v>
      </c>
      <c r="P406" s="74" t="n">
        <f aca="false">N406*O406</f>
        <v>2.61072</v>
      </c>
      <c r="Q406" s="20" t="s">
        <v>973</v>
      </c>
      <c r="R406" s="76" t="s">
        <v>495</v>
      </c>
      <c r="S406" s="20" t="s">
        <v>984</v>
      </c>
      <c r="T406" s="20" t="s">
        <v>74</v>
      </c>
      <c r="U406" s="47" t="n">
        <v>1</v>
      </c>
      <c r="V406" s="70" t="s">
        <v>91</v>
      </c>
      <c r="W406" s="47" t="n">
        <v>1</v>
      </c>
    </row>
    <row r="407" customFormat="false" ht="23.85" hidden="false" customHeight="false" outlineLevel="0" collapsed="false">
      <c r="A407" s="70" t="n">
        <v>395</v>
      </c>
      <c r="B407" s="20" t="s">
        <v>363</v>
      </c>
      <c r="C407" s="20" t="s">
        <v>958</v>
      </c>
      <c r="D407" s="20" t="s">
        <v>964</v>
      </c>
      <c r="E407" s="20" t="s">
        <v>980</v>
      </c>
      <c r="F407" s="70" t="s">
        <v>89</v>
      </c>
      <c r="G407" s="20" t="s">
        <v>975</v>
      </c>
      <c r="H407" s="49" t="n">
        <v>5</v>
      </c>
      <c r="I407" s="70" t="s">
        <v>976</v>
      </c>
      <c r="J407" s="70" t="s">
        <v>977</v>
      </c>
      <c r="K407" s="73" t="n">
        <v>7.1</v>
      </c>
      <c r="L407" s="49" t="n">
        <v>20</v>
      </c>
      <c r="M407" s="67" t="n">
        <v>1</v>
      </c>
      <c r="N407" s="68" t="n">
        <f aca="false">K407*L407*M407</f>
        <v>142</v>
      </c>
      <c r="O407" s="34" t="n">
        <f aca="false">IFERROR(INDEX(Исходные!$B$18:$B$30,MATCH(H407,Исходные!$A$18:$A$30,0)),0)</f>
        <v>0.154</v>
      </c>
      <c r="P407" s="74" t="n">
        <f aca="false">N407*O407</f>
        <v>21.868</v>
      </c>
      <c r="Q407" s="20" t="s">
        <v>978</v>
      </c>
      <c r="R407" s="76" t="s">
        <v>392</v>
      </c>
      <c r="S407" s="20" t="s">
        <v>985</v>
      </c>
      <c r="T407" s="20" t="s">
        <v>74</v>
      </c>
      <c r="U407" s="47" t="n">
        <v>1</v>
      </c>
      <c r="V407" s="70" t="s">
        <v>91</v>
      </c>
      <c r="W407" s="47" t="n">
        <v>1</v>
      </c>
    </row>
    <row r="408" customFormat="false" ht="23.85" hidden="false" customHeight="false" outlineLevel="0" collapsed="false">
      <c r="A408" s="70" t="n">
        <v>396</v>
      </c>
      <c r="B408" s="20" t="s">
        <v>363</v>
      </c>
      <c r="C408" s="20" t="s">
        <v>958</v>
      </c>
      <c r="D408" s="20" t="s">
        <v>986</v>
      </c>
      <c r="E408" s="20" t="s">
        <v>987</v>
      </c>
      <c r="F408" s="70" t="s">
        <v>376</v>
      </c>
      <c r="G408" s="20" t="s">
        <v>988</v>
      </c>
      <c r="H408" s="49" t="n">
        <v>10</v>
      </c>
      <c r="I408" s="70" t="s">
        <v>368</v>
      </c>
      <c r="J408" s="70" t="n">
        <v>100</v>
      </c>
      <c r="K408" s="73" t="n">
        <v>2</v>
      </c>
      <c r="L408" s="49" t="n">
        <v>28</v>
      </c>
      <c r="M408" s="67" t="n">
        <v>1.19</v>
      </c>
      <c r="N408" s="68" t="n">
        <f aca="false">K408*L408*M408</f>
        <v>66.64</v>
      </c>
      <c r="O408" s="34" t="n">
        <f aca="false">IFERROR(INDEX(Исходные!$B$18:$B$30,MATCH(H408,Исходные!$A$18:$A$30,0)),0)</f>
        <v>0.617</v>
      </c>
      <c r="P408" s="74" t="n">
        <f aca="false">N408*O408</f>
        <v>41.11688</v>
      </c>
      <c r="Q408" s="20" t="s">
        <v>989</v>
      </c>
      <c r="R408" s="75" t="s">
        <v>371</v>
      </c>
      <c r="S408" s="20" t="s">
        <v>990</v>
      </c>
      <c r="T408" s="20" t="s">
        <v>74</v>
      </c>
      <c r="U408" s="47" t="n">
        <v>0</v>
      </c>
      <c r="V408" s="70" t="s">
        <v>991</v>
      </c>
      <c r="W408" s="47" t="n">
        <v>1</v>
      </c>
    </row>
    <row r="409" customFormat="false" ht="23.85" hidden="false" customHeight="false" outlineLevel="0" collapsed="false">
      <c r="A409" s="70" t="n">
        <v>397</v>
      </c>
      <c r="B409" s="20" t="s">
        <v>363</v>
      </c>
      <c r="C409" s="20" t="s">
        <v>958</v>
      </c>
      <c r="D409" s="20" t="s">
        <v>986</v>
      </c>
      <c r="E409" s="20" t="s">
        <v>987</v>
      </c>
      <c r="F409" s="70" t="s">
        <v>432</v>
      </c>
      <c r="G409" s="20" t="s">
        <v>992</v>
      </c>
      <c r="H409" s="49" t="n">
        <v>10</v>
      </c>
      <c r="I409" s="70" t="s">
        <v>403</v>
      </c>
      <c r="J409" s="70" t="n">
        <v>100</v>
      </c>
      <c r="K409" s="73" t="n">
        <v>2</v>
      </c>
      <c r="L409" s="49" t="n">
        <v>28</v>
      </c>
      <c r="M409" s="67" t="n">
        <v>0.52</v>
      </c>
      <c r="N409" s="68" t="n">
        <f aca="false">K409*L409*M409</f>
        <v>29.12</v>
      </c>
      <c r="O409" s="34" t="n">
        <f aca="false">IFERROR(INDEX(Исходные!$B$18:$B$30,MATCH(H409,Исходные!$A$18:$A$30,0)),0)</f>
        <v>0.617</v>
      </c>
      <c r="P409" s="74" t="n">
        <f aca="false">N409*O409</f>
        <v>17.96704</v>
      </c>
      <c r="Q409" s="20" t="s">
        <v>993</v>
      </c>
      <c r="R409" s="75" t="s">
        <v>371</v>
      </c>
      <c r="S409" s="20"/>
      <c r="T409" s="20" t="s">
        <v>74</v>
      </c>
      <c r="U409" s="47" t="n">
        <v>0</v>
      </c>
      <c r="V409" s="70" t="s">
        <v>991</v>
      </c>
      <c r="W409" s="47" t="n">
        <v>1</v>
      </c>
    </row>
    <row r="410" customFormat="false" ht="23.85" hidden="false" customHeight="false" outlineLevel="0" collapsed="false">
      <c r="A410" s="70" t="n">
        <v>398</v>
      </c>
      <c r="B410" s="20" t="s">
        <v>363</v>
      </c>
      <c r="C410" s="20" t="s">
        <v>958</v>
      </c>
      <c r="D410" s="20" t="s">
        <v>986</v>
      </c>
      <c r="E410" s="20" t="s">
        <v>987</v>
      </c>
      <c r="F410" s="70" t="s">
        <v>373</v>
      </c>
      <c r="G410" s="20" t="s">
        <v>994</v>
      </c>
      <c r="H410" s="49" t="n">
        <v>10</v>
      </c>
      <c r="I410" s="70" t="s">
        <v>368</v>
      </c>
      <c r="J410" s="70" t="n">
        <v>100</v>
      </c>
      <c r="K410" s="73" t="n">
        <v>1</v>
      </c>
      <c r="L410" s="49" t="n">
        <v>28</v>
      </c>
      <c r="M410" s="67" t="n">
        <v>0.6</v>
      </c>
      <c r="N410" s="68" t="n">
        <f aca="false">K410*L410*M410</f>
        <v>16.8</v>
      </c>
      <c r="O410" s="34" t="n">
        <f aca="false">IFERROR(INDEX(Исходные!$B$18:$B$30,MATCH(H410,Исходные!$A$18:$A$30,0)),0)</f>
        <v>0.617</v>
      </c>
      <c r="P410" s="74" t="n">
        <f aca="false">N410*O410</f>
        <v>10.3656</v>
      </c>
      <c r="Q410" s="20" t="s">
        <v>995</v>
      </c>
      <c r="R410" s="75" t="s">
        <v>371</v>
      </c>
      <c r="S410" s="20"/>
      <c r="T410" s="20" t="s">
        <v>74</v>
      </c>
      <c r="U410" s="47" t="n">
        <v>0</v>
      </c>
      <c r="V410" s="70" t="s">
        <v>991</v>
      </c>
      <c r="W410" s="47" t="n">
        <v>1</v>
      </c>
    </row>
    <row r="411" customFormat="false" ht="23.85" hidden="false" customHeight="false" outlineLevel="0" collapsed="false">
      <c r="A411" s="70" t="n">
        <v>399</v>
      </c>
      <c r="B411" s="20" t="s">
        <v>363</v>
      </c>
      <c r="C411" s="20" t="s">
        <v>958</v>
      </c>
      <c r="D411" s="20" t="s">
        <v>986</v>
      </c>
      <c r="E411" s="20" t="s">
        <v>987</v>
      </c>
      <c r="F411" s="70" t="s">
        <v>379</v>
      </c>
      <c r="G411" s="20" t="s">
        <v>996</v>
      </c>
      <c r="H411" s="49" t="n">
        <v>6</v>
      </c>
      <c r="I411" s="70" t="s">
        <v>403</v>
      </c>
      <c r="J411" s="70" t="s">
        <v>972</v>
      </c>
      <c r="K411" s="73" t="n">
        <v>1</v>
      </c>
      <c r="L411" s="49" t="n">
        <v>28</v>
      </c>
      <c r="M411" s="67" t="n">
        <v>0.28</v>
      </c>
      <c r="N411" s="68" t="n">
        <f aca="false">K411*L411*M411</f>
        <v>7.84</v>
      </c>
      <c r="O411" s="34" t="n">
        <f aca="false">IFERROR(INDEX(Исходные!$B$18:$B$30,MATCH(H411,Исходные!$A$18:$A$30,0)),0)</f>
        <v>0.222</v>
      </c>
      <c r="P411" s="74" t="n">
        <f aca="false">N411*O411</f>
        <v>1.74048</v>
      </c>
      <c r="Q411" s="20" t="s">
        <v>997</v>
      </c>
      <c r="R411" s="76" t="s">
        <v>495</v>
      </c>
      <c r="S411" s="20" t="s">
        <v>998</v>
      </c>
      <c r="T411" s="20" t="s">
        <v>74</v>
      </c>
      <c r="U411" s="47" t="n">
        <v>1</v>
      </c>
      <c r="V411" s="70" t="s">
        <v>991</v>
      </c>
      <c r="W411" s="47" t="n">
        <v>1</v>
      </c>
    </row>
    <row r="412" customFormat="false" ht="23.85" hidden="false" customHeight="false" outlineLevel="0" collapsed="false">
      <c r="A412" s="70" t="n">
        <v>400</v>
      </c>
      <c r="B412" s="20" t="s">
        <v>363</v>
      </c>
      <c r="C412" s="20" t="s">
        <v>958</v>
      </c>
      <c r="D412" s="20" t="s">
        <v>986</v>
      </c>
      <c r="E412" s="20" t="s">
        <v>987</v>
      </c>
      <c r="F412" s="70" t="s">
        <v>999</v>
      </c>
      <c r="G412" s="20" t="s">
        <v>1000</v>
      </c>
      <c r="H412" s="49" t="n">
        <v>10</v>
      </c>
      <c r="I412" s="70" t="s">
        <v>368</v>
      </c>
      <c r="J412" s="70" t="s">
        <v>369</v>
      </c>
      <c r="K412" s="73" t="n">
        <v>2</v>
      </c>
      <c r="L412" s="49" t="n">
        <v>4</v>
      </c>
      <c r="M412" s="67" t="n">
        <v>0.48</v>
      </c>
      <c r="N412" s="68" t="n">
        <f aca="false">K412*L412*M412</f>
        <v>3.84</v>
      </c>
      <c r="O412" s="34" t="n">
        <f aca="false">IFERROR(INDEX(Исходные!$B$18:$B$30,MATCH(H412,Исходные!$A$18:$A$30,0)),0)</f>
        <v>0.617</v>
      </c>
      <c r="P412" s="74" t="n">
        <f aca="false">N412*O412</f>
        <v>2.36928</v>
      </c>
      <c r="Q412" s="20" t="s">
        <v>1001</v>
      </c>
      <c r="R412" s="76" t="s">
        <v>495</v>
      </c>
      <c r="S412" s="20" t="s">
        <v>1002</v>
      </c>
      <c r="T412" s="20" t="s">
        <v>74</v>
      </c>
      <c r="U412" s="47" t="n">
        <v>1</v>
      </c>
      <c r="V412" s="70" t="s">
        <v>991</v>
      </c>
      <c r="W412" s="47" t="n">
        <v>1</v>
      </c>
    </row>
    <row r="413" customFormat="false" ht="23.85" hidden="false" customHeight="false" outlineLevel="0" collapsed="false">
      <c r="A413" s="70" t="n">
        <v>401</v>
      </c>
      <c r="B413" s="20" t="s">
        <v>363</v>
      </c>
      <c r="C413" s="20" t="s">
        <v>958</v>
      </c>
      <c r="D413" s="20" t="s">
        <v>1003</v>
      </c>
      <c r="E413" s="20" t="s">
        <v>117</v>
      </c>
      <c r="F413" s="70" t="s">
        <v>366</v>
      </c>
      <c r="G413" s="20" t="s">
        <v>1004</v>
      </c>
      <c r="H413" s="49" t="n">
        <v>25</v>
      </c>
      <c r="I413" s="70" t="s">
        <v>368</v>
      </c>
      <c r="J413" s="70" t="s">
        <v>369</v>
      </c>
      <c r="K413" s="73" t="n">
        <v>1</v>
      </c>
      <c r="L413" s="49" t="n">
        <v>4</v>
      </c>
      <c r="M413" s="67" t="n">
        <v>3.065</v>
      </c>
      <c r="N413" s="68" t="n">
        <f aca="false">K413*L413*M413</f>
        <v>12.26</v>
      </c>
      <c r="O413" s="34" t="n">
        <f aca="false">IFERROR(INDEX(Исходные!$B$18:$B$30,MATCH(H413,Исходные!$A$18:$A$30,0)),0)</f>
        <v>3.853</v>
      </c>
      <c r="P413" s="74" t="n">
        <f aca="false">N413*O413</f>
        <v>47.23778</v>
      </c>
      <c r="Q413" s="20" t="s">
        <v>1005</v>
      </c>
      <c r="R413" s="76" t="s">
        <v>392</v>
      </c>
      <c r="S413" s="20" t="s">
        <v>1006</v>
      </c>
      <c r="T413" s="20" t="s">
        <v>74</v>
      </c>
      <c r="U413" s="47" t="n">
        <v>1</v>
      </c>
      <c r="V413" s="70" t="s">
        <v>1007</v>
      </c>
      <c r="W413" s="47" t="n">
        <v>1</v>
      </c>
    </row>
    <row r="414" customFormat="false" ht="23.85" hidden="false" customHeight="false" outlineLevel="0" collapsed="false">
      <c r="A414" s="70" t="n">
        <v>402</v>
      </c>
      <c r="B414" s="20" t="s">
        <v>363</v>
      </c>
      <c r="C414" s="20" t="s">
        <v>958</v>
      </c>
      <c r="D414" s="20" t="s">
        <v>1003</v>
      </c>
      <c r="E414" s="20" t="s">
        <v>117</v>
      </c>
      <c r="F414" s="70" t="s">
        <v>366</v>
      </c>
      <c r="G414" s="20" t="s">
        <v>1008</v>
      </c>
      <c r="H414" s="49" t="n">
        <v>25</v>
      </c>
      <c r="I414" s="70" t="s">
        <v>368</v>
      </c>
      <c r="J414" s="70" t="s">
        <v>369</v>
      </c>
      <c r="K414" s="73" t="n">
        <v>1</v>
      </c>
      <c r="L414" s="49" t="n">
        <v>4</v>
      </c>
      <c r="M414" s="67" t="n">
        <v>2.28</v>
      </c>
      <c r="N414" s="68" t="n">
        <f aca="false">K414*L414*M414</f>
        <v>9.12</v>
      </c>
      <c r="O414" s="34" t="n">
        <f aca="false">IFERROR(INDEX(Исходные!$B$18:$B$30,MATCH(H414,Исходные!$A$18:$A$30,0)),0)</f>
        <v>3.853</v>
      </c>
      <c r="P414" s="74" t="n">
        <f aca="false">N414*O414</f>
        <v>35.13936</v>
      </c>
      <c r="Q414" s="20" t="s">
        <v>1009</v>
      </c>
      <c r="R414" s="76" t="s">
        <v>392</v>
      </c>
      <c r="S414" s="20" t="s">
        <v>1010</v>
      </c>
      <c r="T414" s="20" t="s">
        <v>74</v>
      </c>
      <c r="U414" s="47" t="n">
        <v>1</v>
      </c>
      <c r="V414" s="70" t="s">
        <v>1007</v>
      </c>
      <c r="W414" s="47" t="n">
        <v>1</v>
      </c>
    </row>
    <row r="415" customFormat="false" ht="23.85" hidden="false" customHeight="false" outlineLevel="0" collapsed="false">
      <c r="A415" s="70" t="n">
        <v>403</v>
      </c>
      <c r="B415" s="20" t="s">
        <v>363</v>
      </c>
      <c r="C415" s="20" t="s">
        <v>958</v>
      </c>
      <c r="D415" s="20" t="s">
        <v>1011</v>
      </c>
      <c r="E415" s="20" t="s">
        <v>117</v>
      </c>
      <c r="F415" s="70" t="s">
        <v>1012</v>
      </c>
      <c r="G415" s="20" t="s">
        <v>1013</v>
      </c>
      <c r="H415" s="49" t="n">
        <v>8</v>
      </c>
      <c r="I415" s="70" t="s">
        <v>403</v>
      </c>
      <c r="J415" s="70" t="n">
        <v>100</v>
      </c>
      <c r="K415" s="73" t="n">
        <v>1</v>
      </c>
      <c r="L415" s="49" t="n">
        <v>15</v>
      </c>
      <c r="M415" s="67" t="n">
        <v>1.28</v>
      </c>
      <c r="N415" s="68" t="n">
        <f aca="false">K415*L415*M415</f>
        <v>19.2</v>
      </c>
      <c r="O415" s="34" t="n">
        <f aca="false">IFERROR(INDEX(Исходные!$B$18:$B$30,MATCH(H415,Исходные!$A$18:$A$30,0)),0)</f>
        <v>0.395</v>
      </c>
      <c r="P415" s="74" t="n">
        <f aca="false">N415*O415</f>
        <v>7.584</v>
      </c>
      <c r="Q415" s="20" t="s">
        <v>1014</v>
      </c>
      <c r="R415" s="75" t="s">
        <v>371</v>
      </c>
      <c r="S415" s="20"/>
      <c r="T415" s="20" t="s">
        <v>74</v>
      </c>
      <c r="U415" s="47" t="n">
        <v>0</v>
      </c>
      <c r="V415" s="70" t="s">
        <v>1007</v>
      </c>
      <c r="W415" s="47" t="n">
        <v>1</v>
      </c>
    </row>
    <row r="416" customFormat="false" ht="23.85" hidden="false" customHeight="false" outlineLevel="0" collapsed="false">
      <c r="A416" s="70" t="n">
        <v>404</v>
      </c>
      <c r="B416" s="20" t="s">
        <v>363</v>
      </c>
      <c r="C416" s="20" t="s">
        <v>958</v>
      </c>
      <c r="D416" s="20" t="s">
        <v>1011</v>
      </c>
      <c r="E416" s="20" t="s">
        <v>117</v>
      </c>
      <c r="F416" s="70" t="s">
        <v>1015</v>
      </c>
      <c r="G416" s="20" t="s">
        <v>1016</v>
      </c>
      <c r="H416" s="49" t="n">
        <v>8</v>
      </c>
      <c r="I416" s="70" t="s">
        <v>403</v>
      </c>
      <c r="J416" s="70" t="n">
        <v>100</v>
      </c>
      <c r="K416" s="73" t="n">
        <v>1</v>
      </c>
      <c r="L416" s="49" t="n">
        <v>22</v>
      </c>
      <c r="M416" s="67" t="n">
        <v>1.16</v>
      </c>
      <c r="N416" s="68" t="n">
        <f aca="false">K416*L416*M416</f>
        <v>25.52</v>
      </c>
      <c r="O416" s="34" t="n">
        <f aca="false">IFERROR(INDEX(Исходные!$B$18:$B$30,MATCH(H416,Исходные!$A$18:$A$30,0)),0)</f>
        <v>0.395</v>
      </c>
      <c r="P416" s="74" t="n">
        <f aca="false">N416*O416</f>
        <v>10.0804</v>
      </c>
      <c r="Q416" s="20" t="s">
        <v>1017</v>
      </c>
      <c r="R416" s="75" t="s">
        <v>371</v>
      </c>
      <c r="S416" s="20"/>
      <c r="T416" s="20" t="s">
        <v>74</v>
      </c>
      <c r="U416" s="47" t="n">
        <v>0</v>
      </c>
      <c r="V416" s="70" t="s">
        <v>1007</v>
      </c>
      <c r="W416" s="47" t="n">
        <v>1</v>
      </c>
    </row>
    <row r="417" customFormat="false" ht="23.85" hidden="false" customHeight="false" outlineLevel="0" collapsed="false">
      <c r="A417" s="70" t="n">
        <v>405</v>
      </c>
      <c r="B417" s="20" t="s">
        <v>363</v>
      </c>
      <c r="C417" s="20" t="s">
        <v>958</v>
      </c>
      <c r="D417" s="20" t="s">
        <v>1011</v>
      </c>
      <c r="E417" s="20" t="s">
        <v>117</v>
      </c>
      <c r="F417" s="70" t="s">
        <v>1018</v>
      </c>
      <c r="G417" s="20" t="s">
        <v>1019</v>
      </c>
      <c r="H417" s="49" t="n">
        <v>16</v>
      </c>
      <c r="I417" s="70" t="s">
        <v>403</v>
      </c>
      <c r="J417" s="70" t="s">
        <v>369</v>
      </c>
      <c r="K417" s="73" t="n">
        <v>1</v>
      </c>
      <c r="L417" s="49" t="n">
        <v>2</v>
      </c>
      <c r="M417" s="67" t="n">
        <v>0.42</v>
      </c>
      <c r="N417" s="68" t="n">
        <f aca="false">K417*L417*M417</f>
        <v>0.84</v>
      </c>
      <c r="O417" s="34" t="n">
        <f aca="false">IFERROR(INDEX(Исходные!$B$18:$B$30,MATCH(H417,Исходные!$A$18:$A$30,0)),0)</f>
        <v>1.578</v>
      </c>
      <c r="P417" s="74" t="n">
        <f aca="false">N417*O417</f>
        <v>1.32552</v>
      </c>
      <c r="Q417" s="20" t="s">
        <v>1020</v>
      </c>
      <c r="R417" s="76" t="s">
        <v>495</v>
      </c>
      <c r="S417" s="20" t="s">
        <v>1021</v>
      </c>
      <c r="T417" s="20" t="s">
        <v>74</v>
      </c>
      <c r="U417" s="47" t="n">
        <v>1</v>
      </c>
      <c r="V417" s="70" t="s">
        <v>1007</v>
      </c>
      <c r="W417" s="47" t="n">
        <v>1</v>
      </c>
    </row>
    <row r="418" customFormat="false" ht="15" hidden="false" customHeight="true" outlineLevel="0" collapsed="false">
      <c r="A418" s="71" t="s">
        <v>1022</v>
      </c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</row>
    <row r="419" customFormat="false" ht="15" hidden="false" customHeight="true" outlineLevel="0" collapsed="false">
      <c r="A419" s="72" t="s">
        <v>1023</v>
      </c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</row>
    <row r="420" customFormat="false" ht="35.05" hidden="false" customHeight="false" outlineLevel="0" collapsed="false">
      <c r="A420" s="70" t="n">
        <v>406</v>
      </c>
      <c r="B420" s="20" t="s">
        <v>1024</v>
      </c>
      <c r="C420" s="20" t="s">
        <v>364</v>
      </c>
      <c r="D420" s="20" t="s">
        <v>365</v>
      </c>
      <c r="E420" s="20" t="s">
        <v>97</v>
      </c>
      <c r="F420" s="70" t="s">
        <v>376</v>
      </c>
      <c r="G420" s="20" t="s">
        <v>1025</v>
      </c>
      <c r="H420" s="49" t="n">
        <v>28</v>
      </c>
      <c r="I420" s="70" t="s">
        <v>368</v>
      </c>
      <c r="J420" s="70" t="s">
        <v>369</v>
      </c>
      <c r="K420" s="73" t="n">
        <v>1</v>
      </c>
      <c r="L420" s="49" t="n">
        <v>4</v>
      </c>
      <c r="M420" s="67" t="n">
        <v>3.6</v>
      </c>
      <c r="N420" s="68" t="n">
        <f aca="false">K420*L420*M420</f>
        <v>14.4</v>
      </c>
      <c r="O420" s="34" t="n">
        <f aca="false">IFERROR(INDEX(Исходные!$B$18:$B$30,MATCH(H420,Исходные!$A$18:$A$30,0)),0)</f>
        <v>4.834</v>
      </c>
      <c r="P420" s="74" t="n">
        <f aca="false">N420*O420</f>
        <v>69.6096</v>
      </c>
      <c r="Q420" s="20" t="s">
        <v>1026</v>
      </c>
      <c r="R420" s="75" t="s">
        <v>371</v>
      </c>
      <c r="S420" s="20" t="s">
        <v>1027</v>
      </c>
      <c r="T420" s="20" t="s">
        <v>9</v>
      </c>
      <c r="U420" s="47" t="n">
        <v>0</v>
      </c>
      <c r="V420" s="70" t="s">
        <v>97</v>
      </c>
      <c r="W420" s="47" t="n">
        <v>2</v>
      </c>
    </row>
    <row r="421" customFormat="false" ht="35.05" hidden="false" customHeight="false" outlineLevel="0" collapsed="false">
      <c r="A421" s="70" t="n">
        <v>407</v>
      </c>
      <c r="B421" s="20" t="s">
        <v>1024</v>
      </c>
      <c r="C421" s="20" t="s">
        <v>364</v>
      </c>
      <c r="D421" s="20" t="s">
        <v>365</v>
      </c>
      <c r="E421" s="20" t="s">
        <v>97</v>
      </c>
      <c r="F421" s="70" t="s">
        <v>373</v>
      </c>
      <c r="G421" s="20" t="s">
        <v>1028</v>
      </c>
      <c r="H421" s="49" t="n">
        <v>20</v>
      </c>
      <c r="I421" s="70" t="s">
        <v>368</v>
      </c>
      <c r="J421" s="70" t="s">
        <v>369</v>
      </c>
      <c r="K421" s="73" t="n">
        <v>1</v>
      </c>
      <c r="L421" s="49" t="n">
        <v>8</v>
      </c>
      <c r="M421" s="67" t="n">
        <v>3.6</v>
      </c>
      <c r="N421" s="68" t="n">
        <f aca="false">K421*L421*M421</f>
        <v>28.8</v>
      </c>
      <c r="O421" s="34" t="n">
        <f aca="false">IFERROR(INDEX(Исходные!$B$18:$B$30,MATCH(H421,Исходные!$A$18:$A$30,0)),0)</f>
        <v>2.466</v>
      </c>
      <c r="P421" s="74" t="n">
        <f aca="false">N421*O421</f>
        <v>71.0208</v>
      </c>
      <c r="Q421" s="20" t="s">
        <v>1026</v>
      </c>
      <c r="R421" s="75" t="s">
        <v>371</v>
      </c>
      <c r="S421" s="20" t="s">
        <v>1029</v>
      </c>
      <c r="T421" s="20" t="s">
        <v>9</v>
      </c>
      <c r="U421" s="47" t="n">
        <v>0</v>
      </c>
      <c r="V421" s="70" t="s">
        <v>97</v>
      </c>
      <c r="W421" s="47" t="n">
        <v>2</v>
      </c>
    </row>
    <row r="422" customFormat="false" ht="35.05" hidden="false" customHeight="false" outlineLevel="0" collapsed="false">
      <c r="A422" s="70" t="n">
        <v>408</v>
      </c>
      <c r="B422" s="20" t="s">
        <v>1024</v>
      </c>
      <c r="C422" s="20" t="s">
        <v>364</v>
      </c>
      <c r="D422" s="20" t="s">
        <v>365</v>
      </c>
      <c r="E422" s="20" t="s">
        <v>97</v>
      </c>
      <c r="F422" s="70" t="s">
        <v>379</v>
      </c>
      <c r="G422" s="20" t="s">
        <v>1030</v>
      </c>
      <c r="H422" s="49" t="n">
        <v>25</v>
      </c>
      <c r="I422" s="70" t="s">
        <v>368</v>
      </c>
      <c r="J422" s="70" t="s">
        <v>369</v>
      </c>
      <c r="K422" s="73" t="n">
        <v>1</v>
      </c>
      <c r="L422" s="49" t="n">
        <v>12</v>
      </c>
      <c r="M422" s="67" t="n">
        <v>3.6</v>
      </c>
      <c r="N422" s="68" t="n">
        <f aca="false">K422*L422*M422</f>
        <v>43.2</v>
      </c>
      <c r="O422" s="34" t="n">
        <f aca="false">IFERROR(INDEX(Исходные!$B$18:$B$30,MATCH(H422,Исходные!$A$18:$A$30,0)),0)</f>
        <v>3.853</v>
      </c>
      <c r="P422" s="74" t="n">
        <f aca="false">N422*O422</f>
        <v>166.4496</v>
      </c>
      <c r="Q422" s="20" t="s">
        <v>1026</v>
      </c>
      <c r="R422" s="75" t="s">
        <v>371</v>
      </c>
      <c r="S422" s="20" t="s">
        <v>1031</v>
      </c>
      <c r="T422" s="20" t="s">
        <v>9</v>
      </c>
      <c r="U422" s="47" t="n">
        <v>0</v>
      </c>
      <c r="V422" s="70" t="s">
        <v>97</v>
      </c>
      <c r="W422" s="47" t="n">
        <v>2</v>
      </c>
    </row>
    <row r="423" customFormat="false" ht="35.05" hidden="false" customHeight="false" outlineLevel="0" collapsed="false">
      <c r="A423" s="70" t="n">
        <v>409</v>
      </c>
      <c r="B423" s="20" t="s">
        <v>1024</v>
      </c>
      <c r="C423" s="20" t="s">
        <v>364</v>
      </c>
      <c r="D423" s="20" t="s">
        <v>365</v>
      </c>
      <c r="E423" s="20" t="s">
        <v>97</v>
      </c>
      <c r="F423" s="70" t="s">
        <v>386</v>
      </c>
      <c r="G423" s="20" t="s">
        <v>1032</v>
      </c>
      <c r="H423" s="49" t="n">
        <v>16</v>
      </c>
      <c r="I423" s="70" t="s">
        <v>368</v>
      </c>
      <c r="J423" s="70" t="s">
        <v>369</v>
      </c>
      <c r="K423" s="73" t="n">
        <v>1</v>
      </c>
      <c r="L423" s="49" t="n">
        <v>8</v>
      </c>
      <c r="M423" s="67" t="n">
        <v>3.728</v>
      </c>
      <c r="N423" s="68" t="n">
        <f aca="false">K423*L423*M423</f>
        <v>29.824</v>
      </c>
      <c r="O423" s="34" t="n">
        <f aca="false">IFERROR(INDEX(Исходные!$B$18:$B$30,MATCH(H423,Исходные!$A$18:$A$30,0)),0)</f>
        <v>1.578</v>
      </c>
      <c r="P423" s="74" t="n">
        <f aca="false">N423*O423</f>
        <v>47.062272</v>
      </c>
      <c r="Q423" s="20" t="s">
        <v>1026</v>
      </c>
      <c r="R423" s="75" t="s">
        <v>371</v>
      </c>
      <c r="S423" s="20" t="s">
        <v>1033</v>
      </c>
      <c r="T423" s="20" t="s">
        <v>9</v>
      </c>
      <c r="U423" s="47" t="n">
        <v>0</v>
      </c>
      <c r="V423" s="70" t="s">
        <v>97</v>
      </c>
      <c r="W423" s="47" t="n">
        <v>2</v>
      </c>
    </row>
    <row r="424" customFormat="false" ht="35.05" hidden="false" customHeight="false" outlineLevel="0" collapsed="false">
      <c r="A424" s="70" t="n">
        <v>410</v>
      </c>
      <c r="B424" s="20" t="s">
        <v>1024</v>
      </c>
      <c r="C424" s="20" t="s">
        <v>364</v>
      </c>
      <c r="D424" s="20" t="s">
        <v>365</v>
      </c>
      <c r="E424" s="20" t="s">
        <v>97</v>
      </c>
      <c r="F424" s="70" t="s">
        <v>379</v>
      </c>
      <c r="G424" s="20" t="s">
        <v>1034</v>
      </c>
      <c r="H424" s="49" t="n">
        <v>25</v>
      </c>
      <c r="I424" s="70" t="s">
        <v>368</v>
      </c>
      <c r="J424" s="70" t="s">
        <v>369</v>
      </c>
      <c r="K424" s="73" t="n">
        <v>1</v>
      </c>
      <c r="L424" s="49" t="n">
        <v>6</v>
      </c>
      <c r="M424" s="67" t="n">
        <v>3.6</v>
      </c>
      <c r="N424" s="68" t="n">
        <f aca="false">K424*L424*M424</f>
        <v>21.6</v>
      </c>
      <c r="O424" s="34" t="n">
        <f aca="false">IFERROR(INDEX(Исходные!$B$18:$B$30,MATCH(H424,Исходные!$A$18:$A$30,0)),0)</f>
        <v>3.853</v>
      </c>
      <c r="P424" s="74" t="n">
        <f aca="false">N424*O424</f>
        <v>83.2248</v>
      </c>
      <c r="Q424" s="20" t="s">
        <v>1026</v>
      </c>
      <c r="R424" s="75" t="s">
        <v>371</v>
      </c>
      <c r="S424" s="20" t="s">
        <v>1035</v>
      </c>
      <c r="T424" s="20" t="s">
        <v>9</v>
      </c>
      <c r="U424" s="47" t="n">
        <v>0</v>
      </c>
      <c r="V424" s="70" t="s">
        <v>97</v>
      </c>
      <c r="W424" s="47" t="n">
        <v>2</v>
      </c>
    </row>
    <row r="425" customFormat="false" ht="35.05" hidden="false" customHeight="false" outlineLevel="0" collapsed="false">
      <c r="A425" s="70" t="n">
        <v>411</v>
      </c>
      <c r="B425" s="20" t="s">
        <v>1024</v>
      </c>
      <c r="C425" s="20" t="s">
        <v>364</v>
      </c>
      <c r="D425" s="20" t="s">
        <v>365</v>
      </c>
      <c r="E425" s="20" t="s">
        <v>97</v>
      </c>
      <c r="F425" s="70" t="s">
        <v>386</v>
      </c>
      <c r="G425" s="20" t="s">
        <v>1036</v>
      </c>
      <c r="H425" s="49" t="n">
        <v>16</v>
      </c>
      <c r="I425" s="70" t="s">
        <v>368</v>
      </c>
      <c r="J425" s="70" t="s">
        <v>369</v>
      </c>
      <c r="K425" s="73" t="n">
        <v>1</v>
      </c>
      <c r="L425" s="49" t="n">
        <v>4</v>
      </c>
      <c r="M425" s="67" t="n">
        <v>3.728</v>
      </c>
      <c r="N425" s="68" t="n">
        <f aca="false">K425*L425*M425</f>
        <v>14.912</v>
      </c>
      <c r="O425" s="34" t="n">
        <f aca="false">IFERROR(INDEX(Исходные!$B$18:$B$30,MATCH(H425,Исходные!$A$18:$A$30,0)),0)</f>
        <v>1.578</v>
      </c>
      <c r="P425" s="74" t="n">
        <f aca="false">N425*O425</f>
        <v>23.531136</v>
      </c>
      <c r="Q425" s="20" t="s">
        <v>1026</v>
      </c>
      <c r="R425" s="75" t="s">
        <v>371</v>
      </c>
      <c r="S425" s="20" t="s">
        <v>1037</v>
      </c>
      <c r="T425" s="20" t="s">
        <v>9</v>
      </c>
      <c r="U425" s="47" t="n">
        <v>0</v>
      </c>
      <c r="V425" s="70" t="s">
        <v>97</v>
      </c>
      <c r="W425" s="47" t="n">
        <v>2</v>
      </c>
    </row>
    <row r="426" customFormat="false" ht="35.05" hidden="false" customHeight="false" outlineLevel="0" collapsed="false">
      <c r="A426" s="70" t="n">
        <v>412</v>
      </c>
      <c r="B426" s="20" t="s">
        <v>1024</v>
      </c>
      <c r="C426" s="20" t="s">
        <v>364</v>
      </c>
      <c r="D426" s="20" t="s">
        <v>365</v>
      </c>
      <c r="E426" s="20" t="s">
        <v>97</v>
      </c>
      <c r="F426" s="70" t="s">
        <v>526</v>
      </c>
      <c r="G426" s="20" t="s">
        <v>1038</v>
      </c>
      <c r="H426" s="49" t="n">
        <v>14</v>
      </c>
      <c r="I426" s="70" t="s">
        <v>368</v>
      </c>
      <c r="J426" s="70" t="s">
        <v>369</v>
      </c>
      <c r="K426" s="73" t="n">
        <v>1</v>
      </c>
      <c r="L426" s="49" t="n">
        <v>8</v>
      </c>
      <c r="M426" s="67" t="n">
        <v>3.712</v>
      </c>
      <c r="N426" s="68" t="n">
        <f aca="false">K426*L426*M426</f>
        <v>29.696</v>
      </c>
      <c r="O426" s="34" t="n">
        <f aca="false">IFERROR(INDEX(Исходные!$B$18:$B$30,MATCH(H426,Исходные!$A$18:$A$30,0)),0)</f>
        <v>1.208</v>
      </c>
      <c r="P426" s="74" t="n">
        <f aca="false">N426*O426</f>
        <v>35.872768</v>
      </c>
      <c r="Q426" s="20" t="s">
        <v>1026</v>
      </c>
      <c r="R426" s="75" t="s">
        <v>371</v>
      </c>
      <c r="S426" s="20" t="s">
        <v>1039</v>
      </c>
      <c r="T426" s="20" t="s">
        <v>9</v>
      </c>
      <c r="U426" s="47" t="n">
        <v>0</v>
      </c>
      <c r="V426" s="70" t="s">
        <v>97</v>
      </c>
      <c r="W426" s="47" t="n">
        <v>2</v>
      </c>
    </row>
    <row r="427" customFormat="false" ht="35.05" hidden="false" customHeight="false" outlineLevel="0" collapsed="false">
      <c r="A427" s="70" t="n">
        <v>413</v>
      </c>
      <c r="B427" s="20" t="s">
        <v>1024</v>
      </c>
      <c r="C427" s="20" t="s">
        <v>364</v>
      </c>
      <c r="D427" s="20" t="s">
        <v>365</v>
      </c>
      <c r="E427" s="20" t="s">
        <v>97</v>
      </c>
      <c r="F427" s="70" t="s">
        <v>389</v>
      </c>
      <c r="G427" s="20" t="s">
        <v>390</v>
      </c>
      <c r="H427" s="49" t="n">
        <v>14</v>
      </c>
      <c r="I427" s="70" t="s">
        <v>368</v>
      </c>
      <c r="J427" s="70" t="n">
        <v>200</v>
      </c>
      <c r="K427" s="73" t="n">
        <v>1</v>
      </c>
      <c r="L427" s="49" t="n">
        <v>32</v>
      </c>
      <c r="M427" s="67" t="n">
        <v>1.95</v>
      </c>
      <c r="N427" s="68" t="n">
        <f aca="false">K427*L427*M427</f>
        <v>62.4</v>
      </c>
      <c r="O427" s="34" t="n">
        <f aca="false">IFERROR(INDEX(Исходные!$B$18:$B$30,MATCH(H427,Исходные!$A$18:$A$30,0)),0)</f>
        <v>1.208</v>
      </c>
      <c r="P427" s="74" t="n">
        <f aca="false">N427*O427</f>
        <v>75.3792</v>
      </c>
      <c r="Q427" s="20" t="s">
        <v>1040</v>
      </c>
      <c r="R427" s="76" t="s">
        <v>392</v>
      </c>
      <c r="S427" s="20" t="s">
        <v>1041</v>
      </c>
      <c r="T427" s="20" t="s">
        <v>9</v>
      </c>
      <c r="U427" s="47" t="n">
        <v>1</v>
      </c>
      <c r="V427" s="70" t="s">
        <v>97</v>
      </c>
      <c r="W427" s="47" t="n">
        <v>2</v>
      </c>
    </row>
    <row r="428" customFormat="false" ht="35.05" hidden="false" customHeight="false" outlineLevel="0" collapsed="false">
      <c r="A428" s="70" t="n">
        <v>414</v>
      </c>
      <c r="B428" s="20" t="s">
        <v>1024</v>
      </c>
      <c r="C428" s="20" t="s">
        <v>364</v>
      </c>
      <c r="D428" s="20" t="s">
        <v>365</v>
      </c>
      <c r="E428" s="20" t="s">
        <v>97</v>
      </c>
      <c r="F428" s="70" t="s">
        <v>389</v>
      </c>
      <c r="G428" s="20" t="s">
        <v>394</v>
      </c>
      <c r="H428" s="49" t="n">
        <v>16</v>
      </c>
      <c r="I428" s="70" t="s">
        <v>368</v>
      </c>
      <c r="J428" s="70" t="n">
        <v>200</v>
      </c>
      <c r="K428" s="73" t="n">
        <v>1</v>
      </c>
      <c r="L428" s="49" t="n">
        <v>32</v>
      </c>
      <c r="M428" s="67" t="n">
        <v>2.25</v>
      </c>
      <c r="N428" s="68" t="n">
        <f aca="false">K428*L428*M428</f>
        <v>72</v>
      </c>
      <c r="O428" s="34" t="n">
        <f aca="false">IFERROR(INDEX(Исходные!$B$18:$B$30,MATCH(H428,Исходные!$A$18:$A$30,0)),0)</f>
        <v>1.578</v>
      </c>
      <c r="P428" s="74" t="n">
        <f aca="false">N428*O428</f>
        <v>113.616</v>
      </c>
      <c r="Q428" s="20" t="s">
        <v>1040</v>
      </c>
      <c r="R428" s="76" t="s">
        <v>392</v>
      </c>
      <c r="S428" s="20" t="s">
        <v>1042</v>
      </c>
      <c r="T428" s="20" t="s">
        <v>9</v>
      </c>
      <c r="U428" s="47" t="n">
        <v>1</v>
      </c>
      <c r="V428" s="70" t="s">
        <v>97</v>
      </c>
      <c r="W428" s="47" t="n">
        <v>2</v>
      </c>
    </row>
    <row r="429" customFormat="false" ht="35.05" hidden="false" customHeight="false" outlineLevel="0" collapsed="false">
      <c r="A429" s="70" t="n">
        <v>415</v>
      </c>
      <c r="B429" s="20" t="s">
        <v>1024</v>
      </c>
      <c r="C429" s="20" t="s">
        <v>364</v>
      </c>
      <c r="D429" s="20" t="s">
        <v>365</v>
      </c>
      <c r="E429" s="20" t="s">
        <v>97</v>
      </c>
      <c r="F429" s="70" t="s">
        <v>396</v>
      </c>
      <c r="G429" s="20" t="s">
        <v>1043</v>
      </c>
      <c r="H429" s="49" t="n">
        <v>14</v>
      </c>
      <c r="I429" s="70" t="s">
        <v>368</v>
      </c>
      <c r="J429" s="70" t="n">
        <v>200</v>
      </c>
      <c r="K429" s="73" t="n">
        <v>1</v>
      </c>
      <c r="L429" s="49" t="n">
        <v>10</v>
      </c>
      <c r="M429" s="67" t="n">
        <v>1.95</v>
      </c>
      <c r="N429" s="68" t="n">
        <f aca="false">K429*L429*M429</f>
        <v>19.5</v>
      </c>
      <c r="O429" s="34" t="n">
        <f aca="false">IFERROR(INDEX(Исходные!$B$18:$B$30,MATCH(H429,Исходные!$A$18:$A$30,0)),0)</f>
        <v>1.208</v>
      </c>
      <c r="P429" s="74" t="n">
        <f aca="false">N429*O429</f>
        <v>23.556</v>
      </c>
      <c r="Q429" s="20" t="s">
        <v>1044</v>
      </c>
      <c r="R429" s="75" t="s">
        <v>371</v>
      </c>
      <c r="S429" s="20"/>
      <c r="T429" s="20" t="s">
        <v>9</v>
      </c>
      <c r="U429" s="47" t="n">
        <v>0</v>
      </c>
      <c r="V429" s="70" t="s">
        <v>97</v>
      </c>
      <c r="W429" s="47" t="n">
        <v>2</v>
      </c>
    </row>
    <row r="430" customFormat="false" ht="35.05" hidden="false" customHeight="false" outlineLevel="0" collapsed="false">
      <c r="A430" s="70" t="n">
        <v>416</v>
      </c>
      <c r="B430" s="20" t="s">
        <v>1024</v>
      </c>
      <c r="C430" s="20" t="s">
        <v>364</v>
      </c>
      <c r="D430" s="20" t="s">
        <v>365</v>
      </c>
      <c r="E430" s="20" t="s">
        <v>97</v>
      </c>
      <c r="F430" s="70" t="s">
        <v>396</v>
      </c>
      <c r="G430" s="20" t="s">
        <v>1045</v>
      </c>
      <c r="H430" s="49" t="n">
        <v>12</v>
      </c>
      <c r="I430" s="70" t="s">
        <v>368</v>
      </c>
      <c r="J430" s="70" t="n">
        <v>200</v>
      </c>
      <c r="K430" s="73" t="n">
        <v>1</v>
      </c>
      <c r="L430" s="49" t="n">
        <v>14</v>
      </c>
      <c r="M430" s="67" t="n">
        <v>1.95</v>
      </c>
      <c r="N430" s="68" t="n">
        <f aca="false">K430*L430*M430</f>
        <v>27.3</v>
      </c>
      <c r="O430" s="34" t="n">
        <f aca="false">IFERROR(INDEX(Исходные!$B$18:$B$30,MATCH(H430,Исходные!$A$18:$A$30,0)),0)</f>
        <v>0.888</v>
      </c>
      <c r="P430" s="74" t="n">
        <f aca="false">N430*O430</f>
        <v>24.2424</v>
      </c>
      <c r="Q430" s="20" t="s">
        <v>1044</v>
      </c>
      <c r="R430" s="75" t="s">
        <v>371</v>
      </c>
      <c r="S430" s="20"/>
      <c r="T430" s="20" t="s">
        <v>9</v>
      </c>
      <c r="U430" s="47" t="n">
        <v>0</v>
      </c>
      <c r="V430" s="70" t="s">
        <v>97</v>
      </c>
      <c r="W430" s="47" t="n">
        <v>2</v>
      </c>
    </row>
    <row r="431" customFormat="false" ht="35.05" hidden="false" customHeight="false" outlineLevel="0" collapsed="false">
      <c r="A431" s="70" t="n">
        <v>417</v>
      </c>
      <c r="B431" s="20" t="s">
        <v>1024</v>
      </c>
      <c r="C431" s="20" t="s">
        <v>364</v>
      </c>
      <c r="D431" s="20" t="s">
        <v>365</v>
      </c>
      <c r="E431" s="20" t="s">
        <v>97</v>
      </c>
      <c r="F431" s="70" t="s">
        <v>396</v>
      </c>
      <c r="G431" s="20" t="s">
        <v>1046</v>
      </c>
      <c r="H431" s="49" t="n">
        <v>14</v>
      </c>
      <c r="I431" s="70" t="s">
        <v>368</v>
      </c>
      <c r="J431" s="70" t="n">
        <v>200</v>
      </c>
      <c r="K431" s="73" t="n">
        <v>1</v>
      </c>
      <c r="L431" s="49" t="n">
        <v>6</v>
      </c>
      <c r="M431" s="67" t="n">
        <v>1.2</v>
      </c>
      <c r="N431" s="68" t="n">
        <f aca="false">K431*L431*M431</f>
        <v>7.2</v>
      </c>
      <c r="O431" s="34" t="n">
        <f aca="false">IFERROR(INDEX(Исходные!$B$18:$B$30,MATCH(H431,Исходные!$A$18:$A$30,0)),0)</f>
        <v>1.208</v>
      </c>
      <c r="P431" s="74" t="n">
        <f aca="false">N431*O431</f>
        <v>8.6976</v>
      </c>
      <c r="Q431" s="20" t="s">
        <v>1044</v>
      </c>
      <c r="R431" s="75" t="s">
        <v>371</v>
      </c>
      <c r="S431" s="20"/>
      <c r="T431" s="20" t="s">
        <v>9</v>
      </c>
      <c r="U431" s="47" t="n">
        <v>0</v>
      </c>
      <c r="V431" s="70" t="s">
        <v>97</v>
      </c>
      <c r="W431" s="47" t="n">
        <v>2</v>
      </c>
    </row>
    <row r="432" customFormat="false" ht="35.05" hidden="false" customHeight="false" outlineLevel="0" collapsed="false">
      <c r="A432" s="70" t="n">
        <v>418</v>
      </c>
      <c r="B432" s="20" t="s">
        <v>1024</v>
      </c>
      <c r="C432" s="20" t="s">
        <v>364</v>
      </c>
      <c r="D432" s="20" t="s">
        <v>365</v>
      </c>
      <c r="E432" s="20" t="s">
        <v>97</v>
      </c>
      <c r="F432" s="70" t="s">
        <v>396</v>
      </c>
      <c r="G432" s="20" t="s">
        <v>1047</v>
      </c>
      <c r="H432" s="49" t="n">
        <v>14</v>
      </c>
      <c r="I432" s="70" t="s">
        <v>368</v>
      </c>
      <c r="J432" s="70" t="n">
        <v>200</v>
      </c>
      <c r="K432" s="73" t="n">
        <v>1</v>
      </c>
      <c r="L432" s="49" t="n">
        <v>6</v>
      </c>
      <c r="M432" s="67" t="n">
        <v>1.2</v>
      </c>
      <c r="N432" s="68" t="n">
        <f aca="false">K432*L432*M432</f>
        <v>7.2</v>
      </c>
      <c r="O432" s="34" t="n">
        <f aca="false">IFERROR(INDEX(Исходные!$B$18:$B$30,MATCH(H432,Исходные!$A$18:$A$30,0)),0)</f>
        <v>1.208</v>
      </c>
      <c r="P432" s="74" t="n">
        <f aca="false">N432*O432</f>
        <v>8.6976</v>
      </c>
      <c r="Q432" s="20" t="s">
        <v>1044</v>
      </c>
      <c r="R432" s="75" t="s">
        <v>371</v>
      </c>
      <c r="S432" s="20"/>
      <c r="T432" s="20" t="s">
        <v>9</v>
      </c>
      <c r="U432" s="47" t="n">
        <v>0</v>
      </c>
      <c r="V432" s="70" t="s">
        <v>97</v>
      </c>
      <c r="W432" s="47" t="n">
        <v>2</v>
      </c>
    </row>
    <row r="433" customFormat="false" ht="35.05" hidden="false" customHeight="false" outlineLevel="0" collapsed="false">
      <c r="A433" s="70" t="n">
        <v>419</v>
      </c>
      <c r="B433" s="20" t="s">
        <v>1024</v>
      </c>
      <c r="C433" s="20" t="s">
        <v>364</v>
      </c>
      <c r="D433" s="20" t="s">
        <v>365</v>
      </c>
      <c r="E433" s="20" t="s">
        <v>97</v>
      </c>
      <c r="F433" s="70" t="s">
        <v>401</v>
      </c>
      <c r="G433" s="20" t="s">
        <v>1048</v>
      </c>
      <c r="H433" s="49" t="n">
        <v>10</v>
      </c>
      <c r="I433" s="70" t="s">
        <v>403</v>
      </c>
      <c r="J433" s="70" t="s">
        <v>404</v>
      </c>
      <c r="K433" s="73" t="n">
        <v>1</v>
      </c>
      <c r="L433" s="49" t="n">
        <v>48</v>
      </c>
      <c r="M433" s="67" t="n">
        <v>1.33</v>
      </c>
      <c r="N433" s="68" t="n">
        <f aca="false">K433*L433*M433</f>
        <v>63.84</v>
      </c>
      <c r="O433" s="34" t="n">
        <f aca="false">IFERROR(INDEX(Исходные!$B$18:$B$30,MATCH(H433,Исходные!$A$18:$A$30,0)),0)</f>
        <v>0.617</v>
      </c>
      <c r="P433" s="74" t="n">
        <f aca="false">N433*O433</f>
        <v>39.38928</v>
      </c>
      <c r="Q433" s="20" t="s">
        <v>1049</v>
      </c>
      <c r="R433" s="75" t="s">
        <v>371</v>
      </c>
      <c r="S433" s="20"/>
      <c r="T433" s="20" t="s">
        <v>9</v>
      </c>
      <c r="U433" s="47" t="n">
        <v>0</v>
      </c>
      <c r="V433" s="70" t="s">
        <v>97</v>
      </c>
      <c r="W433" s="47" t="n">
        <v>2</v>
      </c>
    </row>
    <row r="434" customFormat="false" ht="35.05" hidden="false" customHeight="false" outlineLevel="0" collapsed="false">
      <c r="A434" s="70" t="n">
        <v>420</v>
      </c>
      <c r="B434" s="20" t="s">
        <v>1024</v>
      </c>
      <c r="C434" s="20" t="s">
        <v>364</v>
      </c>
      <c r="D434" s="20" t="s">
        <v>365</v>
      </c>
      <c r="E434" s="20" t="s">
        <v>97</v>
      </c>
      <c r="F434" s="70" t="s">
        <v>553</v>
      </c>
      <c r="G434" s="20" t="s">
        <v>1050</v>
      </c>
      <c r="H434" s="49" t="n">
        <v>8</v>
      </c>
      <c r="I434" s="70" t="s">
        <v>403</v>
      </c>
      <c r="J434" s="70" t="s">
        <v>404</v>
      </c>
      <c r="K434" s="73" t="n">
        <v>1</v>
      </c>
      <c r="L434" s="49" t="n">
        <v>32</v>
      </c>
      <c r="M434" s="67" t="n">
        <v>1.56</v>
      </c>
      <c r="N434" s="68" t="n">
        <f aca="false">K434*L434*M434</f>
        <v>49.92</v>
      </c>
      <c r="O434" s="34" t="n">
        <f aca="false">IFERROR(INDEX(Исходные!$B$18:$B$30,MATCH(H434,Исходные!$A$18:$A$30,0)),0)</f>
        <v>0.395</v>
      </c>
      <c r="P434" s="74" t="n">
        <f aca="false">N434*O434</f>
        <v>19.7184</v>
      </c>
      <c r="Q434" s="20" t="s">
        <v>1051</v>
      </c>
      <c r="R434" s="75" t="s">
        <v>371</v>
      </c>
      <c r="S434" s="20"/>
      <c r="T434" s="20" t="s">
        <v>9</v>
      </c>
      <c r="U434" s="47" t="n">
        <v>0</v>
      </c>
      <c r="V434" s="70" t="s">
        <v>97</v>
      </c>
      <c r="W434" s="47" t="n">
        <v>2</v>
      </c>
    </row>
    <row r="435" customFormat="false" ht="35.05" hidden="false" customHeight="false" outlineLevel="0" collapsed="false">
      <c r="A435" s="70" t="n">
        <v>421</v>
      </c>
      <c r="B435" s="20" t="s">
        <v>1024</v>
      </c>
      <c r="C435" s="20" t="s">
        <v>364</v>
      </c>
      <c r="D435" s="20" t="s">
        <v>365</v>
      </c>
      <c r="E435" s="20" t="s">
        <v>97</v>
      </c>
      <c r="F435" s="70" t="s">
        <v>460</v>
      </c>
      <c r="G435" s="20" t="s">
        <v>1052</v>
      </c>
      <c r="H435" s="49" t="n">
        <v>8</v>
      </c>
      <c r="I435" s="70" t="s">
        <v>403</v>
      </c>
      <c r="J435" s="70" t="s">
        <v>404</v>
      </c>
      <c r="K435" s="73" t="n">
        <v>1</v>
      </c>
      <c r="L435" s="49" t="n">
        <v>16</v>
      </c>
      <c r="M435" s="67" t="n">
        <v>1.76</v>
      </c>
      <c r="N435" s="68" t="n">
        <f aca="false">K435*L435*M435</f>
        <v>28.16</v>
      </c>
      <c r="O435" s="34" t="n">
        <f aca="false">IFERROR(INDEX(Исходные!$B$18:$B$30,MATCH(H435,Исходные!$A$18:$A$30,0)),0)</f>
        <v>0.395</v>
      </c>
      <c r="P435" s="74" t="n">
        <f aca="false">N435*O435</f>
        <v>11.1232</v>
      </c>
      <c r="Q435" s="20" t="s">
        <v>1053</v>
      </c>
      <c r="R435" s="75" t="s">
        <v>371</v>
      </c>
      <c r="S435" s="20"/>
      <c r="T435" s="20" t="s">
        <v>9</v>
      </c>
      <c r="U435" s="47" t="n">
        <v>0</v>
      </c>
      <c r="V435" s="70" t="s">
        <v>97</v>
      </c>
      <c r="W435" s="47" t="n">
        <v>2</v>
      </c>
    </row>
    <row r="436" customFormat="false" ht="35.05" hidden="false" customHeight="false" outlineLevel="0" collapsed="false">
      <c r="A436" s="70" t="n">
        <v>422</v>
      </c>
      <c r="B436" s="20" t="s">
        <v>1024</v>
      </c>
      <c r="C436" s="20" t="s">
        <v>364</v>
      </c>
      <c r="D436" s="20" t="s">
        <v>365</v>
      </c>
      <c r="E436" s="20" t="s">
        <v>97</v>
      </c>
      <c r="F436" s="70" t="s">
        <v>412</v>
      </c>
      <c r="G436" s="20" t="s">
        <v>1054</v>
      </c>
      <c r="H436" s="49" t="n">
        <v>8</v>
      </c>
      <c r="I436" s="70" t="s">
        <v>403</v>
      </c>
      <c r="J436" s="70" t="s">
        <v>404</v>
      </c>
      <c r="K436" s="73" t="n">
        <v>1</v>
      </c>
      <c r="L436" s="49" t="n">
        <v>28</v>
      </c>
      <c r="M436" s="67" t="n">
        <v>2.44</v>
      </c>
      <c r="N436" s="68" t="n">
        <f aca="false">K436*L436*M436</f>
        <v>68.32</v>
      </c>
      <c r="O436" s="34" t="n">
        <f aca="false">IFERROR(INDEX(Исходные!$B$18:$B$30,MATCH(H436,Исходные!$A$18:$A$30,0)),0)</f>
        <v>0.395</v>
      </c>
      <c r="P436" s="74" t="n">
        <f aca="false">N436*O436</f>
        <v>26.9864</v>
      </c>
      <c r="Q436" s="20" t="s">
        <v>1055</v>
      </c>
      <c r="R436" s="75" t="s">
        <v>371</v>
      </c>
      <c r="S436" s="20"/>
      <c r="T436" s="20" t="s">
        <v>9</v>
      </c>
      <c r="U436" s="47" t="n">
        <v>0</v>
      </c>
      <c r="V436" s="70" t="s">
        <v>97</v>
      </c>
      <c r="W436" s="47" t="n">
        <v>2</v>
      </c>
    </row>
    <row r="437" customFormat="false" ht="35.05" hidden="false" customHeight="false" outlineLevel="0" collapsed="false">
      <c r="A437" s="70" t="n">
        <v>423</v>
      </c>
      <c r="B437" s="20" t="s">
        <v>1024</v>
      </c>
      <c r="C437" s="20" t="s">
        <v>364</v>
      </c>
      <c r="D437" s="20" t="s">
        <v>365</v>
      </c>
      <c r="E437" s="20" t="s">
        <v>97</v>
      </c>
      <c r="F437" s="70" t="s">
        <v>415</v>
      </c>
      <c r="G437" s="20" t="s">
        <v>1056</v>
      </c>
      <c r="H437" s="49" t="n">
        <v>8</v>
      </c>
      <c r="I437" s="70" t="s">
        <v>403</v>
      </c>
      <c r="J437" s="70" t="s">
        <v>404</v>
      </c>
      <c r="K437" s="73" t="n">
        <v>1</v>
      </c>
      <c r="L437" s="49" t="n">
        <v>32</v>
      </c>
      <c r="M437" s="67" t="n">
        <v>1.96</v>
      </c>
      <c r="N437" s="68" t="n">
        <f aca="false">K437*L437*M437</f>
        <v>62.72</v>
      </c>
      <c r="O437" s="34" t="n">
        <f aca="false">IFERROR(INDEX(Исходные!$B$18:$B$30,MATCH(H437,Исходные!$A$18:$A$30,0)),0)</f>
        <v>0.395</v>
      </c>
      <c r="P437" s="74" t="n">
        <f aca="false">N437*O437</f>
        <v>24.7744</v>
      </c>
      <c r="Q437" s="20" t="s">
        <v>1057</v>
      </c>
      <c r="R437" s="75" t="s">
        <v>371</v>
      </c>
      <c r="S437" s="20"/>
      <c r="T437" s="20" t="s">
        <v>9</v>
      </c>
      <c r="U437" s="47" t="n">
        <v>0</v>
      </c>
      <c r="V437" s="70" t="s">
        <v>97</v>
      </c>
      <c r="W437" s="47" t="n">
        <v>2</v>
      </c>
    </row>
    <row r="438" customFormat="false" ht="35.05" hidden="false" customHeight="false" outlineLevel="0" collapsed="false">
      <c r="A438" s="70" t="n">
        <v>424</v>
      </c>
      <c r="B438" s="20" t="s">
        <v>1024</v>
      </c>
      <c r="C438" s="20" t="s">
        <v>364</v>
      </c>
      <c r="D438" s="20" t="s">
        <v>365</v>
      </c>
      <c r="E438" s="20" t="s">
        <v>97</v>
      </c>
      <c r="F438" s="70" t="s">
        <v>418</v>
      </c>
      <c r="G438" s="20" t="s">
        <v>1058</v>
      </c>
      <c r="H438" s="49" t="n">
        <v>8</v>
      </c>
      <c r="I438" s="70" t="s">
        <v>403</v>
      </c>
      <c r="J438" s="70" t="s">
        <v>404</v>
      </c>
      <c r="K438" s="73" t="n">
        <v>1</v>
      </c>
      <c r="L438" s="49" t="n">
        <v>72</v>
      </c>
      <c r="M438" s="67" t="n">
        <v>0.53</v>
      </c>
      <c r="N438" s="68" t="n">
        <f aca="false">K438*L438*M438</f>
        <v>38.16</v>
      </c>
      <c r="O438" s="34" t="n">
        <f aca="false">IFERROR(INDEX(Исходные!$B$18:$B$30,MATCH(H438,Исходные!$A$18:$A$30,0)),0)</f>
        <v>0.395</v>
      </c>
      <c r="P438" s="74" t="n">
        <f aca="false">N438*O438</f>
        <v>15.0732</v>
      </c>
      <c r="Q438" s="20" t="s">
        <v>1059</v>
      </c>
      <c r="R438" s="75" t="s">
        <v>371</v>
      </c>
      <c r="S438" s="20"/>
      <c r="T438" s="20" t="s">
        <v>9</v>
      </c>
      <c r="U438" s="47" t="n">
        <v>0</v>
      </c>
      <c r="V438" s="70" t="s">
        <v>97</v>
      </c>
      <c r="W438" s="47" t="n">
        <v>2</v>
      </c>
    </row>
    <row r="439" customFormat="false" ht="35.05" hidden="false" customHeight="false" outlineLevel="0" collapsed="false">
      <c r="A439" s="70" t="n">
        <v>425</v>
      </c>
      <c r="B439" s="20" t="s">
        <v>1024</v>
      </c>
      <c r="C439" s="20" t="s">
        <v>364</v>
      </c>
      <c r="D439" s="20" t="s">
        <v>421</v>
      </c>
      <c r="E439" s="20" t="s">
        <v>98</v>
      </c>
      <c r="F439" s="70" t="s">
        <v>376</v>
      </c>
      <c r="G439" s="20" t="s">
        <v>1025</v>
      </c>
      <c r="H439" s="49" t="n">
        <v>28</v>
      </c>
      <c r="I439" s="70" t="s">
        <v>368</v>
      </c>
      <c r="J439" s="70" t="s">
        <v>369</v>
      </c>
      <c r="K439" s="73" t="n">
        <v>1</v>
      </c>
      <c r="L439" s="49" t="n">
        <v>4</v>
      </c>
      <c r="M439" s="67" t="n">
        <v>3.6</v>
      </c>
      <c r="N439" s="68" t="n">
        <f aca="false">K439*L439*M439</f>
        <v>14.4</v>
      </c>
      <c r="O439" s="34" t="n">
        <f aca="false">IFERROR(INDEX(Исходные!$B$18:$B$30,MATCH(H439,Исходные!$A$18:$A$30,0)),0)</f>
        <v>4.834</v>
      </c>
      <c r="P439" s="74" t="n">
        <f aca="false">N439*O439</f>
        <v>69.6096</v>
      </c>
      <c r="Q439" s="20" t="s">
        <v>1060</v>
      </c>
      <c r="R439" s="75" t="s">
        <v>371</v>
      </c>
      <c r="S439" s="20" t="s">
        <v>1061</v>
      </c>
      <c r="T439" s="20" t="s">
        <v>9</v>
      </c>
      <c r="U439" s="47" t="n">
        <v>0</v>
      </c>
      <c r="V439" s="70" t="s">
        <v>98</v>
      </c>
      <c r="W439" s="47" t="n">
        <v>2</v>
      </c>
    </row>
    <row r="440" customFormat="false" ht="35.05" hidden="false" customHeight="false" outlineLevel="0" collapsed="false">
      <c r="A440" s="70" t="n">
        <v>426</v>
      </c>
      <c r="B440" s="20" t="s">
        <v>1024</v>
      </c>
      <c r="C440" s="20" t="s">
        <v>364</v>
      </c>
      <c r="D440" s="20" t="s">
        <v>421</v>
      </c>
      <c r="E440" s="20" t="s">
        <v>98</v>
      </c>
      <c r="F440" s="70" t="s">
        <v>373</v>
      </c>
      <c r="G440" s="20" t="s">
        <v>1062</v>
      </c>
      <c r="H440" s="49" t="n">
        <v>20</v>
      </c>
      <c r="I440" s="70" t="s">
        <v>368</v>
      </c>
      <c r="J440" s="70" t="s">
        <v>369</v>
      </c>
      <c r="K440" s="73" t="n">
        <v>1</v>
      </c>
      <c r="L440" s="49" t="n">
        <v>8</v>
      </c>
      <c r="M440" s="67" t="n">
        <v>3.6</v>
      </c>
      <c r="N440" s="68" t="n">
        <f aca="false">K440*L440*M440</f>
        <v>28.8</v>
      </c>
      <c r="O440" s="34" t="n">
        <f aca="false">IFERROR(INDEX(Исходные!$B$18:$B$30,MATCH(H440,Исходные!$A$18:$A$30,0)),0)</f>
        <v>2.466</v>
      </c>
      <c r="P440" s="74" t="n">
        <f aca="false">N440*O440</f>
        <v>71.0208</v>
      </c>
      <c r="Q440" s="20" t="s">
        <v>1060</v>
      </c>
      <c r="R440" s="75" t="s">
        <v>371</v>
      </c>
      <c r="S440" s="20" t="s">
        <v>1063</v>
      </c>
      <c r="T440" s="20" t="s">
        <v>9</v>
      </c>
      <c r="U440" s="47" t="n">
        <v>0</v>
      </c>
      <c r="V440" s="70" t="s">
        <v>98</v>
      </c>
      <c r="W440" s="47" t="n">
        <v>2</v>
      </c>
    </row>
    <row r="441" customFormat="false" ht="35.05" hidden="false" customHeight="false" outlineLevel="0" collapsed="false">
      <c r="A441" s="70" t="n">
        <v>427</v>
      </c>
      <c r="B441" s="20" t="s">
        <v>1024</v>
      </c>
      <c r="C441" s="20" t="s">
        <v>364</v>
      </c>
      <c r="D441" s="20" t="s">
        <v>421</v>
      </c>
      <c r="E441" s="20" t="s">
        <v>98</v>
      </c>
      <c r="F441" s="70" t="s">
        <v>373</v>
      </c>
      <c r="G441" s="20" t="s">
        <v>1064</v>
      </c>
      <c r="H441" s="49" t="n">
        <v>20</v>
      </c>
      <c r="I441" s="70" t="s">
        <v>368</v>
      </c>
      <c r="J441" s="70" t="s">
        <v>369</v>
      </c>
      <c r="K441" s="73" t="n">
        <v>1</v>
      </c>
      <c r="L441" s="49" t="n">
        <v>4</v>
      </c>
      <c r="M441" s="67" t="n">
        <v>3.6</v>
      </c>
      <c r="N441" s="68" t="n">
        <f aca="false">K441*L441*M441</f>
        <v>14.4</v>
      </c>
      <c r="O441" s="34" t="n">
        <f aca="false">IFERROR(INDEX(Исходные!$B$18:$B$30,MATCH(H441,Исходные!$A$18:$A$30,0)),0)</f>
        <v>2.466</v>
      </c>
      <c r="P441" s="74" t="n">
        <f aca="false">N441*O441</f>
        <v>35.5104</v>
      </c>
      <c r="Q441" s="20" t="s">
        <v>1060</v>
      </c>
      <c r="R441" s="75" t="s">
        <v>371</v>
      </c>
      <c r="S441" s="20" t="s">
        <v>1065</v>
      </c>
      <c r="T441" s="20" t="s">
        <v>9</v>
      </c>
      <c r="U441" s="47" t="n">
        <v>0</v>
      </c>
      <c r="V441" s="70" t="s">
        <v>98</v>
      </c>
      <c r="W441" s="47" t="n">
        <v>2</v>
      </c>
    </row>
    <row r="442" customFormat="false" ht="35.05" hidden="false" customHeight="false" outlineLevel="0" collapsed="false">
      <c r="A442" s="70" t="n">
        <v>428</v>
      </c>
      <c r="B442" s="20" t="s">
        <v>1024</v>
      </c>
      <c r="C442" s="20" t="s">
        <v>364</v>
      </c>
      <c r="D442" s="20" t="s">
        <v>421</v>
      </c>
      <c r="E442" s="20" t="s">
        <v>98</v>
      </c>
      <c r="F442" s="70" t="s">
        <v>379</v>
      </c>
      <c r="G442" s="20" t="s">
        <v>1066</v>
      </c>
      <c r="H442" s="49" t="n">
        <v>25</v>
      </c>
      <c r="I442" s="70" t="s">
        <v>368</v>
      </c>
      <c r="J442" s="70" t="s">
        <v>369</v>
      </c>
      <c r="K442" s="73" t="n">
        <v>1</v>
      </c>
      <c r="L442" s="49" t="n">
        <v>6</v>
      </c>
      <c r="M442" s="67" t="n">
        <v>3.6</v>
      </c>
      <c r="N442" s="68" t="n">
        <f aca="false">K442*L442*M442</f>
        <v>21.6</v>
      </c>
      <c r="O442" s="34" t="n">
        <f aca="false">IFERROR(INDEX(Исходные!$B$18:$B$30,MATCH(H442,Исходные!$A$18:$A$30,0)),0)</f>
        <v>3.853</v>
      </c>
      <c r="P442" s="74" t="n">
        <f aca="false">N442*O442</f>
        <v>83.2248</v>
      </c>
      <c r="Q442" s="20" t="s">
        <v>1060</v>
      </c>
      <c r="R442" s="75" t="s">
        <v>371</v>
      </c>
      <c r="S442" s="20" t="s">
        <v>1035</v>
      </c>
      <c r="T442" s="20" t="s">
        <v>9</v>
      </c>
      <c r="U442" s="47" t="n">
        <v>0</v>
      </c>
      <c r="V442" s="70" t="s">
        <v>98</v>
      </c>
      <c r="W442" s="47" t="n">
        <v>2</v>
      </c>
    </row>
    <row r="443" customFormat="false" ht="35.05" hidden="false" customHeight="false" outlineLevel="0" collapsed="false">
      <c r="A443" s="70" t="n">
        <v>429</v>
      </c>
      <c r="B443" s="20" t="s">
        <v>1024</v>
      </c>
      <c r="C443" s="20" t="s">
        <v>364</v>
      </c>
      <c r="D443" s="20" t="s">
        <v>421</v>
      </c>
      <c r="E443" s="20" t="s">
        <v>98</v>
      </c>
      <c r="F443" s="70" t="s">
        <v>379</v>
      </c>
      <c r="G443" s="20" t="s">
        <v>1034</v>
      </c>
      <c r="H443" s="49" t="n">
        <v>25</v>
      </c>
      <c r="I443" s="70" t="s">
        <v>368</v>
      </c>
      <c r="J443" s="70" t="s">
        <v>369</v>
      </c>
      <c r="K443" s="73" t="n">
        <v>1</v>
      </c>
      <c r="L443" s="49" t="n">
        <v>6</v>
      </c>
      <c r="M443" s="67" t="n">
        <v>3.6</v>
      </c>
      <c r="N443" s="68" t="n">
        <f aca="false">K443*L443*M443</f>
        <v>21.6</v>
      </c>
      <c r="O443" s="34" t="n">
        <f aca="false">IFERROR(INDEX(Исходные!$B$18:$B$30,MATCH(H443,Исходные!$A$18:$A$30,0)),0)</f>
        <v>3.853</v>
      </c>
      <c r="P443" s="74" t="n">
        <f aca="false">N443*O443</f>
        <v>83.2248</v>
      </c>
      <c r="Q443" s="20" t="s">
        <v>1060</v>
      </c>
      <c r="R443" s="75" t="s">
        <v>371</v>
      </c>
      <c r="S443" s="20" t="s">
        <v>1035</v>
      </c>
      <c r="T443" s="20" t="s">
        <v>9</v>
      </c>
      <c r="U443" s="47" t="n">
        <v>0</v>
      </c>
      <c r="V443" s="70" t="s">
        <v>98</v>
      </c>
      <c r="W443" s="47" t="n">
        <v>2</v>
      </c>
    </row>
    <row r="444" customFormat="false" ht="35.05" hidden="false" customHeight="false" outlineLevel="0" collapsed="false">
      <c r="A444" s="70" t="n">
        <v>430</v>
      </c>
      <c r="B444" s="20" t="s">
        <v>1024</v>
      </c>
      <c r="C444" s="20" t="s">
        <v>364</v>
      </c>
      <c r="D444" s="20" t="s">
        <v>421</v>
      </c>
      <c r="E444" s="20" t="s">
        <v>98</v>
      </c>
      <c r="F444" s="70" t="s">
        <v>386</v>
      </c>
      <c r="G444" s="20" t="s">
        <v>1067</v>
      </c>
      <c r="H444" s="49" t="n">
        <v>18</v>
      </c>
      <c r="I444" s="70" t="s">
        <v>368</v>
      </c>
      <c r="J444" s="70" t="s">
        <v>369</v>
      </c>
      <c r="K444" s="73" t="n">
        <v>1</v>
      </c>
      <c r="L444" s="49" t="n">
        <v>12</v>
      </c>
      <c r="M444" s="67" t="n">
        <v>3.744</v>
      </c>
      <c r="N444" s="68" t="n">
        <f aca="false">K444*L444*M444</f>
        <v>44.928</v>
      </c>
      <c r="O444" s="34" t="n">
        <f aca="false">IFERROR(INDEX(Исходные!$B$18:$B$30,MATCH(H444,Исходные!$A$18:$A$30,0)),0)</f>
        <v>1.998</v>
      </c>
      <c r="P444" s="74" t="n">
        <f aca="false">N444*O444</f>
        <v>89.766144</v>
      </c>
      <c r="Q444" s="20" t="s">
        <v>1060</v>
      </c>
      <c r="R444" s="75" t="s">
        <v>371</v>
      </c>
      <c r="S444" s="20" t="s">
        <v>1068</v>
      </c>
      <c r="T444" s="20" t="s">
        <v>9</v>
      </c>
      <c r="U444" s="47" t="n">
        <v>0</v>
      </c>
      <c r="V444" s="70" t="s">
        <v>98</v>
      </c>
      <c r="W444" s="47" t="n">
        <v>2</v>
      </c>
    </row>
    <row r="445" customFormat="false" ht="35.05" hidden="false" customHeight="false" outlineLevel="0" collapsed="false">
      <c r="A445" s="70" t="n">
        <v>431</v>
      </c>
      <c r="B445" s="20" t="s">
        <v>1024</v>
      </c>
      <c r="C445" s="20" t="s">
        <v>364</v>
      </c>
      <c r="D445" s="20" t="s">
        <v>421</v>
      </c>
      <c r="E445" s="20" t="s">
        <v>98</v>
      </c>
      <c r="F445" s="70" t="s">
        <v>389</v>
      </c>
      <c r="G445" s="20" t="s">
        <v>434</v>
      </c>
      <c r="H445" s="49" t="n">
        <v>14</v>
      </c>
      <c r="I445" s="70" t="s">
        <v>368</v>
      </c>
      <c r="J445" s="70" t="n">
        <v>200</v>
      </c>
      <c r="K445" s="73" t="n">
        <v>1</v>
      </c>
      <c r="L445" s="49" t="n">
        <v>32</v>
      </c>
      <c r="M445" s="67" t="n">
        <v>1.25</v>
      </c>
      <c r="N445" s="68" t="n">
        <f aca="false">K445*L445*M445</f>
        <v>40</v>
      </c>
      <c r="O445" s="34" t="n">
        <f aca="false">IFERROR(INDEX(Исходные!$B$18:$B$30,MATCH(H445,Исходные!$A$18:$A$30,0)),0)</f>
        <v>1.208</v>
      </c>
      <c r="P445" s="74" t="n">
        <f aca="false">N445*O445</f>
        <v>48.32</v>
      </c>
      <c r="Q445" s="20" t="s">
        <v>1069</v>
      </c>
      <c r="R445" s="76" t="s">
        <v>392</v>
      </c>
      <c r="S445" s="20" t="s">
        <v>1041</v>
      </c>
      <c r="T445" s="20" t="s">
        <v>9</v>
      </c>
      <c r="U445" s="47" t="n">
        <v>1</v>
      </c>
      <c r="V445" s="70" t="s">
        <v>98</v>
      </c>
      <c r="W445" s="47" t="n">
        <v>2</v>
      </c>
    </row>
    <row r="446" customFormat="false" ht="35.05" hidden="false" customHeight="false" outlineLevel="0" collapsed="false">
      <c r="A446" s="70" t="n">
        <v>432</v>
      </c>
      <c r="B446" s="20" t="s">
        <v>1024</v>
      </c>
      <c r="C446" s="20" t="s">
        <v>364</v>
      </c>
      <c r="D446" s="20" t="s">
        <v>421</v>
      </c>
      <c r="E446" s="20" t="s">
        <v>98</v>
      </c>
      <c r="F446" s="70" t="s">
        <v>389</v>
      </c>
      <c r="G446" s="20" t="s">
        <v>437</v>
      </c>
      <c r="H446" s="49" t="n">
        <v>16</v>
      </c>
      <c r="I446" s="70" t="s">
        <v>368</v>
      </c>
      <c r="J446" s="70" t="n">
        <v>200</v>
      </c>
      <c r="K446" s="73" t="n">
        <v>1</v>
      </c>
      <c r="L446" s="49" t="n">
        <v>32</v>
      </c>
      <c r="M446" s="67" t="n">
        <v>2.25</v>
      </c>
      <c r="N446" s="68" t="n">
        <f aca="false">K446*L446*M446</f>
        <v>72</v>
      </c>
      <c r="O446" s="34" t="n">
        <f aca="false">IFERROR(INDEX(Исходные!$B$18:$B$30,MATCH(H446,Исходные!$A$18:$A$30,0)),0)</f>
        <v>1.578</v>
      </c>
      <c r="P446" s="74" t="n">
        <f aca="false">N446*O446</f>
        <v>113.616</v>
      </c>
      <c r="Q446" s="20" t="s">
        <v>1069</v>
      </c>
      <c r="R446" s="76" t="s">
        <v>392</v>
      </c>
      <c r="S446" s="20" t="s">
        <v>1042</v>
      </c>
      <c r="T446" s="20" t="s">
        <v>9</v>
      </c>
      <c r="U446" s="47" t="n">
        <v>1</v>
      </c>
      <c r="V446" s="70" t="s">
        <v>98</v>
      </c>
      <c r="W446" s="47" t="n">
        <v>2</v>
      </c>
    </row>
    <row r="447" customFormat="false" ht="35.05" hidden="false" customHeight="false" outlineLevel="0" collapsed="false">
      <c r="A447" s="70" t="n">
        <v>433</v>
      </c>
      <c r="B447" s="20" t="s">
        <v>1024</v>
      </c>
      <c r="C447" s="20" t="s">
        <v>364</v>
      </c>
      <c r="D447" s="20" t="s">
        <v>421</v>
      </c>
      <c r="E447" s="20" t="s">
        <v>98</v>
      </c>
      <c r="F447" s="70" t="s">
        <v>396</v>
      </c>
      <c r="G447" s="20" t="s">
        <v>1070</v>
      </c>
      <c r="H447" s="49" t="n">
        <v>12</v>
      </c>
      <c r="I447" s="70" t="s">
        <v>368</v>
      </c>
      <c r="J447" s="70" t="n">
        <v>200</v>
      </c>
      <c r="K447" s="73" t="n">
        <v>1</v>
      </c>
      <c r="L447" s="49" t="n">
        <v>10</v>
      </c>
      <c r="M447" s="67" t="n">
        <v>1.25</v>
      </c>
      <c r="N447" s="68" t="n">
        <f aca="false">K447*L447*M447</f>
        <v>12.5</v>
      </c>
      <c r="O447" s="34" t="n">
        <f aca="false">IFERROR(INDEX(Исходные!$B$18:$B$30,MATCH(H447,Исходные!$A$18:$A$30,0)),0)</f>
        <v>0.888</v>
      </c>
      <c r="P447" s="74" t="n">
        <f aca="false">N447*O447</f>
        <v>11.1</v>
      </c>
      <c r="Q447" s="20" t="s">
        <v>1071</v>
      </c>
      <c r="R447" s="75" t="s">
        <v>371</v>
      </c>
      <c r="S447" s="20"/>
      <c r="T447" s="20" t="s">
        <v>9</v>
      </c>
      <c r="U447" s="47" t="n">
        <v>0</v>
      </c>
      <c r="V447" s="70" t="s">
        <v>98</v>
      </c>
      <c r="W447" s="47" t="n">
        <v>2</v>
      </c>
    </row>
    <row r="448" customFormat="false" ht="35.05" hidden="false" customHeight="false" outlineLevel="0" collapsed="false">
      <c r="A448" s="70" t="n">
        <v>434</v>
      </c>
      <c r="B448" s="20" t="s">
        <v>1024</v>
      </c>
      <c r="C448" s="20" t="s">
        <v>364</v>
      </c>
      <c r="D448" s="20" t="s">
        <v>421</v>
      </c>
      <c r="E448" s="20" t="s">
        <v>98</v>
      </c>
      <c r="F448" s="70" t="s">
        <v>396</v>
      </c>
      <c r="G448" s="20" t="s">
        <v>1072</v>
      </c>
      <c r="H448" s="49" t="n">
        <v>14</v>
      </c>
      <c r="I448" s="70" t="s">
        <v>368</v>
      </c>
      <c r="J448" s="70" t="n">
        <v>200</v>
      </c>
      <c r="K448" s="73" t="n">
        <v>1</v>
      </c>
      <c r="L448" s="49" t="n">
        <v>6</v>
      </c>
      <c r="M448" s="67" t="n">
        <v>1.2</v>
      </c>
      <c r="N448" s="68" t="n">
        <f aca="false">K448*L448*M448</f>
        <v>7.2</v>
      </c>
      <c r="O448" s="34" t="n">
        <f aca="false">IFERROR(INDEX(Исходные!$B$18:$B$30,MATCH(H448,Исходные!$A$18:$A$30,0)),0)</f>
        <v>1.208</v>
      </c>
      <c r="P448" s="74" t="n">
        <f aca="false">N448*O448</f>
        <v>8.6976</v>
      </c>
      <c r="Q448" s="20" t="s">
        <v>1071</v>
      </c>
      <c r="R448" s="75" t="s">
        <v>371</v>
      </c>
      <c r="S448" s="20"/>
      <c r="T448" s="20" t="s">
        <v>9</v>
      </c>
      <c r="U448" s="47" t="n">
        <v>0</v>
      </c>
      <c r="V448" s="70" t="s">
        <v>98</v>
      </c>
      <c r="W448" s="47" t="n">
        <v>2</v>
      </c>
    </row>
    <row r="449" customFormat="false" ht="35.05" hidden="false" customHeight="false" outlineLevel="0" collapsed="false">
      <c r="A449" s="70" t="n">
        <v>435</v>
      </c>
      <c r="B449" s="20" t="s">
        <v>1024</v>
      </c>
      <c r="C449" s="20" t="s">
        <v>364</v>
      </c>
      <c r="D449" s="20" t="s">
        <v>421</v>
      </c>
      <c r="E449" s="20" t="s">
        <v>98</v>
      </c>
      <c r="F449" s="70" t="s">
        <v>396</v>
      </c>
      <c r="G449" s="20" t="s">
        <v>1073</v>
      </c>
      <c r="H449" s="49" t="n">
        <v>12</v>
      </c>
      <c r="I449" s="70" t="s">
        <v>368</v>
      </c>
      <c r="J449" s="70" t="n">
        <v>200</v>
      </c>
      <c r="K449" s="73" t="n">
        <v>1</v>
      </c>
      <c r="L449" s="49" t="n">
        <v>6</v>
      </c>
      <c r="M449" s="67" t="n">
        <v>1.2</v>
      </c>
      <c r="N449" s="68" t="n">
        <f aca="false">K449*L449*M449</f>
        <v>7.2</v>
      </c>
      <c r="O449" s="34" t="n">
        <f aca="false">IFERROR(INDEX(Исходные!$B$18:$B$30,MATCH(H449,Исходные!$A$18:$A$30,0)),0)</f>
        <v>0.888</v>
      </c>
      <c r="P449" s="74" t="n">
        <f aca="false">N449*O449</f>
        <v>6.3936</v>
      </c>
      <c r="Q449" s="20" t="s">
        <v>1071</v>
      </c>
      <c r="R449" s="75" t="s">
        <v>371</v>
      </c>
      <c r="S449" s="20"/>
      <c r="T449" s="20" t="s">
        <v>9</v>
      </c>
      <c r="U449" s="47" t="n">
        <v>0</v>
      </c>
      <c r="V449" s="70" t="s">
        <v>98</v>
      </c>
      <c r="W449" s="47" t="n">
        <v>2</v>
      </c>
    </row>
    <row r="450" customFormat="false" ht="35.05" hidden="false" customHeight="false" outlineLevel="0" collapsed="false">
      <c r="A450" s="70" t="n">
        <v>436</v>
      </c>
      <c r="B450" s="20" t="s">
        <v>1024</v>
      </c>
      <c r="C450" s="20" t="s">
        <v>364</v>
      </c>
      <c r="D450" s="20" t="s">
        <v>421</v>
      </c>
      <c r="E450" s="20" t="s">
        <v>98</v>
      </c>
      <c r="F450" s="70" t="s">
        <v>401</v>
      </c>
      <c r="G450" s="20" t="s">
        <v>1074</v>
      </c>
      <c r="H450" s="49" t="n">
        <v>10</v>
      </c>
      <c r="I450" s="70" t="s">
        <v>403</v>
      </c>
      <c r="J450" s="70" t="s">
        <v>404</v>
      </c>
      <c r="K450" s="73" t="n">
        <v>1</v>
      </c>
      <c r="L450" s="49" t="n">
        <v>32</v>
      </c>
      <c r="M450" s="67" t="n">
        <v>1.33</v>
      </c>
      <c r="N450" s="68" t="n">
        <f aca="false">K450*L450*M450</f>
        <v>42.56</v>
      </c>
      <c r="O450" s="34" t="n">
        <f aca="false">IFERROR(INDEX(Исходные!$B$18:$B$30,MATCH(H450,Исходные!$A$18:$A$30,0)),0)</f>
        <v>0.617</v>
      </c>
      <c r="P450" s="74" t="n">
        <f aca="false">N450*O450</f>
        <v>26.25952</v>
      </c>
      <c r="Q450" s="20" t="s">
        <v>1075</v>
      </c>
      <c r="R450" s="75" t="s">
        <v>371</v>
      </c>
      <c r="S450" s="20"/>
      <c r="T450" s="20" t="s">
        <v>9</v>
      </c>
      <c r="U450" s="47" t="n">
        <v>0</v>
      </c>
      <c r="V450" s="70" t="s">
        <v>98</v>
      </c>
      <c r="W450" s="47" t="n">
        <v>2</v>
      </c>
    </row>
    <row r="451" customFormat="false" ht="35.05" hidden="false" customHeight="false" outlineLevel="0" collapsed="false">
      <c r="A451" s="70" t="n">
        <v>437</v>
      </c>
      <c r="B451" s="20" t="s">
        <v>1024</v>
      </c>
      <c r="C451" s="20" t="s">
        <v>364</v>
      </c>
      <c r="D451" s="20" t="s">
        <v>421</v>
      </c>
      <c r="E451" s="20" t="s">
        <v>98</v>
      </c>
      <c r="F451" s="70" t="s">
        <v>553</v>
      </c>
      <c r="G451" s="20" t="s">
        <v>1076</v>
      </c>
      <c r="H451" s="49" t="n">
        <v>8</v>
      </c>
      <c r="I451" s="70" t="s">
        <v>403</v>
      </c>
      <c r="J451" s="70" t="s">
        <v>404</v>
      </c>
      <c r="K451" s="73" t="n">
        <v>1</v>
      </c>
      <c r="L451" s="49" t="n">
        <v>16</v>
      </c>
      <c r="M451" s="67" t="n">
        <v>1.56</v>
      </c>
      <c r="N451" s="68" t="n">
        <f aca="false">K451*L451*M451</f>
        <v>24.96</v>
      </c>
      <c r="O451" s="34" t="n">
        <f aca="false">IFERROR(INDEX(Исходные!$B$18:$B$30,MATCH(H451,Исходные!$A$18:$A$30,0)),0)</f>
        <v>0.395</v>
      </c>
      <c r="P451" s="74" t="n">
        <f aca="false">N451*O451</f>
        <v>9.8592</v>
      </c>
      <c r="Q451" s="20" t="s">
        <v>1077</v>
      </c>
      <c r="R451" s="75" t="s">
        <v>371</v>
      </c>
      <c r="S451" s="20"/>
      <c r="T451" s="20" t="s">
        <v>9</v>
      </c>
      <c r="U451" s="47" t="n">
        <v>0</v>
      </c>
      <c r="V451" s="70" t="s">
        <v>98</v>
      </c>
      <c r="W451" s="47" t="n">
        <v>2</v>
      </c>
    </row>
    <row r="452" customFormat="false" ht="35.05" hidden="false" customHeight="false" outlineLevel="0" collapsed="false">
      <c r="A452" s="70" t="n">
        <v>438</v>
      </c>
      <c r="B452" s="20" t="s">
        <v>1024</v>
      </c>
      <c r="C452" s="20" t="s">
        <v>364</v>
      </c>
      <c r="D452" s="20" t="s">
        <v>421</v>
      </c>
      <c r="E452" s="20" t="s">
        <v>98</v>
      </c>
      <c r="F452" s="70" t="s">
        <v>460</v>
      </c>
      <c r="G452" s="20" t="s">
        <v>1052</v>
      </c>
      <c r="H452" s="49" t="n">
        <v>8</v>
      </c>
      <c r="I452" s="70" t="s">
        <v>403</v>
      </c>
      <c r="J452" s="70" t="s">
        <v>404</v>
      </c>
      <c r="K452" s="73" t="n">
        <v>1</v>
      </c>
      <c r="L452" s="49" t="n">
        <v>16</v>
      </c>
      <c r="M452" s="67" t="n">
        <v>1.76</v>
      </c>
      <c r="N452" s="68" t="n">
        <f aca="false">K452*L452*M452</f>
        <v>28.16</v>
      </c>
      <c r="O452" s="34" t="n">
        <f aca="false">IFERROR(INDEX(Исходные!$B$18:$B$30,MATCH(H452,Исходные!$A$18:$A$30,0)),0)</f>
        <v>0.395</v>
      </c>
      <c r="P452" s="74" t="n">
        <f aca="false">N452*O452</f>
        <v>11.1232</v>
      </c>
      <c r="Q452" s="20" t="s">
        <v>1078</v>
      </c>
      <c r="R452" s="75" t="s">
        <v>371</v>
      </c>
      <c r="S452" s="20"/>
      <c r="T452" s="20" t="s">
        <v>9</v>
      </c>
      <c r="U452" s="47" t="n">
        <v>0</v>
      </c>
      <c r="V452" s="70" t="s">
        <v>98</v>
      </c>
      <c r="W452" s="47" t="n">
        <v>2</v>
      </c>
    </row>
    <row r="453" customFormat="false" ht="35.05" hidden="false" customHeight="false" outlineLevel="0" collapsed="false">
      <c r="A453" s="70" t="n">
        <v>439</v>
      </c>
      <c r="B453" s="20" t="s">
        <v>1024</v>
      </c>
      <c r="C453" s="20" t="s">
        <v>364</v>
      </c>
      <c r="D453" s="20" t="s">
        <v>421</v>
      </c>
      <c r="E453" s="20" t="s">
        <v>98</v>
      </c>
      <c r="F453" s="70" t="s">
        <v>412</v>
      </c>
      <c r="G453" s="20" t="s">
        <v>1054</v>
      </c>
      <c r="H453" s="49" t="n">
        <v>8</v>
      </c>
      <c r="I453" s="70" t="s">
        <v>403</v>
      </c>
      <c r="J453" s="70" t="s">
        <v>404</v>
      </c>
      <c r="K453" s="73" t="n">
        <v>1</v>
      </c>
      <c r="L453" s="49" t="n">
        <v>28</v>
      </c>
      <c r="M453" s="67" t="n">
        <v>2.44</v>
      </c>
      <c r="N453" s="68" t="n">
        <f aca="false">K453*L453*M453</f>
        <v>68.32</v>
      </c>
      <c r="O453" s="34" t="n">
        <f aca="false">IFERROR(INDEX(Исходные!$B$18:$B$30,MATCH(H453,Исходные!$A$18:$A$30,0)),0)</f>
        <v>0.395</v>
      </c>
      <c r="P453" s="74" t="n">
        <f aca="false">N453*O453</f>
        <v>26.9864</v>
      </c>
      <c r="Q453" s="20" t="s">
        <v>1055</v>
      </c>
      <c r="R453" s="75" t="s">
        <v>371</v>
      </c>
      <c r="S453" s="20"/>
      <c r="T453" s="20" t="s">
        <v>9</v>
      </c>
      <c r="U453" s="47" t="n">
        <v>0</v>
      </c>
      <c r="V453" s="70" t="s">
        <v>98</v>
      </c>
      <c r="W453" s="47" t="n">
        <v>2</v>
      </c>
    </row>
    <row r="454" customFormat="false" ht="35.05" hidden="false" customHeight="false" outlineLevel="0" collapsed="false">
      <c r="A454" s="70" t="n">
        <v>440</v>
      </c>
      <c r="B454" s="20" t="s">
        <v>1024</v>
      </c>
      <c r="C454" s="20" t="s">
        <v>364</v>
      </c>
      <c r="D454" s="20" t="s">
        <v>421</v>
      </c>
      <c r="E454" s="20" t="s">
        <v>98</v>
      </c>
      <c r="F454" s="70" t="s">
        <v>415</v>
      </c>
      <c r="G454" s="20" t="s">
        <v>1056</v>
      </c>
      <c r="H454" s="49" t="n">
        <v>8</v>
      </c>
      <c r="I454" s="70" t="s">
        <v>403</v>
      </c>
      <c r="J454" s="70" t="s">
        <v>404</v>
      </c>
      <c r="K454" s="73" t="n">
        <v>1</v>
      </c>
      <c r="L454" s="49" t="n">
        <v>32</v>
      </c>
      <c r="M454" s="67" t="n">
        <v>1.96</v>
      </c>
      <c r="N454" s="68" t="n">
        <f aca="false">K454*L454*M454</f>
        <v>62.72</v>
      </c>
      <c r="O454" s="34" t="n">
        <f aca="false">IFERROR(INDEX(Исходные!$B$18:$B$30,MATCH(H454,Исходные!$A$18:$A$30,0)),0)</f>
        <v>0.395</v>
      </c>
      <c r="P454" s="74" t="n">
        <f aca="false">N454*O454</f>
        <v>24.7744</v>
      </c>
      <c r="Q454" s="20" t="s">
        <v>1079</v>
      </c>
      <c r="R454" s="75" t="s">
        <v>371</v>
      </c>
      <c r="S454" s="20"/>
      <c r="T454" s="20" t="s">
        <v>9</v>
      </c>
      <c r="U454" s="47" t="n">
        <v>0</v>
      </c>
      <c r="V454" s="70" t="s">
        <v>98</v>
      </c>
      <c r="W454" s="47" t="n">
        <v>2</v>
      </c>
    </row>
    <row r="455" customFormat="false" ht="35.05" hidden="false" customHeight="false" outlineLevel="0" collapsed="false">
      <c r="A455" s="70" t="n">
        <v>441</v>
      </c>
      <c r="B455" s="20" t="s">
        <v>1024</v>
      </c>
      <c r="C455" s="20" t="s">
        <v>364</v>
      </c>
      <c r="D455" s="20" t="s">
        <v>421</v>
      </c>
      <c r="E455" s="20" t="s">
        <v>98</v>
      </c>
      <c r="F455" s="70" t="s">
        <v>418</v>
      </c>
      <c r="G455" s="20" t="s">
        <v>1080</v>
      </c>
      <c r="H455" s="49" t="n">
        <v>8</v>
      </c>
      <c r="I455" s="70" t="s">
        <v>403</v>
      </c>
      <c r="J455" s="70" t="s">
        <v>404</v>
      </c>
      <c r="K455" s="73" t="n">
        <v>1</v>
      </c>
      <c r="L455" s="49" t="n">
        <v>40</v>
      </c>
      <c r="M455" s="67" t="n">
        <v>0.53</v>
      </c>
      <c r="N455" s="68" t="n">
        <f aca="false">K455*L455*M455</f>
        <v>21.2</v>
      </c>
      <c r="O455" s="34" t="n">
        <f aca="false">IFERROR(INDEX(Исходные!$B$18:$B$30,MATCH(H455,Исходные!$A$18:$A$30,0)),0)</f>
        <v>0.395</v>
      </c>
      <c r="P455" s="74" t="n">
        <f aca="false">N455*O455</f>
        <v>8.374</v>
      </c>
      <c r="Q455" s="20" t="s">
        <v>1081</v>
      </c>
      <c r="R455" s="75" t="s">
        <v>371</v>
      </c>
      <c r="S455" s="20"/>
      <c r="T455" s="20" t="s">
        <v>9</v>
      </c>
      <c r="U455" s="47" t="n">
        <v>0</v>
      </c>
      <c r="V455" s="70" t="s">
        <v>98</v>
      </c>
      <c r="W455" s="47" t="n">
        <v>2</v>
      </c>
    </row>
    <row r="456" customFormat="false" ht="35.05" hidden="false" customHeight="false" outlineLevel="0" collapsed="false">
      <c r="A456" s="70" t="n">
        <v>442</v>
      </c>
      <c r="B456" s="20" t="s">
        <v>1024</v>
      </c>
      <c r="C456" s="20" t="s">
        <v>364</v>
      </c>
      <c r="D456" s="20" t="s">
        <v>443</v>
      </c>
      <c r="E456" s="20" t="s">
        <v>103</v>
      </c>
      <c r="F456" s="70" t="s">
        <v>376</v>
      </c>
      <c r="G456" s="20" t="s">
        <v>1025</v>
      </c>
      <c r="H456" s="49" t="n">
        <v>28</v>
      </c>
      <c r="I456" s="70" t="s">
        <v>368</v>
      </c>
      <c r="J456" s="70" t="s">
        <v>369</v>
      </c>
      <c r="K456" s="73" t="n">
        <v>1</v>
      </c>
      <c r="L456" s="49" t="n">
        <v>4</v>
      </c>
      <c r="M456" s="67" t="n">
        <v>3.6</v>
      </c>
      <c r="N456" s="68" t="n">
        <f aca="false">K456*L456*M456</f>
        <v>14.4</v>
      </c>
      <c r="O456" s="34" t="n">
        <f aca="false">IFERROR(INDEX(Исходные!$B$18:$B$30,MATCH(H456,Исходные!$A$18:$A$30,0)),0)</f>
        <v>4.834</v>
      </c>
      <c r="P456" s="74" t="n">
        <f aca="false">N456*O456</f>
        <v>69.6096</v>
      </c>
      <c r="Q456" s="20" t="s">
        <v>1082</v>
      </c>
      <c r="R456" s="75" t="s">
        <v>371</v>
      </c>
      <c r="S456" s="20" t="s">
        <v>1061</v>
      </c>
      <c r="T456" s="20" t="s">
        <v>9</v>
      </c>
      <c r="U456" s="47" t="n">
        <v>0</v>
      </c>
      <c r="V456" s="70" t="s">
        <v>103</v>
      </c>
      <c r="W456" s="47" t="n">
        <v>2</v>
      </c>
    </row>
    <row r="457" customFormat="false" ht="35.05" hidden="false" customHeight="false" outlineLevel="0" collapsed="false">
      <c r="A457" s="70" t="n">
        <v>443</v>
      </c>
      <c r="B457" s="20" t="s">
        <v>1024</v>
      </c>
      <c r="C457" s="20" t="s">
        <v>364</v>
      </c>
      <c r="D457" s="20" t="s">
        <v>443</v>
      </c>
      <c r="E457" s="20" t="s">
        <v>103</v>
      </c>
      <c r="F457" s="70" t="s">
        <v>373</v>
      </c>
      <c r="G457" s="20" t="s">
        <v>1028</v>
      </c>
      <c r="H457" s="49" t="n">
        <v>20</v>
      </c>
      <c r="I457" s="70" t="s">
        <v>368</v>
      </c>
      <c r="J457" s="70" t="s">
        <v>369</v>
      </c>
      <c r="K457" s="73" t="n">
        <v>1</v>
      </c>
      <c r="L457" s="49" t="n">
        <v>8</v>
      </c>
      <c r="M457" s="67" t="n">
        <v>3.6</v>
      </c>
      <c r="N457" s="68" t="n">
        <f aca="false">K457*L457*M457</f>
        <v>28.8</v>
      </c>
      <c r="O457" s="34" t="n">
        <f aca="false">IFERROR(INDEX(Исходные!$B$18:$B$30,MATCH(H457,Исходные!$A$18:$A$30,0)),0)</f>
        <v>2.466</v>
      </c>
      <c r="P457" s="74" t="n">
        <f aca="false">N457*O457</f>
        <v>71.0208</v>
      </c>
      <c r="Q457" s="20" t="s">
        <v>1082</v>
      </c>
      <c r="R457" s="75" t="s">
        <v>371</v>
      </c>
      <c r="S457" s="20" t="s">
        <v>1063</v>
      </c>
      <c r="T457" s="20" t="s">
        <v>9</v>
      </c>
      <c r="U457" s="47" t="n">
        <v>0</v>
      </c>
      <c r="V457" s="70" t="s">
        <v>103</v>
      </c>
      <c r="W457" s="47" t="n">
        <v>2</v>
      </c>
    </row>
    <row r="458" customFormat="false" ht="35.05" hidden="false" customHeight="false" outlineLevel="0" collapsed="false">
      <c r="A458" s="70" t="n">
        <v>444</v>
      </c>
      <c r="B458" s="20" t="s">
        <v>1024</v>
      </c>
      <c r="C458" s="20" t="s">
        <v>364</v>
      </c>
      <c r="D458" s="20" t="s">
        <v>443</v>
      </c>
      <c r="E458" s="20" t="s">
        <v>103</v>
      </c>
      <c r="F458" s="70" t="s">
        <v>379</v>
      </c>
      <c r="G458" s="20" t="s">
        <v>1083</v>
      </c>
      <c r="H458" s="49" t="n">
        <v>25</v>
      </c>
      <c r="I458" s="70" t="s">
        <v>368</v>
      </c>
      <c r="J458" s="70" t="s">
        <v>369</v>
      </c>
      <c r="K458" s="73" t="n">
        <v>1</v>
      </c>
      <c r="L458" s="49" t="n">
        <v>12</v>
      </c>
      <c r="M458" s="67" t="n">
        <v>3.6</v>
      </c>
      <c r="N458" s="68" t="n">
        <f aca="false">K458*L458*M458</f>
        <v>43.2</v>
      </c>
      <c r="O458" s="34" t="n">
        <f aca="false">IFERROR(INDEX(Исходные!$B$18:$B$30,MATCH(H458,Исходные!$A$18:$A$30,0)),0)</f>
        <v>3.853</v>
      </c>
      <c r="P458" s="74" t="n">
        <f aca="false">N458*O458</f>
        <v>166.4496</v>
      </c>
      <c r="Q458" s="20" t="s">
        <v>1082</v>
      </c>
      <c r="R458" s="75" t="s">
        <v>371</v>
      </c>
      <c r="S458" s="20" t="s">
        <v>1084</v>
      </c>
      <c r="T458" s="20" t="s">
        <v>9</v>
      </c>
      <c r="U458" s="47" t="n">
        <v>0</v>
      </c>
      <c r="V458" s="70" t="s">
        <v>103</v>
      </c>
      <c r="W458" s="47" t="n">
        <v>2</v>
      </c>
    </row>
    <row r="459" customFormat="false" ht="35.05" hidden="false" customHeight="false" outlineLevel="0" collapsed="false">
      <c r="A459" s="70" t="n">
        <v>445</v>
      </c>
      <c r="B459" s="20" t="s">
        <v>1024</v>
      </c>
      <c r="C459" s="20" t="s">
        <v>364</v>
      </c>
      <c r="D459" s="20" t="s">
        <v>443</v>
      </c>
      <c r="E459" s="20" t="s">
        <v>103</v>
      </c>
      <c r="F459" s="70" t="s">
        <v>386</v>
      </c>
      <c r="G459" s="20" t="s">
        <v>1085</v>
      </c>
      <c r="H459" s="49" t="n">
        <v>18</v>
      </c>
      <c r="I459" s="70" t="s">
        <v>368</v>
      </c>
      <c r="J459" s="70" t="s">
        <v>369</v>
      </c>
      <c r="K459" s="73" t="n">
        <v>1</v>
      </c>
      <c r="L459" s="49" t="n">
        <v>8</v>
      </c>
      <c r="M459" s="67" t="n">
        <v>3.744</v>
      </c>
      <c r="N459" s="68" t="n">
        <f aca="false">K459*L459*M459</f>
        <v>29.952</v>
      </c>
      <c r="O459" s="34" t="n">
        <f aca="false">IFERROR(INDEX(Исходные!$B$18:$B$30,MATCH(H459,Исходные!$A$18:$A$30,0)),0)</f>
        <v>1.998</v>
      </c>
      <c r="P459" s="74" t="n">
        <f aca="false">N459*O459</f>
        <v>59.844096</v>
      </c>
      <c r="Q459" s="20" t="s">
        <v>1082</v>
      </c>
      <c r="R459" s="75" t="s">
        <v>371</v>
      </c>
      <c r="S459" s="20" t="s">
        <v>1086</v>
      </c>
      <c r="T459" s="20" t="s">
        <v>9</v>
      </c>
      <c r="U459" s="47" t="n">
        <v>0</v>
      </c>
      <c r="V459" s="70" t="s">
        <v>103</v>
      </c>
      <c r="W459" s="47" t="n">
        <v>2</v>
      </c>
    </row>
    <row r="460" customFormat="false" ht="35.05" hidden="false" customHeight="false" outlineLevel="0" collapsed="false">
      <c r="A460" s="70" t="n">
        <v>446</v>
      </c>
      <c r="B460" s="20" t="s">
        <v>1024</v>
      </c>
      <c r="C460" s="20" t="s">
        <v>364</v>
      </c>
      <c r="D460" s="20" t="s">
        <v>443</v>
      </c>
      <c r="E460" s="20" t="s">
        <v>103</v>
      </c>
      <c r="F460" s="70" t="s">
        <v>386</v>
      </c>
      <c r="G460" s="20" t="s">
        <v>1087</v>
      </c>
      <c r="H460" s="49" t="n">
        <v>18</v>
      </c>
      <c r="I460" s="70" t="s">
        <v>368</v>
      </c>
      <c r="J460" s="70" t="s">
        <v>369</v>
      </c>
      <c r="K460" s="73" t="n">
        <v>1</v>
      </c>
      <c r="L460" s="49" t="n">
        <v>6</v>
      </c>
      <c r="M460" s="67" t="n">
        <v>3.744</v>
      </c>
      <c r="N460" s="68" t="n">
        <f aca="false">K460*L460*M460</f>
        <v>22.464</v>
      </c>
      <c r="O460" s="34" t="n">
        <f aca="false">IFERROR(INDEX(Исходные!$B$18:$B$30,MATCH(H460,Исходные!$A$18:$A$30,0)),0)</f>
        <v>1.998</v>
      </c>
      <c r="P460" s="74" t="n">
        <f aca="false">N460*O460</f>
        <v>44.883072</v>
      </c>
      <c r="Q460" s="20" t="s">
        <v>1082</v>
      </c>
      <c r="R460" s="75" t="s">
        <v>371</v>
      </c>
      <c r="S460" s="20" t="s">
        <v>1088</v>
      </c>
      <c r="T460" s="20" t="s">
        <v>9</v>
      </c>
      <c r="U460" s="47" t="n">
        <v>0</v>
      </c>
      <c r="V460" s="70" t="s">
        <v>103</v>
      </c>
      <c r="W460" s="47" t="n">
        <v>2</v>
      </c>
    </row>
    <row r="461" customFormat="false" ht="35.05" hidden="false" customHeight="false" outlineLevel="0" collapsed="false">
      <c r="A461" s="70" t="n">
        <v>447</v>
      </c>
      <c r="B461" s="20" t="s">
        <v>1024</v>
      </c>
      <c r="C461" s="20" t="s">
        <v>364</v>
      </c>
      <c r="D461" s="20" t="s">
        <v>443</v>
      </c>
      <c r="E461" s="20" t="s">
        <v>103</v>
      </c>
      <c r="F461" s="70" t="s">
        <v>379</v>
      </c>
      <c r="G461" s="20" t="s">
        <v>1089</v>
      </c>
      <c r="H461" s="49" t="n">
        <v>25</v>
      </c>
      <c r="I461" s="70" t="s">
        <v>368</v>
      </c>
      <c r="J461" s="70" t="s">
        <v>369</v>
      </c>
      <c r="K461" s="73" t="n">
        <v>1</v>
      </c>
      <c r="L461" s="49" t="n">
        <v>6</v>
      </c>
      <c r="M461" s="67" t="n">
        <v>3.6</v>
      </c>
      <c r="N461" s="68" t="n">
        <f aca="false">K461*L461*M461</f>
        <v>21.6</v>
      </c>
      <c r="O461" s="34" t="n">
        <f aca="false">IFERROR(INDEX(Исходные!$B$18:$B$30,MATCH(H461,Исходные!$A$18:$A$30,0)),0)</f>
        <v>3.853</v>
      </c>
      <c r="P461" s="74" t="n">
        <f aca="false">N461*O461</f>
        <v>83.2248</v>
      </c>
      <c r="Q461" s="20" t="s">
        <v>1082</v>
      </c>
      <c r="R461" s="75" t="s">
        <v>371</v>
      </c>
      <c r="S461" s="20" t="s">
        <v>1035</v>
      </c>
      <c r="T461" s="20" t="s">
        <v>9</v>
      </c>
      <c r="U461" s="47" t="n">
        <v>0</v>
      </c>
      <c r="V461" s="70" t="s">
        <v>103</v>
      </c>
      <c r="W461" s="47" t="n">
        <v>2</v>
      </c>
    </row>
    <row r="462" customFormat="false" ht="35.05" hidden="false" customHeight="false" outlineLevel="0" collapsed="false">
      <c r="A462" s="70" t="n">
        <v>448</v>
      </c>
      <c r="B462" s="20" t="s">
        <v>1024</v>
      </c>
      <c r="C462" s="20" t="s">
        <v>364</v>
      </c>
      <c r="D462" s="20" t="s">
        <v>443</v>
      </c>
      <c r="E462" s="20" t="s">
        <v>103</v>
      </c>
      <c r="F462" s="70" t="s">
        <v>389</v>
      </c>
      <c r="G462" s="20" t="s">
        <v>452</v>
      </c>
      <c r="H462" s="49" t="n">
        <v>14</v>
      </c>
      <c r="I462" s="70" t="s">
        <v>368</v>
      </c>
      <c r="J462" s="70" t="n">
        <v>200</v>
      </c>
      <c r="K462" s="73" t="n">
        <v>1</v>
      </c>
      <c r="L462" s="49" t="n">
        <v>32</v>
      </c>
      <c r="M462" s="67" t="n">
        <v>1.95</v>
      </c>
      <c r="N462" s="68" t="n">
        <f aca="false">K462*L462*M462</f>
        <v>62.4</v>
      </c>
      <c r="O462" s="34" t="n">
        <f aca="false">IFERROR(INDEX(Исходные!$B$18:$B$30,MATCH(H462,Исходные!$A$18:$A$30,0)),0)</f>
        <v>1.208</v>
      </c>
      <c r="P462" s="74" t="n">
        <f aca="false">N462*O462</f>
        <v>75.3792</v>
      </c>
      <c r="Q462" s="20" t="s">
        <v>1090</v>
      </c>
      <c r="R462" s="76" t="s">
        <v>392</v>
      </c>
      <c r="S462" s="20" t="s">
        <v>1041</v>
      </c>
      <c r="T462" s="20" t="s">
        <v>9</v>
      </c>
      <c r="U462" s="47" t="n">
        <v>1</v>
      </c>
      <c r="V462" s="70" t="s">
        <v>103</v>
      </c>
      <c r="W462" s="47" t="n">
        <v>2</v>
      </c>
    </row>
    <row r="463" customFormat="false" ht="35.05" hidden="false" customHeight="false" outlineLevel="0" collapsed="false">
      <c r="A463" s="70" t="n">
        <v>449</v>
      </c>
      <c r="B463" s="20" t="s">
        <v>1024</v>
      </c>
      <c r="C463" s="20" t="s">
        <v>364</v>
      </c>
      <c r="D463" s="20" t="s">
        <v>443</v>
      </c>
      <c r="E463" s="20" t="s">
        <v>103</v>
      </c>
      <c r="F463" s="70" t="s">
        <v>389</v>
      </c>
      <c r="G463" s="20" t="s">
        <v>454</v>
      </c>
      <c r="H463" s="49" t="n">
        <v>14</v>
      </c>
      <c r="I463" s="70" t="s">
        <v>368</v>
      </c>
      <c r="J463" s="70" t="n">
        <v>200</v>
      </c>
      <c r="K463" s="73" t="n">
        <v>1</v>
      </c>
      <c r="L463" s="49" t="n">
        <v>32</v>
      </c>
      <c r="M463" s="67" t="n">
        <v>1.45</v>
      </c>
      <c r="N463" s="68" t="n">
        <f aca="false">K463*L463*M463</f>
        <v>46.4</v>
      </c>
      <c r="O463" s="34" t="n">
        <f aca="false">IFERROR(INDEX(Исходные!$B$18:$B$30,MATCH(H463,Исходные!$A$18:$A$30,0)),0)</f>
        <v>1.208</v>
      </c>
      <c r="P463" s="74" t="n">
        <f aca="false">N463*O463</f>
        <v>56.0512</v>
      </c>
      <c r="Q463" s="20" t="s">
        <v>1090</v>
      </c>
      <c r="R463" s="76" t="s">
        <v>392</v>
      </c>
      <c r="S463" s="20" t="s">
        <v>1041</v>
      </c>
      <c r="T463" s="20" t="s">
        <v>9</v>
      </c>
      <c r="U463" s="47" t="n">
        <v>1</v>
      </c>
      <c r="V463" s="70" t="s">
        <v>103</v>
      </c>
      <c r="W463" s="47" t="n">
        <v>2</v>
      </c>
    </row>
    <row r="464" customFormat="false" ht="35.05" hidden="false" customHeight="false" outlineLevel="0" collapsed="false">
      <c r="A464" s="70" t="n">
        <v>450</v>
      </c>
      <c r="B464" s="20" t="s">
        <v>1024</v>
      </c>
      <c r="C464" s="20" t="s">
        <v>364</v>
      </c>
      <c r="D464" s="20" t="s">
        <v>443</v>
      </c>
      <c r="E464" s="20" t="s">
        <v>103</v>
      </c>
      <c r="F464" s="70" t="s">
        <v>396</v>
      </c>
      <c r="G464" s="20" t="s">
        <v>1091</v>
      </c>
      <c r="H464" s="49" t="n">
        <v>16</v>
      </c>
      <c r="I464" s="70" t="s">
        <v>368</v>
      </c>
      <c r="J464" s="70" t="n">
        <v>200</v>
      </c>
      <c r="K464" s="73" t="n">
        <v>1</v>
      </c>
      <c r="L464" s="49" t="n">
        <v>8</v>
      </c>
      <c r="M464" s="67" t="n">
        <v>1.95</v>
      </c>
      <c r="N464" s="68" t="n">
        <f aca="false">K464*L464*M464</f>
        <v>15.6</v>
      </c>
      <c r="O464" s="34" t="n">
        <f aca="false">IFERROR(INDEX(Исходные!$B$18:$B$30,MATCH(H464,Исходные!$A$18:$A$30,0)),0)</f>
        <v>1.578</v>
      </c>
      <c r="P464" s="74" t="n">
        <f aca="false">N464*O464</f>
        <v>24.6168</v>
      </c>
      <c r="Q464" s="20" t="s">
        <v>1092</v>
      </c>
      <c r="R464" s="75" t="s">
        <v>371</v>
      </c>
      <c r="S464" s="20"/>
      <c r="T464" s="20" t="s">
        <v>9</v>
      </c>
      <c r="U464" s="47" t="n">
        <v>0</v>
      </c>
      <c r="V464" s="70" t="s">
        <v>103</v>
      </c>
      <c r="W464" s="47" t="n">
        <v>2</v>
      </c>
    </row>
    <row r="465" customFormat="false" ht="35.05" hidden="false" customHeight="false" outlineLevel="0" collapsed="false">
      <c r="A465" s="70" t="n">
        <v>451</v>
      </c>
      <c r="B465" s="20" t="s">
        <v>1024</v>
      </c>
      <c r="C465" s="20" t="s">
        <v>364</v>
      </c>
      <c r="D465" s="20" t="s">
        <v>443</v>
      </c>
      <c r="E465" s="20" t="s">
        <v>103</v>
      </c>
      <c r="F465" s="70" t="s">
        <v>396</v>
      </c>
      <c r="G465" s="20" t="s">
        <v>1093</v>
      </c>
      <c r="H465" s="49" t="n">
        <v>10</v>
      </c>
      <c r="I465" s="70" t="s">
        <v>368</v>
      </c>
      <c r="J465" s="70" t="n">
        <v>200</v>
      </c>
      <c r="K465" s="73" t="n">
        <v>1</v>
      </c>
      <c r="L465" s="49" t="n">
        <v>6</v>
      </c>
      <c r="M465" s="67" t="n">
        <v>1.95</v>
      </c>
      <c r="N465" s="68" t="n">
        <f aca="false">K465*L465*M465</f>
        <v>11.7</v>
      </c>
      <c r="O465" s="34" t="n">
        <f aca="false">IFERROR(INDEX(Исходные!$B$18:$B$30,MATCH(H465,Исходные!$A$18:$A$30,0)),0)</f>
        <v>0.617</v>
      </c>
      <c r="P465" s="74" t="n">
        <f aca="false">N465*O465</f>
        <v>7.2189</v>
      </c>
      <c r="Q465" s="20" t="s">
        <v>1092</v>
      </c>
      <c r="R465" s="75" t="s">
        <v>371</v>
      </c>
      <c r="S465" s="20"/>
      <c r="T465" s="20" t="s">
        <v>9</v>
      </c>
      <c r="U465" s="47" t="n">
        <v>0</v>
      </c>
      <c r="V465" s="70" t="s">
        <v>103</v>
      </c>
      <c r="W465" s="47" t="n">
        <v>2</v>
      </c>
    </row>
    <row r="466" customFormat="false" ht="35.05" hidden="false" customHeight="false" outlineLevel="0" collapsed="false">
      <c r="A466" s="70" t="n">
        <v>452</v>
      </c>
      <c r="B466" s="20" t="s">
        <v>1024</v>
      </c>
      <c r="C466" s="20" t="s">
        <v>364</v>
      </c>
      <c r="D466" s="20" t="s">
        <v>443</v>
      </c>
      <c r="E466" s="20" t="s">
        <v>103</v>
      </c>
      <c r="F466" s="70" t="s">
        <v>396</v>
      </c>
      <c r="G466" s="20" t="s">
        <v>1094</v>
      </c>
      <c r="H466" s="49" t="n">
        <v>16</v>
      </c>
      <c r="I466" s="70" t="s">
        <v>368</v>
      </c>
      <c r="J466" s="70" t="n">
        <v>200</v>
      </c>
      <c r="K466" s="73" t="n">
        <v>1</v>
      </c>
      <c r="L466" s="49" t="n">
        <v>10</v>
      </c>
      <c r="M466" s="67" t="n">
        <v>1.45</v>
      </c>
      <c r="N466" s="68" t="n">
        <f aca="false">K466*L466*M466</f>
        <v>14.5</v>
      </c>
      <c r="O466" s="34" t="n">
        <f aca="false">IFERROR(INDEX(Исходные!$B$18:$B$30,MATCH(H466,Исходные!$A$18:$A$30,0)),0)</f>
        <v>1.578</v>
      </c>
      <c r="P466" s="74" t="n">
        <f aca="false">N466*O466</f>
        <v>22.881</v>
      </c>
      <c r="Q466" s="20" t="s">
        <v>1092</v>
      </c>
      <c r="R466" s="75" t="s">
        <v>371</v>
      </c>
      <c r="S466" s="20"/>
      <c r="T466" s="20" t="s">
        <v>9</v>
      </c>
      <c r="U466" s="47" t="n">
        <v>0</v>
      </c>
      <c r="V466" s="70" t="s">
        <v>103</v>
      </c>
      <c r="W466" s="47" t="n">
        <v>2</v>
      </c>
    </row>
    <row r="467" customFormat="false" ht="35.05" hidden="false" customHeight="false" outlineLevel="0" collapsed="false">
      <c r="A467" s="70" t="n">
        <v>453</v>
      </c>
      <c r="B467" s="20" t="s">
        <v>1024</v>
      </c>
      <c r="C467" s="20" t="s">
        <v>364</v>
      </c>
      <c r="D467" s="20" t="s">
        <v>443</v>
      </c>
      <c r="E467" s="20" t="s">
        <v>103</v>
      </c>
      <c r="F467" s="70" t="s">
        <v>396</v>
      </c>
      <c r="G467" s="20" t="s">
        <v>1095</v>
      </c>
      <c r="H467" s="49" t="n">
        <v>10</v>
      </c>
      <c r="I467" s="70" t="s">
        <v>368</v>
      </c>
      <c r="J467" s="70" t="n">
        <v>200</v>
      </c>
      <c r="K467" s="73" t="n">
        <v>1</v>
      </c>
      <c r="L467" s="49" t="n">
        <v>6</v>
      </c>
      <c r="M467" s="67" t="n">
        <v>1.45</v>
      </c>
      <c r="N467" s="68" t="n">
        <f aca="false">K467*L467*M467</f>
        <v>8.7</v>
      </c>
      <c r="O467" s="34" t="n">
        <f aca="false">IFERROR(INDEX(Исходные!$B$18:$B$30,MATCH(H467,Исходные!$A$18:$A$30,0)),0)</f>
        <v>0.617</v>
      </c>
      <c r="P467" s="74" t="n">
        <f aca="false">N467*O467</f>
        <v>5.3679</v>
      </c>
      <c r="Q467" s="20" t="s">
        <v>1092</v>
      </c>
      <c r="R467" s="75" t="s">
        <v>371</v>
      </c>
      <c r="S467" s="20"/>
      <c r="T467" s="20" t="s">
        <v>9</v>
      </c>
      <c r="U467" s="47" t="n">
        <v>0</v>
      </c>
      <c r="V467" s="70" t="s">
        <v>103</v>
      </c>
      <c r="W467" s="47" t="n">
        <v>2</v>
      </c>
    </row>
    <row r="468" customFormat="false" ht="35.05" hidden="false" customHeight="false" outlineLevel="0" collapsed="false">
      <c r="A468" s="70" t="n">
        <v>454</v>
      </c>
      <c r="B468" s="20" t="s">
        <v>1024</v>
      </c>
      <c r="C468" s="20" t="s">
        <v>364</v>
      </c>
      <c r="D468" s="20" t="s">
        <v>443</v>
      </c>
      <c r="E468" s="20" t="s">
        <v>103</v>
      </c>
      <c r="F468" s="70" t="s">
        <v>401</v>
      </c>
      <c r="G468" s="20" t="s">
        <v>1048</v>
      </c>
      <c r="H468" s="49" t="n">
        <v>10</v>
      </c>
      <c r="I468" s="70" t="s">
        <v>403</v>
      </c>
      <c r="J468" s="70" t="s">
        <v>404</v>
      </c>
      <c r="K468" s="73" t="n">
        <v>1</v>
      </c>
      <c r="L468" s="49" t="n">
        <v>48</v>
      </c>
      <c r="M468" s="67" t="n">
        <v>1.33</v>
      </c>
      <c r="N468" s="68" t="n">
        <f aca="false">K468*L468*M468</f>
        <v>63.84</v>
      </c>
      <c r="O468" s="34" t="n">
        <f aca="false">IFERROR(INDEX(Исходные!$B$18:$B$30,MATCH(H468,Исходные!$A$18:$A$30,0)),0)</f>
        <v>0.617</v>
      </c>
      <c r="P468" s="74" t="n">
        <f aca="false">N468*O468</f>
        <v>39.38928</v>
      </c>
      <c r="Q468" s="20" t="s">
        <v>1049</v>
      </c>
      <c r="R468" s="75" t="s">
        <v>371</v>
      </c>
      <c r="S468" s="20"/>
      <c r="T468" s="20" t="s">
        <v>9</v>
      </c>
      <c r="U468" s="47" t="n">
        <v>0</v>
      </c>
      <c r="V468" s="70" t="s">
        <v>103</v>
      </c>
      <c r="W468" s="47" t="n">
        <v>2</v>
      </c>
    </row>
    <row r="469" customFormat="false" ht="35.05" hidden="false" customHeight="false" outlineLevel="0" collapsed="false">
      <c r="A469" s="70" t="n">
        <v>455</v>
      </c>
      <c r="B469" s="20" t="s">
        <v>1024</v>
      </c>
      <c r="C469" s="20" t="s">
        <v>364</v>
      </c>
      <c r="D469" s="20" t="s">
        <v>443</v>
      </c>
      <c r="E469" s="20" t="s">
        <v>103</v>
      </c>
      <c r="F469" s="70" t="s">
        <v>553</v>
      </c>
      <c r="G469" s="20" t="s">
        <v>1050</v>
      </c>
      <c r="H469" s="49" t="n">
        <v>8</v>
      </c>
      <c r="I469" s="70" t="s">
        <v>403</v>
      </c>
      <c r="J469" s="70" t="s">
        <v>404</v>
      </c>
      <c r="K469" s="73" t="n">
        <v>1</v>
      </c>
      <c r="L469" s="49" t="n">
        <v>32</v>
      </c>
      <c r="M469" s="67" t="n">
        <v>1.56</v>
      </c>
      <c r="N469" s="68" t="n">
        <f aca="false">K469*L469*M469</f>
        <v>49.92</v>
      </c>
      <c r="O469" s="34" t="n">
        <f aca="false">IFERROR(INDEX(Исходные!$B$18:$B$30,MATCH(H469,Исходные!$A$18:$A$30,0)),0)</f>
        <v>0.395</v>
      </c>
      <c r="P469" s="74" t="n">
        <f aca="false">N469*O469</f>
        <v>19.7184</v>
      </c>
      <c r="Q469" s="20" t="s">
        <v>1051</v>
      </c>
      <c r="R469" s="75" t="s">
        <v>371</v>
      </c>
      <c r="S469" s="20"/>
      <c r="T469" s="20" t="s">
        <v>9</v>
      </c>
      <c r="U469" s="47" t="n">
        <v>0</v>
      </c>
      <c r="V469" s="70" t="s">
        <v>103</v>
      </c>
      <c r="W469" s="47" t="n">
        <v>2</v>
      </c>
    </row>
    <row r="470" customFormat="false" ht="35.05" hidden="false" customHeight="false" outlineLevel="0" collapsed="false">
      <c r="A470" s="70" t="n">
        <v>456</v>
      </c>
      <c r="B470" s="20" t="s">
        <v>1024</v>
      </c>
      <c r="C470" s="20" t="s">
        <v>364</v>
      </c>
      <c r="D470" s="20" t="s">
        <v>443</v>
      </c>
      <c r="E470" s="20" t="s">
        <v>103</v>
      </c>
      <c r="F470" s="70" t="s">
        <v>460</v>
      </c>
      <c r="G470" s="20" t="s">
        <v>1052</v>
      </c>
      <c r="H470" s="49" t="n">
        <v>8</v>
      </c>
      <c r="I470" s="70" t="s">
        <v>403</v>
      </c>
      <c r="J470" s="70" t="s">
        <v>404</v>
      </c>
      <c r="K470" s="73" t="n">
        <v>1</v>
      </c>
      <c r="L470" s="49" t="n">
        <v>16</v>
      </c>
      <c r="M470" s="67" t="n">
        <v>1.76</v>
      </c>
      <c r="N470" s="68" t="n">
        <f aca="false">K470*L470*M470</f>
        <v>28.16</v>
      </c>
      <c r="O470" s="34" t="n">
        <f aca="false">IFERROR(INDEX(Исходные!$B$18:$B$30,MATCH(H470,Исходные!$A$18:$A$30,0)),0)</f>
        <v>0.395</v>
      </c>
      <c r="P470" s="74" t="n">
        <f aca="false">N470*O470</f>
        <v>11.1232</v>
      </c>
      <c r="Q470" s="20" t="s">
        <v>1053</v>
      </c>
      <c r="R470" s="75" t="s">
        <v>371</v>
      </c>
      <c r="S470" s="20"/>
      <c r="T470" s="20" t="s">
        <v>9</v>
      </c>
      <c r="U470" s="47" t="n">
        <v>0</v>
      </c>
      <c r="V470" s="70" t="s">
        <v>103</v>
      </c>
      <c r="W470" s="47" t="n">
        <v>2</v>
      </c>
    </row>
    <row r="471" customFormat="false" ht="35.05" hidden="false" customHeight="false" outlineLevel="0" collapsed="false">
      <c r="A471" s="70" t="n">
        <v>457</v>
      </c>
      <c r="B471" s="20" t="s">
        <v>1024</v>
      </c>
      <c r="C471" s="20" t="s">
        <v>364</v>
      </c>
      <c r="D471" s="20" t="s">
        <v>443</v>
      </c>
      <c r="E471" s="20" t="s">
        <v>103</v>
      </c>
      <c r="F471" s="70" t="s">
        <v>412</v>
      </c>
      <c r="G471" s="20" t="s">
        <v>1054</v>
      </c>
      <c r="H471" s="49" t="n">
        <v>8</v>
      </c>
      <c r="I471" s="70" t="s">
        <v>403</v>
      </c>
      <c r="J471" s="70" t="s">
        <v>404</v>
      </c>
      <c r="K471" s="73" t="n">
        <v>1</v>
      </c>
      <c r="L471" s="49" t="n">
        <v>28</v>
      </c>
      <c r="M471" s="67" t="n">
        <v>2.44</v>
      </c>
      <c r="N471" s="68" t="n">
        <f aca="false">K471*L471*M471</f>
        <v>68.32</v>
      </c>
      <c r="O471" s="34" t="n">
        <f aca="false">IFERROR(INDEX(Исходные!$B$18:$B$30,MATCH(H471,Исходные!$A$18:$A$30,0)),0)</f>
        <v>0.395</v>
      </c>
      <c r="P471" s="74" t="n">
        <f aca="false">N471*O471</f>
        <v>26.9864</v>
      </c>
      <c r="Q471" s="20" t="s">
        <v>1055</v>
      </c>
      <c r="R471" s="75" t="s">
        <v>371</v>
      </c>
      <c r="S471" s="20"/>
      <c r="T471" s="20" t="s">
        <v>9</v>
      </c>
      <c r="U471" s="47" t="n">
        <v>0</v>
      </c>
      <c r="V471" s="70" t="s">
        <v>103</v>
      </c>
      <c r="W471" s="47" t="n">
        <v>2</v>
      </c>
    </row>
    <row r="472" customFormat="false" ht="35.05" hidden="false" customHeight="false" outlineLevel="0" collapsed="false">
      <c r="A472" s="70" t="n">
        <v>458</v>
      </c>
      <c r="B472" s="20" t="s">
        <v>1024</v>
      </c>
      <c r="C472" s="20" t="s">
        <v>364</v>
      </c>
      <c r="D472" s="20" t="s">
        <v>443</v>
      </c>
      <c r="E472" s="20" t="s">
        <v>103</v>
      </c>
      <c r="F472" s="70" t="s">
        <v>415</v>
      </c>
      <c r="G472" s="20" t="s">
        <v>1056</v>
      </c>
      <c r="H472" s="49" t="n">
        <v>8</v>
      </c>
      <c r="I472" s="70" t="s">
        <v>403</v>
      </c>
      <c r="J472" s="70" t="s">
        <v>404</v>
      </c>
      <c r="K472" s="73" t="n">
        <v>1</v>
      </c>
      <c r="L472" s="49" t="n">
        <v>32</v>
      </c>
      <c r="M472" s="67" t="n">
        <v>1.96</v>
      </c>
      <c r="N472" s="68" t="n">
        <f aca="false">K472*L472*M472</f>
        <v>62.72</v>
      </c>
      <c r="O472" s="34" t="n">
        <f aca="false">IFERROR(INDEX(Исходные!$B$18:$B$30,MATCH(H472,Исходные!$A$18:$A$30,0)),0)</f>
        <v>0.395</v>
      </c>
      <c r="P472" s="74" t="n">
        <f aca="false">N472*O472</f>
        <v>24.7744</v>
      </c>
      <c r="Q472" s="20" t="s">
        <v>1057</v>
      </c>
      <c r="R472" s="75" t="s">
        <v>371</v>
      </c>
      <c r="S472" s="20"/>
      <c r="T472" s="20" t="s">
        <v>9</v>
      </c>
      <c r="U472" s="47" t="n">
        <v>0</v>
      </c>
      <c r="V472" s="70" t="s">
        <v>103</v>
      </c>
      <c r="W472" s="47" t="n">
        <v>2</v>
      </c>
    </row>
    <row r="473" customFormat="false" ht="35.05" hidden="false" customHeight="false" outlineLevel="0" collapsed="false">
      <c r="A473" s="70" t="n">
        <v>459</v>
      </c>
      <c r="B473" s="20" t="s">
        <v>1024</v>
      </c>
      <c r="C473" s="20" t="s">
        <v>364</v>
      </c>
      <c r="D473" s="20" t="s">
        <v>443</v>
      </c>
      <c r="E473" s="20" t="s">
        <v>103</v>
      </c>
      <c r="F473" s="70" t="s">
        <v>418</v>
      </c>
      <c r="G473" s="20" t="s">
        <v>1096</v>
      </c>
      <c r="H473" s="49" t="n">
        <v>8</v>
      </c>
      <c r="I473" s="70" t="s">
        <v>403</v>
      </c>
      <c r="J473" s="70" t="s">
        <v>404</v>
      </c>
      <c r="K473" s="73" t="n">
        <v>1</v>
      </c>
      <c r="L473" s="49" t="n">
        <v>64</v>
      </c>
      <c r="M473" s="67" t="n">
        <v>0.53</v>
      </c>
      <c r="N473" s="68" t="n">
        <f aca="false">K473*L473*M473</f>
        <v>33.92</v>
      </c>
      <c r="O473" s="34" t="n">
        <f aca="false">IFERROR(INDEX(Исходные!$B$18:$B$30,MATCH(H473,Исходные!$A$18:$A$30,0)),0)</f>
        <v>0.395</v>
      </c>
      <c r="P473" s="74" t="n">
        <f aca="false">N473*O473</f>
        <v>13.3984</v>
      </c>
      <c r="Q473" s="20" t="s">
        <v>1059</v>
      </c>
      <c r="R473" s="75" t="s">
        <v>371</v>
      </c>
      <c r="S473" s="20"/>
      <c r="T473" s="20" t="s">
        <v>9</v>
      </c>
      <c r="U473" s="47" t="n">
        <v>0</v>
      </c>
      <c r="V473" s="70" t="s">
        <v>103</v>
      </c>
      <c r="W473" s="47" t="n">
        <v>2</v>
      </c>
    </row>
    <row r="474" customFormat="false" ht="35.05" hidden="false" customHeight="false" outlineLevel="0" collapsed="false">
      <c r="A474" s="70" t="n">
        <v>460</v>
      </c>
      <c r="B474" s="20" t="s">
        <v>1024</v>
      </c>
      <c r="C474" s="20" t="s">
        <v>364</v>
      </c>
      <c r="D474" s="20" t="s">
        <v>462</v>
      </c>
      <c r="E474" s="20" t="s">
        <v>104</v>
      </c>
      <c r="F474" s="70" t="s">
        <v>376</v>
      </c>
      <c r="G474" s="20" t="s">
        <v>1025</v>
      </c>
      <c r="H474" s="49" t="n">
        <v>28</v>
      </c>
      <c r="I474" s="70" t="s">
        <v>368</v>
      </c>
      <c r="J474" s="70" t="s">
        <v>369</v>
      </c>
      <c r="K474" s="73" t="n">
        <v>1</v>
      </c>
      <c r="L474" s="49" t="n">
        <v>4</v>
      </c>
      <c r="M474" s="67" t="n">
        <v>3.6</v>
      </c>
      <c r="N474" s="68" t="n">
        <f aca="false">K474*L474*M474</f>
        <v>14.4</v>
      </c>
      <c r="O474" s="34" t="n">
        <f aca="false">IFERROR(INDEX(Исходные!$B$18:$B$30,MATCH(H474,Исходные!$A$18:$A$30,0)),0)</f>
        <v>4.834</v>
      </c>
      <c r="P474" s="74" t="n">
        <f aca="false">N474*O474</f>
        <v>69.6096</v>
      </c>
      <c r="Q474" s="20" t="s">
        <v>1097</v>
      </c>
      <c r="R474" s="75" t="s">
        <v>371</v>
      </c>
      <c r="S474" s="20" t="s">
        <v>1061</v>
      </c>
      <c r="T474" s="20" t="s">
        <v>9</v>
      </c>
      <c r="U474" s="47" t="n">
        <v>0</v>
      </c>
      <c r="V474" s="70" t="s">
        <v>104</v>
      </c>
      <c r="W474" s="47" t="n">
        <v>2</v>
      </c>
    </row>
    <row r="475" customFormat="false" ht="35.05" hidden="false" customHeight="false" outlineLevel="0" collapsed="false">
      <c r="A475" s="70" t="n">
        <v>461</v>
      </c>
      <c r="B475" s="20" t="s">
        <v>1024</v>
      </c>
      <c r="C475" s="20" t="s">
        <v>364</v>
      </c>
      <c r="D475" s="20" t="s">
        <v>462</v>
      </c>
      <c r="E475" s="20" t="s">
        <v>104</v>
      </c>
      <c r="F475" s="70" t="s">
        <v>373</v>
      </c>
      <c r="G475" s="20" t="s">
        <v>1098</v>
      </c>
      <c r="H475" s="49" t="n">
        <v>20</v>
      </c>
      <c r="I475" s="70" t="s">
        <v>368</v>
      </c>
      <c r="J475" s="70" t="s">
        <v>369</v>
      </c>
      <c r="K475" s="73" t="n">
        <v>1</v>
      </c>
      <c r="L475" s="49" t="n">
        <v>8</v>
      </c>
      <c r="M475" s="67" t="n">
        <v>3.6</v>
      </c>
      <c r="N475" s="68" t="n">
        <f aca="false">K475*L475*M475</f>
        <v>28.8</v>
      </c>
      <c r="O475" s="34" t="n">
        <f aca="false">IFERROR(INDEX(Исходные!$B$18:$B$30,MATCH(H475,Исходные!$A$18:$A$30,0)),0)</f>
        <v>2.466</v>
      </c>
      <c r="P475" s="74" t="n">
        <f aca="false">N475*O475</f>
        <v>71.0208</v>
      </c>
      <c r="Q475" s="20" t="s">
        <v>1097</v>
      </c>
      <c r="R475" s="75" t="s">
        <v>371</v>
      </c>
      <c r="S475" s="20" t="s">
        <v>1063</v>
      </c>
      <c r="T475" s="20" t="s">
        <v>9</v>
      </c>
      <c r="U475" s="47" t="n">
        <v>0</v>
      </c>
      <c r="V475" s="70" t="s">
        <v>104</v>
      </c>
      <c r="W475" s="47" t="n">
        <v>2</v>
      </c>
    </row>
    <row r="476" customFormat="false" ht="35.05" hidden="false" customHeight="false" outlineLevel="0" collapsed="false">
      <c r="A476" s="70" t="n">
        <v>462</v>
      </c>
      <c r="B476" s="20" t="s">
        <v>1024</v>
      </c>
      <c r="C476" s="20" t="s">
        <v>364</v>
      </c>
      <c r="D476" s="20" t="s">
        <v>462</v>
      </c>
      <c r="E476" s="20" t="s">
        <v>104</v>
      </c>
      <c r="F476" s="70" t="s">
        <v>526</v>
      </c>
      <c r="G476" s="20" t="s">
        <v>1099</v>
      </c>
      <c r="H476" s="49" t="n">
        <v>16</v>
      </c>
      <c r="I476" s="70" t="s">
        <v>368</v>
      </c>
      <c r="J476" s="70" t="s">
        <v>369</v>
      </c>
      <c r="K476" s="73" t="n">
        <v>1</v>
      </c>
      <c r="L476" s="49" t="n">
        <v>6</v>
      </c>
      <c r="M476" s="67" t="n">
        <v>3.728</v>
      </c>
      <c r="N476" s="68" t="n">
        <f aca="false">K476*L476*M476</f>
        <v>22.368</v>
      </c>
      <c r="O476" s="34" t="n">
        <f aca="false">IFERROR(INDEX(Исходные!$B$18:$B$30,MATCH(H476,Исходные!$A$18:$A$30,0)),0)</f>
        <v>1.578</v>
      </c>
      <c r="P476" s="74" t="n">
        <f aca="false">N476*O476</f>
        <v>35.296704</v>
      </c>
      <c r="Q476" s="20" t="s">
        <v>1097</v>
      </c>
      <c r="R476" s="75" t="s">
        <v>371</v>
      </c>
      <c r="S476" s="20" t="s">
        <v>1100</v>
      </c>
      <c r="T476" s="20" t="s">
        <v>9</v>
      </c>
      <c r="U476" s="47" t="n">
        <v>0</v>
      </c>
      <c r="V476" s="70" t="s">
        <v>104</v>
      </c>
      <c r="W476" s="47" t="n">
        <v>2</v>
      </c>
    </row>
    <row r="477" customFormat="false" ht="35.05" hidden="false" customHeight="false" outlineLevel="0" collapsed="false">
      <c r="A477" s="70" t="n">
        <v>463</v>
      </c>
      <c r="B477" s="20" t="s">
        <v>1024</v>
      </c>
      <c r="C477" s="20" t="s">
        <v>364</v>
      </c>
      <c r="D477" s="20" t="s">
        <v>462</v>
      </c>
      <c r="E477" s="20" t="s">
        <v>104</v>
      </c>
      <c r="F477" s="70" t="s">
        <v>379</v>
      </c>
      <c r="G477" s="20" t="s">
        <v>1101</v>
      </c>
      <c r="H477" s="49" t="n">
        <v>25</v>
      </c>
      <c r="I477" s="70" t="s">
        <v>368</v>
      </c>
      <c r="J477" s="70" t="s">
        <v>369</v>
      </c>
      <c r="K477" s="73" t="n">
        <v>1</v>
      </c>
      <c r="L477" s="49" t="n">
        <v>6</v>
      </c>
      <c r="M477" s="67" t="n">
        <v>3.6</v>
      </c>
      <c r="N477" s="68" t="n">
        <f aca="false">K477*L477*M477</f>
        <v>21.6</v>
      </c>
      <c r="O477" s="34" t="n">
        <f aca="false">IFERROR(INDEX(Исходные!$B$18:$B$30,MATCH(H477,Исходные!$A$18:$A$30,0)),0)</f>
        <v>3.853</v>
      </c>
      <c r="P477" s="74" t="n">
        <f aca="false">N477*O477</f>
        <v>83.2248</v>
      </c>
      <c r="Q477" s="20" t="s">
        <v>1097</v>
      </c>
      <c r="R477" s="75" t="s">
        <v>371</v>
      </c>
      <c r="S477" s="20" t="s">
        <v>1035</v>
      </c>
      <c r="T477" s="20" t="s">
        <v>9</v>
      </c>
      <c r="U477" s="47" t="n">
        <v>0</v>
      </c>
      <c r="V477" s="70" t="s">
        <v>104</v>
      </c>
      <c r="W477" s="47" t="n">
        <v>2</v>
      </c>
    </row>
    <row r="478" customFormat="false" ht="35.05" hidden="false" customHeight="false" outlineLevel="0" collapsed="false">
      <c r="A478" s="70" t="n">
        <v>464</v>
      </c>
      <c r="B478" s="20" t="s">
        <v>1024</v>
      </c>
      <c r="C478" s="20" t="s">
        <v>364</v>
      </c>
      <c r="D478" s="20" t="s">
        <v>462</v>
      </c>
      <c r="E478" s="20" t="s">
        <v>104</v>
      </c>
      <c r="F478" s="70" t="s">
        <v>389</v>
      </c>
      <c r="G478" s="20" t="s">
        <v>470</v>
      </c>
      <c r="H478" s="49" t="n">
        <v>14</v>
      </c>
      <c r="I478" s="70" t="s">
        <v>368</v>
      </c>
      <c r="J478" s="70" t="n">
        <v>200</v>
      </c>
      <c r="K478" s="73" t="n">
        <v>1</v>
      </c>
      <c r="L478" s="49" t="n">
        <v>32</v>
      </c>
      <c r="M478" s="67" t="n">
        <v>1.45</v>
      </c>
      <c r="N478" s="68" t="n">
        <f aca="false">K478*L478*M478</f>
        <v>46.4</v>
      </c>
      <c r="O478" s="34" t="n">
        <f aca="false">IFERROR(INDEX(Исходные!$B$18:$B$30,MATCH(H478,Исходные!$A$18:$A$30,0)),0)</f>
        <v>1.208</v>
      </c>
      <c r="P478" s="74" t="n">
        <f aca="false">N478*O478</f>
        <v>56.0512</v>
      </c>
      <c r="Q478" s="20" t="s">
        <v>1102</v>
      </c>
      <c r="R478" s="76" t="s">
        <v>392</v>
      </c>
      <c r="S478" s="20" t="s">
        <v>1041</v>
      </c>
      <c r="T478" s="20" t="s">
        <v>9</v>
      </c>
      <c r="U478" s="47" t="n">
        <v>1</v>
      </c>
      <c r="V478" s="70" t="s">
        <v>104</v>
      </c>
      <c r="W478" s="47" t="n">
        <v>2</v>
      </c>
    </row>
    <row r="479" customFormat="false" ht="35.05" hidden="false" customHeight="false" outlineLevel="0" collapsed="false">
      <c r="A479" s="70" t="n">
        <v>465</v>
      </c>
      <c r="B479" s="20" t="s">
        <v>1024</v>
      </c>
      <c r="C479" s="20" t="s">
        <v>364</v>
      </c>
      <c r="D479" s="20" t="s">
        <v>462</v>
      </c>
      <c r="E479" s="20" t="s">
        <v>104</v>
      </c>
      <c r="F479" s="70" t="s">
        <v>396</v>
      </c>
      <c r="G479" s="20" t="s">
        <v>1103</v>
      </c>
      <c r="H479" s="49" t="n">
        <v>14</v>
      </c>
      <c r="I479" s="70" t="s">
        <v>368</v>
      </c>
      <c r="J479" s="70" t="n">
        <v>200</v>
      </c>
      <c r="K479" s="73" t="n">
        <v>1</v>
      </c>
      <c r="L479" s="49" t="n">
        <v>6</v>
      </c>
      <c r="M479" s="67" t="n">
        <v>1.45</v>
      </c>
      <c r="N479" s="68" t="n">
        <f aca="false">K479*L479*M479</f>
        <v>8.7</v>
      </c>
      <c r="O479" s="34" t="n">
        <f aca="false">IFERROR(INDEX(Исходные!$B$18:$B$30,MATCH(H479,Исходные!$A$18:$A$30,0)),0)</f>
        <v>1.208</v>
      </c>
      <c r="P479" s="74" t="n">
        <f aca="false">N479*O479</f>
        <v>10.5096</v>
      </c>
      <c r="Q479" s="20" t="s">
        <v>473</v>
      </c>
      <c r="R479" s="75" t="s">
        <v>371</v>
      </c>
      <c r="S479" s="20"/>
      <c r="T479" s="20" t="s">
        <v>9</v>
      </c>
      <c r="U479" s="47" t="n">
        <v>0</v>
      </c>
      <c r="V479" s="70" t="s">
        <v>104</v>
      </c>
      <c r="W479" s="47" t="n">
        <v>2</v>
      </c>
    </row>
    <row r="480" customFormat="false" ht="35.05" hidden="false" customHeight="false" outlineLevel="0" collapsed="false">
      <c r="A480" s="70" t="n">
        <v>466</v>
      </c>
      <c r="B480" s="20" t="s">
        <v>1024</v>
      </c>
      <c r="C480" s="20" t="s">
        <v>364</v>
      </c>
      <c r="D480" s="20" t="s">
        <v>462</v>
      </c>
      <c r="E480" s="20" t="s">
        <v>104</v>
      </c>
      <c r="F480" s="70" t="s">
        <v>396</v>
      </c>
      <c r="G480" s="20" t="s">
        <v>1104</v>
      </c>
      <c r="H480" s="49" t="n">
        <v>14</v>
      </c>
      <c r="I480" s="70" t="s">
        <v>368</v>
      </c>
      <c r="J480" s="70" t="n">
        <v>200</v>
      </c>
      <c r="K480" s="73" t="n">
        <v>1</v>
      </c>
      <c r="L480" s="49" t="n">
        <v>6</v>
      </c>
      <c r="M480" s="67" t="n">
        <v>1.45</v>
      </c>
      <c r="N480" s="68" t="n">
        <f aca="false">K480*L480*M480</f>
        <v>8.7</v>
      </c>
      <c r="O480" s="34" t="n">
        <f aca="false">IFERROR(INDEX(Исходные!$B$18:$B$30,MATCH(H480,Исходные!$A$18:$A$30,0)),0)</f>
        <v>1.208</v>
      </c>
      <c r="P480" s="74" t="n">
        <f aca="false">N480*O480</f>
        <v>10.5096</v>
      </c>
      <c r="Q480" s="20" t="s">
        <v>473</v>
      </c>
      <c r="R480" s="75" t="s">
        <v>371</v>
      </c>
      <c r="S480" s="20"/>
      <c r="T480" s="20" t="s">
        <v>9</v>
      </c>
      <c r="U480" s="47" t="n">
        <v>0</v>
      </c>
      <c r="V480" s="70" t="s">
        <v>104</v>
      </c>
      <c r="W480" s="47" t="n">
        <v>2</v>
      </c>
    </row>
    <row r="481" customFormat="false" ht="35.05" hidden="false" customHeight="false" outlineLevel="0" collapsed="false">
      <c r="A481" s="70" t="n">
        <v>467</v>
      </c>
      <c r="B481" s="20" t="s">
        <v>1024</v>
      </c>
      <c r="C481" s="20" t="s">
        <v>364</v>
      </c>
      <c r="D481" s="20" t="s">
        <v>462</v>
      </c>
      <c r="E481" s="20" t="s">
        <v>104</v>
      </c>
      <c r="F481" s="70" t="s">
        <v>401</v>
      </c>
      <c r="G481" s="20" t="s">
        <v>1105</v>
      </c>
      <c r="H481" s="49" t="n">
        <v>10</v>
      </c>
      <c r="I481" s="70" t="s">
        <v>403</v>
      </c>
      <c r="J481" s="70" t="s">
        <v>404</v>
      </c>
      <c r="K481" s="73" t="n">
        <v>1</v>
      </c>
      <c r="L481" s="49" t="n">
        <v>16</v>
      </c>
      <c r="M481" s="67" t="n">
        <v>1.33</v>
      </c>
      <c r="N481" s="68" t="n">
        <f aca="false">K481*L481*M481</f>
        <v>21.28</v>
      </c>
      <c r="O481" s="34" t="n">
        <f aca="false">IFERROR(INDEX(Исходные!$B$18:$B$30,MATCH(H481,Исходные!$A$18:$A$30,0)),0)</f>
        <v>0.617</v>
      </c>
      <c r="P481" s="74" t="n">
        <f aca="false">N481*O481</f>
        <v>13.12976</v>
      </c>
      <c r="Q481" s="20" t="s">
        <v>1049</v>
      </c>
      <c r="R481" s="75" t="s">
        <v>371</v>
      </c>
      <c r="S481" s="20"/>
      <c r="T481" s="20" t="s">
        <v>9</v>
      </c>
      <c r="U481" s="47" t="n">
        <v>0</v>
      </c>
      <c r="V481" s="70" t="s">
        <v>104</v>
      </c>
      <c r="W481" s="47" t="n">
        <v>2</v>
      </c>
    </row>
    <row r="482" customFormat="false" ht="35.05" hidden="false" customHeight="false" outlineLevel="0" collapsed="false">
      <c r="A482" s="70" t="n">
        <v>468</v>
      </c>
      <c r="B482" s="20" t="s">
        <v>1024</v>
      </c>
      <c r="C482" s="20" t="s">
        <v>364</v>
      </c>
      <c r="D482" s="20" t="s">
        <v>462</v>
      </c>
      <c r="E482" s="20" t="s">
        <v>104</v>
      </c>
      <c r="F482" s="70" t="s">
        <v>460</v>
      </c>
      <c r="G482" s="20" t="s">
        <v>1052</v>
      </c>
      <c r="H482" s="49" t="n">
        <v>8</v>
      </c>
      <c r="I482" s="70" t="s">
        <v>403</v>
      </c>
      <c r="J482" s="70" t="s">
        <v>404</v>
      </c>
      <c r="K482" s="73" t="n">
        <v>1</v>
      </c>
      <c r="L482" s="49" t="n">
        <v>16</v>
      </c>
      <c r="M482" s="67" t="n">
        <v>1.76</v>
      </c>
      <c r="N482" s="68" t="n">
        <f aca="false">K482*L482*M482</f>
        <v>28.16</v>
      </c>
      <c r="O482" s="34" t="n">
        <f aca="false">IFERROR(INDEX(Исходные!$B$18:$B$30,MATCH(H482,Исходные!$A$18:$A$30,0)),0)</f>
        <v>0.395</v>
      </c>
      <c r="P482" s="74" t="n">
        <f aca="false">N482*O482</f>
        <v>11.1232</v>
      </c>
      <c r="Q482" s="20" t="s">
        <v>1053</v>
      </c>
      <c r="R482" s="75" t="s">
        <v>371</v>
      </c>
      <c r="S482" s="20"/>
      <c r="T482" s="20" t="s">
        <v>9</v>
      </c>
      <c r="U482" s="47" t="n">
        <v>0</v>
      </c>
      <c r="V482" s="70" t="s">
        <v>104</v>
      </c>
      <c r="W482" s="47" t="n">
        <v>2</v>
      </c>
    </row>
    <row r="483" customFormat="false" ht="35.05" hidden="false" customHeight="false" outlineLevel="0" collapsed="false">
      <c r="A483" s="70" t="n">
        <v>469</v>
      </c>
      <c r="B483" s="20" t="s">
        <v>1024</v>
      </c>
      <c r="C483" s="20" t="s">
        <v>364</v>
      </c>
      <c r="D483" s="20" t="s">
        <v>462</v>
      </c>
      <c r="E483" s="20" t="s">
        <v>104</v>
      </c>
      <c r="F483" s="70" t="s">
        <v>412</v>
      </c>
      <c r="G483" s="20" t="s">
        <v>1054</v>
      </c>
      <c r="H483" s="49" t="n">
        <v>8</v>
      </c>
      <c r="I483" s="70" t="s">
        <v>403</v>
      </c>
      <c r="J483" s="70" t="s">
        <v>404</v>
      </c>
      <c r="K483" s="73" t="n">
        <v>1</v>
      </c>
      <c r="L483" s="49" t="n">
        <v>28</v>
      </c>
      <c r="M483" s="67" t="n">
        <v>2.44</v>
      </c>
      <c r="N483" s="68" t="n">
        <f aca="false">K483*L483*M483</f>
        <v>68.32</v>
      </c>
      <c r="O483" s="34" t="n">
        <f aca="false">IFERROR(INDEX(Исходные!$B$18:$B$30,MATCH(H483,Исходные!$A$18:$A$30,0)),0)</f>
        <v>0.395</v>
      </c>
      <c r="P483" s="74" t="n">
        <f aca="false">N483*O483</f>
        <v>26.9864</v>
      </c>
      <c r="Q483" s="20" t="s">
        <v>1055</v>
      </c>
      <c r="R483" s="75" t="s">
        <v>371</v>
      </c>
      <c r="S483" s="20"/>
      <c r="T483" s="20" t="s">
        <v>9</v>
      </c>
      <c r="U483" s="47" t="n">
        <v>0</v>
      </c>
      <c r="V483" s="70" t="s">
        <v>104</v>
      </c>
      <c r="W483" s="47" t="n">
        <v>2</v>
      </c>
    </row>
    <row r="484" customFormat="false" ht="35.05" hidden="false" customHeight="false" outlineLevel="0" collapsed="false">
      <c r="A484" s="70" t="n">
        <v>470</v>
      </c>
      <c r="B484" s="20" t="s">
        <v>1024</v>
      </c>
      <c r="C484" s="20" t="s">
        <v>364</v>
      </c>
      <c r="D484" s="20" t="s">
        <v>462</v>
      </c>
      <c r="E484" s="20" t="s">
        <v>104</v>
      </c>
      <c r="F484" s="70" t="s">
        <v>415</v>
      </c>
      <c r="G484" s="20" t="s">
        <v>1056</v>
      </c>
      <c r="H484" s="49" t="n">
        <v>8</v>
      </c>
      <c r="I484" s="70" t="s">
        <v>403</v>
      </c>
      <c r="J484" s="70" t="s">
        <v>404</v>
      </c>
      <c r="K484" s="73" t="n">
        <v>1</v>
      </c>
      <c r="L484" s="49" t="n">
        <v>32</v>
      </c>
      <c r="M484" s="67" t="n">
        <v>1.96</v>
      </c>
      <c r="N484" s="68" t="n">
        <f aca="false">K484*L484*M484</f>
        <v>62.72</v>
      </c>
      <c r="O484" s="34" t="n">
        <f aca="false">IFERROR(INDEX(Исходные!$B$18:$B$30,MATCH(H484,Исходные!$A$18:$A$30,0)),0)</f>
        <v>0.395</v>
      </c>
      <c r="P484" s="74" t="n">
        <f aca="false">N484*O484</f>
        <v>24.7744</v>
      </c>
      <c r="Q484" s="20" t="s">
        <v>1057</v>
      </c>
      <c r="R484" s="75" t="s">
        <v>371</v>
      </c>
      <c r="S484" s="20"/>
      <c r="T484" s="20" t="s">
        <v>9</v>
      </c>
      <c r="U484" s="47" t="n">
        <v>0</v>
      </c>
      <c r="V484" s="70" t="s">
        <v>104</v>
      </c>
      <c r="W484" s="47" t="n">
        <v>2</v>
      </c>
    </row>
    <row r="485" customFormat="false" ht="35.05" hidden="false" customHeight="false" outlineLevel="0" collapsed="false">
      <c r="A485" s="70" t="n">
        <v>471</v>
      </c>
      <c r="B485" s="20" t="s">
        <v>1024</v>
      </c>
      <c r="C485" s="20" t="s">
        <v>364</v>
      </c>
      <c r="D485" s="20" t="s">
        <v>462</v>
      </c>
      <c r="E485" s="20" t="s">
        <v>104</v>
      </c>
      <c r="F485" s="70" t="s">
        <v>418</v>
      </c>
      <c r="G485" s="20" t="s">
        <v>1106</v>
      </c>
      <c r="H485" s="49" t="n">
        <v>8</v>
      </c>
      <c r="I485" s="70" t="s">
        <v>403</v>
      </c>
      <c r="J485" s="70" t="s">
        <v>404</v>
      </c>
      <c r="K485" s="73" t="n">
        <v>1</v>
      </c>
      <c r="L485" s="49" t="n">
        <v>24</v>
      </c>
      <c r="M485" s="67" t="n">
        <v>0.53</v>
      </c>
      <c r="N485" s="68" t="n">
        <f aca="false">K485*L485*M485</f>
        <v>12.72</v>
      </c>
      <c r="O485" s="34" t="n">
        <f aca="false">IFERROR(INDEX(Исходные!$B$18:$B$30,MATCH(H485,Исходные!$A$18:$A$30,0)),0)</f>
        <v>0.395</v>
      </c>
      <c r="P485" s="74" t="n">
        <f aca="false">N485*O485</f>
        <v>5.0244</v>
      </c>
      <c r="Q485" s="20" t="s">
        <v>1059</v>
      </c>
      <c r="R485" s="75" t="s">
        <v>371</v>
      </c>
      <c r="S485" s="20"/>
      <c r="T485" s="20" t="s">
        <v>9</v>
      </c>
      <c r="U485" s="47" t="n">
        <v>0</v>
      </c>
      <c r="V485" s="70" t="s">
        <v>104</v>
      </c>
      <c r="W485" s="47" t="n">
        <v>2</v>
      </c>
    </row>
    <row r="486" customFormat="false" ht="35.05" hidden="false" customHeight="false" outlineLevel="0" collapsed="false">
      <c r="A486" s="70" t="n">
        <v>472</v>
      </c>
      <c r="B486" s="20" t="s">
        <v>1024</v>
      </c>
      <c r="C486" s="20" t="s">
        <v>364</v>
      </c>
      <c r="D486" s="20" t="s">
        <v>476</v>
      </c>
      <c r="E486" s="20" t="s">
        <v>105</v>
      </c>
      <c r="F486" s="70" t="s">
        <v>376</v>
      </c>
      <c r="G486" s="20" t="s">
        <v>1025</v>
      </c>
      <c r="H486" s="49" t="n">
        <v>28</v>
      </c>
      <c r="I486" s="70" t="s">
        <v>368</v>
      </c>
      <c r="J486" s="70" t="s">
        <v>369</v>
      </c>
      <c r="K486" s="73" t="n">
        <v>1</v>
      </c>
      <c r="L486" s="49" t="n">
        <v>4</v>
      </c>
      <c r="M486" s="67" t="n">
        <v>3.6</v>
      </c>
      <c r="N486" s="68" t="n">
        <f aca="false">K486*L486*M486</f>
        <v>14.4</v>
      </c>
      <c r="O486" s="34" t="n">
        <f aca="false">IFERROR(INDEX(Исходные!$B$18:$B$30,MATCH(H486,Исходные!$A$18:$A$30,0)),0)</f>
        <v>4.834</v>
      </c>
      <c r="P486" s="74" t="n">
        <f aca="false">N486*O486</f>
        <v>69.6096</v>
      </c>
      <c r="Q486" s="20" t="s">
        <v>1107</v>
      </c>
      <c r="R486" s="75" t="s">
        <v>371</v>
      </c>
      <c r="S486" s="20" t="s">
        <v>1061</v>
      </c>
      <c r="T486" s="20" t="s">
        <v>9</v>
      </c>
      <c r="U486" s="47" t="n">
        <v>0</v>
      </c>
      <c r="V486" s="70" t="s">
        <v>105</v>
      </c>
      <c r="W486" s="47" t="n">
        <v>2</v>
      </c>
    </row>
    <row r="487" customFormat="false" ht="35.05" hidden="false" customHeight="false" outlineLevel="0" collapsed="false">
      <c r="A487" s="70" t="n">
        <v>473</v>
      </c>
      <c r="B487" s="20" t="s">
        <v>1024</v>
      </c>
      <c r="C487" s="20" t="s">
        <v>364</v>
      </c>
      <c r="D487" s="20" t="s">
        <v>476</v>
      </c>
      <c r="E487" s="20" t="s">
        <v>105</v>
      </c>
      <c r="F487" s="70" t="s">
        <v>373</v>
      </c>
      <c r="G487" s="20" t="s">
        <v>1098</v>
      </c>
      <c r="H487" s="49" t="n">
        <v>20</v>
      </c>
      <c r="I487" s="70" t="s">
        <v>368</v>
      </c>
      <c r="J487" s="70" t="s">
        <v>369</v>
      </c>
      <c r="K487" s="73" t="n">
        <v>1</v>
      </c>
      <c r="L487" s="49" t="n">
        <v>8</v>
      </c>
      <c r="M487" s="67" t="n">
        <v>3.6</v>
      </c>
      <c r="N487" s="68" t="n">
        <f aca="false">K487*L487*M487</f>
        <v>28.8</v>
      </c>
      <c r="O487" s="34" t="n">
        <f aca="false">IFERROR(INDEX(Исходные!$B$18:$B$30,MATCH(H487,Исходные!$A$18:$A$30,0)),0)</f>
        <v>2.466</v>
      </c>
      <c r="P487" s="74" t="n">
        <f aca="false">N487*O487</f>
        <v>71.0208</v>
      </c>
      <c r="Q487" s="20" t="s">
        <v>1107</v>
      </c>
      <c r="R487" s="75" t="s">
        <v>371</v>
      </c>
      <c r="S487" s="20" t="s">
        <v>1063</v>
      </c>
      <c r="T487" s="20" t="s">
        <v>9</v>
      </c>
      <c r="U487" s="47" t="n">
        <v>0</v>
      </c>
      <c r="V487" s="70" t="s">
        <v>105</v>
      </c>
      <c r="W487" s="47" t="n">
        <v>2</v>
      </c>
    </row>
    <row r="488" customFormat="false" ht="35.05" hidden="false" customHeight="false" outlineLevel="0" collapsed="false">
      <c r="A488" s="70" t="n">
        <v>474</v>
      </c>
      <c r="B488" s="20" t="s">
        <v>1024</v>
      </c>
      <c r="C488" s="20" t="s">
        <v>364</v>
      </c>
      <c r="D488" s="20" t="s">
        <v>476</v>
      </c>
      <c r="E488" s="20" t="s">
        <v>105</v>
      </c>
      <c r="F488" s="70" t="s">
        <v>379</v>
      </c>
      <c r="G488" s="20" t="s">
        <v>1108</v>
      </c>
      <c r="H488" s="49" t="n">
        <v>25</v>
      </c>
      <c r="I488" s="70" t="s">
        <v>368</v>
      </c>
      <c r="J488" s="70" t="s">
        <v>369</v>
      </c>
      <c r="K488" s="73" t="n">
        <v>1</v>
      </c>
      <c r="L488" s="49" t="n">
        <v>6</v>
      </c>
      <c r="M488" s="67" t="n">
        <v>3.6</v>
      </c>
      <c r="N488" s="68" t="n">
        <f aca="false">K488*L488*M488</f>
        <v>21.6</v>
      </c>
      <c r="O488" s="34" t="n">
        <f aca="false">IFERROR(INDEX(Исходные!$B$18:$B$30,MATCH(H488,Исходные!$A$18:$A$30,0)),0)</f>
        <v>3.853</v>
      </c>
      <c r="P488" s="74" t="n">
        <f aca="false">N488*O488</f>
        <v>83.2248</v>
      </c>
      <c r="Q488" s="20" t="s">
        <v>1107</v>
      </c>
      <c r="R488" s="75" t="s">
        <v>371</v>
      </c>
      <c r="S488" s="20" t="s">
        <v>1035</v>
      </c>
      <c r="T488" s="20" t="s">
        <v>9</v>
      </c>
      <c r="U488" s="47" t="n">
        <v>0</v>
      </c>
      <c r="V488" s="70" t="s">
        <v>105</v>
      </c>
      <c r="W488" s="47" t="n">
        <v>2</v>
      </c>
    </row>
    <row r="489" customFormat="false" ht="35.05" hidden="false" customHeight="false" outlineLevel="0" collapsed="false">
      <c r="A489" s="70" t="n">
        <v>475</v>
      </c>
      <c r="B489" s="20" t="s">
        <v>1024</v>
      </c>
      <c r="C489" s="20" t="s">
        <v>364</v>
      </c>
      <c r="D489" s="20" t="s">
        <v>476</v>
      </c>
      <c r="E489" s="20" t="s">
        <v>105</v>
      </c>
      <c r="F489" s="70" t="s">
        <v>526</v>
      </c>
      <c r="G489" s="20" t="s">
        <v>1109</v>
      </c>
      <c r="H489" s="49" t="n">
        <v>16</v>
      </c>
      <c r="I489" s="70" t="s">
        <v>368</v>
      </c>
      <c r="J489" s="70" t="s">
        <v>369</v>
      </c>
      <c r="K489" s="73" t="n">
        <v>1</v>
      </c>
      <c r="L489" s="49" t="n">
        <v>4</v>
      </c>
      <c r="M489" s="67" t="n">
        <v>3.728</v>
      </c>
      <c r="N489" s="68" t="n">
        <f aca="false">K489*L489*M489</f>
        <v>14.912</v>
      </c>
      <c r="O489" s="34" t="n">
        <f aca="false">IFERROR(INDEX(Исходные!$B$18:$B$30,MATCH(H489,Исходные!$A$18:$A$30,0)),0)</f>
        <v>1.578</v>
      </c>
      <c r="P489" s="74" t="n">
        <f aca="false">N489*O489</f>
        <v>23.531136</v>
      </c>
      <c r="Q489" s="20" t="s">
        <v>1107</v>
      </c>
      <c r="R489" s="75" t="s">
        <v>371</v>
      </c>
      <c r="S489" s="20" t="s">
        <v>1110</v>
      </c>
      <c r="T489" s="20" t="s">
        <v>9</v>
      </c>
      <c r="U489" s="47" t="n">
        <v>0</v>
      </c>
      <c r="V489" s="70" t="s">
        <v>105</v>
      </c>
      <c r="W489" s="47" t="n">
        <v>2</v>
      </c>
    </row>
    <row r="490" customFormat="false" ht="35.05" hidden="false" customHeight="false" outlineLevel="0" collapsed="false">
      <c r="A490" s="70" t="n">
        <v>476</v>
      </c>
      <c r="B490" s="20" t="s">
        <v>1024</v>
      </c>
      <c r="C490" s="20" t="s">
        <v>364</v>
      </c>
      <c r="D490" s="20" t="s">
        <v>476</v>
      </c>
      <c r="E490" s="20" t="s">
        <v>105</v>
      </c>
      <c r="F490" s="70" t="s">
        <v>386</v>
      </c>
      <c r="G490" s="20" t="s">
        <v>1087</v>
      </c>
      <c r="H490" s="49" t="n">
        <v>18</v>
      </c>
      <c r="I490" s="70" t="s">
        <v>368</v>
      </c>
      <c r="J490" s="70" t="s">
        <v>369</v>
      </c>
      <c r="K490" s="73" t="n">
        <v>1</v>
      </c>
      <c r="L490" s="49" t="n">
        <v>6</v>
      </c>
      <c r="M490" s="67" t="n">
        <v>3.744</v>
      </c>
      <c r="N490" s="68" t="n">
        <f aca="false">K490*L490*M490</f>
        <v>22.464</v>
      </c>
      <c r="O490" s="34" t="n">
        <f aca="false">IFERROR(INDEX(Исходные!$B$18:$B$30,MATCH(H490,Исходные!$A$18:$A$30,0)),0)</f>
        <v>1.998</v>
      </c>
      <c r="P490" s="74" t="n">
        <f aca="false">N490*O490</f>
        <v>44.883072</v>
      </c>
      <c r="Q490" s="20" t="s">
        <v>1107</v>
      </c>
      <c r="R490" s="75" t="s">
        <v>371</v>
      </c>
      <c r="S490" s="20" t="s">
        <v>1088</v>
      </c>
      <c r="T490" s="20" t="s">
        <v>9</v>
      </c>
      <c r="U490" s="47" t="n">
        <v>0</v>
      </c>
      <c r="V490" s="70" t="s">
        <v>105</v>
      </c>
      <c r="W490" s="47" t="n">
        <v>2</v>
      </c>
    </row>
    <row r="491" customFormat="false" ht="35.05" hidden="false" customHeight="false" outlineLevel="0" collapsed="false">
      <c r="A491" s="70" t="n">
        <v>477</v>
      </c>
      <c r="B491" s="20" t="s">
        <v>1024</v>
      </c>
      <c r="C491" s="20" t="s">
        <v>364</v>
      </c>
      <c r="D491" s="20" t="s">
        <v>476</v>
      </c>
      <c r="E491" s="20" t="s">
        <v>105</v>
      </c>
      <c r="F491" s="70" t="s">
        <v>432</v>
      </c>
      <c r="G491" s="20" t="s">
        <v>1111</v>
      </c>
      <c r="H491" s="49" t="n">
        <v>22</v>
      </c>
      <c r="I491" s="70" t="s">
        <v>368</v>
      </c>
      <c r="J491" s="70" t="s">
        <v>369</v>
      </c>
      <c r="K491" s="73" t="n">
        <v>1</v>
      </c>
      <c r="L491" s="49" t="n">
        <v>6</v>
      </c>
      <c r="M491" s="67" t="n">
        <v>3.6</v>
      </c>
      <c r="N491" s="68" t="n">
        <f aca="false">K491*L491*M491</f>
        <v>21.6</v>
      </c>
      <c r="O491" s="34" t="n">
        <f aca="false">IFERROR(INDEX(Исходные!$B$18:$B$30,MATCH(H491,Исходные!$A$18:$A$30,0)),0)</f>
        <v>2.984</v>
      </c>
      <c r="P491" s="74" t="n">
        <f aca="false">N491*O491</f>
        <v>64.4544</v>
      </c>
      <c r="Q491" s="20" t="s">
        <v>1107</v>
      </c>
      <c r="R491" s="75" t="s">
        <v>371</v>
      </c>
      <c r="S491" s="20" t="s">
        <v>1112</v>
      </c>
      <c r="T491" s="20" t="s">
        <v>9</v>
      </c>
      <c r="U491" s="47" t="n">
        <v>0</v>
      </c>
      <c r="V491" s="70" t="s">
        <v>105</v>
      </c>
      <c r="W491" s="47" t="n">
        <v>2</v>
      </c>
    </row>
    <row r="492" customFormat="false" ht="35.05" hidden="false" customHeight="false" outlineLevel="0" collapsed="false">
      <c r="A492" s="70" t="n">
        <v>478</v>
      </c>
      <c r="B492" s="20" t="s">
        <v>1024</v>
      </c>
      <c r="C492" s="20" t="s">
        <v>364</v>
      </c>
      <c r="D492" s="20" t="s">
        <v>476</v>
      </c>
      <c r="E492" s="20" t="s">
        <v>105</v>
      </c>
      <c r="F492" s="70" t="s">
        <v>389</v>
      </c>
      <c r="G492" s="20" t="s">
        <v>481</v>
      </c>
      <c r="H492" s="49" t="n">
        <v>12</v>
      </c>
      <c r="I492" s="70" t="s">
        <v>368</v>
      </c>
      <c r="J492" s="70" t="n">
        <v>200</v>
      </c>
      <c r="K492" s="73" t="n">
        <v>1</v>
      </c>
      <c r="L492" s="49" t="n">
        <v>32</v>
      </c>
      <c r="M492" s="67" t="n">
        <v>1.25</v>
      </c>
      <c r="N492" s="68" t="n">
        <f aca="false">K492*L492*M492</f>
        <v>40</v>
      </c>
      <c r="O492" s="34" t="n">
        <f aca="false">IFERROR(INDEX(Исходные!$B$18:$B$30,MATCH(H492,Исходные!$A$18:$A$30,0)),0)</f>
        <v>0.888</v>
      </c>
      <c r="P492" s="74" t="n">
        <f aca="false">N492*O492</f>
        <v>35.52</v>
      </c>
      <c r="Q492" s="20" t="s">
        <v>1113</v>
      </c>
      <c r="R492" s="76" t="s">
        <v>392</v>
      </c>
      <c r="S492" s="20" t="s">
        <v>1114</v>
      </c>
      <c r="T492" s="20" t="s">
        <v>9</v>
      </c>
      <c r="U492" s="47" t="n">
        <v>1</v>
      </c>
      <c r="V492" s="70" t="s">
        <v>105</v>
      </c>
      <c r="W492" s="47" t="n">
        <v>2</v>
      </c>
    </row>
    <row r="493" customFormat="false" ht="35.05" hidden="false" customHeight="false" outlineLevel="0" collapsed="false">
      <c r="A493" s="70" t="n">
        <v>479</v>
      </c>
      <c r="B493" s="20" t="s">
        <v>1024</v>
      </c>
      <c r="C493" s="20" t="s">
        <v>364</v>
      </c>
      <c r="D493" s="20" t="s">
        <v>476</v>
      </c>
      <c r="E493" s="20" t="s">
        <v>105</v>
      </c>
      <c r="F493" s="70" t="s">
        <v>389</v>
      </c>
      <c r="G493" s="20" t="s">
        <v>484</v>
      </c>
      <c r="H493" s="49" t="n">
        <v>14</v>
      </c>
      <c r="I493" s="70" t="s">
        <v>368</v>
      </c>
      <c r="J493" s="70" t="n">
        <v>200</v>
      </c>
      <c r="K493" s="73" t="n">
        <v>1</v>
      </c>
      <c r="L493" s="49" t="n">
        <v>32</v>
      </c>
      <c r="M493" s="67" t="n">
        <v>1.45</v>
      </c>
      <c r="N493" s="68" t="n">
        <f aca="false">K493*L493*M493</f>
        <v>46.4</v>
      </c>
      <c r="O493" s="34" t="n">
        <f aca="false">IFERROR(INDEX(Исходные!$B$18:$B$30,MATCH(H493,Исходные!$A$18:$A$30,0)),0)</f>
        <v>1.208</v>
      </c>
      <c r="P493" s="74" t="n">
        <f aca="false">N493*O493</f>
        <v>56.0512</v>
      </c>
      <c r="Q493" s="20" t="s">
        <v>1113</v>
      </c>
      <c r="R493" s="76" t="s">
        <v>392</v>
      </c>
      <c r="S493" s="20" t="s">
        <v>1041</v>
      </c>
      <c r="T493" s="20" t="s">
        <v>9</v>
      </c>
      <c r="U493" s="47" t="n">
        <v>1</v>
      </c>
      <c r="V493" s="70" t="s">
        <v>105</v>
      </c>
      <c r="W493" s="47" t="n">
        <v>2</v>
      </c>
    </row>
    <row r="494" customFormat="false" ht="35.05" hidden="false" customHeight="false" outlineLevel="0" collapsed="false">
      <c r="A494" s="70" t="n">
        <v>480</v>
      </c>
      <c r="B494" s="20" t="s">
        <v>1024</v>
      </c>
      <c r="C494" s="20" t="s">
        <v>364</v>
      </c>
      <c r="D494" s="20" t="s">
        <v>476</v>
      </c>
      <c r="E494" s="20" t="s">
        <v>105</v>
      </c>
      <c r="F494" s="70" t="s">
        <v>396</v>
      </c>
      <c r="G494" s="20" t="s">
        <v>1115</v>
      </c>
      <c r="H494" s="49" t="n">
        <v>12</v>
      </c>
      <c r="I494" s="70" t="s">
        <v>368</v>
      </c>
      <c r="J494" s="70" t="n">
        <v>200</v>
      </c>
      <c r="K494" s="73" t="n">
        <v>1</v>
      </c>
      <c r="L494" s="49" t="n">
        <v>10</v>
      </c>
      <c r="M494" s="67" t="n">
        <v>1.25</v>
      </c>
      <c r="N494" s="68" t="n">
        <f aca="false">K494*L494*M494</f>
        <v>12.5</v>
      </c>
      <c r="O494" s="34" t="n">
        <f aca="false">IFERROR(INDEX(Исходные!$B$18:$B$30,MATCH(H494,Исходные!$A$18:$A$30,0)),0)</f>
        <v>0.888</v>
      </c>
      <c r="P494" s="74" t="n">
        <f aca="false">N494*O494</f>
        <v>11.1</v>
      </c>
      <c r="Q494" s="20" t="s">
        <v>1116</v>
      </c>
      <c r="R494" s="75" t="s">
        <v>371</v>
      </c>
      <c r="S494" s="20"/>
      <c r="T494" s="20" t="s">
        <v>9</v>
      </c>
      <c r="U494" s="47" t="n">
        <v>0</v>
      </c>
      <c r="V494" s="70" t="s">
        <v>105</v>
      </c>
      <c r="W494" s="47" t="n">
        <v>2</v>
      </c>
    </row>
    <row r="495" customFormat="false" ht="35.05" hidden="false" customHeight="false" outlineLevel="0" collapsed="false">
      <c r="A495" s="70" t="n">
        <v>481</v>
      </c>
      <c r="B495" s="20" t="s">
        <v>1024</v>
      </c>
      <c r="C495" s="20" t="s">
        <v>364</v>
      </c>
      <c r="D495" s="20" t="s">
        <v>476</v>
      </c>
      <c r="E495" s="20" t="s">
        <v>105</v>
      </c>
      <c r="F495" s="70" t="s">
        <v>396</v>
      </c>
      <c r="G495" s="20" t="s">
        <v>1117</v>
      </c>
      <c r="H495" s="49" t="n">
        <v>12</v>
      </c>
      <c r="I495" s="70" t="s">
        <v>368</v>
      </c>
      <c r="J495" s="70" t="n">
        <v>200</v>
      </c>
      <c r="K495" s="73" t="n">
        <v>1</v>
      </c>
      <c r="L495" s="49" t="n">
        <v>6</v>
      </c>
      <c r="M495" s="67" t="n">
        <v>1.25</v>
      </c>
      <c r="N495" s="68" t="n">
        <f aca="false">K495*L495*M495</f>
        <v>7.5</v>
      </c>
      <c r="O495" s="34" t="n">
        <f aca="false">IFERROR(INDEX(Исходные!$B$18:$B$30,MATCH(H495,Исходные!$A$18:$A$30,0)),0)</f>
        <v>0.888</v>
      </c>
      <c r="P495" s="74" t="n">
        <f aca="false">N495*O495</f>
        <v>6.66</v>
      </c>
      <c r="Q495" s="20" t="s">
        <v>1116</v>
      </c>
      <c r="R495" s="75" t="s">
        <v>371</v>
      </c>
      <c r="S495" s="20"/>
      <c r="T495" s="20" t="s">
        <v>9</v>
      </c>
      <c r="U495" s="47" t="n">
        <v>0</v>
      </c>
      <c r="V495" s="70" t="s">
        <v>105</v>
      </c>
      <c r="W495" s="47" t="n">
        <v>2</v>
      </c>
    </row>
    <row r="496" customFormat="false" ht="35.05" hidden="false" customHeight="false" outlineLevel="0" collapsed="false">
      <c r="A496" s="70" t="n">
        <v>482</v>
      </c>
      <c r="B496" s="20" t="s">
        <v>1024</v>
      </c>
      <c r="C496" s="20" t="s">
        <v>364</v>
      </c>
      <c r="D496" s="20" t="s">
        <v>476</v>
      </c>
      <c r="E496" s="20" t="s">
        <v>105</v>
      </c>
      <c r="F496" s="70" t="s">
        <v>396</v>
      </c>
      <c r="G496" s="20" t="s">
        <v>1118</v>
      </c>
      <c r="H496" s="49" t="n">
        <v>14</v>
      </c>
      <c r="I496" s="70" t="s">
        <v>368</v>
      </c>
      <c r="J496" s="70" t="n">
        <v>200</v>
      </c>
      <c r="K496" s="73" t="n">
        <v>1</v>
      </c>
      <c r="L496" s="49" t="n">
        <v>6</v>
      </c>
      <c r="M496" s="67" t="n">
        <v>1.45</v>
      </c>
      <c r="N496" s="68" t="n">
        <f aca="false">K496*L496*M496</f>
        <v>8.7</v>
      </c>
      <c r="O496" s="34" t="n">
        <f aca="false">IFERROR(INDEX(Исходные!$B$18:$B$30,MATCH(H496,Исходные!$A$18:$A$30,0)),0)</f>
        <v>1.208</v>
      </c>
      <c r="P496" s="74" t="n">
        <f aca="false">N496*O496</f>
        <v>10.5096</v>
      </c>
      <c r="Q496" s="20" t="s">
        <v>1116</v>
      </c>
      <c r="R496" s="75" t="s">
        <v>371</v>
      </c>
      <c r="S496" s="20"/>
      <c r="T496" s="20" t="s">
        <v>9</v>
      </c>
      <c r="U496" s="47" t="n">
        <v>0</v>
      </c>
      <c r="V496" s="70" t="s">
        <v>105</v>
      </c>
      <c r="W496" s="47" t="n">
        <v>2</v>
      </c>
    </row>
    <row r="497" customFormat="false" ht="35.05" hidden="false" customHeight="false" outlineLevel="0" collapsed="false">
      <c r="A497" s="70" t="n">
        <v>483</v>
      </c>
      <c r="B497" s="20" t="s">
        <v>1024</v>
      </c>
      <c r="C497" s="20" t="s">
        <v>364</v>
      </c>
      <c r="D497" s="20" t="s">
        <v>476</v>
      </c>
      <c r="E497" s="20" t="s">
        <v>105</v>
      </c>
      <c r="F497" s="70" t="s">
        <v>396</v>
      </c>
      <c r="G497" s="20" t="s">
        <v>1119</v>
      </c>
      <c r="H497" s="49" t="n">
        <v>14</v>
      </c>
      <c r="I497" s="70" t="s">
        <v>368</v>
      </c>
      <c r="J497" s="70" t="n">
        <v>200</v>
      </c>
      <c r="K497" s="73" t="n">
        <v>1</v>
      </c>
      <c r="L497" s="49" t="n">
        <v>6</v>
      </c>
      <c r="M497" s="67" t="n">
        <v>1.45</v>
      </c>
      <c r="N497" s="68" t="n">
        <f aca="false">K497*L497*M497</f>
        <v>8.7</v>
      </c>
      <c r="O497" s="34" t="n">
        <f aca="false">IFERROR(INDEX(Исходные!$B$18:$B$30,MATCH(H497,Исходные!$A$18:$A$30,0)),0)</f>
        <v>1.208</v>
      </c>
      <c r="P497" s="74" t="n">
        <f aca="false">N497*O497</f>
        <v>10.5096</v>
      </c>
      <c r="Q497" s="20" t="s">
        <v>1116</v>
      </c>
      <c r="R497" s="75" t="s">
        <v>371</v>
      </c>
      <c r="S497" s="20"/>
      <c r="T497" s="20" t="s">
        <v>9</v>
      </c>
      <c r="U497" s="47" t="n">
        <v>0</v>
      </c>
      <c r="V497" s="70" t="s">
        <v>105</v>
      </c>
      <c r="W497" s="47" t="n">
        <v>2</v>
      </c>
    </row>
    <row r="498" customFormat="false" ht="35.05" hidden="false" customHeight="false" outlineLevel="0" collapsed="false">
      <c r="A498" s="70" t="n">
        <v>484</v>
      </c>
      <c r="B498" s="20" t="s">
        <v>1024</v>
      </c>
      <c r="C498" s="20" t="s">
        <v>364</v>
      </c>
      <c r="D498" s="20" t="s">
        <v>476</v>
      </c>
      <c r="E498" s="20" t="s">
        <v>105</v>
      </c>
      <c r="F498" s="70" t="s">
        <v>401</v>
      </c>
      <c r="G498" s="20" t="s">
        <v>1074</v>
      </c>
      <c r="H498" s="49" t="n">
        <v>10</v>
      </c>
      <c r="I498" s="70" t="s">
        <v>403</v>
      </c>
      <c r="J498" s="70" t="s">
        <v>404</v>
      </c>
      <c r="K498" s="73" t="n">
        <v>1</v>
      </c>
      <c r="L498" s="49" t="n">
        <v>32</v>
      </c>
      <c r="M498" s="67" t="n">
        <v>1.33</v>
      </c>
      <c r="N498" s="68" t="n">
        <f aca="false">K498*L498*M498</f>
        <v>42.56</v>
      </c>
      <c r="O498" s="34" t="n">
        <f aca="false">IFERROR(INDEX(Исходные!$B$18:$B$30,MATCH(H498,Исходные!$A$18:$A$30,0)),0)</f>
        <v>0.617</v>
      </c>
      <c r="P498" s="74" t="n">
        <f aca="false">N498*O498</f>
        <v>26.25952</v>
      </c>
      <c r="Q498" s="20" t="s">
        <v>1049</v>
      </c>
      <c r="R498" s="75" t="s">
        <v>371</v>
      </c>
      <c r="S498" s="20"/>
      <c r="T498" s="20" t="s">
        <v>9</v>
      </c>
      <c r="U498" s="47" t="n">
        <v>0</v>
      </c>
      <c r="V498" s="70" t="s">
        <v>105</v>
      </c>
      <c r="W498" s="47" t="n">
        <v>2</v>
      </c>
    </row>
    <row r="499" customFormat="false" ht="35.05" hidden="false" customHeight="false" outlineLevel="0" collapsed="false">
      <c r="A499" s="70" t="n">
        <v>485</v>
      </c>
      <c r="B499" s="20" t="s">
        <v>1024</v>
      </c>
      <c r="C499" s="20" t="s">
        <v>364</v>
      </c>
      <c r="D499" s="20" t="s">
        <v>476</v>
      </c>
      <c r="E499" s="20" t="s">
        <v>105</v>
      </c>
      <c r="F499" s="70" t="s">
        <v>553</v>
      </c>
      <c r="G499" s="20" t="s">
        <v>1076</v>
      </c>
      <c r="H499" s="49" t="n">
        <v>8</v>
      </c>
      <c r="I499" s="70" t="s">
        <v>403</v>
      </c>
      <c r="J499" s="70" t="s">
        <v>404</v>
      </c>
      <c r="K499" s="73" t="n">
        <v>1</v>
      </c>
      <c r="L499" s="49" t="n">
        <v>16</v>
      </c>
      <c r="M499" s="67" t="n">
        <v>1.56</v>
      </c>
      <c r="N499" s="68" t="n">
        <f aca="false">K499*L499*M499</f>
        <v>24.96</v>
      </c>
      <c r="O499" s="34" t="n">
        <f aca="false">IFERROR(INDEX(Исходные!$B$18:$B$30,MATCH(H499,Исходные!$A$18:$A$30,0)),0)</f>
        <v>0.395</v>
      </c>
      <c r="P499" s="74" t="n">
        <f aca="false">N499*O499</f>
        <v>9.8592</v>
      </c>
      <c r="Q499" s="20" t="s">
        <v>1051</v>
      </c>
      <c r="R499" s="75" t="s">
        <v>371</v>
      </c>
      <c r="S499" s="20"/>
      <c r="T499" s="20" t="s">
        <v>9</v>
      </c>
      <c r="U499" s="47" t="n">
        <v>0</v>
      </c>
      <c r="V499" s="70" t="s">
        <v>105</v>
      </c>
      <c r="W499" s="47" t="n">
        <v>2</v>
      </c>
    </row>
    <row r="500" customFormat="false" ht="35.05" hidden="false" customHeight="false" outlineLevel="0" collapsed="false">
      <c r="A500" s="70" t="n">
        <v>486</v>
      </c>
      <c r="B500" s="20" t="s">
        <v>1024</v>
      </c>
      <c r="C500" s="20" t="s">
        <v>364</v>
      </c>
      <c r="D500" s="20" t="s">
        <v>476</v>
      </c>
      <c r="E500" s="20" t="s">
        <v>105</v>
      </c>
      <c r="F500" s="70" t="s">
        <v>460</v>
      </c>
      <c r="G500" s="20" t="s">
        <v>1052</v>
      </c>
      <c r="H500" s="49" t="n">
        <v>8</v>
      </c>
      <c r="I500" s="70" t="s">
        <v>403</v>
      </c>
      <c r="J500" s="70" t="s">
        <v>404</v>
      </c>
      <c r="K500" s="73" t="n">
        <v>1</v>
      </c>
      <c r="L500" s="49" t="n">
        <v>16</v>
      </c>
      <c r="M500" s="67" t="n">
        <v>1.76</v>
      </c>
      <c r="N500" s="68" t="n">
        <f aca="false">K500*L500*M500</f>
        <v>28.16</v>
      </c>
      <c r="O500" s="34" t="n">
        <f aca="false">IFERROR(INDEX(Исходные!$B$18:$B$30,MATCH(H500,Исходные!$A$18:$A$30,0)),0)</f>
        <v>0.395</v>
      </c>
      <c r="P500" s="74" t="n">
        <f aca="false">N500*O500</f>
        <v>11.1232</v>
      </c>
      <c r="Q500" s="20" t="s">
        <v>1053</v>
      </c>
      <c r="R500" s="75" t="s">
        <v>371</v>
      </c>
      <c r="S500" s="20"/>
      <c r="T500" s="20" t="s">
        <v>9</v>
      </c>
      <c r="U500" s="47" t="n">
        <v>0</v>
      </c>
      <c r="V500" s="70" t="s">
        <v>105</v>
      </c>
      <c r="W500" s="47" t="n">
        <v>2</v>
      </c>
    </row>
    <row r="501" customFormat="false" ht="35.05" hidden="false" customHeight="false" outlineLevel="0" collapsed="false">
      <c r="A501" s="70" t="n">
        <v>487</v>
      </c>
      <c r="B501" s="20" t="s">
        <v>1024</v>
      </c>
      <c r="C501" s="20" t="s">
        <v>364</v>
      </c>
      <c r="D501" s="20" t="s">
        <v>476</v>
      </c>
      <c r="E501" s="20" t="s">
        <v>105</v>
      </c>
      <c r="F501" s="70" t="s">
        <v>412</v>
      </c>
      <c r="G501" s="20" t="s">
        <v>1054</v>
      </c>
      <c r="H501" s="49" t="n">
        <v>8</v>
      </c>
      <c r="I501" s="70" t="s">
        <v>403</v>
      </c>
      <c r="J501" s="70" t="s">
        <v>404</v>
      </c>
      <c r="K501" s="73" t="n">
        <v>1</v>
      </c>
      <c r="L501" s="49" t="n">
        <v>28</v>
      </c>
      <c r="M501" s="67" t="n">
        <v>2.44</v>
      </c>
      <c r="N501" s="68" t="n">
        <f aca="false">K501*L501*M501</f>
        <v>68.32</v>
      </c>
      <c r="O501" s="34" t="n">
        <f aca="false">IFERROR(INDEX(Исходные!$B$18:$B$30,MATCH(H501,Исходные!$A$18:$A$30,0)),0)</f>
        <v>0.395</v>
      </c>
      <c r="P501" s="74" t="n">
        <f aca="false">N501*O501</f>
        <v>26.9864</v>
      </c>
      <c r="Q501" s="20" t="s">
        <v>1055</v>
      </c>
      <c r="R501" s="75" t="s">
        <v>371</v>
      </c>
      <c r="S501" s="20"/>
      <c r="T501" s="20" t="s">
        <v>9</v>
      </c>
      <c r="U501" s="47" t="n">
        <v>0</v>
      </c>
      <c r="V501" s="70" t="s">
        <v>105</v>
      </c>
      <c r="W501" s="47" t="n">
        <v>2</v>
      </c>
    </row>
    <row r="502" customFormat="false" ht="35.05" hidden="false" customHeight="false" outlineLevel="0" collapsed="false">
      <c r="A502" s="70" t="n">
        <v>488</v>
      </c>
      <c r="B502" s="20" t="s">
        <v>1024</v>
      </c>
      <c r="C502" s="20" t="s">
        <v>364</v>
      </c>
      <c r="D502" s="20" t="s">
        <v>476</v>
      </c>
      <c r="E502" s="20" t="s">
        <v>105</v>
      </c>
      <c r="F502" s="70" t="s">
        <v>415</v>
      </c>
      <c r="G502" s="20" t="s">
        <v>1056</v>
      </c>
      <c r="H502" s="49" t="n">
        <v>8</v>
      </c>
      <c r="I502" s="70" t="s">
        <v>403</v>
      </c>
      <c r="J502" s="70" t="s">
        <v>404</v>
      </c>
      <c r="K502" s="73" t="n">
        <v>1</v>
      </c>
      <c r="L502" s="49" t="n">
        <v>32</v>
      </c>
      <c r="M502" s="67" t="n">
        <v>1.96</v>
      </c>
      <c r="N502" s="68" t="n">
        <f aca="false">K502*L502*M502</f>
        <v>62.72</v>
      </c>
      <c r="O502" s="34" t="n">
        <f aca="false">IFERROR(INDEX(Исходные!$B$18:$B$30,MATCH(H502,Исходные!$A$18:$A$30,0)),0)</f>
        <v>0.395</v>
      </c>
      <c r="P502" s="74" t="n">
        <f aca="false">N502*O502</f>
        <v>24.7744</v>
      </c>
      <c r="Q502" s="20" t="s">
        <v>1057</v>
      </c>
      <c r="R502" s="75" t="s">
        <v>371</v>
      </c>
      <c r="S502" s="20"/>
      <c r="T502" s="20" t="s">
        <v>9</v>
      </c>
      <c r="U502" s="47" t="n">
        <v>0</v>
      </c>
      <c r="V502" s="70" t="s">
        <v>105</v>
      </c>
      <c r="W502" s="47" t="n">
        <v>2</v>
      </c>
    </row>
    <row r="503" customFormat="false" ht="35.05" hidden="false" customHeight="false" outlineLevel="0" collapsed="false">
      <c r="A503" s="70" t="n">
        <v>489</v>
      </c>
      <c r="B503" s="20" t="s">
        <v>1024</v>
      </c>
      <c r="C503" s="20" t="s">
        <v>364</v>
      </c>
      <c r="D503" s="20" t="s">
        <v>476</v>
      </c>
      <c r="E503" s="20" t="s">
        <v>105</v>
      </c>
      <c r="F503" s="70" t="s">
        <v>418</v>
      </c>
      <c r="G503" s="20" t="s">
        <v>1080</v>
      </c>
      <c r="H503" s="49" t="n">
        <v>8</v>
      </c>
      <c r="I503" s="70" t="s">
        <v>403</v>
      </c>
      <c r="J503" s="70" t="s">
        <v>404</v>
      </c>
      <c r="K503" s="73" t="n">
        <v>1</v>
      </c>
      <c r="L503" s="49" t="n">
        <v>40</v>
      </c>
      <c r="M503" s="67" t="n">
        <v>0.53</v>
      </c>
      <c r="N503" s="68" t="n">
        <f aca="false">K503*L503*M503</f>
        <v>21.2</v>
      </c>
      <c r="O503" s="34" t="n">
        <f aca="false">IFERROR(INDEX(Исходные!$B$18:$B$30,MATCH(H503,Исходные!$A$18:$A$30,0)),0)</f>
        <v>0.395</v>
      </c>
      <c r="P503" s="74" t="n">
        <f aca="false">N503*O503</f>
        <v>8.374</v>
      </c>
      <c r="Q503" s="20" t="s">
        <v>1059</v>
      </c>
      <c r="R503" s="75" t="s">
        <v>371</v>
      </c>
      <c r="S503" s="20"/>
      <c r="T503" s="20" t="s">
        <v>9</v>
      </c>
      <c r="U503" s="47" t="n">
        <v>0</v>
      </c>
      <c r="V503" s="70" t="s">
        <v>105</v>
      </c>
      <c r="W503" s="47" t="n">
        <v>2</v>
      </c>
    </row>
    <row r="504" customFormat="false" ht="15" hidden="false" customHeight="true" outlineLevel="0" collapsed="false">
      <c r="A504" s="72" t="s">
        <v>1120</v>
      </c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</row>
    <row r="505" customFormat="false" ht="35.05" hidden="false" customHeight="false" outlineLevel="0" collapsed="false">
      <c r="A505" s="70" t="n">
        <v>490</v>
      </c>
      <c r="B505" s="20" t="s">
        <v>1024</v>
      </c>
      <c r="C505" s="20" t="s">
        <v>490</v>
      </c>
      <c r="D505" s="20" t="s">
        <v>491</v>
      </c>
      <c r="E505" s="20" t="s">
        <v>492</v>
      </c>
      <c r="F505" s="70" t="s">
        <v>376</v>
      </c>
      <c r="G505" s="20" t="s">
        <v>1121</v>
      </c>
      <c r="H505" s="49" t="n">
        <v>28</v>
      </c>
      <c r="I505" s="70" t="s">
        <v>368</v>
      </c>
      <c r="J505" s="70" t="s">
        <v>369</v>
      </c>
      <c r="K505" s="73" t="n">
        <v>3</v>
      </c>
      <c r="L505" s="49" t="n">
        <v>4</v>
      </c>
      <c r="M505" s="67" t="n">
        <v>3.6</v>
      </c>
      <c r="N505" s="68" t="n">
        <f aca="false">K505*L505*M505</f>
        <v>43.2</v>
      </c>
      <c r="O505" s="34" t="n">
        <f aca="false">IFERROR(INDEX(Исходные!$B$18:$B$30,MATCH(H505,Исходные!$A$18:$A$30,0)),0)</f>
        <v>4.834</v>
      </c>
      <c r="P505" s="74" t="n">
        <f aca="false">N505*O505</f>
        <v>208.8288</v>
      </c>
      <c r="Q505" s="20" t="s">
        <v>1122</v>
      </c>
      <c r="R505" s="75" t="s">
        <v>371</v>
      </c>
      <c r="S505" s="20" t="s">
        <v>1123</v>
      </c>
      <c r="T505" s="20" t="s">
        <v>9</v>
      </c>
      <c r="U505" s="47" t="n">
        <v>0</v>
      </c>
      <c r="V505" s="70" t="s">
        <v>492</v>
      </c>
      <c r="W505" s="47" t="n">
        <v>2</v>
      </c>
    </row>
    <row r="506" customFormat="false" ht="35.05" hidden="false" customHeight="false" outlineLevel="0" collapsed="false">
      <c r="A506" s="70" t="n">
        <v>491</v>
      </c>
      <c r="B506" s="20" t="s">
        <v>1024</v>
      </c>
      <c r="C506" s="20" t="s">
        <v>490</v>
      </c>
      <c r="D506" s="20" t="s">
        <v>491</v>
      </c>
      <c r="E506" s="20" t="s">
        <v>492</v>
      </c>
      <c r="F506" s="70" t="s">
        <v>373</v>
      </c>
      <c r="G506" s="20" t="s">
        <v>1124</v>
      </c>
      <c r="H506" s="49" t="n">
        <v>20</v>
      </c>
      <c r="I506" s="70" t="s">
        <v>368</v>
      </c>
      <c r="J506" s="70" t="s">
        <v>369</v>
      </c>
      <c r="K506" s="73" t="n">
        <v>3</v>
      </c>
      <c r="L506" s="49" t="n">
        <v>8</v>
      </c>
      <c r="M506" s="67" t="n">
        <v>3.6</v>
      </c>
      <c r="N506" s="68" t="n">
        <f aca="false">K506*L506*M506</f>
        <v>86.4</v>
      </c>
      <c r="O506" s="34" t="n">
        <f aca="false">IFERROR(INDEX(Исходные!$B$18:$B$30,MATCH(H506,Исходные!$A$18:$A$30,0)),0)</f>
        <v>2.466</v>
      </c>
      <c r="P506" s="74" t="n">
        <f aca="false">N506*O506</f>
        <v>213.0624</v>
      </c>
      <c r="Q506" s="20" t="s">
        <v>1125</v>
      </c>
      <c r="R506" s="75" t="s">
        <v>371</v>
      </c>
      <c r="S506" s="20" t="s">
        <v>1126</v>
      </c>
      <c r="T506" s="20" t="s">
        <v>9</v>
      </c>
      <c r="U506" s="47" t="n">
        <v>0</v>
      </c>
      <c r="V506" s="70" t="s">
        <v>492</v>
      </c>
      <c r="W506" s="47" t="n">
        <v>2</v>
      </c>
    </row>
    <row r="507" customFormat="false" ht="35.05" hidden="false" customHeight="false" outlineLevel="0" collapsed="false">
      <c r="A507" s="70" t="n">
        <v>492</v>
      </c>
      <c r="B507" s="20" t="s">
        <v>1024</v>
      </c>
      <c r="C507" s="20" t="s">
        <v>490</v>
      </c>
      <c r="D507" s="20" t="s">
        <v>491</v>
      </c>
      <c r="E507" s="20" t="s">
        <v>492</v>
      </c>
      <c r="F507" s="70" t="s">
        <v>412</v>
      </c>
      <c r="G507" s="20" t="s">
        <v>1127</v>
      </c>
      <c r="H507" s="49" t="n">
        <v>8</v>
      </c>
      <c r="I507" s="70" t="s">
        <v>403</v>
      </c>
      <c r="J507" s="70" t="s">
        <v>501</v>
      </c>
      <c r="K507" s="73" t="n">
        <v>3</v>
      </c>
      <c r="L507" s="49" t="n">
        <v>28</v>
      </c>
      <c r="M507" s="67" t="n">
        <v>2.44</v>
      </c>
      <c r="N507" s="68" t="n">
        <f aca="false">K507*L507*M507</f>
        <v>204.96</v>
      </c>
      <c r="O507" s="34" t="n">
        <f aca="false">IFERROR(INDEX(Исходные!$B$18:$B$30,MATCH(H507,Исходные!$A$18:$A$30,0)),0)</f>
        <v>0.395</v>
      </c>
      <c r="P507" s="74" t="n">
        <f aca="false">N507*O507</f>
        <v>80.9592</v>
      </c>
      <c r="Q507" s="20" t="s">
        <v>1128</v>
      </c>
      <c r="R507" s="75" t="s">
        <v>371</v>
      </c>
      <c r="S507" s="20"/>
      <c r="T507" s="20" t="s">
        <v>9</v>
      </c>
      <c r="U507" s="47" t="n">
        <v>0</v>
      </c>
      <c r="V507" s="70" t="s">
        <v>492</v>
      </c>
      <c r="W507" s="47" t="n">
        <v>2</v>
      </c>
    </row>
    <row r="508" customFormat="false" ht="35.05" hidden="false" customHeight="false" outlineLevel="0" collapsed="false">
      <c r="A508" s="70" t="n">
        <v>493</v>
      </c>
      <c r="B508" s="20" t="s">
        <v>1024</v>
      </c>
      <c r="C508" s="20" t="s">
        <v>490</v>
      </c>
      <c r="D508" s="20" t="s">
        <v>491</v>
      </c>
      <c r="E508" s="20" t="s">
        <v>492</v>
      </c>
      <c r="F508" s="70" t="s">
        <v>415</v>
      </c>
      <c r="G508" s="20" t="s">
        <v>1129</v>
      </c>
      <c r="H508" s="49" t="n">
        <v>8</v>
      </c>
      <c r="I508" s="70" t="s">
        <v>403</v>
      </c>
      <c r="J508" s="70" t="n">
        <v>200</v>
      </c>
      <c r="K508" s="73" t="n">
        <v>3</v>
      </c>
      <c r="L508" s="49" t="n">
        <v>32</v>
      </c>
      <c r="M508" s="67" t="n">
        <v>1.96</v>
      </c>
      <c r="N508" s="68" t="n">
        <f aca="false">K508*L508*M508</f>
        <v>188.16</v>
      </c>
      <c r="O508" s="34" t="n">
        <f aca="false">IFERROR(INDEX(Исходные!$B$18:$B$30,MATCH(H508,Исходные!$A$18:$A$30,0)),0)</f>
        <v>0.395</v>
      </c>
      <c r="P508" s="74" t="n">
        <f aca="false">N508*O508</f>
        <v>74.3232</v>
      </c>
      <c r="Q508" s="20" t="s">
        <v>1130</v>
      </c>
      <c r="R508" s="75" t="s">
        <v>371</v>
      </c>
      <c r="S508" s="20"/>
      <c r="T508" s="20" t="s">
        <v>9</v>
      </c>
      <c r="U508" s="47" t="n">
        <v>0</v>
      </c>
      <c r="V508" s="70" t="s">
        <v>492</v>
      </c>
      <c r="W508" s="47" t="n">
        <v>2</v>
      </c>
    </row>
    <row r="509" customFormat="false" ht="35.05" hidden="false" customHeight="false" outlineLevel="0" collapsed="false">
      <c r="A509" s="70" t="n">
        <v>494</v>
      </c>
      <c r="B509" s="20" t="s">
        <v>1024</v>
      </c>
      <c r="C509" s="20" t="s">
        <v>490</v>
      </c>
      <c r="D509" s="20" t="s">
        <v>505</v>
      </c>
      <c r="E509" s="20" t="s">
        <v>506</v>
      </c>
      <c r="F509" s="70" t="s">
        <v>376</v>
      </c>
      <c r="G509" s="20" t="s">
        <v>1121</v>
      </c>
      <c r="H509" s="49" t="n">
        <v>28</v>
      </c>
      <c r="I509" s="70" t="s">
        <v>368</v>
      </c>
      <c r="J509" s="70" t="s">
        <v>369</v>
      </c>
      <c r="K509" s="73" t="n">
        <v>5</v>
      </c>
      <c r="L509" s="49" t="n">
        <v>4</v>
      </c>
      <c r="M509" s="67" t="n">
        <v>3.6</v>
      </c>
      <c r="N509" s="68" t="n">
        <f aca="false">K509*L509*M509</f>
        <v>72</v>
      </c>
      <c r="O509" s="34" t="n">
        <f aca="false">IFERROR(INDEX(Исходные!$B$18:$B$30,MATCH(H509,Исходные!$A$18:$A$30,0)),0)</f>
        <v>4.834</v>
      </c>
      <c r="P509" s="74" t="n">
        <f aca="false">N509*O509</f>
        <v>348.048</v>
      </c>
      <c r="Q509" s="20" t="s">
        <v>1122</v>
      </c>
      <c r="R509" s="75" t="s">
        <v>371</v>
      </c>
      <c r="S509" s="20" t="s">
        <v>1123</v>
      </c>
      <c r="T509" s="20" t="s">
        <v>9</v>
      </c>
      <c r="U509" s="47" t="n">
        <v>0</v>
      </c>
      <c r="V509" s="70" t="s">
        <v>506</v>
      </c>
      <c r="W509" s="47" t="n">
        <v>2</v>
      </c>
    </row>
    <row r="510" customFormat="false" ht="35.05" hidden="false" customHeight="false" outlineLevel="0" collapsed="false">
      <c r="A510" s="70" t="n">
        <v>495</v>
      </c>
      <c r="B510" s="20" t="s">
        <v>1024</v>
      </c>
      <c r="C510" s="20" t="s">
        <v>490</v>
      </c>
      <c r="D510" s="20" t="s">
        <v>505</v>
      </c>
      <c r="E510" s="20" t="s">
        <v>506</v>
      </c>
      <c r="F510" s="70" t="s">
        <v>373</v>
      </c>
      <c r="G510" s="20" t="s">
        <v>1124</v>
      </c>
      <c r="H510" s="49" t="n">
        <v>20</v>
      </c>
      <c r="I510" s="70" t="s">
        <v>368</v>
      </c>
      <c r="J510" s="70" t="s">
        <v>369</v>
      </c>
      <c r="K510" s="73" t="n">
        <v>5</v>
      </c>
      <c r="L510" s="49" t="n">
        <v>8</v>
      </c>
      <c r="M510" s="67" t="n">
        <v>3.6</v>
      </c>
      <c r="N510" s="68" t="n">
        <f aca="false">K510*L510*M510</f>
        <v>144</v>
      </c>
      <c r="O510" s="34" t="n">
        <f aca="false">IFERROR(INDEX(Исходные!$B$18:$B$30,MATCH(H510,Исходные!$A$18:$A$30,0)),0)</f>
        <v>2.466</v>
      </c>
      <c r="P510" s="74" t="n">
        <f aca="false">N510*O510</f>
        <v>355.104</v>
      </c>
      <c r="Q510" s="20" t="s">
        <v>1125</v>
      </c>
      <c r="R510" s="75" t="s">
        <v>371</v>
      </c>
      <c r="S510" s="20" t="s">
        <v>1126</v>
      </c>
      <c r="T510" s="20" t="s">
        <v>9</v>
      </c>
      <c r="U510" s="47" t="n">
        <v>0</v>
      </c>
      <c r="V510" s="70" t="s">
        <v>506</v>
      </c>
      <c r="W510" s="47" t="n">
        <v>2</v>
      </c>
    </row>
    <row r="511" customFormat="false" ht="35.05" hidden="false" customHeight="false" outlineLevel="0" collapsed="false">
      <c r="A511" s="70" t="n">
        <v>496</v>
      </c>
      <c r="B511" s="20" t="s">
        <v>1024</v>
      </c>
      <c r="C511" s="20" t="s">
        <v>490</v>
      </c>
      <c r="D511" s="20" t="s">
        <v>505</v>
      </c>
      <c r="E511" s="20" t="s">
        <v>506</v>
      </c>
      <c r="F511" s="70" t="s">
        <v>412</v>
      </c>
      <c r="G511" s="20" t="s">
        <v>1127</v>
      </c>
      <c r="H511" s="49" t="n">
        <v>8</v>
      </c>
      <c r="I511" s="70" t="s">
        <v>403</v>
      </c>
      <c r="J511" s="70" t="s">
        <v>501</v>
      </c>
      <c r="K511" s="73" t="n">
        <v>5</v>
      </c>
      <c r="L511" s="49" t="n">
        <v>28</v>
      </c>
      <c r="M511" s="67" t="n">
        <v>2.44</v>
      </c>
      <c r="N511" s="68" t="n">
        <f aca="false">K511*L511*M511</f>
        <v>341.6</v>
      </c>
      <c r="O511" s="34" t="n">
        <f aca="false">IFERROR(INDEX(Исходные!$B$18:$B$30,MATCH(H511,Исходные!$A$18:$A$30,0)),0)</f>
        <v>0.395</v>
      </c>
      <c r="P511" s="74" t="n">
        <f aca="false">N511*O511</f>
        <v>134.932</v>
      </c>
      <c r="Q511" s="20" t="s">
        <v>1128</v>
      </c>
      <c r="R511" s="75" t="s">
        <v>371</v>
      </c>
      <c r="S511" s="20"/>
      <c r="T511" s="20" t="s">
        <v>9</v>
      </c>
      <c r="U511" s="47" t="n">
        <v>0</v>
      </c>
      <c r="V511" s="70" t="s">
        <v>506</v>
      </c>
      <c r="W511" s="47" t="n">
        <v>2</v>
      </c>
    </row>
    <row r="512" customFormat="false" ht="35.05" hidden="false" customHeight="false" outlineLevel="0" collapsed="false">
      <c r="A512" s="70" t="n">
        <v>497</v>
      </c>
      <c r="B512" s="20" t="s">
        <v>1024</v>
      </c>
      <c r="C512" s="20" t="s">
        <v>490</v>
      </c>
      <c r="D512" s="20" t="s">
        <v>505</v>
      </c>
      <c r="E512" s="20" t="s">
        <v>506</v>
      </c>
      <c r="F512" s="70" t="s">
        <v>415</v>
      </c>
      <c r="G512" s="20" t="s">
        <v>1129</v>
      </c>
      <c r="H512" s="49" t="n">
        <v>8</v>
      </c>
      <c r="I512" s="70" t="s">
        <v>403</v>
      </c>
      <c r="J512" s="70" t="n">
        <v>200</v>
      </c>
      <c r="K512" s="73" t="n">
        <v>5</v>
      </c>
      <c r="L512" s="49" t="n">
        <v>32</v>
      </c>
      <c r="M512" s="67" t="n">
        <v>1.96</v>
      </c>
      <c r="N512" s="68" t="n">
        <f aca="false">K512*L512*M512</f>
        <v>313.6</v>
      </c>
      <c r="O512" s="34" t="n">
        <f aca="false">IFERROR(INDEX(Исходные!$B$18:$B$30,MATCH(H512,Исходные!$A$18:$A$30,0)),0)</f>
        <v>0.395</v>
      </c>
      <c r="P512" s="74" t="n">
        <f aca="false">N512*O512</f>
        <v>123.872</v>
      </c>
      <c r="Q512" s="20" t="s">
        <v>1130</v>
      </c>
      <c r="R512" s="75" t="s">
        <v>371</v>
      </c>
      <c r="S512" s="20"/>
      <c r="T512" s="20" t="s">
        <v>9</v>
      </c>
      <c r="U512" s="47" t="n">
        <v>0</v>
      </c>
      <c r="V512" s="70" t="s">
        <v>506</v>
      </c>
      <c r="W512" s="47" t="n">
        <v>2</v>
      </c>
    </row>
    <row r="513" customFormat="false" ht="35.05" hidden="false" customHeight="false" outlineLevel="0" collapsed="false">
      <c r="A513" s="70" t="n">
        <v>498</v>
      </c>
      <c r="B513" s="20" t="s">
        <v>1024</v>
      </c>
      <c r="C513" s="20" t="s">
        <v>490</v>
      </c>
      <c r="D513" s="20" t="s">
        <v>507</v>
      </c>
      <c r="E513" s="20" t="s">
        <v>508</v>
      </c>
      <c r="F513" s="70" t="s">
        <v>376</v>
      </c>
      <c r="G513" s="20" t="s">
        <v>1121</v>
      </c>
      <c r="H513" s="49" t="n">
        <v>28</v>
      </c>
      <c r="I513" s="70" t="s">
        <v>368</v>
      </c>
      <c r="J513" s="70" t="s">
        <v>369</v>
      </c>
      <c r="K513" s="73" t="n">
        <v>5</v>
      </c>
      <c r="L513" s="49" t="n">
        <v>4</v>
      </c>
      <c r="M513" s="67" t="n">
        <v>3.6</v>
      </c>
      <c r="N513" s="68" t="n">
        <f aca="false">K513*L513*M513</f>
        <v>72</v>
      </c>
      <c r="O513" s="34" t="n">
        <f aca="false">IFERROR(INDEX(Исходные!$B$18:$B$30,MATCH(H513,Исходные!$A$18:$A$30,0)),0)</f>
        <v>4.834</v>
      </c>
      <c r="P513" s="74" t="n">
        <f aca="false">N513*O513</f>
        <v>348.048</v>
      </c>
      <c r="Q513" s="20" t="s">
        <v>1122</v>
      </c>
      <c r="R513" s="75" t="s">
        <v>371</v>
      </c>
      <c r="S513" s="20" t="s">
        <v>1123</v>
      </c>
      <c r="T513" s="20" t="s">
        <v>9</v>
      </c>
      <c r="U513" s="47" t="n">
        <v>0</v>
      </c>
      <c r="V513" s="70" t="s">
        <v>508</v>
      </c>
      <c r="W513" s="47" t="n">
        <v>2</v>
      </c>
    </row>
    <row r="514" customFormat="false" ht="35.05" hidden="false" customHeight="false" outlineLevel="0" collapsed="false">
      <c r="A514" s="70" t="n">
        <v>499</v>
      </c>
      <c r="B514" s="20" t="s">
        <v>1024</v>
      </c>
      <c r="C514" s="20" t="s">
        <v>490</v>
      </c>
      <c r="D514" s="20" t="s">
        <v>507</v>
      </c>
      <c r="E514" s="20" t="s">
        <v>508</v>
      </c>
      <c r="F514" s="70" t="s">
        <v>373</v>
      </c>
      <c r="G514" s="20" t="s">
        <v>1124</v>
      </c>
      <c r="H514" s="49" t="n">
        <v>20</v>
      </c>
      <c r="I514" s="70" t="s">
        <v>368</v>
      </c>
      <c r="J514" s="70" t="s">
        <v>369</v>
      </c>
      <c r="K514" s="73" t="n">
        <v>5</v>
      </c>
      <c r="L514" s="49" t="n">
        <v>8</v>
      </c>
      <c r="M514" s="67" t="n">
        <v>3.6</v>
      </c>
      <c r="N514" s="68" t="n">
        <f aca="false">K514*L514*M514</f>
        <v>144</v>
      </c>
      <c r="O514" s="34" t="n">
        <f aca="false">IFERROR(INDEX(Исходные!$B$18:$B$30,MATCH(H514,Исходные!$A$18:$A$30,0)),0)</f>
        <v>2.466</v>
      </c>
      <c r="P514" s="74" t="n">
        <f aca="false">N514*O514</f>
        <v>355.104</v>
      </c>
      <c r="Q514" s="20" t="s">
        <v>1125</v>
      </c>
      <c r="R514" s="75" t="s">
        <v>371</v>
      </c>
      <c r="S514" s="20" t="s">
        <v>1126</v>
      </c>
      <c r="T514" s="20" t="s">
        <v>9</v>
      </c>
      <c r="U514" s="47" t="n">
        <v>0</v>
      </c>
      <c r="V514" s="70" t="s">
        <v>508</v>
      </c>
      <c r="W514" s="47" t="n">
        <v>2</v>
      </c>
    </row>
    <row r="515" customFormat="false" ht="35.05" hidden="false" customHeight="false" outlineLevel="0" collapsed="false">
      <c r="A515" s="70" t="n">
        <v>500</v>
      </c>
      <c r="B515" s="20" t="s">
        <v>1024</v>
      </c>
      <c r="C515" s="20" t="s">
        <v>490</v>
      </c>
      <c r="D515" s="20" t="s">
        <v>507</v>
      </c>
      <c r="E515" s="20" t="s">
        <v>508</v>
      </c>
      <c r="F515" s="70" t="s">
        <v>412</v>
      </c>
      <c r="G515" s="20" t="s">
        <v>1127</v>
      </c>
      <c r="H515" s="49" t="n">
        <v>8</v>
      </c>
      <c r="I515" s="70" t="s">
        <v>403</v>
      </c>
      <c r="J515" s="70" t="s">
        <v>501</v>
      </c>
      <c r="K515" s="73" t="n">
        <v>5</v>
      </c>
      <c r="L515" s="49" t="n">
        <v>28</v>
      </c>
      <c r="M515" s="67" t="n">
        <v>2.44</v>
      </c>
      <c r="N515" s="68" t="n">
        <f aca="false">K515*L515*M515</f>
        <v>341.6</v>
      </c>
      <c r="O515" s="34" t="n">
        <f aca="false">IFERROR(INDEX(Исходные!$B$18:$B$30,MATCH(H515,Исходные!$A$18:$A$30,0)),0)</f>
        <v>0.395</v>
      </c>
      <c r="P515" s="74" t="n">
        <f aca="false">N515*O515</f>
        <v>134.932</v>
      </c>
      <c r="Q515" s="20" t="s">
        <v>1128</v>
      </c>
      <c r="R515" s="75" t="s">
        <v>371</v>
      </c>
      <c r="S515" s="20"/>
      <c r="T515" s="20" t="s">
        <v>9</v>
      </c>
      <c r="U515" s="47" t="n">
        <v>0</v>
      </c>
      <c r="V515" s="70" t="s">
        <v>508</v>
      </c>
      <c r="W515" s="47" t="n">
        <v>2</v>
      </c>
    </row>
    <row r="516" customFormat="false" ht="35.05" hidden="false" customHeight="false" outlineLevel="0" collapsed="false">
      <c r="A516" s="70" t="n">
        <v>501</v>
      </c>
      <c r="B516" s="20" t="s">
        <v>1024</v>
      </c>
      <c r="C516" s="20" t="s">
        <v>490</v>
      </c>
      <c r="D516" s="20" t="s">
        <v>507</v>
      </c>
      <c r="E516" s="20" t="s">
        <v>508</v>
      </c>
      <c r="F516" s="70" t="s">
        <v>415</v>
      </c>
      <c r="G516" s="20" t="s">
        <v>1129</v>
      </c>
      <c r="H516" s="49" t="n">
        <v>8</v>
      </c>
      <c r="I516" s="70" t="s">
        <v>403</v>
      </c>
      <c r="J516" s="70" t="n">
        <v>200</v>
      </c>
      <c r="K516" s="73" t="n">
        <v>5</v>
      </c>
      <c r="L516" s="49" t="n">
        <v>32</v>
      </c>
      <c r="M516" s="67" t="n">
        <v>1.96</v>
      </c>
      <c r="N516" s="68" t="n">
        <f aca="false">K516*L516*M516</f>
        <v>313.6</v>
      </c>
      <c r="O516" s="34" t="n">
        <f aca="false">IFERROR(INDEX(Исходные!$B$18:$B$30,MATCH(H516,Исходные!$A$18:$A$30,0)),0)</f>
        <v>0.395</v>
      </c>
      <c r="P516" s="74" t="n">
        <f aca="false">N516*O516</f>
        <v>123.872</v>
      </c>
      <c r="Q516" s="20" t="s">
        <v>1130</v>
      </c>
      <c r="R516" s="75" t="s">
        <v>371</v>
      </c>
      <c r="S516" s="20"/>
      <c r="T516" s="20" t="s">
        <v>9</v>
      </c>
      <c r="U516" s="47" t="n">
        <v>0</v>
      </c>
      <c r="V516" s="70" t="s">
        <v>508</v>
      </c>
      <c r="W516" s="47" t="n">
        <v>2</v>
      </c>
    </row>
    <row r="517" customFormat="false" ht="35.05" hidden="false" customHeight="false" outlineLevel="0" collapsed="false">
      <c r="A517" s="70" t="n">
        <v>502</v>
      </c>
      <c r="B517" s="20" t="s">
        <v>1024</v>
      </c>
      <c r="C517" s="20" t="s">
        <v>490</v>
      </c>
      <c r="D517" s="20" t="s">
        <v>509</v>
      </c>
      <c r="E517" s="20" t="s">
        <v>510</v>
      </c>
      <c r="F517" s="70" t="s">
        <v>376</v>
      </c>
      <c r="G517" s="20" t="s">
        <v>1121</v>
      </c>
      <c r="H517" s="49" t="n">
        <v>28</v>
      </c>
      <c r="I517" s="70" t="s">
        <v>368</v>
      </c>
      <c r="J517" s="70" t="s">
        <v>369</v>
      </c>
      <c r="K517" s="73" t="n">
        <v>2</v>
      </c>
      <c r="L517" s="49" t="n">
        <v>4</v>
      </c>
      <c r="M517" s="67" t="n">
        <v>3.6</v>
      </c>
      <c r="N517" s="68" t="n">
        <f aca="false">K517*L517*M517</f>
        <v>28.8</v>
      </c>
      <c r="O517" s="34" t="n">
        <f aca="false">IFERROR(INDEX(Исходные!$B$18:$B$30,MATCH(H517,Исходные!$A$18:$A$30,0)),0)</f>
        <v>4.834</v>
      </c>
      <c r="P517" s="74" t="n">
        <f aca="false">N517*O517</f>
        <v>139.2192</v>
      </c>
      <c r="Q517" s="20" t="s">
        <v>1122</v>
      </c>
      <c r="R517" s="75" t="s">
        <v>371</v>
      </c>
      <c r="S517" s="20" t="s">
        <v>1123</v>
      </c>
      <c r="T517" s="20" t="s">
        <v>9</v>
      </c>
      <c r="U517" s="47" t="n">
        <v>0</v>
      </c>
      <c r="V517" s="70" t="s">
        <v>510</v>
      </c>
      <c r="W517" s="47" t="n">
        <v>2</v>
      </c>
    </row>
    <row r="518" customFormat="false" ht="35.05" hidden="false" customHeight="false" outlineLevel="0" collapsed="false">
      <c r="A518" s="70" t="n">
        <v>503</v>
      </c>
      <c r="B518" s="20" t="s">
        <v>1024</v>
      </c>
      <c r="C518" s="20" t="s">
        <v>490</v>
      </c>
      <c r="D518" s="20" t="s">
        <v>509</v>
      </c>
      <c r="E518" s="20" t="s">
        <v>510</v>
      </c>
      <c r="F518" s="70" t="s">
        <v>373</v>
      </c>
      <c r="G518" s="20" t="s">
        <v>1124</v>
      </c>
      <c r="H518" s="49" t="n">
        <v>20</v>
      </c>
      <c r="I518" s="70" t="s">
        <v>368</v>
      </c>
      <c r="J518" s="70" t="s">
        <v>369</v>
      </c>
      <c r="K518" s="73" t="n">
        <v>2</v>
      </c>
      <c r="L518" s="49" t="n">
        <v>8</v>
      </c>
      <c r="M518" s="67" t="n">
        <v>3.6</v>
      </c>
      <c r="N518" s="68" t="n">
        <f aca="false">K518*L518*M518</f>
        <v>57.6</v>
      </c>
      <c r="O518" s="34" t="n">
        <f aca="false">IFERROR(INDEX(Исходные!$B$18:$B$30,MATCH(H518,Исходные!$A$18:$A$30,0)),0)</f>
        <v>2.466</v>
      </c>
      <c r="P518" s="74" t="n">
        <f aca="false">N518*O518</f>
        <v>142.0416</v>
      </c>
      <c r="Q518" s="20" t="s">
        <v>1125</v>
      </c>
      <c r="R518" s="75" t="s">
        <v>371</v>
      </c>
      <c r="S518" s="20" t="s">
        <v>1126</v>
      </c>
      <c r="T518" s="20" t="s">
        <v>9</v>
      </c>
      <c r="U518" s="47" t="n">
        <v>0</v>
      </c>
      <c r="V518" s="70" t="s">
        <v>510</v>
      </c>
      <c r="W518" s="47" t="n">
        <v>2</v>
      </c>
    </row>
    <row r="519" customFormat="false" ht="35.05" hidden="false" customHeight="false" outlineLevel="0" collapsed="false">
      <c r="A519" s="70" t="n">
        <v>504</v>
      </c>
      <c r="B519" s="20" t="s">
        <v>1024</v>
      </c>
      <c r="C519" s="20" t="s">
        <v>490</v>
      </c>
      <c r="D519" s="20" t="s">
        <v>509</v>
      </c>
      <c r="E519" s="20" t="s">
        <v>510</v>
      </c>
      <c r="F519" s="70" t="s">
        <v>412</v>
      </c>
      <c r="G519" s="20" t="s">
        <v>1127</v>
      </c>
      <c r="H519" s="49" t="n">
        <v>8</v>
      </c>
      <c r="I519" s="70" t="s">
        <v>403</v>
      </c>
      <c r="J519" s="70" t="s">
        <v>501</v>
      </c>
      <c r="K519" s="73" t="n">
        <v>2</v>
      </c>
      <c r="L519" s="49" t="n">
        <v>28</v>
      </c>
      <c r="M519" s="67" t="n">
        <v>2.44</v>
      </c>
      <c r="N519" s="68" t="n">
        <f aca="false">K519*L519*M519</f>
        <v>136.64</v>
      </c>
      <c r="O519" s="34" t="n">
        <f aca="false">IFERROR(INDEX(Исходные!$B$18:$B$30,MATCH(H519,Исходные!$A$18:$A$30,0)),0)</f>
        <v>0.395</v>
      </c>
      <c r="P519" s="74" t="n">
        <f aca="false">N519*O519</f>
        <v>53.9728</v>
      </c>
      <c r="Q519" s="20" t="s">
        <v>1128</v>
      </c>
      <c r="R519" s="75" t="s">
        <v>371</v>
      </c>
      <c r="S519" s="20"/>
      <c r="T519" s="20" t="s">
        <v>9</v>
      </c>
      <c r="U519" s="47" t="n">
        <v>0</v>
      </c>
      <c r="V519" s="70" t="s">
        <v>510</v>
      </c>
      <c r="W519" s="47" t="n">
        <v>2</v>
      </c>
    </row>
    <row r="520" customFormat="false" ht="35.05" hidden="false" customHeight="false" outlineLevel="0" collapsed="false">
      <c r="A520" s="70" t="n">
        <v>505</v>
      </c>
      <c r="B520" s="20" t="s">
        <v>1024</v>
      </c>
      <c r="C520" s="20" t="s">
        <v>490</v>
      </c>
      <c r="D520" s="20" t="s">
        <v>509</v>
      </c>
      <c r="E520" s="20" t="s">
        <v>510</v>
      </c>
      <c r="F520" s="70" t="s">
        <v>415</v>
      </c>
      <c r="G520" s="20" t="s">
        <v>1129</v>
      </c>
      <c r="H520" s="49" t="n">
        <v>8</v>
      </c>
      <c r="I520" s="70" t="s">
        <v>403</v>
      </c>
      <c r="J520" s="70" t="n">
        <v>200</v>
      </c>
      <c r="K520" s="73" t="n">
        <v>2</v>
      </c>
      <c r="L520" s="49" t="n">
        <v>32</v>
      </c>
      <c r="M520" s="67" t="n">
        <v>1.96</v>
      </c>
      <c r="N520" s="68" t="n">
        <f aca="false">K520*L520*M520</f>
        <v>125.44</v>
      </c>
      <c r="O520" s="34" t="n">
        <f aca="false">IFERROR(INDEX(Исходные!$B$18:$B$30,MATCH(H520,Исходные!$A$18:$A$30,0)),0)</f>
        <v>0.395</v>
      </c>
      <c r="P520" s="74" t="n">
        <f aca="false">N520*O520</f>
        <v>49.5488</v>
      </c>
      <c r="Q520" s="20" t="s">
        <v>1130</v>
      </c>
      <c r="R520" s="75" t="s">
        <v>371</v>
      </c>
      <c r="S520" s="20"/>
      <c r="T520" s="20" t="s">
        <v>9</v>
      </c>
      <c r="U520" s="47" t="n">
        <v>0</v>
      </c>
      <c r="V520" s="70" t="s">
        <v>510</v>
      </c>
      <c r="W520" s="47" t="n">
        <v>2</v>
      </c>
    </row>
    <row r="521" customFormat="false" ht="15" hidden="false" customHeight="true" outlineLevel="0" collapsed="false">
      <c r="A521" s="72" t="s">
        <v>1131</v>
      </c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</row>
    <row r="522" customFormat="false" ht="35.05" hidden="false" customHeight="false" outlineLevel="0" collapsed="false">
      <c r="A522" s="70" t="n">
        <v>506</v>
      </c>
      <c r="B522" s="20" t="s">
        <v>1024</v>
      </c>
      <c r="C522" s="20" t="s">
        <v>512</v>
      </c>
      <c r="D522" s="20" t="s">
        <v>1132</v>
      </c>
      <c r="E522" s="20" t="s">
        <v>514</v>
      </c>
      <c r="F522" s="70" t="s">
        <v>376</v>
      </c>
      <c r="G522" s="20" t="s">
        <v>515</v>
      </c>
      <c r="H522" s="49" t="n">
        <v>28</v>
      </c>
      <c r="I522" s="70" t="s">
        <v>368</v>
      </c>
      <c r="J522" s="70" t="s">
        <v>369</v>
      </c>
      <c r="K522" s="73" t="n">
        <v>1</v>
      </c>
      <c r="L522" s="49" t="n">
        <v>4</v>
      </c>
      <c r="M522" s="67" t="n">
        <v>25.5</v>
      </c>
      <c r="N522" s="68" t="n">
        <f aca="false">K522*L522*M522</f>
        <v>102</v>
      </c>
      <c r="O522" s="34" t="n">
        <f aca="false">IFERROR(INDEX(Исходные!$B$18:$B$30,MATCH(H522,Исходные!$A$18:$A$30,0)),0)</f>
        <v>4.834</v>
      </c>
      <c r="P522" s="74" t="n">
        <f aca="false">N522*O522</f>
        <v>493.068</v>
      </c>
      <c r="Q522" s="20" t="s">
        <v>1133</v>
      </c>
      <c r="R522" s="75" t="s">
        <v>517</v>
      </c>
      <c r="S522" s="20" t="s">
        <v>518</v>
      </c>
      <c r="T522" s="20" t="s">
        <v>73</v>
      </c>
      <c r="U522" s="47" t="n">
        <v>0</v>
      </c>
      <c r="V522" s="70" t="s">
        <v>514</v>
      </c>
      <c r="W522" s="47" t="n">
        <v>2</v>
      </c>
    </row>
    <row r="523" customFormat="false" ht="35.05" hidden="false" customHeight="false" outlineLevel="0" collapsed="false">
      <c r="A523" s="70" t="n">
        <v>507</v>
      </c>
      <c r="B523" s="20" t="s">
        <v>1024</v>
      </c>
      <c r="C523" s="20" t="s">
        <v>512</v>
      </c>
      <c r="D523" s="20" t="s">
        <v>1132</v>
      </c>
      <c r="E523" s="20" t="s">
        <v>514</v>
      </c>
      <c r="F523" s="70" t="s">
        <v>386</v>
      </c>
      <c r="G523" s="20" t="s">
        <v>519</v>
      </c>
      <c r="H523" s="49" t="n">
        <v>18</v>
      </c>
      <c r="I523" s="70" t="s">
        <v>368</v>
      </c>
      <c r="J523" s="70" t="s">
        <v>369</v>
      </c>
      <c r="K523" s="73" t="n">
        <v>1</v>
      </c>
      <c r="L523" s="49" t="n">
        <v>2</v>
      </c>
      <c r="M523" s="67" t="n">
        <v>25.5</v>
      </c>
      <c r="N523" s="68" t="n">
        <f aca="false">K523*L523*M523</f>
        <v>51</v>
      </c>
      <c r="O523" s="34" t="n">
        <f aca="false">IFERROR(INDEX(Исходные!$B$18:$B$30,MATCH(H523,Исходные!$A$18:$A$30,0)),0)</f>
        <v>1.998</v>
      </c>
      <c r="P523" s="74" t="n">
        <f aca="false">N523*O523</f>
        <v>101.898</v>
      </c>
      <c r="Q523" s="20" t="s">
        <v>520</v>
      </c>
      <c r="R523" s="75" t="s">
        <v>517</v>
      </c>
      <c r="S523" s="20"/>
      <c r="T523" s="20" t="s">
        <v>73</v>
      </c>
      <c r="U523" s="47" t="n">
        <v>0</v>
      </c>
      <c r="V523" s="70" t="s">
        <v>514</v>
      </c>
      <c r="W523" s="47" t="n">
        <v>2</v>
      </c>
    </row>
    <row r="524" customFormat="false" ht="35.05" hidden="false" customHeight="false" outlineLevel="0" collapsed="false">
      <c r="A524" s="70" t="n">
        <v>508</v>
      </c>
      <c r="B524" s="20" t="s">
        <v>1024</v>
      </c>
      <c r="C524" s="20" t="s">
        <v>512</v>
      </c>
      <c r="D524" s="20" t="s">
        <v>1132</v>
      </c>
      <c r="E524" s="20" t="s">
        <v>514</v>
      </c>
      <c r="F524" s="70" t="s">
        <v>521</v>
      </c>
      <c r="G524" s="20" t="s">
        <v>522</v>
      </c>
      <c r="H524" s="49" t="n">
        <v>18</v>
      </c>
      <c r="I524" s="70" t="s">
        <v>368</v>
      </c>
      <c r="J524" s="70" t="s">
        <v>369</v>
      </c>
      <c r="K524" s="73" t="n">
        <v>2</v>
      </c>
      <c r="L524" s="49" t="n">
        <v>2</v>
      </c>
      <c r="M524" s="67" t="n">
        <v>0.144</v>
      </c>
      <c r="N524" s="68" t="n">
        <f aca="false">K524*L524*M524</f>
        <v>0.576</v>
      </c>
      <c r="O524" s="34" t="n">
        <f aca="false">IFERROR(INDEX(Исходные!$B$18:$B$30,MATCH(H524,Исходные!$A$18:$A$30,0)),0)</f>
        <v>1.998</v>
      </c>
      <c r="P524" s="74" t="n">
        <f aca="false">N524*O524</f>
        <v>1.150848</v>
      </c>
      <c r="Q524" s="20" t="s">
        <v>523</v>
      </c>
      <c r="R524" s="75" t="s">
        <v>524</v>
      </c>
      <c r="S524" s="20" t="s">
        <v>525</v>
      </c>
      <c r="T524" s="20" t="s">
        <v>73</v>
      </c>
      <c r="U524" s="47" t="n">
        <v>0</v>
      </c>
      <c r="V524" s="70" t="s">
        <v>514</v>
      </c>
      <c r="W524" s="47" t="n">
        <v>2</v>
      </c>
    </row>
    <row r="525" customFormat="false" ht="35.05" hidden="false" customHeight="false" outlineLevel="0" collapsed="false">
      <c r="A525" s="70" t="n">
        <v>509</v>
      </c>
      <c r="B525" s="20" t="s">
        <v>1024</v>
      </c>
      <c r="C525" s="20" t="s">
        <v>512</v>
      </c>
      <c r="D525" s="20" t="s">
        <v>1132</v>
      </c>
      <c r="E525" s="20" t="s">
        <v>514</v>
      </c>
      <c r="F525" s="70" t="s">
        <v>526</v>
      </c>
      <c r="G525" s="20" t="s">
        <v>527</v>
      </c>
      <c r="H525" s="49" t="n">
        <v>16</v>
      </c>
      <c r="I525" s="70" t="s">
        <v>368</v>
      </c>
      <c r="J525" s="70" t="s">
        <v>369</v>
      </c>
      <c r="K525" s="73" t="n">
        <v>1</v>
      </c>
      <c r="L525" s="49" t="n">
        <v>2</v>
      </c>
      <c r="M525" s="67" t="n">
        <v>25.5</v>
      </c>
      <c r="N525" s="68" t="n">
        <f aca="false">K525*L525*M525</f>
        <v>51</v>
      </c>
      <c r="O525" s="34" t="n">
        <f aca="false">IFERROR(INDEX(Исходные!$B$18:$B$30,MATCH(H525,Исходные!$A$18:$A$30,0)),0)</f>
        <v>1.578</v>
      </c>
      <c r="P525" s="74" t="n">
        <f aca="false">N525*O525</f>
        <v>80.478</v>
      </c>
      <c r="Q525" s="20" t="s">
        <v>528</v>
      </c>
      <c r="R525" s="75" t="s">
        <v>517</v>
      </c>
      <c r="S525" s="20"/>
      <c r="T525" s="20" t="s">
        <v>73</v>
      </c>
      <c r="U525" s="47" t="n">
        <v>0</v>
      </c>
      <c r="V525" s="70" t="s">
        <v>514</v>
      </c>
      <c r="W525" s="47" t="n">
        <v>2</v>
      </c>
    </row>
    <row r="526" customFormat="false" ht="35.05" hidden="false" customHeight="false" outlineLevel="0" collapsed="false">
      <c r="A526" s="70" t="n">
        <v>510</v>
      </c>
      <c r="B526" s="20" t="s">
        <v>1024</v>
      </c>
      <c r="C526" s="20" t="s">
        <v>512</v>
      </c>
      <c r="D526" s="20" t="s">
        <v>1132</v>
      </c>
      <c r="E526" s="20" t="s">
        <v>514</v>
      </c>
      <c r="F526" s="70" t="s">
        <v>529</v>
      </c>
      <c r="G526" s="20" t="s">
        <v>530</v>
      </c>
      <c r="H526" s="49" t="n">
        <v>16</v>
      </c>
      <c r="I526" s="70" t="s">
        <v>368</v>
      </c>
      <c r="J526" s="70" t="s">
        <v>369</v>
      </c>
      <c r="K526" s="73" t="n">
        <v>2</v>
      </c>
      <c r="L526" s="49" t="n">
        <v>2</v>
      </c>
      <c r="M526" s="67" t="n">
        <v>0.128</v>
      </c>
      <c r="N526" s="68" t="n">
        <f aca="false">K526*L526*M526</f>
        <v>0.512</v>
      </c>
      <c r="O526" s="34" t="n">
        <f aca="false">IFERROR(INDEX(Исходные!$B$18:$B$30,MATCH(H526,Исходные!$A$18:$A$30,0)),0)</f>
        <v>1.578</v>
      </c>
      <c r="P526" s="74" t="n">
        <f aca="false">N526*O526</f>
        <v>0.807936</v>
      </c>
      <c r="Q526" s="20" t="s">
        <v>531</v>
      </c>
      <c r="R526" s="75" t="s">
        <v>524</v>
      </c>
      <c r="S526" s="20" t="s">
        <v>532</v>
      </c>
      <c r="T526" s="20" t="s">
        <v>73</v>
      </c>
      <c r="U526" s="47" t="n">
        <v>0</v>
      </c>
      <c r="V526" s="70" t="s">
        <v>514</v>
      </c>
      <c r="W526" s="47" t="n">
        <v>2</v>
      </c>
    </row>
    <row r="527" customFormat="false" ht="35.05" hidden="false" customHeight="false" outlineLevel="0" collapsed="false">
      <c r="A527" s="70" t="n">
        <v>511</v>
      </c>
      <c r="B527" s="20" t="s">
        <v>1024</v>
      </c>
      <c r="C527" s="20" t="s">
        <v>512</v>
      </c>
      <c r="D527" s="20" t="s">
        <v>1132</v>
      </c>
      <c r="E527" s="20" t="s">
        <v>514</v>
      </c>
      <c r="F527" s="70" t="s">
        <v>533</v>
      </c>
      <c r="G527" s="20" t="s">
        <v>534</v>
      </c>
      <c r="H527" s="49" t="n">
        <v>28</v>
      </c>
      <c r="I527" s="70" t="s">
        <v>368</v>
      </c>
      <c r="J527" s="70" t="s">
        <v>369</v>
      </c>
      <c r="K527" s="73" t="n">
        <v>1</v>
      </c>
      <c r="L527" s="49" t="n">
        <v>2</v>
      </c>
      <c r="M527" s="67" t="n">
        <v>2.05</v>
      </c>
      <c r="N527" s="68" t="n">
        <f aca="false">K527*L527*M527</f>
        <v>4.1</v>
      </c>
      <c r="O527" s="34" t="n">
        <f aca="false">IFERROR(INDEX(Исходные!$B$18:$B$30,MATCH(H527,Исходные!$A$18:$A$30,0)),0)</f>
        <v>4.834</v>
      </c>
      <c r="P527" s="74" t="n">
        <f aca="false">N527*O527</f>
        <v>19.8194</v>
      </c>
      <c r="Q527" s="20" t="s">
        <v>1134</v>
      </c>
      <c r="R527" s="75" t="s">
        <v>517</v>
      </c>
      <c r="S527" s="20" t="s">
        <v>1135</v>
      </c>
      <c r="T527" s="20" t="s">
        <v>73</v>
      </c>
      <c r="U527" s="47" t="n">
        <v>0</v>
      </c>
      <c r="V527" s="70" t="s">
        <v>514</v>
      </c>
      <c r="W527" s="47" t="n">
        <v>2</v>
      </c>
    </row>
    <row r="528" customFormat="false" ht="35.05" hidden="false" customHeight="false" outlineLevel="0" collapsed="false">
      <c r="A528" s="70" t="n">
        <v>512</v>
      </c>
      <c r="B528" s="20" t="s">
        <v>1024</v>
      </c>
      <c r="C528" s="20" t="s">
        <v>512</v>
      </c>
      <c r="D528" s="20" t="s">
        <v>1132</v>
      </c>
      <c r="E528" s="20" t="s">
        <v>514</v>
      </c>
      <c r="F528" s="70" t="s">
        <v>533</v>
      </c>
      <c r="G528" s="20" t="s">
        <v>537</v>
      </c>
      <c r="H528" s="49" t="n">
        <v>25</v>
      </c>
      <c r="I528" s="70" t="s">
        <v>368</v>
      </c>
      <c r="J528" s="70" t="s">
        <v>369</v>
      </c>
      <c r="K528" s="73" t="n">
        <v>1</v>
      </c>
      <c r="L528" s="49" t="n">
        <v>2</v>
      </c>
      <c r="M528" s="67" t="n">
        <v>4.5</v>
      </c>
      <c r="N528" s="68" t="n">
        <f aca="false">K528*L528*M528</f>
        <v>9</v>
      </c>
      <c r="O528" s="34" t="n">
        <f aca="false">IFERROR(INDEX(Исходные!$B$18:$B$30,MATCH(H528,Исходные!$A$18:$A$30,0)),0)</f>
        <v>3.853</v>
      </c>
      <c r="P528" s="74" t="n">
        <f aca="false">N528*O528</f>
        <v>34.677</v>
      </c>
      <c r="Q528" s="20" t="s">
        <v>1136</v>
      </c>
      <c r="R528" s="75" t="s">
        <v>517</v>
      </c>
      <c r="S528" s="20" t="s">
        <v>539</v>
      </c>
      <c r="T528" s="20" t="s">
        <v>73</v>
      </c>
      <c r="U528" s="47" t="n">
        <v>0</v>
      </c>
      <c r="V528" s="70" t="s">
        <v>514</v>
      </c>
      <c r="W528" s="47" t="n">
        <v>2</v>
      </c>
    </row>
    <row r="529" customFormat="false" ht="35.05" hidden="false" customHeight="false" outlineLevel="0" collapsed="false">
      <c r="A529" s="70" t="n">
        <v>513</v>
      </c>
      <c r="B529" s="20" t="s">
        <v>1024</v>
      </c>
      <c r="C529" s="20" t="s">
        <v>512</v>
      </c>
      <c r="D529" s="20" t="s">
        <v>1132</v>
      </c>
      <c r="E529" s="20" t="s">
        <v>514</v>
      </c>
      <c r="F529" s="70" t="s">
        <v>533</v>
      </c>
      <c r="G529" s="20" t="s">
        <v>540</v>
      </c>
      <c r="H529" s="49" t="n">
        <v>22</v>
      </c>
      <c r="I529" s="70" t="s">
        <v>368</v>
      </c>
      <c r="J529" s="70" t="s">
        <v>369</v>
      </c>
      <c r="K529" s="73" t="n">
        <v>1</v>
      </c>
      <c r="L529" s="49" t="n">
        <v>2</v>
      </c>
      <c r="M529" s="67" t="n">
        <v>4.5</v>
      </c>
      <c r="N529" s="68" t="n">
        <f aca="false">K529*L529*M529</f>
        <v>9</v>
      </c>
      <c r="O529" s="34" t="n">
        <f aca="false">IFERROR(INDEX(Исходные!$B$18:$B$30,MATCH(H529,Исходные!$A$18:$A$30,0)),0)</f>
        <v>2.984</v>
      </c>
      <c r="P529" s="74" t="n">
        <f aca="false">N529*O529</f>
        <v>26.856</v>
      </c>
      <c r="Q529" s="20" t="s">
        <v>1137</v>
      </c>
      <c r="R529" s="75" t="s">
        <v>517</v>
      </c>
      <c r="S529" s="20" t="s">
        <v>539</v>
      </c>
      <c r="T529" s="20" t="s">
        <v>73</v>
      </c>
      <c r="U529" s="47" t="n">
        <v>0</v>
      </c>
      <c r="V529" s="70" t="s">
        <v>514</v>
      </c>
      <c r="W529" s="47" t="n">
        <v>2</v>
      </c>
    </row>
    <row r="530" customFormat="false" ht="35.05" hidden="false" customHeight="false" outlineLevel="0" collapsed="false">
      <c r="A530" s="70" t="n">
        <v>514</v>
      </c>
      <c r="B530" s="20" t="s">
        <v>1024</v>
      </c>
      <c r="C530" s="20" t="s">
        <v>512</v>
      </c>
      <c r="D530" s="20" t="s">
        <v>1132</v>
      </c>
      <c r="E530" s="20" t="s">
        <v>514</v>
      </c>
      <c r="F530" s="70" t="s">
        <v>533</v>
      </c>
      <c r="G530" s="20" t="s">
        <v>542</v>
      </c>
      <c r="H530" s="49" t="n">
        <v>32</v>
      </c>
      <c r="I530" s="70" t="s">
        <v>368</v>
      </c>
      <c r="J530" s="70" t="s">
        <v>369</v>
      </c>
      <c r="K530" s="73" t="n">
        <v>1</v>
      </c>
      <c r="L530" s="49" t="n">
        <v>2</v>
      </c>
      <c r="M530" s="67" t="n">
        <v>3.3</v>
      </c>
      <c r="N530" s="68" t="n">
        <f aca="false">K530*L530*M530</f>
        <v>6.6</v>
      </c>
      <c r="O530" s="34" t="n">
        <f aca="false">IFERROR(INDEX(Исходные!$B$18:$B$30,MATCH(H530,Исходные!$A$18:$A$30,0)),0)</f>
        <v>6.313</v>
      </c>
      <c r="P530" s="74" t="n">
        <f aca="false">N530*O530</f>
        <v>41.6658</v>
      </c>
      <c r="Q530" s="20" t="s">
        <v>1138</v>
      </c>
      <c r="R530" s="75" t="s">
        <v>517</v>
      </c>
      <c r="S530" s="20" t="s">
        <v>544</v>
      </c>
      <c r="T530" s="20" t="s">
        <v>73</v>
      </c>
      <c r="U530" s="47" t="n">
        <v>0</v>
      </c>
      <c r="V530" s="70" t="s">
        <v>514</v>
      </c>
      <c r="W530" s="47" t="n">
        <v>2</v>
      </c>
    </row>
    <row r="531" customFormat="false" ht="35.05" hidden="false" customHeight="false" outlineLevel="0" collapsed="false">
      <c r="A531" s="70" t="n">
        <v>515</v>
      </c>
      <c r="B531" s="20" t="s">
        <v>1024</v>
      </c>
      <c r="C531" s="20" t="s">
        <v>512</v>
      </c>
      <c r="D531" s="20" t="s">
        <v>1132</v>
      </c>
      <c r="E531" s="20" t="s">
        <v>514</v>
      </c>
      <c r="F531" s="70" t="s">
        <v>533</v>
      </c>
      <c r="G531" s="20" t="s">
        <v>545</v>
      </c>
      <c r="H531" s="49" t="n">
        <v>25</v>
      </c>
      <c r="I531" s="70" t="s">
        <v>368</v>
      </c>
      <c r="J531" s="70" t="s">
        <v>369</v>
      </c>
      <c r="K531" s="73" t="n">
        <v>1</v>
      </c>
      <c r="L531" s="49" t="n">
        <v>2</v>
      </c>
      <c r="M531" s="67" t="n">
        <v>7.85</v>
      </c>
      <c r="N531" s="68" t="n">
        <f aca="false">K531*L531*M531</f>
        <v>15.7</v>
      </c>
      <c r="O531" s="34" t="n">
        <f aca="false">IFERROR(INDEX(Исходные!$B$18:$B$30,MATCH(H531,Исходные!$A$18:$A$30,0)),0)</f>
        <v>3.853</v>
      </c>
      <c r="P531" s="74" t="n">
        <f aca="false">N531*O531</f>
        <v>60.4921</v>
      </c>
      <c r="Q531" s="20" t="s">
        <v>1136</v>
      </c>
      <c r="R531" s="75" t="s">
        <v>517</v>
      </c>
      <c r="S531" s="20" t="s">
        <v>1139</v>
      </c>
      <c r="T531" s="20" t="s">
        <v>73</v>
      </c>
      <c r="U531" s="47" t="n">
        <v>0</v>
      </c>
      <c r="V531" s="70" t="s">
        <v>514</v>
      </c>
      <c r="W531" s="47" t="n">
        <v>2</v>
      </c>
    </row>
    <row r="532" customFormat="false" ht="35.05" hidden="false" customHeight="false" outlineLevel="0" collapsed="false">
      <c r="A532" s="70" t="n">
        <v>516</v>
      </c>
      <c r="B532" s="20" t="s">
        <v>1024</v>
      </c>
      <c r="C532" s="20" t="s">
        <v>512</v>
      </c>
      <c r="D532" s="20" t="s">
        <v>1132</v>
      </c>
      <c r="E532" s="20" t="s">
        <v>514</v>
      </c>
      <c r="F532" s="70" t="s">
        <v>533</v>
      </c>
      <c r="G532" s="20" t="s">
        <v>547</v>
      </c>
      <c r="H532" s="49" t="n">
        <v>25</v>
      </c>
      <c r="I532" s="70" t="s">
        <v>368</v>
      </c>
      <c r="J532" s="70" t="s">
        <v>369</v>
      </c>
      <c r="K532" s="73" t="n">
        <v>1</v>
      </c>
      <c r="L532" s="49" t="n">
        <v>2</v>
      </c>
      <c r="M532" s="67" t="n">
        <v>7.85</v>
      </c>
      <c r="N532" s="68" t="n">
        <f aca="false">K532*L532*M532</f>
        <v>15.7</v>
      </c>
      <c r="O532" s="34" t="n">
        <f aca="false">IFERROR(INDEX(Исходные!$B$18:$B$30,MATCH(H532,Исходные!$A$18:$A$30,0)),0)</f>
        <v>3.853</v>
      </c>
      <c r="P532" s="74" t="n">
        <f aca="false">N532*O532</f>
        <v>60.4921</v>
      </c>
      <c r="Q532" s="20" t="s">
        <v>1136</v>
      </c>
      <c r="R532" s="75" t="s">
        <v>517</v>
      </c>
      <c r="S532" s="20" t="s">
        <v>1139</v>
      </c>
      <c r="T532" s="20" t="s">
        <v>73</v>
      </c>
      <c r="U532" s="47" t="n">
        <v>0</v>
      </c>
      <c r="V532" s="70" t="s">
        <v>514</v>
      </c>
      <c r="W532" s="47" t="n">
        <v>2</v>
      </c>
    </row>
    <row r="533" customFormat="false" ht="35.05" hidden="false" customHeight="false" outlineLevel="0" collapsed="false">
      <c r="A533" s="70" t="n">
        <v>517</v>
      </c>
      <c r="B533" s="20" t="s">
        <v>1024</v>
      </c>
      <c r="C533" s="20" t="s">
        <v>512</v>
      </c>
      <c r="D533" s="20" t="s">
        <v>1132</v>
      </c>
      <c r="E533" s="20" t="s">
        <v>514</v>
      </c>
      <c r="F533" s="70" t="s">
        <v>533</v>
      </c>
      <c r="G533" s="20" t="s">
        <v>548</v>
      </c>
      <c r="H533" s="49" t="n">
        <v>16</v>
      </c>
      <c r="I533" s="70" t="s">
        <v>368</v>
      </c>
      <c r="J533" s="70" t="s">
        <v>369</v>
      </c>
      <c r="K533" s="73" t="n">
        <v>1</v>
      </c>
      <c r="L533" s="49" t="n">
        <v>2</v>
      </c>
      <c r="M533" s="67" t="n">
        <v>9.45</v>
      </c>
      <c r="N533" s="68" t="n">
        <f aca="false">K533*L533*M533</f>
        <v>18.9</v>
      </c>
      <c r="O533" s="34" t="n">
        <f aca="false">IFERROR(INDEX(Исходные!$B$18:$B$30,MATCH(H533,Исходные!$A$18:$A$30,0)),0)</f>
        <v>1.578</v>
      </c>
      <c r="P533" s="74" t="n">
        <f aca="false">N533*O533</f>
        <v>29.8242</v>
      </c>
      <c r="Q533" s="20" t="s">
        <v>1140</v>
      </c>
      <c r="R533" s="75" t="s">
        <v>517</v>
      </c>
      <c r="S533" s="20" t="s">
        <v>1141</v>
      </c>
      <c r="T533" s="20" t="s">
        <v>73</v>
      </c>
      <c r="U533" s="47" t="n">
        <v>0</v>
      </c>
      <c r="V533" s="70" t="s">
        <v>514</v>
      </c>
      <c r="W533" s="47" t="n">
        <v>2</v>
      </c>
    </row>
    <row r="534" customFormat="false" ht="35.05" hidden="false" customHeight="false" outlineLevel="0" collapsed="false">
      <c r="A534" s="70" t="n">
        <v>518</v>
      </c>
      <c r="B534" s="20" t="s">
        <v>1024</v>
      </c>
      <c r="C534" s="20" t="s">
        <v>512</v>
      </c>
      <c r="D534" s="20" t="s">
        <v>1132</v>
      </c>
      <c r="E534" s="20" t="s">
        <v>514</v>
      </c>
      <c r="F534" s="70" t="s">
        <v>533</v>
      </c>
      <c r="G534" s="20" t="s">
        <v>1142</v>
      </c>
      <c r="H534" s="49" t="n">
        <v>20</v>
      </c>
      <c r="I534" s="70" t="s">
        <v>368</v>
      </c>
      <c r="J534" s="70" t="s">
        <v>369</v>
      </c>
      <c r="K534" s="73" t="n">
        <v>1</v>
      </c>
      <c r="L534" s="49" t="n">
        <v>2</v>
      </c>
      <c r="M534" s="67" t="n">
        <v>3.3</v>
      </c>
      <c r="N534" s="68" t="n">
        <f aca="false">K534*L534*M534</f>
        <v>6.6</v>
      </c>
      <c r="O534" s="34" t="n">
        <f aca="false">IFERROR(INDEX(Исходные!$B$18:$B$30,MATCH(H534,Исходные!$A$18:$A$30,0)),0)</f>
        <v>2.466</v>
      </c>
      <c r="P534" s="74" t="n">
        <f aca="false">N534*O534</f>
        <v>16.2756</v>
      </c>
      <c r="Q534" s="20" t="s">
        <v>1143</v>
      </c>
      <c r="R534" s="75" t="s">
        <v>517</v>
      </c>
      <c r="S534" s="20" t="s">
        <v>544</v>
      </c>
      <c r="T534" s="20" t="s">
        <v>73</v>
      </c>
      <c r="U534" s="47" t="n">
        <v>0</v>
      </c>
      <c r="V534" s="70" t="s">
        <v>514</v>
      </c>
      <c r="W534" s="47" t="n">
        <v>2</v>
      </c>
    </row>
    <row r="535" customFormat="false" ht="35.05" hidden="false" customHeight="false" outlineLevel="0" collapsed="false">
      <c r="A535" s="70" t="n">
        <v>519</v>
      </c>
      <c r="B535" s="20" t="s">
        <v>1024</v>
      </c>
      <c r="C535" s="20" t="s">
        <v>512</v>
      </c>
      <c r="D535" s="20" t="s">
        <v>1132</v>
      </c>
      <c r="E535" s="20" t="s">
        <v>514</v>
      </c>
      <c r="F535" s="70" t="s">
        <v>533</v>
      </c>
      <c r="G535" s="20" t="s">
        <v>1144</v>
      </c>
      <c r="H535" s="49" t="n">
        <v>32</v>
      </c>
      <c r="I535" s="70" t="s">
        <v>368</v>
      </c>
      <c r="J535" s="70" t="s">
        <v>369</v>
      </c>
      <c r="K535" s="73" t="n">
        <v>1</v>
      </c>
      <c r="L535" s="49" t="n">
        <v>2</v>
      </c>
      <c r="M535" s="67" t="n">
        <v>7.85</v>
      </c>
      <c r="N535" s="68" t="n">
        <f aca="false">K535*L535*M535</f>
        <v>15.7</v>
      </c>
      <c r="O535" s="34" t="n">
        <f aca="false">IFERROR(INDEX(Исходные!$B$18:$B$30,MATCH(H535,Исходные!$A$18:$A$30,0)),0)</f>
        <v>6.313</v>
      </c>
      <c r="P535" s="74" t="n">
        <f aca="false">N535*O535</f>
        <v>99.1141</v>
      </c>
      <c r="Q535" s="20" t="s">
        <v>1138</v>
      </c>
      <c r="R535" s="75" t="s">
        <v>517</v>
      </c>
      <c r="S535" s="20" t="s">
        <v>1139</v>
      </c>
      <c r="T535" s="20" t="s">
        <v>73</v>
      </c>
      <c r="U535" s="47" t="n">
        <v>0</v>
      </c>
      <c r="V535" s="70" t="s">
        <v>514</v>
      </c>
      <c r="W535" s="47" t="n">
        <v>2</v>
      </c>
    </row>
    <row r="536" customFormat="false" ht="35.05" hidden="false" customHeight="false" outlineLevel="0" collapsed="false">
      <c r="A536" s="70" t="n">
        <v>520</v>
      </c>
      <c r="B536" s="20" t="s">
        <v>1024</v>
      </c>
      <c r="C536" s="20" t="s">
        <v>512</v>
      </c>
      <c r="D536" s="20" t="s">
        <v>1132</v>
      </c>
      <c r="E536" s="20" t="s">
        <v>514</v>
      </c>
      <c r="F536" s="70" t="s">
        <v>533</v>
      </c>
      <c r="G536" s="20" t="s">
        <v>1145</v>
      </c>
      <c r="H536" s="49" t="n">
        <v>18</v>
      </c>
      <c r="I536" s="70" t="s">
        <v>368</v>
      </c>
      <c r="J536" s="70" t="s">
        <v>369</v>
      </c>
      <c r="K536" s="73" t="n">
        <v>1</v>
      </c>
      <c r="L536" s="49" t="n">
        <v>1</v>
      </c>
      <c r="M536" s="67" t="n">
        <v>4.8</v>
      </c>
      <c r="N536" s="68" t="n">
        <f aca="false">K536*L536*M536</f>
        <v>4.8</v>
      </c>
      <c r="O536" s="34" t="n">
        <f aca="false">IFERROR(INDEX(Исходные!$B$18:$B$30,MATCH(H536,Исходные!$A$18:$A$30,0)),0)</f>
        <v>1.998</v>
      </c>
      <c r="P536" s="74" t="n">
        <f aca="false">N536*O536</f>
        <v>9.5904</v>
      </c>
      <c r="Q536" s="20" t="s">
        <v>1146</v>
      </c>
      <c r="R536" s="75" t="s">
        <v>517</v>
      </c>
      <c r="S536" s="20" t="s">
        <v>1147</v>
      </c>
      <c r="T536" s="20" t="s">
        <v>73</v>
      </c>
      <c r="U536" s="47" t="n">
        <v>0</v>
      </c>
      <c r="V536" s="70" t="s">
        <v>514</v>
      </c>
      <c r="W536" s="47" t="n">
        <v>2</v>
      </c>
    </row>
    <row r="537" customFormat="false" ht="35.05" hidden="false" customHeight="false" outlineLevel="0" collapsed="false">
      <c r="A537" s="70" t="n">
        <v>521</v>
      </c>
      <c r="B537" s="20" t="s">
        <v>1024</v>
      </c>
      <c r="C537" s="20" t="s">
        <v>512</v>
      </c>
      <c r="D537" s="20" t="s">
        <v>1132</v>
      </c>
      <c r="E537" s="20" t="s">
        <v>514</v>
      </c>
      <c r="F537" s="70" t="s">
        <v>553</v>
      </c>
      <c r="G537" s="20" t="s">
        <v>1148</v>
      </c>
      <c r="H537" s="49" t="n">
        <v>8</v>
      </c>
      <c r="I537" s="70" t="s">
        <v>403</v>
      </c>
      <c r="J537" s="70" t="s">
        <v>555</v>
      </c>
      <c r="K537" s="73" t="n">
        <v>1</v>
      </c>
      <c r="L537" s="49" t="n">
        <v>112</v>
      </c>
      <c r="M537" s="67" t="n">
        <v>2.06</v>
      </c>
      <c r="N537" s="68" t="n">
        <f aca="false">K537*L537*M537</f>
        <v>230.72</v>
      </c>
      <c r="O537" s="34" t="n">
        <f aca="false">IFERROR(INDEX(Исходные!$B$18:$B$30,MATCH(H537,Исходные!$A$18:$A$30,0)),0)</f>
        <v>0.395</v>
      </c>
      <c r="P537" s="74" t="n">
        <f aca="false">N537*O537</f>
        <v>91.1344</v>
      </c>
      <c r="Q537" s="20" t="s">
        <v>1149</v>
      </c>
      <c r="R537" s="75" t="s">
        <v>371</v>
      </c>
      <c r="S537" s="20" t="s">
        <v>1150</v>
      </c>
      <c r="T537" s="20" t="s">
        <v>73</v>
      </c>
      <c r="U537" s="47" t="n">
        <v>0</v>
      </c>
      <c r="V537" s="70" t="s">
        <v>514</v>
      </c>
      <c r="W537" s="47" t="n">
        <v>2</v>
      </c>
    </row>
    <row r="538" customFormat="false" ht="35.05" hidden="false" customHeight="false" outlineLevel="0" collapsed="false">
      <c r="A538" s="70" t="n">
        <v>522</v>
      </c>
      <c r="B538" s="20" t="s">
        <v>1024</v>
      </c>
      <c r="C538" s="20" t="s">
        <v>512</v>
      </c>
      <c r="D538" s="20" t="s">
        <v>1132</v>
      </c>
      <c r="E538" s="20" t="s">
        <v>514</v>
      </c>
      <c r="F538" s="70" t="s">
        <v>418</v>
      </c>
      <c r="G538" s="20" t="s">
        <v>1151</v>
      </c>
      <c r="H538" s="49" t="n">
        <v>10</v>
      </c>
      <c r="I538" s="70" t="s">
        <v>403</v>
      </c>
      <c r="J538" s="70" t="n">
        <v>100</v>
      </c>
      <c r="K538" s="73" t="n">
        <v>1</v>
      </c>
      <c r="L538" s="49" t="n">
        <v>56</v>
      </c>
      <c r="M538" s="67" t="n">
        <v>2.06</v>
      </c>
      <c r="N538" s="68" t="n">
        <f aca="false">K538*L538*M538</f>
        <v>115.36</v>
      </c>
      <c r="O538" s="34" t="n">
        <f aca="false">IFERROR(INDEX(Исходные!$B$18:$B$30,MATCH(H538,Исходные!$A$18:$A$30,0)),0)</f>
        <v>0.617</v>
      </c>
      <c r="P538" s="74" t="n">
        <f aca="false">N538*O538</f>
        <v>71.17712</v>
      </c>
      <c r="Q538" s="20" t="s">
        <v>1152</v>
      </c>
      <c r="R538" s="75" t="s">
        <v>371</v>
      </c>
      <c r="S538" s="20" t="s">
        <v>1153</v>
      </c>
      <c r="T538" s="20" t="s">
        <v>73</v>
      </c>
      <c r="U538" s="47" t="n">
        <v>0</v>
      </c>
      <c r="V538" s="70" t="s">
        <v>514</v>
      </c>
      <c r="W538" s="47" t="n">
        <v>2</v>
      </c>
    </row>
    <row r="539" customFormat="false" ht="35.05" hidden="false" customHeight="false" outlineLevel="0" collapsed="false">
      <c r="A539" s="70" t="n">
        <v>523</v>
      </c>
      <c r="B539" s="20" t="s">
        <v>1024</v>
      </c>
      <c r="C539" s="20" t="s">
        <v>512</v>
      </c>
      <c r="D539" s="20" t="s">
        <v>1132</v>
      </c>
      <c r="E539" s="20" t="s">
        <v>514</v>
      </c>
      <c r="F539" s="70" t="s">
        <v>460</v>
      </c>
      <c r="G539" s="20" t="s">
        <v>561</v>
      </c>
      <c r="H539" s="49" t="n">
        <v>10</v>
      </c>
      <c r="I539" s="70" t="s">
        <v>403</v>
      </c>
      <c r="J539" s="70" t="n">
        <v>100</v>
      </c>
      <c r="K539" s="73" t="n">
        <v>1</v>
      </c>
      <c r="L539" s="49" t="n">
        <v>8</v>
      </c>
      <c r="M539" s="67" t="n">
        <v>1.6</v>
      </c>
      <c r="N539" s="68" t="n">
        <f aca="false">K539*L539*M539</f>
        <v>12.8</v>
      </c>
      <c r="O539" s="34" t="n">
        <f aca="false">IFERROR(INDEX(Исходные!$B$18:$B$30,MATCH(H539,Исходные!$A$18:$A$30,0)),0)</f>
        <v>0.617</v>
      </c>
      <c r="P539" s="74" t="n">
        <f aca="false">N539*O539</f>
        <v>7.8976</v>
      </c>
      <c r="Q539" s="20" t="s">
        <v>562</v>
      </c>
      <c r="R539" s="75" t="s">
        <v>371</v>
      </c>
      <c r="S539" s="20"/>
      <c r="T539" s="20" t="s">
        <v>73</v>
      </c>
      <c r="U539" s="47" t="n">
        <v>0</v>
      </c>
      <c r="V539" s="70" t="s">
        <v>514</v>
      </c>
      <c r="W539" s="47" t="n">
        <v>2</v>
      </c>
    </row>
    <row r="540" customFormat="false" ht="35.05" hidden="false" customHeight="false" outlineLevel="0" collapsed="false">
      <c r="A540" s="70" t="n">
        <v>524</v>
      </c>
      <c r="B540" s="20" t="s">
        <v>1024</v>
      </c>
      <c r="C540" s="20" t="s">
        <v>512</v>
      </c>
      <c r="D540" s="20" t="s">
        <v>1132</v>
      </c>
      <c r="E540" s="20" t="s">
        <v>514</v>
      </c>
      <c r="F540" s="70" t="s">
        <v>563</v>
      </c>
      <c r="G540" s="20" t="s">
        <v>1154</v>
      </c>
      <c r="H540" s="49" t="n">
        <v>8</v>
      </c>
      <c r="I540" s="70" t="s">
        <v>403</v>
      </c>
      <c r="J540" s="70" t="s">
        <v>565</v>
      </c>
      <c r="K540" s="73" t="n">
        <v>1</v>
      </c>
      <c r="L540" s="49" t="n">
        <v>105</v>
      </c>
      <c r="M540" s="67" t="n">
        <v>0.75</v>
      </c>
      <c r="N540" s="68" t="n">
        <f aca="false">K540*L540*M540</f>
        <v>78.75</v>
      </c>
      <c r="O540" s="34" t="n">
        <f aca="false">IFERROR(INDEX(Исходные!$B$18:$B$30,MATCH(H540,Исходные!$A$18:$A$30,0)),0)</f>
        <v>0.395</v>
      </c>
      <c r="P540" s="74" t="n">
        <f aca="false">N540*O540</f>
        <v>31.10625</v>
      </c>
      <c r="Q540" s="20" t="s">
        <v>566</v>
      </c>
      <c r="R540" s="75" t="s">
        <v>371</v>
      </c>
      <c r="S540" s="20"/>
      <c r="T540" s="20" t="s">
        <v>73</v>
      </c>
      <c r="U540" s="47" t="n">
        <v>0</v>
      </c>
      <c r="V540" s="70" t="s">
        <v>514</v>
      </c>
      <c r="W540" s="47" t="n">
        <v>2</v>
      </c>
    </row>
    <row r="541" customFormat="false" ht="35.05" hidden="false" customHeight="false" outlineLevel="0" collapsed="false">
      <c r="A541" s="70" t="n">
        <v>525</v>
      </c>
      <c r="B541" s="20" t="s">
        <v>1024</v>
      </c>
      <c r="C541" s="20" t="s">
        <v>512</v>
      </c>
      <c r="D541" s="20" t="s">
        <v>1132</v>
      </c>
      <c r="E541" s="20" t="s">
        <v>514</v>
      </c>
      <c r="F541" s="70" t="s">
        <v>567</v>
      </c>
      <c r="G541" s="20" t="s">
        <v>1155</v>
      </c>
      <c r="H541" s="49" t="n">
        <v>8</v>
      </c>
      <c r="I541" s="70" t="s">
        <v>403</v>
      </c>
      <c r="J541" s="70" t="n">
        <v>300</v>
      </c>
      <c r="K541" s="73" t="n">
        <v>1</v>
      </c>
      <c r="L541" s="49" t="n">
        <v>70</v>
      </c>
      <c r="M541" s="67" t="n">
        <v>0.58</v>
      </c>
      <c r="N541" s="68" t="n">
        <f aca="false">K541*L541*M541</f>
        <v>40.6</v>
      </c>
      <c r="O541" s="34" t="n">
        <f aca="false">IFERROR(INDEX(Исходные!$B$18:$B$30,MATCH(H541,Исходные!$A$18:$A$30,0)),0)</f>
        <v>0.395</v>
      </c>
      <c r="P541" s="74" t="n">
        <f aca="false">N541*O541</f>
        <v>16.037</v>
      </c>
      <c r="Q541" s="20" t="s">
        <v>1156</v>
      </c>
      <c r="R541" s="76" t="s">
        <v>495</v>
      </c>
      <c r="S541" s="20"/>
      <c r="T541" s="20" t="s">
        <v>73</v>
      </c>
      <c r="U541" s="47" t="n">
        <v>1</v>
      </c>
      <c r="V541" s="70" t="s">
        <v>514</v>
      </c>
      <c r="W541" s="47" t="n">
        <v>2</v>
      </c>
    </row>
    <row r="542" customFormat="false" ht="35.05" hidden="false" customHeight="false" outlineLevel="0" collapsed="false">
      <c r="A542" s="70" t="n">
        <v>526</v>
      </c>
      <c r="B542" s="20" t="s">
        <v>1024</v>
      </c>
      <c r="C542" s="20" t="s">
        <v>512</v>
      </c>
      <c r="D542" s="20" t="s">
        <v>1157</v>
      </c>
      <c r="E542" s="20" t="s">
        <v>572</v>
      </c>
      <c r="F542" s="70" t="s">
        <v>376</v>
      </c>
      <c r="G542" s="20" t="s">
        <v>515</v>
      </c>
      <c r="H542" s="49" t="n">
        <v>28</v>
      </c>
      <c r="I542" s="70" t="s">
        <v>368</v>
      </c>
      <c r="J542" s="70" t="s">
        <v>369</v>
      </c>
      <c r="K542" s="73" t="n">
        <v>1</v>
      </c>
      <c r="L542" s="49" t="n">
        <v>4</v>
      </c>
      <c r="M542" s="67" t="n">
        <v>25.5</v>
      </c>
      <c r="N542" s="68" t="n">
        <f aca="false">K542*L542*M542</f>
        <v>102</v>
      </c>
      <c r="O542" s="34" t="n">
        <f aca="false">IFERROR(INDEX(Исходные!$B$18:$B$30,MATCH(H542,Исходные!$A$18:$A$30,0)),0)</f>
        <v>4.834</v>
      </c>
      <c r="P542" s="74" t="n">
        <f aca="false">N542*O542</f>
        <v>493.068</v>
      </c>
      <c r="Q542" s="20" t="s">
        <v>1158</v>
      </c>
      <c r="R542" s="75" t="s">
        <v>517</v>
      </c>
      <c r="S542" s="20" t="s">
        <v>518</v>
      </c>
      <c r="T542" s="20" t="s">
        <v>73</v>
      </c>
      <c r="U542" s="47" t="n">
        <v>0</v>
      </c>
      <c r="V542" s="70" t="s">
        <v>572</v>
      </c>
      <c r="W542" s="47" t="n">
        <v>2</v>
      </c>
    </row>
    <row r="543" customFormat="false" ht="35.05" hidden="false" customHeight="false" outlineLevel="0" collapsed="false">
      <c r="A543" s="70" t="n">
        <v>527</v>
      </c>
      <c r="B543" s="20" t="s">
        <v>1024</v>
      </c>
      <c r="C543" s="20" t="s">
        <v>512</v>
      </c>
      <c r="D543" s="20" t="s">
        <v>1157</v>
      </c>
      <c r="E543" s="20" t="s">
        <v>572</v>
      </c>
      <c r="F543" s="70" t="s">
        <v>386</v>
      </c>
      <c r="G543" s="20" t="s">
        <v>519</v>
      </c>
      <c r="H543" s="49" t="n">
        <v>18</v>
      </c>
      <c r="I543" s="70" t="s">
        <v>368</v>
      </c>
      <c r="J543" s="70" t="s">
        <v>369</v>
      </c>
      <c r="K543" s="73" t="n">
        <v>1</v>
      </c>
      <c r="L543" s="49" t="n">
        <v>2</v>
      </c>
      <c r="M543" s="67" t="n">
        <v>25.5</v>
      </c>
      <c r="N543" s="68" t="n">
        <f aca="false">K543*L543*M543</f>
        <v>51</v>
      </c>
      <c r="O543" s="34" t="n">
        <f aca="false">IFERROR(INDEX(Исходные!$B$18:$B$30,MATCH(H543,Исходные!$A$18:$A$30,0)),0)</f>
        <v>1.998</v>
      </c>
      <c r="P543" s="74" t="n">
        <f aca="false">N543*O543</f>
        <v>101.898</v>
      </c>
      <c r="Q543" s="20" t="s">
        <v>520</v>
      </c>
      <c r="R543" s="75" t="s">
        <v>517</v>
      </c>
      <c r="S543" s="20"/>
      <c r="T543" s="20" t="s">
        <v>73</v>
      </c>
      <c r="U543" s="47" t="n">
        <v>0</v>
      </c>
      <c r="V543" s="70" t="s">
        <v>572</v>
      </c>
      <c r="W543" s="47" t="n">
        <v>2</v>
      </c>
    </row>
    <row r="544" customFormat="false" ht="35.05" hidden="false" customHeight="false" outlineLevel="0" collapsed="false">
      <c r="A544" s="70" t="n">
        <v>528</v>
      </c>
      <c r="B544" s="20" t="s">
        <v>1024</v>
      </c>
      <c r="C544" s="20" t="s">
        <v>512</v>
      </c>
      <c r="D544" s="20" t="s">
        <v>1157</v>
      </c>
      <c r="E544" s="20" t="s">
        <v>572</v>
      </c>
      <c r="F544" s="70" t="s">
        <v>521</v>
      </c>
      <c r="G544" s="20" t="s">
        <v>522</v>
      </c>
      <c r="H544" s="49" t="n">
        <v>18</v>
      </c>
      <c r="I544" s="70" t="s">
        <v>368</v>
      </c>
      <c r="J544" s="70" t="s">
        <v>369</v>
      </c>
      <c r="K544" s="73" t="n">
        <v>2</v>
      </c>
      <c r="L544" s="49" t="n">
        <v>2</v>
      </c>
      <c r="M544" s="67" t="n">
        <v>0.144</v>
      </c>
      <c r="N544" s="68" t="n">
        <f aca="false">K544*L544*M544</f>
        <v>0.576</v>
      </c>
      <c r="O544" s="34" t="n">
        <f aca="false">IFERROR(INDEX(Исходные!$B$18:$B$30,MATCH(H544,Исходные!$A$18:$A$30,0)),0)</f>
        <v>1.998</v>
      </c>
      <c r="P544" s="74" t="n">
        <f aca="false">N544*O544</f>
        <v>1.150848</v>
      </c>
      <c r="Q544" s="20" t="s">
        <v>523</v>
      </c>
      <c r="R544" s="75" t="s">
        <v>524</v>
      </c>
      <c r="S544" s="20" t="s">
        <v>525</v>
      </c>
      <c r="T544" s="20" t="s">
        <v>73</v>
      </c>
      <c r="U544" s="47" t="n">
        <v>0</v>
      </c>
      <c r="V544" s="70" t="s">
        <v>572</v>
      </c>
      <c r="W544" s="47" t="n">
        <v>2</v>
      </c>
    </row>
    <row r="545" customFormat="false" ht="35.05" hidden="false" customHeight="false" outlineLevel="0" collapsed="false">
      <c r="A545" s="70" t="n">
        <v>529</v>
      </c>
      <c r="B545" s="20" t="s">
        <v>1024</v>
      </c>
      <c r="C545" s="20" t="s">
        <v>512</v>
      </c>
      <c r="D545" s="20" t="s">
        <v>1157</v>
      </c>
      <c r="E545" s="20" t="s">
        <v>572</v>
      </c>
      <c r="F545" s="70" t="s">
        <v>526</v>
      </c>
      <c r="G545" s="20" t="s">
        <v>527</v>
      </c>
      <c r="H545" s="49" t="n">
        <v>16</v>
      </c>
      <c r="I545" s="70" t="s">
        <v>368</v>
      </c>
      <c r="J545" s="70" t="s">
        <v>369</v>
      </c>
      <c r="K545" s="73" t="n">
        <v>1</v>
      </c>
      <c r="L545" s="49" t="n">
        <v>2</v>
      </c>
      <c r="M545" s="67" t="n">
        <v>25.5</v>
      </c>
      <c r="N545" s="68" t="n">
        <f aca="false">K545*L545*M545</f>
        <v>51</v>
      </c>
      <c r="O545" s="34" t="n">
        <f aca="false">IFERROR(INDEX(Исходные!$B$18:$B$30,MATCH(H545,Исходные!$A$18:$A$30,0)),0)</f>
        <v>1.578</v>
      </c>
      <c r="P545" s="74" t="n">
        <f aca="false">N545*O545</f>
        <v>80.478</v>
      </c>
      <c r="Q545" s="20" t="s">
        <v>528</v>
      </c>
      <c r="R545" s="75" t="s">
        <v>517</v>
      </c>
      <c r="S545" s="20"/>
      <c r="T545" s="20" t="s">
        <v>73</v>
      </c>
      <c r="U545" s="47" t="n">
        <v>0</v>
      </c>
      <c r="V545" s="70" t="s">
        <v>572</v>
      </c>
      <c r="W545" s="47" t="n">
        <v>2</v>
      </c>
    </row>
    <row r="546" customFormat="false" ht="35.05" hidden="false" customHeight="false" outlineLevel="0" collapsed="false">
      <c r="A546" s="70" t="n">
        <v>530</v>
      </c>
      <c r="B546" s="20" t="s">
        <v>1024</v>
      </c>
      <c r="C546" s="20" t="s">
        <v>512</v>
      </c>
      <c r="D546" s="20" t="s">
        <v>1157</v>
      </c>
      <c r="E546" s="20" t="s">
        <v>572</v>
      </c>
      <c r="F546" s="70" t="s">
        <v>529</v>
      </c>
      <c r="G546" s="20" t="s">
        <v>530</v>
      </c>
      <c r="H546" s="49" t="n">
        <v>16</v>
      </c>
      <c r="I546" s="70" t="s">
        <v>368</v>
      </c>
      <c r="J546" s="70" t="s">
        <v>369</v>
      </c>
      <c r="K546" s="73" t="n">
        <v>2</v>
      </c>
      <c r="L546" s="49" t="n">
        <v>2</v>
      </c>
      <c r="M546" s="67" t="n">
        <v>0.128</v>
      </c>
      <c r="N546" s="68" t="n">
        <f aca="false">K546*L546*M546</f>
        <v>0.512</v>
      </c>
      <c r="O546" s="34" t="n">
        <f aca="false">IFERROR(INDEX(Исходные!$B$18:$B$30,MATCH(H546,Исходные!$A$18:$A$30,0)),0)</f>
        <v>1.578</v>
      </c>
      <c r="P546" s="74" t="n">
        <f aca="false">N546*O546</f>
        <v>0.807936</v>
      </c>
      <c r="Q546" s="20" t="s">
        <v>531</v>
      </c>
      <c r="R546" s="75" t="s">
        <v>524</v>
      </c>
      <c r="S546" s="20" t="s">
        <v>532</v>
      </c>
      <c r="T546" s="20" t="s">
        <v>73</v>
      </c>
      <c r="U546" s="47" t="n">
        <v>0</v>
      </c>
      <c r="V546" s="70" t="s">
        <v>572</v>
      </c>
      <c r="W546" s="47" t="n">
        <v>2</v>
      </c>
    </row>
    <row r="547" customFormat="false" ht="35.05" hidden="false" customHeight="false" outlineLevel="0" collapsed="false">
      <c r="A547" s="70" t="n">
        <v>531</v>
      </c>
      <c r="B547" s="20" t="s">
        <v>1024</v>
      </c>
      <c r="C547" s="20" t="s">
        <v>512</v>
      </c>
      <c r="D547" s="20" t="s">
        <v>1157</v>
      </c>
      <c r="E547" s="20" t="s">
        <v>572</v>
      </c>
      <c r="F547" s="70" t="s">
        <v>533</v>
      </c>
      <c r="G547" s="20" t="s">
        <v>534</v>
      </c>
      <c r="H547" s="49" t="n">
        <v>28</v>
      </c>
      <c r="I547" s="70" t="s">
        <v>368</v>
      </c>
      <c r="J547" s="70" t="s">
        <v>369</v>
      </c>
      <c r="K547" s="73" t="n">
        <v>1</v>
      </c>
      <c r="L547" s="49" t="n">
        <v>2</v>
      </c>
      <c r="M547" s="67" t="n">
        <v>2.05</v>
      </c>
      <c r="N547" s="68" t="n">
        <f aca="false">K547*L547*M547</f>
        <v>4.1</v>
      </c>
      <c r="O547" s="34" t="n">
        <f aca="false">IFERROR(INDEX(Исходные!$B$18:$B$30,MATCH(H547,Исходные!$A$18:$A$30,0)),0)</f>
        <v>4.834</v>
      </c>
      <c r="P547" s="74" t="n">
        <f aca="false">N547*O547</f>
        <v>19.8194</v>
      </c>
      <c r="Q547" s="20" t="s">
        <v>1159</v>
      </c>
      <c r="R547" s="75" t="s">
        <v>517</v>
      </c>
      <c r="S547" s="20" t="s">
        <v>1135</v>
      </c>
      <c r="T547" s="20" t="s">
        <v>73</v>
      </c>
      <c r="U547" s="47" t="n">
        <v>0</v>
      </c>
      <c r="V547" s="70" t="s">
        <v>572</v>
      </c>
      <c r="W547" s="47" t="n">
        <v>2</v>
      </c>
    </row>
    <row r="548" customFormat="false" ht="35.05" hidden="false" customHeight="false" outlineLevel="0" collapsed="false">
      <c r="A548" s="70" t="n">
        <v>532</v>
      </c>
      <c r="B548" s="20" t="s">
        <v>1024</v>
      </c>
      <c r="C548" s="20" t="s">
        <v>512</v>
      </c>
      <c r="D548" s="20" t="s">
        <v>1157</v>
      </c>
      <c r="E548" s="20" t="s">
        <v>572</v>
      </c>
      <c r="F548" s="70" t="s">
        <v>533</v>
      </c>
      <c r="G548" s="20" t="s">
        <v>1160</v>
      </c>
      <c r="H548" s="49" t="n">
        <v>28</v>
      </c>
      <c r="I548" s="70" t="s">
        <v>368</v>
      </c>
      <c r="J548" s="70" t="s">
        <v>369</v>
      </c>
      <c r="K548" s="73" t="n">
        <v>1</v>
      </c>
      <c r="L548" s="49" t="n">
        <v>2</v>
      </c>
      <c r="M548" s="67" t="n">
        <v>3.7</v>
      </c>
      <c r="N548" s="68" t="n">
        <f aca="false">K548*L548*M548</f>
        <v>7.4</v>
      </c>
      <c r="O548" s="34" t="n">
        <f aca="false">IFERROR(INDEX(Исходные!$B$18:$B$30,MATCH(H548,Исходные!$A$18:$A$30,0)),0)</f>
        <v>4.834</v>
      </c>
      <c r="P548" s="74" t="n">
        <f aca="false">N548*O548</f>
        <v>35.7716</v>
      </c>
      <c r="Q548" s="20" t="s">
        <v>1159</v>
      </c>
      <c r="R548" s="75" t="s">
        <v>517</v>
      </c>
      <c r="S548" s="20" t="s">
        <v>578</v>
      </c>
      <c r="T548" s="20" t="s">
        <v>73</v>
      </c>
      <c r="U548" s="47" t="n">
        <v>0</v>
      </c>
      <c r="V548" s="70" t="s">
        <v>572</v>
      </c>
      <c r="W548" s="47" t="n">
        <v>2</v>
      </c>
    </row>
    <row r="549" customFormat="false" ht="35.05" hidden="false" customHeight="false" outlineLevel="0" collapsed="false">
      <c r="A549" s="70" t="n">
        <v>533</v>
      </c>
      <c r="B549" s="20" t="s">
        <v>1024</v>
      </c>
      <c r="C549" s="20" t="s">
        <v>512</v>
      </c>
      <c r="D549" s="20" t="s">
        <v>1157</v>
      </c>
      <c r="E549" s="20" t="s">
        <v>572</v>
      </c>
      <c r="F549" s="70" t="s">
        <v>533</v>
      </c>
      <c r="G549" s="20" t="s">
        <v>1161</v>
      </c>
      <c r="H549" s="49" t="n">
        <v>22</v>
      </c>
      <c r="I549" s="70" t="s">
        <v>368</v>
      </c>
      <c r="J549" s="70" t="s">
        <v>369</v>
      </c>
      <c r="K549" s="73" t="n">
        <v>1</v>
      </c>
      <c r="L549" s="49" t="n">
        <v>2</v>
      </c>
      <c r="M549" s="67" t="n">
        <v>3.7</v>
      </c>
      <c r="N549" s="68" t="n">
        <f aca="false">K549*L549*M549</f>
        <v>7.4</v>
      </c>
      <c r="O549" s="34" t="n">
        <f aca="false">IFERROR(INDEX(Исходные!$B$18:$B$30,MATCH(H549,Исходные!$A$18:$A$30,0)),0)</f>
        <v>2.984</v>
      </c>
      <c r="P549" s="74" t="n">
        <f aca="false">N549*O549</f>
        <v>22.0816</v>
      </c>
      <c r="Q549" s="20" t="s">
        <v>1162</v>
      </c>
      <c r="R549" s="75" t="s">
        <v>517</v>
      </c>
      <c r="S549" s="20" t="s">
        <v>578</v>
      </c>
      <c r="T549" s="20" t="s">
        <v>73</v>
      </c>
      <c r="U549" s="47" t="n">
        <v>0</v>
      </c>
      <c r="V549" s="70" t="s">
        <v>572</v>
      </c>
      <c r="W549" s="47" t="n">
        <v>2</v>
      </c>
    </row>
    <row r="550" customFormat="false" ht="35.05" hidden="false" customHeight="false" outlineLevel="0" collapsed="false">
      <c r="A550" s="70" t="n">
        <v>534</v>
      </c>
      <c r="B550" s="20" t="s">
        <v>1024</v>
      </c>
      <c r="C550" s="20" t="s">
        <v>512</v>
      </c>
      <c r="D550" s="20" t="s">
        <v>1157</v>
      </c>
      <c r="E550" s="20" t="s">
        <v>572</v>
      </c>
      <c r="F550" s="70" t="s">
        <v>533</v>
      </c>
      <c r="G550" s="20" t="s">
        <v>579</v>
      </c>
      <c r="H550" s="49" t="n">
        <v>28</v>
      </c>
      <c r="I550" s="70" t="s">
        <v>368</v>
      </c>
      <c r="J550" s="70" t="s">
        <v>369</v>
      </c>
      <c r="K550" s="73" t="n">
        <v>1</v>
      </c>
      <c r="L550" s="49" t="n">
        <v>2</v>
      </c>
      <c r="M550" s="67" t="n">
        <v>3.7</v>
      </c>
      <c r="N550" s="68" t="n">
        <f aca="false">K550*L550*M550</f>
        <v>7.4</v>
      </c>
      <c r="O550" s="34" t="n">
        <f aca="false">IFERROR(INDEX(Исходные!$B$18:$B$30,MATCH(H550,Исходные!$A$18:$A$30,0)),0)</f>
        <v>4.834</v>
      </c>
      <c r="P550" s="74" t="n">
        <f aca="false">N550*O550</f>
        <v>35.7716</v>
      </c>
      <c r="Q550" s="20" t="s">
        <v>1159</v>
      </c>
      <c r="R550" s="75" t="s">
        <v>517</v>
      </c>
      <c r="S550" s="20" t="s">
        <v>581</v>
      </c>
      <c r="T550" s="20" t="s">
        <v>73</v>
      </c>
      <c r="U550" s="47" t="n">
        <v>0</v>
      </c>
      <c r="V550" s="70" t="s">
        <v>572</v>
      </c>
      <c r="W550" s="47" t="n">
        <v>2</v>
      </c>
    </row>
    <row r="551" customFormat="false" ht="35.05" hidden="false" customHeight="false" outlineLevel="0" collapsed="false">
      <c r="A551" s="70" t="n">
        <v>535</v>
      </c>
      <c r="B551" s="20" t="s">
        <v>1024</v>
      </c>
      <c r="C551" s="20" t="s">
        <v>512</v>
      </c>
      <c r="D551" s="20" t="s">
        <v>1157</v>
      </c>
      <c r="E551" s="20" t="s">
        <v>572</v>
      </c>
      <c r="F551" s="70" t="s">
        <v>533</v>
      </c>
      <c r="G551" s="20" t="s">
        <v>582</v>
      </c>
      <c r="H551" s="49" t="n">
        <v>28</v>
      </c>
      <c r="I551" s="70" t="s">
        <v>368</v>
      </c>
      <c r="J551" s="70" t="s">
        <v>369</v>
      </c>
      <c r="K551" s="73" t="n">
        <v>1</v>
      </c>
      <c r="L551" s="49" t="n">
        <v>2</v>
      </c>
      <c r="M551" s="67" t="n">
        <v>3.6</v>
      </c>
      <c r="N551" s="68" t="n">
        <f aca="false">K551*L551*M551</f>
        <v>7.2</v>
      </c>
      <c r="O551" s="34" t="n">
        <f aca="false">IFERROR(INDEX(Исходные!$B$18:$B$30,MATCH(H551,Исходные!$A$18:$A$30,0)),0)</f>
        <v>4.834</v>
      </c>
      <c r="P551" s="74" t="n">
        <f aca="false">N551*O551</f>
        <v>34.8048</v>
      </c>
      <c r="Q551" s="20" t="s">
        <v>1159</v>
      </c>
      <c r="R551" s="75" t="s">
        <v>517</v>
      </c>
      <c r="S551" s="20" t="s">
        <v>583</v>
      </c>
      <c r="T551" s="20" t="s">
        <v>73</v>
      </c>
      <c r="U551" s="47" t="n">
        <v>0</v>
      </c>
      <c r="V551" s="70" t="s">
        <v>572</v>
      </c>
      <c r="W551" s="47" t="n">
        <v>2</v>
      </c>
    </row>
    <row r="552" customFormat="false" ht="35.05" hidden="false" customHeight="false" outlineLevel="0" collapsed="false">
      <c r="A552" s="70" t="n">
        <v>536</v>
      </c>
      <c r="B552" s="20" t="s">
        <v>1024</v>
      </c>
      <c r="C552" s="20" t="s">
        <v>512</v>
      </c>
      <c r="D552" s="20" t="s">
        <v>1157</v>
      </c>
      <c r="E552" s="20" t="s">
        <v>572</v>
      </c>
      <c r="F552" s="70" t="s">
        <v>533</v>
      </c>
      <c r="G552" s="20" t="s">
        <v>1163</v>
      </c>
      <c r="H552" s="49" t="n">
        <v>28</v>
      </c>
      <c r="I552" s="70" t="s">
        <v>368</v>
      </c>
      <c r="J552" s="70" t="s">
        <v>369</v>
      </c>
      <c r="K552" s="73" t="n">
        <v>1</v>
      </c>
      <c r="L552" s="49" t="n">
        <v>2</v>
      </c>
      <c r="M552" s="67" t="n">
        <v>2.05</v>
      </c>
      <c r="N552" s="68" t="n">
        <f aca="false">K552*L552*M552</f>
        <v>4.1</v>
      </c>
      <c r="O552" s="34" t="n">
        <f aca="false">IFERROR(INDEX(Исходные!$B$18:$B$30,MATCH(H552,Исходные!$A$18:$A$30,0)),0)</f>
        <v>4.834</v>
      </c>
      <c r="P552" s="74" t="n">
        <f aca="false">N552*O552</f>
        <v>19.8194</v>
      </c>
      <c r="Q552" s="20" t="s">
        <v>1159</v>
      </c>
      <c r="R552" s="75" t="s">
        <v>517</v>
      </c>
      <c r="S552" s="20" t="s">
        <v>1164</v>
      </c>
      <c r="T552" s="20" t="s">
        <v>73</v>
      </c>
      <c r="U552" s="47" t="n">
        <v>0</v>
      </c>
      <c r="V552" s="70" t="s">
        <v>572</v>
      </c>
      <c r="W552" s="47" t="n">
        <v>2</v>
      </c>
    </row>
    <row r="553" customFormat="false" ht="35.05" hidden="false" customHeight="false" outlineLevel="0" collapsed="false">
      <c r="A553" s="70" t="n">
        <v>537</v>
      </c>
      <c r="B553" s="20" t="s">
        <v>1024</v>
      </c>
      <c r="C553" s="20" t="s">
        <v>512</v>
      </c>
      <c r="D553" s="20" t="s">
        <v>1157</v>
      </c>
      <c r="E553" s="20" t="s">
        <v>572</v>
      </c>
      <c r="F553" s="70" t="s">
        <v>533</v>
      </c>
      <c r="G553" s="20" t="s">
        <v>586</v>
      </c>
      <c r="H553" s="49" t="n">
        <v>16</v>
      </c>
      <c r="I553" s="70" t="s">
        <v>368</v>
      </c>
      <c r="J553" s="70" t="s">
        <v>369</v>
      </c>
      <c r="K553" s="73" t="n">
        <v>1</v>
      </c>
      <c r="L553" s="49" t="n">
        <v>2</v>
      </c>
      <c r="M553" s="67" t="n">
        <v>2.9</v>
      </c>
      <c r="N553" s="68" t="n">
        <f aca="false">K553*L553*M553</f>
        <v>5.8</v>
      </c>
      <c r="O553" s="34" t="n">
        <f aca="false">IFERROR(INDEX(Исходные!$B$18:$B$30,MATCH(H553,Исходные!$A$18:$A$30,0)),0)</f>
        <v>1.578</v>
      </c>
      <c r="P553" s="74" t="n">
        <f aca="false">N553*O553</f>
        <v>9.1524</v>
      </c>
      <c r="Q553" s="20" t="s">
        <v>1165</v>
      </c>
      <c r="R553" s="75" t="s">
        <v>517</v>
      </c>
      <c r="S553" s="20" t="s">
        <v>588</v>
      </c>
      <c r="T553" s="20" t="s">
        <v>73</v>
      </c>
      <c r="U553" s="47" t="n">
        <v>0</v>
      </c>
      <c r="V553" s="70" t="s">
        <v>572</v>
      </c>
      <c r="W553" s="47" t="n">
        <v>2</v>
      </c>
    </row>
    <row r="554" customFormat="false" ht="35.05" hidden="false" customHeight="false" outlineLevel="0" collapsed="false">
      <c r="A554" s="70" t="n">
        <v>538</v>
      </c>
      <c r="B554" s="20" t="s">
        <v>1024</v>
      </c>
      <c r="C554" s="20" t="s">
        <v>512</v>
      </c>
      <c r="D554" s="20" t="s">
        <v>1157</v>
      </c>
      <c r="E554" s="20" t="s">
        <v>572</v>
      </c>
      <c r="F554" s="70" t="s">
        <v>533</v>
      </c>
      <c r="G554" s="20" t="s">
        <v>589</v>
      </c>
      <c r="H554" s="49" t="n">
        <v>22</v>
      </c>
      <c r="I554" s="70" t="s">
        <v>368</v>
      </c>
      <c r="J554" s="70" t="s">
        <v>369</v>
      </c>
      <c r="K554" s="73" t="n">
        <v>1</v>
      </c>
      <c r="L554" s="49" t="n">
        <v>2</v>
      </c>
      <c r="M554" s="67" t="n">
        <v>3.2</v>
      </c>
      <c r="N554" s="68" t="n">
        <f aca="false">K554*L554*M554</f>
        <v>6.4</v>
      </c>
      <c r="O554" s="34" t="n">
        <f aca="false">IFERROR(INDEX(Исходные!$B$18:$B$30,MATCH(H554,Исходные!$A$18:$A$30,0)),0)</f>
        <v>2.984</v>
      </c>
      <c r="P554" s="74" t="n">
        <f aca="false">N554*O554</f>
        <v>19.0976</v>
      </c>
      <c r="Q554" s="20" t="s">
        <v>1162</v>
      </c>
      <c r="R554" s="75" t="s">
        <v>517</v>
      </c>
      <c r="S554" s="20" t="s">
        <v>591</v>
      </c>
      <c r="T554" s="20" t="s">
        <v>73</v>
      </c>
      <c r="U554" s="47" t="n">
        <v>0</v>
      </c>
      <c r="V554" s="70" t="s">
        <v>572</v>
      </c>
      <c r="W554" s="47" t="n">
        <v>2</v>
      </c>
    </row>
    <row r="555" customFormat="false" ht="35.05" hidden="false" customHeight="false" outlineLevel="0" collapsed="false">
      <c r="A555" s="70" t="n">
        <v>539</v>
      </c>
      <c r="B555" s="20" t="s">
        <v>1024</v>
      </c>
      <c r="C555" s="20" t="s">
        <v>512</v>
      </c>
      <c r="D555" s="20" t="s">
        <v>1157</v>
      </c>
      <c r="E555" s="20" t="s">
        <v>572</v>
      </c>
      <c r="F555" s="70" t="s">
        <v>533</v>
      </c>
      <c r="G555" s="20" t="s">
        <v>1166</v>
      </c>
      <c r="H555" s="49" t="n">
        <v>16</v>
      </c>
      <c r="I555" s="70" t="s">
        <v>368</v>
      </c>
      <c r="J555" s="70" t="s">
        <v>369</v>
      </c>
      <c r="K555" s="73" t="n">
        <v>1</v>
      </c>
      <c r="L555" s="49" t="n">
        <v>2</v>
      </c>
      <c r="M555" s="67" t="n">
        <v>6.5</v>
      </c>
      <c r="N555" s="68" t="n">
        <f aca="false">K555*L555*M555</f>
        <v>13</v>
      </c>
      <c r="O555" s="34" t="n">
        <f aca="false">IFERROR(INDEX(Исходные!$B$18:$B$30,MATCH(H555,Исходные!$A$18:$A$30,0)),0)</f>
        <v>1.578</v>
      </c>
      <c r="P555" s="74" t="n">
        <f aca="false">N555*O555</f>
        <v>20.514</v>
      </c>
      <c r="Q555" s="20" t="s">
        <v>1165</v>
      </c>
      <c r="R555" s="75" t="s">
        <v>517</v>
      </c>
      <c r="S555" s="20" t="s">
        <v>1167</v>
      </c>
      <c r="T555" s="20" t="s">
        <v>73</v>
      </c>
      <c r="U555" s="47" t="n">
        <v>0</v>
      </c>
      <c r="V555" s="70" t="s">
        <v>572</v>
      </c>
      <c r="W555" s="47" t="n">
        <v>2</v>
      </c>
    </row>
    <row r="556" customFormat="false" ht="35.05" hidden="false" customHeight="false" outlineLevel="0" collapsed="false">
      <c r="A556" s="70" t="n">
        <v>540</v>
      </c>
      <c r="B556" s="20" t="s">
        <v>1024</v>
      </c>
      <c r="C556" s="20" t="s">
        <v>512</v>
      </c>
      <c r="D556" s="20" t="s">
        <v>1157</v>
      </c>
      <c r="E556" s="20" t="s">
        <v>572</v>
      </c>
      <c r="F556" s="70" t="s">
        <v>533</v>
      </c>
      <c r="G556" s="20" t="s">
        <v>1168</v>
      </c>
      <c r="H556" s="49" t="n">
        <v>16</v>
      </c>
      <c r="I556" s="70" t="s">
        <v>368</v>
      </c>
      <c r="J556" s="70" t="s">
        <v>369</v>
      </c>
      <c r="K556" s="73" t="n">
        <v>1</v>
      </c>
      <c r="L556" s="49" t="n">
        <v>2</v>
      </c>
      <c r="M556" s="67" t="n">
        <v>2.05</v>
      </c>
      <c r="N556" s="68" t="n">
        <f aca="false">K556*L556*M556</f>
        <v>4.1</v>
      </c>
      <c r="O556" s="34" t="n">
        <f aca="false">IFERROR(INDEX(Исходные!$B$18:$B$30,MATCH(H556,Исходные!$A$18:$A$30,0)),0)</f>
        <v>1.578</v>
      </c>
      <c r="P556" s="74" t="n">
        <f aca="false">N556*O556</f>
        <v>6.4698</v>
      </c>
      <c r="Q556" s="20" t="s">
        <v>1165</v>
      </c>
      <c r="R556" s="75" t="s">
        <v>517</v>
      </c>
      <c r="S556" s="20" t="s">
        <v>1164</v>
      </c>
      <c r="T556" s="20" t="s">
        <v>73</v>
      </c>
      <c r="U556" s="47" t="n">
        <v>0</v>
      </c>
      <c r="V556" s="70" t="s">
        <v>572</v>
      </c>
      <c r="W556" s="47" t="n">
        <v>2</v>
      </c>
    </row>
    <row r="557" customFormat="false" ht="35.05" hidden="false" customHeight="false" outlineLevel="0" collapsed="false">
      <c r="A557" s="70" t="n">
        <v>541</v>
      </c>
      <c r="B557" s="20" t="s">
        <v>1024</v>
      </c>
      <c r="C557" s="20" t="s">
        <v>512</v>
      </c>
      <c r="D557" s="20" t="s">
        <v>1157</v>
      </c>
      <c r="E557" s="20" t="s">
        <v>572</v>
      </c>
      <c r="F557" s="70" t="s">
        <v>533</v>
      </c>
      <c r="G557" s="20" t="s">
        <v>594</v>
      </c>
      <c r="H557" s="49" t="n">
        <v>14</v>
      </c>
      <c r="I557" s="70" t="s">
        <v>368</v>
      </c>
      <c r="J557" s="70" t="s">
        <v>369</v>
      </c>
      <c r="K557" s="73" t="n">
        <v>1</v>
      </c>
      <c r="L557" s="49" t="n">
        <v>2</v>
      </c>
      <c r="M557" s="67" t="n">
        <v>3.7</v>
      </c>
      <c r="N557" s="68" t="n">
        <f aca="false">K557*L557*M557</f>
        <v>7.4</v>
      </c>
      <c r="O557" s="34" t="n">
        <f aca="false">IFERROR(INDEX(Исходные!$B$18:$B$30,MATCH(H557,Исходные!$A$18:$A$30,0)),0)</f>
        <v>1.208</v>
      </c>
      <c r="P557" s="74" t="n">
        <f aca="false">N557*O557</f>
        <v>8.9392</v>
      </c>
      <c r="Q557" s="20" t="s">
        <v>1169</v>
      </c>
      <c r="R557" s="75" t="s">
        <v>517</v>
      </c>
      <c r="S557" s="20" t="s">
        <v>578</v>
      </c>
      <c r="T557" s="20" t="s">
        <v>73</v>
      </c>
      <c r="U557" s="47" t="n">
        <v>0</v>
      </c>
      <c r="V557" s="70" t="s">
        <v>572</v>
      </c>
      <c r="W557" s="47" t="n">
        <v>2</v>
      </c>
    </row>
    <row r="558" customFormat="false" ht="35.05" hidden="false" customHeight="false" outlineLevel="0" collapsed="false">
      <c r="A558" s="70" t="n">
        <v>542</v>
      </c>
      <c r="B558" s="20" t="s">
        <v>1024</v>
      </c>
      <c r="C558" s="20" t="s">
        <v>512</v>
      </c>
      <c r="D558" s="20" t="s">
        <v>1157</v>
      </c>
      <c r="E558" s="20" t="s">
        <v>572</v>
      </c>
      <c r="F558" s="70" t="s">
        <v>533</v>
      </c>
      <c r="G558" s="20" t="s">
        <v>596</v>
      </c>
      <c r="H558" s="49" t="n">
        <v>14</v>
      </c>
      <c r="I558" s="70" t="s">
        <v>368</v>
      </c>
      <c r="J558" s="70" t="s">
        <v>369</v>
      </c>
      <c r="K558" s="73" t="n">
        <v>1</v>
      </c>
      <c r="L558" s="49" t="n">
        <v>2</v>
      </c>
      <c r="M558" s="67" t="n">
        <v>3.7</v>
      </c>
      <c r="N558" s="68" t="n">
        <f aca="false">K558*L558*M558</f>
        <v>7.4</v>
      </c>
      <c r="O558" s="34" t="n">
        <f aca="false">IFERROR(INDEX(Исходные!$B$18:$B$30,MATCH(H558,Исходные!$A$18:$A$30,0)),0)</f>
        <v>1.208</v>
      </c>
      <c r="P558" s="74" t="n">
        <f aca="false">N558*O558</f>
        <v>8.9392</v>
      </c>
      <c r="Q558" s="20" t="s">
        <v>1169</v>
      </c>
      <c r="R558" s="75" t="s">
        <v>517</v>
      </c>
      <c r="S558" s="20" t="s">
        <v>581</v>
      </c>
      <c r="T558" s="20" t="s">
        <v>73</v>
      </c>
      <c r="U558" s="47" t="n">
        <v>0</v>
      </c>
      <c r="V558" s="70" t="s">
        <v>572</v>
      </c>
      <c r="W558" s="47" t="n">
        <v>2</v>
      </c>
    </row>
    <row r="559" customFormat="false" ht="35.05" hidden="false" customHeight="false" outlineLevel="0" collapsed="false">
      <c r="A559" s="70" t="n">
        <v>543</v>
      </c>
      <c r="B559" s="20" t="s">
        <v>1024</v>
      </c>
      <c r="C559" s="20" t="s">
        <v>512</v>
      </c>
      <c r="D559" s="20" t="s">
        <v>1157</v>
      </c>
      <c r="E559" s="20" t="s">
        <v>572</v>
      </c>
      <c r="F559" s="70" t="s">
        <v>533</v>
      </c>
      <c r="G559" s="20" t="s">
        <v>621</v>
      </c>
      <c r="H559" s="49" t="n">
        <v>12</v>
      </c>
      <c r="I559" s="70" t="s">
        <v>368</v>
      </c>
      <c r="J559" s="70" t="s">
        <v>369</v>
      </c>
      <c r="K559" s="73" t="n">
        <v>1</v>
      </c>
      <c r="L559" s="49" t="n">
        <v>4</v>
      </c>
      <c r="M559" s="67" t="n">
        <v>17.1</v>
      </c>
      <c r="N559" s="68" t="n">
        <f aca="false">K559*L559*M559</f>
        <v>68.4</v>
      </c>
      <c r="O559" s="34" t="n">
        <f aca="false">IFERROR(INDEX(Исходные!$B$18:$B$30,MATCH(H559,Исходные!$A$18:$A$30,0)),0)</f>
        <v>0.888</v>
      </c>
      <c r="P559" s="74" t="n">
        <f aca="false">N559*O559</f>
        <v>60.7392</v>
      </c>
      <c r="Q559" s="20" t="s">
        <v>1170</v>
      </c>
      <c r="R559" s="75" t="s">
        <v>517</v>
      </c>
      <c r="S559" s="20" t="s">
        <v>623</v>
      </c>
      <c r="T559" s="20" t="s">
        <v>73</v>
      </c>
      <c r="U559" s="47" t="n">
        <v>0</v>
      </c>
      <c r="V559" s="70" t="s">
        <v>572</v>
      </c>
      <c r="W559" s="47" t="n">
        <v>2</v>
      </c>
    </row>
    <row r="560" customFormat="false" ht="35.05" hidden="false" customHeight="false" outlineLevel="0" collapsed="false">
      <c r="A560" s="70" t="n">
        <v>544</v>
      </c>
      <c r="B560" s="20" t="s">
        <v>1024</v>
      </c>
      <c r="C560" s="20" t="s">
        <v>512</v>
      </c>
      <c r="D560" s="20" t="s">
        <v>1157</v>
      </c>
      <c r="E560" s="20" t="s">
        <v>572</v>
      </c>
      <c r="F560" s="70" t="s">
        <v>624</v>
      </c>
      <c r="G560" s="20" t="s">
        <v>625</v>
      </c>
      <c r="H560" s="49" t="n">
        <v>12</v>
      </c>
      <c r="I560" s="70" t="s">
        <v>368</v>
      </c>
      <c r="J560" s="70" t="s">
        <v>369</v>
      </c>
      <c r="K560" s="73" t="n">
        <v>4</v>
      </c>
      <c r="L560" s="49" t="n">
        <v>1</v>
      </c>
      <c r="M560" s="67" t="n">
        <v>0.096</v>
      </c>
      <c r="N560" s="68" t="n">
        <f aca="false">K560*L560*M560</f>
        <v>0.384</v>
      </c>
      <c r="O560" s="34" t="n">
        <f aca="false">IFERROR(INDEX(Исходные!$B$18:$B$30,MATCH(H560,Исходные!$A$18:$A$30,0)),0)</f>
        <v>0.888</v>
      </c>
      <c r="P560" s="74" t="n">
        <f aca="false">N560*O560</f>
        <v>0.340992</v>
      </c>
      <c r="Q560" s="20" t="s">
        <v>626</v>
      </c>
      <c r="R560" s="75" t="s">
        <v>524</v>
      </c>
      <c r="S560" s="20" t="s">
        <v>627</v>
      </c>
      <c r="T560" s="20" t="s">
        <v>73</v>
      </c>
      <c r="U560" s="47" t="n">
        <v>0</v>
      </c>
      <c r="V560" s="70" t="s">
        <v>572</v>
      </c>
      <c r="W560" s="47" t="n">
        <v>2</v>
      </c>
    </row>
    <row r="561" customFormat="false" ht="35.05" hidden="false" customHeight="false" outlineLevel="0" collapsed="false">
      <c r="A561" s="70" t="n">
        <v>545</v>
      </c>
      <c r="B561" s="20" t="s">
        <v>1024</v>
      </c>
      <c r="C561" s="20" t="s">
        <v>512</v>
      </c>
      <c r="D561" s="20" t="s">
        <v>1157</v>
      </c>
      <c r="E561" s="20" t="s">
        <v>572</v>
      </c>
      <c r="F561" s="70" t="s">
        <v>553</v>
      </c>
      <c r="G561" s="20" t="s">
        <v>1148</v>
      </c>
      <c r="H561" s="49" t="n">
        <v>8</v>
      </c>
      <c r="I561" s="70" t="s">
        <v>403</v>
      </c>
      <c r="J561" s="70" t="s">
        <v>555</v>
      </c>
      <c r="K561" s="73" t="n">
        <v>1</v>
      </c>
      <c r="L561" s="49" t="n">
        <v>90</v>
      </c>
      <c r="M561" s="67" t="n">
        <v>2.06</v>
      </c>
      <c r="N561" s="68" t="n">
        <f aca="false">K561*L561*M561</f>
        <v>185.4</v>
      </c>
      <c r="O561" s="34" t="n">
        <f aca="false">IFERROR(INDEX(Исходные!$B$18:$B$30,MATCH(H561,Исходные!$A$18:$A$30,0)),0)</f>
        <v>0.395</v>
      </c>
      <c r="P561" s="74" t="n">
        <f aca="false">N561*O561</f>
        <v>73.233</v>
      </c>
      <c r="Q561" s="20" t="s">
        <v>1149</v>
      </c>
      <c r="R561" s="75" t="s">
        <v>371</v>
      </c>
      <c r="S561" s="20" t="s">
        <v>1171</v>
      </c>
      <c r="T561" s="20" t="s">
        <v>73</v>
      </c>
      <c r="U561" s="47" t="n">
        <v>0</v>
      </c>
      <c r="V561" s="70" t="s">
        <v>572</v>
      </c>
      <c r="W561" s="47" t="n">
        <v>2</v>
      </c>
    </row>
    <row r="562" customFormat="false" ht="35.05" hidden="false" customHeight="false" outlineLevel="0" collapsed="false">
      <c r="A562" s="70" t="n">
        <v>546</v>
      </c>
      <c r="B562" s="20" t="s">
        <v>1024</v>
      </c>
      <c r="C562" s="20" t="s">
        <v>512</v>
      </c>
      <c r="D562" s="20" t="s">
        <v>1157</v>
      </c>
      <c r="E562" s="20" t="s">
        <v>572</v>
      </c>
      <c r="F562" s="70" t="s">
        <v>418</v>
      </c>
      <c r="G562" s="20" t="s">
        <v>1151</v>
      </c>
      <c r="H562" s="49" t="n">
        <v>10</v>
      </c>
      <c r="I562" s="70" t="s">
        <v>403</v>
      </c>
      <c r="J562" s="70" t="n">
        <v>100</v>
      </c>
      <c r="K562" s="73" t="n">
        <v>1</v>
      </c>
      <c r="L562" s="49" t="n">
        <v>105</v>
      </c>
      <c r="M562" s="67" t="n">
        <v>2.06</v>
      </c>
      <c r="N562" s="68" t="n">
        <f aca="false">K562*L562*M562</f>
        <v>216.3</v>
      </c>
      <c r="O562" s="34" t="n">
        <f aca="false">IFERROR(INDEX(Исходные!$B$18:$B$30,MATCH(H562,Исходные!$A$18:$A$30,0)),0)</f>
        <v>0.617</v>
      </c>
      <c r="P562" s="74" t="n">
        <f aca="false">N562*O562</f>
        <v>133.4571</v>
      </c>
      <c r="Q562" s="20" t="s">
        <v>1172</v>
      </c>
      <c r="R562" s="75" t="s">
        <v>371</v>
      </c>
      <c r="S562" s="20" t="s">
        <v>1173</v>
      </c>
      <c r="T562" s="20" t="s">
        <v>73</v>
      </c>
      <c r="U562" s="47" t="n">
        <v>0</v>
      </c>
      <c r="V562" s="70" t="s">
        <v>572</v>
      </c>
      <c r="W562" s="47" t="n">
        <v>2</v>
      </c>
    </row>
    <row r="563" customFormat="false" ht="35.05" hidden="false" customHeight="false" outlineLevel="0" collapsed="false">
      <c r="A563" s="70" t="n">
        <v>547</v>
      </c>
      <c r="B563" s="20" t="s">
        <v>1024</v>
      </c>
      <c r="C563" s="20" t="s">
        <v>512</v>
      </c>
      <c r="D563" s="20" t="s">
        <v>1157</v>
      </c>
      <c r="E563" s="20" t="s">
        <v>572</v>
      </c>
      <c r="F563" s="70" t="s">
        <v>460</v>
      </c>
      <c r="G563" s="20" t="s">
        <v>561</v>
      </c>
      <c r="H563" s="49" t="n">
        <v>10</v>
      </c>
      <c r="I563" s="70" t="s">
        <v>403</v>
      </c>
      <c r="J563" s="70" t="n">
        <v>100</v>
      </c>
      <c r="K563" s="73" t="n">
        <v>1</v>
      </c>
      <c r="L563" s="49" t="n">
        <v>28</v>
      </c>
      <c r="M563" s="67" t="n">
        <v>1.6</v>
      </c>
      <c r="N563" s="68" t="n">
        <f aca="false">K563*L563*M563</f>
        <v>44.8</v>
      </c>
      <c r="O563" s="34" t="n">
        <f aca="false">IFERROR(INDEX(Исходные!$B$18:$B$30,MATCH(H563,Исходные!$A$18:$A$30,0)),0)</f>
        <v>0.617</v>
      </c>
      <c r="P563" s="74" t="n">
        <f aca="false">N563*O563</f>
        <v>27.6416</v>
      </c>
      <c r="Q563" s="20" t="s">
        <v>604</v>
      </c>
      <c r="R563" s="75" t="s">
        <v>371</v>
      </c>
      <c r="S563" s="20"/>
      <c r="T563" s="20" t="s">
        <v>73</v>
      </c>
      <c r="U563" s="47" t="n">
        <v>0</v>
      </c>
      <c r="V563" s="70" t="s">
        <v>572</v>
      </c>
      <c r="W563" s="47" t="n">
        <v>2</v>
      </c>
    </row>
    <row r="564" customFormat="false" ht="35.05" hidden="false" customHeight="false" outlineLevel="0" collapsed="false">
      <c r="A564" s="70" t="n">
        <v>548</v>
      </c>
      <c r="B564" s="20" t="s">
        <v>1024</v>
      </c>
      <c r="C564" s="20" t="s">
        <v>512</v>
      </c>
      <c r="D564" s="20" t="s">
        <v>1157</v>
      </c>
      <c r="E564" s="20" t="s">
        <v>572</v>
      </c>
      <c r="F564" s="70" t="s">
        <v>563</v>
      </c>
      <c r="G564" s="20" t="s">
        <v>1154</v>
      </c>
      <c r="H564" s="49" t="n">
        <v>8</v>
      </c>
      <c r="I564" s="70" t="s">
        <v>403</v>
      </c>
      <c r="J564" s="70" t="s">
        <v>565</v>
      </c>
      <c r="K564" s="73" t="n">
        <v>1</v>
      </c>
      <c r="L564" s="49" t="n">
        <v>109</v>
      </c>
      <c r="M564" s="67" t="n">
        <v>0.75</v>
      </c>
      <c r="N564" s="68" t="n">
        <f aca="false">K564*L564*M564</f>
        <v>81.75</v>
      </c>
      <c r="O564" s="34" t="n">
        <f aca="false">IFERROR(INDEX(Исходные!$B$18:$B$30,MATCH(H564,Исходные!$A$18:$A$30,0)),0)</f>
        <v>0.395</v>
      </c>
      <c r="P564" s="74" t="n">
        <f aca="false">N564*O564</f>
        <v>32.29125</v>
      </c>
      <c r="Q564" s="20" t="s">
        <v>566</v>
      </c>
      <c r="R564" s="75" t="s">
        <v>371</v>
      </c>
      <c r="S564" s="20"/>
      <c r="T564" s="20" t="s">
        <v>73</v>
      </c>
      <c r="U564" s="47" t="n">
        <v>0</v>
      </c>
      <c r="V564" s="70" t="s">
        <v>572</v>
      </c>
      <c r="W564" s="47" t="n">
        <v>2</v>
      </c>
    </row>
    <row r="565" customFormat="false" ht="35.05" hidden="false" customHeight="false" outlineLevel="0" collapsed="false">
      <c r="A565" s="70" t="n">
        <v>549</v>
      </c>
      <c r="B565" s="20" t="s">
        <v>1024</v>
      </c>
      <c r="C565" s="20" t="s">
        <v>512</v>
      </c>
      <c r="D565" s="20" t="s">
        <v>1157</v>
      </c>
      <c r="E565" s="20" t="s">
        <v>572</v>
      </c>
      <c r="F565" s="70" t="s">
        <v>567</v>
      </c>
      <c r="G565" s="20" t="s">
        <v>1155</v>
      </c>
      <c r="H565" s="49" t="n">
        <v>8</v>
      </c>
      <c r="I565" s="70" t="s">
        <v>403</v>
      </c>
      <c r="J565" s="70" t="n">
        <v>300</v>
      </c>
      <c r="K565" s="73" t="n">
        <v>1</v>
      </c>
      <c r="L565" s="49" t="n">
        <v>77</v>
      </c>
      <c r="M565" s="67" t="n">
        <v>0.58</v>
      </c>
      <c r="N565" s="68" t="n">
        <f aca="false">K565*L565*M565</f>
        <v>44.66</v>
      </c>
      <c r="O565" s="34" t="n">
        <f aca="false">IFERROR(INDEX(Исходные!$B$18:$B$30,MATCH(H565,Исходные!$A$18:$A$30,0)),0)</f>
        <v>0.395</v>
      </c>
      <c r="P565" s="74" t="n">
        <f aca="false">N565*O565</f>
        <v>17.6407</v>
      </c>
      <c r="Q565" s="20" t="s">
        <v>1156</v>
      </c>
      <c r="R565" s="76" t="s">
        <v>495</v>
      </c>
      <c r="S565" s="20"/>
      <c r="T565" s="20" t="s">
        <v>73</v>
      </c>
      <c r="U565" s="47" t="n">
        <v>1</v>
      </c>
      <c r="V565" s="70" t="s">
        <v>572</v>
      </c>
      <c r="W565" s="47" t="n">
        <v>2</v>
      </c>
    </row>
    <row r="566" customFormat="false" ht="35.05" hidden="false" customHeight="false" outlineLevel="0" collapsed="false">
      <c r="A566" s="70" t="n">
        <v>550</v>
      </c>
      <c r="B566" s="20" t="s">
        <v>1024</v>
      </c>
      <c r="C566" s="20" t="s">
        <v>512</v>
      </c>
      <c r="D566" s="20" t="s">
        <v>1174</v>
      </c>
      <c r="E566" s="20" t="s">
        <v>606</v>
      </c>
      <c r="F566" s="70" t="s">
        <v>376</v>
      </c>
      <c r="G566" s="20" t="s">
        <v>515</v>
      </c>
      <c r="H566" s="49" t="n">
        <v>28</v>
      </c>
      <c r="I566" s="70" t="s">
        <v>368</v>
      </c>
      <c r="J566" s="70" t="s">
        <v>369</v>
      </c>
      <c r="K566" s="73" t="n">
        <v>1</v>
      </c>
      <c r="L566" s="49" t="n">
        <v>4</v>
      </c>
      <c r="M566" s="67" t="n">
        <v>25.5</v>
      </c>
      <c r="N566" s="68" t="n">
        <f aca="false">K566*L566*M566</f>
        <v>102</v>
      </c>
      <c r="O566" s="34" t="n">
        <f aca="false">IFERROR(INDEX(Исходные!$B$18:$B$30,MATCH(H566,Исходные!$A$18:$A$30,0)),0)</f>
        <v>4.834</v>
      </c>
      <c r="P566" s="74" t="n">
        <f aca="false">N566*O566</f>
        <v>493.068</v>
      </c>
      <c r="Q566" s="20" t="s">
        <v>1175</v>
      </c>
      <c r="R566" s="75" t="s">
        <v>517</v>
      </c>
      <c r="S566" s="20" t="s">
        <v>518</v>
      </c>
      <c r="T566" s="20" t="s">
        <v>73</v>
      </c>
      <c r="U566" s="47" t="n">
        <v>0</v>
      </c>
      <c r="V566" s="70" t="s">
        <v>606</v>
      </c>
      <c r="W566" s="47" t="n">
        <v>2</v>
      </c>
    </row>
    <row r="567" customFormat="false" ht="35.05" hidden="false" customHeight="false" outlineLevel="0" collapsed="false">
      <c r="A567" s="70" t="n">
        <v>551</v>
      </c>
      <c r="B567" s="20" t="s">
        <v>1024</v>
      </c>
      <c r="C567" s="20" t="s">
        <v>512</v>
      </c>
      <c r="D567" s="20" t="s">
        <v>1174</v>
      </c>
      <c r="E567" s="20" t="s">
        <v>606</v>
      </c>
      <c r="F567" s="70" t="s">
        <v>386</v>
      </c>
      <c r="G567" s="20" t="s">
        <v>519</v>
      </c>
      <c r="H567" s="49" t="n">
        <v>18</v>
      </c>
      <c r="I567" s="70" t="s">
        <v>368</v>
      </c>
      <c r="J567" s="70" t="s">
        <v>369</v>
      </c>
      <c r="K567" s="73" t="n">
        <v>1</v>
      </c>
      <c r="L567" s="49" t="n">
        <v>2</v>
      </c>
      <c r="M567" s="67" t="n">
        <v>25.5</v>
      </c>
      <c r="N567" s="68" t="n">
        <f aca="false">K567*L567*M567</f>
        <v>51</v>
      </c>
      <c r="O567" s="34" t="n">
        <f aca="false">IFERROR(INDEX(Исходные!$B$18:$B$30,MATCH(H567,Исходные!$A$18:$A$30,0)),0)</f>
        <v>1.998</v>
      </c>
      <c r="P567" s="74" t="n">
        <f aca="false">N567*O567</f>
        <v>101.898</v>
      </c>
      <c r="Q567" s="20" t="s">
        <v>520</v>
      </c>
      <c r="R567" s="75" t="s">
        <v>517</v>
      </c>
      <c r="S567" s="20"/>
      <c r="T567" s="20" t="s">
        <v>73</v>
      </c>
      <c r="U567" s="47" t="n">
        <v>0</v>
      </c>
      <c r="V567" s="70" t="s">
        <v>606</v>
      </c>
      <c r="W567" s="47" t="n">
        <v>2</v>
      </c>
    </row>
    <row r="568" customFormat="false" ht="35.05" hidden="false" customHeight="false" outlineLevel="0" collapsed="false">
      <c r="A568" s="70" t="n">
        <v>552</v>
      </c>
      <c r="B568" s="20" t="s">
        <v>1024</v>
      </c>
      <c r="C568" s="20" t="s">
        <v>512</v>
      </c>
      <c r="D568" s="20" t="s">
        <v>1174</v>
      </c>
      <c r="E568" s="20" t="s">
        <v>606</v>
      </c>
      <c r="F568" s="70" t="s">
        <v>521</v>
      </c>
      <c r="G568" s="20" t="s">
        <v>522</v>
      </c>
      <c r="H568" s="49" t="n">
        <v>18</v>
      </c>
      <c r="I568" s="70" t="s">
        <v>368</v>
      </c>
      <c r="J568" s="70" t="s">
        <v>369</v>
      </c>
      <c r="K568" s="73" t="n">
        <v>2</v>
      </c>
      <c r="L568" s="49" t="n">
        <v>2</v>
      </c>
      <c r="M568" s="67" t="n">
        <v>0.144</v>
      </c>
      <c r="N568" s="68" t="n">
        <f aca="false">K568*L568*M568</f>
        <v>0.576</v>
      </c>
      <c r="O568" s="34" t="n">
        <f aca="false">IFERROR(INDEX(Исходные!$B$18:$B$30,MATCH(H568,Исходные!$A$18:$A$30,0)),0)</f>
        <v>1.998</v>
      </c>
      <c r="P568" s="74" t="n">
        <f aca="false">N568*O568</f>
        <v>1.150848</v>
      </c>
      <c r="Q568" s="20" t="s">
        <v>523</v>
      </c>
      <c r="R568" s="75" t="s">
        <v>524</v>
      </c>
      <c r="S568" s="20" t="s">
        <v>525</v>
      </c>
      <c r="T568" s="20" t="s">
        <v>73</v>
      </c>
      <c r="U568" s="47" t="n">
        <v>0</v>
      </c>
      <c r="V568" s="70" t="s">
        <v>606</v>
      </c>
      <c r="W568" s="47" t="n">
        <v>2</v>
      </c>
    </row>
    <row r="569" customFormat="false" ht="35.05" hidden="false" customHeight="false" outlineLevel="0" collapsed="false">
      <c r="A569" s="70" t="n">
        <v>553</v>
      </c>
      <c r="B569" s="20" t="s">
        <v>1024</v>
      </c>
      <c r="C569" s="20" t="s">
        <v>512</v>
      </c>
      <c r="D569" s="20" t="s">
        <v>1174</v>
      </c>
      <c r="E569" s="20" t="s">
        <v>606</v>
      </c>
      <c r="F569" s="70" t="s">
        <v>526</v>
      </c>
      <c r="G569" s="20" t="s">
        <v>527</v>
      </c>
      <c r="H569" s="49" t="n">
        <v>16</v>
      </c>
      <c r="I569" s="70" t="s">
        <v>368</v>
      </c>
      <c r="J569" s="70" t="s">
        <v>369</v>
      </c>
      <c r="K569" s="73" t="n">
        <v>1</v>
      </c>
      <c r="L569" s="49" t="n">
        <v>2</v>
      </c>
      <c r="M569" s="67" t="n">
        <v>25.5</v>
      </c>
      <c r="N569" s="68" t="n">
        <f aca="false">K569*L569*M569</f>
        <v>51</v>
      </c>
      <c r="O569" s="34" t="n">
        <f aca="false">IFERROR(INDEX(Исходные!$B$18:$B$30,MATCH(H569,Исходные!$A$18:$A$30,0)),0)</f>
        <v>1.578</v>
      </c>
      <c r="P569" s="74" t="n">
        <f aca="false">N569*O569</f>
        <v>80.478</v>
      </c>
      <c r="Q569" s="20" t="s">
        <v>528</v>
      </c>
      <c r="R569" s="75" t="s">
        <v>517</v>
      </c>
      <c r="S569" s="20"/>
      <c r="T569" s="20" t="s">
        <v>73</v>
      </c>
      <c r="U569" s="47" t="n">
        <v>0</v>
      </c>
      <c r="V569" s="70" t="s">
        <v>606</v>
      </c>
      <c r="W569" s="47" t="n">
        <v>2</v>
      </c>
    </row>
    <row r="570" customFormat="false" ht="35.05" hidden="false" customHeight="false" outlineLevel="0" collapsed="false">
      <c r="A570" s="70" t="n">
        <v>554</v>
      </c>
      <c r="B570" s="20" t="s">
        <v>1024</v>
      </c>
      <c r="C570" s="20" t="s">
        <v>512</v>
      </c>
      <c r="D570" s="20" t="s">
        <v>1174</v>
      </c>
      <c r="E570" s="20" t="s">
        <v>606</v>
      </c>
      <c r="F570" s="70" t="s">
        <v>529</v>
      </c>
      <c r="G570" s="20" t="s">
        <v>530</v>
      </c>
      <c r="H570" s="49" t="n">
        <v>16</v>
      </c>
      <c r="I570" s="70" t="s">
        <v>368</v>
      </c>
      <c r="J570" s="70" t="s">
        <v>369</v>
      </c>
      <c r="K570" s="73" t="n">
        <v>2</v>
      </c>
      <c r="L570" s="49" t="n">
        <v>2</v>
      </c>
      <c r="M570" s="67" t="n">
        <v>0.128</v>
      </c>
      <c r="N570" s="68" t="n">
        <f aca="false">K570*L570*M570</f>
        <v>0.512</v>
      </c>
      <c r="O570" s="34" t="n">
        <f aca="false">IFERROR(INDEX(Исходные!$B$18:$B$30,MATCH(H570,Исходные!$A$18:$A$30,0)),0)</f>
        <v>1.578</v>
      </c>
      <c r="P570" s="74" t="n">
        <f aca="false">N570*O570</f>
        <v>0.807936</v>
      </c>
      <c r="Q570" s="20" t="s">
        <v>531</v>
      </c>
      <c r="R570" s="75" t="s">
        <v>524</v>
      </c>
      <c r="S570" s="20" t="s">
        <v>532</v>
      </c>
      <c r="T570" s="20" t="s">
        <v>73</v>
      </c>
      <c r="U570" s="47" t="n">
        <v>0</v>
      </c>
      <c r="V570" s="70" t="s">
        <v>606</v>
      </c>
      <c r="W570" s="47" t="n">
        <v>2</v>
      </c>
    </row>
    <row r="571" customFormat="false" ht="35.05" hidden="false" customHeight="false" outlineLevel="0" collapsed="false">
      <c r="A571" s="70" t="n">
        <v>555</v>
      </c>
      <c r="B571" s="20" t="s">
        <v>1024</v>
      </c>
      <c r="C571" s="20" t="s">
        <v>512</v>
      </c>
      <c r="D571" s="20" t="s">
        <v>1174</v>
      </c>
      <c r="E571" s="20" t="s">
        <v>606</v>
      </c>
      <c r="F571" s="70" t="s">
        <v>533</v>
      </c>
      <c r="G571" s="20" t="s">
        <v>534</v>
      </c>
      <c r="H571" s="49" t="n">
        <v>28</v>
      </c>
      <c r="I571" s="70" t="s">
        <v>368</v>
      </c>
      <c r="J571" s="70" t="s">
        <v>369</v>
      </c>
      <c r="K571" s="73" t="n">
        <v>1</v>
      </c>
      <c r="L571" s="49" t="n">
        <v>2</v>
      </c>
      <c r="M571" s="67" t="n">
        <v>2.05</v>
      </c>
      <c r="N571" s="68" t="n">
        <f aca="false">K571*L571*M571</f>
        <v>4.1</v>
      </c>
      <c r="O571" s="34" t="n">
        <f aca="false">IFERROR(INDEX(Исходные!$B$18:$B$30,MATCH(H571,Исходные!$A$18:$A$30,0)),0)</f>
        <v>4.834</v>
      </c>
      <c r="P571" s="74" t="n">
        <f aca="false">N571*O571</f>
        <v>19.8194</v>
      </c>
      <c r="Q571" s="20" t="s">
        <v>1176</v>
      </c>
      <c r="R571" s="75" t="s">
        <v>517</v>
      </c>
      <c r="S571" s="20" t="s">
        <v>1135</v>
      </c>
      <c r="T571" s="20" t="s">
        <v>73</v>
      </c>
      <c r="U571" s="47" t="n">
        <v>0</v>
      </c>
      <c r="V571" s="70" t="s">
        <v>606</v>
      </c>
      <c r="W571" s="47" t="n">
        <v>2</v>
      </c>
    </row>
    <row r="572" customFormat="false" ht="35.05" hidden="false" customHeight="false" outlineLevel="0" collapsed="false">
      <c r="A572" s="70" t="n">
        <v>556</v>
      </c>
      <c r="B572" s="20" t="s">
        <v>1024</v>
      </c>
      <c r="C572" s="20" t="s">
        <v>512</v>
      </c>
      <c r="D572" s="20" t="s">
        <v>1174</v>
      </c>
      <c r="E572" s="20" t="s">
        <v>606</v>
      </c>
      <c r="F572" s="70" t="s">
        <v>533</v>
      </c>
      <c r="G572" s="20" t="s">
        <v>1160</v>
      </c>
      <c r="H572" s="49" t="n">
        <v>28</v>
      </c>
      <c r="I572" s="70" t="s">
        <v>368</v>
      </c>
      <c r="J572" s="70" t="s">
        <v>369</v>
      </c>
      <c r="K572" s="73" t="n">
        <v>1</v>
      </c>
      <c r="L572" s="49" t="n">
        <v>2</v>
      </c>
      <c r="M572" s="67" t="n">
        <v>3.7</v>
      </c>
      <c r="N572" s="68" t="n">
        <f aca="false">K572*L572*M572</f>
        <v>7.4</v>
      </c>
      <c r="O572" s="34" t="n">
        <f aca="false">IFERROR(INDEX(Исходные!$B$18:$B$30,MATCH(H572,Исходные!$A$18:$A$30,0)),0)</f>
        <v>4.834</v>
      </c>
      <c r="P572" s="74" t="n">
        <f aca="false">N572*O572</f>
        <v>35.7716</v>
      </c>
      <c r="Q572" s="20" t="s">
        <v>1176</v>
      </c>
      <c r="R572" s="75" t="s">
        <v>517</v>
      </c>
      <c r="S572" s="20" t="s">
        <v>578</v>
      </c>
      <c r="T572" s="20" t="s">
        <v>73</v>
      </c>
      <c r="U572" s="47" t="n">
        <v>0</v>
      </c>
      <c r="V572" s="70" t="s">
        <v>606</v>
      </c>
      <c r="W572" s="47" t="n">
        <v>2</v>
      </c>
    </row>
    <row r="573" customFormat="false" ht="35.05" hidden="false" customHeight="false" outlineLevel="0" collapsed="false">
      <c r="A573" s="70" t="n">
        <v>557</v>
      </c>
      <c r="B573" s="20" t="s">
        <v>1024</v>
      </c>
      <c r="C573" s="20" t="s">
        <v>512</v>
      </c>
      <c r="D573" s="20" t="s">
        <v>1174</v>
      </c>
      <c r="E573" s="20" t="s">
        <v>606</v>
      </c>
      <c r="F573" s="70" t="s">
        <v>533</v>
      </c>
      <c r="G573" s="20" t="s">
        <v>1177</v>
      </c>
      <c r="H573" s="49" t="n">
        <v>22</v>
      </c>
      <c r="I573" s="70" t="s">
        <v>368</v>
      </c>
      <c r="J573" s="70" t="s">
        <v>369</v>
      </c>
      <c r="K573" s="73" t="n">
        <v>1</v>
      </c>
      <c r="L573" s="49" t="n">
        <v>2</v>
      </c>
      <c r="M573" s="67" t="n">
        <v>4.2</v>
      </c>
      <c r="N573" s="68" t="n">
        <f aca="false">K573*L573*M573</f>
        <v>8.4</v>
      </c>
      <c r="O573" s="34" t="n">
        <f aca="false">IFERROR(INDEX(Исходные!$B$18:$B$30,MATCH(H573,Исходные!$A$18:$A$30,0)),0)</f>
        <v>2.984</v>
      </c>
      <c r="P573" s="74" t="n">
        <f aca="false">N573*O573</f>
        <v>25.0656</v>
      </c>
      <c r="Q573" s="20" t="s">
        <v>1178</v>
      </c>
      <c r="R573" s="75" t="s">
        <v>517</v>
      </c>
      <c r="S573" s="20" t="s">
        <v>614</v>
      </c>
      <c r="T573" s="20" t="s">
        <v>73</v>
      </c>
      <c r="U573" s="47" t="n">
        <v>0</v>
      </c>
      <c r="V573" s="70" t="s">
        <v>606</v>
      </c>
      <c r="W573" s="47" t="n">
        <v>2</v>
      </c>
    </row>
    <row r="574" customFormat="false" ht="35.05" hidden="false" customHeight="false" outlineLevel="0" collapsed="false">
      <c r="A574" s="70" t="n">
        <v>558</v>
      </c>
      <c r="B574" s="20" t="s">
        <v>1024</v>
      </c>
      <c r="C574" s="20" t="s">
        <v>512</v>
      </c>
      <c r="D574" s="20" t="s">
        <v>1174</v>
      </c>
      <c r="E574" s="20" t="s">
        <v>606</v>
      </c>
      <c r="F574" s="70" t="s">
        <v>533</v>
      </c>
      <c r="G574" s="20" t="s">
        <v>610</v>
      </c>
      <c r="H574" s="49" t="n">
        <v>32</v>
      </c>
      <c r="I574" s="70" t="s">
        <v>368</v>
      </c>
      <c r="J574" s="70" t="s">
        <v>369</v>
      </c>
      <c r="K574" s="73" t="n">
        <v>1</v>
      </c>
      <c r="L574" s="49" t="n">
        <v>2</v>
      </c>
      <c r="M574" s="67" t="n">
        <v>3.7</v>
      </c>
      <c r="N574" s="68" t="n">
        <f aca="false">K574*L574*M574</f>
        <v>7.4</v>
      </c>
      <c r="O574" s="34" t="n">
        <f aca="false">IFERROR(INDEX(Исходные!$B$18:$B$30,MATCH(H574,Исходные!$A$18:$A$30,0)),0)</f>
        <v>6.313</v>
      </c>
      <c r="P574" s="74" t="n">
        <f aca="false">N574*O574</f>
        <v>46.7162</v>
      </c>
      <c r="Q574" s="20" t="s">
        <v>1179</v>
      </c>
      <c r="R574" s="75" t="s">
        <v>517</v>
      </c>
      <c r="S574" s="20" t="s">
        <v>581</v>
      </c>
      <c r="T574" s="20" t="s">
        <v>73</v>
      </c>
      <c r="U574" s="47" t="n">
        <v>0</v>
      </c>
      <c r="V574" s="70" t="s">
        <v>606</v>
      </c>
      <c r="W574" s="47" t="n">
        <v>2</v>
      </c>
    </row>
    <row r="575" customFormat="false" ht="35.05" hidden="false" customHeight="false" outlineLevel="0" collapsed="false">
      <c r="A575" s="70" t="n">
        <v>559</v>
      </c>
      <c r="B575" s="20" t="s">
        <v>1024</v>
      </c>
      <c r="C575" s="20" t="s">
        <v>512</v>
      </c>
      <c r="D575" s="20" t="s">
        <v>1174</v>
      </c>
      <c r="E575" s="20" t="s">
        <v>606</v>
      </c>
      <c r="F575" s="70" t="s">
        <v>533</v>
      </c>
      <c r="G575" s="20" t="s">
        <v>1180</v>
      </c>
      <c r="H575" s="49" t="n">
        <v>32</v>
      </c>
      <c r="I575" s="70" t="s">
        <v>368</v>
      </c>
      <c r="J575" s="70" t="s">
        <v>369</v>
      </c>
      <c r="K575" s="73" t="n">
        <v>1</v>
      </c>
      <c r="L575" s="49" t="n">
        <v>2</v>
      </c>
      <c r="M575" s="67" t="n">
        <v>3.6</v>
      </c>
      <c r="N575" s="68" t="n">
        <f aca="false">K575*L575*M575</f>
        <v>7.2</v>
      </c>
      <c r="O575" s="34" t="n">
        <f aca="false">IFERROR(INDEX(Исходные!$B$18:$B$30,MATCH(H575,Исходные!$A$18:$A$30,0)),0)</f>
        <v>6.313</v>
      </c>
      <c r="P575" s="74" t="n">
        <f aca="false">N575*O575</f>
        <v>45.4536</v>
      </c>
      <c r="Q575" s="20" t="s">
        <v>1179</v>
      </c>
      <c r="R575" s="75" t="s">
        <v>517</v>
      </c>
      <c r="S575" s="20" t="s">
        <v>583</v>
      </c>
      <c r="T575" s="20" t="s">
        <v>73</v>
      </c>
      <c r="U575" s="47" t="n">
        <v>0</v>
      </c>
      <c r="V575" s="70" t="s">
        <v>606</v>
      </c>
      <c r="W575" s="47" t="n">
        <v>2</v>
      </c>
    </row>
    <row r="576" customFormat="false" ht="35.05" hidden="false" customHeight="false" outlineLevel="0" collapsed="false">
      <c r="A576" s="70" t="n">
        <v>560</v>
      </c>
      <c r="B576" s="20" t="s">
        <v>1024</v>
      </c>
      <c r="C576" s="20" t="s">
        <v>512</v>
      </c>
      <c r="D576" s="20" t="s">
        <v>1174</v>
      </c>
      <c r="E576" s="20" t="s">
        <v>606</v>
      </c>
      <c r="F576" s="70" t="s">
        <v>533</v>
      </c>
      <c r="G576" s="20" t="s">
        <v>584</v>
      </c>
      <c r="H576" s="49" t="n">
        <v>25</v>
      </c>
      <c r="I576" s="70" t="s">
        <v>368</v>
      </c>
      <c r="J576" s="70" t="s">
        <v>369</v>
      </c>
      <c r="K576" s="73" t="n">
        <v>1</v>
      </c>
      <c r="L576" s="49" t="n">
        <v>2</v>
      </c>
      <c r="M576" s="67" t="n">
        <v>2.05</v>
      </c>
      <c r="N576" s="68" t="n">
        <f aca="false">K576*L576*M576</f>
        <v>4.1</v>
      </c>
      <c r="O576" s="34" t="n">
        <f aca="false">IFERROR(INDEX(Исходные!$B$18:$B$30,MATCH(H576,Исходные!$A$18:$A$30,0)),0)</f>
        <v>3.853</v>
      </c>
      <c r="P576" s="74" t="n">
        <f aca="false">N576*O576</f>
        <v>15.7973</v>
      </c>
      <c r="Q576" s="20" t="s">
        <v>1181</v>
      </c>
      <c r="R576" s="75" t="s">
        <v>517</v>
      </c>
      <c r="S576" s="20" t="s">
        <v>1164</v>
      </c>
      <c r="T576" s="20" t="s">
        <v>73</v>
      </c>
      <c r="U576" s="47" t="n">
        <v>0</v>
      </c>
      <c r="V576" s="70" t="s">
        <v>606</v>
      </c>
      <c r="W576" s="47" t="n">
        <v>2</v>
      </c>
    </row>
    <row r="577" customFormat="false" ht="35.05" hidden="false" customHeight="false" outlineLevel="0" collapsed="false">
      <c r="A577" s="70" t="n">
        <v>561</v>
      </c>
      <c r="B577" s="20" t="s">
        <v>1024</v>
      </c>
      <c r="C577" s="20" t="s">
        <v>512</v>
      </c>
      <c r="D577" s="20" t="s">
        <v>1174</v>
      </c>
      <c r="E577" s="20" t="s">
        <v>606</v>
      </c>
      <c r="F577" s="70" t="s">
        <v>533</v>
      </c>
      <c r="G577" s="20" t="s">
        <v>615</v>
      </c>
      <c r="H577" s="49" t="n">
        <v>14</v>
      </c>
      <c r="I577" s="70" t="s">
        <v>368</v>
      </c>
      <c r="J577" s="70" t="s">
        <v>369</v>
      </c>
      <c r="K577" s="73" t="n">
        <v>1</v>
      </c>
      <c r="L577" s="49" t="n">
        <v>2</v>
      </c>
      <c r="M577" s="67" t="n">
        <v>3.9</v>
      </c>
      <c r="N577" s="68" t="n">
        <f aca="false">K577*L577*M577</f>
        <v>7.8</v>
      </c>
      <c r="O577" s="34" t="n">
        <f aca="false">IFERROR(INDEX(Исходные!$B$18:$B$30,MATCH(H577,Исходные!$A$18:$A$30,0)),0)</f>
        <v>1.208</v>
      </c>
      <c r="P577" s="74" t="n">
        <f aca="false">N577*O577</f>
        <v>9.4224</v>
      </c>
      <c r="Q577" s="20" t="s">
        <v>1182</v>
      </c>
      <c r="R577" s="75" t="s">
        <v>517</v>
      </c>
      <c r="S577" s="20" t="s">
        <v>616</v>
      </c>
      <c r="T577" s="20" t="s">
        <v>73</v>
      </c>
      <c r="U577" s="47" t="n">
        <v>0</v>
      </c>
      <c r="V577" s="70" t="s">
        <v>606</v>
      </c>
      <c r="W577" s="47" t="n">
        <v>2</v>
      </c>
    </row>
    <row r="578" customFormat="false" ht="35.05" hidden="false" customHeight="false" outlineLevel="0" collapsed="false">
      <c r="A578" s="70" t="n">
        <v>562</v>
      </c>
      <c r="B578" s="20" t="s">
        <v>1024</v>
      </c>
      <c r="C578" s="20" t="s">
        <v>512</v>
      </c>
      <c r="D578" s="20" t="s">
        <v>1174</v>
      </c>
      <c r="E578" s="20" t="s">
        <v>606</v>
      </c>
      <c r="F578" s="70" t="s">
        <v>533</v>
      </c>
      <c r="G578" s="20" t="s">
        <v>586</v>
      </c>
      <c r="H578" s="49" t="n">
        <v>16</v>
      </c>
      <c r="I578" s="70" t="s">
        <v>368</v>
      </c>
      <c r="J578" s="70" t="s">
        <v>369</v>
      </c>
      <c r="K578" s="73" t="n">
        <v>1</v>
      </c>
      <c r="L578" s="49" t="n">
        <v>2</v>
      </c>
      <c r="M578" s="67" t="n">
        <v>2.9</v>
      </c>
      <c r="N578" s="68" t="n">
        <f aca="false">K578*L578*M578</f>
        <v>5.8</v>
      </c>
      <c r="O578" s="34" t="n">
        <f aca="false">IFERROR(INDEX(Исходные!$B$18:$B$30,MATCH(H578,Исходные!$A$18:$A$30,0)),0)</f>
        <v>1.578</v>
      </c>
      <c r="P578" s="74" t="n">
        <f aca="false">N578*O578</f>
        <v>9.1524</v>
      </c>
      <c r="Q578" s="20" t="s">
        <v>1183</v>
      </c>
      <c r="R578" s="75" t="s">
        <v>517</v>
      </c>
      <c r="S578" s="20" t="s">
        <v>588</v>
      </c>
      <c r="T578" s="20" t="s">
        <v>73</v>
      </c>
      <c r="U578" s="47" t="n">
        <v>0</v>
      </c>
      <c r="V578" s="70" t="s">
        <v>606</v>
      </c>
      <c r="W578" s="47" t="n">
        <v>2</v>
      </c>
    </row>
    <row r="579" customFormat="false" ht="35.05" hidden="false" customHeight="false" outlineLevel="0" collapsed="false">
      <c r="A579" s="70" t="n">
        <v>563</v>
      </c>
      <c r="B579" s="20" t="s">
        <v>1024</v>
      </c>
      <c r="C579" s="20" t="s">
        <v>512</v>
      </c>
      <c r="D579" s="20" t="s">
        <v>1174</v>
      </c>
      <c r="E579" s="20" t="s">
        <v>606</v>
      </c>
      <c r="F579" s="70" t="s">
        <v>533</v>
      </c>
      <c r="G579" s="20" t="s">
        <v>589</v>
      </c>
      <c r="H579" s="49" t="n">
        <v>22</v>
      </c>
      <c r="I579" s="70" t="s">
        <v>368</v>
      </c>
      <c r="J579" s="70" t="s">
        <v>369</v>
      </c>
      <c r="K579" s="73" t="n">
        <v>1</v>
      </c>
      <c r="L579" s="49" t="n">
        <v>2</v>
      </c>
      <c r="M579" s="67" t="n">
        <v>3.2</v>
      </c>
      <c r="N579" s="68" t="n">
        <f aca="false">K579*L579*M579</f>
        <v>6.4</v>
      </c>
      <c r="O579" s="34" t="n">
        <f aca="false">IFERROR(INDEX(Исходные!$B$18:$B$30,MATCH(H579,Исходные!$A$18:$A$30,0)),0)</f>
        <v>2.984</v>
      </c>
      <c r="P579" s="74" t="n">
        <f aca="false">N579*O579</f>
        <v>19.0976</v>
      </c>
      <c r="Q579" s="20" t="s">
        <v>1178</v>
      </c>
      <c r="R579" s="75" t="s">
        <v>517</v>
      </c>
      <c r="S579" s="20" t="s">
        <v>591</v>
      </c>
      <c r="T579" s="20" t="s">
        <v>73</v>
      </c>
      <c r="U579" s="47" t="n">
        <v>0</v>
      </c>
      <c r="V579" s="70" t="s">
        <v>606</v>
      </c>
      <c r="W579" s="47" t="n">
        <v>2</v>
      </c>
    </row>
    <row r="580" customFormat="false" ht="35.05" hidden="false" customHeight="false" outlineLevel="0" collapsed="false">
      <c r="A580" s="70" t="n">
        <v>564</v>
      </c>
      <c r="B580" s="20" t="s">
        <v>1024</v>
      </c>
      <c r="C580" s="20" t="s">
        <v>512</v>
      </c>
      <c r="D580" s="20" t="s">
        <v>1174</v>
      </c>
      <c r="E580" s="20" t="s">
        <v>606</v>
      </c>
      <c r="F580" s="70" t="s">
        <v>533</v>
      </c>
      <c r="G580" s="20" t="s">
        <v>1166</v>
      </c>
      <c r="H580" s="49" t="n">
        <v>16</v>
      </c>
      <c r="I580" s="70" t="s">
        <v>368</v>
      </c>
      <c r="J580" s="70" t="s">
        <v>369</v>
      </c>
      <c r="K580" s="73" t="n">
        <v>1</v>
      </c>
      <c r="L580" s="49" t="n">
        <v>2</v>
      </c>
      <c r="M580" s="67" t="n">
        <v>6.5</v>
      </c>
      <c r="N580" s="68" t="n">
        <f aca="false">K580*L580*M580</f>
        <v>13</v>
      </c>
      <c r="O580" s="34" t="n">
        <f aca="false">IFERROR(INDEX(Исходные!$B$18:$B$30,MATCH(H580,Исходные!$A$18:$A$30,0)),0)</f>
        <v>1.578</v>
      </c>
      <c r="P580" s="74" t="n">
        <f aca="false">N580*O580</f>
        <v>20.514</v>
      </c>
      <c r="Q580" s="20" t="s">
        <v>1183</v>
      </c>
      <c r="R580" s="75" t="s">
        <v>517</v>
      </c>
      <c r="S580" s="20" t="s">
        <v>1167</v>
      </c>
      <c r="T580" s="20" t="s">
        <v>73</v>
      </c>
      <c r="U580" s="47" t="n">
        <v>0</v>
      </c>
      <c r="V580" s="70" t="s">
        <v>606</v>
      </c>
      <c r="W580" s="47" t="n">
        <v>2</v>
      </c>
    </row>
    <row r="581" customFormat="false" ht="35.05" hidden="false" customHeight="false" outlineLevel="0" collapsed="false">
      <c r="A581" s="70" t="n">
        <v>565</v>
      </c>
      <c r="B581" s="20" t="s">
        <v>1024</v>
      </c>
      <c r="C581" s="20" t="s">
        <v>512</v>
      </c>
      <c r="D581" s="20" t="s">
        <v>1174</v>
      </c>
      <c r="E581" s="20" t="s">
        <v>606</v>
      </c>
      <c r="F581" s="70" t="s">
        <v>533</v>
      </c>
      <c r="G581" s="20" t="s">
        <v>1168</v>
      </c>
      <c r="H581" s="49" t="n">
        <v>16</v>
      </c>
      <c r="I581" s="70" t="s">
        <v>368</v>
      </c>
      <c r="J581" s="70" t="s">
        <v>369</v>
      </c>
      <c r="K581" s="73" t="n">
        <v>1</v>
      </c>
      <c r="L581" s="49" t="n">
        <v>2</v>
      </c>
      <c r="M581" s="67" t="n">
        <v>2.05</v>
      </c>
      <c r="N581" s="68" t="n">
        <f aca="false">K581*L581*M581</f>
        <v>4.1</v>
      </c>
      <c r="O581" s="34" t="n">
        <f aca="false">IFERROR(INDEX(Исходные!$B$18:$B$30,MATCH(H581,Исходные!$A$18:$A$30,0)),0)</f>
        <v>1.578</v>
      </c>
      <c r="P581" s="74" t="n">
        <f aca="false">N581*O581</f>
        <v>6.4698</v>
      </c>
      <c r="Q581" s="20" t="s">
        <v>1183</v>
      </c>
      <c r="R581" s="75" t="s">
        <v>517</v>
      </c>
      <c r="S581" s="20" t="s">
        <v>1164</v>
      </c>
      <c r="T581" s="20" t="s">
        <v>73</v>
      </c>
      <c r="U581" s="47" t="n">
        <v>0</v>
      </c>
      <c r="V581" s="70" t="s">
        <v>606</v>
      </c>
      <c r="W581" s="47" t="n">
        <v>2</v>
      </c>
    </row>
    <row r="582" customFormat="false" ht="35.05" hidden="false" customHeight="false" outlineLevel="0" collapsed="false">
      <c r="A582" s="70" t="n">
        <v>566</v>
      </c>
      <c r="B582" s="20" t="s">
        <v>1024</v>
      </c>
      <c r="C582" s="20" t="s">
        <v>512</v>
      </c>
      <c r="D582" s="20" t="s">
        <v>1174</v>
      </c>
      <c r="E582" s="20" t="s">
        <v>606</v>
      </c>
      <c r="F582" s="70" t="s">
        <v>533</v>
      </c>
      <c r="G582" s="20" t="s">
        <v>594</v>
      </c>
      <c r="H582" s="49" t="n">
        <v>14</v>
      </c>
      <c r="I582" s="70" t="s">
        <v>368</v>
      </c>
      <c r="J582" s="70" t="s">
        <v>369</v>
      </c>
      <c r="K582" s="73" t="n">
        <v>1</v>
      </c>
      <c r="L582" s="49" t="n">
        <v>2</v>
      </c>
      <c r="M582" s="67" t="n">
        <v>3.7</v>
      </c>
      <c r="N582" s="68" t="n">
        <f aca="false">K582*L582*M582</f>
        <v>7.4</v>
      </c>
      <c r="O582" s="34" t="n">
        <f aca="false">IFERROR(INDEX(Исходные!$B$18:$B$30,MATCH(H582,Исходные!$A$18:$A$30,0)),0)</f>
        <v>1.208</v>
      </c>
      <c r="P582" s="74" t="n">
        <f aca="false">N582*O582</f>
        <v>8.9392</v>
      </c>
      <c r="Q582" s="20" t="s">
        <v>1182</v>
      </c>
      <c r="R582" s="75" t="s">
        <v>517</v>
      </c>
      <c r="S582" s="20" t="s">
        <v>578</v>
      </c>
      <c r="T582" s="20" t="s">
        <v>73</v>
      </c>
      <c r="U582" s="47" t="n">
        <v>0</v>
      </c>
      <c r="V582" s="70" t="s">
        <v>606</v>
      </c>
      <c r="W582" s="47" t="n">
        <v>2</v>
      </c>
    </row>
    <row r="583" customFormat="false" ht="35.05" hidden="false" customHeight="false" outlineLevel="0" collapsed="false">
      <c r="A583" s="70" t="n">
        <v>567</v>
      </c>
      <c r="B583" s="20" t="s">
        <v>1024</v>
      </c>
      <c r="C583" s="20" t="s">
        <v>512</v>
      </c>
      <c r="D583" s="20" t="s">
        <v>1174</v>
      </c>
      <c r="E583" s="20" t="s">
        <v>606</v>
      </c>
      <c r="F583" s="70" t="s">
        <v>533</v>
      </c>
      <c r="G583" s="20" t="s">
        <v>619</v>
      </c>
      <c r="H583" s="49" t="n">
        <v>14</v>
      </c>
      <c r="I583" s="70" t="s">
        <v>368</v>
      </c>
      <c r="J583" s="70" t="s">
        <v>369</v>
      </c>
      <c r="K583" s="73" t="n">
        <v>1</v>
      </c>
      <c r="L583" s="49" t="n">
        <v>2</v>
      </c>
      <c r="M583" s="67" t="n">
        <v>4.2</v>
      </c>
      <c r="N583" s="68" t="n">
        <f aca="false">K583*L583*M583</f>
        <v>8.4</v>
      </c>
      <c r="O583" s="34" t="n">
        <f aca="false">IFERROR(INDEX(Исходные!$B$18:$B$30,MATCH(H583,Исходные!$A$18:$A$30,0)),0)</f>
        <v>1.208</v>
      </c>
      <c r="P583" s="74" t="n">
        <f aca="false">N583*O583</f>
        <v>10.1472</v>
      </c>
      <c r="Q583" s="20" t="s">
        <v>1182</v>
      </c>
      <c r="R583" s="75" t="s">
        <v>517</v>
      </c>
      <c r="S583" s="20" t="s">
        <v>620</v>
      </c>
      <c r="T583" s="20" t="s">
        <v>73</v>
      </c>
      <c r="U583" s="47" t="n">
        <v>0</v>
      </c>
      <c r="V583" s="70" t="s">
        <v>606</v>
      </c>
      <c r="W583" s="47" t="n">
        <v>2</v>
      </c>
    </row>
    <row r="584" customFormat="false" ht="35.05" hidden="false" customHeight="false" outlineLevel="0" collapsed="false">
      <c r="A584" s="70" t="n">
        <v>568</v>
      </c>
      <c r="B584" s="20" t="s">
        <v>1024</v>
      </c>
      <c r="C584" s="20" t="s">
        <v>512</v>
      </c>
      <c r="D584" s="20" t="s">
        <v>1174</v>
      </c>
      <c r="E584" s="20" t="s">
        <v>606</v>
      </c>
      <c r="F584" s="70" t="s">
        <v>533</v>
      </c>
      <c r="G584" s="20" t="s">
        <v>621</v>
      </c>
      <c r="H584" s="49" t="n">
        <v>12</v>
      </c>
      <c r="I584" s="70" t="s">
        <v>368</v>
      </c>
      <c r="J584" s="70" t="s">
        <v>369</v>
      </c>
      <c r="K584" s="73" t="n">
        <v>1</v>
      </c>
      <c r="L584" s="49" t="n">
        <v>4</v>
      </c>
      <c r="M584" s="67" t="n">
        <v>17.1</v>
      </c>
      <c r="N584" s="68" t="n">
        <f aca="false">K584*L584*M584</f>
        <v>68.4</v>
      </c>
      <c r="O584" s="34" t="n">
        <f aca="false">IFERROR(INDEX(Исходные!$B$18:$B$30,MATCH(H584,Исходные!$A$18:$A$30,0)),0)</f>
        <v>0.888</v>
      </c>
      <c r="P584" s="74" t="n">
        <f aca="false">N584*O584</f>
        <v>60.7392</v>
      </c>
      <c r="Q584" s="20" t="s">
        <v>1184</v>
      </c>
      <c r="R584" s="75" t="s">
        <v>517</v>
      </c>
      <c r="S584" s="20" t="s">
        <v>623</v>
      </c>
      <c r="T584" s="20" t="s">
        <v>73</v>
      </c>
      <c r="U584" s="47" t="n">
        <v>0</v>
      </c>
      <c r="V584" s="70" t="s">
        <v>606</v>
      </c>
      <c r="W584" s="47" t="n">
        <v>2</v>
      </c>
    </row>
    <row r="585" customFormat="false" ht="35.05" hidden="false" customHeight="false" outlineLevel="0" collapsed="false">
      <c r="A585" s="70" t="n">
        <v>569</v>
      </c>
      <c r="B585" s="20" t="s">
        <v>1024</v>
      </c>
      <c r="C585" s="20" t="s">
        <v>512</v>
      </c>
      <c r="D585" s="20" t="s">
        <v>1174</v>
      </c>
      <c r="E585" s="20" t="s">
        <v>606</v>
      </c>
      <c r="F585" s="70" t="s">
        <v>624</v>
      </c>
      <c r="G585" s="20" t="s">
        <v>625</v>
      </c>
      <c r="H585" s="49" t="n">
        <v>12</v>
      </c>
      <c r="I585" s="70" t="s">
        <v>368</v>
      </c>
      <c r="J585" s="70" t="s">
        <v>369</v>
      </c>
      <c r="K585" s="73" t="n">
        <v>4</v>
      </c>
      <c r="L585" s="49" t="n">
        <v>1</v>
      </c>
      <c r="M585" s="67" t="n">
        <v>0.096</v>
      </c>
      <c r="N585" s="68" t="n">
        <f aca="false">K585*L585*M585</f>
        <v>0.384</v>
      </c>
      <c r="O585" s="34" t="n">
        <f aca="false">IFERROR(INDEX(Исходные!$B$18:$B$30,MATCH(H585,Исходные!$A$18:$A$30,0)),0)</f>
        <v>0.888</v>
      </c>
      <c r="P585" s="74" t="n">
        <f aca="false">N585*O585</f>
        <v>0.340992</v>
      </c>
      <c r="Q585" s="20" t="s">
        <v>626</v>
      </c>
      <c r="R585" s="75" t="s">
        <v>524</v>
      </c>
      <c r="S585" s="20" t="s">
        <v>627</v>
      </c>
      <c r="T585" s="20" t="s">
        <v>73</v>
      </c>
      <c r="U585" s="47" t="n">
        <v>0</v>
      </c>
      <c r="V585" s="70" t="s">
        <v>606</v>
      </c>
      <c r="W585" s="47" t="n">
        <v>2</v>
      </c>
    </row>
    <row r="586" customFormat="false" ht="35.05" hidden="false" customHeight="false" outlineLevel="0" collapsed="false">
      <c r="A586" s="70" t="n">
        <v>570</v>
      </c>
      <c r="B586" s="20" t="s">
        <v>1024</v>
      </c>
      <c r="C586" s="20" t="s">
        <v>512</v>
      </c>
      <c r="D586" s="20" t="s">
        <v>1174</v>
      </c>
      <c r="E586" s="20" t="s">
        <v>606</v>
      </c>
      <c r="F586" s="70" t="s">
        <v>553</v>
      </c>
      <c r="G586" s="20" t="s">
        <v>1148</v>
      </c>
      <c r="H586" s="49" t="n">
        <v>8</v>
      </c>
      <c r="I586" s="70" t="s">
        <v>403</v>
      </c>
      <c r="J586" s="70" t="s">
        <v>555</v>
      </c>
      <c r="K586" s="73" t="n">
        <v>1</v>
      </c>
      <c r="L586" s="49" t="n">
        <v>78</v>
      </c>
      <c r="M586" s="67" t="n">
        <v>2.06</v>
      </c>
      <c r="N586" s="68" t="n">
        <f aca="false">K586*L586*M586</f>
        <v>160.68</v>
      </c>
      <c r="O586" s="34" t="n">
        <f aca="false">IFERROR(INDEX(Исходные!$B$18:$B$30,MATCH(H586,Исходные!$A$18:$A$30,0)),0)</f>
        <v>0.395</v>
      </c>
      <c r="P586" s="74" t="n">
        <f aca="false">N586*O586</f>
        <v>63.4686</v>
      </c>
      <c r="Q586" s="20" t="s">
        <v>1149</v>
      </c>
      <c r="R586" s="75" t="s">
        <v>371</v>
      </c>
      <c r="S586" s="20" t="s">
        <v>1171</v>
      </c>
      <c r="T586" s="20" t="s">
        <v>73</v>
      </c>
      <c r="U586" s="47" t="n">
        <v>0</v>
      </c>
      <c r="V586" s="70" t="s">
        <v>606</v>
      </c>
      <c r="W586" s="47" t="n">
        <v>2</v>
      </c>
    </row>
    <row r="587" customFormat="false" ht="35.05" hidden="false" customHeight="false" outlineLevel="0" collapsed="false">
      <c r="A587" s="70" t="n">
        <v>571</v>
      </c>
      <c r="B587" s="20" t="s">
        <v>1024</v>
      </c>
      <c r="C587" s="20" t="s">
        <v>512</v>
      </c>
      <c r="D587" s="20" t="s">
        <v>1174</v>
      </c>
      <c r="E587" s="20" t="s">
        <v>606</v>
      </c>
      <c r="F587" s="70" t="s">
        <v>418</v>
      </c>
      <c r="G587" s="20" t="s">
        <v>1151</v>
      </c>
      <c r="H587" s="49" t="n">
        <v>10</v>
      </c>
      <c r="I587" s="70" t="s">
        <v>403</v>
      </c>
      <c r="J587" s="70" t="n">
        <v>100</v>
      </c>
      <c r="K587" s="73" t="n">
        <v>1</v>
      </c>
      <c r="L587" s="49" t="n">
        <v>124</v>
      </c>
      <c r="M587" s="67" t="n">
        <v>2.06</v>
      </c>
      <c r="N587" s="68" t="n">
        <f aca="false">K587*L587*M587</f>
        <v>255.44</v>
      </c>
      <c r="O587" s="34" t="n">
        <f aca="false">IFERROR(INDEX(Исходные!$B$18:$B$30,MATCH(H587,Исходные!$A$18:$A$30,0)),0)</f>
        <v>0.617</v>
      </c>
      <c r="P587" s="74" t="n">
        <f aca="false">N587*O587</f>
        <v>157.60648</v>
      </c>
      <c r="Q587" s="20" t="s">
        <v>1185</v>
      </c>
      <c r="R587" s="75" t="s">
        <v>371</v>
      </c>
      <c r="S587" s="20" t="s">
        <v>629</v>
      </c>
      <c r="T587" s="20" t="s">
        <v>73</v>
      </c>
      <c r="U587" s="47" t="n">
        <v>0</v>
      </c>
      <c r="V587" s="70" t="s">
        <v>606</v>
      </c>
      <c r="W587" s="47" t="n">
        <v>2</v>
      </c>
    </row>
    <row r="588" customFormat="false" ht="35.05" hidden="false" customHeight="false" outlineLevel="0" collapsed="false">
      <c r="A588" s="70" t="n">
        <v>572</v>
      </c>
      <c r="B588" s="20" t="s">
        <v>1024</v>
      </c>
      <c r="C588" s="20" t="s">
        <v>512</v>
      </c>
      <c r="D588" s="20" t="s">
        <v>1174</v>
      </c>
      <c r="E588" s="20" t="s">
        <v>606</v>
      </c>
      <c r="F588" s="70" t="s">
        <v>460</v>
      </c>
      <c r="G588" s="20" t="s">
        <v>561</v>
      </c>
      <c r="H588" s="49" t="n">
        <v>10</v>
      </c>
      <c r="I588" s="70" t="s">
        <v>403</v>
      </c>
      <c r="J588" s="70" t="n">
        <v>100</v>
      </c>
      <c r="K588" s="73" t="n">
        <v>1</v>
      </c>
      <c r="L588" s="49" t="n">
        <v>115</v>
      </c>
      <c r="M588" s="67" t="n">
        <v>1.6</v>
      </c>
      <c r="N588" s="68" t="n">
        <f aca="false">K588*L588*M588</f>
        <v>184</v>
      </c>
      <c r="O588" s="34" t="n">
        <f aca="false">IFERROR(INDEX(Исходные!$B$18:$B$30,MATCH(H588,Исходные!$A$18:$A$30,0)),0)</f>
        <v>0.617</v>
      </c>
      <c r="P588" s="74" t="n">
        <f aca="false">N588*O588</f>
        <v>113.528</v>
      </c>
      <c r="Q588" s="20" t="s">
        <v>630</v>
      </c>
      <c r="R588" s="75" t="s">
        <v>371</v>
      </c>
      <c r="S588" s="20"/>
      <c r="T588" s="20" t="s">
        <v>73</v>
      </c>
      <c r="U588" s="47" t="n">
        <v>0</v>
      </c>
      <c r="V588" s="70" t="s">
        <v>606</v>
      </c>
      <c r="W588" s="47" t="n">
        <v>2</v>
      </c>
    </row>
    <row r="589" customFormat="false" ht="35.05" hidden="false" customHeight="false" outlineLevel="0" collapsed="false">
      <c r="A589" s="70" t="n">
        <v>573</v>
      </c>
      <c r="B589" s="20" t="s">
        <v>1024</v>
      </c>
      <c r="C589" s="20" t="s">
        <v>512</v>
      </c>
      <c r="D589" s="20" t="s">
        <v>1174</v>
      </c>
      <c r="E589" s="20" t="s">
        <v>606</v>
      </c>
      <c r="F589" s="70" t="s">
        <v>563</v>
      </c>
      <c r="G589" s="20" t="s">
        <v>1154</v>
      </c>
      <c r="H589" s="49" t="n">
        <v>8</v>
      </c>
      <c r="I589" s="70" t="s">
        <v>403</v>
      </c>
      <c r="J589" s="70" t="s">
        <v>565</v>
      </c>
      <c r="K589" s="73" t="n">
        <v>1</v>
      </c>
      <c r="L589" s="49" t="n">
        <v>54</v>
      </c>
      <c r="M589" s="67" t="n">
        <v>0.75</v>
      </c>
      <c r="N589" s="68" t="n">
        <f aca="false">K589*L589*M589</f>
        <v>40.5</v>
      </c>
      <c r="O589" s="34" t="n">
        <f aca="false">IFERROR(INDEX(Исходные!$B$18:$B$30,MATCH(H589,Исходные!$A$18:$A$30,0)),0)</f>
        <v>0.395</v>
      </c>
      <c r="P589" s="74" t="n">
        <f aca="false">N589*O589</f>
        <v>15.9975</v>
      </c>
      <c r="Q589" s="20" t="s">
        <v>566</v>
      </c>
      <c r="R589" s="75" t="s">
        <v>371</v>
      </c>
      <c r="S589" s="20"/>
      <c r="T589" s="20" t="s">
        <v>73</v>
      </c>
      <c r="U589" s="47" t="n">
        <v>0</v>
      </c>
      <c r="V589" s="70" t="s">
        <v>606</v>
      </c>
      <c r="W589" s="47" t="n">
        <v>2</v>
      </c>
    </row>
    <row r="590" customFormat="false" ht="35.05" hidden="false" customHeight="false" outlineLevel="0" collapsed="false">
      <c r="A590" s="70" t="n">
        <v>574</v>
      </c>
      <c r="B590" s="20" t="s">
        <v>1024</v>
      </c>
      <c r="C590" s="20" t="s">
        <v>512</v>
      </c>
      <c r="D590" s="20" t="s">
        <v>1174</v>
      </c>
      <c r="E590" s="20" t="s">
        <v>606</v>
      </c>
      <c r="F590" s="70" t="s">
        <v>567</v>
      </c>
      <c r="G590" s="20" t="s">
        <v>1155</v>
      </c>
      <c r="H590" s="49" t="n">
        <v>8</v>
      </c>
      <c r="I590" s="70" t="s">
        <v>403</v>
      </c>
      <c r="J590" s="70" t="n">
        <v>300</v>
      </c>
      <c r="K590" s="73" t="n">
        <v>1</v>
      </c>
      <c r="L590" s="49" t="n">
        <v>77</v>
      </c>
      <c r="M590" s="67" t="n">
        <v>0.58</v>
      </c>
      <c r="N590" s="68" t="n">
        <f aca="false">K590*L590*M590</f>
        <v>44.66</v>
      </c>
      <c r="O590" s="34" t="n">
        <f aca="false">IFERROR(INDEX(Исходные!$B$18:$B$30,MATCH(H590,Исходные!$A$18:$A$30,0)),0)</f>
        <v>0.395</v>
      </c>
      <c r="P590" s="74" t="n">
        <f aca="false">N590*O590</f>
        <v>17.6407</v>
      </c>
      <c r="Q590" s="20" t="s">
        <v>1156</v>
      </c>
      <c r="R590" s="76" t="s">
        <v>495</v>
      </c>
      <c r="S590" s="20"/>
      <c r="T590" s="20" t="s">
        <v>73</v>
      </c>
      <c r="U590" s="47" t="n">
        <v>1</v>
      </c>
      <c r="V590" s="70" t="s">
        <v>606</v>
      </c>
      <c r="W590" s="47" t="n">
        <v>2</v>
      </c>
    </row>
    <row r="591" customFormat="false" ht="35.05" hidden="false" customHeight="false" outlineLevel="0" collapsed="false">
      <c r="A591" s="70" t="n">
        <v>575</v>
      </c>
      <c r="B591" s="20" t="s">
        <v>1024</v>
      </c>
      <c r="C591" s="20" t="s">
        <v>512</v>
      </c>
      <c r="D591" s="20" t="s">
        <v>1186</v>
      </c>
      <c r="E591" s="20" t="s">
        <v>632</v>
      </c>
      <c r="F591" s="70" t="s">
        <v>376</v>
      </c>
      <c r="G591" s="20" t="s">
        <v>515</v>
      </c>
      <c r="H591" s="49" t="n">
        <v>28</v>
      </c>
      <c r="I591" s="70" t="s">
        <v>368</v>
      </c>
      <c r="J591" s="70" t="s">
        <v>369</v>
      </c>
      <c r="K591" s="73" t="n">
        <v>1</v>
      </c>
      <c r="L591" s="49" t="n">
        <v>4</v>
      </c>
      <c r="M591" s="67" t="n">
        <v>25.5</v>
      </c>
      <c r="N591" s="68" t="n">
        <f aca="false">K591*L591*M591</f>
        <v>102</v>
      </c>
      <c r="O591" s="34" t="n">
        <f aca="false">IFERROR(INDEX(Исходные!$B$18:$B$30,MATCH(H591,Исходные!$A$18:$A$30,0)),0)</f>
        <v>4.834</v>
      </c>
      <c r="P591" s="74" t="n">
        <f aca="false">N591*O591</f>
        <v>493.068</v>
      </c>
      <c r="Q591" s="20" t="s">
        <v>1187</v>
      </c>
      <c r="R591" s="75" t="s">
        <v>517</v>
      </c>
      <c r="S591" s="20" t="s">
        <v>518</v>
      </c>
      <c r="T591" s="20" t="s">
        <v>73</v>
      </c>
      <c r="U591" s="47" t="n">
        <v>0</v>
      </c>
      <c r="V591" s="70" t="s">
        <v>632</v>
      </c>
      <c r="W591" s="47" t="n">
        <v>2</v>
      </c>
    </row>
    <row r="592" customFormat="false" ht="35.05" hidden="false" customHeight="false" outlineLevel="0" collapsed="false">
      <c r="A592" s="70" t="n">
        <v>576</v>
      </c>
      <c r="B592" s="20" t="s">
        <v>1024</v>
      </c>
      <c r="C592" s="20" t="s">
        <v>512</v>
      </c>
      <c r="D592" s="20" t="s">
        <v>1186</v>
      </c>
      <c r="E592" s="20" t="s">
        <v>632</v>
      </c>
      <c r="F592" s="70" t="s">
        <v>386</v>
      </c>
      <c r="G592" s="20" t="s">
        <v>519</v>
      </c>
      <c r="H592" s="49" t="n">
        <v>18</v>
      </c>
      <c r="I592" s="70" t="s">
        <v>368</v>
      </c>
      <c r="J592" s="70" t="s">
        <v>369</v>
      </c>
      <c r="K592" s="73" t="n">
        <v>1</v>
      </c>
      <c r="L592" s="49" t="n">
        <v>2</v>
      </c>
      <c r="M592" s="67" t="n">
        <v>25.5</v>
      </c>
      <c r="N592" s="68" t="n">
        <f aca="false">K592*L592*M592</f>
        <v>51</v>
      </c>
      <c r="O592" s="34" t="n">
        <f aca="false">IFERROR(INDEX(Исходные!$B$18:$B$30,MATCH(H592,Исходные!$A$18:$A$30,0)),0)</f>
        <v>1.998</v>
      </c>
      <c r="P592" s="74" t="n">
        <f aca="false">N592*O592</f>
        <v>101.898</v>
      </c>
      <c r="Q592" s="20" t="s">
        <v>520</v>
      </c>
      <c r="R592" s="75" t="s">
        <v>517</v>
      </c>
      <c r="S592" s="20"/>
      <c r="T592" s="20" t="s">
        <v>73</v>
      </c>
      <c r="U592" s="47" t="n">
        <v>0</v>
      </c>
      <c r="V592" s="70" t="s">
        <v>632</v>
      </c>
      <c r="W592" s="47" t="n">
        <v>2</v>
      </c>
    </row>
    <row r="593" customFormat="false" ht="35.05" hidden="false" customHeight="false" outlineLevel="0" collapsed="false">
      <c r="A593" s="70" t="n">
        <v>577</v>
      </c>
      <c r="B593" s="20" t="s">
        <v>1024</v>
      </c>
      <c r="C593" s="20" t="s">
        <v>512</v>
      </c>
      <c r="D593" s="20" t="s">
        <v>1186</v>
      </c>
      <c r="E593" s="20" t="s">
        <v>632</v>
      </c>
      <c r="F593" s="70" t="s">
        <v>521</v>
      </c>
      <c r="G593" s="20" t="s">
        <v>522</v>
      </c>
      <c r="H593" s="49" t="n">
        <v>18</v>
      </c>
      <c r="I593" s="70" t="s">
        <v>368</v>
      </c>
      <c r="J593" s="70" t="s">
        <v>369</v>
      </c>
      <c r="K593" s="73" t="n">
        <v>2</v>
      </c>
      <c r="L593" s="49" t="n">
        <v>2</v>
      </c>
      <c r="M593" s="67" t="n">
        <v>0.144</v>
      </c>
      <c r="N593" s="68" t="n">
        <f aca="false">K593*L593*M593</f>
        <v>0.576</v>
      </c>
      <c r="O593" s="34" t="n">
        <f aca="false">IFERROR(INDEX(Исходные!$B$18:$B$30,MATCH(H593,Исходные!$A$18:$A$30,0)),0)</f>
        <v>1.998</v>
      </c>
      <c r="P593" s="74" t="n">
        <f aca="false">N593*O593</f>
        <v>1.150848</v>
      </c>
      <c r="Q593" s="20" t="s">
        <v>523</v>
      </c>
      <c r="R593" s="75" t="s">
        <v>524</v>
      </c>
      <c r="S593" s="20" t="s">
        <v>525</v>
      </c>
      <c r="T593" s="20" t="s">
        <v>73</v>
      </c>
      <c r="U593" s="47" t="n">
        <v>0</v>
      </c>
      <c r="V593" s="70" t="s">
        <v>632</v>
      </c>
      <c r="W593" s="47" t="n">
        <v>2</v>
      </c>
    </row>
    <row r="594" customFormat="false" ht="35.05" hidden="false" customHeight="false" outlineLevel="0" collapsed="false">
      <c r="A594" s="70" t="n">
        <v>578</v>
      </c>
      <c r="B594" s="20" t="s">
        <v>1024</v>
      </c>
      <c r="C594" s="20" t="s">
        <v>512</v>
      </c>
      <c r="D594" s="20" t="s">
        <v>1186</v>
      </c>
      <c r="E594" s="20" t="s">
        <v>632</v>
      </c>
      <c r="F594" s="70" t="s">
        <v>526</v>
      </c>
      <c r="G594" s="20" t="s">
        <v>527</v>
      </c>
      <c r="H594" s="49" t="n">
        <v>16</v>
      </c>
      <c r="I594" s="70" t="s">
        <v>368</v>
      </c>
      <c r="J594" s="70" t="s">
        <v>369</v>
      </c>
      <c r="K594" s="73" t="n">
        <v>1</v>
      </c>
      <c r="L594" s="49" t="n">
        <v>2</v>
      </c>
      <c r="M594" s="67" t="n">
        <v>25.5</v>
      </c>
      <c r="N594" s="68" t="n">
        <f aca="false">K594*L594*M594</f>
        <v>51</v>
      </c>
      <c r="O594" s="34" t="n">
        <f aca="false">IFERROR(INDEX(Исходные!$B$18:$B$30,MATCH(H594,Исходные!$A$18:$A$30,0)),0)</f>
        <v>1.578</v>
      </c>
      <c r="P594" s="74" t="n">
        <f aca="false">N594*O594</f>
        <v>80.478</v>
      </c>
      <c r="Q594" s="20" t="s">
        <v>528</v>
      </c>
      <c r="R594" s="75" t="s">
        <v>517</v>
      </c>
      <c r="S594" s="20"/>
      <c r="T594" s="20" t="s">
        <v>73</v>
      </c>
      <c r="U594" s="47" t="n">
        <v>0</v>
      </c>
      <c r="V594" s="70" t="s">
        <v>632</v>
      </c>
      <c r="W594" s="47" t="n">
        <v>2</v>
      </c>
    </row>
    <row r="595" customFormat="false" ht="35.05" hidden="false" customHeight="false" outlineLevel="0" collapsed="false">
      <c r="A595" s="70" t="n">
        <v>579</v>
      </c>
      <c r="B595" s="20" t="s">
        <v>1024</v>
      </c>
      <c r="C595" s="20" t="s">
        <v>512</v>
      </c>
      <c r="D595" s="20" t="s">
        <v>1186</v>
      </c>
      <c r="E595" s="20" t="s">
        <v>632</v>
      </c>
      <c r="F595" s="70" t="s">
        <v>529</v>
      </c>
      <c r="G595" s="20" t="s">
        <v>530</v>
      </c>
      <c r="H595" s="49" t="n">
        <v>16</v>
      </c>
      <c r="I595" s="70" t="s">
        <v>368</v>
      </c>
      <c r="J595" s="70" t="s">
        <v>369</v>
      </c>
      <c r="K595" s="73" t="n">
        <v>2</v>
      </c>
      <c r="L595" s="49" t="n">
        <v>2</v>
      </c>
      <c r="M595" s="67" t="n">
        <v>0.128</v>
      </c>
      <c r="N595" s="68" t="n">
        <f aca="false">K595*L595*M595</f>
        <v>0.512</v>
      </c>
      <c r="O595" s="34" t="n">
        <f aca="false">IFERROR(INDEX(Исходные!$B$18:$B$30,MATCH(H595,Исходные!$A$18:$A$30,0)),0)</f>
        <v>1.578</v>
      </c>
      <c r="P595" s="74" t="n">
        <f aca="false">N595*O595</f>
        <v>0.807936</v>
      </c>
      <c r="Q595" s="20" t="s">
        <v>531</v>
      </c>
      <c r="R595" s="75" t="s">
        <v>524</v>
      </c>
      <c r="S595" s="20" t="s">
        <v>532</v>
      </c>
      <c r="T595" s="20" t="s">
        <v>73</v>
      </c>
      <c r="U595" s="47" t="n">
        <v>0</v>
      </c>
      <c r="V595" s="70" t="s">
        <v>632</v>
      </c>
      <c r="W595" s="47" t="n">
        <v>2</v>
      </c>
    </row>
    <row r="596" customFormat="false" ht="35.05" hidden="false" customHeight="false" outlineLevel="0" collapsed="false">
      <c r="A596" s="70" t="n">
        <v>580</v>
      </c>
      <c r="B596" s="20" t="s">
        <v>1024</v>
      </c>
      <c r="C596" s="20" t="s">
        <v>512</v>
      </c>
      <c r="D596" s="20" t="s">
        <v>1186</v>
      </c>
      <c r="E596" s="20" t="s">
        <v>632</v>
      </c>
      <c r="F596" s="70" t="s">
        <v>533</v>
      </c>
      <c r="G596" s="20" t="s">
        <v>1188</v>
      </c>
      <c r="H596" s="49" t="n">
        <v>25</v>
      </c>
      <c r="I596" s="70" t="s">
        <v>368</v>
      </c>
      <c r="J596" s="70" t="s">
        <v>369</v>
      </c>
      <c r="K596" s="73" t="n">
        <v>1</v>
      </c>
      <c r="L596" s="49" t="n">
        <v>2</v>
      </c>
      <c r="M596" s="67" t="n">
        <v>1.85</v>
      </c>
      <c r="N596" s="68" t="n">
        <f aca="false">K596*L596*M596</f>
        <v>3.7</v>
      </c>
      <c r="O596" s="34" t="n">
        <f aca="false">IFERROR(INDEX(Исходные!$B$18:$B$30,MATCH(H596,Исходные!$A$18:$A$30,0)),0)</f>
        <v>3.853</v>
      </c>
      <c r="P596" s="74" t="n">
        <f aca="false">N596*O596</f>
        <v>14.2561</v>
      </c>
      <c r="Q596" s="20" t="s">
        <v>1189</v>
      </c>
      <c r="R596" s="75" t="s">
        <v>517</v>
      </c>
      <c r="S596" s="20" t="s">
        <v>1190</v>
      </c>
      <c r="T596" s="20" t="s">
        <v>73</v>
      </c>
      <c r="U596" s="47" t="n">
        <v>0</v>
      </c>
      <c r="V596" s="70" t="s">
        <v>632</v>
      </c>
      <c r="W596" s="47" t="n">
        <v>2</v>
      </c>
    </row>
    <row r="597" customFormat="false" ht="35.05" hidden="false" customHeight="false" outlineLevel="0" collapsed="false">
      <c r="A597" s="70" t="n">
        <v>581</v>
      </c>
      <c r="B597" s="20" t="s">
        <v>1024</v>
      </c>
      <c r="C597" s="20" t="s">
        <v>512</v>
      </c>
      <c r="D597" s="20" t="s">
        <v>1186</v>
      </c>
      <c r="E597" s="20" t="s">
        <v>632</v>
      </c>
      <c r="F597" s="70" t="s">
        <v>533</v>
      </c>
      <c r="G597" s="20" t="s">
        <v>637</v>
      </c>
      <c r="H597" s="49" t="n">
        <v>28</v>
      </c>
      <c r="I597" s="70" t="s">
        <v>368</v>
      </c>
      <c r="J597" s="70" t="s">
        <v>369</v>
      </c>
      <c r="K597" s="73" t="n">
        <v>1</v>
      </c>
      <c r="L597" s="49" t="n">
        <v>2</v>
      </c>
      <c r="M597" s="67" t="n">
        <v>5.5</v>
      </c>
      <c r="N597" s="68" t="n">
        <f aca="false">K597*L597*M597</f>
        <v>11</v>
      </c>
      <c r="O597" s="34" t="n">
        <f aca="false">IFERROR(INDEX(Исходные!$B$18:$B$30,MATCH(H597,Исходные!$A$18:$A$30,0)),0)</f>
        <v>4.834</v>
      </c>
      <c r="P597" s="74" t="n">
        <f aca="false">N597*O597</f>
        <v>53.174</v>
      </c>
      <c r="Q597" s="20" t="s">
        <v>1191</v>
      </c>
      <c r="R597" s="75" t="s">
        <v>517</v>
      </c>
      <c r="S597" s="20" t="s">
        <v>638</v>
      </c>
      <c r="T597" s="20" t="s">
        <v>73</v>
      </c>
      <c r="U597" s="47" t="n">
        <v>0</v>
      </c>
      <c r="V597" s="70" t="s">
        <v>632</v>
      </c>
      <c r="W597" s="47" t="n">
        <v>2</v>
      </c>
    </row>
    <row r="598" customFormat="false" ht="35.05" hidden="false" customHeight="false" outlineLevel="0" collapsed="false">
      <c r="A598" s="70" t="n">
        <v>582</v>
      </c>
      <c r="B598" s="20" t="s">
        <v>1024</v>
      </c>
      <c r="C598" s="20" t="s">
        <v>512</v>
      </c>
      <c r="D598" s="20" t="s">
        <v>1186</v>
      </c>
      <c r="E598" s="20" t="s">
        <v>632</v>
      </c>
      <c r="F598" s="70" t="s">
        <v>533</v>
      </c>
      <c r="G598" s="20" t="s">
        <v>1192</v>
      </c>
      <c r="H598" s="49" t="n">
        <v>25</v>
      </c>
      <c r="I598" s="70" t="s">
        <v>368</v>
      </c>
      <c r="J598" s="70" t="s">
        <v>369</v>
      </c>
      <c r="K598" s="73" t="n">
        <v>1</v>
      </c>
      <c r="L598" s="49" t="n">
        <v>2</v>
      </c>
      <c r="M598" s="67" t="n">
        <v>5.5</v>
      </c>
      <c r="N598" s="68" t="n">
        <f aca="false">K598*L598*M598</f>
        <v>11</v>
      </c>
      <c r="O598" s="34" t="n">
        <f aca="false">IFERROR(INDEX(Исходные!$B$18:$B$30,MATCH(H598,Исходные!$A$18:$A$30,0)),0)</f>
        <v>3.853</v>
      </c>
      <c r="P598" s="74" t="n">
        <f aca="false">N598*O598</f>
        <v>42.383</v>
      </c>
      <c r="Q598" s="20" t="s">
        <v>1189</v>
      </c>
      <c r="R598" s="75" t="s">
        <v>517</v>
      </c>
      <c r="S598" s="20" t="s">
        <v>638</v>
      </c>
      <c r="T598" s="20" t="s">
        <v>73</v>
      </c>
      <c r="U598" s="47" t="n">
        <v>0</v>
      </c>
      <c r="V598" s="70" t="s">
        <v>632</v>
      </c>
      <c r="W598" s="47" t="n">
        <v>2</v>
      </c>
    </row>
    <row r="599" customFormat="false" ht="35.05" hidden="false" customHeight="false" outlineLevel="0" collapsed="false">
      <c r="A599" s="70" t="n">
        <v>583</v>
      </c>
      <c r="B599" s="20" t="s">
        <v>1024</v>
      </c>
      <c r="C599" s="20" t="s">
        <v>512</v>
      </c>
      <c r="D599" s="20" t="s">
        <v>1186</v>
      </c>
      <c r="E599" s="20" t="s">
        <v>632</v>
      </c>
      <c r="F599" s="70" t="s">
        <v>533</v>
      </c>
      <c r="G599" s="20" t="s">
        <v>641</v>
      </c>
      <c r="H599" s="49" t="n">
        <v>28</v>
      </c>
      <c r="I599" s="70" t="s">
        <v>368</v>
      </c>
      <c r="J599" s="70" t="s">
        <v>369</v>
      </c>
      <c r="K599" s="73" t="n">
        <v>1</v>
      </c>
      <c r="L599" s="49" t="n">
        <v>2</v>
      </c>
      <c r="M599" s="67" t="n">
        <v>4.7</v>
      </c>
      <c r="N599" s="68" t="n">
        <f aca="false">K599*L599*M599</f>
        <v>9.4</v>
      </c>
      <c r="O599" s="34" t="n">
        <f aca="false">IFERROR(INDEX(Исходные!$B$18:$B$30,MATCH(H599,Исходные!$A$18:$A$30,0)),0)</f>
        <v>4.834</v>
      </c>
      <c r="P599" s="74" t="n">
        <f aca="false">N599*O599</f>
        <v>45.4396</v>
      </c>
      <c r="Q599" s="20" t="s">
        <v>1191</v>
      </c>
      <c r="R599" s="75" t="s">
        <v>517</v>
      </c>
      <c r="S599" s="20" t="s">
        <v>642</v>
      </c>
      <c r="T599" s="20" t="s">
        <v>73</v>
      </c>
      <c r="U599" s="47" t="n">
        <v>0</v>
      </c>
      <c r="V599" s="70" t="s">
        <v>632</v>
      </c>
      <c r="W599" s="47" t="n">
        <v>2</v>
      </c>
    </row>
    <row r="600" customFormat="false" ht="35.05" hidden="false" customHeight="false" outlineLevel="0" collapsed="false">
      <c r="A600" s="70" t="n">
        <v>584</v>
      </c>
      <c r="B600" s="20" t="s">
        <v>1024</v>
      </c>
      <c r="C600" s="20" t="s">
        <v>512</v>
      </c>
      <c r="D600" s="20" t="s">
        <v>1186</v>
      </c>
      <c r="E600" s="20" t="s">
        <v>632</v>
      </c>
      <c r="F600" s="70" t="s">
        <v>533</v>
      </c>
      <c r="G600" s="20" t="s">
        <v>1193</v>
      </c>
      <c r="H600" s="49" t="n">
        <v>25</v>
      </c>
      <c r="I600" s="70" t="s">
        <v>368</v>
      </c>
      <c r="J600" s="70" t="s">
        <v>369</v>
      </c>
      <c r="K600" s="73" t="n">
        <v>1</v>
      </c>
      <c r="L600" s="49" t="n">
        <v>2</v>
      </c>
      <c r="M600" s="67" t="n">
        <v>4.7</v>
      </c>
      <c r="N600" s="68" t="n">
        <f aca="false">K600*L600*M600</f>
        <v>9.4</v>
      </c>
      <c r="O600" s="34" t="n">
        <f aca="false">IFERROR(INDEX(Исходные!$B$18:$B$30,MATCH(H600,Исходные!$A$18:$A$30,0)),0)</f>
        <v>3.853</v>
      </c>
      <c r="P600" s="74" t="n">
        <f aca="false">N600*O600</f>
        <v>36.2182</v>
      </c>
      <c r="Q600" s="20" t="s">
        <v>1189</v>
      </c>
      <c r="R600" s="75" t="s">
        <v>517</v>
      </c>
      <c r="S600" s="20" t="s">
        <v>642</v>
      </c>
      <c r="T600" s="20" t="s">
        <v>73</v>
      </c>
      <c r="U600" s="47" t="n">
        <v>0</v>
      </c>
      <c r="V600" s="70" t="s">
        <v>632</v>
      </c>
      <c r="W600" s="47" t="n">
        <v>2</v>
      </c>
    </row>
    <row r="601" customFormat="false" ht="35.05" hidden="false" customHeight="false" outlineLevel="0" collapsed="false">
      <c r="A601" s="70" t="n">
        <v>585</v>
      </c>
      <c r="B601" s="20" t="s">
        <v>1024</v>
      </c>
      <c r="C601" s="20" t="s">
        <v>512</v>
      </c>
      <c r="D601" s="20" t="s">
        <v>1186</v>
      </c>
      <c r="E601" s="20" t="s">
        <v>632</v>
      </c>
      <c r="F601" s="70" t="s">
        <v>533</v>
      </c>
      <c r="G601" s="20" t="s">
        <v>1194</v>
      </c>
      <c r="H601" s="49" t="n">
        <v>25</v>
      </c>
      <c r="I601" s="70" t="s">
        <v>368</v>
      </c>
      <c r="J601" s="70" t="s">
        <v>369</v>
      </c>
      <c r="K601" s="73" t="n">
        <v>1</v>
      </c>
      <c r="L601" s="49" t="n">
        <v>2</v>
      </c>
      <c r="M601" s="67" t="n">
        <v>4.3</v>
      </c>
      <c r="N601" s="68" t="n">
        <f aca="false">K601*L601*M601</f>
        <v>8.6</v>
      </c>
      <c r="O601" s="34" t="n">
        <f aca="false">IFERROR(INDEX(Исходные!$B$18:$B$30,MATCH(H601,Исходные!$A$18:$A$30,0)),0)</f>
        <v>3.853</v>
      </c>
      <c r="P601" s="74" t="n">
        <f aca="false">N601*O601</f>
        <v>33.1358</v>
      </c>
      <c r="Q601" s="20" t="s">
        <v>1189</v>
      </c>
      <c r="R601" s="75" t="s">
        <v>517</v>
      </c>
      <c r="S601" s="20" t="s">
        <v>646</v>
      </c>
      <c r="T601" s="20" t="s">
        <v>73</v>
      </c>
      <c r="U601" s="47" t="n">
        <v>0</v>
      </c>
      <c r="V601" s="70" t="s">
        <v>632</v>
      </c>
      <c r="W601" s="47" t="n">
        <v>2</v>
      </c>
    </row>
    <row r="602" customFormat="false" ht="35.05" hidden="false" customHeight="false" outlineLevel="0" collapsed="false">
      <c r="A602" s="70" t="n">
        <v>586</v>
      </c>
      <c r="B602" s="20" t="s">
        <v>1024</v>
      </c>
      <c r="C602" s="20" t="s">
        <v>512</v>
      </c>
      <c r="D602" s="20" t="s">
        <v>1186</v>
      </c>
      <c r="E602" s="20" t="s">
        <v>632</v>
      </c>
      <c r="F602" s="70" t="s">
        <v>533</v>
      </c>
      <c r="G602" s="20" t="s">
        <v>1195</v>
      </c>
      <c r="H602" s="49" t="n">
        <v>22</v>
      </c>
      <c r="I602" s="70" t="s">
        <v>368</v>
      </c>
      <c r="J602" s="70" t="s">
        <v>369</v>
      </c>
      <c r="K602" s="73" t="n">
        <v>1</v>
      </c>
      <c r="L602" s="49" t="n">
        <v>2</v>
      </c>
      <c r="M602" s="67" t="n">
        <v>4.3</v>
      </c>
      <c r="N602" s="68" t="n">
        <f aca="false">K602*L602*M602</f>
        <v>8.6</v>
      </c>
      <c r="O602" s="34" t="n">
        <f aca="false">IFERROR(INDEX(Исходные!$B$18:$B$30,MATCH(H602,Исходные!$A$18:$A$30,0)),0)</f>
        <v>2.984</v>
      </c>
      <c r="P602" s="74" t="n">
        <f aca="false">N602*O602</f>
        <v>25.6624</v>
      </c>
      <c r="Q602" s="20" t="s">
        <v>1196</v>
      </c>
      <c r="R602" s="75" t="s">
        <v>517</v>
      </c>
      <c r="S602" s="20" t="s">
        <v>646</v>
      </c>
      <c r="T602" s="20" t="s">
        <v>73</v>
      </c>
      <c r="U602" s="47" t="n">
        <v>0</v>
      </c>
      <c r="V602" s="70" t="s">
        <v>632</v>
      </c>
      <c r="W602" s="47" t="n">
        <v>2</v>
      </c>
    </row>
    <row r="603" customFormat="false" ht="35.05" hidden="false" customHeight="false" outlineLevel="0" collapsed="false">
      <c r="A603" s="70" t="n">
        <v>587</v>
      </c>
      <c r="B603" s="20" t="s">
        <v>1024</v>
      </c>
      <c r="C603" s="20" t="s">
        <v>512</v>
      </c>
      <c r="D603" s="20" t="s">
        <v>1186</v>
      </c>
      <c r="E603" s="20" t="s">
        <v>632</v>
      </c>
      <c r="F603" s="70" t="s">
        <v>533</v>
      </c>
      <c r="G603" s="20" t="s">
        <v>584</v>
      </c>
      <c r="H603" s="49" t="n">
        <v>25</v>
      </c>
      <c r="I603" s="70" t="s">
        <v>368</v>
      </c>
      <c r="J603" s="70" t="s">
        <v>369</v>
      </c>
      <c r="K603" s="73" t="n">
        <v>1</v>
      </c>
      <c r="L603" s="49" t="n">
        <v>2</v>
      </c>
      <c r="M603" s="67" t="n">
        <v>2.05</v>
      </c>
      <c r="N603" s="68" t="n">
        <f aca="false">K603*L603*M603</f>
        <v>4.1</v>
      </c>
      <c r="O603" s="34" t="n">
        <f aca="false">IFERROR(INDEX(Исходные!$B$18:$B$30,MATCH(H603,Исходные!$A$18:$A$30,0)),0)</f>
        <v>3.853</v>
      </c>
      <c r="P603" s="74" t="n">
        <f aca="false">N603*O603</f>
        <v>15.7973</v>
      </c>
      <c r="Q603" s="20" t="s">
        <v>1189</v>
      </c>
      <c r="R603" s="75" t="s">
        <v>517</v>
      </c>
      <c r="S603" s="20" t="s">
        <v>1164</v>
      </c>
      <c r="T603" s="20" t="s">
        <v>73</v>
      </c>
      <c r="U603" s="47" t="n">
        <v>0</v>
      </c>
      <c r="V603" s="70" t="s">
        <v>632</v>
      </c>
      <c r="W603" s="47" t="n">
        <v>2</v>
      </c>
    </row>
    <row r="604" customFormat="false" ht="35.05" hidden="false" customHeight="false" outlineLevel="0" collapsed="false">
      <c r="A604" s="70" t="n">
        <v>588</v>
      </c>
      <c r="B604" s="20" t="s">
        <v>1024</v>
      </c>
      <c r="C604" s="20" t="s">
        <v>512</v>
      </c>
      <c r="D604" s="20" t="s">
        <v>1186</v>
      </c>
      <c r="E604" s="20" t="s">
        <v>632</v>
      </c>
      <c r="F604" s="70" t="s">
        <v>533</v>
      </c>
      <c r="G604" s="20" t="s">
        <v>648</v>
      </c>
      <c r="H604" s="49" t="n">
        <v>16</v>
      </c>
      <c r="I604" s="70" t="s">
        <v>368</v>
      </c>
      <c r="J604" s="70" t="s">
        <v>369</v>
      </c>
      <c r="K604" s="73" t="n">
        <v>1</v>
      </c>
      <c r="L604" s="49" t="n">
        <v>2</v>
      </c>
      <c r="M604" s="67" t="n">
        <v>1.85</v>
      </c>
      <c r="N604" s="68" t="n">
        <f aca="false">K604*L604*M604</f>
        <v>3.7</v>
      </c>
      <c r="O604" s="34" t="n">
        <f aca="false">IFERROR(INDEX(Исходные!$B$18:$B$30,MATCH(H604,Исходные!$A$18:$A$30,0)),0)</f>
        <v>1.578</v>
      </c>
      <c r="P604" s="74" t="n">
        <f aca="false">N604*O604</f>
        <v>5.8386</v>
      </c>
      <c r="Q604" s="20" t="s">
        <v>1197</v>
      </c>
      <c r="R604" s="75" t="s">
        <v>517</v>
      </c>
      <c r="S604" s="20" t="s">
        <v>1190</v>
      </c>
      <c r="T604" s="20" t="s">
        <v>73</v>
      </c>
      <c r="U604" s="47" t="n">
        <v>0</v>
      </c>
      <c r="V604" s="70" t="s">
        <v>632</v>
      </c>
      <c r="W604" s="47" t="n">
        <v>2</v>
      </c>
    </row>
    <row r="605" customFormat="false" ht="35.05" hidden="false" customHeight="false" outlineLevel="0" collapsed="false">
      <c r="A605" s="70" t="n">
        <v>589</v>
      </c>
      <c r="B605" s="20" t="s">
        <v>1024</v>
      </c>
      <c r="C605" s="20" t="s">
        <v>512</v>
      </c>
      <c r="D605" s="20" t="s">
        <v>1186</v>
      </c>
      <c r="E605" s="20" t="s">
        <v>632</v>
      </c>
      <c r="F605" s="70" t="s">
        <v>533</v>
      </c>
      <c r="G605" s="20" t="s">
        <v>1198</v>
      </c>
      <c r="H605" s="49" t="n">
        <v>25</v>
      </c>
      <c r="I605" s="70" t="s">
        <v>368</v>
      </c>
      <c r="J605" s="70" t="s">
        <v>369</v>
      </c>
      <c r="K605" s="73" t="n">
        <v>1</v>
      </c>
      <c r="L605" s="49" t="n">
        <v>2</v>
      </c>
      <c r="M605" s="67" t="n">
        <v>5.5</v>
      </c>
      <c r="N605" s="68" t="n">
        <f aca="false">K605*L605*M605</f>
        <v>11</v>
      </c>
      <c r="O605" s="34" t="n">
        <f aca="false">IFERROR(INDEX(Исходные!$B$18:$B$30,MATCH(H605,Исходные!$A$18:$A$30,0)),0)</f>
        <v>3.853</v>
      </c>
      <c r="P605" s="74" t="n">
        <f aca="false">N605*O605</f>
        <v>42.383</v>
      </c>
      <c r="Q605" s="20" t="s">
        <v>1189</v>
      </c>
      <c r="R605" s="75" t="s">
        <v>517</v>
      </c>
      <c r="S605" s="20" t="s">
        <v>638</v>
      </c>
      <c r="T605" s="20" t="s">
        <v>73</v>
      </c>
      <c r="U605" s="47" t="n">
        <v>0</v>
      </c>
      <c r="V605" s="70" t="s">
        <v>632</v>
      </c>
      <c r="W605" s="47" t="n">
        <v>2</v>
      </c>
    </row>
    <row r="606" customFormat="false" ht="35.05" hidden="false" customHeight="false" outlineLevel="0" collapsed="false">
      <c r="A606" s="70" t="n">
        <v>590</v>
      </c>
      <c r="B606" s="20" t="s">
        <v>1024</v>
      </c>
      <c r="C606" s="20" t="s">
        <v>512</v>
      </c>
      <c r="D606" s="20" t="s">
        <v>1186</v>
      </c>
      <c r="E606" s="20" t="s">
        <v>632</v>
      </c>
      <c r="F606" s="70" t="s">
        <v>533</v>
      </c>
      <c r="G606" s="20" t="s">
        <v>651</v>
      </c>
      <c r="H606" s="49" t="n">
        <v>28</v>
      </c>
      <c r="I606" s="70" t="s">
        <v>368</v>
      </c>
      <c r="J606" s="70" t="s">
        <v>369</v>
      </c>
      <c r="K606" s="73" t="n">
        <v>1</v>
      </c>
      <c r="L606" s="49" t="n">
        <v>2</v>
      </c>
      <c r="M606" s="67" t="n">
        <v>4.7</v>
      </c>
      <c r="N606" s="68" t="n">
        <f aca="false">K606*L606*M606</f>
        <v>9.4</v>
      </c>
      <c r="O606" s="34" t="n">
        <f aca="false">IFERROR(INDEX(Исходные!$B$18:$B$30,MATCH(H606,Исходные!$A$18:$A$30,0)),0)</f>
        <v>4.834</v>
      </c>
      <c r="P606" s="74" t="n">
        <f aca="false">N606*O606</f>
        <v>45.4396</v>
      </c>
      <c r="Q606" s="20" t="s">
        <v>1191</v>
      </c>
      <c r="R606" s="75" t="s">
        <v>517</v>
      </c>
      <c r="S606" s="20" t="s">
        <v>642</v>
      </c>
      <c r="T606" s="20" t="s">
        <v>73</v>
      </c>
      <c r="U606" s="47" t="n">
        <v>0</v>
      </c>
      <c r="V606" s="70" t="s">
        <v>632</v>
      </c>
      <c r="W606" s="47" t="n">
        <v>2</v>
      </c>
    </row>
    <row r="607" customFormat="false" ht="35.05" hidden="false" customHeight="false" outlineLevel="0" collapsed="false">
      <c r="A607" s="70" t="n">
        <v>591</v>
      </c>
      <c r="B607" s="20" t="s">
        <v>1024</v>
      </c>
      <c r="C607" s="20" t="s">
        <v>512</v>
      </c>
      <c r="D607" s="20" t="s">
        <v>1186</v>
      </c>
      <c r="E607" s="20" t="s">
        <v>632</v>
      </c>
      <c r="F607" s="70" t="s">
        <v>533</v>
      </c>
      <c r="G607" s="20" t="s">
        <v>1199</v>
      </c>
      <c r="H607" s="49" t="n">
        <v>20</v>
      </c>
      <c r="I607" s="70" t="s">
        <v>368</v>
      </c>
      <c r="J607" s="70" t="s">
        <v>369</v>
      </c>
      <c r="K607" s="73" t="n">
        <v>1</v>
      </c>
      <c r="L607" s="49" t="n">
        <v>1</v>
      </c>
      <c r="M607" s="67" t="n">
        <v>4.7</v>
      </c>
      <c r="N607" s="68" t="n">
        <f aca="false">K607*L607*M607</f>
        <v>4.7</v>
      </c>
      <c r="O607" s="34" t="n">
        <f aca="false">IFERROR(INDEX(Исходные!$B$18:$B$30,MATCH(H607,Исходные!$A$18:$A$30,0)),0)</f>
        <v>2.466</v>
      </c>
      <c r="P607" s="74" t="n">
        <f aca="false">N607*O607</f>
        <v>11.5902</v>
      </c>
      <c r="Q607" s="20" t="s">
        <v>1200</v>
      </c>
      <c r="R607" s="75" t="s">
        <v>517</v>
      </c>
      <c r="S607" s="20" t="s">
        <v>642</v>
      </c>
      <c r="T607" s="20" t="s">
        <v>73</v>
      </c>
      <c r="U607" s="47" t="n">
        <v>0</v>
      </c>
      <c r="V607" s="70" t="s">
        <v>632</v>
      </c>
      <c r="W607" s="47" t="n">
        <v>2</v>
      </c>
    </row>
    <row r="608" customFormat="false" ht="35.05" hidden="false" customHeight="false" outlineLevel="0" collapsed="false">
      <c r="A608" s="70" t="n">
        <v>592</v>
      </c>
      <c r="B608" s="20" t="s">
        <v>1024</v>
      </c>
      <c r="C608" s="20" t="s">
        <v>512</v>
      </c>
      <c r="D608" s="20" t="s">
        <v>1186</v>
      </c>
      <c r="E608" s="20" t="s">
        <v>632</v>
      </c>
      <c r="F608" s="70" t="s">
        <v>533</v>
      </c>
      <c r="G608" s="20" t="s">
        <v>652</v>
      </c>
      <c r="H608" s="49" t="n">
        <v>28</v>
      </c>
      <c r="I608" s="70" t="s">
        <v>368</v>
      </c>
      <c r="J608" s="70" t="s">
        <v>369</v>
      </c>
      <c r="K608" s="73" t="n">
        <v>1</v>
      </c>
      <c r="L608" s="49" t="n">
        <v>2</v>
      </c>
      <c r="M608" s="67" t="n">
        <v>4.3</v>
      </c>
      <c r="N608" s="68" t="n">
        <f aca="false">K608*L608*M608</f>
        <v>8.6</v>
      </c>
      <c r="O608" s="34" t="n">
        <f aca="false">IFERROR(INDEX(Исходные!$B$18:$B$30,MATCH(H608,Исходные!$A$18:$A$30,0)),0)</f>
        <v>4.834</v>
      </c>
      <c r="P608" s="74" t="n">
        <f aca="false">N608*O608</f>
        <v>41.5724</v>
      </c>
      <c r="Q608" s="20" t="s">
        <v>1191</v>
      </c>
      <c r="R608" s="75" t="s">
        <v>517</v>
      </c>
      <c r="S608" s="20" t="s">
        <v>646</v>
      </c>
      <c r="T608" s="20" t="s">
        <v>73</v>
      </c>
      <c r="U608" s="47" t="n">
        <v>0</v>
      </c>
      <c r="V608" s="70" t="s">
        <v>632</v>
      </c>
      <c r="W608" s="47" t="n">
        <v>2</v>
      </c>
    </row>
    <row r="609" customFormat="false" ht="35.05" hidden="false" customHeight="false" outlineLevel="0" collapsed="false">
      <c r="A609" s="70" t="n">
        <v>593</v>
      </c>
      <c r="B609" s="20" t="s">
        <v>1024</v>
      </c>
      <c r="C609" s="20" t="s">
        <v>512</v>
      </c>
      <c r="D609" s="20" t="s">
        <v>1186</v>
      </c>
      <c r="E609" s="20" t="s">
        <v>632</v>
      </c>
      <c r="F609" s="70" t="s">
        <v>533</v>
      </c>
      <c r="G609" s="20" t="s">
        <v>653</v>
      </c>
      <c r="H609" s="49" t="n">
        <v>22</v>
      </c>
      <c r="I609" s="70" t="s">
        <v>368</v>
      </c>
      <c r="J609" s="70" t="s">
        <v>369</v>
      </c>
      <c r="K609" s="73" t="n">
        <v>1</v>
      </c>
      <c r="L609" s="49" t="n">
        <v>2</v>
      </c>
      <c r="M609" s="67" t="n">
        <v>2.05</v>
      </c>
      <c r="N609" s="68" t="n">
        <f aca="false">K609*L609*M609</f>
        <v>4.1</v>
      </c>
      <c r="O609" s="34" t="n">
        <f aca="false">IFERROR(INDEX(Исходные!$B$18:$B$30,MATCH(H609,Исходные!$A$18:$A$30,0)),0)</f>
        <v>2.984</v>
      </c>
      <c r="P609" s="74" t="n">
        <f aca="false">N609*O609</f>
        <v>12.2344</v>
      </c>
      <c r="Q609" s="20" t="s">
        <v>1196</v>
      </c>
      <c r="R609" s="75" t="s">
        <v>517</v>
      </c>
      <c r="S609" s="20" t="s">
        <v>1164</v>
      </c>
      <c r="T609" s="20" t="s">
        <v>73</v>
      </c>
      <c r="U609" s="47" t="n">
        <v>0</v>
      </c>
      <c r="V609" s="70" t="s">
        <v>632</v>
      </c>
      <c r="W609" s="47" t="n">
        <v>2</v>
      </c>
    </row>
    <row r="610" customFormat="false" ht="35.05" hidden="false" customHeight="false" outlineLevel="0" collapsed="false">
      <c r="A610" s="70" t="n">
        <v>594</v>
      </c>
      <c r="B610" s="20" t="s">
        <v>1024</v>
      </c>
      <c r="C610" s="20" t="s">
        <v>512</v>
      </c>
      <c r="D610" s="20" t="s">
        <v>1186</v>
      </c>
      <c r="E610" s="20" t="s">
        <v>632</v>
      </c>
      <c r="F610" s="70" t="s">
        <v>533</v>
      </c>
      <c r="G610" s="20" t="s">
        <v>1201</v>
      </c>
      <c r="H610" s="49" t="n">
        <v>12</v>
      </c>
      <c r="I610" s="70" t="s">
        <v>368</v>
      </c>
      <c r="J610" s="70" t="s">
        <v>369</v>
      </c>
      <c r="K610" s="73" t="n">
        <v>1</v>
      </c>
      <c r="L610" s="49" t="n">
        <v>2</v>
      </c>
      <c r="M610" s="67" t="n">
        <v>5.5</v>
      </c>
      <c r="N610" s="68" t="n">
        <f aca="false">K610*L610*M610</f>
        <v>11</v>
      </c>
      <c r="O610" s="34" t="n">
        <f aca="false">IFERROR(INDEX(Исходные!$B$18:$B$30,MATCH(H610,Исходные!$A$18:$A$30,0)),0)</f>
        <v>0.888</v>
      </c>
      <c r="P610" s="74" t="n">
        <f aca="false">N610*O610</f>
        <v>9.768</v>
      </c>
      <c r="Q610" s="20" t="s">
        <v>1202</v>
      </c>
      <c r="R610" s="75" t="s">
        <v>517</v>
      </c>
      <c r="S610" s="20" t="s">
        <v>638</v>
      </c>
      <c r="T610" s="20" t="s">
        <v>73</v>
      </c>
      <c r="U610" s="47" t="n">
        <v>0</v>
      </c>
      <c r="V610" s="70" t="s">
        <v>632</v>
      </c>
      <c r="W610" s="47" t="n">
        <v>2</v>
      </c>
    </row>
    <row r="611" customFormat="false" ht="35.05" hidden="false" customHeight="false" outlineLevel="0" collapsed="false">
      <c r="A611" s="70" t="n">
        <v>595</v>
      </c>
      <c r="B611" s="20" t="s">
        <v>1024</v>
      </c>
      <c r="C611" s="20" t="s">
        <v>512</v>
      </c>
      <c r="D611" s="20" t="s">
        <v>1186</v>
      </c>
      <c r="E611" s="20" t="s">
        <v>632</v>
      </c>
      <c r="F611" s="70" t="s">
        <v>553</v>
      </c>
      <c r="G611" s="20" t="s">
        <v>1148</v>
      </c>
      <c r="H611" s="49" t="n">
        <v>8</v>
      </c>
      <c r="I611" s="70" t="s">
        <v>403</v>
      </c>
      <c r="J611" s="70" t="s">
        <v>555</v>
      </c>
      <c r="K611" s="73" t="n">
        <v>1</v>
      </c>
      <c r="L611" s="49" t="n">
        <v>113</v>
      </c>
      <c r="M611" s="67" t="n">
        <v>2.06</v>
      </c>
      <c r="N611" s="68" t="n">
        <f aca="false">K611*L611*M611</f>
        <v>232.78</v>
      </c>
      <c r="O611" s="34" t="n">
        <f aca="false">IFERROR(INDEX(Исходные!$B$18:$B$30,MATCH(H611,Исходные!$A$18:$A$30,0)),0)</f>
        <v>0.395</v>
      </c>
      <c r="P611" s="74" t="n">
        <f aca="false">N611*O611</f>
        <v>91.9481</v>
      </c>
      <c r="Q611" s="20" t="s">
        <v>1149</v>
      </c>
      <c r="R611" s="75" t="s">
        <v>371</v>
      </c>
      <c r="S611" s="20" t="s">
        <v>1203</v>
      </c>
      <c r="T611" s="20" t="s">
        <v>73</v>
      </c>
      <c r="U611" s="47" t="n">
        <v>0</v>
      </c>
      <c r="V611" s="70" t="s">
        <v>632</v>
      </c>
      <c r="W611" s="47" t="n">
        <v>2</v>
      </c>
    </row>
    <row r="612" customFormat="false" ht="35.05" hidden="false" customHeight="false" outlineLevel="0" collapsed="false">
      <c r="A612" s="70" t="n">
        <v>596</v>
      </c>
      <c r="B612" s="20" t="s">
        <v>1024</v>
      </c>
      <c r="C612" s="20" t="s">
        <v>512</v>
      </c>
      <c r="D612" s="20" t="s">
        <v>1186</v>
      </c>
      <c r="E612" s="20" t="s">
        <v>632</v>
      </c>
      <c r="F612" s="70" t="s">
        <v>418</v>
      </c>
      <c r="G612" s="20" t="s">
        <v>1151</v>
      </c>
      <c r="H612" s="49" t="n">
        <v>10</v>
      </c>
      <c r="I612" s="70" t="s">
        <v>403</v>
      </c>
      <c r="J612" s="70" t="n">
        <v>100</v>
      </c>
      <c r="K612" s="73" t="n">
        <v>1</v>
      </c>
      <c r="L612" s="49" t="n">
        <v>57</v>
      </c>
      <c r="M612" s="67" t="n">
        <v>2.06</v>
      </c>
      <c r="N612" s="68" t="n">
        <f aca="false">K612*L612*M612</f>
        <v>117.42</v>
      </c>
      <c r="O612" s="34" t="n">
        <f aca="false">IFERROR(INDEX(Исходные!$B$18:$B$30,MATCH(H612,Исходные!$A$18:$A$30,0)),0)</f>
        <v>0.617</v>
      </c>
      <c r="P612" s="74" t="n">
        <f aca="false">N612*O612</f>
        <v>72.44814</v>
      </c>
      <c r="Q612" s="20" t="s">
        <v>1204</v>
      </c>
      <c r="R612" s="75" t="s">
        <v>371</v>
      </c>
      <c r="S612" s="20" t="s">
        <v>1205</v>
      </c>
      <c r="T612" s="20" t="s">
        <v>73</v>
      </c>
      <c r="U612" s="47" t="n">
        <v>0</v>
      </c>
      <c r="V612" s="70" t="s">
        <v>632</v>
      </c>
      <c r="W612" s="47" t="n">
        <v>2</v>
      </c>
    </row>
    <row r="613" customFormat="false" ht="35.05" hidden="false" customHeight="false" outlineLevel="0" collapsed="false">
      <c r="A613" s="70" t="n">
        <v>597</v>
      </c>
      <c r="B613" s="20" t="s">
        <v>1024</v>
      </c>
      <c r="C613" s="20" t="s">
        <v>512</v>
      </c>
      <c r="D613" s="20" t="s">
        <v>1186</v>
      </c>
      <c r="E613" s="20" t="s">
        <v>632</v>
      </c>
      <c r="F613" s="70" t="s">
        <v>563</v>
      </c>
      <c r="G613" s="20" t="s">
        <v>1154</v>
      </c>
      <c r="H613" s="49" t="n">
        <v>8</v>
      </c>
      <c r="I613" s="70" t="s">
        <v>403</v>
      </c>
      <c r="J613" s="70" t="s">
        <v>565</v>
      </c>
      <c r="K613" s="73" t="n">
        <v>1</v>
      </c>
      <c r="L613" s="49" t="n">
        <v>106</v>
      </c>
      <c r="M613" s="67" t="n">
        <v>0.75</v>
      </c>
      <c r="N613" s="68" t="n">
        <f aca="false">K613*L613*M613</f>
        <v>79.5</v>
      </c>
      <c r="O613" s="34" t="n">
        <f aca="false">IFERROR(INDEX(Исходные!$B$18:$B$30,MATCH(H613,Исходные!$A$18:$A$30,0)),0)</f>
        <v>0.395</v>
      </c>
      <c r="P613" s="74" t="n">
        <f aca="false">N613*O613</f>
        <v>31.4025</v>
      </c>
      <c r="Q613" s="20" t="s">
        <v>566</v>
      </c>
      <c r="R613" s="75" t="s">
        <v>371</v>
      </c>
      <c r="S613" s="20"/>
      <c r="T613" s="20" t="s">
        <v>73</v>
      </c>
      <c r="U613" s="47" t="n">
        <v>0</v>
      </c>
      <c r="V613" s="70" t="s">
        <v>632</v>
      </c>
      <c r="W613" s="47" t="n">
        <v>2</v>
      </c>
    </row>
    <row r="614" customFormat="false" ht="35.05" hidden="false" customHeight="false" outlineLevel="0" collapsed="false">
      <c r="A614" s="70" t="n">
        <v>598</v>
      </c>
      <c r="B614" s="20" t="s">
        <v>1024</v>
      </c>
      <c r="C614" s="20" t="s">
        <v>512</v>
      </c>
      <c r="D614" s="20" t="s">
        <v>1186</v>
      </c>
      <c r="E614" s="20" t="s">
        <v>632</v>
      </c>
      <c r="F614" s="70" t="s">
        <v>567</v>
      </c>
      <c r="G614" s="20" t="s">
        <v>1155</v>
      </c>
      <c r="H614" s="49" t="n">
        <v>8</v>
      </c>
      <c r="I614" s="70" t="s">
        <v>403</v>
      </c>
      <c r="J614" s="70" t="n">
        <v>300</v>
      </c>
      <c r="K614" s="73" t="n">
        <v>1</v>
      </c>
      <c r="L614" s="49" t="n">
        <v>67</v>
      </c>
      <c r="M614" s="67" t="n">
        <v>0.58</v>
      </c>
      <c r="N614" s="68" t="n">
        <f aca="false">K614*L614*M614</f>
        <v>38.86</v>
      </c>
      <c r="O614" s="34" t="n">
        <f aca="false">IFERROR(INDEX(Исходные!$B$18:$B$30,MATCH(H614,Исходные!$A$18:$A$30,0)),0)</f>
        <v>0.395</v>
      </c>
      <c r="P614" s="74" t="n">
        <f aca="false">N614*O614</f>
        <v>15.3497</v>
      </c>
      <c r="Q614" s="20" t="s">
        <v>1156</v>
      </c>
      <c r="R614" s="76" t="s">
        <v>495</v>
      </c>
      <c r="S614" s="20"/>
      <c r="T614" s="20" t="s">
        <v>73</v>
      </c>
      <c r="U614" s="47" t="n">
        <v>1</v>
      </c>
      <c r="V614" s="70" t="s">
        <v>632</v>
      </c>
      <c r="W614" s="47" t="n">
        <v>2</v>
      </c>
    </row>
    <row r="615" customFormat="false" ht="35.05" hidden="false" customHeight="false" outlineLevel="0" collapsed="false">
      <c r="A615" s="70" t="n">
        <v>599</v>
      </c>
      <c r="B615" s="20" t="s">
        <v>1024</v>
      </c>
      <c r="C615" s="20" t="s">
        <v>512</v>
      </c>
      <c r="D615" s="20" t="s">
        <v>1206</v>
      </c>
      <c r="E615" s="20" t="s">
        <v>658</v>
      </c>
      <c r="F615" s="70" t="s">
        <v>376</v>
      </c>
      <c r="G615" s="20" t="s">
        <v>515</v>
      </c>
      <c r="H615" s="49" t="n">
        <v>28</v>
      </c>
      <c r="I615" s="70" t="s">
        <v>368</v>
      </c>
      <c r="J615" s="70" t="s">
        <v>369</v>
      </c>
      <c r="K615" s="73" t="n">
        <v>2</v>
      </c>
      <c r="L615" s="49" t="n">
        <v>4</v>
      </c>
      <c r="M615" s="67" t="n">
        <v>20.5</v>
      </c>
      <c r="N615" s="68" t="n">
        <f aca="false">K615*L615*M615</f>
        <v>164</v>
      </c>
      <c r="O615" s="34" t="n">
        <f aca="false">IFERROR(INDEX(Исходные!$B$18:$B$30,MATCH(H615,Исходные!$A$18:$A$30,0)),0)</f>
        <v>4.834</v>
      </c>
      <c r="P615" s="74" t="n">
        <f aca="false">N615*O615</f>
        <v>792.776</v>
      </c>
      <c r="Q615" s="20" t="s">
        <v>1207</v>
      </c>
      <c r="R615" s="75" t="s">
        <v>517</v>
      </c>
      <c r="S615" s="20" t="s">
        <v>660</v>
      </c>
      <c r="T615" s="20" t="s">
        <v>73</v>
      </c>
      <c r="U615" s="47" t="n">
        <v>0</v>
      </c>
      <c r="V615" s="70" t="s">
        <v>658</v>
      </c>
      <c r="W615" s="47" t="n">
        <v>2</v>
      </c>
    </row>
    <row r="616" customFormat="false" ht="35.05" hidden="false" customHeight="false" outlineLevel="0" collapsed="false">
      <c r="A616" s="70" t="n">
        <v>600</v>
      </c>
      <c r="B616" s="20" t="s">
        <v>1024</v>
      </c>
      <c r="C616" s="20" t="s">
        <v>512</v>
      </c>
      <c r="D616" s="20" t="s">
        <v>1206</v>
      </c>
      <c r="E616" s="20" t="s">
        <v>658</v>
      </c>
      <c r="F616" s="70" t="s">
        <v>386</v>
      </c>
      <c r="G616" s="20" t="s">
        <v>519</v>
      </c>
      <c r="H616" s="49" t="n">
        <v>18</v>
      </c>
      <c r="I616" s="70" t="s">
        <v>368</v>
      </c>
      <c r="J616" s="70" t="s">
        <v>369</v>
      </c>
      <c r="K616" s="73" t="n">
        <v>2</v>
      </c>
      <c r="L616" s="49" t="n">
        <v>2</v>
      </c>
      <c r="M616" s="67" t="n">
        <v>20.5</v>
      </c>
      <c r="N616" s="68" t="n">
        <f aca="false">K616*L616*M616</f>
        <v>82</v>
      </c>
      <c r="O616" s="34" t="n">
        <f aca="false">IFERROR(INDEX(Исходные!$B$18:$B$30,MATCH(H616,Исходные!$A$18:$A$30,0)),0)</f>
        <v>1.998</v>
      </c>
      <c r="P616" s="74" t="n">
        <f aca="false">N616*O616</f>
        <v>163.836</v>
      </c>
      <c r="Q616" s="20" t="s">
        <v>520</v>
      </c>
      <c r="R616" s="75" t="s">
        <v>517</v>
      </c>
      <c r="S616" s="20"/>
      <c r="T616" s="20" t="s">
        <v>73</v>
      </c>
      <c r="U616" s="47" t="n">
        <v>0</v>
      </c>
      <c r="V616" s="70" t="s">
        <v>658</v>
      </c>
      <c r="W616" s="47" t="n">
        <v>2</v>
      </c>
    </row>
    <row r="617" customFormat="false" ht="35.05" hidden="false" customHeight="false" outlineLevel="0" collapsed="false">
      <c r="A617" s="70" t="n">
        <v>601</v>
      </c>
      <c r="B617" s="20" t="s">
        <v>1024</v>
      </c>
      <c r="C617" s="20" t="s">
        <v>512</v>
      </c>
      <c r="D617" s="20" t="s">
        <v>1206</v>
      </c>
      <c r="E617" s="20" t="s">
        <v>658</v>
      </c>
      <c r="F617" s="70" t="s">
        <v>521</v>
      </c>
      <c r="G617" s="20" t="s">
        <v>661</v>
      </c>
      <c r="H617" s="49" t="n">
        <v>18</v>
      </c>
      <c r="I617" s="70" t="s">
        <v>368</v>
      </c>
      <c r="J617" s="70" t="s">
        <v>369</v>
      </c>
      <c r="K617" s="73" t="n">
        <v>4</v>
      </c>
      <c r="L617" s="49" t="n">
        <v>1</v>
      </c>
      <c r="M617" s="67" t="n">
        <v>0.144</v>
      </c>
      <c r="N617" s="68" t="n">
        <f aca="false">K617*L617*M617</f>
        <v>0.576</v>
      </c>
      <c r="O617" s="34" t="n">
        <f aca="false">IFERROR(INDEX(Исходные!$B$18:$B$30,MATCH(H617,Исходные!$A$18:$A$30,0)),0)</f>
        <v>1.998</v>
      </c>
      <c r="P617" s="74" t="n">
        <f aca="false">N617*O617</f>
        <v>1.150848</v>
      </c>
      <c r="Q617" s="20" t="s">
        <v>523</v>
      </c>
      <c r="R617" s="75" t="s">
        <v>524</v>
      </c>
      <c r="S617" s="20" t="s">
        <v>662</v>
      </c>
      <c r="T617" s="20" t="s">
        <v>73</v>
      </c>
      <c r="U617" s="47" t="n">
        <v>0</v>
      </c>
      <c r="V617" s="70" t="s">
        <v>658</v>
      </c>
      <c r="W617" s="47" t="n">
        <v>2</v>
      </c>
    </row>
    <row r="618" customFormat="false" ht="35.05" hidden="false" customHeight="false" outlineLevel="0" collapsed="false">
      <c r="A618" s="70" t="n">
        <v>602</v>
      </c>
      <c r="B618" s="20" t="s">
        <v>1024</v>
      </c>
      <c r="C618" s="20" t="s">
        <v>512</v>
      </c>
      <c r="D618" s="20" t="s">
        <v>1206</v>
      </c>
      <c r="E618" s="20" t="s">
        <v>658</v>
      </c>
      <c r="F618" s="70" t="s">
        <v>526</v>
      </c>
      <c r="G618" s="20" t="s">
        <v>527</v>
      </c>
      <c r="H618" s="49" t="n">
        <v>16</v>
      </c>
      <c r="I618" s="70" t="s">
        <v>368</v>
      </c>
      <c r="J618" s="70" t="s">
        <v>369</v>
      </c>
      <c r="K618" s="73" t="n">
        <v>2</v>
      </c>
      <c r="L618" s="49" t="n">
        <v>2</v>
      </c>
      <c r="M618" s="67" t="n">
        <v>20.5</v>
      </c>
      <c r="N618" s="68" t="n">
        <f aca="false">K618*L618*M618</f>
        <v>82</v>
      </c>
      <c r="O618" s="34" t="n">
        <f aca="false">IFERROR(INDEX(Исходные!$B$18:$B$30,MATCH(H618,Исходные!$A$18:$A$30,0)),0)</f>
        <v>1.578</v>
      </c>
      <c r="P618" s="74" t="n">
        <f aca="false">N618*O618</f>
        <v>129.396</v>
      </c>
      <c r="Q618" s="20" t="s">
        <v>528</v>
      </c>
      <c r="R618" s="75" t="s">
        <v>517</v>
      </c>
      <c r="S618" s="20"/>
      <c r="T618" s="20" t="s">
        <v>73</v>
      </c>
      <c r="U618" s="47" t="n">
        <v>0</v>
      </c>
      <c r="V618" s="70" t="s">
        <v>658</v>
      </c>
      <c r="W618" s="47" t="n">
        <v>2</v>
      </c>
    </row>
    <row r="619" customFormat="false" ht="35.05" hidden="false" customHeight="false" outlineLevel="0" collapsed="false">
      <c r="A619" s="70" t="n">
        <v>603</v>
      </c>
      <c r="B619" s="20" t="s">
        <v>1024</v>
      </c>
      <c r="C619" s="20" t="s">
        <v>512</v>
      </c>
      <c r="D619" s="20" t="s">
        <v>1206</v>
      </c>
      <c r="E619" s="20" t="s">
        <v>658</v>
      </c>
      <c r="F619" s="70" t="s">
        <v>529</v>
      </c>
      <c r="G619" s="20" t="s">
        <v>663</v>
      </c>
      <c r="H619" s="49" t="n">
        <v>16</v>
      </c>
      <c r="I619" s="70" t="s">
        <v>368</v>
      </c>
      <c r="J619" s="70" t="s">
        <v>369</v>
      </c>
      <c r="K619" s="73" t="n">
        <v>4</v>
      </c>
      <c r="L619" s="49" t="n">
        <v>1</v>
      </c>
      <c r="M619" s="67" t="n">
        <v>0.128</v>
      </c>
      <c r="N619" s="68" t="n">
        <f aca="false">K619*L619*M619</f>
        <v>0.512</v>
      </c>
      <c r="O619" s="34" t="n">
        <f aca="false">IFERROR(INDEX(Исходные!$B$18:$B$30,MATCH(H619,Исходные!$A$18:$A$30,0)),0)</f>
        <v>1.578</v>
      </c>
      <c r="P619" s="74" t="n">
        <f aca="false">N619*O619</f>
        <v>0.807936</v>
      </c>
      <c r="Q619" s="20" t="s">
        <v>531</v>
      </c>
      <c r="R619" s="75" t="s">
        <v>524</v>
      </c>
      <c r="S619" s="20" t="s">
        <v>664</v>
      </c>
      <c r="T619" s="20" t="s">
        <v>73</v>
      </c>
      <c r="U619" s="47" t="n">
        <v>0</v>
      </c>
      <c r="V619" s="70" t="s">
        <v>658</v>
      </c>
      <c r="W619" s="47" t="n">
        <v>2</v>
      </c>
    </row>
    <row r="620" customFormat="false" ht="35.05" hidden="false" customHeight="false" outlineLevel="0" collapsed="false">
      <c r="A620" s="70" t="n">
        <v>604</v>
      </c>
      <c r="B620" s="20" t="s">
        <v>1024</v>
      </c>
      <c r="C620" s="20" t="s">
        <v>512</v>
      </c>
      <c r="D620" s="20" t="s">
        <v>1206</v>
      </c>
      <c r="E620" s="20" t="s">
        <v>658</v>
      </c>
      <c r="F620" s="70" t="s">
        <v>533</v>
      </c>
      <c r="G620" s="20" t="s">
        <v>574</v>
      </c>
      <c r="H620" s="49" t="n">
        <v>25</v>
      </c>
      <c r="I620" s="70" t="s">
        <v>368</v>
      </c>
      <c r="J620" s="70" t="s">
        <v>369</v>
      </c>
      <c r="K620" s="73" t="n">
        <v>2</v>
      </c>
      <c r="L620" s="49" t="n">
        <v>2</v>
      </c>
      <c r="M620" s="67" t="n">
        <v>2.05</v>
      </c>
      <c r="N620" s="68" t="n">
        <f aca="false">K620*L620*M620</f>
        <v>8.2</v>
      </c>
      <c r="O620" s="34" t="n">
        <f aca="false">IFERROR(INDEX(Исходные!$B$18:$B$30,MATCH(H620,Исходные!$A$18:$A$30,0)),0)</f>
        <v>3.853</v>
      </c>
      <c r="P620" s="74" t="n">
        <f aca="false">N620*O620</f>
        <v>31.5946</v>
      </c>
      <c r="Q620" s="20" t="s">
        <v>1208</v>
      </c>
      <c r="R620" s="75" t="s">
        <v>517</v>
      </c>
      <c r="S620" s="20" t="s">
        <v>1209</v>
      </c>
      <c r="T620" s="20" t="s">
        <v>73</v>
      </c>
      <c r="U620" s="47" t="n">
        <v>0</v>
      </c>
      <c r="V620" s="70" t="s">
        <v>658</v>
      </c>
      <c r="W620" s="47" t="n">
        <v>2</v>
      </c>
    </row>
    <row r="621" customFormat="false" ht="35.05" hidden="false" customHeight="false" outlineLevel="0" collapsed="false">
      <c r="A621" s="70" t="n">
        <v>605</v>
      </c>
      <c r="B621" s="20" t="s">
        <v>1024</v>
      </c>
      <c r="C621" s="20" t="s">
        <v>512</v>
      </c>
      <c r="D621" s="20" t="s">
        <v>1206</v>
      </c>
      <c r="E621" s="20" t="s">
        <v>658</v>
      </c>
      <c r="F621" s="70" t="s">
        <v>533</v>
      </c>
      <c r="G621" s="20" t="s">
        <v>667</v>
      </c>
      <c r="H621" s="49" t="n">
        <v>28</v>
      </c>
      <c r="I621" s="70" t="s">
        <v>368</v>
      </c>
      <c r="J621" s="70" t="s">
        <v>369</v>
      </c>
      <c r="K621" s="73" t="n">
        <v>2</v>
      </c>
      <c r="L621" s="49" t="n">
        <v>2</v>
      </c>
      <c r="M621" s="67" t="n">
        <v>3.8</v>
      </c>
      <c r="N621" s="68" t="n">
        <f aca="false">K621*L621*M621</f>
        <v>15.2</v>
      </c>
      <c r="O621" s="34" t="n">
        <f aca="false">IFERROR(INDEX(Исходные!$B$18:$B$30,MATCH(H621,Исходные!$A$18:$A$30,0)),0)</f>
        <v>4.834</v>
      </c>
      <c r="P621" s="74" t="n">
        <f aca="false">N621*O621</f>
        <v>73.4768</v>
      </c>
      <c r="Q621" s="20" t="s">
        <v>1210</v>
      </c>
      <c r="R621" s="75" t="s">
        <v>517</v>
      </c>
      <c r="S621" s="20" t="s">
        <v>669</v>
      </c>
      <c r="T621" s="20" t="s">
        <v>73</v>
      </c>
      <c r="U621" s="47" t="n">
        <v>0</v>
      </c>
      <c r="V621" s="70" t="s">
        <v>658</v>
      </c>
      <c r="W621" s="47" t="n">
        <v>2</v>
      </c>
    </row>
    <row r="622" customFormat="false" ht="35.05" hidden="false" customHeight="false" outlineLevel="0" collapsed="false">
      <c r="A622" s="70" t="n">
        <v>606</v>
      </c>
      <c r="B622" s="20" t="s">
        <v>1024</v>
      </c>
      <c r="C622" s="20" t="s">
        <v>512</v>
      </c>
      <c r="D622" s="20" t="s">
        <v>1206</v>
      </c>
      <c r="E622" s="20" t="s">
        <v>658</v>
      </c>
      <c r="F622" s="70" t="s">
        <v>533</v>
      </c>
      <c r="G622" s="20" t="s">
        <v>670</v>
      </c>
      <c r="H622" s="49" t="n">
        <v>32</v>
      </c>
      <c r="I622" s="70" t="s">
        <v>368</v>
      </c>
      <c r="J622" s="70" t="s">
        <v>369</v>
      </c>
      <c r="K622" s="73" t="n">
        <v>2</v>
      </c>
      <c r="L622" s="49" t="n">
        <v>2</v>
      </c>
      <c r="M622" s="67" t="n">
        <v>3.8</v>
      </c>
      <c r="N622" s="68" t="n">
        <f aca="false">K622*L622*M622</f>
        <v>15.2</v>
      </c>
      <c r="O622" s="34" t="n">
        <f aca="false">IFERROR(INDEX(Исходные!$B$18:$B$30,MATCH(H622,Исходные!$A$18:$A$30,0)),0)</f>
        <v>6.313</v>
      </c>
      <c r="P622" s="74" t="n">
        <f aca="false">N622*O622</f>
        <v>95.9576</v>
      </c>
      <c r="Q622" s="20" t="s">
        <v>1211</v>
      </c>
      <c r="R622" s="75" t="s">
        <v>517</v>
      </c>
      <c r="S622" s="20" t="s">
        <v>672</v>
      </c>
      <c r="T622" s="20" t="s">
        <v>73</v>
      </c>
      <c r="U622" s="47" t="n">
        <v>0</v>
      </c>
      <c r="V622" s="70" t="s">
        <v>658</v>
      </c>
      <c r="W622" s="47" t="n">
        <v>2</v>
      </c>
    </row>
    <row r="623" customFormat="false" ht="35.05" hidden="false" customHeight="false" outlineLevel="0" collapsed="false">
      <c r="A623" s="70" t="n">
        <v>607</v>
      </c>
      <c r="B623" s="20" t="s">
        <v>1024</v>
      </c>
      <c r="C623" s="20" t="s">
        <v>512</v>
      </c>
      <c r="D623" s="20" t="s">
        <v>1206</v>
      </c>
      <c r="E623" s="20" t="s">
        <v>658</v>
      </c>
      <c r="F623" s="70" t="s">
        <v>533</v>
      </c>
      <c r="G623" s="20" t="s">
        <v>729</v>
      </c>
      <c r="H623" s="49" t="n">
        <v>32</v>
      </c>
      <c r="I623" s="70" t="s">
        <v>368</v>
      </c>
      <c r="J623" s="70" t="s">
        <v>369</v>
      </c>
      <c r="K623" s="73" t="n">
        <v>2</v>
      </c>
      <c r="L623" s="49" t="n">
        <v>2</v>
      </c>
      <c r="M623" s="67" t="n">
        <v>2.05</v>
      </c>
      <c r="N623" s="68" t="n">
        <f aca="false">K623*L623*M623</f>
        <v>8.2</v>
      </c>
      <c r="O623" s="34" t="n">
        <f aca="false">IFERROR(INDEX(Исходные!$B$18:$B$30,MATCH(H623,Исходные!$A$18:$A$30,0)),0)</f>
        <v>6.313</v>
      </c>
      <c r="P623" s="74" t="n">
        <f aca="false">N623*O623</f>
        <v>51.7666</v>
      </c>
      <c r="Q623" s="20" t="s">
        <v>1211</v>
      </c>
      <c r="R623" s="75" t="s">
        <v>517</v>
      </c>
      <c r="S623" s="20" t="s">
        <v>1212</v>
      </c>
      <c r="T623" s="20" t="s">
        <v>73</v>
      </c>
      <c r="U623" s="47" t="n">
        <v>0</v>
      </c>
      <c r="V623" s="70" t="s">
        <v>658</v>
      </c>
      <c r="W623" s="47" t="n">
        <v>2</v>
      </c>
    </row>
    <row r="624" customFormat="false" ht="35.05" hidden="false" customHeight="false" outlineLevel="0" collapsed="false">
      <c r="A624" s="70" t="n">
        <v>608</v>
      </c>
      <c r="B624" s="20" t="s">
        <v>1024</v>
      </c>
      <c r="C624" s="20" t="s">
        <v>512</v>
      </c>
      <c r="D624" s="20" t="s">
        <v>1206</v>
      </c>
      <c r="E624" s="20" t="s">
        <v>658</v>
      </c>
      <c r="F624" s="70" t="s">
        <v>533</v>
      </c>
      <c r="G624" s="20" t="s">
        <v>678</v>
      </c>
      <c r="H624" s="49" t="n">
        <v>16</v>
      </c>
      <c r="I624" s="70" t="s">
        <v>368</v>
      </c>
      <c r="J624" s="70" t="s">
        <v>369</v>
      </c>
      <c r="K624" s="73" t="n">
        <v>2</v>
      </c>
      <c r="L624" s="49" t="n">
        <v>2</v>
      </c>
      <c r="M624" s="67" t="n">
        <v>3</v>
      </c>
      <c r="N624" s="68" t="n">
        <f aca="false">K624*L624*M624</f>
        <v>12</v>
      </c>
      <c r="O624" s="34" t="n">
        <f aca="false">IFERROR(INDEX(Исходные!$B$18:$B$30,MATCH(H624,Исходные!$A$18:$A$30,0)),0)</f>
        <v>1.578</v>
      </c>
      <c r="P624" s="74" t="n">
        <f aca="false">N624*O624</f>
        <v>18.936</v>
      </c>
      <c r="Q624" s="20" t="s">
        <v>1213</v>
      </c>
      <c r="R624" s="75" t="s">
        <v>517</v>
      </c>
      <c r="S624" s="20" t="s">
        <v>679</v>
      </c>
      <c r="T624" s="20" t="s">
        <v>73</v>
      </c>
      <c r="U624" s="47" t="n">
        <v>0</v>
      </c>
      <c r="V624" s="70" t="s">
        <v>658</v>
      </c>
      <c r="W624" s="47" t="n">
        <v>2</v>
      </c>
    </row>
    <row r="625" customFormat="false" ht="35.05" hidden="false" customHeight="false" outlineLevel="0" collapsed="false">
      <c r="A625" s="70" t="n">
        <v>609</v>
      </c>
      <c r="B625" s="20" t="s">
        <v>1024</v>
      </c>
      <c r="C625" s="20" t="s">
        <v>512</v>
      </c>
      <c r="D625" s="20" t="s">
        <v>1206</v>
      </c>
      <c r="E625" s="20" t="s">
        <v>658</v>
      </c>
      <c r="F625" s="70" t="s">
        <v>533</v>
      </c>
      <c r="G625" s="20" t="s">
        <v>592</v>
      </c>
      <c r="H625" s="49" t="n">
        <v>16</v>
      </c>
      <c r="I625" s="70" t="s">
        <v>368</v>
      </c>
      <c r="J625" s="70" t="s">
        <v>369</v>
      </c>
      <c r="K625" s="73" t="n">
        <v>2</v>
      </c>
      <c r="L625" s="49" t="n">
        <v>2</v>
      </c>
      <c r="M625" s="67" t="n">
        <v>2.9</v>
      </c>
      <c r="N625" s="68" t="n">
        <f aca="false">K625*L625*M625</f>
        <v>11.6</v>
      </c>
      <c r="O625" s="34" t="n">
        <f aca="false">IFERROR(INDEX(Исходные!$B$18:$B$30,MATCH(H625,Исходные!$A$18:$A$30,0)),0)</f>
        <v>1.578</v>
      </c>
      <c r="P625" s="74" t="n">
        <f aca="false">N625*O625</f>
        <v>18.3048</v>
      </c>
      <c r="Q625" s="20" t="s">
        <v>1213</v>
      </c>
      <c r="R625" s="75" t="s">
        <v>517</v>
      </c>
      <c r="S625" s="20" t="s">
        <v>680</v>
      </c>
      <c r="T625" s="20" t="s">
        <v>73</v>
      </c>
      <c r="U625" s="47" t="n">
        <v>0</v>
      </c>
      <c r="V625" s="70" t="s">
        <v>658</v>
      </c>
      <c r="W625" s="47" t="n">
        <v>2</v>
      </c>
    </row>
    <row r="626" customFormat="false" ht="35.05" hidden="false" customHeight="false" outlineLevel="0" collapsed="false">
      <c r="A626" s="70" t="n">
        <v>610</v>
      </c>
      <c r="B626" s="20" t="s">
        <v>1024</v>
      </c>
      <c r="C626" s="20" t="s">
        <v>512</v>
      </c>
      <c r="D626" s="20" t="s">
        <v>1206</v>
      </c>
      <c r="E626" s="20" t="s">
        <v>658</v>
      </c>
      <c r="F626" s="70" t="s">
        <v>533</v>
      </c>
      <c r="G626" s="20" t="s">
        <v>681</v>
      </c>
      <c r="H626" s="49" t="n">
        <v>12</v>
      </c>
      <c r="I626" s="70" t="s">
        <v>368</v>
      </c>
      <c r="J626" s="70" t="s">
        <v>369</v>
      </c>
      <c r="K626" s="73" t="n">
        <v>2</v>
      </c>
      <c r="L626" s="49" t="n">
        <v>4</v>
      </c>
      <c r="M626" s="67" t="n">
        <v>2.05</v>
      </c>
      <c r="N626" s="68" t="n">
        <f aca="false">K626*L626*M626</f>
        <v>16.4</v>
      </c>
      <c r="O626" s="34" t="n">
        <f aca="false">IFERROR(INDEX(Исходные!$B$18:$B$30,MATCH(H626,Исходные!$A$18:$A$30,0)),0)</f>
        <v>0.888</v>
      </c>
      <c r="P626" s="74" t="n">
        <f aca="false">N626*O626</f>
        <v>14.5632</v>
      </c>
      <c r="Q626" s="20" t="s">
        <v>1214</v>
      </c>
      <c r="R626" s="75" t="s">
        <v>517</v>
      </c>
      <c r="S626" s="20" t="s">
        <v>1209</v>
      </c>
      <c r="T626" s="20" t="s">
        <v>73</v>
      </c>
      <c r="U626" s="47" t="n">
        <v>0</v>
      </c>
      <c r="V626" s="70" t="s">
        <v>658</v>
      </c>
      <c r="W626" s="47" t="n">
        <v>2</v>
      </c>
    </row>
    <row r="627" customFormat="false" ht="35.05" hidden="false" customHeight="false" outlineLevel="0" collapsed="false">
      <c r="A627" s="70" t="n">
        <v>611</v>
      </c>
      <c r="B627" s="20" t="s">
        <v>1024</v>
      </c>
      <c r="C627" s="20" t="s">
        <v>512</v>
      </c>
      <c r="D627" s="20" t="s">
        <v>1206</v>
      </c>
      <c r="E627" s="20" t="s">
        <v>658</v>
      </c>
      <c r="F627" s="70" t="s">
        <v>553</v>
      </c>
      <c r="G627" s="20" t="s">
        <v>1148</v>
      </c>
      <c r="H627" s="49" t="n">
        <v>8</v>
      </c>
      <c r="I627" s="70" t="s">
        <v>403</v>
      </c>
      <c r="J627" s="70" t="s">
        <v>555</v>
      </c>
      <c r="K627" s="73" t="n">
        <v>2</v>
      </c>
      <c r="L627" s="49" t="n">
        <v>101</v>
      </c>
      <c r="M627" s="67" t="n">
        <v>2.06</v>
      </c>
      <c r="N627" s="68" t="n">
        <f aca="false">K627*L627*M627</f>
        <v>416.12</v>
      </c>
      <c r="O627" s="34" t="n">
        <f aca="false">IFERROR(INDEX(Исходные!$B$18:$B$30,MATCH(H627,Исходные!$A$18:$A$30,0)),0)</f>
        <v>0.395</v>
      </c>
      <c r="P627" s="74" t="n">
        <f aca="false">N627*O627</f>
        <v>164.3674</v>
      </c>
      <c r="Q627" s="20" t="s">
        <v>1149</v>
      </c>
      <c r="R627" s="75" t="s">
        <v>371</v>
      </c>
      <c r="S627" s="20" t="s">
        <v>1215</v>
      </c>
      <c r="T627" s="20" t="s">
        <v>73</v>
      </c>
      <c r="U627" s="47" t="n">
        <v>0</v>
      </c>
      <c r="V627" s="70" t="s">
        <v>658</v>
      </c>
      <c r="W627" s="47" t="n">
        <v>2</v>
      </c>
    </row>
    <row r="628" customFormat="false" ht="35.05" hidden="false" customHeight="false" outlineLevel="0" collapsed="false">
      <c r="A628" s="70" t="n">
        <v>612</v>
      </c>
      <c r="B628" s="20" t="s">
        <v>1024</v>
      </c>
      <c r="C628" s="20" t="s">
        <v>512</v>
      </c>
      <c r="D628" s="20" t="s">
        <v>1206</v>
      </c>
      <c r="E628" s="20" t="s">
        <v>658</v>
      </c>
      <c r="F628" s="70" t="s">
        <v>418</v>
      </c>
      <c r="G628" s="20" t="s">
        <v>1151</v>
      </c>
      <c r="H628" s="49" t="n">
        <v>10</v>
      </c>
      <c r="I628" s="70" t="s">
        <v>403</v>
      </c>
      <c r="J628" s="70" t="n">
        <v>100</v>
      </c>
      <c r="K628" s="73" t="n">
        <v>2</v>
      </c>
      <c r="L628" s="49" t="n">
        <v>47</v>
      </c>
      <c r="M628" s="67" t="n">
        <v>2.06</v>
      </c>
      <c r="N628" s="68" t="n">
        <f aca="false">K628*L628*M628</f>
        <v>193.64</v>
      </c>
      <c r="O628" s="34" t="n">
        <f aca="false">IFERROR(INDEX(Исходные!$B$18:$B$30,MATCH(H628,Исходные!$A$18:$A$30,0)),0)</f>
        <v>0.617</v>
      </c>
      <c r="P628" s="74" t="n">
        <f aca="false">N628*O628</f>
        <v>119.47588</v>
      </c>
      <c r="Q628" s="20" t="s">
        <v>1216</v>
      </c>
      <c r="R628" s="75" t="s">
        <v>371</v>
      </c>
      <c r="S628" s="20" t="s">
        <v>1217</v>
      </c>
      <c r="T628" s="20" t="s">
        <v>73</v>
      </c>
      <c r="U628" s="47" t="n">
        <v>0</v>
      </c>
      <c r="V628" s="70" t="s">
        <v>658</v>
      </c>
      <c r="W628" s="47" t="n">
        <v>2</v>
      </c>
    </row>
    <row r="629" customFormat="false" ht="35.05" hidden="false" customHeight="false" outlineLevel="0" collapsed="false">
      <c r="A629" s="70" t="n">
        <v>613</v>
      </c>
      <c r="B629" s="20" t="s">
        <v>1024</v>
      </c>
      <c r="C629" s="20" t="s">
        <v>512</v>
      </c>
      <c r="D629" s="20" t="s">
        <v>1206</v>
      </c>
      <c r="E629" s="20" t="s">
        <v>658</v>
      </c>
      <c r="F629" s="70" t="s">
        <v>563</v>
      </c>
      <c r="G629" s="20" t="s">
        <v>1154</v>
      </c>
      <c r="H629" s="49" t="n">
        <v>8</v>
      </c>
      <c r="I629" s="70" t="s">
        <v>403</v>
      </c>
      <c r="J629" s="70" t="s">
        <v>565</v>
      </c>
      <c r="K629" s="73" t="n">
        <v>2</v>
      </c>
      <c r="L629" s="49" t="n">
        <v>99</v>
      </c>
      <c r="M629" s="67" t="n">
        <v>0.75</v>
      </c>
      <c r="N629" s="68" t="n">
        <f aca="false">K629*L629*M629</f>
        <v>148.5</v>
      </c>
      <c r="O629" s="34" t="n">
        <f aca="false">IFERROR(INDEX(Исходные!$B$18:$B$30,MATCH(H629,Исходные!$A$18:$A$30,0)),0)</f>
        <v>0.395</v>
      </c>
      <c r="P629" s="74" t="n">
        <f aca="false">N629*O629</f>
        <v>58.6575</v>
      </c>
      <c r="Q629" s="20" t="s">
        <v>566</v>
      </c>
      <c r="R629" s="75" t="s">
        <v>371</v>
      </c>
      <c r="S629" s="20"/>
      <c r="T629" s="20" t="s">
        <v>73</v>
      </c>
      <c r="U629" s="47" t="n">
        <v>0</v>
      </c>
      <c r="V629" s="70" t="s">
        <v>658</v>
      </c>
      <c r="W629" s="47" t="n">
        <v>2</v>
      </c>
    </row>
    <row r="630" customFormat="false" ht="35.05" hidden="false" customHeight="false" outlineLevel="0" collapsed="false">
      <c r="A630" s="70" t="n">
        <v>614</v>
      </c>
      <c r="B630" s="20" t="s">
        <v>1024</v>
      </c>
      <c r="C630" s="20" t="s">
        <v>512</v>
      </c>
      <c r="D630" s="20" t="s">
        <v>1206</v>
      </c>
      <c r="E630" s="20" t="s">
        <v>658</v>
      </c>
      <c r="F630" s="70" t="s">
        <v>567</v>
      </c>
      <c r="G630" s="20" t="s">
        <v>1155</v>
      </c>
      <c r="H630" s="49" t="n">
        <v>8</v>
      </c>
      <c r="I630" s="70" t="s">
        <v>403</v>
      </c>
      <c r="J630" s="70" t="n">
        <v>300</v>
      </c>
      <c r="K630" s="73" t="n">
        <v>2</v>
      </c>
      <c r="L630" s="49" t="n">
        <v>62</v>
      </c>
      <c r="M630" s="67" t="n">
        <v>0.58</v>
      </c>
      <c r="N630" s="68" t="n">
        <f aca="false">K630*L630*M630</f>
        <v>71.92</v>
      </c>
      <c r="O630" s="34" t="n">
        <f aca="false">IFERROR(INDEX(Исходные!$B$18:$B$30,MATCH(H630,Исходные!$A$18:$A$30,0)),0)</f>
        <v>0.395</v>
      </c>
      <c r="P630" s="74" t="n">
        <f aca="false">N630*O630</f>
        <v>28.4084</v>
      </c>
      <c r="Q630" s="20" t="s">
        <v>1156</v>
      </c>
      <c r="R630" s="76" t="s">
        <v>495</v>
      </c>
      <c r="S630" s="20"/>
      <c r="T630" s="20" t="s">
        <v>73</v>
      </c>
      <c r="U630" s="47" t="n">
        <v>1</v>
      </c>
      <c r="V630" s="70" t="s">
        <v>658</v>
      </c>
      <c r="W630" s="47" t="n">
        <v>2</v>
      </c>
    </row>
    <row r="631" customFormat="false" ht="35.05" hidden="false" customHeight="false" outlineLevel="0" collapsed="false">
      <c r="A631" s="70" t="n">
        <v>615</v>
      </c>
      <c r="B631" s="20" t="s">
        <v>1024</v>
      </c>
      <c r="C631" s="20" t="s">
        <v>512</v>
      </c>
      <c r="D631" s="20" t="s">
        <v>1218</v>
      </c>
      <c r="E631" s="20" t="s">
        <v>687</v>
      </c>
      <c r="F631" s="70" t="s">
        <v>376</v>
      </c>
      <c r="G631" s="20" t="s">
        <v>515</v>
      </c>
      <c r="H631" s="49" t="n">
        <v>28</v>
      </c>
      <c r="I631" s="70" t="s">
        <v>368</v>
      </c>
      <c r="J631" s="70" t="s">
        <v>369</v>
      </c>
      <c r="K631" s="73" t="n">
        <v>1</v>
      </c>
      <c r="L631" s="49" t="n">
        <v>4</v>
      </c>
      <c r="M631" s="67" t="n">
        <v>20.5</v>
      </c>
      <c r="N631" s="68" t="n">
        <f aca="false">K631*L631*M631</f>
        <v>82</v>
      </c>
      <c r="O631" s="34" t="n">
        <f aca="false">IFERROR(INDEX(Исходные!$B$18:$B$30,MATCH(H631,Исходные!$A$18:$A$30,0)),0)</f>
        <v>4.834</v>
      </c>
      <c r="P631" s="74" t="n">
        <f aca="false">N631*O631</f>
        <v>396.388</v>
      </c>
      <c r="Q631" s="20" t="s">
        <v>1219</v>
      </c>
      <c r="R631" s="75" t="s">
        <v>517</v>
      </c>
      <c r="S631" s="20" t="s">
        <v>689</v>
      </c>
      <c r="T631" s="20" t="s">
        <v>73</v>
      </c>
      <c r="U631" s="47" t="n">
        <v>0</v>
      </c>
      <c r="V631" s="70" t="s">
        <v>687</v>
      </c>
      <c r="W631" s="47" t="n">
        <v>2</v>
      </c>
    </row>
    <row r="632" customFormat="false" ht="35.05" hidden="false" customHeight="false" outlineLevel="0" collapsed="false">
      <c r="A632" s="70" t="n">
        <v>616</v>
      </c>
      <c r="B632" s="20" t="s">
        <v>1024</v>
      </c>
      <c r="C632" s="20" t="s">
        <v>512</v>
      </c>
      <c r="D632" s="20" t="s">
        <v>1218</v>
      </c>
      <c r="E632" s="20" t="s">
        <v>687</v>
      </c>
      <c r="F632" s="70" t="s">
        <v>386</v>
      </c>
      <c r="G632" s="20" t="s">
        <v>519</v>
      </c>
      <c r="H632" s="49" t="n">
        <v>18</v>
      </c>
      <c r="I632" s="70" t="s">
        <v>368</v>
      </c>
      <c r="J632" s="70" t="s">
        <v>369</v>
      </c>
      <c r="K632" s="73" t="n">
        <v>1</v>
      </c>
      <c r="L632" s="49" t="n">
        <v>2</v>
      </c>
      <c r="M632" s="67" t="n">
        <v>20.5</v>
      </c>
      <c r="N632" s="68" t="n">
        <f aca="false">K632*L632*M632</f>
        <v>41</v>
      </c>
      <c r="O632" s="34" t="n">
        <f aca="false">IFERROR(INDEX(Исходные!$B$18:$B$30,MATCH(H632,Исходные!$A$18:$A$30,0)),0)</f>
        <v>1.998</v>
      </c>
      <c r="P632" s="74" t="n">
        <f aca="false">N632*O632</f>
        <v>81.918</v>
      </c>
      <c r="Q632" s="20" t="s">
        <v>520</v>
      </c>
      <c r="R632" s="75" t="s">
        <v>517</v>
      </c>
      <c r="S632" s="20"/>
      <c r="T632" s="20" t="s">
        <v>73</v>
      </c>
      <c r="U632" s="47" t="n">
        <v>0</v>
      </c>
      <c r="V632" s="70" t="s">
        <v>687</v>
      </c>
      <c r="W632" s="47" t="n">
        <v>2</v>
      </c>
    </row>
    <row r="633" customFormat="false" ht="35.05" hidden="false" customHeight="false" outlineLevel="0" collapsed="false">
      <c r="A633" s="70" t="n">
        <v>617</v>
      </c>
      <c r="B633" s="20" t="s">
        <v>1024</v>
      </c>
      <c r="C633" s="20" t="s">
        <v>512</v>
      </c>
      <c r="D633" s="20" t="s">
        <v>1218</v>
      </c>
      <c r="E633" s="20" t="s">
        <v>687</v>
      </c>
      <c r="F633" s="70" t="s">
        <v>521</v>
      </c>
      <c r="G633" s="20" t="s">
        <v>690</v>
      </c>
      <c r="H633" s="49" t="n">
        <v>18</v>
      </c>
      <c r="I633" s="70" t="s">
        <v>368</v>
      </c>
      <c r="J633" s="70" t="s">
        <v>369</v>
      </c>
      <c r="K633" s="73" t="n">
        <v>2</v>
      </c>
      <c r="L633" s="49" t="n">
        <v>1</v>
      </c>
      <c r="M633" s="67" t="n">
        <v>0.144</v>
      </c>
      <c r="N633" s="68" t="n">
        <f aca="false">K633*L633*M633</f>
        <v>0.288</v>
      </c>
      <c r="O633" s="34" t="n">
        <f aca="false">IFERROR(INDEX(Исходные!$B$18:$B$30,MATCH(H633,Исходные!$A$18:$A$30,0)),0)</f>
        <v>1.998</v>
      </c>
      <c r="P633" s="74" t="n">
        <f aca="false">N633*O633</f>
        <v>0.575424</v>
      </c>
      <c r="Q633" s="20" t="s">
        <v>523</v>
      </c>
      <c r="R633" s="75" t="s">
        <v>524</v>
      </c>
      <c r="S633" s="20" t="s">
        <v>662</v>
      </c>
      <c r="T633" s="20" t="s">
        <v>73</v>
      </c>
      <c r="U633" s="47" t="n">
        <v>0</v>
      </c>
      <c r="V633" s="70" t="s">
        <v>687</v>
      </c>
      <c r="W633" s="47" t="n">
        <v>2</v>
      </c>
    </row>
    <row r="634" customFormat="false" ht="35.05" hidden="false" customHeight="false" outlineLevel="0" collapsed="false">
      <c r="A634" s="70" t="n">
        <v>618</v>
      </c>
      <c r="B634" s="20" t="s">
        <v>1024</v>
      </c>
      <c r="C634" s="20" t="s">
        <v>512</v>
      </c>
      <c r="D634" s="20" t="s">
        <v>1218</v>
      </c>
      <c r="E634" s="20" t="s">
        <v>687</v>
      </c>
      <c r="F634" s="70" t="s">
        <v>526</v>
      </c>
      <c r="G634" s="20" t="s">
        <v>527</v>
      </c>
      <c r="H634" s="49" t="n">
        <v>16</v>
      </c>
      <c r="I634" s="70" t="s">
        <v>368</v>
      </c>
      <c r="J634" s="70" t="s">
        <v>369</v>
      </c>
      <c r="K634" s="73" t="n">
        <v>1</v>
      </c>
      <c r="L634" s="49" t="n">
        <v>2</v>
      </c>
      <c r="M634" s="67" t="n">
        <v>20.5</v>
      </c>
      <c r="N634" s="68" t="n">
        <f aca="false">K634*L634*M634</f>
        <v>41</v>
      </c>
      <c r="O634" s="34" t="n">
        <f aca="false">IFERROR(INDEX(Исходные!$B$18:$B$30,MATCH(H634,Исходные!$A$18:$A$30,0)),0)</f>
        <v>1.578</v>
      </c>
      <c r="P634" s="74" t="n">
        <f aca="false">N634*O634</f>
        <v>64.698</v>
      </c>
      <c r="Q634" s="20" t="s">
        <v>528</v>
      </c>
      <c r="R634" s="75" t="s">
        <v>517</v>
      </c>
      <c r="S634" s="20"/>
      <c r="T634" s="20" t="s">
        <v>73</v>
      </c>
      <c r="U634" s="47" t="n">
        <v>0</v>
      </c>
      <c r="V634" s="70" t="s">
        <v>687</v>
      </c>
      <c r="W634" s="47" t="n">
        <v>2</v>
      </c>
    </row>
    <row r="635" customFormat="false" ht="35.05" hidden="false" customHeight="false" outlineLevel="0" collapsed="false">
      <c r="A635" s="70" t="n">
        <v>619</v>
      </c>
      <c r="B635" s="20" t="s">
        <v>1024</v>
      </c>
      <c r="C635" s="20" t="s">
        <v>512</v>
      </c>
      <c r="D635" s="20" t="s">
        <v>1218</v>
      </c>
      <c r="E635" s="20" t="s">
        <v>687</v>
      </c>
      <c r="F635" s="70" t="s">
        <v>529</v>
      </c>
      <c r="G635" s="20" t="s">
        <v>691</v>
      </c>
      <c r="H635" s="49" t="n">
        <v>16</v>
      </c>
      <c r="I635" s="70" t="s">
        <v>368</v>
      </c>
      <c r="J635" s="70" t="s">
        <v>369</v>
      </c>
      <c r="K635" s="73" t="n">
        <v>2</v>
      </c>
      <c r="L635" s="49" t="n">
        <v>1</v>
      </c>
      <c r="M635" s="67" t="n">
        <v>0.128</v>
      </c>
      <c r="N635" s="68" t="n">
        <f aca="false">K635*L635*M635</f>
        <v>0.256</v>
      </c>
      <c r="O635" s="34" t="n">
        <f aca="false">IFERROR(INDEX(Исходные!$B$18:$B$30,MATCH(H635,Исходные!$A$18:$A$30,0)),0)</f>
        <v>1.578</v>
      </c>
      <c r="P635" s="74" t="n">
        <f aca="false">N635*O635</f>
        <v>0.403968</v>
      </c>
      <c r="Q635" s="20" t="s">
        <v>531</v>
      </c>
      <c r="R635" s="75" t="s">
        <v>524</v>
      </c>
      <c r="S635" s="20" t="s">
        <v>664</v>
      </c>
      <c r="T635" s="20" t="s">
        <v>73</v>
      </c>
      <c r="U635" s="47" t="n">
        <v>0</v>
      </c>
      <c r="V635" s="70" t="s">
        <v>687</v>
      </c>
      <c r="W635" s="47" t="n">
        <v>2</v>
      </c>
    </row>
    <row r="636" customFormat="false" ht="35.05" hidden="false" customHeight="false" outlineLevel="0" collapsed="false">
      <c r="A636" s="70" t="n">
        <v>620</v>
      </c>
      <c r="B636" s="20" t="s">
        <v>1024</v>
      </c>
      <c r="C636" s="20" t="s">
        <v>512</v>
      </c>
      <c r="D636" s="20" t="s">
        <v>1218</v>
      </c>
      <c r="E636" s="20" t="s">
        <v>687</v>
      </c>
      <c r="F636" s="70" t="s">
        <v>533</v>
      </c>
      <c r="G636" s="20" t="s">
        <v>698</v>
      </c>
      <c r="H636" s="49" t="n">
        <v>32</v>
      </c>
      <c r="I636" s="70" t="s">
        <v>368</v>
      </c>
      <c r="J636" s="70" t="s">
        <v>369</v>
      </c>
      <c r="K636" s="73" t="n">
        <v>1</v>
      </c>
      <c r="L636" s="49" t="n">
        <v>2</v>
      </c>
      <c r="M636" s="67" t="n">
        <v>7.5</v>
      </c>
      <c r="N636" s="68" t="n">
        <f aca="false">K636*L636*M636</f>
        <v>15</v>
      </c>
      <c r="O636" s="34" t="n">
        <f aca="false">IFERROR(INDEX(Исходные!$B$18:$B$30,MATCH(H636,Исходные!$A$18:$A$30,0)),0)</f>
        <v>6.313</v>
      </c>
      <c r="P636" s="74" t="n">
        <f aca="false">N636*O636</f>
        <v>94.695</v>
      </c>
      <c r="Q636" s="20" t="s">
        <v>1220</v>
      </c>
      <c r="R636" s="75" t="s">
        <v>517</v>
      </c>
      <c r="S636" s="20" t="s">
        <v>700</v>
      </c>
      <c r="T636" s="20" t="s">
        <v>73</v>
      </c>
      <c r="U636" s="47" t="n">
        <v>0</v>
      </c>
      <c r="V636" s="70" t="s">
        <v>687</v>
      </c>
      <c r="W636" s="47" t="n">
        <v>2</v>
      </c>
    </row>
    <row r="637" customFormat="false" ht="35.05" hidden="false" customHeight="false" outlineLevel="0" collapsed="false">
      <c r="A637" s="70" t="n">
        <v>621</v>
      </c>
      <c r="B637" s="20" t="s">
        <v>1024</v>
      </c>
      <c r="C637" s="20" t="s">
        <v>512</v>
      </c>
      <c r="D637" s="20" t="s">
        <v>1218</v>
      </c>
      <c r="E637" s="20" t="s">
        <v>687</v>
      </c>
      <c r="F637" s="70" t="s">
        <v>533</v>
      </c>
      <c r="G637" s="20" t="s">
        <v>701</v>
      </c>
      <c r="H637" s="49" t="n">
        <v>32</v>
      </c>
      <c r="I637" s="70" t="s">
        <v>368</v>
      </c>
      <c r="J637" s="70" t="s">
        <v>369</v>
      </c>
      <c r="K637" s="73" t="n">
        <v>1</v>
      </c>
      <c r="L637" s="49" t="n">
        <v>2</v>
      </c>
      <c r="M637" s="67" t="n">
        <v>3.6</v>
      </c>
      <c r="N637" s="68" t="n">
        <f aca="false">K637*L637*M637</f>
        <v>7.2</v>
      </c>
      <c r="O637" s="34" t="n">
        <f aca="false">IFERROR(INDEX(Исходные!$B$18:$B$30,MATCH(H637,Исходные!$A$18:$A$30,0)),0)</f>
        <v>6.313</v>
      </c>
      <c r="P637" s="74" t="n">
        <f aca="false">N637*O637</f>
        <v>45.4536</v>
      </c>
      <c r="Q637" s="20" t="s">
        <v>1220</v>
      </c>
      <c r="R637" s="75" t="s">
        <v>517</v>
      </c>
      <c r="S637" s="20" t="s">
        <v>702</v>
      </c>
      <c r="T637" s="20" t="s">
        <v>73</v>
      </c>
      <c r="U637" s="47" t="n">
        <v>0</v>
      </c>
      <c r="V637" s="70" t="s">
        <v>687</v>
      </c>
      <c r="W637" s="47" t="n">
        <v>2</v>
      </c>
    </row>
    <row r="638" customFormat="false" ht="35.05" hidden="false" customHeight="false" outlineLevel="0" collapsed="false">
      <c r="A638" s="70" t="n">
        <v>622</v>
      </c>
      <c r="B638" s="20" t="s">
        <v>1024</v>
      </c>
      <c r="C638" s="20" t="s">
        <v>512</v>
      </c>
      <c r="D638" s="20" t="s">
        <v>1218</v>
      </c>
      <c r="E638" s="20" t="s">
        <v>687</v>
      </c>
      <c r="F638" s="70" t="s">
        <v>533</v>
      </c>
      <c r="G638" s="20" t="s">
        <v>703</v>
      </c>
      <c r="H638" s="49" t="n">
        <v>32</v>
      </c>
      <c r="I638" s="70" t="s">
        <v>368</v>
      </c>
      <c r="J638" s="70" t="s">
        <v>369</v>
      </c>
      <c r="K638" s="73" t="n">
        <v>1</v>
      </c>
      <c r="L638" s="49" t="n">
        <v>2</v>
      </c>
      <c r="M638" s="67" t="n">
        <v>2.85</v>
      </c>
      <c r="N638" s="68" t="n">
        <f aca="false">K638*L638*M638</f>
        <v>5.7</v>
      </c>
      <c r="O638" s="34" t="n">
        <f aca="false">IFERROR(INDEX(Исходные!$B$18:$B$30,MATCH(H638,Исходные!$A$18:$A$30,0)),0)</f>
        <v>6.313</v>
      </c>
      <c r="P638" s="74" t="n">
        <f aca="false">N638*O638</f>
        <v>35.9841</v>
      </c>
      <c r="Q638" s="20" t="s">
        <v>1220</v>
      </c>
      <c r="R638" s="75" t="s">
        <v>517</v>
      </c>
      <c r="S638" s="20" t="s">
        <v>1221</v>
      </c>
      <c r="T638" s="20" t="s">
        <v>73</v>
      </c>
      <c r="U638" s="47" t="n">
        <v>0</v>
      </c>
      <c r="V638" s="70" t="s">
        <v>687</v>
      </c>
      <c r="W638" s="47" t="n">
        <v>2</v>
      </c>
    </row>
    <row r="639" customFormat="false" ht="35.05" hidden="false" customHeight="false" outlineLevel="0" collapsed="false">
      <c r="A639" s="70" t="n">
        <v>623</v>
      </c>
      <c r="B639" s="20" t="s">
        <v>1024</v>
      </c>
      <c r="C639" s="20" t="s">
        <v>512</v>
      </c>
      <c r="D639" s="20" t="s">
        <v>1218</v>
      </c>
      <c r="E639" s="20" t="s">
        <v>687</v>
      </c>
      <c r="F639" s="70" t="s">
        <v>533</v>
      </c>
      <c r="G639" s="20" t="s">
        <v>1222</v>
      </c>
      <c r="H639" s="49" t="n">
        <v>22</v>
      </c>
      <c r="I639" s="70" t="s">
        <v>368</v>
      </c>
      <c r="J639" s="70" t="s">
        <v>369</v>
      </c>
      <c r="K639" s="73" t="n">
        <v>1</v>
      </c>
      <c r="L639" s="49" t="n">
        <v>1</v>
      </c>
      <c r="M639" s="67" t="n">
        <v>2.4</v>
      </c>
      <c r="N639" s="68" t="n">
        <f aca="false">K639*L639*M639</f>
        <v>2.4</v>
      </c>
      <c r="O639" s="34" t="n">
        <f aca="false">IFERROR(INDEX(Исходные!$B$18:$B$30,MATCH(H639,Исходные!$A$18:$A$30,0)),0)</f>
        <v>2.984</v>
      </c>
      <c r="P639" s="74" t="n">
        <f aca="false">N639*O639</f>
        <v>7.1616</v>
      </c>
      <c r="Q639" s="20" t="s">
        <v>1223</v>
      </c>
      <c r="R639" s="75" t="s">
        <v>517</v>
      </c>
      <c r="S639" s="20" t="s">
        <v>694</v>
      </c>
      <c r="T639" s="20" t="s">
        <v>73</v>
      </c>
      <c r="U639" s="47" t="n">
        <v>0</v>
      </c>
      <c r="V639" s="70" t="s">
        <v>687</v>
      </c>
      <c r="W639" s="47" t="n">
        <v>2</v>
      </c>
    </row>
    <row r="640" customFormat="false" ht="35.05" hidden="false" customHeight="false" outlineLevel="0" collapsed="false">
      <c r="A640" s="70" t="n">
        <v>624</v>
      </c>
      <c r="B640" s="20" t="s">
        <v>1024</v>
      </c>
      <c r="C640" s="20" t="s">
        <v>512</v>
      </c>
      <c r="D640" s="20" t="s">
        <v>1218</v>
      </c>
      <c r="E640" s="20" t="s">
        <v>687</v>
      </c>
      <c r="F640" s="70" t="s">
        <v>533</v>
      </c>
      <c r="G640" s="20" t="s">
        <v>695</v>
      </c>
      <c r="H640" s="49" t="n">
        <v>14</v>
      </c>
      <c r="I640" s="70" t="s">
        <v>368</v>
      </c>
      <c r="J640" s="70" t="s">
        <v>369</v>
      </c>
      <c r="K640" s="73" t="n">
        <v>1</v>
      </c>
      <c r="L640" s="49" t="n">
        <v>2</v>
      </c>
      <c r="M640" s="67" t="n">
        <v>4</v>
      </c>
      <c r="N640" s="68" t="n">
        <f aca="false">K640*L640*M640</f>
        <v>8</v>
      </c>
      <c r="O640" s="34" t="n">
        <f aca="false">IFERROR(INDEX(Исходные!$B$18:$B$30,MATCH(H640,Исходные!$A$18:$A$30,0)),0)</f>
        <v>1.208</v>
      </c>
      <c r="P640" s="74" t="n">
        <f aca="false">N640*O640</f>
        <v>9.664</v>
      </c>
      <c r="Q640" s="20" t="s">
        <v>1224</v>
      </c>
      <c r="R640" s="75" t="s">
        <v>517</v>
      </c>
      <c r="S640" s="20" t="s">
        <v>697</v>
      </c>
      <c r="T640" s="20" t="s">
        <v>73</v>
      </c>
      <c r="U640" s="47" t="n">
        <v>0</v>
      </c>
      <c r="V640" s="70" t="s">
        <v>687</v>
      </c>
      <c r="W640" s="47" t="n">
        <v>2</v>
      </c>
    </row>
    <row r="641" customFormat="false" ht="35.05" hidden="false" customHeight="false" outlineLevel="0" collapsed="false">
      <c r="A641" s="70" t="n">
        <v>625</v>
      </c>
      <c r="B641" s="20" t="s">
        <v>1024</v>
      </c>
      <c r="C641" s="20" t="s">
        <v>512</v>
      </c>
      <c r="D641" s="20" t="s">
        <v>1218</v>
      </c>
      <c r="E641" s="20" t="s">
        <v>687</v>
      </c>
      <c r="F641" s="70" t="s">
        <v>533</v>
      </c>
      <c r="G641" s="20" t="s">
        <v>1225</v>
      </c>
      <c r="H641" s="49" t="n">
        <v>28</v>
      </c>
      <c r="I641" s="70" t="s">
        <v>368</v>
      </c>
      <c r="J641" s="70" t="s">
        <v>369</v>
      </c>
      <c r="K641" s="73" t="n">
        <v>1</v>
      </c>
      <c r="L641" s="49" t="n">
        <v>2</v>
      </c>
      <c r="M641" s="67" t="n">
        <v>10.5</v>
      </c>
      <c r="N641" s="68" t="n">
        <f aca="false">K641*L641*M641</f>
        <v>21</v>
      </c>
      <c r="O641" s="34" t="n">
        <f aca="false">IFERROR(INDEX(Исходные!$B$18:$B$30,MATCH(H641,Исходные!$A$18:$A$30,0)),0)</f>
        <v>4.834</v>
      </c>
      <c r="P641" s="74" t="n">
        <f aca="false">N641*O641</f>
        <v>101.514</v>
      </c>
      <c r="Q641" s="20" t="s">
        <v>1226</v>
      </c>
      <c r="R641" s="75" t="s">
        <v>517</v>
      </c>
      <c r="S641" s="20" t="s">
        <v>707</v>
      </c>
      <c r="T641" s="20" t="s">
        <v>73</v>
      </c>
      <c r="U641" s="47" t="n">
        <v>0</v>
      </c>
      <c r="V641" s="70" t="s">
        <v>687</v>
      </c>
      <c r="W641" s="47" t="n">
        <v>2</v>
      </c>
    </row>
    <row r="642" customFormat="false" ht="35.05" hidden="false" customHeight="false" outlineLevel="0" collapsed="false">
      <c r="A642" s="70" t="n">
        <v>626</v>
      </c>
      <c r="B642" s="20" t="s">
        <v>1024</v>
      </c>
      <c r="C642" s="20" t="s">
        <v>512</v>
      </c>
      <c r="D642" s="20" t="s">
        <v>1218</v>
      </c>
      <c r="E642" s="20" t="s">
        <v>687</v>
      </c>
      <c r="F642" s="70" t="s">
        <v>533</v>
      </c>
      <c r="G642" s="20" t="s">
        <v>1227</v>
      </c>
      <c r="H642" s="49" t="n">
        <v>20</v>
      </c>
      <c r="I642" s="70" t="s">
        <v>368</v>
      </c>
      <c r="J642" s="70" t="s">
        <v>369</v>
      </c>
      <c r="K642" s="73" t="n">
        <v>1</v>
      </c>
      <c r="L642" s="49" t="n">
        <v>2</v>
      </c>
      <c r="M642" s="67" t="n">
        <v>2.3</v>
      </c>
      <c r="N642" s="68" t="n">
        <f aca="false">K642*L642*M642</f>
        <v>4.6</v>
      </c>
      <c r="O642" s="34" t="n">
        <f aca="false">IFERROR(INDEX(Исходные!$B$18:$B$30,MATCH(H642,Исходные!$A$18:$A$30,0)),0)</f>
        <v>2.466</v>
      </c>
      <c r="P642" s="74" t="n">
        <f aca="false">N642*O642</f>
        <v>11.3436</v>
      </c>
      <c r="Q642" s="20" t="s">
        <v>1228</v>
      </c>
      <c r="R642" s="75" t="s">
        <v>517</v>
      </c>
      <c r="S642" s="20" t="s">
        <v>1229</v>
      </c>
      <c r="T642" s="20" t="s">
        <v>73</v>
      </c>
      <c r="U642" s="47" t="n">
        <v>0</v>
      </c>
      <c r="V642" s="70" t="s">
        <v>687</v>
      </c>
      <c r="W642" s="47" t="n">
        <v>2</v>
      </c>
    </row>
    <row r="643" customFormat="false" ht="35.05" hidden="false" customHeight="false" outlineLevel="0" collapsed="false">
      <c r="A643" s="70" t="n">
        <v>627</v>
      </c>
      <c r="B643" s="20" t="s">
        <v>1024</v>
      </c>
      <c r="C643" s="20" t="s">
        <v>512</v>
      </c>
      <c r="D643" s="20" t="s">
        <v>1218</v>
      </c>
      <c r="E643" s="20" t="s">
        <v>687</v>
      </c>
      <c r="F643" s="70" t="s">
        <v>533</v>
      </c>
      <c r="G643" s="20" t="s">
        <v>708</v>
      </c>
      <c r="H643" s="49" t="n">
        <v>20</v>
      </c>
      <c r="I643" s="70" t="s">
        <v>368</v>
      </c>
      <c r="J643" s="70" t="s">
        <v>369</v>
      </c>
      <c r="K643" s="73" t="n">
        <v>1</v>
      </c>
      <c r="L643" s="49" t="n">
        <v>2</v>
      </c>
      <c r="M643" s="67" t="n">
        <v>2.85</v>
      </c>
      <c r="N643" s="68" t="n">
        <f aca="false">K643*L643*M643</f>
        <v>5.7</v>
      </c>
      <c r="O643" s="34" t="n">
        <f aca="false">IFERROR(INDEX(Исходные!$B$18:$B$30,MATCH(H643,Исходные!$A$18:$A$30,0)),0)</f>
        <v>2.466</v>
      </c>
      <c r="P643" s="74" t="n">
        <f aca="false">N643*O643</f>
        <v>14.0562</v>
      </c>
      <c r="Q643" s="20" t="s">
        <v>1228</v>
      </c>
      <c r="R643" s="75" t="s">
        <v>517</v>
      </c>
      <c r="S643" s="20" t="s">
        <v>1221</v>
      </c>
      <c r="T643" s="20" t="s">
        <v>73</v>
      </c>
      <c r="U643" s="47" t="n">
        <v>0</v>
      </c>
      <c r="V643" s="70" t="s">
        <v>687</v>
      </c>
      <c r="W643" s="47" t="n">
        <v>2</v>
      </c>
    </row>
    <row r="644" customFormat="false" ht="35.05" hidden="false" customHeight="false" outlineLevel="0" collapsed="false">
      <c r="A644" s="70" t="n">
        <v>628</v>
      </c>
      <c r="B644" s="20" t="s">
        <v>1024</v>
      </c>
      <c r="C644" s="20" t="s">
        <v>512</v>
      </c>
      <c r="D644" s="20" t="s">
        <v>1218</v>
      </c>
      <c r="E644" s="20" t="s">
        <v>687</v>
      </c>
      <c r="F644" s="70" t="s">
        <v>533</v>
      </c>
      <c r="G644" s="20" t="s">
        <v>1230</v>
      </c>
      <c r="H644" s="49" t="n">
        <v>14</v>
      </c>
      <c r="I644" s="70" t="s">
        <v>368</v>
      </c>
      <c r="J644" s="70" t="s">
        <v>369</v>
      </c>
      <c r="K644" s="73" t="n">
        <v>1</v>
      </c>
      <c r="L644" s="49" t="n">
        <v>2</v>
      </c>
      <c r="M644" s="67" t="n">
        <v>2.7</v>
      </c>
      <c r="N644" s="68" t="n">
        <f aca="false">K644*L644*M644</f>
        <v>5.4</v>
      </c>
      <c r="O644" s="34" t="n">
        <f aca="false">IFERROR(INDEX(Исходные!$B$18:$B$30,MATCH(H644,Исходные!$A$18:$A$30,0)),0)</f>
        <v>1.208</v>
      </c>
      <c r="P644" s="74" t="n">
        <f aca="false">N644*O644</f>
        <v>6.5232</v>
      </c>
      <c r="Q644" s="20" t="s">
        <v>1224</v>
      </c>
      <c r="R644" s="75" t="s">
        <v>517</v>
      </c>
      <c r="S644" s="20" t="s">
        <v>1231</v>
      </c>
      <c r="T644" s="20" t="s">
        <v>73</v>
      </c>
      <c r="U644" s="47" t="n">
        <v>0</v>
      </c>
      <c r="V644" s="70" t="s">
        <v>687</v>
      </c>
      <c r="W644" s="47" t="n">
        <v>2</v>
      </c>
    </row>
    <row r="645" customFormat="false" ht="35.05" hidden="false" customHeight="false" outlineLevel="0" collapsed="false">
      <c r="A645" s="70" t="n">
        <v>629</v>
      </c>
      <c r="B645" s="20" t="s">
        <v>1024</v>
      </c>
      <c r="C645" s="20" t="s">
        <v>512</v>
      </c>
      <c r="D645" s="20" t="s">
        <v>1218</v>
      </c>
      <c r="E645" s="20" t="s">
        <v>687</v>
      </c>
      <c r="F645" s="70" t="s">
        <v>533</v>
      </c>
      <c r="G645" s="20" t="s">
        <v>712</v>
      </c>
      <c r="H645" s="49" t="n">
        <v>14</v>
      </c>
      <c r="I645" s="70" t="s">
        <v>368</v>
      </c>
      <c r="J645" s="70" t="s">
        <v>369</v>
      </c>
      <c r="K645" s="73" t="n">
        <v>1</v>
      </c>
      <c r="L645" s="49" t="n">
        <v>2</v>
      </c>
      <c r="M645" s="67" t="n">
        <v>2.4</v>
      </c>
      <c r="N645" s="68" t="n">
        <f aca="false">K645*L645*M645</f>
        <v>4.8</v>
      </c>
      <c r="O645" s="34" t="n">
        <f aca="false">IFERROR(INDEX(Исходные!$B$18:$B$30,MATCH(H645,Исходные!$A$18:$A$30,0)),0)</f>
        <v>1.208</v>
      </c>
      <c r="P645" s="74" t="n">
        <f aca="false">N645*O645</f>
        <v>5.7984</v>
      </c>
      <c r="Q645" s="20" t="s">
        <v>1232</v>
      </c>
      <c r="R645" s="75" t="s">
        <v>517</v>
      </c>
      <c r="S645" s="20" t="s">
        <v>694</v>
      </c>
      <c r="T645" s="20" t="s">
        <v>73</v>
      </c>
      <c r="U645" s="47" t="n">
        <v>0</v>
      </c>
      <c r="V645" s="70" t="s">
        <v>687</v>
      </c>
      <c r="W645" s="47" t="n">
        <v>2</v>
      </c>
    </row>
    <row r="646" customFormat="false" ht="35.05" hidden="false" customHeight="false" outlineLevel="0" collapsed="false">
      <c r="A646" s="70" t="n">
        <v>630</v>
      </c>
      <c r="B646" s="20" t="s">
        <v>1024</v>
      </c>
      <c r="C646" s="20" t="s">
        <v>512</v>
      </c>
      <c r="D646" s="20" t="s">
        <v>1218</v>
      </c>
      <c r="E646" s="20" t="s">
        <v>687</v>
      </c>
      <c r="F646" s="70" t="s">
        <v>533</v>
      </c>
      <c r="G646" s="20" t="s">
        <v>1233</v>
      </c>
      <c r="H646" s="49" t="n">
        <v>14</v>
      </c>
      <c r="I646" s="70" t="s">
        <v>368</v>
      </c>
      <c r="J646" s="70" t="s">
        <v>369</v>
      </c>
      <c r="K646" s="73" t="n">
        <v>1</v>
      </c>
      <c r="L646" s="49" t="n">
        <v>4</v>
      </c>
      <c r="M646" s="67" t="n">
        <v>9.1</v>
      </c>
      <c r="N646" s="68" t="n">
        <f aca="false">K646*L646*M646</f>
        <v>36.4</v>
      </c>
      <c r="O646" s="34" t="n">
        <f aca="false">IFERROR(INDEX(Исходные!$B$18:$B$30,MATCH(H646,Исходные!$A$18:$A$30,0)),0)</f>
        <v>1.208</v>
      </c>
      <c r="P646" s="74" t="n">
        <f aca="false">N646*O646</f>
        <v>43.9712</v>
      </c>
      <c r="Q646" s="20" t="s">
        <v>1234</v>
      </c>
      <c r="R646" s="75" t="s">
        <v>517</v>
      </c>
      <c r="S646" s="20" t="s">
        <v>715</v>
      </c>
      <c r="T646" s="20" t="s">
        <v>73</v>
      </c>
      <c r="U646" s="47" t="n">
        <v>0</v>
      </c>
      <c r="V646" s="70" t="s">
        <v>687</v>
      </c>
      <c r="W646" s="47" t="n">
        <v>2</v>
      </c>
    </row>
    <row r="647" customFormat="false" ht="35.05" hidden="false" customHeight="false" outlineLevel="0" collapsed="false">
      <c r="A647" s="70" t="n">
        <v>631</v>
      </c>
      <c r="B647" s="20" t="s">
        <v>1024</v>
      </c>
      <c r="C647" s="20" t="s">
        <v>512</v>
      </c>
      <c r="D647" s="20" t="s">
        <v>1218</v>
      </c>
      <c r="E647" s="20" t="s">
        <v>687</v>
      </c>
      <c r="F647" s="70" t="s">
        <v>533</v>
      </c>
      <c r="G647" s="20" t="s">
        <v>716</v>
      </c>
      <c r="H647" s="49" t="n">
        <v>14</v>
      </c>
      <c r="I647" s="70" t="s">
        <v>368</v>
      </c>
      <c r="J647" s="70" t="s">
        <v>369</v>
      </c>
      <c r="K647" s="73" t="n">
        <v>1</v>
      </c>
      <c r="L647" s="49" t="n">
        <v>2</v>
      </c>
      <c r="M647" s="67" t="n">
        <v>2.85</v>
      </c>
      <c r="N647" s="68" t="n">
        <f aca="false">K647*L647*M647</f>
        <v>5.7</v>
      </c>
      <c r="O647" s="34" t="n">
        <f aca="false">IFERROR(INDEX(Исходные!$B$18:$B$30,MATCH(H647,Исходные!$A$18:$A$30,0)),0)</f>
        <v>1.208</v>
      </c>
      <c r="P647" s="74" t="n">
        <f aca="false">N647*O647</f>
        <v>6.8856</v>
      </c>
      <c r="Q647" s="20" t="s">
        <v>1232</v>
      </c>
      <c r="R647" s="75" t="s">
        <v>517</v>
      </c>
      <c r="S647" s="20" t="s">
        <v>1221</v>
      </c>
      <c r="T647" s="20" t="s">
        <v>73</v>
      </c>
      <c r="U647" s="47" t="n">
        <v>0</v>
      </c>
      <c r="V647" s="70" t="s">
        <v>687</v>
      </c>
      <c r="W647" s="47" t="n">
        <v>2</v>
      </c>
    </row>
    <row r="648" customFormat="false" ht="35.05" hidden="false" customHeight="false" outlineLevel="0" collapsed="false">
      <c r="A648" s="70" t="n">
        <v>632</v>
      </c>
      <c r="B648" s="20" t="s">
        <v>1024</v>
      </c>
      <c r="C648" s="20" t="s">
        <v>512</v>
      </c>
      <c r="D648" s="20" t="s">
        <v>1218</v>
      </c>
      <c r="E648" s="20" t="s">
        <v>687</v>
      </c>
      <c r="F648" s="70" t="s">
        <v>553</v>
      </c>
      <c r="G648" s="20" t="s">
        <v>1148</v>
      </c>
      <c r="H648" s="49" t="n">
        <v>8</v>
      </c>
      <c r="I648" s="70" t="s">
        <v>403</v>
      </c>
      <c r="J648" s="70" t="s">
        <v>555</v>
      </c>
      <c r="K648" s="73" t="n">
        <v>1</v>
      </c>
      <c r="L648" s="49" t="n">
        <v>47</v>
      </c>
      <c r="M648" s="67" t="n">
        <v>2.06</v>
      </c>
      <c r="N648" s="68" t="n">
        <f aca="false">K648*L648*M648</f>
        <v>96.82</v>
      </c>
      <c r="O648" s="34" t="n">
        <f aca="false">IFERROR(INDEX(Исходные!$B$18:$B$30,MATCH(H648,Исходные!$A$18:$A$30,0)),0)</f>
        <v>0.395</v>
      </c>
      <c r="P648" s="74" t="n">
        <f aca="false">N648*O648</f>
        <v>38.2439</v>
      </c>
      <c r="Q648" s="20" t="s">
        <v>1149</v>
      </c>
      <c r="R648" s="75" t="s">
        <v>371</v>
      </c>
      <c r="S648" s="20" t="s">
        <v>1235</v>
      </c>
      <c r="T648" s="20" t="s">
        <v>73</v>
      </c>
      <c r="U648" s="47" t="n">
        <v>0</v>
      </c>
      <c r="V648" s="70" t="s">
        <v>687</v>
      </c>
      <c r="W648" s="47" t="n">
        <v>2</v>
      </c>
    </row>
    <row r="649" customFormat="false" ht="35.05" hidden="false" customHeight="false" outlineLevel="0" collapsed="false">
      <c r="A649" s="70" t="n">
        <v>633</v>
      </c>
      <c r="B649" s="20" t="s">
        <v>1024</v>
      </c>
      <c r="C649" s="20" t="s">
        <v>512</v>
      </c>
      <c r="D649" s="20" t="s">
        <v>1218</v>
      </c>
      <c r="E649" s="20" t="s">
        <v>687</v>
      </c>
      <c r="F649" s="70" t="s">
        <v>418</v>
      </c>
      <c r="G649" s="20" t="s">
        <v>1151</v>
      </c>
      <c r="H649" s="49" t="n">
        <v>10</v>
      </c>
      <c r="I649" s="70" t="s">
        <v>403</v>
      </c>
      <c r="J649" s="70" t="n">
        <v>100</v>
      </c>
      <c r="K649" s="73" t="n">
        <v>1</v>
      </c>
      <c r="L649" s="49" t="n">
        <v>92</v>
      </c>
      <c r="M649" s="67" t="n">
        <v>2.06</v>
      </c>
      <c r="N649" s="68" t="n">
        <f aca="false">K649*L649*M649</f>
        <v>189.52</v>
      </c>
      <c r="O649" s="34" t="n">
        <f aca="false">IFERROR(INDEX(Исходные!$B$18:$B$30,MATCH(H649,Исходные!$A$18:$A$30,0)),0)</f>
        <v>0.617</v>
      </c>
      <c r="P649" s="74" t="n">
        <f aca="false">N649*O649</f>
        <v>116.93384</v>
      </c>
      <c r="Q649" s="20" t="s">
        <v>1236</v>
      </c>
      <c r="R649" s="75" t="s">
        <v>371</v>
      </c>
      <c r="S649" s="20" t="s">
        <v>719</v>
      </c>
      <c r="T649" s="20" t="s">
        <v>73</v>
      </c>
      <c r="U649" s="47" t="n">
        <v>0</v>
      </c>
      <c r="V649" s="70" t="s">
        <v>687</v>
      </c>
      <c r="W649" s="47" t="n">
        <v>2</v>
      </c>
    </row>
    <row r="650" customFormat="false" ht="35.05" hidden="false" customHeight="false" outlineLevel="0" collapsed="false">
      <c r="A650" s="70" t="n">
        <v>634</v>
      </c>
      <c r="B650" s="20" t="s">
        <v>1024</v>
      </c>
      <c r="C650" s="20" t="s">
        <v>512</v>
      </c>
      <c r="D650" s="20" t="s">
        <v>1218</v>
      </c>
      <c r="E650" s="20" t="s">
        <v>687</v>
      </c>
      <c r="F650" s="70" t="s">
        <v>460</v>
      </c>
      <c r="G650" s="20" t="s">
        <v>561</v>
      </c>
      <c r="H650" s="49" t="n">
        <v>10</v>
      </c>
      <c r="I650" s="70" t="s">
        <v>403</v>
      </c>
      <c r="J650" s="70" t="n">
        <v>100</v>
      </c>
      <c r="K650" s="73" t="n">
        <v>1</v>
      </c>
      <c r="L650" s="49" t="n">
        <v>86</v>
      </c>
      <c r="M650" s="67" t="n">
        <v>1.6</v>
      </c>
      <c r="N650" s="68" t="n">
        <f aca="false">K650*L650*M650</f>
        <v>137.6</v>
      </c>
      <c r="O650" s="34" t="n">
        <f aca="false">IFERROR(INDEX(Исходные!$B$18:$B$30,MATCH(H650,Исходные!$A$18:$A$30,0)),0)</f>
        <v>0.617</v>
      </c>
      <c r="P650" s="74" t="n">
        <f aca="false">N650*O650</f>
        <v>84.8992</v>
      </c>
      <c r="Q650" s="20" t="s">
        <v>720</v>
      </c>
      <c r="R650" s="75" t="s">
        <v>371</v>
      </c>
      <c r="S650" s="20"/>
      <c r="T650" s="20" t="s">
        <v>73</v>
      </c>
      <c r="U650" s="47" t="n">
        <v>0</v>
      </c>
      <c r="V650" s="70" t="s">
        <v>687</v>
      </c>
      <c r="W650" s="47" t="n">
        <v>2</v>
      </c>
    </row>
    <row r="651" customFormat="false" ht="35.05" hidden="false" customHeight="false" outlineLevel="0" collapsed="false">
      <c r="A651" s="70" t="n">
        <v>635</v>
      </c>
      <c r="B651" s="20" t="s">
        <v>1024</v>
      </c>
      <c r="C651" s="20" t="s">
        <v>512</v>
      </c>
      <c r="D651" s="20" t="s">
        <v>1218</v>
      </c>
      <c r="E651" s="20" t="s">
        <v>687</v>
      </c>
      <c r="F651" s="70" t="s">
        <v>563</v>
      </c>
      <c r="G651" s="20" t="s">
        <v>1154</v>
      </c>
      <c r="H651" s="49" t="n">
        <v>8</v>
      </c>
      <c r="I651" s="70" t="s">
        <v>403</v>
      </c>
      <c r="J651" s="70" t="s">
        <v>565</v>
      </c>
      <c r="K651" s="73" t="n">
        <v>1</v>
      </c>
      <c r="L651" s="49" t="n">
        <v>35</v>
      </c>
      <c r="M651" s="67" t="n">
        <v>0.75</v>
      </c>
      <c r="N651" s="68" t="n">
        <f aca="false">K651*L651*M651</f>
        <v>26.25</v>
      </c>
      <c r="O651" s="34" t="n">
        <f aca="false">IFERROR(INDEX(Исходные!$B$18:$B$30,MATCH(H651,Исходные!$A$18:$A$30,0)),0)</f>
        <v>0.395</v>
      </c>
      <c r="P651" s="74" t="n">
        <f aca="false">N651*O651</f>
        <v>10.36875</v>
      </c>
      <c r="Q651" s="20" t="s">
        <v>566</v>
      </c>
      <c r="R651" s="75" t="s">
        <v>371</v>
      </c>
      <c r="S651" s="20"/>
      <c r="T651" s="20" t="s">
        <v>73</v>
      </c>
      <c r="U651" s="47" t="n">
        <v>0</v>
      </c>
      <c r="V651" s="70" t="s">
        <v>687</v>
      </c>
      <c r="W651" s="47" t="n">
        <v>2</v>
      </c>
    </row>
    <row r="652" customFormat="false" ht="35.05" hidden="false" customHeight="false" outlineLevel="0" collapsed="false">
      <c r="A652" s="70" t="n">
        <v>636</v>
      </c>
      <c r="B652" s="20" t="s">
        <v>1024</v>
      </c>
      <c r="C652" s="20" t="s">
        <v>512</v>
      </c>
      <c r="D652" s="20" t="s">
        <v>1218</v>
      </c>
      <c r="E652" s="20" t="s">
        <v>687</v>
      </c>
      <c r="F652" s="70" t="s">
        <v>567</v>
      </c>
      <c r="G652" s="20" t="s">
        <v>1155</v>
      </c>
      <c r="H652" s="49" t="n">
        <v>8</v>
      </c>
      <c r="I652" s="70" t="s">
        <v>403</v>
      </c>
      <c r="J652" s="70" t="n">
        <v>300</v>
      </c>
      <c r="K652" s="73" t="n">
        <v>1</v>
      </c>
      <c r="L652" s="49" t="n">
        <v>54</v>
      </c>
      <c r="M652" s="67" t="n">
        <v>0.58</v>
      </c>
      <c r="N652" s="68" t="n">
        <f aca="false">K652*L652*M652</f>
        <v>31.32</v>
      </c>
      <c r="O652" s="34" t="n">
        <f aca="false">IFERROR(INDEX(Исходные!$B$18:$B$30,MATCH(H652,Исходные!$A$18:$A$30,0)),0)</f>
        <v>0.395</v>
      </c>
      <c r="P652" s="74" t="n">
        <f aca="false">N652*O652</f>
        <v>12.3714</v>
      </c>
      <c r="Q652" s="20" t="s">
        <v>1156</v>
      </c>
      <c r="R652" s="76" t="s">
        <v>495</v>
      </c>
      <c r="S652" s="20"/>
      <c r="T652" s="20" t="s">
        <v>73</v>
      </c>
      <c r="U652" s="47" t="n">
        <v>1</v>
      </c>
      <c r="V652" s="70" t="s">
        <v>687</v>
      </c>
      <c r="W652" s="47" t="n">
        <v>2</v>
      </c>
    </row>
    <row r="653" customFormat="false" ht="35.05" hidden="false" customHeight="false" outlineLevel="0" collapsed="false">
      <c r="A653" s="70" t="n">
        <v>637</v>
      </c>
      <c r="B653" s="20" t="s">
        <v>1024</v>
      </c>
      <c r="C653" s="20" t="s">
        <v>512</v>
      </c>
      <c r="D653" s="20" t="s">
        <v>1237</v>
      </c>
      <c r="E653" s="20" t="s">
        <v>722</v>
      </c>
      <c r="F653" s="70" t="s">
        <v>376</v>
      </c>
      <c r="G653" s="20" t="s">
        <v>515</v>
      </c>
      <c r="H653" s="49" t="n">
        <v>28</v>
      </c>
      <c r="I653" s="70" t="s">
        <v>368</v>
      </c>
      <c r="J653" s="70" t="s">
        <v>369</v>
      </c>
      <c r="K653" s="73" t="n">
        <v>1</v>
      </c>
      <c r="L653" s="49" t="n">
        <v>4</v>
      </c>
      <c r="M653" s="67" t="n">
        <v>20.5</v>
      </c>
      <c r="N653" s="68" t="n">
        <f aca="false">K653*L653*M653</f>
        <v>82</v>
      </c>
      <c r="O653" s="34" t="n">
        <f aca="false">IFERROR(INDEX(Исходные!$B$18:$B$30,MATCH(H653,Исходные!$A$18:$A$30,0)),0)</f>
        <v>4.834</v>
      </c>
      <c r="P653" s="74" t="n">
        <f aca="false">N653*O653</f>
        <v>396.388</v>
      </c>
      <c r="Q653" s="20" t="s">
        <v>1238</v>
      </c>
      <c r="R653" s="75" t="s">
        <v>517</v>
      </c>
      <c r="S653" s="20" t="s">
        <v>689</v>
      </c>
      <c r="T653" s="20" t="s">
        <v>73</v>
      </c>
      <c r="U653" s="47" t="n">
        <v>0</v>
      </c>
      <c r="V653" s="70" t="s">
        <v>722</v>
      </c>
      <c r="W653" s="47" t="n">
        <v>2</v>
      </c>
    </row>
    <row r="654" customFormat="false" ht="35.05" hidden="false" customHeight="false" outlineLevel="0" collapsed="false">
      <c r="A654" s="70" t="n">
        <v>638</v>
      </c>
      <c r="B654" s="20" t="s">
        <v>1024</v>
      </c>
      <c r="C654" s="20" t="s">
        <v>512</v>
      </c>
      <c r="D654" s="20" t="s">
        <v>1237</v>
      </c>
      <c r="E654" s="20" t="s">
        <v>722</v>
      </c>
      <c r="F654" s="70" t="s">
        <v>386</v>
      </c>
      <c r="G654" s="20" t="s">
        <v>519</v>
      </c>
      <c r="H654" s="49" t="n">
        <v>18</v>
      </c>
      <c r="I654" s="70" t="s">
        <v>368</v>
      </c>
      <c r="J654" s="70" t="s">
        <v>369</v>
      </c>
      <c r="K654" s="73" t="n">
        <v>1</v>
      </c>
      <c r="L654" s="49" t="n">
        <v>2</v>
      </c>
      <c r="M654" s="67" t="n">
        <v>20.5</v>
      </c>
      <c r="N654" s="68" t="n">
        <f aca="false">K654*L654*M654</f>
        <v>41</v>
      </c>
      <c r="O654" s="34" t="n">
        <f aca="false">IFERROR(INDEX(Исходные!$B$18:$B$30,MATCH(H654,Исходные!$A$18:$A$30,0)),0)</f>
        <v>1.998</v>
      </c>
      <c r="P654" s="74" t="n">
        <f aca="false">N654*O654</f>
        <v>81.918</v>
      </c>
      <c r="Q654" s="20" t="s">
        <v>520</v>
      </c>
      <c r="R654" s="75" t="s">
        <v>517</v>
      </c>
      <c r="S654" s="20"/>
      <c r="T654" s="20" t="s">
        <v>73</v>
      </c>
      <c r="U654" s="47" t="n">
        <v>0</v>
      </c>
      <c r="V654" s="70" t="s">
        <v>722</v>
      </c>
      <c r="W654" s="47" t="n">
        <v>2</v>
      </c>
    </row>
    <row r="655" customFormat="false" ht="35.05" hidden="false" customHeight="false" outlineLevel="0" collapsed="false">
      <c r="A655" s="70" t="n">
        <v>639</v>
      </c>
      <c r="B655" s="20" t="s">
        <v>1024</v>
      </c>
      <c r="C655" s="20" t="s">
        <v>512</v>
      </c>
      <c r="D655" s="20" t="s">
        <v>1237</v>
      </c>
      <c r="E655" s="20" t="s">
        <v>722</v>
      </c>
      <c r="F655" s="70" t="s">
        <v>521</v>
      </c>
      <c r="G655" s="20" t="s">
        <v>690</v>
      </c>
      <c r="H655" s="49" t="n">
        <v>18</v>
      </c>
      <c r="I655" s="70" t="s">
        <v>368</v>
      </c>
      <c r="J655" s="70" t="s">
        <v>369</v>
      </c>
      <c r="K655" s="73" t="n">
        <v>2</v>
      </c>
      <c r="L655" s="49" t="n">
        <v>1</v>
      </c>
      <c r="M655" s="67" t="n">
        <v>0.144</v>
      </c>
      <c r="N655" s="68" t="n">
        <f aca="false">K655*L655*M655</f>
        <v>0.288</v>
      </c>
      <c r="O655" s="34" t="n">
        <f aca="false">IFERROR(INDEX(Исходные!$B$18:$B$30,MATCH(H655,Исходные!$A$18:$A$30,0)),0)</f>
        <v>1.998</v>
      </c>
      <c r="P655" s="74" t="n">
        <f aca="false">N655*O655</f>
        <v>0.575424</v>
      </c>
      <c r="Q655" s="20" t="s">
        <v>523</v>
      </c>
      <c r="R655" s="75" t="s">
        <v>524</v>
      </c>
      <c r="S655" s="20" t="s">
        <v>662</v>
      </c>
      <c r="T655" s="20" t="s">
        <v>73</v>
      </c>
      <c r="U655" s="47" t="n">
        <v>0</v>
      </c>
      <c r="V655" s="70" t="s">
        <v>722</v>
      </c>
      <c r="W655" s="47" t="n">
        <v>2</v>
      </c>
    </row>
    <row r="656" customFormat="false" ht="35.05" hidden="false" customHeight="false" outlineLevel="0" collapsed="false">
      <c r="A656" s="70" t="n">
        <v>640</v>
      </c>
      <c r="B656" s="20" t="s">
        <v>1024</v>
      </c>
      <c r="C656" s="20" t="s">
        <v>512</v>
      </c>
      <c r="D656" s="20" t="s">
        <v>1237</v>
      </c>
      <c r="E656" s="20" t="s">
        <v>722</v>
      </c>
      <c r="F656" s="70" t="s">
        <v>526</v>
      </c>
      <c r="G656" s="20" t="s">
        <v>527</v>
      </c>
      <c r="H656" s="49" t="n">
        <v>16</v>
      </c>
      <c r="I656" s="70" t="s">
        <v>368</v>
      </c>
      <c r="J656" s="70" t="s">
        <v>369</v>
      </c>
      <c r="K656" s="73" t="n">
        <v>1</v>
      </c>
      <c r="L656" s="49" t="n">
        <v>2</v>
      </c>
      <c r="M656" s="67" t="n">
        <v>20.5</v>
      </c>
      <c r="N656" s="68" t="n">
        <f aca="false">K656*L656*M656</f>
        <v>41</v>
      </c>
      <c r="O656" s="34" t="n">
        <f aca="false">IFERROR(INDEX(Исходные!$B$18:$B$30,MATCH(H656,Исходные!$A$18:$A$30,0)),0)</f>
        <v>1.578</v>
      </c>
      <c r="P656" s="74" t="n">
        <f aca="false">N656*O656</f>
        <v>64.698</v>
      </c>
      <c r="Q656" s="20" t="s">
        <v>528</v>
      </c>
      <c r="R656" s="75" t="s">
        <v>517</v>
      </c>
      <c r="S656" s="20"/>
      <c r="T656" s="20" t="s">
        <v>73</v>
      </c>
      <c r="U656" s="47" t="n">
        <v>0</v>
      </c>
      <c r="V656" s="70" t="s">
        <v>722</v>
      </c>
      <c r="W656" s="47" t="n">
        <v>2</v>
      </c>
    </row>
    <row r="657" customFormat="false" ht="35.05" hidden="false" customHeight="false" outlineLevel="0" collapsed="false">
      <c r="A657" s="70" t="n">
        <v>641</v>
      </c>
      <c r="B657" s="20" t="s">
        <v>1024</v>
      </c>
      <c r="C657" s="20" t="s">
        <v>512</v>
      </c>
      <c r="D657" s="20" t="s">
        <v>1237</v>
      </c>
      <c r="E657" s="20" t="s">
        <v>722</v>
      </c>
      <c r="F657" s="70" t="s">
        <v>529</v>
      </c>
      <c r="G657" s="20" t="s">
        <v>691</v>
      </c>
      <c r="H657" s="49" t="n">
        <v>16</v>
      </c>
      <c r="I657" s="70" t="s">
        <v>368</v>
      </c>
      <c r="J657" s="70" t="s">
        <v>369</v>
      </c>
      <c r="K657" s="73" t="n">
        <v>2</v>
      </c>
      <c r="L657" s="49" t="n">
        <v>1</v>
      </c>
      <c r="M657" s="67" t="n">
        <v>0.128</v>
      </c>
      <c r="N657" s="68" t="n">
        <f aca="false">K657*L657*M657</f>
        <v>0.256</v>
      </c>
      <c r="O657" s="34" t="n">
        <f aca="false">IFERROR(INDEX(Исходные!$B$18:$B$30,MATCH(H657,Исходные!$A$18:$A$30,0)),0)</f>
        <v>1.578</v>
      </c>
      <c r="P657" s="74" t="n">
        <f aca="false">N657*O657</f>
        <v>0.403968</v>
      </c>
      <c r="Q657" s="20" t="s">
        <v>531</v>
      </c>
      <c r="R657" s="75" t="s">
        <v>524</v>
      </c>
      <c r="S657" s="20" t="s">
        <v>664</v>
      </c>
      <c r="T657" s="20" t="s">
        <v>73</v>
      </c>
      <c r="U657" s="47" t="n">
        <v>0</v>
      </c>
      <c r="V657" s="70" t="s">
        <v>722</v>
      </c>
      <c r="W657" s="47" t="n">
        <v>2</v>
      </c>
    </row>
    <row r="658" customFormat="false" ht="35.05" hidden="false" customHeight="false" outlineLevel="0" collapsed="false">
      <c r="A658" s="70" t="n">
        <v>642</v>
      </c>
      <c r="B658" s="20" t="s">
        <v>1024</v>
      </c>
      <c r="C658" s="20" t="s">
        <v>512</v>
      </c>
      <c r="D658" s="20" t="s">
        <v>1237</v>
      </c>
      <c r="E658" s="20" t="s">
        <v>722</v>
      </c>
      <c r="F658" s="70" t="s">
        <v>533</v>
      </c>
      <c r="G658" s="20" t="s">
        <v>534</v>
      </c>
      <c r="H658" s="49" t="n">
        <v>28</v>
      </c>
      <c r="I658" s="70" t="s">
        <v>368</v>
      </c>
      <c r="J658" s="70" t="s">
        <v>369</v>
      </c>
      <c r="K658" s="73" t="n">
        <v>1</v>
      </c>
      <c r="L658" s="49" t="n">
        <v>2</v>
      </c>
      <c r="M658" s="67" t="n">
        <v>2.05</v>
      </c>
      <c r="N658" s="68" t="n">
        <f aca="false">K658*L658*M658</f>
        <v>4.1</v>
      </c>
      <c r="O658" s="34" t="n">
        <f aca="false">IFERROR(INDEX(Исходные!$B$18:$B$30,MATCH(H658,Исходные!$A$18:$A$30,0)),0)</f>
        <v>4.834</v>
      </c>
      <c r="P658" s="74" t="n">
        <f aca="false">N658*O658</f>
        <v>19.8194</v>
      </c>
      <c r="Q658" s="20" t="s">
        <v>1239</v>
      </c>
      <c r="R658" s="75" t="s">
        <v>517</v>
      </c>
      <c r="S658" s="20" t="s">
        <v>1209</v>
      </c>
      <c r="T658" s="20" t="s">
        <v>73</v>
      </c>
      <c r="U658" s="47" t="n">
        <v>0</v>
      </c>
      <c r="V658" s="70" t="s">
        <v>722</v>
      </c>
      <c r="W658" s="47" t="n">
        <v>2</v>
      </c>
    </row>
    <row r="659" customFormat="false" ht="35.05" hidden="false" customHeight="false" outlineLevel="0" collapsed="false">
      <c r="A659" s="70" t="n">
        <v>643</v>
      </c>
      <c r="B659" s="20" t="s">
        <v>1024</v>
      </c>
      <c r="C659" s="20" t="s">
        <v>512</v>
      </c>
      <c r="D659" s="20" t="s">
        <v>1237</v>
      </c>
      <c r="E659" s="20" t="s">
        <v>722</v>
      </c>
      <c r="F659" s="70" t="s">
        <v>533</v>
      </c>
      <c r="G659" s="20" t="s">
        <v>667</v>
      </c>
      <c r="H659" s="49" t="n">
        <v>28</v>
      </c>
      <c r="I659" s="70" t="s">
        <v>368</v>
      </c>
      <c r="J659" s="70" t="s">
        <v>369</v>
      </c>
      <c r="K659" s="73" t="n">
        <v>1</v>
      </c>
      <c r="L659" s="49" t="n">
        <v>2</v>
      </c>
      <c r="M659" s="67" t="n">
        <v>3.8</v>
      </c>
      <c r="N659" s="68" t="n">
        <f aca="false">K659*L659*M659</f>
        <v>7.6</v>
      </c>
      <c r="O659" s="34" t="n">
        <f aca="false">IFERROR(INDEX(Исходные!$B$18:$B$30,MATCH(H659,Исходные!$A$18:$A$30,0)),0)</f>
        <v>4.834</v>
      </c>
      <c r="P659" s="74" t="n">
        <f aca="false">N659*O659</f>
        <v>36.7384</v>
      </c>
      <c r="Q659" s="20" t="s">
        <v>1239</v>
      </c>
      <c r="R659" s="75" t="s">
        <v>517</v>
      </c>
      <c r="S659" s="20" t="s">
        <v>669</v>
      </c>
      <c r="T659" s="20" t="s">
        <v>73</v>
      </c>
      <c r="U659" s="47" t="n">
        <v>0</v>
      </c>
      <c r="V659" s="70" t="s">
        <v>722</v>
      </c>
      <c r="W659" s="47" t="n">
        <v>2</v>
      </c>
    </row>
    <row r="660" customFormat="false" ht="35.05" hidden="false" customHeight="false" outlineLevel="0" collapsed="false">
      <c r="A660" s="70" t="n">
        <v>644</v>
      </c>
      <c r="B660" s="20" t="s">
        <v>1024</v>
      </c>
      <c r="C660" s="20" t="s">
        <v>512</v>
      </c>
      <c r="D660" s="20" t="s">
        <v>1237</v>
      </c>
      <c r="E660" s="20" t="s">
        <v>722</v>
      </c>
      <c r="F660" s="70" t="s">
        <v>533</v>
      </c>
      <c r="G660" s="20" t="s">
        <v>725</v>
      </c>
      <c r="H660" s="49" t="n">
        <v>25</v>
      </c>
      <c r="I660" s="70" t="s">
        <v>368</v>
      </c>
      <c r="J660" s="70" t="s">
        <v>369</v>
      </c>
      <c r="K660" s="73" t="n">
        <v>1</v>
      </c>
      <c r="L660" s="49" t="n">
        <v>2</v>
      </c>
      <c r="M660" s="67" t="n">
        <v>3.8</v>
      </c>
      <c r="N660" s="68" t="n">
        <f aca="false">K660*L660*M660</f>
        <v>7.6</v>
      </c>
      <c r="O660" s="34" t="n">
        <f aca="false">IFERROR(INDEX(Исходные!$B$18:$B$30,MATCH(H660,Исходные!$A$18:$A$30,0)),0)</f>
        <v>3.853</v>
      </c>
      <c r="P660" s="74" t="n">
        <f aca="false">N660*O660</f>
        <v>29.2828</v>
      </c>
      <c r="Q660" s="20" t="s">
        <v>1240</v>
      </c>
      <c r="R660" s="75" t="s">
        <v>517</v>
      </c>
      <c r="S660" s="20" t="s">
        <v>669</v>
      </c>
      <c r="T660" s="20" t="s">
        <v>73</v>
      </c>
      <c r="U660" s="47" t="n">
        <v>0</v>
      </c>
      <c r="V660" s="70" t="s">
        <v>722</v>
      </c>
      <c r="W660" s="47" t="n">
        <v>2</v>
      </c>
    </row>
    <row r="661" customFormat="false" ht="35.05" hidden="false" customHeight="false" outlineLevel="0" collapsed="false">
      <c r="A661" s="70" t="n">
        <v>645</v>
      </c>
      <c r="B661" s="20" t="s">
        <v>1024</v>
      </c>
      <c r="C661" s="20" t="s">
        <v>512</v>
      </c>
      <c r="D661" s="20" t="s">
        <v>1237</v>
      </c>
      <c r="E661" s="20" t="s">
        <v>722</v>
      </c>
      <c r="F661" s="70" t="s">
        <v>533</v>
      </c>
      <c r="G661" s="20" t="s">
        <v>1241</v>
      </c>
      <c r="H661" s="49" t="n">
        <v>28</v>
      </c>
      <c r="I661" s="70" t="s">
        <v>368</v>
      </c>
      <c r="J661" s="70" t="s">
        <v>369</v>
      </c>
      <c r="K661" s="73" t="n">
        <v>1</v>
      </c>
      <c r="L661" s="49" t="n">
        <v>2</v>
      </c>
      <c r="M661" s="67" t="n">
        <v>3.8</v>
      </c>
      <c r="N661" s="68" t="n">
        <f aca="false">K661*L661*M661</f>
        <v>7.6</v>
      </c>
      <c r="O661" s="34" t="n">
        <f aca="false">IFERROR(INDEX(Исходные!$B$18:$B$30,MATCH(H661,Исходные!$A$18:$A$30,0)),0)</f>
        <v>4.834</v>
      </c>
      <c r="P661" s="74" t="n">
        <f aca="false">N661*O661</f>
        <v>36.7384</v>
      </c>
      <c r="Q661" s="20" t="s">
        <v>1239</v>
      </c>
      <c r="R661" s="75" t="s">
        <v>517</v>
      </c>
      <c r="S661" s="20" t="s">
        <v>672</v>
      </c>
      <c r="T661" s="20" t="s">
        <v>73</v>
      </c>
      <c r="U661" s="47" t="n">
        <v>0</v>
      </c>
      <c r="V661" s="70" t="s">
        <v>722</v>
      </c>
      <c r="W661" s="47" t="n">
        <v>2</v>
      </c>
    </row>
    <row r="662" customFormat="false" ht="35.05" hidden="false" customHeight="false" outlineLevel="0" collapsed="false">
      <c r="A662" s="70" t="n">
        <v>646</v>
      </c>
      <c r="B662" s="20" t="s">
        <v>1024</v>
      </c>
      <c r="C662" s="20" t="s">
        <v>512</v>
      </c>
      <c r="D662" s="20" t="s">
        <v>1237</v>
      </c>
      <c r="E662" s="20" t="s">
        <v>722</v>
      </c>
      <c r="F662" s="70" t="s">
        <v>533</v>
      </c>
      <c r="G662" s="20" t="s">
        <v>728</v>
      </c>
      <c r="H662" s="49" t="n">
        <v>25</v>
      </c>
      <c r="I662" s="70" t="s">
        <v>368</v>
      </c>
      <c r="J662" s="70" t="s">
        <v>369</v>
      </c>
      <c r="K662" s="73" t="n">
        <v>1</v>
      </c>
      <c r="L662" s="49" t="n">
        <v>2</v>
      </c>
      <c r="M662" s="67" t="n">
        <v>3.8</v>
      </c>
      <c r="N662" s="68" t="n">
        <f aca="false">K662*L662*M662</f>
        <v>7.6</v>
      </c>
      <c r="O662" s="34" t="n">
        <f aca="false">IFERROR(INDEX(Исходные!$B$18:$B$30,MATCH(H662,Исходные!$A$18:$A$30,0)),0)</f>
        <v>3.853</v>
      </c>
      <c r="P662" s="74" t="n">
        <f aca="false">N662*O662</f>
        <v>29.2828</v>
      </c>
      <c r="Q662" s="20" t="s">
        <v>1240</v>
      </c>
      <c r="R662" s="75" t="s">
        <v>517</v>
      </c>
      <c r="S662" s="20" t="s">
        <v>672</v>
      </c>
      <c r="T662" s="20" t="s">
        <v>73</v>
      </c>
      <c r="U662" s="47" t="n">
        <v>0</v>
      </c>
      <c r="V662" s="70" t="s">
        <v>722</v>
      </c>
      <c r="W662" s="47" t="n">
        <v>2</v>
      </c>
    </row>
    <row r="663" customFormat="false" ht="35.05" hidden="false" customHeight="false" outlineLevel="0" collapsed="false">
      <c r="A663" s="70" t="n">
        <v>647</v>
      </c>
      <c r="B663" s="20" t="s">
        <v>1024</v>
      </c>
      <c r="C663" s="20" t="s">
        <v>512</v>
      </c>
      <c r="D663" s="20" t="s">
        <v>1237</v>
      </c>
      <c r="E663" s="20" t="s">
        <v>722</v>
      </c>
      <c r="F663" s="70" t="s">
        <v>533</v>
      </c>
      <c r="G663" s="20" t="s">
        <v>729</v>
      </c>
      <c r="H663" s="49" t="n">
        <v>32</v>
      </c>
      <c r="I663" s="70" t="s">
        <v>368</v>
      </c>
      <c r="J663" s="70" t="s">
        <v>369</v>
      </c>
      <c r="K663" s="73" t="n">
        <v>1</v>
      </c>
      <c r="L663" s="49" t="n">
        <v>2</v>
      </c>
      <c r="M663" s="67" t="n">
        <v>2.05</v>
      </c>
      <c r="N663" s="68" t="n">
        <f aca="false">K663*L663*M663</f>
        <v>4.1</v>
      </c>
      <c r="O663" s="34" t="n">
        <f aca="false">IFERROR(INDEX(Исходные!$B$18:$B$30,MATCH(H663,Исходные!$A$18:$A$30,0)),0)</f>
        <v>6.313</v>
      </c>
      <c r="P663" s="74" t="n">
        <f aca="false">N663*O663</f>
        <v>25.8833</v>
      </c>
      <c r="Q663" s="20" t="s">
        <v>1242</v>
      </c>
      <c r="R663" s="75" t="s">
        <v>517</v>
      </c>
      <c r="S663" s="20" t="s">
        <v>1212</v>
      </c>
      <c r="T663" s="20" t="s">
        <v>73</v>
      </c>
      <c r="U663" s="47" t="n">
        <v>0</v>
      </c>
      <c r="V663" s="70" t="s">
        <v>722</v>
      </c>
      <c r="W663" s="47" t="n">
        <v>2</v>
      </c>
    </row>
    <row r="664" customFormat="false" ht="35.05" hidden="false" customHeight="false" outlineLevel="0" collapsed="false">
      <c r="A664" s="70" t="n">
        <v>648</v>
      </c>
      <c r="B664" s="20" t="s">
        <v>1024</v>
      </c>
      <c r="C664" s="20" t="s">
        <v>512</v>
      </c>
      <c r="D664" s="20" t="s">
        <v>1237</v>
      </c>
      <c r="E664" s="20" t="s">
        <v>722</v>
      </c>
      <c r="F664" s="70" t="s">
        <v>533</v>
      </c>
      <c r="G664" s="20" t="s">
        <v>586</v>
      </c>
      <c r="H664" s="49" t="n">
        <v>16</v>
      </c>
      <c r="I664" s="70" t="s">
        <v>368</v>
      </c>
      <c r="J664" s="70" t="s">
        <v>369</v>
      </c>
      <c r="K664" s="73" t="n">
        <v>1</v>
      </c>
      <c r="L664" s="49" t="n">
        <v>2</v>
      </c>
      <c r="M664" s="67" t="n">
        <v>2.9</v>
      </c>
      <c r="N664" s="68" t="n">
        <f aca="false">K664*L664*M664</f>
        <v>5.8</v>
      </c>
      <c r="O664" s="34" t="n">
        <f aca="false">IFERROR(INDEX(Исходные!$B$18:$B$30,MATCH(H664,Исходные!$A$18:$A$30,0)),0)</f>
        <v>1.578</v>
      </c>
      <c r="P664" s="74" t="n">
        <f aca="false">N664*O664</f>
        <v>9.1524</v>
      </c>
      <c r="Q664" s="20" t="s">
        <v>1243</v>
      </c>
      <c r="R664" s="75" t="s">
        <v>517</v>
      </c>
      <c r="S664" s="20" t="s">
        <v>732</v>
      </c>
      <c r="T664" s="20" t="s">
        <v>73</v>
      </c>
      <c r="U664" s="47" t="n">
        <v>0</v>
      </c>
      <c r="V664" s="70" t="s">
        <v>722</v>
      </c>
      <c r="W664" s="47" t="n">
        <v>2</v>
      </c>
    </row>
    <row r="665" customFormat="false" ht="35.05" hidden="false" customHeight="false" outlineLevel="0" collapsed="false">
      <c r="A665" s="70" t="n">
        <v>649</v>
      </c>
      <c r="B665" s="20" t="s">
        <v>1024</v>
      </c>
      <c r="C665" s="20" t="s">
        <v>512</v>
      </c>
      <c r="D665" s="20" t="s">
        <v>1237</v>
      </c>
      <c r="E665" s="20" t="s">
        <v>722</v>
      </c>
      <c r="F665" s="70" t="s">
        <v>533</v>
      </c>
      <c r="G665" s="20" t="s">
        <v>733</v>
      </c>
      <c r="H665" s="49" t="n">
        <v>28</v>
      </c>
      <c r="I665" s="70" t="s">
        <v>368</v>
      </c>
      <c r="J665" s="70" t="s">
        <v>369</v>
      </c>
      <c r="K665" s="73" t="n">
        <v>1</v>
      </c>
      <c r="L665" s="49" t="n">
        <v>2</v>
      </c>
      <c r="M665" s="67" t="n">
        <v>3</v>
      </c>
      <c r="N665" s="68" t="n">
        <f aca="false">K665*L665*M665</f>
        <v>6</v>
      </c>
      <c r="O665" s="34" t="n">
        <f aca="false">IFERROR(INDEX(Исходные!$B$18:$B$30,MATCH(H665,Исходные!$A$18:$A$30,0)),0)</f>
        <v>4.834</v>
      </c>
      <c r="P665" s="74" t="n">
        <f aca="false">N665*O665</f>
        <v>29.004</v>
      </c>
      <c r="Q665" s="20" t="s">
        <v>1239</v>
      </c>
      <c r="R665" s="75" t="s">
        <v>517</v>
      </c>
      <c r="S665" s="20" t="s">
        <v>679</v>
      </c>
      <c r="T665" s="20" t="s">
        <v>73</v>
      </c>
      <c r="U665" s="47" t="n">
        <v>0</v>
      </c>
      <c r="V665" s="70" t="s">
        <v>722</v>
      </c>
      <c r="W665" s="47" t="n">
        <v>2</v>
      </c>
    </row>
    <row r="666" customFormat="false" ht="35.05" hidden="false" customHeight="false" outlineLevel="0" collapsed="false">
      <c r="A666" s="70" t="n">
        <v>650</v>
      </c>
      <c r="B666" s="20" t="s">
        <v>1024</v>
      </c>
      <c r="C666" s="20" t="s">
        <v>512</v>
      </c>
      <c r="D666" s="20" t="s">
        <v>1237</v>
      </c>
      <c r="E666" s="20" t="s">
        <v>722</v>
      </c>
      <c r="F666" s="70" t="s">
        <v>533</v>
      </c>
      <c r="G666" s="20" t="s">
        <v>1244</v>
      </c>
      <c r="H666" s="49" t="n">
        <v>18</v>
      </c>
      <c r="I666" s="70" t="s">
        <v>368</v>
      </c>
      <c r="J666" s="70" t="s">
        <v>369</v>
      </c>
      <c r="K666" s="73" t="n">
        <v>1</v>
      </c>
      <c r="L666" s="49" t="n">
        <v>2</v>
      </c>
      <c r="M666" s="67" t="n">
        <v>4.95</v>
      </c>
      <c r="N666" s="68" t="n">
        <f aca="false">K666*L666*M666</f>
        <v>9.9</v>
      </c>
      <c r="O666" s="34" t="n">
        <f aca="false">IFERROR(INDEX(Исходные!$B$18:$B$30,MATCH(H666,Исходные!$A$18:$A$30,0)),0)</f>
        <v>1.998</v>
      </c>
      <c r="P666" s="74" t="n">
        <f aca="false">N666*O666</f>
        <v>19.7802</v>
      </c>
      <c r="Q666" s="20" t="s">
        <v>1245</v>
      </c>
      <c r="R666" s="75" t="s">
        <v>517</v>
      </c>
      <c r="S666" s="20" t="s">
        <v>1246</v>
      </c>
      <c r="T666" s="20" t="s">
        <v>73</v>
      </c>
      <c r="U666" s="47" t="n">
        <v>0</v>
      </c>
      <c r="V666" s="70" t="s">
        <v>722</v>
      </c>
      <c r="W666" s="47" t="n">
        <v>2</v>
      </c>
    </row>
    <row r="667" customFormat="false" ht="35.05" hidden="false" customHeight="false" outlineLevel="0" collapsed="false">
      <c r="A667" s="70" t="n">
        <v>651</v>
      </c>
      <c r="B667" s="20" t="s">
        <v>1024</v>
      </c>
      <c r="C667" s="20" t="s">
        <v>512</v>
      </c>
      <c r="D667" s="20" t="s">
        <v>1237</v>
      </c>
      <c r="E667" s="20" t="s">
        <v>722</v>
      </c>
      <c r="F667" s="70" t="s">
        <v>533</v>
      </c>
      <c r="G667" s="20" t="s">
        <v>736</v>
      </c>
      <c r="H667" s="49" t="n">
        <v>12</v>
      </c>
      <c r="I667" s="70" t="s">
        <v>368</v>
      </c>
      <c r="J667" s="70" t="s">
        <v>369</v>
      </c>
      <c r="K667" s="73" t="n">
        <v>1</v>
      </c>
      <c r="L667" s="49" t="n">
        <v>4</v>
      </c>
      <c r="M667" s="67" t="n">
        <v>3.8</v>
      </c>
      <c r="N667" s="68" t="n">
        <f aca="false">K667*L667*M667</f>
        <v>15.2</v>
      </c>
      <c r="O667" s="34" t="n">
        <f aca="false">IFERROR(INDEX(Исходные!$B$18:$B$30,MATCH(H667,Исходные!$A$18:$A$30,0)),0)</f>
        <v>0.888</v>
      </c>
      <c r="P667" s="74" t="n">
        <f aca="false">N667*O667</f>
        <v>13.4976</v>
      </c>
      <c r="Q667" s="20" t="s">
        <v>1247</v>
      </c>
      <c r="R667" s="75" t="s">
        <v>517</v>
      </c>
      <c r="S667" s="20" t="s">
        <v>669</v>
      </c>
      <c r="T667" s="20" t="s">
        <v>73</v>
      </c>
      <c r="U667" s="47" t="n">
        <v>0</v>
      </c>
      <c r="V667" s="70" t="s">
        <v>722</v>
      </c>
      <c r="W667" s="47" t="n">
        <v>2</v>
      </c>
    </row>
    <row r="668" customFormat="false" ht="35.05" hidden="false" customHeight="false" outlineLevel="0" collapsed="false">
      <c r="A668" s="70" t="n">
        <v>652</v>
      </c>
      <c r="B668" s="20" t="s">
        <v>1024</v>
      </c>
      <c r="C668" s="20" t="s">
        <v>512</v>
      </c>
      <c r="D668" s="20" t="s">
        <v>1237</v>
      </c>
      <c r="E668" s="20" t="s">
        <v>722</v>
      </c>
      <c r="F668" s="70" t="s">
        <v>533</v>
      </c>
      <c r="G668" s="20" t="s">
        <v>738</v>
      </c>
      <c r="H668" s="49" t="n">
        <v>12</v>
      </c>
      <c r="I668" s="70" t="s">
        <v>368</v>
      </c>
      <c r="J668" s="70" t="s">
        <v>369</v>
      </c>
      <c r="K668" s="73" t="n">
        <v>1</v>
      </c>
      <c r="L668" s="49" t="n">
        <v>4</v>
      </c>
      <c r="M668" s="67" t="n">
        <v>3.8</v>
      </c>
      <c r="N668" s="68" t="n">
        <f aca="false">K668*L668*M668</f>
        <v>15.2</v>
      </c>
      <c r="O668" s="34" t="n">
        <f aca="false">IFERROR(INDEX(Исходные!$B$18:$B$30,MATCH(H668,Исходные!$A$18:$A$30,0)),0)</f>
        <v>0.888</v>
      </c>
      <c r="P668" s="74" t="n">
        <f aca="false">N668*O668</f>
        <v>13.4976</v>
      </c>
      <c r="Q668" s="20" t="s">
        <v>1247</v>
      </c>
      <c r="R668" s="75" t="s">
        <v>517</v>
      </c>
      <c r="S668" s="20" t="s">
        <v>672</v>
      </c>
      <c r="T668" s="20" t="s">
        <v>73</v>
      </c>
      <c r="U668" s="47" t="n">
        <v>0</v>
      </c>
      <c r="V668" s="70" t="s">
        <v>722</v>
      </c>
      <c r="W668" s="47" t="n">
        <v>2</v>
      </c>
    </row>
    <row r="669" customFormat="false" ht="35.05" hidden="false" customHeight="false" outlineLevel="0" collapsed="false">
      <c r="A669" s="70" t="n">
        <v>653</v>
      </c>
      <c r="B669" s="20" t="s">
        <v>1024</v>
      </c>
      <c r="C669" s="20" t="s">
        <v>512</v>
      </c>
      <c r="D669" s="20" t="s">
        <v>1237</v>
      </c>
      <c r="E669" s="20" t="s">
        <v>722</v>
      </c>
      <c r="F669" s="70" t="s">
        <v>533</v>
      </c>
      <c r="G669" s="20" t="s">
        <v>739</v>
      </c>
      <c r="H669" s="49" t="n">
        <v>12</v>
      </c>
      <c r="I669" s="70" t="s">
        <v>368</v>
      </c>
      <c r="J669" s="70" t="s">
        <v>369</v>
      </c>
      <c r="K669" s="73" t="n">
        <v>1</v>
      </c>
      <c r="L669" s="49" t="n">
        <v>4</v>
      </c>
      <c r="M669" s="67" t="n">
        <v>2.05</v>
      </c>
      <c r="N669" s="68" t="n">
        <f aca="false">K669*L669*M669</f>
        <v>8.2</v>
      </c>
      <c r="O669" s="34" t="n">
        <f aca="false">IFERROR(INDEX(Исходные!$B$18:$B$30,MATCH(H669,Исходные!$A$18:$A$30,0)),0)</f>
        <v>0.888</v>
      </c>
      <c r="P669" s="74" t="n">
        <f aca="false">N669*O669</f>
        <v>7.2816</v>
      </c>
      <c r="Q669" s="20" t="s">
        <v>1247</v>
      </c>
      <c r="R669" s="75" t="s">
        <v>517</v>
      </c>
      <c r="S669" s="20" t="s">
        <v>1212</v>
      </c>
      <c r="T669" s="20" t="s">
        <v>73</v>
      </c>
      <c r="U669" s="47" t="n">
        <v>0</v>
      </c>
      <c r="V669" s="70" t="s">
        <v>722</v>
      </c>
      <c r="W669" s="47" t="n">
        <v>2</v>
      </c>
    </row>
    <row r="670" customFormat="false" ht="35.05" hidden="false" customHeight="false" outlineLevel="0" collapsed="false">
      <c r="A670" s="70" t="n">
        <v>654</v>
      </c>
      <c r="B670" s="20" t="s">
        <v>1024</v>
      </c>
      <c r="C670" s="20" t="s">
        <v>512</v>
      </c>
      <c r="D670" s="20" t="s">
        <v>1237</v>
      </c>
      <c r="E670" s="20" t="s">
        <v>722</v>
      </c>
      <c r="F670" s="70" t="s">
        <v>553</v>
      </c>
      <c r="G670" s="20" t="s">
        <v>1148</v>
      </c>
      <c r="H670" s="49" t="n">
        <v>8</v>
      </c>
      <c r="I670" s="70" t="s">
        <v>403</v>
      </c>
      <c r="J670" s="70" t="s">
        <v>555</v>
      </c>
      <c r="K670" s="73" t="n">
        <v>1</v>
      </c>
      <c r="L670" s="49" t="n">
        <v>52</v>
      </c>
      <c r="M670" s="67" t="n">
        <v>2.06</v>
      </c>
      <c r="N670" s="68" t="n">
        <f aca="false">K670*L670*M670</f>
        <v>107.12</v>
      </c>
      <c r="O670" s="34" t="n">
        <f aca="false">IFERROR(INDEX(Исходные!$B$18:$B$30,MATCH(H670,Исходные!$A$18:$A$30,0)),0)</f>
        <v>0.395</v>
      </c>
      <c r="P670" s="74" t="n">
        <f aca="false">N670*O670</f>
        <v>42.3124</v>
      </c>
      <c r="Q670" s="20" t="s">
        <v>1149</v>
      </c>
      <c r="R670" s="75" t="s">
        <v>371</v>
      </c>
      <c r="S670" s="20" t="s">
        <v>1215</v>
      </c>
      <c r="T670" s="20" t="s">
        <v>73</v>
      </c>
      <c r="U670" s="47" t="n">
        <v>0</v>
      </c>
      <c r="V670" s="70" t="s">
        <v>722</v>
      </c>
      <c r="W670" s="47" t="n">
        <v>2</v>
      </c>
    </row>
    <row r="671" customFormat="false" ht="35.05" hidden="false" customHeight="false" outlineLevel="0" collapsed="false">
      <c r="A671" s="70" t="n">
        <v>655</v>
      </c>
      <c r="B671" s="20" t="s">
        <v>1024</v>
      </c>
      <c r="C671" s="20" t="s">
        <v>512</v>
      </c>
      <c r="D671" s="20" t="s">
        <v>1237</v>
      </c>
      <c r="E671" s="20" t="s">
        <v>722</v>
      </c>
      <c r="F671" s="70" t="s">
        <v>418</v>
      </c>
      <c r="G671" s="20" t="s">
        <v>1151</v>
      </c>
      <c r="H671" s="49" t="n">
        <v>10</v>
      </c>
      <c r="I671" s="70" t="s">
        <v>403</v>
      </c>
      <c r="J671" s="70" t="n">
        <v>100</v>
      </c>
      <c r="K671" s="73" t="n">
        <v>1</v>
      </c>
      <c r="L671" s="49" t="n">
        <v>106</v>
      </c>
      <c r="M671" s="67" t="n">
        <v>2.06</v>
      </c>
      <c r="N671" s="68" t="n">
        <f aca="false">K671*L671*M671</f>
        <v>218.36</v>
      </c>
      <c r="O671" s="34" t="n">
        <f aca="false">IFERROR(INDEX(Исходные!$B$18:$B$30,MATCH(H671,Исходные!$A$18:$A$30,0)),0)</f>
        <v>0.617</v>
      </c>
      <c r="P671" s="74" t="n">
        <f aca="false">N671*O671</f>
        <v>134.72812</v>
      </c>
      <c r="Q671" s="20" t="s">
        <v>1248</v>
      </c>
      <c r="R671" s="75" t="s">
        <v>371</v>
      </c>
      <c r="S671" s="20" t="s">
        <v>1249</v>
      </c>
      <c r="T671" s="20" t="s">
        <v>73</v>
      </c>
      <c r="U671" s="47" t="n">
        <v>0</v>
      </c>
      <c r="V671" s="70" t="s">
        <v>722</v>
      </c>
      <c r="W671" s="47" t="n">
        <v>2</v>
      </c>
    </row>
    <row r="672" customFormat="false" ht="35.05" hidden="false" customHeight="false" outlineLevel="0" collapsed="false">
      <c r="A672" s="70" t="n">
        <v>656</v>
      </c>
      <c r="B672" s="20" t="s">
        <v>1024</v>
      </c>
      <c r="C672" s="20" t="s">
        <v>512</v>
      </c>
      <c r="D672" s="20" t="s">
        <v>1237</v>
      </c>
      <c r="E672" s="20" t="s">
        <v>722</v>
      </c>
      <c r="F672" s="70" t="s">
        <v>460</v>
      </c>
      <c r="G672" s="20" t="s">
        <v>561</v>
      </c>
      <c r="H672" s="49" t="n">
        <v>10</v>
      </c>
      <c r="I672" s="70" t="s">
        <v>403</v>
      </c>
      <c r="J672" s="70" t="n">
        <v>100</v>
      </c>
      <c r="K672" s="73" t="n">
        <v>1</v>
      </c>
      <c r="L672" s="49" t="n">
        <v>51</v>
      </c>
      <c r="M672" s="67" t="n">
        <v>1.6</v>
      </c>
      <c r="N672" s="68" t="n">
        <f aca="false">K672*L672*M672</f>
        <v>81.6</v>
      </c>
      <c r="O672" s="34" t="n">
        <f aca="false">IFERROR(INDEX(Исходные!$B$18:$B$30,MATCH(H672,Исходные!$A$18:$A$30,0)),0)</f>
        <v>0.617</v>
      </c>
      <c r="P672" s="74" t="n">
        <f aca="false">N672*O672</f>
        <v>50.3472</v>
      </c>
      <c r="Q672" s="20" t="s">
        <v>742</v>
      </c>
      <c r="R672" s="75" t="s">
        <v>371</v>
      </c>
      <c r="S672" s="20"/>
      <c r="T672" s="20" t="s">
        <v>73</v>
      </c>
      <c r="U672" s="47" t="n">
        <v>0</v>
      </c>
      <c r="V672" s="70" t="s">
        <v>722</v>
      </c>
      <c r="W672" s="47" t="n">
        <v>2</v>
      </c>
    </row>
    <row r="673" customFormat="false" ht="35.05" hidden="false" customHeight="false" outlineLevel="0" collapsed="false">
      <c r="A673" s="70" t="n">
        <v>657</v>
      </c>
      <c r="B673" s="20" t="s">
        <v>1024</v>
      </c>
      <c r="C673" s="20" t="s">
        <v>512</v>
      </c>
      <c r="D673" s="20" t="s">
        <v>1237</v>
      </c>
      <c r="E673" s="20" t="s">
        <v>722</v>
      </c>
      <c r="F673" s="70" t="s">
        <v>563</v>
      </c>
      <c r="G673" s="20" t="s">
        <v>1154</v>
      </c>
      <c r="H673" s="49" t="n">
        <v>8</v>
      </c>
      <c r="I673" s="70" t="s">
        <v>403</v>
      </c>
      <c r="J673" s="70" t="s">
        <v>565</v>
      </c>
      <c r="K673" s="73" t="n">
        <v>1</v>
      </c>
      <c r="L673" s="49" t="n">
        <v>72</v>
      </c>
      <c r="M673" s="67" t="n">
        <v>0.75</v>
      </c>
      <c r="N673" s="68" t="n">
        <f aca="false">K673*L673*M673</f>
        <v>54</v>
      </c>
      <c r="O673" s="34" t="n">
        <f aca="false">IFERROR(INDEX(Исходные!$B$18:$B$30,MATCH(H673,Исходные!$A$18:$A$30,0)),0)</f>
        <v>0.395</v>
      </c>
      <c r="P673" s="74" t="n">
        <f aca="false">N673*O673</f>
        <v>21.33</v>
      </c>
      <c r="Q673" s="20" t="s">
        <v>566</v>
      </c>
      <c r="R673" s="75" t="s">
        <v>371</v>
      </c>
      <c r="S673" s="20"/>
      <c r="T673" s="20" t="s">
        <v>73</v>
      </c>
      <c r="U673" s="47" t="n">
        <v>0</v>
      </c>
      <c r="V673" s="70" t="s">
        <v>722</v>
      </c>
      <c r="W673" s="47" t="n">
        <v>2</v>
      </c>
    </row>
    <row r="674" customFormat="false" ht="35.05" hidden="false" customHeight="false" outlineLevel="0" collapsed="false">
      <c r="A674" s="70" t="n">
        <v>658</v>
      </c>
      <c r="B674" s="20" t="s">
        <v>1024</v>
      </c>
      <c r="C674" s="20" t="s">
        <v>512</v>
      </c>
      <c r="D674" s="20" t="s">
        <v>1237</v>
      </c>
      <c r="E674" s="20" t="s">
        <v>722</v>
      </c>
      <c r="F674" s="70" t="s">
        <v>567</v>
      </c>
      <c r="G674" s="20" t="s">
        <v>1155</v>
      </c>
      <c r="H674" s="49" t="n">
        <v>8</v>
      </c>
      <c r="I674" s="70" t="s">
        <v>403</v>
      </c>
      <c r="J674" s="70" t="n">
        <v>300</v>
      </c>
      <c r="K674" s="73" t="n">
        <v>1</v>
      </c>
      <c r="L674" s="49" t="n">
        <v>62</v>
      </c>
      <c r="M674" s="67" t="n">
        <v>0.58</v>
      </c>
      <c r="N674" s="68" t="n">
        <f aca="false">K674*L674*M674</f>
        <v>35.96</v>
      </c>
      <c r="O674" s="34" t="n">
        <f aca="false">IFERROR(INDEX(Исходные!$B$18:$B$30,MATCH(H674,Исходные!$A$18:$A$30,0)),0)</f>
        <v>0.395</v>
      </c>
      <c r="P674" s="74" t="n">
        <f aca="false">N674*O674</f>
        <v>14.2042</v>
      </c>
      <c r="Q674" s="20" t="s">
        <v>1156</v>
      </c>
      <c r="R674" s="76" t="s">
        <v>495</v>
      </c>
      <c r="S674" s="20"/>
      <c r="T674" s="20" t="s">
        <v>73</v>
      </c>
      <c r="U674" s="47" t="n">
        <v>1</v>
      </c>
      <c r="V674" s="70" t="s">
        <v>722</v>
      </c>
      <c r="W674" s="47" t="n">
        <v>2</v>
      </c>
    </row>
    <row r="675" customFormat="false" ht="35.05" hidden="false" customHeight="false" outlineLevel="0" collapsed="false">
      <c r="A675" s="70" t="n">
        <v>659</v>
      </c>
      <c r="B675" s="20" t="s">
        <v>1024</v>
      </c>
      <c r="C675" s="20" t="s">
        <v>512</v>
      </c>
      <c r="D675" s="20" t="s">
        <v>1250</v>
      </c>
      <c r="E675" s="20" t="s">
        <v>744</v>
      </c>
      <c r="F675" s="70" t="s">
        <v>376</v>
      </c>
      <c r="G675" s="20" t="s">
        <v>515</v>
      </c>
      <c r="H675" s="49" t="n">
        <v>28</v>
      </c>
      <c r="I675" s="70" t="s">
        <v>368</v>
      </c>
      <c r="J675" s="70" t="s">
        <v>369</v>
      </c>
      <c r="K675" s="73" t="n">
        <v>1</v>
      </c>
      <c r="L675" s="49" t="n">
        <v>4</v>
      </c>
      <c r="M675" s="67" t="n">
        <v>20.5</v>
      </c>
      <c r="N675" s="68" t="n">
        <f aca="false">K675*L675*M675</f>
        <v>82</v>
      </c>
      <c r="O675" s="34" t="n">
        <f aca="false">IFERROR(INDEX(Исходные!$B$18:$B$30,MATCH(H675,Исходные!$A$18:$A$30,0)),0)</f>
        <v>4.834</v>
      </c>
      <c r="P675" s="74" t="n">
        <f aca="false">N675*O675</f>
        <v>396.388</v>
      </c>
      <c r="Q675" s="20" t="s">
        <v>1251</v>
      </c>
      <c r="R675" s="75" t="s">
        <v>517</v>
      </c>
      <c r="S675" s="20" t="s">
        <v>689</v>
      </c>
      <c r="T675" s="20" t="s">
        <v>73</v>
      </c>
      <c r="U675" s="47" t="n">
        <v>0</v>
      </c>
      <c r="V675" s="70" t="s">
        <v>744</v>
      </c>
      <c r="W675" s="47" t="n">
        <v>2</v>
      </c>
    </row>
    <row r="676" customFormat="false" ht="35.05" hidden="false" customHeight="false" outlineLevel="0" collapsed="false">
      <c r="A676" s="70" t="n">
        <v>660</v>
      </c>
      <c r="B676" s="20" t="s">
        <v>1024</v>
      </c>
      <c r="C676" s="20" t="s">
        <v>512</v>
      </c>
      <c r="D676" s="20" t="s">
        <v>1250</v>
      </c>
      <c r="E676" s="20" t="s">
        <v>744</v>
      </c>
      <c r="F676" s="70" t="s">
        <v>386</v>
      </c>
      <c r="G676" s="20" t="s">
        <v>519</v>
      </c>
      <c r="H676" s="49" t="n">
        <v>18</v>
      </c>
      <c r="I676" s="70" t="s">
        <v>368</v>
      </c>
      <c r="J676" s="70" t="s">
        <v>369</v>
      </c>
      <c r="K676" s="73" t="n">
        <v>1</v>
      </c>
      <c r="L676" s="49" t="n">
        <v>2</v>
      </c>
      <c r="M676" s="67" t="n">
        <v>20.5</v>
      </c>
      <c r="N676" s="68" t="n">
        <f aca="false">K676*L676*M676</f>
        <v>41</v>
      </c>
      <c r="O676" s="34" t="n">
        <f aca="false">IFERROR(INDEX(Исходные!$B$18:$B$30,MATCH(H676,Исходные!$A$18:$A$30,0)),0)</f>
        <v>1.998</v>
      </c>
      <c r="P676" s="74" t="n">
        <f aca="false">N676*O676</f>
        <v>81.918</v>
      </c>
      <c r="Q676" s="20" t="s">
        <v>520</v>
      </c>
      <c r="R676" s="75" t="s">
        <v>517</v>
      </c>
      <c r="S676" s="20"/>
      <c r="T676" s="20" t="s">
        <v>73</v>
      </c>
      <c r="U676" s="47" t="n">
        <v>0</v>
      </c>
      <c r="V676" s="70" t="s">
        <v>744</v>
      </c>
      <c r="W676" s="47" t="n">
        <v>2</v>
      </c>
    </row>
    <row r="677" customFormat="false" ht="35.05" hidden="false" customHeight="false" outlineLevel="0" collapsed="false">
      <c r="A677" s="70" t="n">
        <v>661</v>
      </c>
      <c r="B677" s="20" t="s">
        <v>1024</v>
      </c>
      <c r="C677" s="20" t="s">
        <v>512</v>
      </c>
      <c r="D677" s="20" t="s">
        <v>1250</v>
      </c>
      <c r="E677" s="20" t="s">
        <v>744</v>
      </c>
      <c r="F677" s="70" t="s">
        <v>521</v>
      </c>
      <c r="G677" s="20" t="s">
        <v>690</v>
      </c>
      <c r="H677" s="49" t="n">
        <v>18</v>
      </c>
      <c r="I677" s="70" t="s">
        <v>368</v>
      </c>
      <c r="J677" s="70" t="s">
        <v>369</v>
      </c>
      <c r="K677" s="73" t="n">
        <v>2</v>
      </c>
      <c r="L677" s="49" t="n">
        <v>1</v>
      </c>
      <c r="M677" s="67" t="n">
        <v>0.144</v>
      </c>
      <c r="N677" s="68" t="n">
        <f aca="false">K677*L677*M677</f>
        <v>0.288</v>
      </c>
      <c r="O677" s="34" t="n">
        <f aca="false">IFERROR(INDEX(Исходные!$B$18:$B$30,MATCH(H677,Исходные!$A$18:$A$30,0)),0)</f>
        <v>1.998</v>
      </c>
      <c r="P677" s="74" t="n">
        <f aca="false">N677*O677</f>
        <v>0.575424</v>
      </c>
      <c r="Q677" s="20" t="s">
        <v>523</v>
      </c>
      <c r="R677" s="75" t="s">
        <v>524</v>
      </c>
      <c r="S677" s="20" t="s">
        <v>662</v>
      </c>
      <c r="T677" s="20" t="s">
        <v>73</v>
      </c>
      <c r="U677" s="47" t="n">
        <v>0</v>
      </c>
      <c r="V677" s="70" t="s">
        <v>744</v>
      </c>
      <c r="W677" s="47" t="n">
        <v>2</v>
      </c>
    </row>
    <row r="678" customFormat="false" ht="35.05" hidden="false" customHeight="false" outlineLevel="0" collapsed="false">
      <c r="A678" s="70" t="n">
        <v>662</v>
      </c>
      <c r="B678" s="20" t="s">
        <v>1024</v>
      </c>
      <c r="C678" s="20" t="s">
        <v>512</v>
      </c>
      <c r="D678" s="20" t="s">
        <v>1250</v>
      </c>
      <c r="E678" s="20" t="s">
        <v>744</v>
      </c>
      <c r="F678" s="70" t="s">
        <v>526</v>
      </c>
      <c r="G678" s="20" t="s">
        <v>527</v>
      </c>
      <c r="H678" s="49" t="n">
        <v>16</v>
      </c>
      <c r="I678" s="70" t="s">
        <v>368</v>
      </c>
      <c r="J678" s="70" t="s">
        <v>369</v>
      </c>
      <c r="K678" s="73" t="n">
        <v>1</v>
      </c>
      <c r="L678" s="49" t="n">
        <v>2</v>
      </c>
      <c r="M678" s="67" t="n">
        <v>20.5</v>
      </c>
      <c r="N678" s="68" t="n">
        <f aca="false">K678*L678*M678</f>
        <v>41</v>
      </c>
      <c r="O678" s="34" t="n">
        <f aca="false">IFERROR(INDEX(Исходные!$B$18:$B$30,MATCH(H678,Исходные!$A$18:$A$30,0)),0)</f>
        <v>1.578</v>
      </c>
      <c r="P678" s="74" t="n">
        <f aca="false">N678*O678</f>
        <v>64.698</v>
      </c>
      <c r="Q678" s="20" t="s">
        <v>528</v>
      </c>
      <c r="R678" s="75" t="s">
        <v>517</v>
      </c>
      <c r="S678" s="20"/>
      <c r="T678" s="20" t="s">
        <v>73</v>
      </c>
      <c r="U678" s="47" t="n">
        <v>0</v>
      </c>
      <c r="V678" s="70" t="s">
        <v>744</v>
      </c>
      <c r="W678" s="47" t="n">
        <v>2</v>
      </c>
    </row>
    <row r="679" customFormat="false" ht="35.05" hidden="false" customHeight="false" outlineLevel="0" collapsed="false">
      <c r="A679" s="70" t="n">
        <v>663</v>
      </c>
      <c r="B679" s="20" t="s">
        <v>1024</v>
      </c>
      <c r="C679" s="20" t="s">
        <v>512</v>
      </c>
      <c r="D679" s="20" t="s">
        <v>1250</v>
      </c>
      <c r="E679" s="20" t="s">
        <v>744</v>
      </c>
      <c r="F679" s="70" t="s">
        <v>529</v>
      </c>
      <c r="G679" s="20" t="s">
        <v>691</v>
      </c>
      <c r="H679" s="49" t="n">
        <v>16</v>
      </c>
      <c r="I679" s="70" t="s">
        <v>368</v>
      </c>
      <c r="J679" s="70" t="s">
        <v>369</v>
      </c>
      <c r="K679" s="73" t="n">
        <v>2</v>
      </c>
      <c r="L679" s="49" t="n">
        <v>1</v>
      </c>
      <c r="M679" s="67" t="n">
        <v>0.128</v>
      </c>
      <c r="N679" s="68" t="n">
        <f aca="false">K679*L679*M679</f>
        <v>0.256</v>
      </c>
      <c r="O679" s="34" t="n">
        <f aca="false">IFERROR(INDEX(Исходные!$B$18:$B$30,MATCH(H679,Исходные!$A$18:$A$30,0)),0)</f>
        <v>1.578</v>
      </c>
      <c r="P679" s="74" t="n">
        <f aca="false">N679*O679</f>
        <v>0.403968</v>
      </c>
      <c r="Q679" s="20" t="s">
        <v>531</v>
      </c>
      <c r="R679" s="75" t="s">
        <v>524</v>
      </c>
      <c r="S679" s="20" t="s">
        <v>664</v>
      </c>
      <c r="T679" s="20" t="s">
        <v>73</v>
      </c>
      <c r="U679" s="47" t="n">
        <v>0</v>
      </c>
      <c r="V679" s="70" t="s">
        <v>744</v>
      </c>
      <c r="W679" s="47" t="n">
        <v>2</v>
      </c>
    </row>
    <row r="680" customFormat="false" ht="35.05" hidden="false" customHeight="false" outlineLevel="0" collapsed="false">
      <c r="A680" s="70" t="n">
        <v>664</v>
      </c>
      <c r="B680" s="20" t="s">
        <v>1024</v>
      </c>
      <c r="C680" s="20" t="s">
        <v>512</v>
      </c>
      <c r="D680" s="20" t="s">
        <v>1250</v>
      </c>
      <c r="E680" s="20" t="s">
        <v>744</v>
      </c>
      <c r="F680" s="70" t="s">
        <v>533</v>
      </c>
      <c r="G680" s="20" t="s">
        <v>1252</v>
      </c>
      <c r="H680" s="49" t="n">
        <v>25</v>
      </c>
      <c r="I680" s="70" t="s">
        <v>368</v>
      </c>
      <c r="J680" s="70" t="s">
        <v>369</v>
      </c>
      <c r="K680" s="73" t="n">
        <v>1</v>
      </c>
      <c r="L680" s="49" t="n">
        <v>2</v>
      </c>
      <c r="M680" s="67" t="n">
        <v>2.4</v>
      </c>
      <c r="N680" s="68" t="n">
        <f aca="false">K680*L680*M680</f>
        <v>4.8</v>
      </c>
      <c r="O680" s="34" t="n">
        <f aca="false">IFERROR(INDEX(Исходные!$B$18:$B$30,MATCH(H680,Исходные!$A$18:$A$30,0)),0)</f>
        <v>3.853</v>
      </c>
      <c r="P680" s="74" t="n">
        <f aca="false">N680*O680</f>
        <v>18.4944</v>
      </c>
      <c r="Q680" s="20" t="s">
        <v>1253</v>
      </c>
      <c r="R680" s="75" t="s">
        <v>517</v>
      </c>
      <c r="S680" s="20" t="s">
        <v>694</v>
      </c>
      <c r="T680" s="20" t="s">
        <v>73</v>
      </c>
      <c r="U680" s="47" t="n">
        <v>0</v>
      </c>
      <c r="V680" s="70" t="s">
        <v>744</v>
      </c>
      <c r="W680" s="47" t="n">
        <v>2</v>
      </c>
    </row>
    <row r="681" customFormat="false" ht="35.05" hidden="false" customHeight="false" outlineLevel="0" collapsed="false">
      <c r="A681" s="70" t="n">
        <v>665</v>
      </c>
      <c r="B681" s="20" t="s">
        <v>1024</v>
      </c>
      <c r="C681" s="20" t="s">
        <v>512</v>
      </c>
      <c r="D681" s="20" t="s">
        <v>1250</v>
      </c>
      <c r="E681" s="20" t="s">
        <v>744</v>
      </c>
      <c r="F681" s="70" t="s">
        <v>533</v>
      </c>
      <c r="G681" s="20" t="s">
        <v>1254</v>
      </c>
      <c r="H681" s="49" t="n">
        <v>25</v>
      </c>
      <c r="I681" s="70" t="s">
        <v>368</v>
      </c>
      <c r="J681" s="70" t="s">
        <v>369</v>
      </c>
      <c r="K681" s="73" t="n">
        <v>1</v>
      </c>
      <c r="L681" s="49" t="n">
        <v>2</v>
      </c>
      <c r="M681" s="67" t="n">
        <v>2.4</v>
      </c>
      <c r="N681" s="68" t="n">
        <f aca="false">K681*L681*M681</f>
        <v>4.8</v>
      </c>
      <c r="O681" s="34" t="n">
        <f aca="false">IFERROR(INDEX(Исходные!$B$18:$B$30,MATCH(H681,Исходные!$A$18:$A$30,0)),0)</f>
        <v>3.853</v>
      </c>
      <c r="P681" s="74" t="n">
        <f aca="false">N681*O681</f>
        <v>18.4944</v>
      </c>
      <c r="Q681" s="20" t="s">
        <v>1253</v>
      </c>
      <c r="R681" s="75" t="s">
        <v>517</v>
      </c>
      <c r="S681" s="20" t="s">
        <v>694</v>
      </c>
      <c r="T681" s="20" t="s">
        <v>73</v>
      </c>
      <c r="U681" s="47" t="n">
        <v>0</v>
      </c>
      <c r="V681" s="70" t="s">
        <v>744</v>
      </c>
      <c r="W681" s="47" t="n">
        <v>2</v>
      </c>
    </row>
    <row r="682" customFormat="false" ht="35.05" hidden="false" customHeight="false" outlineLevel="0" collapsed="false">
      <c r="A682" s="70" t="n">
        <v>666</v>
      </c>
      <c r="B682" s="20" t="s">
        <v>1024</v>
      </c>
      <c r="C682" s="20" t="s">
        <v>512</v>
      </c>
      <c r="D682" s="20" t="s">
        <v>1250</v>
      </c>
      <c r="E682" s="20" t="s">
        <v>744</v>
      </c>
      <c r="F682" s="70" t="s">
        <v>533</v>
      </c>
      <c r="G682" s="20" t="s">
        <v>748</v>
      </c>
      <c r="H682" s="49" t="n">
        <v>32</v>
      </c>
      <c r="I682" s="70" t="s">
        <v>368</v>
      </c>
      <c r="J682" s="70" t="s">
        <v>369</v>
      </c>
      <c r="K682" s="73" t="n">
        <v>1</v>
      </c>
      <c r="L682" s="49" t="n">
        <v>2</v>
      </c>
      <c r="M682" s="67" t="n">
        <v>3.4</v>
      </c>
      <c r="N682" s="68" t="n">
        <f aca="false">K682*L682*M682</f>
        <v>6.8</v>
      </c>
      <c r="O682" s="34" t="n">
        <f aca="false">IFERROR(INDEX(Исходные!$B$18:$B$30,MATCH(H682,Исходные!$A$18:$A$30,0)),0)</f>
        <v>6.313</v>
      </c>
      <c r="P682" s="74" t="n">
        <f aca="false">N682*O682</f>
        <v>42.9284</v>
      </c>
      <c r="Q682" s="20" t="s">
        <v>1255</v>
      </c>
      <c r="R682" s="75" t="s">
        <v>517</v>
      </c>
      <c r="S682" s="20" t="s">
        <v>749</v>
      </c>
      <c r="T682" s="20" t="s">
        <v>73</v>
      </c>
      <c r="U682" s="47" t="n">
        <v>0</v>
      </c>
      <c r="V682" s="70" t="s">
        <v>744</v>
      </c>
      <c r="W682" s="47" t="n">
        <v>2</v>
      </c>
    </row>
    <row r="683" customFormat="false" ht="35.05" hidden="false" customHeight="false" outlineLevel="0" collapsed="false">
      <c r="A683" s="70" t="n">
        <v>667</v>
      </c>
      <c r="B683" s="20" t="s">
        <v>1024</v>
      </c>
      <c r="C683" s="20" t="s">
        <v>512</v>
      </c>
      <c r="D683" s="20" t="s">
        <v>1250</v>
      </c>
      <c r="E683" s="20" t="s">
        <v>744</v>
      </c>
      <c r="F683" s="70" t="s">
        <v>533</v>
      </c>
      <c r="G683" s="20" t="s">
        <v>701</v>
      </c>
      <c r="H683" s="49" t="n">
        <v>32</v>
      </c>
      <c r="I683" s="70" t="s">
        <v>368</v>
      </c>
      <c r="J683" s="70" t="s">
        <v>369</v>
      </c>
      <c r="K683" s="73" t="n">
        <v>1</v>
      </c>
      <c r="L683" s="49" t="n">
        <v>2</v>
      </c>
      <c r="M683" s="67" t="n">
        <v>3.6</v>
      </c>
      <c r="N683" s="68" t="n">
        <f aca="false">K683*L683*M683</f>
        <v>7.2</v>
      </c>
      <c r="O683" s="34" t="n">
        <f aca="false">IFERROR(INDEX(Исходные!$B$18:$B$30,MATCH(H683,Исходные!$A$18:$A$30,0)),0)</f>
        <v>6.313</v>
      </c>
      <c r="P683" s="74" t="n">
        <f aca="false">N683*O683</f>
        <v>45.4536</v>
      </c>
      <c r="Q683" s="20" t="s">
        <v>1255</v>
      </c>
      <c r="R683" s="75" t="s">
        <v>517</v>
      </c>
      <c r="S683" s="20" t="s">
        <v>702</v>
      </c>
      <c r="T683" s="20" t="s">
        <v>73</v>
      </c>
      <c r="U683" s="47" t="n">
        <v>0</v>
      </c>
      <c r="V683" s="70" t="s">
        <v>744</v>
      </c>
      <c r="W683" s="47" t="n">
        <v>2</v>
      </c>
    </row>
    <row r="684" customFormat="false" ht="35.05" hidden="false" customHeight="false" outlineLevel="0" collapsed="false">
      <c r="A684" s="70" t="n">
        <v>668</v>
      </c>
      <c r="B684" s="20" t="s">
        <v>1024</v>
      </c>
      <c r="C684" s="20" t="s">
        <v>512</v>
      </c>
      <c r="D684" s="20" t="s">
        <v>1250</v>
      </c>
      <c r="E684" s="20" t="s">
        <v>744</v>
      </c>
      <c r="F684" s="70" t="s">
        <v>533</v>
      </c>
      <c r="G684" s="20" t="s">
        <v>703</v>
      </c>
      <c r="H684" s="49" t="n">
        <v>32</v>
      </c>
      <c r="I684" s="70" t="s">
        <v>368</v>
      </c>
      <c r="J684" s="70" t="s">
        <v>369</v>
      </c>
      <c r="K684" s="73" t="n">
        <v>1</v>
      </c>
      <c r="L684" s="49" t="n">
        <v>2</v>
      </c>
      <c r="M684" s="67" t="n">
        <v>2.85</v>
      </c>
      <c r="N684" s="68" t="n">
        <f aca="false">K684*L684*M684</f>
        <v>5.7</v>
      </c>
      <c r="O684" s="34" t="n">
        <f aca="false">IFERROR(INDEX(Исходные!$B$18:$B$30,MATCH(H684,Исходные!$A$18:$A$30,0)),0)</f>
        <v>6.313</v>
      </c>
      <c r="P684" s="74" t="n">
        <f aca="false">N684*O684</f>
        <v>35.9841</v>
      </c>
      <c r="Q684" s="20" t="s">
        <v>1255</v>
      </c>
      <c r="R684" s="75" t="s">
        <v>517</v>
      </c>
      <c r="S684" s="20" t="s">
        <v>1221</v>
      </c>
      <c r="T684" s="20" t="s">
        <v>73</v>
      </c>
      <c r="U684" s="47" t="n">
        <v>0</v>
      </c>
      <c r="V684" s="70" t="s">
        <v>744</v>
      </c>
      <c r="W684" s="47" t="n">
        <v>2</v>
      </c>
    </row>
    <row r="685" customFormat="false" ht="35.05" hidden="false" customHeight="false" outlineLevel="0" collapsed="false">
      <c r="A685" s="70" t="n">
        <v>669</v>
      </c>
      <c r="B685" s="20" t="s">
        <v>1024</v>
      </c>
      <c r="C685" s="20" t="s">
        <v>512</v>
      </c>
      <c r="D685" s="20" t="s">
        <v>1250</v>
      </c>
      <c r="E685" s="20" t="s">
        <v>744</v>
      </c>
      <c r="F685" s="70" t="s">
        <v>533</v>
      </c>
      <c r="G685" s="20" t="s">
        <v>1256</v>
      </c>
      <c r="H685" s="49" t="n">
        <v>28</v>
      </c>
      <c r="I685" s="70" t="s">
        <v>368</v>
      </c>
      <c r="J685" s="70" t="s">
        <v>369</v>
      </c>
      <c r="K685" s="73" t="n">
        <v>1</v>
      </c>
      <c r="L685" s="49" t="n">
        <v>2</v>
      </c>
      <c r="M685" s="67" t="n">
        <v>6.2</v>
      </c>
      <c r="N685" s="68" t="n">
        <f aca="false">K685*L685*M685</f>
        <v>12.4</v>
      </c>
      <c r="O685" s="34" t="n">
        <f aca="false">IFERROR(INDEX(Исходные!$B$18:$B$30,MATCH(H685,Исходные!$A$18:$A$30,0)),0)</f>
        <v>4.834</v>
      </c>
      <c r="P685" s="74" t="n">
        <f aca="false">N685*O685</f>
        <v>59.9416</v>
      </c>
      <c r="Q685" s="20" t="s">
        <v>1257</v>
      </c>
      <c r="R685" s="75" t="s">
        <v>517</v>
      </c>
      <c r="S685" s="20" t="s">
        <v>754</v>
      </c>
      <c r="T685" s="20" t="s">
        <v>73</v>
      </c>
      <c r="U685" s="47" t="n">
        <v>0</v>
      </c>
      <c r="V685" s="70" t="s">
        <v>744</v>
      </c>
      <c r="W685" s="47" t="n">
        <v>2</v>
      </c>
    </row>
    <row r="686" customFormat="false" ht="35.05" hidden="false" customHeight="false" outlineLevel="0" collapsed="false">
      <c r="A686" s="70" t="n">
        <v>670</v>
      </c>
      <c r="B686" s="20" t="s">
        <v>1024</v>
      </c>
      <c r="C686" s="20" t="s">
        <v>512</v>
      </c>
      <c r="D686" s="20" t="s">
        <v>1250</v>
      </c>
      <c r="E686" s="20" t="s">
        <v>744</v>
      </c>
      <c r="F686" s="70" t="s">
        <v>533</v>
      </c>
      <c r="G686" s="20" t="s">
        <v>755</v>
      </c>
      <c r="H686" s="49" t="n">
        <v>20</v>
      </c>
      <c r="I686" s="70" t="s">
        <v>368</v>
      </c>
      <c r="J686" s="70" t="s">
        <v>369</v>
      </c>
      <c r="K686" s="73" t="n">
        <v>1</v>
      </c>
      <c r="L686" s="49" t="n">
        <v>2</v>
      </c>
      <c r="M686" s="67" t="n">
        <v>3</v>
      </c>
      <c r="N686" s="68" t="n">
        <f aca="false">K686*L686*M686</f>
        <v>6</v>
      </c>
      <c r="O686" s="34" t="n">
        <f aca="false">IFERROR(INDEX(Исходные!$B$18:$B$30,MATCH(H686,Исходные!$A$18:$A$30,0)),0)</f>
        <v>2.466</v>
      </c>
      <c r="P686" s="74" t="n">
        <f aca="false">N686*O686</f>
        <v>14.796</v>
      </c>
      <c r="Q686" s="20" t="s">
        <v>1258</v>
      </c>
      <c r="R686" s="75" t="s">
        <v>517</v>
      </c>
      <c r="S686" s="20" t="s">
        <v>679</v>
      </c>
      <c r="T686" s="20" t="s">
        <v>73</v>
      </c>
      <c r="U686" s="47" t="n">
        <v>0</v>
      </c>
      <c r="V686" s="70" t="s">
        <v>744</v>
      </c>
      <c r="W686" s="47" t="n">
        <v>2</v>
      </c>
    </row>
    <row r="687" customFormat="false" ht="35.05" hidden="false" customHeight="false" outlineLevel="0" collapsed="false">
      <c r="A687" s="70" t="n">
        <v>671</v>
      </c>
      <c r="B687" s="20" t="s">
        <v>1024</v>
      </c>
      <c r="C687" s="20" t="s">
        <v>512</v>
      </c>
      <c r="D687" s="20" t="s">
        <v>1250</v>
      </c>
      <c r="E687" s="20" t="s">
        <v>744</v>
      </c>
      <c r="F687" s="70" t="s">
        <v>533</v>
      </c>
      <c r="G687" s="20" t="s">
        <v>1259</v>
      </c>
      <c r="H687" s="49" t="n">
        <v>16</v>
      </c>
      <c r="I687" s="70" t="s">
        <v>368</v>
      </c>
      <c r="J687" s="70" t="s">
        <v>369</v>
      </c>
      <c r="K687" s="73" t="n">
        <v>1</v>
      </c>
      <c r="L687" s="49" t="n">
        <v>2</v>
      </c>
      <c r="M687" s="67" t="n">
        <v>3.6</v>
      </c>
      <c r="N687" s="68" t="n">
        <f aca="false">K687*L687*M687</f>
        <v>7.2</v>
      </c>
      <c r="O687" s="34" t="n">
        <f aca="false">IFERROR(INDEX(Исходные!$B$18:$B$30,MATCH(H687,Исходные!$A$18:$A$30,0)),0)</f>
        <v>1.578</v>
      </c>
      <c r="P687" s="74" t="n">
        <f aca="false">N687*O687</f>
        <v>11.3616</v>
      </c>
      <c r="Q687" s="20" t="s">
        <v>1260</v>
      </c>
      <c r="R687" s="75" t="s">
        <v>517</v>
      </c>
      <c r="S687" s="20" t="s">
        <v>702</v>
      </c>
      <c r="T687" s="20" t="s">
        <v>73</v>
      </c>
      <c r="U687" s="47" t="n">
        <v>0</v>
      </c>
      <c r="V687" s="70" t="s">
        <v>744</v>
      </c>
      <c r="W687" s="47" t="n">
        <v>2</v>
      </c>
    </row>
    <row r="688" customFormat="false" ht="35.05" hidden="false" customHeight="false" outlineLevel="0" collapsed="false">
      <c r="A688" s="70" t="n">
        <v>672</v>
      </c>
      <c r="B688" s="20" t="s">
        <v>1024</v>
      </c>
      <c r="C688" s="20" t="s">
        <v>512</v>
      </c>
      <c r="D688" s="20" t="s">
        <v>1250</v>
      </c>
      <c r="E688" s="20" t="s">
        <v>744</v>
      </c>
      <c r="F688" s="70" t="s">
        <v>533</v>
      </c>
      <c r="G688" s="20" t="s">
        <v>757</v>
      </c>
      <c r="H688" s="49" t="n">
        <v>16</v>
      </c>
      <c r="I688" s="70" t="s">
        <v>368</v>
      </c>
      <c r="J688" s="70" t="s">
        <v>369</v>
      </c>
      <c r="K688" s="73" t="n">
        <v>1</v>
      </c>
      <c r="L688" s="49" t="n">
        <v>2</v>
      </c>
      <c r="M688" s="67" t="n">
        <v>2.3</v>
      </c>
      <c r="N688" s="68" t="n">
        <f aca="false">K688*L688*M688</f>
        <v>4.6</v>
      </c>
      <c r="O688" s="34" t="n">
        <f aca="false">IFERROR(INDEX(Исходные!$B$18:$B$30,MATCH(H688,Исходные!$A$18:$A$30,0)),0)</f>
        <v>1.578</v>
      </c>
      <c r="P688" s="74" t="n">
        <f aca="false">N688*O688</f>
        <v>7.2588</v>
      </c>
      <c r="Q688" s="20" t="s">
        <v>1260</v>
      </c>
      <c r="R688" s="75" t="s">
        <v>517</v>
      </c>
      <c r="S688" s="20" t="s">
        <v>759</v>
      </c>
      <c r="T688" s="20" t="s">
        <v>73</v>
      </c>
      <c r="U688" s="47" t="n">
        <v>0</v>
      </c>
      <c r="V688" s="70" t="s">
        <v>744</v>
      </c>
      <c r="W688" s="47" t="n">
        <v>2</v>
      </c>
    </row>
    <row r="689" customFormat="false" ht="35.05" hidden="false" customHeight="false" outlineLevel="0" collapsed="false">
      <c r="A689" s="70" t="n">
        <v>673</v>
      </c>
      <c r="B689" s="20" t="s">
        <v>1024</v>
      </c>
      <c r="C689" s="20" t="s">
        <v>512</v>
      </c>
      <c r="D689" s="20" t="s">
        <v>1250</v>
      </c>
      <c r="E689" s="20" t="s">
        <v>744</v>
      </c>
      <c r="F689" s="70" t="s">
        <v>533</v>
      </c>
      <c r="G689" s="20" t="s">
        <v>1261</v>
      </c>
      <c r="H689" s="49" t="n">
        <v>14</v>
      </c>
      <c r="I689" s="70" t="s">
        <v>368</v>
      </c>
      <c r="J689" s="70" t="s">
        <v>369</v>
      </c>
      <c r="K689" s="73" t="n">
        <v>1</v>
      </c>
      <c r="L689" s="49" t="n">
        <v>2</v>
      </c>
      <c r="M689" s="67" t="n">
        <v>3.4</v>
      </c>
      <c r="N689" s="68" t="n">
        <f aca="false">K689*L689*M689</f>
        <v>6.8</v>
      </c>
      <c r="O689" s="34" t="n">
        <f aca="false">IFERROR(INDEX(Исходные!$B$18:$B$30,MATCH(H689,Исходные!$A$18:$A$30,0)),0)</f>
        <v>1.208</v>
      </c>
      <c r="P689" s="74" t="n">
        <f aca="false">N689*O689</f>
        <v>8.2144</v>
      </c>
      <c r="Q689" s="20" t="s">
        <v>1262</v>
      </c>
      <c r="R689" s="75" t="s">
        <v>517</v>
      </c>
      <c r="S689" s="20" t="s">
        <v>749</v>
      </c>
      <c r="T689" s="20" t="s">
        <v>73</v>
      </c>
      <c r="U689" s="47" t="n">
        <v>0</v>
      </c>
      <c r="V689" s="70" t="s">
        <v>744</v>
      </c>
      <c r="W689" s="47" t="n">
        <v>2</v>
      </c>
    </row>
    <row r="690" customFormat="false" ht="35.05" hidden="false" customHeight="false" outlineLevel="0" collapsed="false">
      <c r="A690" s="70" t="n">
        <v>674</v>
      </c>
      <c r="B690" s="20" t="s">
        <v>1024</v>
      </c>
      <c r="C690" s="20" t="s">
        <v>512</v>
      </c>
      <c r="D690" s="20" t="s">
        <v>1250</v>
      </c>
      <c r="E690" s="20" t="s">
        <v>744</v>
      </c>
      <c r="F690" s="70" t="s">
        <v>533</v>
      </c>
      <c r="G690" s="20" t="s">
        <v>760</v>
      </c>
      <c r="H690" s="49" t="n">
        <v>12</v>
      </c>
      <c r="I690" s="70" t="s">
        <v>368</v>
      </c>
      <c r="J690" s="70" t="s">
        <v>369</v>
      </c>
      <c r="K690" s="73" t="n">
        <v>1</v>
      </c>
      <c r="L690" s="49" t="n">
        <v>4</v>
      </c>
      <c r="M690" s="67" t="n">
        <v>2.4</v>
      </c>
      <c r="N690" s="68" t="n">
        <f aca="false">K690*L690*M690</f>
        <v>9.6</v>
      </c>
      <c r="O690" s="34" t="n">
        <f aca="false">IFERROR(INDEX(Исходные!$B$18:$B$30,MATCH(H690,Исходные!$A$18:$A$30,0)),0)</f>
        <v>0.888</v>
      </c>
      <c r="P690" s="74" t="n">
        <f aca="false">N690*O690</f>
        <v>8.5248</v>
      </c>
      <c r="Q690" s="20" t="s">
        <v>1263</v>
      </c>
      <c r="R690" s="75" t="s">
        <v>517</v>
      </c>
      <c r="S690" s="20" t="s">
        <v>694</v>
      </c>
      <c r="T690" s="20" t="s">
        <v>73</v>
      </c>
      <c r="U690" s="47" t="n">
        <v>0</v>
      </c>
      <c r="V690" s="70" t="s">
        <v>744</v>
      </c>
      <c r="W690" s="47" t="n">
        <v>2</v>
      </c>
    </row>
    <row r="691" customFormat="false" ht="35.05" hidden="false" customHeight="false" outlineLevel="0" collapsed="false">
      <c r="A691" s="70" t="n">
        <v>675</v>
      </c>
      <c r="B691" s="20" t="s">
        <v>1024</v>
      </c>
      <c r="C691" s="20" t="s">
        <v>512</v>
      </c>
      <c r="D691" s="20" t="s">
        <v>1250</v>
      </c>
      <c r="E691" s="20" t="s">
        <v>744</v>
      </c>
      <c r="F691" s="70" t="s">
        <v>533</v>
      </c>
      <c r="G691" s="20" t="s">
        <v>762</v>
      </c>
      <c r="H691" s="49" t="n">
        <v>12</v>
      </c>
      <c r="I691" s="70" t="s">
        <v>368</v>
      </c>
      <c r="J691" s="70" t="s">
        <v>369</v>
      </c>
      <c r="K691" s="73" t="n">
        <v>1</v>
      </c>
      <c r="L691" s="49" t="n">
        <v>4</v>
      </c>
      <c r="M691" s="67" t="n">
        <v>3.4</v>
      </c>
      <c r="N691" s="68" t="n">
        <f aca="false">K691*L691*M691</f>
        <v>13.6</v>
      </c>
      <c r="O691" s="34" t="n">
        <f aca="false">IFERROR(INDEX(Исходные!$B$18:$B$30,MATCH(H691,Исходные!$A$18:$A$30,0)),0)</f>
        <v>0.888</v>
      </c>
      <c r="P691" s="74" t="n">
        <f aca="false">N691*O691</f>
        <v>12.0768</v>
      </c>
      <c r="Q691" s="20" t="s">
        <v>1263</v>
      </c>
      <c r="R691" s="75" t="s">
        <v>517</v>
      </c>
      <c r="S691" s="20" t="s">
        <v>749</v>
      </c>
      <c r="T691" s="20" t="s">
        <v>73</v>
      </c>
      <c r="U691" s="47" t="n">
        <v>0</v>
      </c>
      <c r="V691" s="70" t="s">
        <v>744</v>
      </c>
      <c r="W691" s="47" t="n">
        <v>2</v>
      </c>
    </row>
    <row r="692" customFormat="false" ht="35.05" hidden="false" customHeight="false" outlineLevel="0" collapsed="false">
      <c r="A692" s="70" t="n">
        <v>676</v>
      </c>
      <c r="B692" s="20" t="s">
        <v>1024</v>
      </c>
      <c r="C692" s="20" t="s">
        <v>512</v>
      </c>
      <c r="D692" s="20" t="s">
        <v>1250</v>
      </c>
      <c r="E692" s="20" t="s">
        <v>744</v>
      </c>
      <c r="F692" s="70" t="s">
        <v>533</v>
      </c>
      <c r="G692" s="20" t="s">
        <v>763</v>
      </c>
      <c r="H692" s="49" t="n">
        <v>12</v>
      </c>
      <c r="I692" s="70" t="s">
        <v>368</v>
      </c>
      <c r="J692" s="70" t="s">
        <v>369</v>
      </c>
      <c r="K692" s="73" t="n">
        <v>1</v>
      </c>
      <c r="L692" s="49" t="n">
        <v>4</v>
      </c>
      <c r="M692" s="67" t="n">
        <v>3.6</v>
      </c>
      <c r="N692" s="68" t="n">
        <f aca="false">K692*L692*M692</f>
        <v>14.4</v>
      </c>
      <c r="O692" s="34" t="n">
        <f aca="false">IFERROR(INDEX(Исходные!$B$18:$B$30,MATCH(H692,Исходные!$A$18:$A$30,0)),0)</f>
        <v>0.888</v>
      </c>
      <c r="P692" s="74" t="n">
        <f aca="false">N692*O692</f>
        <v>12.7872</v>
      </c>
      <c r="Q692" s="20" t="s">
        <v>1263</v>
      </c>
      <c r="R692" s="75" t="s">
        <v>517</v>
      </c>
      <c r="S692" s="20" t="s">
        <v>702</v>
      </c>
      <c r="T692" s="20" t="s">
        <v>73</v>
      </c>
      <c r="U692" s="47" t="n">
        <v>0</v>
      </c>
      <c r="V692" s="70" t="s">
        <v>744</v>
      </c>
      <c r="W692" s="47" t="n">
        <v>2</v>
      </c>
    </row>
    <row r="693" customFormat="false" ht="35.05" hidden="false" customHeight="false" outlineLevel="0" collapsed="false">
      <c r="A693" s="70" t="n">
        <v>677</v>
      </c>
      <c r="B693" s="20" t="s">
        <v>1024</v>
      </c>
      <c r="C693" s="20" t="s">
        <v>512</v>
      </c>
      <c r="D693" s="20" t="s">
        <v>1250</v>
      </c>
      <c r="E693" s="20" t="s">
        <v>744</v>
      </c>
      <c r="F693" s="70" t="s">
        <v>533</v>
      </c>
      <c r="G693" s="20" t="s">
        <v>764</v>
      </c>
      <c r="H693" s="49" t="n">
        <v>12</v>
      </c>
      <c r="I693" s="70" t="s">
        <v>368</v>
      </c>
      <c r="J693" s="70" t="s">
        <v>369</v>
      </c>
      <c r="K693" s="73" t="n">
        <v>1</v>
      </c>
      <c r="L693" s="49" t="n">
        <v>4</v>
      </c>
      <c r="M693" s="67" t="n">
        <v>2.3</v>
      </c>
      <c r="N693" s="68" t="n">
        <f aca="false">K693*L693*M693</f>
        <v>9.2</v>
      </c>
      <c r="O693" s="34" t="n">
        <f aca="false">IFERROR(INDEX(Исходные!$B$18:$B$30,MATCH(H693,Исходные!$A$18:$A$30,0)),0)</f>
        <v>0.888</v>
      </c>
      <c r="P693" s="74" t="n">
        <f aca="false">N693*O693</f>
        <v>8.1696</v>
      </c>
      <c r="Q693" s="20" t="s">
        <v>1263</v>
      </c>
      <c r="R693" s="75" t="s">
        <v>517</v>
      </c>
      <c r="S693" s="20" t="s">
        <v>759</v>
      </c>
      <c r="T693" s="20" t="s">
        <v>73</v>
      </c>
      <c r="U693" s="47" t="n">
        <v>0</v>
      </c>
      <c r="V693" s="70" t="s">
        <v>744</v>
      </c>
      <c r="W693" s="47" t="n">
        <v>2</v>
      </c>
    </row>
    <row r="694" customFormat="false" ht="35.05" hidden="false" customHeight="false" outlineLevel="0" collapsed="false">
      <c r="A694" s="70" t="n">
        <v>678</v>
      </c>
      <c r="B694" s="20" t="s">
        <v>1024</v>
      </c>
      <c r="C694" s="20" t="s">
        <v>512</v>
      </c>
      <c r="D694" s="20" t="s">
        <v>1250</v>
      </c>
      <c r="E694" s="20" t="s">
        <v>744</v>
      </c>
      <c r="F694" s="70" t="s">
        <v>553</v>
      </c>
      <c r="G694" s="20" t="s">
        <v>1148</v>
      </c>
      <c r="H694" s="49" t="n">
        <v>8</v>
      </c>
      <c r="I694" s="70" t="s">
        <v>403</v>
      </c>
      <c r="J694" s="70" t="s">
        <v>555</v>
      </c>
      <c r="K694" s="73" t="n">
        <v>1</v>
      </c>
      <c r="L694" s="49" t="n">
        <v>51</v>
      </c>
      <c r="M694" s="67" t="n">
        <v>2.06</v>
      </c>
      <c r="N694" s="68" t="n">
        <f aca="false">K694*L694*M694</f>
        <v>105.06</v>
      </c>
      <c r="O694" s="34" t="n">
        <f aca="false">IFERROR(INDEX(Исходные!$B$18:$B$30,MATCH(H694,Исходные!$A$18:$A$30,0)),0)</f>
        <v>0.395</v>
      </c>
      <c r="P694" s="74" t="n">
        <f aca="false">N694*O694</f>
        <v>41.4987</v>
      </c>
      <c r="Q694" s="20" t="s">
        <v>1149</v>
      </c>
      <c r="R694" s="75" t="s">
        <v>371</v>
      </c>
      <c r="S694" s="20" t="s">
        <v>1235</v>
      </c>
      <c r="T694" s="20" t="s">
        <v>73</v>
      </c>
      <c r="U694" s="47" t="n">
        <v>0</v>
      </c>
      <c r="V694" s="70" t="s">
        <v>744</v>
      </c>
      <c r="W694" s="47" t="n">
        <v>2</v>
      </c>
    </row>
    <row r="695" customFormat="false" ht="35.05" hidden="false" customHeight="false" outlineLevel="0" collapsed="false">
      <c r="A695" s="70" t="n">
        <v>679</v>
      </c>
      <c r="B695" s="20" t="s">
        <v>1024</v>
      </c>
      <c r="C695" s="20" t="s">
        <v>512</v>
      </c>
      <c r="D695" s="20" t="s">
        <v>1250</v>
      </c>
      <c r="E695" s="20" t="s">
        <v>744</v>
      </c>
      <c r="F695" s="70" t="s">
        <v>418</v>
      </c>
      <c r="G695" s="20" t="s">
        <v>1151</v>
      </c>
      <c r="H695" s="49" t="n">
        <v>10</v>
      </c>
      <c r="I695" s="70" t="s">
        <v>403</v>
      </c>
      <c r="J695" s="70" t="n">
        <v>100</v>
      </c>
      <c r="K695" s="73" t="n">
        <v>1</v>
      </c>
      <c r="L695" s="49" t="n">
        <v>87</v>
      </c>
      <c r="M695" s="67" t="n">
        <v>2.06</v>
      </c>
      <c r="N695" s="68" t="n">
        <f aca="false">K695*L695*M695</f>
        <v>179.22</v>
      </c>
      <c r="O695" s="34" t="n">
        <f aca="false">IFERROR(INDEX(Исходные!$B$18:$B$30,MATCH(H695,Исходные!$A$18:$A$30,0)),0)</f>
        <v>0.617</v>
      </c>
      <c r="P695" s="74" t="n">
        <f aca="false">N695*O695</f>
        <v>110.57874</v>
      </c>
      <c r="Q695" s="20" t="s">
        <v>1264</v>
      </c>
      <c r="R695" s="75" t="s">
        <v>371</v>
      </c>
      <c r="S695" s="20" t="s">
        <v>1265</v>
      </c>
      <c r="T695" s="20" t="s">
        <v>73</v>
      </c>
      <c r="U695" s="47" t="n">
        <v>0</v>
      </c>
      <c r="V695" s="70" t="s">
        <v>744</v>
      </c>
      <c r="W695" s="47" t="n">
        <v>2</v>
      </c>
    </row>
    <row r="696" customFormat="false" ht="35.05" hidden="false" customHeight="false" outlineLevel="0" collapsed="false">
      <c r="A696" s="70" t="n">
        <v>680</v>
      </c>
      <c r="B696" s="20" t="s">
        <v>1024</v>
      </c>
      <c r="C696" s="20" t="s">
        <v>512</v>
      </c>
      <c r="D696" s="20" t="s">
        <v>1250</v>
      </c>
      <c r="E696" s="20" t="s">
        <v>744</v>
      </c>
      <c r="F696" s="70" t="s">
        <v>460</v>
      </c>
      <c r="G696" s="20" t="s">
        <v>561</v>
      </c>
      <c r="H696" s="49" t="n">
        <v>10</v>
      </c>
      <c r="I696" s="70" t="s">
        <v>403</v>
      </c>
      <c r="J696" s="70" t="n">
        <v>100</v>
      </c>
      <c r="K696" s="73" t="n">
        <v>1</v>
      </c>
      <c r="L696" s="49" t="n">
        <v>61</v>
      </c>
      <c r="M696" s="67" t="n">
        <v>1.6</v>
      </c>
      <c r="N696" s="68" t="n">
        <f aca="false">K696*L696*M696</f>
        <v>97.6</v>
      </c>
      <c r="O696" s="34" t="n">
        <f aca="false">IFERROR(INDEX(Исходные!$B$18:$B$30,MATCH(H696,Исходные!$A$18:$A$30,0)),0)</f>
        <v>0.617</v>
      </c>
      <c r="P696" s="74" t="n">
        <f aca="false">N696*O696</f>
        <v>60.2192</v>
      </c>
      <c r="Q696" s="20" t="s">
        <v>767</v>
      </c>
      <c r="R696" s="75" t="s">
        <v>371</v>
      </c>
      <c r="S696" s="20"/>
      <c r="T696" s="20" t="s">
        <v>73</v>
      </c>
      <c r="U696" s="47" t="n">
        <v>0</v>
      </c>
      <c r="V696" s="70" t="s">
        <v>744</v>
      </c>
      <c r="W696" s="47" t="n">
        <v>2</v>
      </c>
    </row>
    <row r="697" customFormat="false" ht="35.05" hidden="false" customHeight="false" outlineLevel="0" collapsed="false">
      <c r="A697" s="70" t="n">
        <v>681</v>
      </c>
      <c r="B697" s="20" t="s">
        <v>1024</v>
      </c>
      <c r="C697" s="20" t="s">
        <v>512</v>
      </c>
      <c r="D697" s="20" t="s">
        <v>1250</v>
      </c>
      <c r="E697" s="20" t="s">
        <v>744</v>
      </c>
      <c r="F697" s="70" t="s">
        <v>563</v>
      </c>
      <c r="G697" s="20" t="s">
        <v>1154</v>
      </c>
      <c r="H697" s="49" t="n">
        <v>8</v>
      </c>
      <c r="I697" s="70" t="s">
        <v>403</v>
      </c>
      <c r="J697" s="70" t="s">
        <v>565</v>
      </c>
      <c r="K697" s="73" t="n">
        <v>1</v>
      </c>
      <c r="L697" s="49" t="n">
        <v>52</v>
      </c>
      <c r="M697" s="67" t="n">
        <v>0.75</v>
      </c>
      <c r="N697" s="68" t="n">
        <f aca="false">K697*L697*M697</f>
        <v>39</v>
      </c>
      <c r="O697" s="34" t="n">
        <f aca="false">IFERROR(INDEX(Исходные!$B$18:$B$30,MATCH(H697,Исходные!$A$18:$A$30,0)),0)</f>
        <v>0.395</v>
      </c>
      <c r="P697" s="74" t="n">
        <f aca="false">N697*O697</f>
        <v>15.405</v>
      </c>
      <c r="Q697" s="20" t="s">
        <v>566</v>
      </c>
      <c r="R697" s="75" t="s">
        <v>371</v>
      </c>
      <c r="S697" s="20"/>
      <c r="T697" s="20" t="s">
        <v>73</v>
      </c>
      <c r="U697" s="47" t="n">
        <v>0</v>
      </c>
      <c r="V697" s="70" t="s">
        <v>744</v>
      </c>
      <c r="W697" s="47" t="n">
        <v>2</v>
      </c>
    </row>
    <row r="698" customFormat="false" ht="35.05" hidden="false" customHeight="false" outlineLevel="0" collapsed="false">
      <c r="A698" s="70" t="n">
        <v>682</v>
      </c>
      <c r="B698" s="20" t="s">
        <v>1024</v>
      </c>
      <c r="C698" s="20" t="s">
        <v>512</v>
      </c>
      <c r="D698" s="20" t="s">
        <v>1250</v>
      </c>
      <c r="E698" s="20" t="s">
        <v>744</v>
      </c>
      <c r="F698" s="70" t="s">
        <v>567</v>
      </c>
      <c r="G698" s="20" t="s">
        <v>1155</v>
      </c>
      <c r="H698" s="49" t="n">
        <v>8</v>
      </c>
      <c r="I698" s="70" t="s">
        <v>403</v>
      </c>
      <c r="J698" s="70" t="n">
        <v>300</v>
      </c>
      <c r="K698" s="73" t="n">
        <v>1</v>
      </c>
      <c r="L698" s="49" t="n">
        <v>54</v>
      </c>
      <c r="M698" s="67" t="n">
        <v>0.58</v>
      </c>
      <c r="N698" s="68" t="n">
        <f aca="false">K698*L698*M698</f>
        <v>31.32</v>
      </c>
      <c r="O698" s="34" t="n">
        <f aca="false">IFERROR(INDEX(Исходные!$B$18:$B$30,MATCH(H698,Исходные!$A$18:$A$30,0)),0)</f>
        <v>0.395</v>
      </c>
      <c r="P698" s="74" t="n">
        <f aca="false">N698*O698</f>
        <v>12.3714</v>
      </c>
      <c r="Q698" s="20" t="s">
        <v>1156</v>
      </c>
      <c r="R698" s="76" t="s">
        <v>495</v>
      </c>
      <c r="S698" s="20"/>
      <c r="T698" s="20" t="s">
        <v>73</v>
      </c>
      <c r="U698" s="47" t="n">
        <v>1</v>
      </c>
      <c r="V698" s="70" t="s">
        <v>744</v>
      </c>
      <c r="W698" s="47" t="n">
        <v>2</v>
      </c>
    </row>
    <row r="699" customFormat="false" ht="15" hidden="false" customHeight="true" outlineLevel="0" collapsed="false">
      <c r="A699" s="72" t="s">
        <v>1266</v>
      </c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</row>
    <row r="700" customFormat="false" ht="35.05" hidden="false" customHeight="false" outlineLevel="0" collapsed="false">
      <c r="A700" s="70" t="n">
        <v>683</v>
      </c>
      <c r="B700" s="20" t="s">
        <v>1024</v>
      </c>
      <c r="C700" s="20" t="s">
        <v>769</v>
      </c>
      <c r="D700" s="20" t="s">
        <v>770</v>
      </c>
      <c r="E700" s="20" t="s">
        <v>1267</v>
      </c>
      <c r="F700" s="70" t="s">
        <v>772</v>
      </c>
      <c r="G700" s="20" t="s">
        <v>773</v>
      </c>
      <c r="H700" s="49" t="n">
        <v>10</v>
      </c>
      <c r="I700" s="70" t="s">
        <v>368</v>
      </c>
      <c r="J700" s="70" t="n">
        <v>200</v>
      </c>
      <c r="K700" s="73" t="n">
        <v>1</v>
      </c>
      <c r="L700" s="49" t="n">
        <v>26</v>
      </c>
      <c r="M700" s="67" t="n">
        <v>27.32</v>
      </c>
      <c r="N700" s="68" t="n">
        <f aca="false">K700*L700*M700</f>
        <v>710.32</v>
      </c>
      <c r="O700" s="34" t="n">
        <f aca="false">IFERROR(INDEX(Исходные!$B$18:$B$30,MATCH(H700,Исходные!$A$18:$A$30,0)),0)</f>
        <v>0.617</v>
      </c>
      <c r="P700" s="74" t="n">
        <f aca="false">N700*O700</f>
        <v>438.26744</v>
      </c>
      <c r="Q700" s="20" t="s">
        <v>1268</v>
      </c>
      <c r="R700" s="75" t="s">
        <v>517</v>
      </c>
      <c r="S700" s="20"/>
      <c r="T700" s="20" t="s">
        <v>73</v>
      </c>
      <c r="U700" s="47" t="n">
        <v>0</v>
      </c>
      <c r="V700" s="70" t="s">
        <v>775</v>
      </c>
      <c r="W700" s="47" t="n">
        <v>2</v>
      </c>
    </row>
    <row r="701" customFormat="false" ht="35.05" hidden="false" customHeight="false" outlineLevel="0" collapsed="false">
      <c r="A701" s="70" t="n">
        <v>684</v>
      </c>
      <c r="B701" s="20" t="s">
        <v>1024</v>
      </c>
      <c r="C701" s="20" t="s">
        <v>769</v>
      </c>
      <c r="D701" s="20" t="s">
        <v>770</v>
      </c>
      <c r="E701" s="20" t="s">
        <v>1267</v>
      </c>
      <c r="F701" s="70" t="s">
        <v>776</v>
      </c>
      <c r="G701" s="20" t="s">
        <v>1269</v>
      </c>
      <c r="H701" s="49" t="n">
        <v>10</v>
      </c>
      <c r="I701" s="70" t="s">
        <v>368</v>
      </c>
      <c r="J701" s="70" t="s">
        <v>369</v>
      </c>
      <c r="K701" s="73" t="n">
        <v>26</v>
      </c>
      <c r="L701" s="49" t="n">
        <v>2</v>
      </c>
      <c r="M701" s="67" t="n">
        <v>0.4</v>
      </c>
      <c r="N701" s="68" t="n">
        <f aca="false">K701*L701*M701</f>
        <v>20.8</v>
      </c>
      <c r="O701" s="34" t="n">
        <f aca="false">IFERROR(INDEX(Исходные!$B$18:$B$30,MATCH(H701,Исходные!$A$18:$A$30,0)),0)</f>
        <v>0.617</v>
      </c>
      <c r="P701" s="74" t="n">
        <f aca="false">N701*O701</f>
        <v>12.8336</v>
      </c>
      <c r="Q701" s="20" t="s">
        <v>778</v>
      </c>
      <c r="R701" s="75" t="s">
        <v>524</v>
      </c>
      <c r="S701" s="20" t="s">
        <v>1270</v>
      </c>
      <c r="T701" s="20" t="s">
        <v>73</v>
      </c>
      <c r="U701" s="47" t="n">
        <v>0</v>
      </c>
      <c r="V701" s="70" t="s">
        <v>775</v>
      </c>
      <c r="W701" s="47" t="n">
        <v>2</v>
      </c>
    </row>
    <row r="702" customFormat="false" ht="35.05" hidden="false" customHeight="false" outlineLevel="0" collapsed="false">
      <c r="A702" s="70" t="n">
        <v>685</v>
      </c>
      <c r="B702" s="20" t="s">
        <v>1024</v>
      </c>
      <c r="C702" s="20" t="s">
        <v>769</v>
      </c>
      <c r="D702" s="20" t="s">
        <v>770</v>
      </c>
      <c r="E702" s="20" t="s">
        <v>1267</v>
      </c>
      <c r="F702" s="70" t="s">
        <v>772</v>
      </c>
      <c r="G702" s="20" t="s">
        <v>773</v>
      </c>
      <c r="H702" s="49" t="n">
        <v>10</v>
      </c>
      <c r="I702" s="70" t="s">
        <v>368</v>
      </c>
      <c r="J702" s="70" t="n">
        <v>200</v>
      </c>
      <c r="K702" s="73" t="n">
        <v>1</v>
      </c>
      <c r="L702" s="49" t="n">
        <v>49</v>
      </c>
      <c r="M702" s="67" t="n">
        <v>25.6</v>
      </c>
      <c r="N702" s="68" t="n">
        <f aca="false">K702*L702*M702</f>
        <v>1254.4</v>
      </c>
      <c r="O702" s="34" t="n">
        <f aca="false">IFERROR(INDEX(Исходные!$B$18:$B$30,MATCH(H702,Исходные!$A$18:$A$30,0)),0)</f>
        <v>0.617</v>
      </c>
      <c r="P702" s="74" t="n">
        <f aca="false">N702*O702</f>
        <v>773.9648</v>
      </c>
      <c r="Q702" s="20" t="s">
        <v>1268</v>
      </c>
      <c r="R702" s="75" t="s">
        <v>517</v>
      </c>
      <c r="S702" s="20"/>
      <c r="T702" s="20" t="s">
        <v>73</v>
      </c>
      <c r="U702" s="47" t="n">
        <v>0</v>
      </c>
      <c r="V702" s="70" t="s">
        <v>775</v>
      </c>
      <c r="W702" s="47" t="n">
        <v>2</v>
      </c>
    </row>
    <row r="703" customFormat="false" ht="35.05" hidden="false" customHeight="false" outlineLevel="0" collapsed="false">
      <c r="A703" s="70" t="n">
        <v>686</v>
      </c>
      <c r="B703" s="20" t="s">
        <v>1024</v>
      </c>
      <c r="C703" s="20" t="s">
        <v>769</v>
      </c>
      <c r="D703" s="20" t="s">
        <v>770</v>
      </c>
      <c r="E703" s="20" t="s">
        <v>1267</v>
      </c>
      <c r="F703" s="70" t="s">
        <v>776</v>
      </c>
      <c r="G703" s="20" t="s">
        <v>1271</v>
      </c>
      <c r="H703" s="49" t="n">
        <v>10</v>
      </c>
      <c r="I703" s="70" t="s">
        <v>368</v>
      </c>
      <c r="J703" s="70" t="s">
        <v>369</v>
      </c>
      <c r="K703" s="73" t="n">
        <v>49</v>
      </c>
      <c r="L703" s="49" t="n">
        <v>2</v>
      </c>
      <c r="M703" s="67" t="n">
        <v>0.4</v>
      </c>
      <c r="N703" s="68" t="n">
        <f aca="false">K703*L703*M703</f>
        <v>39.2</v>
      </c>
      <c r="O703" s="34" t="n">
        <f aca="false">IFERROR(INDEX(Исходные!$B$18:$B$30,MATCH(H703,Исходные!$A$18:$A$30,0)),0)</f>
        <v>0.617</v>
      </c>
      <c r="P703" s="74" t="n">
        <f aca="false">N703*O703</f>
        <v>24.1864</v>
      </c>
      <c r="Q703" s="20" t="s">
        <v>778</v>
      </c>
      <c r="R703" s="75" t="s">
        <v>524</v>
      </c>
      <c r="S703" s="20" t="s">
        <v>1272</v>
      </c>
      <c r="T703" s="20" t="s">
        <v>73</v>
      </c>
      <c r="U703" s="47" t="n">
        <v>0</v>
      </c>
      <c r="V703" s="70" t="s">
        <v>775</v>
      </c>
      <c r="W703" s="47" t="n">
        <v>2</v>
      </c>
    </row>
    <row r="704" customFormat="false" ht="35.05" hidden="false" customHeight="false" outlineLevel="0" collapsed="false">
      <c r="A704" s="70" t="n">
        <v>687</v>
      </c>
      <c r="B704" s="20" t="s">
        <v>1024</v>
      </c>
      <c r="C704" s="20" t="s">
        <v>769</v>
      </c>
      <c r="D704" s="20" t="s">
        <v>770</v>
      </c>
      <c r="E704" s="20" t="s">
        <v>1267</v>
      </c>
      <c r="F704" s="70" t="s">
        <v>772</v>
      </c>
      <c r="G704" s="20" t="s">
        <v>773</v>
      </c>
      <c r="H704" s="49" t="n">
        <v>10</v>
      </c>
      <c r="I704" s="70" t="s">
        <v>368</v>
      </c>
      <c r="J704" s="70" t="n">
        <v>200</v>
      </c>
      <c r="K704" s="73" t="n">
        <v>1</v>
      </c>
      <c r="L704" s="49" t="n">
        <v>1</v>
      </c>
      <c r="M704" s="67" t="n">
        <v>22.2</v>
      </c>
      <c r="N704" s="68" t="n">
        <f aca="false">K704*L704*M704</f>
        <v>22.2</v>
      </c>
      <c r="O704" s="34" t="n">
        <f aca="false">IFERROR(INDEX(Исходные!$B$18:$B$30,MATCH(H704,Исходные!$A$18:$A$30,0)),0)</f>
        <v>0.617</v>
      </c>
      <c r="P704" s="74" t="n">
        <f aca="false">N704*O704</f>
        <v>13.6974</v>
      </c>
      <c r="Q704" s="20" t="s">
        <v>1268</v>
      </c>
      <c r="R704" s="75" t="s">
        <v>517</v>
      </c>
      <c r="S704" s="20"/>
      <c r="T704" s="20" t="s">
        <v>73</v>
      </c>
      <c r="U704" s="47" t="n">
        <v>0</v>
      </c>
      <c r="V704" s="70" t="s">
        <v>775</v>
      </c>
      <c r="W704" s="47" t="n">
        <v>2</v>
      </c>
    </row>
    <row r="705" customFormat="false" ht="35.05" hidden="false" customHeight="false" outlineLevel="0" collapsed="false">
      <c r="A705" s="70" t="n">
        <v>688</v>
      </c>
      <c r="B705" s="20" t="s">
        <v>1024</v>
      </c>
      <c r="C705" s="20" t="s">
        <v>769</v>
      </c>
      <c r="D705" s="20" t="s">
        <v>770</v>
      </c>
      <c r="E705" s="20" t="s">
        <v>1267</v>
      </c>
      <c r="F705" s="70" t="s">
        <v>776</v>
      </c>
      <c r="G705" s="20" t="s">
        <v>782</v>
      </c>
      <c r="H705" s="49" t="n">
        <v>10</v>
      </c>
      <c r="I705" s="70" t="s">
        <v>368</v>
      </c>
      <c r="J705" s="70" t="s">
        <v>369</v>
      </c>
      <c r="K705" s="73" t="n">
        <v>1</v>
      </c>
      <c r="L705" s="49" t="n">
        <v>1</v>
      </c>
      <c r="M705" s="67" t="n">
        <v>0.4</v>
      </c>
      <c r="N705" s="68" t="n">
        <f aca="false">K705*L705*M705</f>
        <v>0.4</v>
      </c>
      <c r="O705" s="34" t="n">
        <f aca="false">IFERROR(INDEX(Исходные!$B$18:$B$30,MATCH(H705,Исходные!$A$18:$A$30,0)),0)</f>
        <v>0.617</v>
      </c>
      <c r="P705" s="74" t="n">
        <f aca="false">N705*O705</f>
        <v>0.2468</v>
      </c>
      <c r="Q705" s="20" t="s">
        <v>778</v>
      </c>
      <c r="R705" s="75" t="s">
        <v>524</v>
      </c>
      <c r="S705" s="20" t="s">
        <v>783</v>
      </c>
      <c r="T705" s="20" t="s">
        <v>73</v>
      </c>
      <c r="U705" s="47" t="n">
        <v>0</v>
      </c>
      <c r="V705" s="70" t="s">
        <v>775</v>
      </c>
      <c r="W705" s="47" t="n">
        <v>2</v>
      </c>
    </row>
    <row r="706" customFormat="false" ht="35.05" hidden="false" customHeight="false" outlineLevel="0" collapsed="false">
      <c r="A706" s="70" t="n">
        <v>689</v>
      </c>
      <c r="B706" s="20" t="s">
        <v>1024</v>
      </c>
      <c r="C706" s="20" t="s">
        <v>769</v>
      </c>
      <c r="D706" s="20" t="s">
        <v>770</v>
      </c>
      <c r="E706" s="20" t="s">
        <v>1267</v>
      </c>
      <c r="F706" s="70" t="s">
        <v>772</v>
      </c>
      <c r="G706" s="20" t="s">
        <v>773</v>
      </c>
      <c r="H706" s="49" t="n">
        <v>10</v>
      </c>
      <c r="I706" s="70" t="s">
        <v>368</v>
      </c>
      <c r="J706" s="70" t="n">
        <v>200</v>
      </c>
      <c r="K706" s="73" t="n">
        <v>1</v>
      </c>
      <c r="L706" s="49" t="n">
        <v>16</v>
      </c>
      <c r="M706" s="67" t="n">
        <v>15.62</v>
      </c>
      <c r="N706" s="68" t="n">
        <f aca="false">K706*L706*M706</f>
        <v>249.92</v>
      </c>
      <c r="O706" s="34" t="n">
        <f aca="false">IFERROR(INDEX(Исходные!$B$18:$B$30,MATCH(H706,Исходные!$A$18:$A$30,0)),0)</f>
        <v>0.617</v>
      </c>
      <c r="P706" s="74" t="n">
        <f aca="false">N706*O706</f>
        <v>154.20064</v>
      </c>
      <c r="Q706" s="20" t="s">
        <v>1268</v>
      </c>
      <c r="R706" s="75" t="s">
        <v>517</v>
      </c>
      <c r="S706" s="20"/>
      <c r="T706" s="20" t="s">
        <v>73</v>
      </c>
      <c r="U706" s="47" t="n">
        <v>0</v>
      </c>
      <c r="V706" s="70" t="s">
        <v>775</v>
      </c>
      <c r="W706" s="47" t="n">
        <v>2</v>
      </c>
    </row>
    <row r="707" customFormat="false" ht="35.05" hidden="false" customHeight="false" outlineLevel="0" collapsed="false">
      <c r="A707" s="70" t="n">
        <v>690</v>
      </c>
      <c r="B707" s="20" t="s">
        <v>1024</v>
      </c>
      <c r="C707" s="20" t="s">
        <v>769</v>
      </c>
      <c r="D707" s="20" t="s">
        <v>770</v>
      </c>
      <c r="E707" s="20" t="s">
        <v>1267</v>
      </c>
      <c r="F707" s="70" t="s">
        <v>776</v>
      </c>
      <c r="G707" s="20" t="s">
        <v>784</v>
      </c>
      <c r="H707" s="49" t="n">
        <v>10</v>
      </c>
      <c r="I707" s="70" t="s">
        <v>368</v>
      </c>
      <c r="J707" s="70" t="s">
        <v>369</v>
      </c>
      <c r="K707" s="73" t="n">
        <v>16</v>
      </c>
      <c r="L707" s="49" t="n">
        <v>1</v>
      </c>
      <c r="M707" s="67" t="n">
        <v>0.4</v>
      </c>
      <c r="N707" s="68" t="n">
        <f aca="false">K707*L707*M707</f>
        <v>6.4</v>
      </c>
      <c r="O707" s="34" t="n">
        <f aca="false">IFERROR(INDEX(Исходные!$B$18:$B$30,MATCH(H707,Исходные!$A$18:$A$30,0)),0)</f>
        <v>0.617</v>
      </c>
      <c r="P707" s="74" t="n">
        <f aca="false">N707*O707</f>
        <v>3.9488</v>
      </c>
      <c r="Q707" s="20" t="s">
        <v>778</v>
      </c>
      <c r="R707" s="75" t="s">
        <v>524</v>
      </c>
      <c r="S707" s="20" t="s">
        <v>785</v>
      </c>
      <c r="T707" s="20" t="s">
        <v>73</v>
      </c>
      <c r="U707" s="47" t="n">
        <v>0</v>
      </c>
      <c r="V707" s="70" t="s">
        <v>775</v>
      </c>
      <c r="W707" s="47" t="n">
        <v>2</v>
      </c>
    </row>
    <row r="708" customFormat="false" ht="35.05" hidden="false" customHeight="false" outlineLevel="0" collapsed="false">
      <c r="A708" s="70" t="n">
        <v>691</v>
      </c>
      <c r="B708" s="20" t="s">
        <v>1024</v>
      </c>
      <c r="C708" s="20" t="s">
        <v>769</v>
      </c>
      <c r="D708" s="20" t="s">
        <v>770</v>
      </c>
      <c r="E708" s="20" t="s">
        <v>1267</v>
      </c>
      <c r="F708" s="70" t="s">
        <v>772</v>
      </c>
      <c r="G708" s="20" t="s">
        <v>773</v>
      </c>
      <c r="H708" s="49" t="n">
        <v>10</v>
      </c>
      <c r="I708" s="70" t="s">
        <v>368</v>
      </c>
      <c r="J708" s="70" t="n">
        <v>200</v>
      </c>
      <c r="K708" s="73" t="n">
        <v>1</v>
      </c>
      <c r="L708" s="49" t="n">
        <v>12</v>
      </c>
      <c r="M708" s="67" t="n">
        <v>13.9</v>
      </c>
      <c r="N708" s="68" t="n">
        <f aca="false">K708*L708*M708</f>
        <v>166.8</v>
      </c>
      <c r="O708" s="34" t="n">
        <f aca="false">IFERROR(INDEX(Исходные!$B$18:$B$30,MATCH(H708,Исходные!$A$18:$A$30,0)),0)</f>
        <v>0.617</v>
      </c>
      <c r="P708" s="74" t="n">
        <f aca="false">N708*O708</f>
        <v>102.9156</v>
      </c>
      <c r="Q708" s="20" t="s">
        <v>1268</v>
      </c>
      <c r="R708" s="75" t="s">
        <v>517</v>
      </c>
      <c r="S708" s="20"/>
      <c r="T708" s="20" t="s">
        <v>73</v>
      </c>
      <c r="U708" s="47" t="n">
        <v>0</v>
      </c>
      <c r="V708" s="70" t="s">
        <v>775</v>
      </c>
      <c r="W708" s="47" t="n">
        <v>2</v>
      </c>
    </row>
    <row r="709" customFormat="false" ht="35.05" hidden="false" customHeight="false" outlineLevel="0" collapsed="false">
      <c r="A709" s="70" t="n">
        <v>692</v>
      </c>
      <c r="B709" s="20" t="s">
        <v>1024</v>
      </c>
      <c r="C709" s="20" t="s">
        <v>769</v>
      </c>
      <c r="D709" s="20" t="s">
        <v>770</v>
      </c>
      <c r="E709" s="20" t="s">
        <v>1267</v>
      </c>
      <c r="F709" s="70" t="s">
        <v>776</v>
      </c>
      <c r="G709" s="20" t="s">
        <v>786</v>
      </c>
      <c r="H709" s="49" t="n">
        <v>10</v>
      </c>
      <c r="I709" s="70" t="s">
        <v>368</v>
      </c>
      <c r="J709" s="70" t="s">
        <v>369</v>
      </c>
      <c r="K709" s="73" t="n">
        <v>12</v>
      </c>
      <c r="L709" s="49" t="n">
        <v>1</v>
      </c>
      <c r="M709" s="67" t="n">
        <v>0.4</v>
      </c>
      <c r="N709" s="68" t="n">
        <f aca="false">K709*L709*M709</f>
        <v>4.8</v>
      </c>
      <c r="O709" s="34" t="n">
        <f aca="false">IFERROR(INDEX(Исходные!$B$18:$B$30,MATCH(H709,Исходные!$A$18:$A$30,0)),0)</f>
        <v>0.617</v>
      </c>
      <c r="P709" s="74" t="n">
        <f aca="false">N709*O709</f>
        <v>2.9616</v>
      </c>
      <c r="Q709" s="20" t="s">
        <v>778</v>
      </c>
      <c r="R709" s="75" t="s">
        <v>524</v>
      </c>
      <c r="S709" s="20" t="s">
        <v>787</v>
      </c>
      <c r="T709" s="20" t="s">
        <v>73</v>
      </c>
      <c r="U709" s="47" t="n">
        <v>0</v>
      </c>
      <c r="V709" s="70" t="s">
        <v>775</v>
      </c>
      <c r="W709" s="47" t="n">
        <v>2</v>
      </c>
    </row>
    <row r="710" customFormat="false" ht="35.05" hidden="false" customHeight="false" outlineLevel="0" collapsed="false">
      <c r="A710" s="70" t="n">
        <v>693</v>
      </c>
      <c r="B710" s="20" t="s">
        <v>1024</v>
      </c>
      <c r="C710" s="20" t="s">
        <v>769</v>
      </c>
      <c r="D710" s="20" t="s">
        <v>770</v>
      </c>
      <c r="E710" s="20" t="s">
        <v>1267</v>
      </c>
      <c r="F710" s="70" t="s">
        <v>772</v>
      </c>
      <c r="G710" s="20" t="s">
        <v>773</v>
      </c>
      <c r="H710" s="49" t="n">
        <v>10</v>
      </c>
      <c r="I710" s="70" t="s">
        <v>368</v>
      </c>
      <c r="J710" s="70" t="n">
        <v>200</v>
      </c>
      <c r="K710" s="73" t="n">
        <v>1</v>
      </c>
      <c r="L710" s="49" t="n">
        <v>1</v>
      </c>
      <c r="M710" s="67" t="n">
        <v>10.77</v>
      </c>
      <c r="N710" s="68" t="n">
        <f aca="false">K710*L710*M710</f>
        <v>10.77</v>
      </c>
      <c r="O710" s="34" t="n">
        <f aca="false">IFERROR(INDEX(Исходные!$B$18:$B$30,MATCH(H710,Исходные!$A$18:$A$30,0)),0)</f>
        <v>0.617</v>
      </c>
      <c r="P710" s="74" t="n">
        <f aca="false">N710*O710</f>
        <v>6.64509</v>
      </c>
      <c r="Q710" s="20" t="s">
        <v>1268</v>
      </c>
      <c r="R710" s="75" t="s">
        <v>517</v>
      </c>
      <c r="S710" s="20"/>
      <c r="T710" s="20" t="s">
        <v>73</v>
      </c>
      <c r="U710" s="47" t="n">
        <v>0</v>
      </c>
      <c r="V710" s="70" t="s">
        <v>775</v>
      </c>
      <c r="W710" s="47" t="n">
        <v>2</v>
      </c>
    </row>
    <row r="711" customFormat="false" ht="35.05" hidden="false" customHeight="false" outlineLevel="0" collapsed="false">
      <c r="A711" s="70" t="n">
        <v>694</v>
      </c>
      <c r="B711" s="20" t="s">
        <v>1024</v>
      </c>
      <c r="C711" s="20" t="s">
        <v>769</v>
      </c>
      <c r="D711" s="20" t="s">
        <v>770</v>
      </c>
      <c r="E711" s="20" t="s">
        <v>1267</v>
      </c>
      <c r="F711" s="70" t="s">
        <v>772</v>
      </c>
      <c r="G711" s="20" t="s">
        <v>773</v>
      </c>
      <c r="H711" s="49" t="n">
        <v>10</v>
      </c>
      <c r="I711" s="70" t="s">
        <v>368</v>
      </c>
      <c r="J711" s="70" t="n">
        <v>200</v>
      </c>
      <c r="K711" s="73" t="n">
        <v>1</v>
      </c>
      <c r="L711" s="49" t="n">
        <v>14</v>
      </c>
      <c r="M711" s="67" t="n">
        <v>7.97</v>
      </c>
      <c r="N711" s="68" t="n">
        <f aca="false">K711*L711*M711</f>
        <v>111.58</v>
      </c>
      <c r="O711" s="34" t="n">
        <f aca="false">IFERROR(INDEX(Исходные!$B$18:$B$30,MATCH(H711,Исходные!$A$18:$A$30,0)),0)</f>
        <v>0.617</v>
      </c>
      <c r="P711" s="74" t="n">
        <f aca="false">N711*O711</f>
        <v>68.84486</v>
      </c>
      <c r="Q711" s="20" t="s">
        <v>1268</v>
      </c>
      <c r="R711" s="75" t="s">
        <v>517</v>
      </c>
      <c r="S711" s="20"/>
      <c r="T711" s="20" t="s">
        <v>73</v>
      </c>
      <c r="U711" s="47" t="n">
        <v>0</v>
      </c>
      <c r="V711" s="70" t="s">
        <v>775</v>
      </c>
      <c r="W711" s="47" t="n">
        <v>2</v>
      </c>
    </row>
    <row r="712" customFormat="false" ht="35.05" hidden="false" customHeight="false" outlineLevel="0" collapsed="false">
      <c r="A712" s="70" t="n">
        <v>695</v>
      </c>
      <c r="B712" s="20" t="s">
        <v>1024</v>
      </c>
      <c r="C712" s="20" t="s">
        <v>769</v>
      </c>
      <c r="D712" s="20" t="s">
        <v>770</v>
      </c>
      <c r="E712" s="20" t="s">
        <v>1267</v>
      </c>
      <c r="F712" s="70" t="s">
        <v>772</v>
      </c>
      <c r="G712" s="20" t="s">
        <v>773</v>
      </c>
      <c r="H712" s="49" t="n">
        <v>10</v>
      </c>
      <c r="I712" s="70" t="s">
        <v>368</v>
      </c>
      <c r="J712" s="70" t="n">
        <v>200</v>
      </c>
      <c r="K712" s="73" t="n">
        <v>1</v>
      </c>
      <c r="L712" s="49" t="n">
        <v>9</v>
      </c>
      <c r="M712" s="67" t="n">
        <v>7.95</v>
      </c>
      <c r="N712" s="68" t="n">
        <f aca="false">K712*L712*M712</f>
        <v>71.55</v>
      </c>
      <c r="O712" s="34" t="n">
        <f aca="false">IFERROR(INDEX(Исходные!$B$18:$B$30,MATCH(H712,Исходные!$A$18:$A$30,0)),0)</f>
        <v>0.617</v>
      </c>
      <c r="P712" s="74" t="n">
        <f aca="false">N712*O712</f>
        <v>44.14635</v>
      </c>
      <c r="Q712" s="20" t="s">
        <v>1268</v>
      </c>
      <c r="R712" s="75" t="s">
        <v>517</v>
      </c>
      <c r="S712" s="20"/>
      <c r="T712" s="20" t="s">
        <v>73</v>
      </c>
      <c r="U712" s="47" t="n">
        <v>0</v>
      </c>
      <c r="V712" s="70" t="s">
        <v>775</v>
      </c>
      <c r="W712" s="47" t="n">
        <v>2</v>
      </c>
    </row>
    <row r="713" customFormat="false" ht="35.05" hidden="false" customHeight="false" outlineLevel="0" collapsed="false">
      <c r="A713" s="70" t="n">
        <v>696</v>
      </c>
      <c r="B713" s="20" t="s">
        <v>1024</v>
      </c>
      <c r="C713" s="20" t="s">
        <v>769</v>
      </c>
      <c r="D713" s="20" t="s">
        <v>770</v>
      </c>
      <c r="E713" s="20" t="s">
        <v>1267</v>
      </c>
      <c r="F713" s="70" t="s">
        <v>772</v>
      </c>
      <c r="G713" s="20" t="s">
        <v>773</v>
      </c>
      <c r="H713" s="49" t="n">
        <v>10</v>
      </c>
      <c r="I713" s="70" t="s">
        <v>368</v>
      </c>
      <c r="J713" s="70" t="n">
        <v>200</v>
      </c>
      <c r="K713" s="73" t="n">
        <v>1</v>
      </c>
      <c r="L713" s="49" t="n">
        <v>13</v>
      </c>
      <c r="M713" s="67" t="n">
        <v>7.17</v>
      </c>
      <c r="N713" s="68" t="n">
        <f aca="false">K713*L713*M713</f>
        <v>93.21</v>
      </c>
      <c r="O713" s="34" t="n">
        <f aca="false">IFERROR(INDEX(Исходные!$B$18:$B$30,MATCH(H713,Исходные!$A$18:$A$30,0)),0)</f>
        <v>0.617</v>
      </c>
      <c r="P713" s="74" t="n">
        <f aca="false">N713*O713</f>
        <v>57.51057</v>
      </c>
      <c r="Q713" s="20" t="s">
        <v>1268</v>
      </c>
      <c r="R713" s="75" t="s">
        <v>517</v>
      </c>
      <c r="S713" s="20"/>
      <c r="T713" s="20" t="s">
        <v>73</v>
      </c>
      <c r="U713" s="47" t="n">
        <v>0</v>
      </c>
      <c r="V713" s="70" t="s">
        <v>775</v>
      </c>
      <c r="W713" s="47" t="n">
        <v>2</v>
      </c>
    </row>
    <row r="714" customFormat="false" ht="35.05" hidden="false" customHeight="false" outlineLevel="0" collapsed="false">
      <c r="A714" s="70" t="n">
        <v>697</v>
      </c>
      <c r="B714" s="20" t="s">
        <v>1024</v>
      </c>
      <c r="C714" s="20" t="s">
        <v>769</v>
      </c>
      <c r="D714" s="20" t="s">
        <v>770</v>
      </c>
      <c r="E714" s="20" t="s">
        <v>1267</v>
      </c>
      <c r="F714" s="70" t="s">
        <v>772</v>
      </c>
      <c r="G714" s="20" t="s">
        <v>773</v>
      </c>
      <c r="H714" s="49" t="n">
        <v>10</v>
      </c>
      <c r="I714" s="70" t="s">
        <v>368</v>
      </c>
      <c r="J714" s="70" t="n">
        <v>200</v>
      </c>
      <c r="K714" s="73" t="n">
        <v>1</v>
      </c>
      <c r="L714" s="49" t="n">
        <v>9</v>
      </c>
      <c r="M714" s="67" t="n">
        <v>3.78</v>
      </c>
      <c r="N714" s="68" t="n">
        <f aca="false">K714*L714*M714</f>
        <v>34.02</v>
      </c>
      <c r="O714" s="34" t="n">
        <f aca="false">IFERROR(INDEX(Исходные!$B$18:$B$30,MATCH(H714,Исходные!$A$18:$A$30,0)),0)</f>
        <v>0.617</v>
      </c>
      <c r="P714" s="74" t="n">
        <f aca="false">N714*O714</f>
        <v>20.99034</v>
      </c>
      <c r="Q714" s="20" t="s">
        <v>1268</v>
      </c>
      <c r="R714" s="75" t="s">
        <v>517</v>
      </c>
      <c r="S714" s="20"/>
      <c r="T714" s="20" t="s">
        <v>73</v>
      </c>
      <c r="U714" s="47" t="n">
        <v>0</v>
      </c>
      <c r="V714" s="70" t="s">
        <v>775</v>
      </c>
      <c r="W714" s="47" t="n">
        <v>2</v>
      </c>
    </row>
    <row r="715" customFormat="false" ht="35.05" hidden="false" customHeight="false" outlineLevel="0" collapsed="false">
      <c r="A715" s="70" t="n">
        <v>698</v>
      </c>
      <c r="B715" s="20" t="s">
        <v>1024</v>
      </c>
      <c r="C715" s="20" t="s">
        <v>769</v>
      </c>
      <c r="D715" s="20" t="s">
        <v>770</v>
      </c>
      <c r="E715" s="20" t="s">
        <v>1267</v>
      </c>
      <c r="F715" s="70" t="s">
        <v>788</v>
      </c>
      <c r="G715" s="20" t="s">
        <v>789</v>
      </c>
      <c r="H715" s="49" t="n">
        <v>10</v>
      </c>
      <c r="I715" s="70" t="s">
        <v>368</v>
      </c>
      <c r="J715" s="70" t="n">
        <v>200</v>
      </c>
      <c r="K715" s="73" t="n">
        <v>1</v>
      </c>
      <c r="L715" s="49" t="n">
        <v>40</v>
      </c>
      <c r="M715" s="67" t="n">
        <v>22.32</v>
      </c>
      <c r="N715" s="68" t="n">
        <f aca="false">K715*L715*M715</f>
        <v>892.8</v>
      </c>
      <c r="O715" s="34" t="n">
        <f aca="false">IFERROR(INDEX(Исходные!$B$18:$B$30,MATCH(H715,Исходные!$A$18:$A$30,0)),0)</f>
        <v>0.617</v>
      </c>
      <c r="P715" s="74" t="n">
        <f aca="false">N715*O715</f>
        <v>550.8576</v>
      </c>
      <c r="Q715" s="20" t="s">
        <v>1268</v>
      </c>
      <c r="R715" s="75" t="s">
        <v>517</v>
      </c>
      <c r="S715" s="20"/>
      <c r="T715" s="20" t="s">
        <v>73</v>
      </c>
      <c r="U715" s="47" t="n">
        <v>0</v>
      </c>
      <c r="V715" s="70" t="s">
        <v>775</v>
      </c>
      <c r="W715" s="47" t="n">
        <v>2</v>
      </c>
    </row>
    <row r="716" customFormat="false" ht="35.05" hidden="false" customHeight="false" outlineLevel="0" collapsed="false">
      <c r="A716" s="70" t="n">
        <v>699</v>
      </c>
      <c r="B716" s="20" t="s">
        <v>1024</v>
      </c>
      <c r="C716" s="20" t="s">
        <v>769</v>
      </c>
      <c r="D716" s="20" t="s">
        <v>770</v>
      </c>
      <c r="E716" s="20" t="s">
        <v>1267</v>
      </c>
      <c r="F716" s="70" t="s">
        <v>790</v>
      </c>
      <c r="G716" s="20" t="s">
        <v>1273</v>
      </c>
      <c r="H716" s="49" t="n">
        <v>10</v>
      </c>
      <c r="I716" s="70" t="s">
        <v>368</v>
      </c>
      <c r="J716" s="70" t="s">
        <v>369</v>
      </c>
      <c r="K716" s="73" t="n">
        <v>40</v>
      </c>
      <c r="L716" s="49" t="n">
        <v>1</v>
      </c>
      <c r="M716" s="67" t="n">
        <v>0.4</v>
      </c>
      <c r="N716" s="68" t="n">
        <f aca="false">K716*L716*M716</f>
        <v>16</v>
      </c>
      <c r="O716" s="34" t="n">
        <f aca="false">IFERROR(INDEX(Исходные!$B$18:$B$30,MATCH(H716,Исходные!$A$18:$A$30,0)),0)</f>
        <v>0.617</v>
      </c>
      <c r="P716" s="74" t="n">
        <f aca="false">N716*O716</f>
        <v>9.872</v>
      </c>
      <c r="Q716" s="20" t="s">
        <v>778</v>
      </c>
      <c r="R716" s="75" t="s">
        <v>524</v>
      </c>
      <c r="S716" s="20" t="s">
        <v>1274</v>
      </c>
      <c r="T716" s="20" t="s">
        <v>73</v>
      </c>
      <c r="U716" s="47" t="n">
        <v>0</v>
      </c>
      <c r="V716" s="70" t="s">
        <v>775</v>
      </c>
      <c r="W716" s="47" t="n">
        <v>2</v>
      </c>
    </row>
    <row r="717" customFormat="false" ht="35.05" hidden="false" customHeight="false" outlineLevel="0" collapsed="false">
      <c r="A717" s="70" t="n">
        <v>700</v>
      </c>
      <c r="B717" s="20" t="s">
        <v>1024</v>
      </c>
      <c r="C717" s="20" t="s">
        <v>769</v>
      </c>
      <c r="D717" s="20" t="s">
        <v>770</v>
      </c>
      <c r="E717" s="20" t="s">
        <v>1267</v>
      </c>
      <c r="F717" s="70" t="s">
        <v>788</v>
      </c>
      <c r="G717" s="20" t="s">
        <v>789</v>
      </c>
      <c r="H717" s="49" t="n">
        <v>10</v>
      </c>
      <c r="I717" s="70" t="s">
        <v>368</v>
      </c>
      <c r="J717" s="70" t="n">
        <v>200</v>
      </c>
      <c r="K717" s="73" t="n">
        <v>1</v>
      </c>
      <c r="L717" s="49" t="n">
        <v>41</v>
      </c>
      <c r="M717" s="67" t="n">
        <v>20.6</v>
      </c>
      <c r="N717" s="68" t="n">
        <f aca="false">K717*L717*M717</f>
        <v>844.6</v>
      </c>
      <c r="O717" s="34" t="n">
        <f aca="false">IFERROR(INDEX(Исходные!$B$18:$B$30,MATCH(H717,Исходные!$A$18:$A$30,0)),0)</f>
        <v>0.617</v>
      </c>
      <c r="P717" s="74" t="n">
        <f aca="false">N717*O717</f>
        <v>521.1182</v>
      </c>
      <c r="Q717" s="20" t="s">
        <v>1268</v>
      </c>
      <c r="R717" s="75" t="s">
        <v>517</v>
      </c>
      <c r="S717" s="20"/>
      <c r="T717" s="20" t="s">
        <v>73</v>
      </c>
      <c r="U717" s="47" t="n">
        <v>0</v>
      </c>
      <c r="V717" s="70" t="s">
        <v>775</v>
      </c>
      <c r="W717" s="47" t="n">
        <v>2</v>
      </c>
    </row>
    <row r="718" customFormat="false" ht="35.05" hidden="false" customHeight="false" outlineLevel="0" collapsed="false">
      <c r="A718" s="70" t="n">
        <v>701</v>
      </c>
      <c r="B718" s="20" t="s">
        <v>1024</v>
      </c>
      <c r="C718" s="20" t="s">
        <v>769</v>
      </c>
      <c r="D718" s="20" t="s">
        <v>770</v>
      </c>
      <c r="E718" s="20" t="s">
        <v>1267</v>
      </c>
      <c r="F718" s="70" t="s">
        <v>790</v>
      </c>
      <c r="G718" s="20" t="s">
        <v>1275</v>
      </c>
      <c r="H718" s="49" t="n">
        <v>10</v>
      </c>
      <c r="I718" s="70" t="s">
        <v>368</v>
      </c>
      <c r="J718" s="70" t="s">
        <v>369</v>
      </c>
      <c r="K718" s="73" t="n">
        <v>41</v>
      </c>
      <c r="L718" s="49" t="n">
        <v>1</v>
      </c>
      <c r="M718" s="67" t="n">
        <v>0.4</v>
      </c>
      <c r="N718" s="68" t="n">
        <f aca="false">K718*L718*M718</f>
        <v>16.4</v>
      </c>
      <c r="O718" s="34" t="n">
        <f aca="false">IFERROR(INDEX(Исходные!$B$18:$B$30,MATCH(H718,Исходные!$A$18:$A$30,0)),0)</f>
        <v>0.617</v>
      </c>
      <c r="P718" s="74" t="n">
        <f aca="false">N718*O718</f>
        <v>10.1188</v>
      </c>
      <c r="Q718" s="20" t="s">
        <v>778</v>
      </c>
      <c r="R718" s="75" t="s">
        <v>524</v>
      </c>
      <c r="S718" s="20" t="s">
        <v>1276</v>
      </c>
      <c r="T718" s="20" t="s">
        <v>73</v>
      </c>
      <c r="U718" s="47" t="n">
        <v>0</v>
      </c>
      <c r="V718" s="70" t="s">
        <v>775</v>
      </c>
      <c r="W718" s="47" t="n">
        <v>2</v>
      </c>
    </row>
    <row r="719" customFormat="false" ht="35.05" hidden="false" customHeight="false" outlineLevel="0" collapsed="false">
      <c r="A719" s="70" t="n">
        <v>702</v>
      </c>
      <c r="B719" s="20" t="s">
        <v>1024</v>
      </c>
      <c r="C719" s="20" t="s">
        <v>769</v>
      </c>
      <c r="D719" s="20" t="s">
        <v>770</v>
      </c>
      <c r="E719" s="20" t="s">
        <v>1267</v>
      </c>
      <c r="F719" s="70" t="s">
        <v>788</v>
      </c>
      <c r="G719" s="20" t="s">
        <v>789</v>
      </c>
      <c r="H719" s="49" t="n">
        <v>10</v>
      </c>
      <c r="I719" s="70" t="s">
        <v>368</v>
      </c>
      <c r="J719" s="70" t="n">
        <v>200</v>
      </c>
      <c r="K719" s="73" t="n">
        <v>1</v>
      </c>
      <c r="L719" s="49" t="n">
        <v>26</v>
      </c>
      <c r="M719" s="67" t="n">
        <v>20.48</v>
      </c>
      <c r="N719" s="68" t="n">
        <f aca="false">K719*L719*M719</f>
        <v>532.48</v>
      </c>
      <c r="O719" s="34" t="n">
        <f aca="false">IFERROR(INDEX(Исходные!$B$18:$B$30,MATCH(H719,Исходные!$A$18:$A$30,0)),0)</f>
        <v>0.617</v>
      </c>
      <c r="P719" s="74" t="n">
        <f aca="false">N719*O719</f>
        <v>328.54016</v>
      </c>
      <c r="Q719" s="20" t="s">
        <v>1268</v>
      </c>
      <c r="R719" s="75" t="s">
        <v>517</v>
      </c>
      <c r="S719" s="20"/>
      <c r="T719" s="20" t="s">
        <v>73</v>
      </c>
      <c r="U719" s="47" t="n">
        <v>0</v>
      </c>
      <c r="V719" s="70" t="s">
        <v>775</v>
      </c>
      <c r="W719" s="47" t="n">
        <v>2</v>
      </c>
    </row>
    <row r="720" customFormat="false" ht="35.05" hidden="false" customHeight="false" outlineLevel="0" collapsed="false">
      <c r="A720" s="70" t="n">
        <v>703</v>
      </c>
      <c r="B720" s="20" t="s">
        <v>1024</v>
      </c>
      <c r="C720" s="20" t="s">
        <v>769</v>
      </c>
      <c r="D720" s="20" t="s">
        <v>770</v>
      </c>
      <c r="E720" s="20" t="s">
        <v>1267</v>
      </c>
      <c r="F720" s="70" t="s">
        <v>790</v>
      </c>
      <c r="G720" s="20" t="s">
        <v>795</v>
      </c>
      <c r="H720" s="49" t="n">
        <v>10</v>
      </c>
      <c r="I720" s="70" t="s">
        <v>368</v>
      </c>
      <c r="J720" s="70" t="s">
        <v>369</v>
      </c>
      <c r="K720" s="73" t="n">
        <v>26</v>
      </c>
      <c r="L720" s="49" t="n">
        <v>1</v>
      </c>
      <c r="M720" s="67" t="n">
        <v>0.4</v>
      </c>
      <c r="N720" s="68" t="n">
        <f aca="false">K720*L720*M720</f>
        <v>10.4</v>
      </c>
      <c r="O720" s="34" t="n">
        <f aca="false">IFERROR(INDEX(Исходные!$B$18:$B$30,MATCH(H720,Исходные!$A$18:$A$30,0)),0)</f>
        <v>0.617</v>
      </c>
      <c r="P720" s="74" t="n">
        <f aca="false">N720*O720</f>
        <v>6.4168</v>
      </c>
      <c r="Q720" s="20" t="s">
        <v>778</v>
      </c>
      <c r="R720" s="75" t="s">
        <v>524</v>
      </c>
      <c r="S720" s="20" t="s">
        <v>796</v>
      </c>
      <c r="T720" s="20" t="s">
        <v>73</v>
      </c>
      <c r="U720" s="47" t="n">
        <v>0</v>
      </c>
      <c r="V720" s="70" t="s">
        <v>775</v>
      </c>
      <c r="W720" s="47" t="n">
        <v>2</v>
      </c>
    </row>
    <row r="721" customFormat="false" ht="35.05" hidden="false" customHeight="false" outlineLevel="0" collapsed="false">
      <c r="A721" s="70" t="n">
        <v>704</v>
      </c>
      <c r="B721" s="20" t="s">
        <v>1024</v>
      </c>
      <c r="C721" s="20" t="s">
        <v>769</v>
      </c>
      <c r="D721" s="20" t="s">
        <v>770</v>
      </c>
      <c r="E721" s="20" t="s">
        <v>1267</v>
      </c>
      <c r="F721" s="70" t="s">
        <v>788</v>
      </c>
      <c r="G721" s="20" t="s">
        <v>789</v>
      </c>
      <c r="H721" s="49" t="n">
        <v>10</v>
      </c>
      <c r="I721" s="70" t="s">
        <v>368</v>
      </c>
      <c r="J721" s="70" t="n">
        <v>200</v>
      </c>
      <c r="K721" s="73" t="n">
        <v>1</v>
      </c>
      <c r="L721" s="49" t="n">
        <v>2</v>
      </c>
      <c r="M721" s="67" t="n">
        <v>19.01</v>
      </c>
      <c r="N721" s="68" t="n">
        <f aca="false">K721*L721*M721</f>
        <v>38.02</v>
      </c>
      <c r="O721" s="34" t="n">
        <f aca="false">IFERROR(INDEX(Исходные!$B$18:$B$30,MATCH(H721,Исходные!$A$18:$A$30,0)),0)</f>
        <v>0.617</v>
      </c>
      <c r="P721" s="74" t="n">
        <f aca="false">N721*O721</f>
        <v>23.45834</v>
      </c>
      <c r="Q721" s="20" t="s">
        <v>1268</v>
      </c>
      <c r="R721" s="75" t="s">
        <v>517</v>
      </c>
      <c r="S721" s="20"/>
      <c r="T721" s="20" t="s">
        <v>73</v>
      </c>
      <c r="U721" s="47" t="n">
        <v>0</v>
      </c>
      <c r="V721" s="70" t="s">
        <v>775</v>
      </c>
      <c r="W721" s="47" t="n">
        <v>2</v>
      </c>
    </row>
    <row r="722" customFormat="false" ht="35.05" hidden="false" customHeight="false" outlineLevel="0" collapsed="false">
      <c r="A722" s="70" t="n">
        <v>705</v>
      </c>
      <c r="B722" s="20" t="s">
        <v>1024</v>
      </c>
      <c r="C722" s="20" t="s">
        <v>769</v>
      </c>
      <c r="D722" s="20" t="s">
        <v>770</v>
      </c>
      <c r="E722" s="20" t="s">
        <v>1267</v>
      </c>
      <c r="F722" s="70" t="s">
        <v>790</v>
      </c>
      <c r="G722" s="20" t="s">
        <v>797</v>
      </c>
      <c r="H722" s="49" t="n">
        <v>10</v>
      </c>
      <c r="I722" s="70" t="s">
        <v>368</v>
      </c>
      <c r="J722" s="70" t="s">
        <v>369</v>
      </c>
      <c r="K722" s="73" t="n">
        <v>2</v>
      </c>
      <c r="L722" s="49" t="n">
        <v>1</v>
      </c>
      <c r="M722" s="67" t="n">
        <v>0.4</v>
      </c>
      <c r="N722" s="68" t="n">
        <f aca="false">K722*L722*M722</f>
        <v>0.8</v>
      </c>
      <c r="O722" s="34" t="n">
        <f aca="false">IFERROR(INDEX(Исходные!$B$18:$B$30,MATCH(H722,Исходные!$A$18:$A$30,0)),0)</f>
        <v>0.617</v>
      </c>
      <c r="P722" s="74" t="n">
        <f aca="false">N722*O722</f>
        <v>0.4936</v>
      </c>
      <c r="Q722" s="20" t="s">
        <v>778</v>
      </c>
      <c r="R722" s="75" t="s">
        <v>524</v>
      </c>
      <c r="S722" s="20" t="s">
        <v>798</v>
      </c>
      <c r="T722" s="20" t="s">
        <v>73</v>
      </c>
      <c r="U722" s="47" t="n">
        <v>0</v>
      </c>
      <c r="V722" s="70" t="s">
        <v>775</v>
      </c>
      <c r="W722" s="47" t="n">
        <v>2</v>
      </c>
    </row>
    <row r="723" customFormat="false" ht="35.05" hidden="false" customHeight="false" outlineLevel="0" collapsed="false">
      <c r="A723" s="70" t="n">
        <v>706</v>
      </c>
      <c r="B723" s="20" t="s">
        <v>1024</v>
      </c>
      <c r="C723" s="20" t="s">
        <v>769</v>
      </c>
      <c r="D723" s="20" t="s">
        <v>770</v>
      </c>
      <c r="E723" s="20" t="s">
        <v>1267</v>
      </c>
      <c r="F723" s="70" t="s">
        <v>788</v>
      </c>
      <c r="G723" s="20" t="s">
        <v>789</v>
      </c>
      <c r="H723" s="49" t="n">
        <v>10</v>
      </c>
      <c r="I723" s="70" t="s">
        <v>368</v>
      </c>
      <c r="J723" s="70" t="n">
        <v>200</v>
      </c>
      <c r="K723" s="73" t="n">
        <v>1</v>
      </c>
      <c r="L723" s="49" t="n">
        <v>3</v>
      </c>
      <c r="M723" s="67" t="n">
        <v>17.28</v>
      </c>
      <c r="N723" s="68" t="n">
        <f aca="false">K723*L723*M723</f>
        <v>51.84</v>
      </c>
      <c r="O723" s="34" t="n">
        <f aca="false">IFERROR(INDEX(Исходные!$B$18:$B$30,MATCH(H723,Исходные!$A$18:$A$30,0)),0)</f>
        <v>0.617</v>
      </c>
      <c r="P723" s="74" t="n">
        <f aca="false">N723*O723</f>
        <v>31.98528</v>
      </c>
      <c r="Q723" s="20" t="s">
        <v>1268</v>
      </c>
      <c r="R723" s="75" t="s">
        <v>517</v>
      </c>
      <c r="S723" s="20"/>
      <c r="T723" s="20" t="s">
        <v>73</v>
      </c>
      <c r="U723" s="47" t="n">
        <v>0</v>
      </c>
      <c r="V723" s="70" t="s">
        <v>775</v>
      </c>
      <c r="W723" s="47" t="n">
        <v>2</v>
      </c>
    </row>
    <row r="724" customFormat="false" ht="35.05" hidden="false" customHeight="false" outlineLevel="0" collapsed="false">
      <c r="A724" s="70" t="n">
        <v>707</v>
      </c>
      <c r="B724" s="20" t="s">
        <v>1024</v>
      </c>
      <c r="C724" s="20" t="s">
        <v>769</v>
      </c>
      <c r="D724" s="20" t="s">
        <v>770</v>
      </c>
      <c r="E724" s="20" t="s">
        <v>1267</v>
      </c>
      <c r="F724" s="70" t="s">
        <v>790</v>
      </c>
      <c r="G724" s="20" t="s">
        <v>1277</v>
      </c>
      <c r="H724" s="49" t="n">
        <v>10</v>
      </c>
      <c r="I724" s="70" t="s">
        <v>368</v>
      </c>
      <c r="J724" s="70" t="s">
        <v>369</v>
      </c>
      <c r="K724" s="73" t="n">
        <v>3</v>
      </c>
      <c r="L724" s="49" t="n">
        <v>1</v>
      </c>
      <c r="M724" s="67" t="n">
        <v>0.4</v>
      </c>
      <c r="N724" s="68" t="n">
        <f aca="false">K724*L724*M724</f>
        <v>1.2</v>
      </c>
      <c r="O724" s="34" t="n">
        <f aca="false">IFERROR(INDEX(Исходные!$B$18:$B$30,MATCH(H724,Исходные!$A$18:$A$30,0)),0)</f>
        <v>0.617</v>
      </c>
      <c r="P724" s="74" t="n">
        <f aca="false">N724*O724</f>
        <v>0.7404</v>
      </c>
      <c r="Q724" s="20" t="s">
        <v>778</v>
      </c>
      <c r="R724" s="75" t="s">
        <v>524</v>
      </c>
      <c r="S724" s="20" t="s">
        <v>800</v>
      </c>
      <c r="T724" s="20" t="s">
        <v>73</v>
      </c>
      <c r="U724" s="47" t="n">
        <v>0</v>
      </c>
      <c r="V724" s="70" t="s">
        <v>775</v>
      </c>
      <c r="W724" s="47" t="n">
        <v>2</v>
      </c>
    </row>
    <row r="725" customFormat="false" ht="35.05" hidden="false" customHeight="false" outlineLevel="0" collapsed="false">
      <c r="A725" s="70" t="n">
        <v>708</v>
      </c>
      <c r="B725" s="20" t="s">
        <v>1024</v>
      </c>
      <c r="C725" s="20" t="s">
        <v>769</v>
      </c>
      <c r="D725" s="20" t="s">
        <v>770</v>
      </c>
      <c r="E725" s="20" t="s">
        <v>1267</v>
      </c>
      <c r="F725" s="70" t="s">
        <v>788</v>
      </c>
      <c r="G725" s="20" t="s">
        <v>789</v>
      </c>
      <c r="H725" s="49" t="n">
        <v>10</v>
      </c>
      <c r="I725" s="70" t="s">
        <v>368</v>
      </c>
      <c r="J725" s="70" t="n">
        <v>200</v>
      </c>
      <c r="K725" s="73" t="n">
        <v>1</v>
      </c>
      <c r="L725" s="49" t="n">
        <v>17</v>
      </c>
      <c r="M725" s="67" t="n">
        <v>15.6</v>
      </c>
      <c r="N725" s="68" t="n">
        <f aca="false">K725*L725*M725</f>
        <v>265.2</v>
      </c>
      <c r="O725" s="34" t="n">
        <f aca="false">IFERROR(INDEX(Исходные!$B$18:$B$30,MATCH(H725,Исходные!$A$18:$A$30,0)),0)</f>
        <v>0.617</v>
      </c>
      <c r="P725" s="74" t="n">
        <f aca="false">N725*O725</f>
        <v>163.6284</v>
      </c>
      <c r="Q725" s="20" t="s">
        <v>1268</v>
      </c>
      <c r="R725" s="75" t="s">
        <v>517</v>
      </c>
      <c r="S725" s="20"/>
      <c r="T725" s="20" t="s">
        <v>73</v>
      </c>
      <c r="U725" s="47" t="n">
        <v>0</v>
      </c>
      <c r="V725" s="70" t="s">
        <v>775</v>
      </c>
      <c r="W725" s="47" t="n">
        <v>2</v>
      </c>
    </row>
    <row r="726" customFormat="false" ht="35.05" hidden="false" customHeight="false" outlineLevel="0" collapsed="false">
      <c r="A726" s="70" t="n">
        <v>709</v>
      </c>
      <c r="B726" s="20" t="s">
        <v>1024</v>
      </c>
      <c r="C726" s="20" t="s">
        <v>769</v>
      </c>
      <c r="D726" s="20" t="s">
        <v>770</v>
      </c>
      <c r="E726" s="20" t="s">
        <v>1267</v>
      </c>
      <c r="F726" s="70" t="s">
        <v>790</v>
      </c>
      <c r="G726" s="20" t="s">
        <v>801</v>
      </c>
      <c r="H726" s="49" t="n">
        <v>10</v>
      </c>
      <c r="I726" s="70" t="s">
        <v>368</v>
      </c>
      <c r="J726" s="70" t="s">
        <v>369</v>
      </c>
      <c r="K726" s="73" t="n">
        <v>17</v>
      </c>
      <c r="L726" s="49" t="n">
        <v>1</v>
      </c>
      <c r="M726" s="67" t="n">
        <v>0.4</v>
      </c>
      <c r="N726" s="68" t="n">
        <f aca="false">K726*L726*M726</f>
        <v>6.8</v>
      </c>
      <c r="O726" s="34" t="n">
        <f aca="false">IFERROR(INDEX(Исходные!$B$18:$B$30,MATCH(H726,Исходные!$A$18:$A$30,0)),0)</f>
        <v>0.617</v>
      </c>
      <c r="P726" s="74" t="n">
        <f aca="false">N726*O726</f>
        <v>4.1956</v>
      </c>
      <c r="Q726" s="20" t="s">
        <v>778</v>
      </c>
      <c r="R726" s="75" t="s">
        <v>524</v>
      </c>
      <c r="S726" s="20" t="s">
        <v>802</v>
      </c>
      <c r="T726" s="20" t="s">
        <v>73</v>
      </c>
      <c r="U726" s="47" t="n">
        <v>0</v>
      </c>
      <c r="V726" s="70" t="s">
        <v>775</v>
      </c>
      <c r="W726" s="47" t="n">
        <v>2</v>
      </c>
    </row>
    <row r="727" customFormat="false" ht="35.05" hidden="false" customHeight="false" outlineLevel="0" collapsed="false">
      <c r="A727" s="70" t="n">
        <v>710</v>
      </c>
      <c r="B727" s="20" t="s">
        <v>1024</v>
      </c>
      <c r="C727" s="20" t="s">
        <v>769</v>
      </c>
      <c r="D727" s="20" t="s">
        <v>770</v>
      </c>
      <c r="E727" s="20" t="s">
        <v>1267</v>
      </c>
      <c r="F727" s="70" t="s">
        <v>788</v>
      </c>
      <c r="G727" s="20" t="s">
        <v>789</v>
      </c>
      <c r="H727" s="49" t="n">
        <v>10</v>
      </c>
      <c r="I727" s="70" t="s">
        <v>368</v>
      </c>
      <c r="J727" s="70" t="n">
        <v>200</v>
      </c>
      <c r="K727" s="73" t="n">
        <v>1</v>
      </c>
      <c r="L727" s="49" t="n">
        <v>18</v>
      </c>
      <c r="M727" s="67" t="n">
        <v>4.15</v>
      </c>
      <c r="N727" s="68" t="n">
        <f aca="false">K727*L727*M727</f>
        <v>74.7</v>
      </c>
      <c r="O727" s="34" t="n">
        <f aca="false">IFERROR(INDEX(Исходные!$B$18:$B$30,MATCH(H727,Исходные!$A$18:$A$30,0)),0)</f>
        <v>0.617</v>
      </c>
      <c r="P727" s="74" t="n">
        <f aca="false">N727*O727</f>
        <v>46.0899</v>
      </c>
      <c r="Q727" s="20" t="s">
        <v>1268</v>
      </c>
      <c r="R727" s="75" t="s">
        <v>517</v>
      </c>
      <c r="S727" s="20"/>
      <c r="T727" s="20" t="s">
        <v>73</v>
      </c>
      <c r="U727" s="47" t="n">
        <v>0</v>
      </c>
      <c r="V727" s="70" t="s">
        <v>775</v>
      </c>
      <c r="W727" s="47" t="n">
        <v>2</v>
      </c>
    </row>
    <row r="728" customFormat="false" ht="35.05" hidden="false" customHeight="false" outlineLevel="0" collapsed="false">
      <c r="A728" s="70" t="n">
        <v>711</v>
      </c>
      <c r="B728" s="20" t="s">
        <v>1024</v>
      </c>
      <c r="C728" s="20" t="s">
        <v>769</v>
      </c>
      <c r="D728" s="20" t="s">
        <v>770</v>
      </c>
      <c r="E728" s="20" t="s">
        <v>1267</v>
      </c>
      <c r="F728" s="70" t="s">
        <v>788</v>
      </c>
      <c r="G728" s="20" t="s">
        <v>789</v>
      </c>
      <c r="H728" s="49" t="n">
        <v>10</v>
      </c>
      <c r="I728" s="70" t="s">
        <v>368</v>
      </c>
      <c r="J728" s="70" t="n">
        <v>200</v>
      </c>
      <c r="K728" s="73" t="n">
        <v>1</v>
      </c>
      <c r="L728" s="49" t="n">
        <v>22</v>
      </c>
      <c r="M728" s="67" t="n">
        <v>0.6</v>
      </c>
      <c r="N728" s="68" t="n">
        <f aca="false">K728*L728*M728</f>
        <v>13.2</v>
      </c>
      <c r="O728" s="34" t="n">
        <f aca="false">IFERROR(INDEX(Исходные!$B$18:$B$30,MATCH(H728,Исходные!$A$18:$A$30,0)),0)</f>
        <v>0.617</v>
      </c>
      <c r="P728" s="74" t="n">
        <f aca="false">N728*O728</f>
        <v>8.1444</v>
      </c>
      <c r="Q728" s="20" t="s">
        <v>1268</v>
      </c>
      <c r="R728" s="75" t="s">
        <v>517</v>
      </c>
      <c r="S728" s="20"/>
      <c r="T728" s="20" t="s">
        <v>73</v>
      </c>
      <c r="U728" s="47" t="n">
        <v>0</v>
      </c>
      <c r="V728" s="70" t="s">
        <v>775</v>
      </c>
      <c r="W728" s="47" t="n">
        <v>2</v>
      </c>
    </row>
    <row r="729" customFormat="false" ht="35.05" hidden="false" customHeight="false" outlineLevel="0" collapsed="false">
      <c r="A729" s="70" t="n">
        <v>712</v>
      </c>
      <c r="B729" s="20" t="s">
        <v>1024</v>
      </c>
      <c r="C729" s="20" t="s">
        <v>769</v>
      </c>
      <c r="D729" s="20" t="s">
        <v>770</v>
      </c>
      <c r="E729" s="20" t="s">
        <v>1267</v>
      </c>
      <c r="F729" s="70" t="s">
        <v>803</v>
      </c>
      <c r="G729" s="20" t="s">
        <v>804</v>
      </c>
      <c r="H729" s="49" t="n">
        <v>10</v>
      </c>
      <c r="I729" s="70" t="s">
        <v>368</v>
      </c>
      <c r="J729" s="70" t="n">
        <v>200</v>
      </c>
      <c r="K729" s="73" t="n">
        <v>1</v>
      </c>
      <c r="L729" s="49" t="n">
        <v>26</v>
      </c>
      <c r="M729" s="67" t="n">
        <v>27.32</v>
      </c>
      <c r="N729" s="68" t="n">
        <f aca="false">K729*L729*M729</f>
        <v>710.32</v>
      </c>
      <c r="O729" s="34" t="n">
        <f aca="false">IFERROR(INDEX(Исходные!$B$18:$B$30,MATCH(H729,Исходные!$A$18:$A$30,0)),0)</f>
        <v>0.617</v>
      </c>
      <c r="P729" s="74" t="n">
        <f aca="false">N729*O729</f>
        <v>438.26744</v>
      </c>
      <c r="Q729" s="20" t="s">
        <v>1268</v>
      </c>
      <c r="R729" s="75" t="s">
        <v>517</v>
      </c>
      <c r="S729" s="20"/>
      <c r="T729" s="20" t="s">
        <v>73</v>
      </c>
      <c r="U729" s="47" t="n">
        <v>0</v>
      </c>
      <c r="V729" s="70" t="s">
        <v>775</v>
      </c>
      <c r="W729" s="47" t="n">
        <v>2</v>
      </c>
    </row>
    <row r="730" customFormat="false" ht="35.05" hidden="false" customHeight="false" outlineLevel="0" collapsed="false">
      <c r="A730" s="70" t="n">
        <v>713</v>
      </c>
      <c r="B730" s="20" t="s">
        <v>1024</v>
      </c>
      <c r="C730" s="20" t="s">
        <v>769</v>
      </c>
      <c r="D730" s="20" t="s">
        <v>770</v>
      </c>
      <c r="E730" s="20" t="s">
        <v>1267</v>
      </c>
      <c r="F730" s="70" t="s">
        <v>805</v>
      </c>
      <c r="G730" s="20" t="s">
        <v>1278</v>
      </c>
      <c r="H730" s="49" t="n">
        <v>10</v>
      </c>
      <c r="I730" s="70" t="s">
        <v>368</v>
      </c>
      <c r="J730" s="70" t="s">
        <v>369</v>
      </c>
      <c r="K730" s="73" t="n">
        <v>26</v>
      </c>
      <c r="L730" s="49" t="n">
        <v>2</v>
      </c>
      <c r="M730" s="67" t="n">
        <v>0.4</v>
      </c>
      <c r="N730" s="68" t="n">
        <f aca="false">K730*L730*M730</f>
        <v>20.8</v>
      </c>
      <c r="O730" s="34" t="n">
        <f aca="false">IFERROR(INDEX(Исходные!$B$18:$B$30,MATCH(H730,Исходные!$A$18:$A$30,0)),0)</f>
        <v>0.617</v>
      </c>
      <c r="P730" s="74" t="n">
        <f aca="false">N730*O730</f>
        <v>12.8336</v>
      </c>
      <c r="Q730" s="20" t="s">
        <v>778</v>
      </c>
      <c r="R730" s="75" t="s">
        <v>524</v>
      </c>
      <c r="S730" s="20" t="s">
        <v>1270</v>
      </c>
      <c r="T730" s="20" t="s">
        <v>73</v>
      </c>
      <c r="U730" s="47" t="n">
        <v>0</v>
      </c>
      <c r="V730" s="70" t="s">
        <v>775</v>
      </c>
      <c r="W730" s="47" t="n">
        <v>2</v>
      </c>
    </row>
    <row r="731" customFormat="false" ht="35.05" hidden="false" customHeight="false" outlineLevel="0" collapsed="false">
      <c r="A731" s="70" t="n">
        <v>714</v>
      </c>
      <c r="B731" s="20" t="s">
        <v>1024</v>
      </c>
      <c r="C731" s="20" t="s">
        <v>769</v>
      </c>
      <c r="D731" s="20" t="s">
        <v>770</v>
      </c>
      <c r="E731" s="20" t="s">
        <v>1267</v>
      </c>
      <c r="F731" s="70" t="s">
        <v>803</v>
      </c>
      <c r="G731" s="20" t="s">
        <v>804</v>
      </c>
      <c r="H731" s="49" t="n">
        <v>10</v>
      </c>
      <c r="I731" s="70" t="s">
        <v>368</v>
      </c>
      <c r="J731" s="70" t="n">
        <v>200</v>
      </c>
      <c r="K731" s="73" t="n">
        <v>1</v>
      </c>
      <c r="L731" s="49" t="n">
        <v>49</v>
      </c>
      <c r="M731" s="67" t="n">
        <v>25.6</v>
      </c>
      <c r="N731" s="68" t="n">
        <f aca="false">K731*L731*M731</f>
        <v>1254.4</v>
      </c>
      <c r="O731" s="34" t="n">
        <f aca="false">IFERROR(INDEX(Исходные!$B$18:$B$30,MATCH(H731,Исходные!$A$18:$A$30,0)),0)</f>
        <v>0.617</v>
      </c>
      <c r="P731" s="74" t="n">
        <f aca="false">N731*O731</f>
        <v>773.9648</v>
      </c>
      <c r="Q731" s="20" t="s">
        <v>1268</v>
      </c>
      <c r="R731" s="75" t="s">
        <v>517</v>
      </c>
      <c r="S731" s="20"/>
      <c r="T731" s="20" t="s">
        <v>73</v>
      </c>
      <c r="U731" s="47" t="n">
        <v>0</v>
      </c>
      <c r="V731" s="70" t="s">
        <v>775</v>
      </c>
      <c r="W731" s="47" t="n">
        <v>2</v>
      </c>
    </row>
    <row r="732" customFormat="false" ht="35.05" hidden="false" customHeight="false" outlineLevel="0" collapsed="false">
      <c r="A732" s="70" t="n">
        <v>715</v>
      </c>
      <c r="B732" s="20" t="s">
        <v>1024</v>
      </c>
      <c r="C732" s="20" t="s">
        <v>769</v>
      </c>
      <c r="D732" s="20" t="s">
        <v>770</v>
      </c>
      <c r="E732" s="20" t="s">
        <v>1267</v>
      </c>
      <c r="F732" s="70" t="s">
        <v>805</v>
      </c>
      <c r="G732" s="20" t="s">
        <v>1279</v>
      </c>
      <c r="H732" s="49" t="n">
        <v>10</v>
      </c>
      <c r="I732" s="70" t="s">
        <v>368</v>
      </c>
      <c r="J732" s="70" t="s">
        <v>369</v>
      </c>
      <c r="K732" s="73" t="n">
        <v>49</v>
      </c>
      <c r="L732" s="49" t="n">
        <v>2</v>
      </c>
      <c r="M732" s="67" t="n">
        <v>0.4</v>
      </c>
      <c r="N732" s="68" t="n">
        <f aca="false">K732*L732*M732</f>
        <v>39.2</v>
      </c>
      <c r="O732" s="34" t="n">
        <f aca="false">IFERROR(INDEX(Исходные!$B$18:$B$30,MATCH(H732,Исходные!$A$18:$A$30,0)),0)</f>
        <v>0.617</v>
      </c>
      <c r="P732" s="74" t="n">
        <f aca="false">N732*O732</f>
        <v>24.1864</v>
      </c>
      <c r="Q732" s="20" t="s">
        <v>778</v>
      </c>
      <c r="R732" s="75" t="s">
        <v>524</v>
      </c>
      <c r="S732" s="20" t="s">
        <v>1272</v>
      </c>
      <c r="T732" s="20" t="s">
        <v>73</v>
      </c>
      <c r="U732" s="47" t="n">
        <v>0</v>
      </c>
      <c r="V732" s="70" t="s">
        <v>775</v>
      </c>
      <c r="W732" s="47" t="n">
        <v>2</v>
      </c>
    </row>
    <row r="733" customFormat="false" ht="35.05" hidden="false" customHeight="false" outlineLevel="0" collapsed="false">
      <c r="A733" s="70" t="n">
        <v>716</v>
      </c>
      <c r="B733" s="20" t="s">
        <v>1024</v>
      </c>
      <c r="C733" s="20" t="s">
        <v>769</v>
      </c>
      <c r="D733" s="20" t="s">
        <v>770</v>
      </c>
      <c r="E733" s="20" t="s">
        <v>1267</v>
      </c>
      <c r="F733" s="70" t="s">
        <v>803</v>
      </c>
      <c r="G733" s="20" t="s">
        <v>804</v>
      </c>
      <c r="H733" s="49" t="n">
        <v>10</v>
      </c>
      <c r="I733" s="70" t="s">
        <v>368</v>
      </c>
      <c r="J733" s="70" t="n">
        <v>200</v>
      </c>
      <c r="K733" s="73" t="n">
        <v>1</v>
      </c>
      <c r="L733" s="49" t="n">
        <v>1</v>
      </c>
      <c r="M733" s="67" t="n">
        <v>22.2</v>
      </c>
      <c r="N733" s="68" t="n">
        <f aca="false">K733*L733*M733</f>
        <v>22.2</v>
      </c>
      <c r="O733" s="34" t="n">
        <f aca="false">IFERROR(INDEX(Исходные!$B$18:$B$30,MATCH(H733,Исходные!$A$18:$A$30,0)),0)</f>
        <v>0.617</v>
      </c>
      <c r="P733" s="74" t="n">
        <f aca="false">N733*O733</f>
        <v>13.6974</v>
      </c>
      <c r="Q733" s="20" t="s">
        <v>1268</v>
      </c>
      <c r="R733" s="75" t="s">
        <v>517</v>
      </c>
      <c r="S733" s="20"/>
      <c r="T733" s="20" t="s">
        <v>73</v>
      </c>
      <c r="U733" s="47" t="n">
        <v>0</v>
      </c>
      <c r="V733" s="70" t="s">
        <v>775</v>
      </c>
      <c r="W733" s="47" t="n">
        <v>2</v>
      </c>
    </row>
    <row r="734" customFormat="false" ht="35.05" hidden="false" customHeight="false" outlineLevel="0" collapsed="false">
      <c r="A734" s="70" t="n">
        <v>717</v>
      </c>
      <c r="B734" s="20" t="s">
        <v>1024</v>
      </c>
      <c r="C734" s="20" t="s">
        <v>769</v>
      </c>
      <c r="D734" s="20" t="s">
        <v>770</v>
      </c>
      <c r="E734" s="20" t="s">
        <v>1267</v>
      </c>
      <c r="F734" s="70" t="s">
        <v>805</v>
      </c>
      <c r="G734" s="20" t="s">
        <v>808</v>
      </c>
      <c r="H734" s="49" t="n">
        <v>10</v>
      </c>
      <c r="I734" s="70" t="s">
        <v>368</v>
      </c>
      <c r="J734" s="70" t="s">
        <v>369</v>
      </c>
      <c r="K734" s="73" t="n">
        <v>1</v>
      </c>
      <c r="L734" s="49" t="n">
        <v>1</v>
      </c>
      <c r="M734" s="67" t="n">
        <v>0.4</v>
      </c>
      <c r="N734" s="68" t="n">
        <f aca="false">K734*L734*M734</f>
        <v>0.4</v>
      </c>
      <c r="O734" s="34" t="n">
        <f aca="false">IFERROR(INDEX(Исходные!$B$18:$B$30,MATCH(H734,Исходные!$A$18:$A$30,0)),0)</f>
        <v>0.617</v>
      </c>
      <c r="P734" s="74" t="n">
        <f aca="false">N734*O734</f>
        <v>0.2468</v>
      </c>
      <c r="Q734" s="20" t="s">
        <v>778</v>
      </c>
      <c r="R734" s="75" t="s">
        <v>524</v>
      </c>
      <c r="S734" s="20" t="s">
        <v>783</v>
      </c>
      <c r="T734" s="20" t="s">
        <v>73</v>
      </c>
      <c r="U734" s="47" t="n">
        <v>0</v>
      </c>
      <c r="V734" s="70" t="s">
        <v>775</v>
      </c>
      <c r="W734" s="47" t="n">
        <v>2</v>
      </c>
    </row>
    <row r="735" customFormat="false" ht="35.05" hidden="false" customHeight="false" outlineLevel="0" collapsed="false">
      <c r="A735" s="70" t="n">
        <v>718</v>
      </c>
      <c r="B735" s="20" t="s">
        <v>1024</v>
      </c>
      <c r="C735" s="20" t="s">
        <v>769</v>
      </c>
      <c r="D735" s="20" t="s">
        <v>770</v>
      </c>
      <c r="E735" s="20" t="s">
        <v>1267</v>
      </c>
      <c r="F735" s="70" t="s">
        <v>803</v>
      </c>
      <c r="G735" s="20" t="s">
        <v>804</v>
      </c>
      <c r="H735" s="49" t="n">
        <v>10</v>
      </c>
      <c r="I735" s="70" t="s">
        <v>368</v>
      </c>
      <c r="J735" s="70" t="n">
        <v>200</v>
      </c>
      <c r="K735" s="73" t="n">
        <v>1</v>
      </c>
      <c r="L735" s="49" t="n">
        <v>16</v>
      </c>
      <c r="M735" s="67" t="n">
        <v>15.62</v>
      </c>
      <c r="N735" s="68" t="n">
        <f aca="false">K735*L735*M735</f>
        <v>249.92</v>
      </c>
      <c r="O735" s="34" t="n">
        <f aca="false">IFERROR(INDEX(Исходные!$B$18:$B$30,MATCH(H735,Исходные!$A$18:$A$30,0)),0)</f>
        <v>0.617</v>
      </c>
      <c r="P735" s="74" t="n">
        <f aca="false">N735*O735</f>
        <v>154.20064</v>
      </c>
      <c r="Q735" s="20" t="s">
        <v>1268</v>
      </c>
      <c r="R735" s="75" t="s">
        <v>517</v>
      </c>
      <c r="S735" s="20"/>
      <c r="T735" s="20" t="s">
        <v>73</v>
      </c>
      <c r="U735" s="47" t="n">
        <v>0</v>
      </c>
      <c r="V735" s="70" t="s">
        <v>775</v>
      </c>
      <c r="W735" s="47" t="n">
        <v>2</v>
      </c>
    </row>
    <row r="736" customFormat="false" ht="35.05" hidden="false" customHeight="false" outlineLevel="0" collapsed="false">
      <c r="A736" s="70" t="n">
        <v>719</v>
      </c>
      <c r="B736" s="20" t="s">
        <v>1024</v>
      </c>
      <c r="C736" s="20" t="s">
        <v>769</v>
      </c>
      <c r="D736" s="20" t="s">
        <v>770</v>
      </c>
      <c r="E736" s="20" t="s">
        <v>1267</v>
      </c>
      <c r="F736" s="70" t="s">
        <v>805</v>
      </c>
      <c r="G736" s="20" t="s">
        <v>809</v>
      </c>
      <c r="H736" s="49" t="n">
        <v>10</v>
      </c>
      <c r="I736" s="70" t="s">
        <v>368</v>
      </c>
      <c r="J736" s="70" t="s">
        <v>369</v>
      </c>
      <c r="K736" s="73" t="n">
        <v>16</v>
      </c>
      <c r="L736" s="49" t="n">
        <v>1</v>
      </c>
      <c r="M736" s="67" t="n">
        <v>0.4</v>
      </c>
      <c r="N736" s="68" t="n">
        <f aca="false">K736*L736*M736</f>
        <v>6.4</v>
      </c>
      <c r="O736" s="34" t="n">
        <f aca="false">IFERROR(INDEX(Исходные!$B$18:$B$30,MATCH(H736,Исходные!$A$18:$A$30,0)),0)</f>
        <v>0.617</v>
      </c>
      <c r="P736" s="74" t="n">
        <f aca="false">N736*O736</f>
        <v>3.9488</v>
      </c>
      <c r="Q736" s="20" t="s">
        <v>778</v>
      </c>
      <c r="R736" s="75" t="s">
        <v>524</v>
      </c>
      <c r="S736" s="20" t="s">
        <v>785</v>
      </c>
      <c r="T736" s="20" t="s">
        <v>73</v>
      </c>
      <c r="U736" s="47" t="n">
        <v>0</v>
      </c>
      <c r="V736" s="70" t="s">
        <v>775</v>
      </c>
      <c r="W736" s="47" t="n">
        <v>2</v>
      </c>
    </row>
    <row r="737" customFormat="false" ht="35.05" hidden="false" customHeight="false" outlineLevel="0" collapsed="false">
      <c r="A737" s="70" t="n">
        <v>720</v>
      </c>
      <c r="B737" s="20" t="s">
        <v>1024</v>
      </c>
      <c r="C737" s="20" t="s">
        <v>769</v>
      </c>
      <c r="D737" s="20" t="s">
        <v>770</v>
      </c>
      <c r="E737" s="20" t="s">
        <v>1267</v>
      </c>
      <c r="F737" s="70" t="s">
        <v>803</v>
      </c>
      <c r="G737" s="20" t="s">
        <v>804</v>
      </c>
      <c r="H737" s="49" t="n">
        <v>10</v>
      </c>
      <c r="I737" s="70" t="s">
        <v>368</v>
      </c>
      <c r="J737" s="70" t="n">
        <v>200</v>
      </c>
      <c r="K737" s="73" t="n">
        <v>1</v>
      </c>
      <c r="L737" s="49" t="n">
        <v>12</v>
      </c>
      <c r="M737" s="67" t="n">
        <v>13.9</v>
      </c>
      <c r="N737" s="68" t="n">
        <f aca="false">K737*L737*M737</f>
        <v>166.8</v>
      </c>
      <c r="O737" s="34" t="n">
        <f aca="false">IFERROR(INDEX(Исходные!$B$18:$B$30,MATCH(H737,Исходные!$A$18:$A$30,0)),0)</f>
        <v>0.617</v>
      </c>
      <c r="P737" s="74" t="n">
        <f aca="false">N737*O737</f>
        <v>102.9156</v>
      </c>
      <c r="Q737" s="20" t="s">
        <v>1268</v>
      </c>
      <c r="R737" s="75" t="s">
        <v>517</v>
      </c>
      <c r="S737" s="20"/>
      <c r="T737" s="20" t="s">
        <v>73</v>
      </c>
      <c r="U737" s="47" t="n">
        <v>0</v>
      </c>
      <c r="V737" s="70" t="s">
        <v>775</v>
      </c>
      <c r="W737" s="47" t="n">
        <v>2</v>
      </c>
    </row>
    <row r="738" customFormat="false" ht="35.05" hidden="false" customHeight="false" outlineLevel="0" collapsed="false">
      <c r="A738" s="70" t="n">
        <v>721</v>
      </c>
      <c r="B738" s="20" t="s">
        <v>1024</v>
      </c>
      <c r="C738" s="20" t="s">
        <v>769</v>
      </c>
      <c r="D738" s="20" t="s">
        <v>770</v>
      </c>
      <c r="E738" s="20" t="s">
        <v>1267</v>
      </c>
      <c r="F738" s="70" t="s">
        <v>805</v>
      </c>
      <c r="G738" s="20" t="s">
        <v>810</v>
      </c>
      <c r="H738" s="49" t="n">
        <v>10</v>
      </c>
      <c r="I738" s="70" t="s">
        <v>368</v>
      </c>
      <c r="J738" s="70" t="s">
        <v>369</v>
      </c>
      <c r="K738" s="73" t="n">
        <v>12</v>
      </c>
      <c r="L738" s="49" t="n">
        <v>1</v>
      </c>
      <c r="M738" s="67" t="n">
        <v>0.4</v>
      </c>
      <c r="N738" s="68" t="n">
        <f aca="false">K738*L738*M738</f>
        <v>4.8</v>
      </c>
      <c r="O738" s="34" t="n">
        <f aca="false">IFERROR(INDEX(Исходные!$B$18:$B$30,MATCH(H738,Исходные!$A$18:$A$30,0)),0)</f>
        <v>0.617</v>
      </c>
      <c r="P738" s="74" t="n">
        <f aca="false">N738*O738</f>
        <v>2.9616</v>
      </c>
      <c r="Q738" s="20" t="s">
        <v>778</v>
      </c>
      <c r="R738" s="75" t="s">
        <v>524</v>
      </c>
      <c r="S738" s="20" t="s">
        <v>787</v>
      </c>
      <c r="T738" s="20" t="s">
        <v>73</v>
      </c>
      <c r="U738" s="47" t="n">
        <v>0</v>
      </c>
      <c r="V738" s="70" t="s">
        <v>775</v>
      </c>
      <c r="W738" s="47" t="n">
        <v>2</v>
      </c>
    </row>
    <row r="739" customFormat="false" ht="35.05" hidden="false" customHeight="false" outlineLevel="0" collapsed="false">
      <c r="A739" s="70" t="n">
        <v>722</v>
      </c>
      <c r="B739" s="20" t="s">
        <v>1024</v>
      </c>
      <c r="C739" s="20" t="s">
        <v>769</v>
      </c>
      <c r="D739" s="20" t="s">
        <v>770</v>
      </c>
      <c r="E739" s="20" t="s">
        <v>1267</v>
      </c>
      <c r="F739" s="70" t="s">
        <v>803</v>
      </c>
      <c r="G739" s="20" t="s">
        <v>804</v>
      </c>
      <c r="H739" s="49" t="n">
        <v>10</v>
      </c>
      <c r="I739" s="70" t="s">
        <v>368</v>
      </c>
      <c r="J739" s="70" t="n">
        <v>200</v>
      </c>
      <c r="K739" s="73" t="n">
        <v>1</v>
      </c>
      <c r="L739" s="49" t="n">
        <v>1</v>
      </c>
      <c r="M739" s="67" t="n">
        <v>10.77</v>
      </c>
      <c r="N739" s="68" t="n">
        <f aca="false">K739*L739*M739</f>
        <v>10.77</v>
      </c>
      <c r="O739" s="34" t="n">
        <f aca="false">IFERROR(INDEX(Исходные!$B$18:$B$30,MATCH(H739,Исходные!$A$18:$A$30,0)),0)</f>
        <v>0.617</v>
      </c>
      <c r="P739" s="74" t="n">
        <f aca="false">N739*O739</f>
        <v>6.64509</v>
      </c>
      <c r="Q739" s="20" t="s">
        <v>1268</v>
      </c>
      <c r="R739" s="75" t="s">
        <v>517</v>
      </c>
      <c r="S739" s="20"/>
      <c r="T739" s="20" t="s">
        <v>73</v>
      </c>
      <c r="U739" s="47" t="n">
        <v>0</v>
      </c>
      <c r="V739" s="70" t="s">
        <v>775</v>
      </c>
      <c r="W739" s="47" t="n">
        <v>2</v>
      </c>
    </row>
    <row r="740" customFormat="false" ht="35.05" hidden="false" customHeight="false" outlineLevel="0" collapsed="false">
      <c r="A740" s="70" t="n">
        <v>723</v>
      </c>
      <c r="B740" s="20" t="s">
        <v>1024</v>
      </c>
      <c r="C740" s="20" t="s">
        <v>769</v>
      </c>
      <c r="D740" s="20" t="s">
        <v>770</v>
      </c>
      <c r="E740" s="20" t="s">
        <v>1267</v>
      </c>
      <c r="F740" s="70" t="s">
        <v>803</v>
      </c>
      <c r="G740" s="20" t="s">
        <v>804</v>
      </c>
      <c r="H740" s="49" t="n">
        <v>10</v>
      </c>
      <c r="I740" s="70" t="s">
        <v>368</v>
      </c>
      <c r="J740" s="70" t="n">
        <v>200</v>
      </c>
      <c r="K740" s="73" t="n">
        <v>1</v>
      </c>
      <c r="L740" s="49" t="n">
        <v>14</v>
      </c>
      <c r="M740" s="67" t="n">
        <v>7.97</v>
      </c>
      <c r="N740" s="68" t="n">
        <f aca="false">K740*L740*M740</f>
        <v>111.58</v>
      </c>
      <c r="O740" s="34" t="n">
        <f aca="false">IFERROR(INDEX(Исходные!$B$18:$B$30,MATCH(H740,Исходные!$A$18:$A$30,0)),0)</f>
        <v>0.617</v>
      </c>
      <c r="P740" s="74" t="n">
        <f aca="false">N740*O740</f>
        <v>68.84486</v>
      </c>
      <c r="Q740" s="20" t="s">
        <v>1268</v>
      </c>
      <c r="R740" s="75" t="s">
        <v>517</v>
      </c>
      <c r="S740" s="20"/>
      <c r="T740" s="20" t="s">
        <v>73</v>
      </c>
      <c r="U740" s="47" t="n">
        <v>0</v>
      </c>
      <c r="V740" s="70" t="s">
        <v>775</v>
      </c>
      <c r="W740" s="47" t="n">
        <v>2</v>
      </c>
    </row>
    <row r="741" customFormat="false" ht="35.05" hidden="false" customHeight="false" outlineLevel="0" collapsed="false">
      <c r="A741" s="70" t="n">
        <v>724</v>
      </c>
      <c r="B741" s="20" t="s">
        <v>1024</v>
      </c>
      <c r="C741" s="20" t="s">
        <v>769</v>
      </c>
      <c r="D741" s="20" t="s">
        <v>770</v>
      </c>
      <c r="E741" s="20" t="s">
        <v>1267</v>
      </c>
      <c r="F741" s="70" t="s">
        <v>803</v>
      </c>
      <c r="G741" s="20" t="s">
        <v>804</v>
      </c>
      <c r="H741" s="49" t="n">
        <v>10</v>
      </c>
      <c r="I741" s="70" t="s">
        <v>368</v>
      </c>
      <c r="J741" s="70" t="n">
        <v>200</v>
      </c>
      <c r="K741" s="73" t="n">
        <v>1</v>
      </c>
      <c r="L741" s="49" t="n">
        <v>9</v>
      </c>
      <c r="M741" s="67" t="n">
        <v>7.95</v>
      </c>
      <c r="N741" s="68" t="n">
        <f aca="false">K741*L741*M741</f>
        <v>71.55</v>
      </c>
      <c r="O741" s="34" t="n">
        <f aca="false">IFERROR(INDEX(Исходные!$B$18:$B$30,MATCH(H741,Исходные!$A$18:$A$30,0)),0)</f>
        <v>0.617</v>
      </c>
      <c r="P741" s="74" t="n">
        <f aca="false">N741*O741</f>
        <v>44.14635</v>
      </c>
      <c r="Q741" s="20" t="s">
        <v>1268</v>
      </c>
      <c r="R741" s="75" t="s">
        <v>517</v>
      </c>
      <c r="S741" s="20"/>
      <c r="T741" s="20" t="s">
        <v>73</v>
      </c>
      <c r="U741" s="47" t="n">
        <v>0</v>
      </c>
      <c r="V741" s="70" t="s">
        <v>775</v>
      </c>
      <c r="W741" s="47" t="n">
        <v>2</v>
      </c>
    </row>
    <row r="742" customFormat="false" ht="35.05" hidden="false" customHeight="false" outlineLevel="0" collapsed="false">
      <c r="A742" s="70" t="n">
        <v>725</v>
      </c>
      <c r="B742" s="20" t="s">
        <v>1024</v>
      </c>
      <c r="C742" s="20" t="s">
        <v>769</v>
      </c>
      <c r="D742" s="20" t="s">
        <v>770</v>
      </c>
      <c r="E742" s="20" t="s">
        <v>1267</v>
      </c>
      <c r="F742" s="70" t="s">
        <v>803</v>
      </c>
      <c r="G742" s="20" t="s">
        <v>804</v>
      </c>
      <c r="H742" s="49" t="n">
        <v>10</v>
      </c>
      <c r="I742" s="70" t="s">
        <v>368</v>
      </c>
      <c r="J742" s="70" t="n">
        <v>200</v>
      </c>
      <c r="K742" s="73" t="n">
        <v>1</v>
      </c>
      <c r="L742" s="49" t="n">
        <v>13</v>
      </c>
      <c r="M742" s="67" t="n">
        <v>7.17</v>
      </c>
      <c r="N742" s="68" t="n">
        <f aca="false">K742*L742*M742</f>
        <v>93.21</v>
      </c>
      <c r="O742" s="34" t="n">
        <f aca="false">IFERROR(INDEX(Исходные!$B$18:$B$30,MATCH(H742,Исходные!$A$18:$A$30,0)),0)</f>
        <v>0.617</v>
      </c>
      <c r="P742" s="74" t="n">
        <f aca="false">N742*O742</f>
        <v>57.51057</v>
      </c>
      <c r="Q742" s="20" t="s">
        <v>1268</v>
      </c>
      <c r="R742" s="75" t="s">
        <v>517</v>
      </c>
      <c r="S742" s="20"/>
      <c r="T742" s="20" t="s">
        <v>73</v>
      </c>
      <c r="U742" s="47" t="n">
        <v>0</v>
      </c>
      <c r="V742" s="70" t="s">
        <v>775</v>
      </c>
      <c r="W742" s="47" t="n">
        <v>2</v>
      </c>
    </row>
    <row r="743" customFormat="false" ht="35.05" hidden="false" customHeight="false" outlineLevel="0" collapsed="false">
      <c r="A743" s="70" t="n">
        <v>726</v>
      </c>
      <c r="B743" s="20" t="s">
        <v>1024</v>
      </c>
      <c r="C743" s="20" t="s">
        <v>769</v>
      </c>
      <c r="D743" s="20" t="s">
        <v>770</v>
      </c>
      <c r="E743" s="20" t="s">
        <v>1267</v>
      </c>
      <c r="F743" s="70" t="s">
        <v>803</v>
      </c>
      <c r="G743" s="20" t="s">
        <v>804</v>
      </c>
      <c r="H743" s="49" t="n">
        <v>10</v>
      </c>
      <c r="I743" s="70" t="s">
        <v>368</v>
      </c>
      <c r="J743" s="70" t="n">
        <v>200</v>
      </c>
      <c r="K743" s="73" t="n">
        <v>1</v>
      </c>
      <c r="L743" s="49" t="n">
        <v>9</v>
      </c>
      <c r="M743" s="67" t="n">
        <v>3.78</v>
      </c>
      <c r="N743" s="68" t="n">
        <f aca="false">K743*L743*M743</f>
        <v>34.02</v>
      </c>
      <c r="O743" s="34" t="n">
        <f aca="false">IFERROR(INDEX(Исходные!$B$18:$B$30,MATCH(H743,Исходные!$A$18:$A$30,0)),0)</f>
        <v>0.617</v>
      </c>
      <c r="P743" s="74" t="n">
        <f aca="false">N743*O743</f>
        <v>20.99034</v>
      </c>
      <c r="Q743" s="20" t="s">
        <v>1268</v>
      </c>
      <c r="R743" s="75" t="s">
        <v>517</v>
      </c>
      <c r="S743" s="20"/>
      <c r="T743" s="20" t="s">
        <v>73</v>
      </c>
      <c r="U743" s="47" t="n">
        <v>0</v>
      </c>
      <c r="V743" s="70" t="s">
        <v>775</v>
      </c>
      <c r="W743" s="47" t="n">
        <v>2</v>
      </c>
    </row>
    <row r="744" customFormat="false" ht="35.05" hidden="false" customHeight="false" outlineLevel="0" collapsed="false">
      <c r="A744" s="70" t="n">
        <v>727</v>
      </c>
      <c r="B744" s="20" t="s">
        <v>1024</v>
      </c>
      <c r="C744" s="20" t="s">
        <v>769</v>
      </c>
      <c r="D744" s="20" t="s">
        <v>770</v>
      </c>
      <c r="E744" s="20" t="s">
        <v>1267</v>
      </c>
      <c r="F744" s="70" t="s">
        <v>811</v>
      </c>
      <c r="G744" s="20" t="s">
        <v>812</v>
      </c>
      <c r="H744" s="49" t="n">
        <v>10</v>
      </c>
      <c r="I744" s="70" t="s">
        <v>368</v>
      </c>
      <c r="J744" s="70" t="n">
        <v>200</v>
      </c>
      <c r="K744" s="73" t="n">
        <v>1</v>
      </c>
      <c r="L744" s="49" t="n">
        <v>40</v>
      </c>
      <c r="M744" s="67" t="n">
        <v>22.32</v>
      </c>
      <c r="N744" s="68" t="n">
        <f aca="false">K744*L744*M744</f>
        <v>892.8</v>
      </c>
      <c r="O744" s="34" t="n">
        <f aca="false">IFERROR(INDEX(Исходные!$B$18:$B$30,MATCH(H744,Исходные!$A$18:$A$30,0)),0)</f>
        <v>0.617</v>
      </c>
      <c r="P744" s="74" t="n">
        <f aca="false">N744*O744</f>
        <v>550.8576</v>
      </c>
      <c r="Q744" s="20" t="s">
        <v>1268</v>
      </c>
      <c r="R744" s="75" t="s">
        <v>517</v>
      </c>
      <c r="S744" s="20"/>
      <c r="T744" s="20" t="s">
        <v>73</v>
      </c>
      <c r="U744" s="47" t="n">
        <v>0</v>
      </c>
      <c r="V744" s="70" t="s">
        <v>775</v>
      </c>
      <c r="W744" s="47" t="n">
        <v>2</v>
      </c>
    </row>
    <row r="745" customFormat="false" ht="35.05" hidden="false" customHeight="false" outlineLevel="0" collapsed="false">
      <c r="A745" s="70" t="n">
        <v>728</v>
      </c>
      <c r="B745" s="20" t="s">
        <v>1024</v>
      </c>
      <c r="C745" s="20" t="s">
        <v>769</v>
      </c>
      <c r="D745" s="20" t="s">
        <v>770</v>
      </c>
      <c r="E745" s="20" t="s">
        <v>1267</v>
      </c>
      <c r="F745" s="70" t="s">
        <v>813</v>
      </c>
      <c r="G745" s="20" t="s">
        <v>1280</v>
      </c>
      <c r="H745" s="49" t="n">
        <v>10</v>
      </c>
      <c r="I745" s="70" t="s">
        <v>368</v>
      </c>
      <c r="J745" s="70" t="s">
        <v>369</v>
      </c>
      <c r="K745" s="73" t="n">
        <v>40</v>
      </c>
      <c r="L745" s="49" t="n">
        <v>1</v>
      </c>
      <c r="M745" s="67" t="n">
        <v>0.4</v>
      </c>
      <c r="N745" s="68" t="n">
        <f aca="false">K745*L745*M745</f>
        <v>16</v>
      </c>
      <c r="O745" s="34" t="n">
        <f aca="false">IFERROR(INDEX(Исходные!$B$18:$B$30,MATCH(H745,Исходные!$A$18:$A$30,0)),0)</f>
        <v>0.617</v>
      </c>
      <c r="P745" s="74" t="n">
        <f aca="false">N745*O745</f>
        <v>9.872</v>
      </c>
      <c r="Q745" s="20" t="s">
        <v>778</v>
      </c>
      <c r="R745" s="75" t="s">
        <v>524</v>
      </c>
      <c r="S745" s="20" t="s">
        <v>1274</v>
      </c>
      <c r="T745" s="20" t="s">
        <v>73</v>
      </c>
      <c r="U745" s="47" t="n">
        <v>0</v>
      </c>
      <c r="V745" s="70" t="s">
        <v>775</v>
      </c>
      <c r="W745" s="47" t="n">
        <v>2</v>
      </c>
    </row>
    <row r="746" customFormat="false" ht="35.05" hidden="false" customHeight="false" outlineLevel="0" collapsed="false">
      <c r="A746" s="70" t="n">
        <v>729</v>
      </c>
      <c r="B746" s="20" t="s">
        <v>1024</v>
      </c>
      <c r="C746" s="20" t="s">
        <v>769</v>
      </c>
      <c r="D746" s="20" t="s">
        <v>770</v>
      </c>
      <c r="E746" s="20" t="s">
        <v>1267</v>
      </c>
      <c r="F746" s="70" t="s">
        <v>811</v>
      </c>
      <c r="G746" s="20" t="s">
        <v>812</v>
      </c>
      <c r="H746" s="49" t="n">
        <v>10</v>
      </c>
      <c r="I746" s="70" t="s">
        <v>368</v>
      </c>
      <c r="J746" s="70" t="n">
        <v>200</v>
      </c>
      <c r="K746" s="73" t="n">
        <v>1</v>
      </c>
      <c r="L746" s="49" t="n">
        <v>41</v>
      </c>
      <c r="M746" s="67" t="n">
        <v>20.6</v>
      </c>
      <c r="N746" s="68" t="n">
        <f aca="false">K746*L746*M746</f>
        <v>844.6</v>
      </c>
      <c r="O746" s="34" t="n">
        <f aca="false">IFERROR(INDEX(Исходные!$B$18:$B$30,MATCH(H746,Исходные!$A$18:$A$30,0)),0)</f>
        <v>0.617</v>
      </c>
      <c r="P746" s="74" t="n">
        <f aca="false">N746*O746</f>
        <v>521.1182</v>
      </c>
      <c r="Q746" s="20" t="s">
        <v>1268</v>
      </c>
      <c r="R746" s="75" t="s">
        <v>517</v>
      </c>
      <c r="S746" s="20"/>
      <c r="T746" s="20" t="s">
        <v>73</v>
      </c>
      <c r="U746" s="47" t="n">
        <v>0</v>
      </c>
      <c r="V746" s="70" t="s">
        <v>775</v>
      </c>
      <c r="W746" s="47" t="n">
        <v>2</v>
      </c>
    </row>
    <row r="747" customFormat="false" ht="35.05" hidden="false" customHeight="false" outlineLevel="0" collapsed="false">
      <c r="A747" s="70" t="n">
        <v>730</v>
      </c>
      <c r="B747" s="20" t="s">
        <v>1024</v>
      </c>
      <c r="C747" s="20" t="s">
        <v>769</v>
      </c>
      <c r="D747" s="20" t="s">
        <v>770</v>
      </c>
      <c r="E747" s="20" t="s">
        <v>1267</v>
      </c>
      <c r="F747" s="70" t="s">
        <v>813</v>
      </c>
      <c r="G747" s="20" t="s">
        <v>1281</v>
      </c>
      <c r="H747" s="49" t="n">
        <v>10</v>
      </c>
      <c r="I747" s="70" t="s">
        <v>368</v>
      </c>
      <c r="J747" s="70" t="s">
        <v>369</v>
      </c>
      <c r="K747" s="73" t="n">
        <v>41</v>
      </c>
      <c r="L747" s="49" t="n">
        <v>1</v>
      </c>
      <c r="M747" s="67" t="n">
        <v>0.4</v>
      </c>
      <c r="N747" s="68" t="n">
        <f aca="false">K747*L747*M747</f>
        <v>16.4</v>
      </c>
      <c r="O747" s="34" t="n">
        <f aca="false">IFERROR(INDEX(Исходные!$B$18:$B$30,MATCH(H747,Исходные!$A$18:$A$30,0)),0)</f>
        <v>0.617</v>
      </c>
      <c r="P747" s="74" t="n">
        <f aca="false">N747*O747</f>
        <v>10.1188</v>
      </c>
      <c r="Q747" s="20" t="s">
        <v>778</v>
      </c>
      <c r="R747" s="75" t="s">
        <v>524</v>
      </c>
      <c r="S747" s="20" t="s">
        <v>1276</v>
      </c>
      <c r="T747" s="20" t="s">
        <v>73</v>
      </c>
      <c r="U747" s="47" t="n">
        <v>0</v>
      </c>
      <c r="V747" s="70" t="s">
        <v>775</v>
      </c>
      <c r="W747" s="47" t="n">
        <v>2</v>
      </c>
    </row>
    <row r="748" customFormat="false" ht="35.05" hidden="false" customHeight="false" outlineLevel="0" collapsed="false">
      <c r="A748" s="70" t="n">
        <v>731</v>
      </c>
      <c r="B748" s="20" t="s">
        <v>1024</v>
      </c>
      <c r="C748" s="20" t="s">
        <v>769</v>
      </c>
      <c r="D748" s="20" t="s">
        <v>770</v>
      </c>
      <c r="E748" s="20" t="s">
        <v>1267</v>
      </c>
      <c r="F748" s="70" t="s">
        <v>811</v>
      </c>
      <c r="G748" s="20" t="s">
        <v>812</v>
      </c>
      <c r="H748" s="49" t="n">
        <v>10</v>
      </c>
      <c r="I748" s="70" t="s">
        <v>368</v>
      </c>
      <c r="J748" s="70" t="n">
        <v>200</v>
      </c>
      <c r="K748" s="73" t="n">
        <v>1</v>
      </c>
      <c r="L748" s="49" t="n">
        <v>26</v>
      </c>
      <c r="M748" s="67" t="n">
        <v>20.48</v>
      </c>
      <c r="N748" s="68" t="n">
        <f aca="false">K748*L748*M748</f>
        <v>532.48</v>
      </c>
      <c r="O748" s="34" t="n">
        <f aca="false">IFERROR(INDEX(Исходные!$B$18:$B$30,MATCH(H748,Исходные!$A$18:$A$30,0)),0)</f>
        <v>0.617</v>
      </c>
      <c r="P748" s="74" t="n">
        <f aca="false">N748*O748</f>
        <v>328.54016</v>
      </c>
      <c r="Q748" s="20" t="s">
        <v>1268</v>
      </c>
      <c r="R748" s="75" t="s">
        <v>517</v>
      </c>
      <c r="S748" s="20"/>
      <c r="T748" s="20" t="s">
        <v>73</v>
      </c>
      <c r="U748" s="47" t="n">
        <v>0</v>
      </c>
      <c r="V748" s="70" t="s">
        <v>775</v>
      </c>
      <c r="W748" s="47" t="n">
        <v>2</v>
      </c>
    </row>
    <row r="749" customFormat="false" ht="35.05" hidden="false" customHeight="false" outlineLevel="0" collapsed="false">
      <c r="A749" s="70" t="n">
        <v>732</v>
      </c>
      <c r="B749" s="20" t="s">
        <v>1024</v>
      </c>
      <c r="C749" s="20" t="s">
        <v>769</v>
      </c>
      <c r="D749" s="20" t="s">
        <v>770</v>
      </c>
      <c r="E749" s="20" t="s">
        <v>1267</v>
      </c>
      <c r="F749" s="70" t="s">
        <v>813</v>
      </c>
      <c r="G749" s="20" t="s">
        <v>816</v>
      </c>
      <c r="H749" s="49" t="n">
        <v>10</v>
      </c>
      <c r="I749" s="70" t="s">
        <v>368</v>
      </c>
      <c r="J749" s="70" t="s">
        <v>369</v>
      </c>
      <c r="K749" s="73" t="n">
        <v>26</v>
      </c>
      <c r="L749" s="49" t="n">
        <v>1</v>
      </c>
      <c r="M749" s="67" t="n">
        <v>0.4</v>
      </c>
      <c r="N749" s="68" t="n">
        <f aca="false">K749*L749*M749</f>
        <v>10.4</v>
      </c>
      <c r="O749" s="34" t="n">
        <f aca="false">IFERROR(INDEX(Исходные!$B$18:$B$30,MATCH(H749,Исходные!$A$18:$A$30,0)),0)</f>
        <v>0.617</v>
      </c>
      <c r="P749" s="74" t="n">
        <f aca="false">N749*O749</f>
        <v>6.4168</v>
      </c>
      <c r="Q749" s="20" t="s">
        <v>778</v>
      </c>
      <c r="R749" s="75" t="s">
        <v>524</v>
      </c>
      <c r="S749" s="20" t="s">
        <v>796</v>
      </c>
      <c r="T749" s="20" t="s">
        <v>73</v>
      </c>
      <c r="U749" s="47" t="n">
        <v>0</v>
      </c>
      <c r="V749" s="70" t="s">
        <v>775</v>
      </c>
      <c r="W749" s="47" t="n">
        <v>2</v>
      </c>
    </row>
    <row r="750" customFormat="false" ht="35.05" hidden="false" customHeight="false" outlineLevel="0" collapsed="false">
      <c r="A750" s="70" t="n">
        <v>733</v>
      </c>
      <c r="B750" s="20" t="s">
        <v>1024</v>
      </c>
      <c r="C750" s="20" t="s">
        <v>769</v>
      </c>
      <c r="D750" s="20" t="s">
        <v>770</v>
      </c>
      <c r="E750" s="20" t="s">
        <v>1267</v>
      </c>
      <c r="F750" s="70" t="s">
        <v>811</v>
      </c>
      <c r="G750" s="20" t="s">
        <v>812</v>
      </c>
      <c r="H750" s="49" t="n">
        <v>10</v>
      </c>
      <c r="I750" s="70" t="s">
        <v>368</v>
      </c>
      <c r="J750" s="70" t="n">
        <v>200</v>
      </c>
      <c r="K750" s="73" t="n">
        <v>1</v>
      </c>
      <c r="L750" s="49" t="n">
        <v>2</v>
      </c>
      <c r="M750" s="67" t="n">
        <v>19.01</v>
      </c>
      <c r="N750" s="68" t="n">
        <f aca="false">K750*L750*M750</f>
        <v>38.02</v>
      </c>
      <c r="O750" s="34" t="n">
        <f aca="false">IFERROR(INDEX(Исходные!$B$18:$B$30,MATCH(H750,Исходные!$A$18:$A$30,0)),0)</f>
        <v>0.617</v>
      </c>
      <c r="P750" s="74" t="n">
        <f aca="false">N750*O750</f>
        <v>23.45834</v>
      </c>
      <c r="Q750" s="20" t="s">
        <v>1268</v>
      </c>
      <c r="R750" s="75" t="s">
        <v>517</v>
      </c>
      <c r="S750" s="20"/>
      <c r="T750" s="20" t="s">
        <v>73</v>
      </c>
      <c r="U750" s="47" t="n">
        <v>0</v>
      </c>
      <c r="V750" s="70" t="s">
        <v>775</v>
      </c>
      <c r="W750" s="47" t="n">
        <v>2</v>
      </c>
    </row>
    <row r="751" customFormat="false" ht="35.05" hidden="false" customHeight="false" outlineLevel="0" collapsed="false">
      <c r="A751" s="70" t="n">
        <v>734</v>
      </c>
      <c r="B751" s="20" t="s">
        <v>1024</v>
      </c>
      <c r="C751" s="20" t="s">
        <v>769</v>
      </c>
      <c r="D751" s="20" t="s">
        <v>770</v>
      </c>
      <c r="E751" s="20" t="s">
        <v>1267</v>
      </c>
      <c r="F751" s="70" t="s">
        <v>813</v>
      </c>
      <c r="G751" s="20" t="s">
        <v>817</v>
      </c>
      <c r="H751" s="49" t="n">
        <v>10</v>
      </c>
      <c r="I751" s="70" t="s">
        <v>368</v>
      </c>
      <c r="J751" s="70" t="s">
        <v>369</v>
      </c>
      <c r="K751" s="73" t="n">
        <v>2</v>
      </c>
      <c r="L751" s="49" t="n">
        <v>1</v>
      </c>
      <c r="M751" s="67" t="n">
        <v>0.4</v>
      </c>
      <c r="N751" s="68" t="n">
        <f aca="false">K751*L751*M751</f>
        <v>0.8</v>
      </c>
      <c r="O751" s="34" t="n">
        <f aca="false">IFERROR(INDEX(Исходные!$B$18:$B$30,MATCH(H751,Исходные!$A$18:$A$30,0)),0)</f>
        <v>0.617</v>
      </c>
      <c r="P751" s="74" t="n">
        <f aca="false">N751*O751</f>
        <v>0.4936</v>
      </c>
      <c r="Q751" s="20" t="s">
        <v>778</v>
      </c>
      <c r="R751" s="75" t="s">
        <v>524</v>
      </c>
      <c r="S751" s="20" t="s">
        <v>798</v>
      </c>
      <c r="T751" s="20" t="s">
        <v>73</v>
      </c>
      <c r="U751" s="47" t="n">
        <v>0</v>
      </c>
      <c r="V751" s="70" t="s">
        <v>775</v>
      </c>
      <c r="W751" s="47" t="n">
        <v>2</v>
      </c>
    </row>
    <row r="752" customFormat="false" ht="35.05" hidden="false" customHeight="false" outlineLevel="0" collapsed="false">
      <c r="A752" s="70" t="n">
        <v>735</v>
      </c>
      <c r="B752" s="20" t="s">
        <v>1024</v>
      </c>
      <c r="C752" s="20" t="s">
        <v>769</v>
      </c>
      <c r="D752" s="20" t="s">
        <v>770</v>
      </c>
      <c r="E752" s="20" t="s">
        <v>1267</v>
      </c>
      <c r="F752" s="70" t="s">
        <v>811</v>
      </c>
      <c r="G752" s="20" t="s">
        <v>812</v>
      </c>
      <c r="H752" s="49" t="n">
        <v>10</v>
      </c>
      <c r="I752" s="70" t="s">
        <v>368</v>
      </c>
      <c r="J752" s="70" t="n">
        <v>200</v>
      </c>
      <c r="K752" s="73" t="n">
        <v>1</v>
      </c>
      <c r="L752" s="49" t="n">
        <v>3</v>
      </c>
      <c r="M752" s="67" t="n">
        <v>17.28</v>
      </c>
      <c r="N752" s="68" t="n">
        <f aca="false">K752*L752*M752</f>
        <v>51.84</v>
      </c>
      <c r="O752" s="34" t="n">
        <f aca="false">IFERROR(INDEX(Исходные!$B$18:$B$30,MATCH(H752,Исходные!$A$18:$A$30,0)),0)</f>
        <v>0.617</v>
      </c>
      <c r="P752" s="74" t="n">
        <f aca="false">N752*O752</f>
        <v>31.98528</v>
      </c>
      <c r="Q752" s="20" t="s">
        <v>1268</v>
      </c>
      <c r="R752" s="75" t="s">
        <v>517</v>
      </c>
      <c r="S752" s="20"/>
      <c r="T752" s="20" t="s">
        <v>73</v>
      </c>
      <c r="U752" s="47" t="n">
        <v>0</v>
      </c>
      <c r="V752" s="70" t="s">
        <v>775</v>
      </c>
      <c r="W752" s="47" t="n">
        <v>2</v>
      </c>
    </row>
    <row r="753" customFormat="false" ht="35.05" hidden="false" customHeight="false" outlineLevel="0" collapsed="false">
      <c r="A753" s="70" t="n">
        <v>736</v>
      </c>
      <c r="B753" s="20" t="s">
        <v>1024</v>
      </c>
      <c r="C753" s="20" t="s">
        <v>769</v>
      </c>
      <c r="D753" s="20" t="s">
        <v>770</v>
      </c>
      <c r="E753" s="20" t="s">
        <v>1267</v>
      </c>
      <c r="F753" s="70" t="s">
        <v>813</v>
      </c>
      <c r="G753" s="20" t="s">
        <v>1282</v>
      </c>
      <c r="H753" s="49" t="n">
        <v>10</v>
      </c>
      <c r="I753" s="70" t="s">
        <v>368</v>
      </c>
      <c r="J753" s="70" t="s">
        <v>369</v>
      </c>
      <c r="K753" s="73" t="n">
        <v>3</v>
      </c>
      <c r="L753" s="49" t="n">
        <v>1</v>
      </c>
      <c r="M753" s="67" t="n">
        <v>0.4</v>
      </c>
      <c r="N753" s="68" t="n">
        <f aca="false">K753*L753*M753</f>
        <v>1.2</v>
      </c>
      <c r="O753" s="34" t="n">
        <f aca="false">IFERROR(INDEX(Исходные!$B$18:$B$30,MATCH(H753,Исходные!$A$18:$A$30,0)),0)</f>
        <v>0.617</v>
      </c>
      <c r="P753" s="74" t="n">
        <f aca="false">N753*O753</f>
        <v>0.7404</v>
      </c>
      <c r="Q753" s="20" t="s">
        <v>778</v>
      </c>
      <c r="R753" s="75" t="s">
        <v>524</v>
      </c>
      <c r="S753" s="20" t="s">
        <v>800</v>
      </c>
      <c r="T753" s="20" t="s">
        <v>73</v>
      </c>
      <c r="U753" s="47" t="n">
        <v>0</v>
      </c>
      <c r="V753" s="70" t="s">
        <v>775</v>
      </c>
      <c r="W753" s="47" t="n">
        <v>2</v>
      </c>
    </row>
    <row r="754" customFormat="false" ht="35.05" hidden="false" customHeight="false" outlineLevel="0" collapsed="false">
      <c r="A754" s="70" t="n">
        <v>737</v>
      </c>
      <c r="B754" s="20" t="s">
        <v>1024</v>
      </c>
      <c r="C754" s="20" t="s">
        <v>769</v>
      </c>
      <c r="D754" s="20" t="s">
        <v>770</v>
      </c>
      <c r="E754" s="20" t="s">
        <v>1267</v>
      </c>
      <c r="F754" s="70" t="s">
        <v>811</v>
      </c>
      <c r="G754" s="20" t="s">
        <v>812</v>
      </c>
      <c r="H754" s="49" t="n">
        <v>10</v>
      </c>
      <c r="I754" s="70" t="s">
        <v>368</v>
      </c>
      <c r="J754" s="70" t="n">
        <v>200</v>
      </c>
      <c r="K754" s="73" t="n">
        <v>1</v>
      </c>
      <c r="L754" s="49" t="n">
        <v>17</v>
      </c>
      <c r="M754" s="67" t="n">
        <v>15.6</v>
      </c>
      <c r="N754" s="68" t="n">
        <f aca="false">K754*L754*M754</f>
        <v>265.2</v>
      </c>
      <c r="O754" s="34" t="n">
        <f aca="false">IFERROR(INDEX(Исходные!$B$18:$B$30,MATCH(H754,Исходные!$A$18:$A$30,0)),0)</f>
        <v>0.617</v>
      </c>
      <c r="P754" s="74" t="n">
        <f aca="false">N754*O754</f>
        <v>163.6284</v>
      </c>
      <c r="Q754" s="20" t="s">
        <v>1268</v>
      </c>
      <c r="R754" s="75" t="s">
        <v>517</v>
      </c>
      <c r="S754" s="20"/>
      <c r="T754" s="20" t="s">
        <v>73</v>
      </c>
      <c r="U754" s="47" t="n">
        <v>0</v>
      </c>
      <c r="V754" s="70" t="s">
        <v>775</v>
      </c>
      <c r="W754" s="47" t="n">
        <v>2</v>
      </c>
    </row>
    <row r="755" customFormat="false" ht="35.05" hidden="false" customHeight="false" outlineLevel="0" collapsed="false">
      <c r="A755" s="70" t="n">
        <v>738</v>
      </c>
      <c r="B755" s="20" t="s">
        <v>1024</v>
      </c>
      <c r="C755" s="20" t="s">
        <v>769</v>
      </c>
      <c r="D755" s="20" t="s">
        <v>770</v>
      </c>
      <c r="E755" s="20" t="s">
        <v>1267</v>
      </c>
      <c r="F755" s="70" t="s">
        <v>813</v>
      </c>
      <c r="G755" s="20" t="s">
        <v>819</v>
      </c>
      <c r="H755" s="49" t="n">
        <v>10</v>
      </c>
      <c r="I755" s="70" t="s">
        <v>368</v>
      </c>
      <c r="J755" s="70" t="s">
        <v>369</v>
      </c>
      <c r="K755" s="73" t="n">
        <v>17</v>
      </c>
      <c r="L755" s="49" t="n">
        <v>1</v>
      </c>
      <c r="M755" s="67" t="n">
        <v>0.4</v>
      </c>
      <c r="N755" s="68" t="n">
        <f aca="false">K755*L755*M755</f>
        <v>6.8</v>
      </c>
      <c r="O755" s="34" t="n">
        <f aca="false">IFERROR(INDEX(Исходные!$B$18:$B$30,MATCH(H755,Исходные!$A$18:$A$30,0)),0)</f>
        <v>0.617</v>
      </c>
      <c r="P755" s="74" t="n">
        <f aca="false">N755*O755</f>
        <v>4.1956</v>
      </c>
      <c r="Q755" s="20" t="s">
        <v>778</v>
      </c>
      <c r="R755" s="75" t="s">
        <v>524</v>
      </c>
      <c r="S755" s="20" t="s">
        <v>802</v>
      </c>
      <c r="T755" s="20" t="s">
        <v>73</v>
      </c>
      <c r="U755" s="47" t="n">
        <v>0</v>
      </c>
      <c r="V755" s="70" t="s">
        <v>775</v>
      </c>
      <c r="W755" s="47" t="n">
        <v>2</v>
      </c>
    </row>
    <row r="756" customFormat="false" ht="35.05" hidden="false" customHeight="false" outlineLevel="0" collapsed="false">
      <c r="A756" s="70" t="n">
        <v>739</v>
      </c>
      <c r="B756" s="20" t="s">
        <v>1024</v>
      </c>
      <c r="C756" s="20" t="s">
        <v>769</v>
      </c>
      <c r="D756" s="20" t="s">
        <v>770</v>
      </c>
      <c r="E756" s="20" t="s">
        <v>1267</v>
      </c>
      <c r="F756" s="70" t="s">
        <v>811</v>
      </c>
      <c r="G756" s="20" t="s">
        <v>812</v>
      </c>
      <c r="H756" s="49" t="n">
        <v>10</v>
      </c>
      <c r="I756" s="70" t="s">
        <v>368</v>
      </c>
      <c r="J756" s="70" t="n">
        <v>200</v>
      </c>
      <c r="K756" s="73" t="n">
        <v>1</v>
      </c>
      <c r="L756" s="49" t="n">
        <v>18</v>
      </c>
      <c r="M756" s="67" t="n">
        <v>4.15</v>
      </c>
      <c r="N756" s="68" t="n">
        <f aca="false">K756*L756*M756</f>
        <v>74.7</v>
      </c>
      <c r="O756" s="34" t="n">
        <f aca="false">IFERROR(INDEX(Исходные!$B$18:$B$30,MATCH(H756,Исходные!$A$18:$A$30,0)),0)</f>
        <v>0.617</v>
      </c>
      <c r="P756" s="74" t="n">
        <f aca="false">N756*O756</f>
        <v>46.0899</v>
      </c>
      <c r="Q756" s="20" t="s">
        <v>1268</v>
      </c>
      <c r="R756" s="75" t="s">
        <v>517</v>
      </c>
      <c r="S756" s="20"/>
      <c r="T756" s="20" t="s">
        <v>73</v>
      </c>
      <c r="U756" s="47" t="n">
        <v>0</v>
      </c>
      <c r="V756" s="70" t="s">
        <v>775</v>
      </c>
      <c r="W756" s="47" t="n">
        <v>2</v>
      </c>
    </row>
    <row r="757" customFormat="false" ht="35.05" hidden="false" customHeight="false" outlineLevel="0" collapsed="false">
      <c r="A757" s="70" t="n">
        <v>740</v>
      </c>
      <c r="B757" s="20" t="s">
        <v>1024</v>
      </c>
      <c r="C757" s="20" t="s">
        <v>769</v>
      </c>
      <c r="D757" s="20" t="s">
        <v>770</v>
      </c>
      <c r="E757" s="20" t="s">
        <v>1267</v>
      </c>
      <c r="F757" s="70" t="s">
        <v>811</v>
      </c>
      <c r="G757" s="20" t="s">
        <v>812</v>
      </c>
      <c r="H757" s="49" t="n">
        <v>10</v>
      </c>
      <c r="I757" s="70" t="s">
        <v>368</v>
      </c>
      <c r="J757" s="70" t="n">
        <v>200</v>
      </c>
      <c r="K757" s="73" t="n">
        <v>1</v>
      </c>
      <c r="L757" s="49" t="n">
        <v>22</v>
      </c>
      <c r="M757" s="67" t="n">
        <v>0.6</v>
      </c>
      <c r="N757" s="68" t="n">
        <f aca="false">K757*L757*M757</f>
        <v>13.2</v>
      </c>
      <c r="O757" s="34" t="n">
        <f aca="false">IFERROR(INDEX(Исходные!$B$18:$B$30,MATCH(H757,Исходные!$A$18:$A$30,0)),0)</f>
        <v>0.617</v>
      </c>
      <c r="P757" s="74" t="n">
        <f aca="false">N757*O757</f>
        <v>8.1444</v>
      </c>
      <c r="Q757" s="20" t="s">
        <v>1268</v>
      </c>
      <c r="R757" s="75" t="s">
        <v>517</v>
      </c>
      <c r="S757" s="20"/>
      <c r="T757" s="20" t="s">
        <v>73</v>
      </c>
      <c r="U757" s="47" t="n">
        <v>0</v>
      </c>
      <c r="V757" s="70" t="s">
        <v>775</v>
      </c>
      <c r="W757" s="47" t="n">
        <v>2</v>
      </c>
    </row>
    <row r="758" customFormat="false" ht="35.05" hidden="false" customHeight="false" outlineLevel="0" collapsed="false">
      <c r="A758" s="70" t="n">
        <v>741</v>
      </c>
      <c r="B758" s="20" t="s">
        <v>1024</v>
      </c>
      <c r="C758" s="20" t="s">
        <v>769</v>
      </c>
      <c r="D758" s="20" t="s">
        <v>820</v>
      </c>
      <c r="E758" s="20" t="s">
        <v>1267</v>
      </c>
      <c r="F758" s="70" t="s">
        <v>821</v>
      </c>
      <c r="G758" s="20" t="s">
        <v>822</v>
      </c>
      <c r="H758" s="49" t="n">
        <v>10</v>
      </c>
      <c r="I758" s="70" t="s">
        <v>368</v>
      </c>
      <c r="J758" s="70" t="n">
        <v>200</v>
      </c>
      <c r="K758" s="73" t="n">
        <v>1</v>
      </c>
      <c r="L758" s="49" t="n">
        <v>22</v>
      </c>
      <c r="M758" s="67" t="n">
        <v>5.05</v>
      </c>
      <c r="N758" s="68" t="n">
        <f aca="false">K758*L758*M758</f>
        <v>111.1</v>
      </c>
      <c r="O758" s="34" t="n">
        <f aca="false">IFERROR(INDEX(Исходные!$B$18:$B$30,MATCH(H758,Исходные!$A$18:$A$30,0)),0)</f>
        <v>0.617</v>
      </c>
      <c r="P758" s="74" t="n">
        <f aca="false">N758*O758</f>
        <v>68.5487</v>
      </c>
      <c r="Q758" s="20" t="s">
        <v>1283</v>
      </c>
      <c r="R758" s="75" t="s">
        <v>371</v>
      </c>
      <c r="S758" s="20"/>
      <c r="T758" s="20" t="s">
        <v>73</v>
      </c>
      <c r="U758" s="47" t="n">
        <v>0</v>
      </c>
      <c r="V758" s="70" t="s">
        <v>824</v>
      </c>
      <c r="W758" s="47" t="n">
        <v>2</v>
      </c>
    </row>
    <row r="759" customFormat="false" ht="35.05" hidden="false" customHeight="false" outlineLevel="0" collapsed="false">
      <c r="A759" s="70" t="n">
        <v>742</v>
      </c>
      <c r="B759" s="20" t="s">
        <v>1024</v>
      </c>
      <c r="C759" s="20" t="s">
        <v>769</v>
      </c>
      <c r="D759" s="20" t="s">
        <v>820</v>
      </c>
      <c r="E759" s="20" t="s">
        <v>1267</v>
      </c>
      <c r="F759" s="70" t="s">
        <v>821</v>
      </c>
      <c r="G759" s="20" t="s">
        <v>825</v>
      </c>
      <c r="H759" s="49" t="n">
        <v>10</v>
      </c>
      <c r="I759" s="70" t="s">
        <v>368</v>
      </c>
      <c r="J759" s="70" t="n">
        <v>200</v>
      </c>
      <c r="K759" s="73" t="n">
        <v>1</v>
      </c>
      <c r="L759" s="49" t="n">
        <v>25</v>
      </c>
      <c r="M759" s="67" t="n">
        <v>4.5</v>
      </c>
      <c r="N759" s="68" t="n">
        <f aca="false">K759*L759*M759</f>
        <v>112.5</v>
      </c>
      <c r="O759" s="34" t="n">
        <f aca="false">IFERROR(INDEX(Исходные!$B$18:$B$30,MATCH(H759,Исходные!$A$18:$A$30,0)),0)</f>
        <v>0.617</v>
      </c>
      <c r="P759" s="74" t="n">
        <f aca="false">N759*O759</f>
        <v>69.4125</v>
      </c>
      <c r="Q759" s="20" t="s">
        <v>1283</v>
      </c>
      <c r="R759" s="75" t="s">
        <v>371</v>
      </c>
      <c r="S759" s="20"/>
      <c r="T759" s="20" t="s">
        <v>73</v>
      </c>
      <c r="U759" s="47" t="n">
        <v>0</v>
      </c>
      <c r="V759" s="70" t="s">
        <v>824</v>
      </c>
      <c r="W759" s="47" t="n">
        <v>2</v>
      </c>
    </row>
    <row r="760" customFormat="false" ht="35.05" hidden="false" customHeight="false" outlineLevel="0" collapsed="false">
      <c r="A760" s="70" t="n">
        <v>743</v>
      </c>
      <c r="B760" s="20" t="s">
        <v>1024</v>
      </c>
      <c r="C760" s="20" t="s">
        <v>769</v>
      </c>
      <c r="D760" s="20" t="s">
        <v>820</v>
      </c>
      <c r="E760" s="20" t="s">
        <v>1267</v>
      </c>
      <c r="F760" s="70" t="s">
        <v>821</v>
      </c>
      <c r="G760" s="20" t="s">
        <v>826</v>
      </c>
      <c r="H760" s="49" t="n">
        <v>10</v>
      </c>
      <c r="I760" s="70" t="s">
        <v>368</v>
      </c>
      <c r="J760" s="70" t="n">
        <v>200</v>
      </c>
      <c r="K760" s="73" t="n">
        <v>1</v>
      </c>
      <c r="L760" s="49" t="n">
        <v>20</v>
      </c>
      <c r="M760" s="67" t="n">
        <v>3.625</v>
      </c>
      <c r="N760" s="68" t="n">
        <f aca="false">K760*L760*M760</f>
        <v>72.5</v>
      </c>
      <c r="O760" s="34" t="n">
        <f aca="false">IFERROR(INDEX(Исходные!$B$18:$B$30,MATCH(H760,Исходные!$A$18:$A$30,0)),0)</f>
        <v>0.617</v>
      </c>
      <c r="P760" s="74" t="n">
        <f aca="false">N760*O760</f>
        <v>44.7325</v>
      </c>
      <c r="Q760" s="20" t="s">
        <v>1283</v>
      </c>
      <c r="R760" s="75" t="s">
        <v>371</v>
      </c>
      <c r="S760" s="20"/>
      <c r="T760" s="20" t="s">
        <v>73</v>
      </c>
      <c r="U760" s="47" t="n">
        <v>0</v>
      </c>
      <c r="V760" s="70" t="s">
        <v>824</v>
      </c>
      <c r="W760" s="47" t="n">
        <v>2</v>
      </c>
    </row>
    <row r="761" customFormat="false" ht="35.05" hidden="false" customHeight="false" outlineLevel="0" collapsed="false">
      <c r="A761" s="70" t="n">
        <v>744</v>
      </c>
      <c r="B761" s="20" t="s">
        <v>1024</v>
      </c>
      <c r="C761" s="20" t="s">
        <v>769</v>
      </c>
      <c r="D761" s="20" t="s">
        <v>820</v>
      </c>
      <c r="E761" s="20" t="s">
        <v>1267</v>
      </c>
      <c r="F761" s="70" t="s">
        <v>821</v>
      </c>
      <c r="G761" s="20" t="s">
        <v>827</v>
      </c>
      <c r="H761" s="49" t="n">
        <v>10</v>
      </c>
      <c r="I761" s="70" t="s">
        <v>368</v>
      </c>
      <c r="J761" s="70" t="n">
        <v>200</v>
      </c>
      <c r="K761" s="73" t="n">
        <v>1</v>
      </c>
      <c r="L761" s="49" t="n">
        <v>17</v>
      </c>
      <c r="M761" s="67" t="n">
        <v>4.5</v>
      </c>
      <c r="N761" s="68" t="n">
        <f aca="false">K761*L761*M761</f>
        <v>76.5</v>
      </c>
      <c r="O761" s="34" t="n">
        <f aca="false">IFERROR(INDEX(Исходные!$B$18:$B$30,MATCH(H761,Исходные!$A$18:$A$30,0)),0)</f>
        <v>0.617</v>
      </c>
      <c r="P761" s="74" t="n">
        <f aca="false">N761*O761</f>
        <v>47.2005</v>
      </c>
      <c r="Q761" s="20" t="s">
        <v>1283</v>
      </c>
      <c r="R761" s="75" t="s">
        <v>371</v>
      </c>
      <c r="S761" s="20"/>
      <c r="T761" s="20" t="s">
        <v>73</v>
      </c>
      <c r="U761" s="47" t="n">
        <v>0</v>
      </c>
      <c r="V761" s="70" t="s">
        <v>824</v>
      </c>
      <c r="W761" s="47" t="n">
        <v>2</v>
      </c>
    </row>
    <row r="762" customFormat="false" ht="35.05" hidden="false" customHeight="false" outlineLevel="0" collapsed="false">
      <c r="A762" s="70" t="n">
        <v>745</v>
      </c>
      <c r="B762" s="20" t="s">
        <v>1024</v>
      </c>
      <c r="C762" s="20" t="s">
        <v>769</v>
      </c>
      <c r="D762" s="20" t="s">
        <v>820</v>
      </c>
      <c r="E762" s="20" t="s">
        <v>1267</v>
      </c>
      <c r="F762" s="70" t="s">
        <v>821</v>
      </c>
      <c r="G762" s="20" t="s">
        <v>828</v>
      </c>
      <c r="H762" s="49" t="n">
        <v>10</v>
      </c>
      <c r="I762" s="70" t="s">
        <v>368</v>
      </c>
      <c r="J762" s="70" t="n">
        <v>200</v>
      </c>
      <c r="K762" s="73" t="n">
        <v>1</v>
      </c>
      <c r="L762" s="49" t="n">
        <v>17</v>
      </c>
      <c r="M762" s="67" t="n">
        <v>1.2</v>
      </c>
      <c r="N762" s="68" t="n">
        <f aca="false">K762*L762*M762</f>
        <v>20.4</v>
      </c>
      <c r="O762" s="34" t="n">
        <f aca="false">IFERROR(INDEX(Исходные!$B$18:$B$30,MATCH(H762,Исходные!$A$18:$A$30,0)),0)</f>
        <v>0.617</v>
      </c>
      <c r="P762" s="74" t="n">
        <f aca="false">N762*O762</f>
        <v>12.5868</v>
      </c>
      <c r="Q762" s="20" t="s">
        <v>1283</v>
      </c>
      <c r="R762" s="75" t="s">
        <v>371</v>
      </c>
      <c r="S762" s="20"/>
      <c r="T762" s="20" t="s">
        <v>73</v>
      </c>
      <c r="U762" s="47" t="n">
        <v>0</v>
      </c>
      <c r="V762" s="70" t="s">
        <v>824</v>
      </c>
      <c r="W762" s="47" t="n">
        <v>2</v>
      </c>
    </row>
    <row r="763" customFormat="false" ht="35.05" hidden="false" customHeight="false" outlineLevel="0" collapsed="false">
      <c r="A763" s="70" t="n">
        <v>746</v>
      </c>
      <c r="B763" s="20" t="s">
        <v>1024</v>
      </c>
      <c r="C763" s="20" t="s">
        <v>769</v>
      </c>
      <c r="D763" s="20" t="s">
        <v>820</v>
      </c>
      <c r="E763" s="20" t="s">
        <v>1267</v>
      </c>
      <c r="F763" s="70" t="s">
        <v>829</v>
      </c>
      <c r="G763" s="20" t="s">
        <v>830</v>
      </c>
      <c r="H763" s="49" t="n">
        <v>10</v>
      </c>
      <c r="I763" s="70" t="s">
        <v>368</v>
      </c>
      <c r="J763" s="70" t="n">
        <v>200</v>
      </c>
      <c r="K763" s="73" t="n">
        <v>1</v>
      </c>
      <c r="L763" s="49" t="n">
        <v>18</v>
      </c>
      <c r="M763" s="67" t="n">
        <v>1.2</v>
      </c>
      <c r="N763" s="68" t="n">
        <f aca="false">K763*L763*M763</f>
        <v>21.6</v>
      </c>
      <c r="O763" s="34" t="n">
        <f aca="false">IFERROR(INDEX(Исходные!$B$18:$B$30,MATCH(H763,Исходные!$A$18:$A$30,0)),0)</f>
        <v>0.617</v>
      </c>
      <c r="P763" s="74" t="n">
        <f aca="false">N763*O763</f>
        <v>13.3272</v>
      </c>
      <c r="Q763" s="20" t="s">
        <v>1284</v>
      </c>
      <c r="R763" s="75" t="s">
        <v>371</v>
      </c>
      <c r="S763" s="20"/>
      <c r="T763" s="20" t="s">
        <v>73</v>
      </c>
      <c r="U763" s="47" t="n">
        <v>0</v>
      </c>
      <c r="V763" s="70" t="s">
        <v>832</v>
      </c>
      <c r="W763" s="47" t="n">
        <v>2</v>
      </c>
    </row>
    <row r="764" customFormat="false" ht="35.05" hidden="false" customHeight="false" outlineLevel="0" collapsed="false">
      <c r="A764" s="70" t="n">
        <v>747</v>
      </c>
      <c r="B764" s="20" t="s">
        <v>1024</v>
      </c>
      <c r="C764" s="20" t="s">
        <v>769</v>
      </c>
      <c r="D764" s="20" t="s">
        <v>820</v>
      </c>
      <c r="E764" s="20" t="s">
        <v>1267</v>
      </c>
      <c r="F764" s="70" t="s">
        <v>829</v>
      </c>
      <c r="G764" s="20" t="s">
        <v>833</v>
      </c>
      <c r="H764" s="49" t="n">
        <v>10</v>
      </c>
      <c r="I764" s="70" t="s">
        <v>368</v>
      </c>
      <c r="J764" s="70" t="n">
        <v>200</v>
      </c>
      <c r="K764" s="73" t="n">
        <v>1</v>
      </c>
      <c r="L764" s="49" t="n">
        <v>11</v>
      </c>
      <c r="M764" s="67" t="n">
        <v>1.2</v>
      </c>
      <c r="N764" s="68" t="n">
        <f aca="false">K764*L764*M764</f>
        <v>13.2</v>
      </c>
      <c r="O764" s="34" t="n">
        <f aca="false">IFERROR(INDEX(Исходные!$B$18:$B$30,MATCH(H764,Исходные!$A$18:$A$30,0)),0)</f>
        <v>0.617</v>
      </c>
      <c r="P764" s="74" t="n">
        <f aca="false">N764*O764</f>
        <v>8.1444</v>
      </c>
      <c r="Q764" s="20" t="s">
        <v>1284</v>
      </c>
      <c r="R764" s="75" t="s">
        <v>371</v>
      </c>
      <c r="S764" s="20"/>
      <c r="T764" s="20" t="s">
        <v>73</v>
      </c>
      <c r="U764" s="47" t="n">
        <v>0</v>
      </c>
      <c r="V764" s="70" t="s">
        <v>832</v>
      </c>
      <c r="W764" s="47" t="n">
        <v>2</v>
      </c>
    </row>
    <row r="765" customFormat="false" ht="35.05" hidden="false" customHeight="false" outlineLevel="0" collapsed="false">
      <c r="A765" s="70" t="n">
        <v>748</v>
      </c>
      <c r="B765" s="20" t="s">
        <v>1024</v>
      </c>
      <c r="C765" s="20" t="s">
        <v>769</v>
      </c>
      <c r="D765" s="20" t="s">
        <v>820</v>
      </c>
      <c r="E765" s="20" t="s">
        <v>1267</v>
      </c>
      <c r="F765" s="70" t="s">
        <v>829</v>
      </c>
      <c r="G765" s="20" t="s">
        <v>834</v>
      </c>
      <c r="H765" s="49" t="n">
        <v>10</v>
      </c>
      <c r="I765" s="70" t="s">
        <v>368</v>
      </c>
      <c r="J765" s="70" t="n">
        <v>200</v>
      </c>
      <c r="K765" s="73" t="n">
        <v>1</v>
      </c>
      <c r="L765" s="49" t="n">
        <v>18</v>
      </c>
      <c r="M765" s="67" t="n">
        <v>1.2</v>
      </c>
      <c r="N765" s="68" t="n">
        <f aca="false">K765*L765*M765</f>
        <v>21.6</v>
      </c>
      <c r="O765" s="34" t="n">
        <f aca="false">IFERROR(INDEX(Исходные!$B$18:$B$30,MATCH(H765,Исходные!$A$18:$A$30,0)),0)</f>
        <v>0.617</v>
      </c>
      <c r="P765" s="74" t="n">
        <f aca="false">N765*O765</f>
        <v>13.3272</v>
      </c>
      <c r="Q765" s="20" t="s">
        <v>1284</v>
      </c>
      <c r="R765" s="75" t="s">
        <v>371</v>
      </c>
      <c r="S765" s="20"/>
      <c r="T765" s="20" t="s">
        <v>73</v>
      </c>
      <c r="U765" s="47" t="n">
        <v>0</v>
      </c>
      <c r="V765" s="70" t="s">
        <v>832</v>
      </c>
      <c r="W765" s="47" t="n">
        <v>2</v>
      </c>
    </row>
    <row r="766" customFormat="false" ht="35.05" hidden="false" customHeight="false" outlineLevel="0" collapsed="false">
      <c r="A766" s="70" t="n">
        <v>749</v>
      </c>
      <c r="B766" s="20" t="s">
        <v>1024</v>
      </c>
      <c r="C766" s="20" t="s">
        <v>769</v>
      </c>
      <c r="D766" s="20" t="s">
        <v>820</v>
      </c>
      <c r="E766" s="20" t="s">
        <v>1267</v>
      </c>
      <c r="F766" s="70" t="s">
        <v>829</v>
      </c>
      <c r="G766" s="20" t="s">
        <v>835</v>
      </c>
      <c r="H766" s="49" t="n">
        <v>12</v>
      </c>
      <c r="I766" s="70" t="s">
        <v>368</v>
      </c>
      <c r="J766" s="70" t="n">
        <v>200</v>
      </c>
      <c r="K766" s="73" t="n">
        <v>1</v>
      </c>
      <c r="L766" s="49" t="n">
        <v>12</v>
      </c>
      <c r="M766" s="67" t="n">
        <v>1.4</v>
      </c>
      <c r="N766" s="68" t="n">
        <f aca="false">K766*L766*M766</f>
        <v>16.8</v>
      </c>
      <c r="O766" s="34" t="n">
        <f aca="false">IFERROR(INDEX(Исходные!$B$18:$B$30,MATCH(H766,Исходные!$A$18:$A$30,0)),0)</f>
        <v>0.888</v>
      </c>
      <c r="P766" s="74" t="n">
        <f aca="false">N766*O766</f>
        <v>14.9184</v>
      </c>
      <c r="Q766" s="20" t="s">
        <v>1284</v>
      </c>
      <c r="R766" s="75" t="s">
        <v>371</v>
      </c>
      <c r="S766" s="20"/>
      <c r="T766" s="20" t="s">
        <v>73</v>
      </c>
      <c r="U766" s="47" t="n">
        <v>0</v>
      </c>
      <c r="V766" s="70" t="s">
        <v>832</v>
      </c>
      <c r="W766" s="47" t="n">
        <v>2</v>
      </c>
    </row>
    <row r="767" customFormat="false" ht="35.05" hidden="false" customHeight="false" outlineLevel="0" collapsed="false">
      <c r="A767" s="70" t="n">
        <v>750</v>
      </c>
      <c r="B767" s="20" t="s">
        <v>1024</v>
      </c>
      <c r="C767" s="20" t="s">
        <v>769</v>
      </c>
      <c r="D767" s="20" t="s">
        <v>820</v>
      </c>
      <c r="E767" s="20" t="s">
        <v>1267</v>
      </c>
      <c r="F767" s="70" t="s">
        <v>829</v>
      </c>
      <c r="G767" s="20" t="s">
        <v>836</v>
      </c>
      <c r="H767" s="49" t="n">
        <v>10</v>
      </c>
      <c r="I767" s="70" t="s">
        <v>368</v>
      </c>
      <c r="J767" s="70" t="n">
        <v>200</v>
      </c>
      <c r="K767" s="73" t="n">
        <v>1</v>
      </c>
      <c r="L767" s="49" t="n">
        <v>18</v>
      </c>
      <c r="M767" s="67" t="n">
        <v>1.4</v>
      </c>
      <c r="N767" s="68" t="n">
        <f aca="false">K767*L767*M767</f>
        <v>25.2</v>
      </c>
      <c r="O767" s="34" t="n">
        <f aca="false">IFERROR(INDEX(Исходные!$B$18:$B$30,MATCH(H767,Исходные!$A$18:$A$30,0)),0)</f>
        <v>0.617</v>
      </c>
      <c r="P767" s="74" t="n">
        <f aca="false">N767*O767</f>
        <v>15.5484</v>
      </c>
      <c r="Q767" s="20" t="s">
        <v>1284</v>
      </c>
      <c r="R767" s="75" t="s">
        <v>371</v>
      </c>
      <c r="S767" s="20"/>
      <c r="T767" s="20" t="s">
        <v>73</v>
      </c>
      <c r="U767" s="47" t="n">
        <v>0</v>
      </c>
      <c r="V767" s="70" t="s">
        <v>832</v>
      </c>
      <c r="W767" s="47" t="n">
        <v>2</v>
      </c>
    </row>
    <row r="768" customFormat="false" ht="35.05" hidden="false" customHeight="false" outlineLevel="0" collapsed="false">
      <c r="A768" s="70" t="n">
        <v>751</v>
      </c>
      <c r="B768" s="20" t="s">
        <v>1024</v>
      </c>
      <c r="C768" s="20" t="s">
        <v>769</v>
      </c>
      <c r="D768" s="20" t="s">
        <v>820</v>
      </c>
      <c r="E768" s="20" t="s">
        <v>1267</v>
      </c>
      <c r="F768" s="70" t="s">
        <v>829</v>
      </c>
      <c r="G768" s="20" t="s">
        <v>837</v>
      </c>
      <c r="H768" s="49" t="n">
        <v>12</v>
      </c>
      <c r="I768" s="70" t="s">
        <v>368</v>
      </c>
      <c r="J768" s="70" t="n">
        <v>200</v>
      </c>
      <c r="K768" s="73" t="n">
        <v>1</v>
      </c>
      <c r="L768" s="49" t="n">
        <v>12</v>
      </c>
      <c r="M768" s="67" t="n">
        <v>2.2</v>
      </c>
      <c r="N768" s="68" t="n">
        <f aca="false">K768*L768*M768</f>
        <v>26.4</v>
      </c>
      <c r="O768" s="34" t="n">
        <f aca="false">IFERROR(INDEX(Исходные!$B$18:$B$30,MATCH(H768,Исходные!$A$18:$A$30,0)),0)</f>
        <v>0.888</v>
      </c>
      <c r="P768" s="74" t="n">
        <f aca="false">N768*O768</f>
        <v>23.4432</v>
      </c>
      <c r="Q768" s="20" t="s">
        <v>1284</v>
      </c>
      <c r="R768" s="75" t="s">
        <v>371</v>
      </c>
      <c r="S768" s="20"/>
      <c r="T768" s="20" t="s">
        <v>73</v>
      </c>
      <c r="U768" s="47" t="n">
        <v>0</v>
      </c>
      <c r="V768" s="70" t="s">
        <v>832</v>
      </c>
      <c r="W768" s="47" t="n">
        <v>2</v>
      </c>
    </row>
    <row r="769" customFormat="false" ht="35.05" hidden="false" customHeight="false" outlineLevel="0" collapsed="false">
      <c r="A769" s="70" t="n">
        <v>752</v>
      </c>
      <c r="B769" s="20" t="s">
        <v>1024</v>
      </c>
      <c r="C769" s="20" t="s">
        <v>769</v>
      </c>
      <c r="D769" s="20" t="s">
        <v>820</v>
      </c>
      <c r="E769" s="20" t="s">
        <v>1267</v>
      </c>
      <c r="F769" s="70" t="s">
        <v>829</v>
      </c>
      <c r="G769" s="20" t="s">
        <v>838</v>
      </c>
      <c r="H769" s="49" t="n">
        <v>10</v>
      </c>
      <c r="I769" s="70" t="s">
        <v>368</v>
      </c>
      <c r="J769" s="70" t="n">
        <v>200</v>
      </c>
      <c r="K769" s="73" t="n">
        <v>1</v>
      </c>
      <c r="L769" s="49" t="n">
        <v>18</v>
      </c>
      <c r="M769" s="67" t="n">
        <v>2.2</v>
      </c>
      <c r="N769" s="68" t="n">
        <f aca="false">K769*L769*M769</f>
        <v>39.6</v>
      </c>
      <c r="O769" s="34" t="n">
        <f aca="false">IFERROR(INDEX(Исходные!$B$18:$B$30,MATCH(H769,Исходные!$A$18:$A$30,0)),0)</f>
        <v>0.617</v>
      </c>
      <c r="P769" s="74" t="n">
        <f aca="false">N769*O769</f>
        <v>24.4332</v>
      </c>
      <c r="Q769" s="20" t="s">
        <v>1284</v>
      </c>
      <c r="R769" s="75" t="s">
        <v>371</v>
      </c>
      <c r="S769" s="20"/>
      <c r="T769" s="20" t="s">
        <v>73</v>
      </c>
      <c r="U769" s="47" t="n">
        <v>0</v>
      </c>
      <c r="V769" s="70" t="s">
        <v>832</v>
      </c>
      <c r="W769" s="47" t="n">
        <v>2</v>
      </c>
    </row>
    <row r="770" customFormat="false" ht="35.05" hidden="false" customHeight="false" outlineLevel="0" collapsed="false">
      <c r="A770" s="70" t="n">
        <v>753</v>
      </c>
      <c r="B770" s="20" t="s">
        <v>1024</v>
      </c>
      <c r="C770" s="20" t="s">
        <v>769</v>
      </c>
      <c r="D770" s="20" t="s">
        <v>820</v>
      </c>
      <c r="E770" s="20" t="s">
        <v>1267</v>
      </c>
      <c r="F770" s="70" t="s">
        <v>829</v>
      </c>
      <c r="G770" s="20" t="s">
        <v>839</v>
      </c>
      <c r="H770" s="49" t="n">
        <v>10</v>
      </c>
      <c r="I770" s="70" t="s">
        <v>368</v>
      </c>
      <c r="J770" s="70" t="n">
        <v>200</v>
      </c>
      <c r="K770" s="73" t="n">
        <v>1</v>
      </c>
      <c r="L770" s="49" t="n">
        <v>24</v>
      </c>
      <c r="M770" s="67" t="n">
        <v>1.2</v>
      </c>
      <c r="N770" s="68" t="n">
        <f aca="false">K770*L770*M770</f>
        <v>28.8</v>
      </c>
      <c r="O770" s="34" t="n">
        <f aca="false">IFERROR(INDEX(Исходные!$B$18:$B$30,MATCH(H770,Исходные!$A$18:$A$30,0)),0)</f>
        <v>0.617</v>
      </c>
      <c r="P770" s="74" t="n">
        <f aca="false">N770*O770</f>
        <v>17.7696</v>
      </c>
      <c r="Q770" s="20" t="s">
        <v>1284</v>
      </c>
      <c r="R770" s="75" t="s">
        <v>371</v>
      </c>
      <c r="S770" s="20"/>
      <c r="T770" s="20" t="s">
        <v>73</v>
      </c>
      <c r="U770" s="47" t="n">
        <v>0</v>
      </c>
      <c r="V770" s="70" t="s">
        <v>832</v>
      </c>
      <c r="W770" s="47" t="n">
        <v>2</v>
      </c>
    </row>
    <row r="771" customFormat="false" ht="35.05" hidden="false" customHeight="false" outlineLevel="0" collapsed="false">
      <c r="A771" s="70" t="n">
        <v>754</v>
      </c>
      <c r="B771" s="20" t="s">
        <v>1024</v>
      </c>
      <c r="C771" s="20" t="s">
        <v>769</v>
      </c>
      <c r="D771" s="20" t="s">
        <v>820</v>
      </c>
      <c r="E771" s="20" t="s">
        <v>1267</v>
      </c>
      <c r="F771" s="70" t="s">
        <v>829</v>
      </c>
      <c r="G771" s="20" t="s">
        <v>840</v>
      </c>
      <c r="H771" s="49" t="n">
        <v>10</v>
      </c>
      <c r="I771" s="70" t="s">
        <v>368</v>
      </c>
      <c r="J771" s="70" t="n">
        <v>200</v>
      </c>
      <c r="K771" s="73" t="n">
        <v>1</v>
      </c>
      <c r="L771" s="49" t="n">
        <v>25</v>
      </c>
      <c r="M771" s="67" t="n">
        <v>2</v>
      </c>
      <c r="N771" s="68" t="n">
        <f aca="false">K771*L771*M771</f>
        <v>50</v>
      </c>
      <c r="O771" s="34" t="n">
        <f aca="false">IFERROR(INDEX(Исходные!$B$18:$B$30,MATCH(H771,Исходные!$A$18:$A$30,0)),0)</f>
        <v>0.617</v>
      </c>
      <c r="P771" s="74" t="n">
        <f aca="false">N771*O771</f>
        <v>30.85</v>
      </c>
      <c r="Q771" s="20" t="s">
        <v>1284</v>
      </c>
      <c r="R771" s="75" t="s">
        <v>371</v>
      </c>
      <c r="S771" s="20"/>
      <c r="T771" s="20" t="s">
        <v>73</v>
      </c>
      <c r="U771" s="47" t="n">
        <v>0</v>
      </c>
      <c r="V771" s="70" t="s">
        <v>832</v>
      </c>
      <c r="W771" s="47" t="n">
        <v>2</v>
      </c>
    </row>
    <row r="772" customFormat="false" ht="35.05" hidden="false" customHeight="false" outlineLevel="0" collapsed="false">
      <c r="A772" s="70" t="n">
        <v>755</v>
      </c>
      <c r="B772" s="20" t="s">
        <v>1024</v>
      </c>
      <c r="C772" s="20" t="s">
        <v>769</v>
      </c>
      <c r="D772" s="20" t="s">
        <v>820</v>
      </c>
      <c r="E772" s="20" t="s">
        <v>1267</v>
      </c>
      <c r="F772" s="70" t="s">
        <v>829</v>
      </c>
      <c r="G772" s="20" t="s">
        <v>841</v>
      </c>
      <c r="H772" s="49" t="n">
        <v>10</v>
      </c>
      <c r="I772" s="70" t="s">
        <v>368</v>
      </c>
      <c r="J772" s="70" t="n">
        <v>200</v>
      </c>
      <c r="K772" s="73" t="n">
        <v>1</v>
      </c>
      <c r="L772" s="49" t="n">
        <v>25</v>
      </c>
      <c r="M772" s="67" t="n">
        <v>1.2</v>
      </c>
      <c r="N772" s="68" t="n">
        <f aca="false">K772*L772*M772</f>
        <v>30</v>
      </c>
      <c r="O772" s="34" t="n">
        <f aca="false">IFERROR(INDEX(Исходные!$B$18:$B$30,MATCH(H772,Исходные!$A$18:$A$30,0)),0)</f>
        <v>0.617</v>
      </c>
      <c r="P772" s="74" t="n">
        <f aca="false">N772*O772</f>
        <v>18.51</v>
      </c>
      <c r="Q772" s="20" t="s">
        <v>1284</v>
      </c>
      <c r="R772" s="75" t="s">
        <v>371</v>
      </c>
      <c r="S772" s="20"/>
      <c r="T772" s="20" t="s">
        <v>73</v>
      </c>
      <c r="U772" s="47" t="n">
        <v>0</v>
      </c>
      <c r="V772" s="70" t="s">
        <v>832</v>
      </c>
      <c r="W772" s="47" t="n">
        <v>2</v>
      </c>
    </row>
    <row r="773" customFormat="false" ht="35.05" hidden="false" customHeight="false" outlineLevel="0" collapsed="false">
      <c r="A773" s="70" t="n">
        <v>756</v>
      </c>
      <c r="B773" s="20" t="s">
        <v>1024</v>
      </c>
      <c r="C773" s="20" t="s">
        <v>769</v>
      </c>
      <c r="D773" s="20" t="s">
        <v>820</v>
      </c>
      <c r="E773" s="20" t="s">
        <v>1267</v>
      </c>
      <c r="F773" s="70" t="s">
        <v>829</v>
      </c>
      <c r="G773" s="20" t="s">
        <v>842</v>
      </c>
      <c r="H773" s="49" t="n">
        <v>10</v>
      </c>
      <c r="I773" s="70" t="s">
        <v>368</v>
      </c>
      <c r="J773" s="70" t="n">
        <v>200</v>
      </c>
      <c r="K773" s="73" t="n">
        <v>1</v>
      </c>
      <c r="L773" s="49" t="n">
        <v>17</v>
      </c>
      <c r="M773" s="67" t="n">
        <v>1.2</v>
      </c>
      <c r="N773" s="68" t="n">
        <f aca="false">K773*L773*M773</f>
        <v>20.4</v>
      </c>
      <c r="O773" s="34" t="n">
        <f aca="false">IFERROR(INDEX(Исходные!$B$18:$B$30,MATCH(H773,Исходные!$A$18:$A$30,0)),0)</f>
        <v>0.617</v>
      </c>
      <c r="P773" s="74" t="n">
        <f aca="false">N773*O773</f>
        <v>12.5868</v>
      </c>
      <c r="Q773" s="20" t="s">
        <v>1284</v>
      </c>
      <c r="R773" s="75" t="s">
        <v>371</v>
      </c>
      <c r="S773" s="20"/>
      <c r="T773" s="20" t="s">
        <v>73</v>
      </c>
      <c r="U773" s="47" t="n">
        <v>0</v>
      </c>
      <c r="V773" s="70" t="s">
        <v>832</v>
      </c>
      <c r="W773" s="47" t="n">
        <v>2</v>
      </c>
    </row>
    <row r="774" customFormat="false" ht="35.05" hidden="false" customHeight="false" outlineLevel="0" collapsed="false">
      <c r="A774" s="70" t="n">
        <v>757</v>
      </c>
      <c r="B774" s="20" t="s">
        <v>1024</v>
      </c>
      <c r="C774" s="20" t="s">
        <v>769</v>
      </c>
      <c r="D774" s="20" t="s">
        <v>820</v>
      </c>
      <c r="E774" s="20" t="s">
        <v>1267</v>
      </c>
      <c r="F774" s="70" t="s">
        <v>829</v>
      </c>
      <c r="G774" s="20" t="s">
        <v>843</v>
      </c>
      <c r="H774" s="49" t="n">
        <v>10</v>
      </c>
      <c r="I774" s="70" t="s">
        <v>368</v>
      </c>
      <c r="J774" s="70" t="n">
        <v>200</v>
      </c>
      <c r="K774" s="73" t="n">
        <v>1</v>
      </c>
      <c r="L774" s="49" t="n">
        <v>36</v>
      </c>
      <c r="M774" s="67" t="n">
        <v>1.2</v>
      </c>
      <c r="N774" s="68" t="n">
        <f aca="false">K774*L774*M774</f>
        <v>43.2</v>
      </c>
      <c r="O774" s="34" t="n">
        <f aca="false">IFERROR(INDEX(Исходные!$B$18:$B$30,MATCH(H774,Исходные!$A$18:$A$30,0)),0)</f>
        <v>0.617</v>
      </c>
      <c r="P774" s="74" t="n">
        <f aca="false">N774*O774</f>
        <v>26.6544</v>
      </c>
      <c r="Q774" s="20" t="s">
        <v>1284</v>
      </c>
      <c r="R774" s="75" t="s">
        <v>371</v>
      </c>
      <c r="S774" s="20"/>
      <c r="T774" s="20" t="s">
        <v>73</v>
      </c>
      <c r="U774" s="47" t="n">
        <v>0</v>
      </c>
      <c r="V774" s="70" t="s">
        <v>832</v>
      </c>
      <c r="W774" s="47" t="n">
        <v>2</v>
      </c>
    </row>
    <row r="775" customFormat="false" ht="35.05" hidden="false" customHeight="false" outlineLevel="0" collapsed="false">
      <c r="A775" s="70" t="n">
        <v>758</v>
      </c>
      <c r="B775" s="20" t="s">
        <v>1024</v>
      </c>
      <c r="C775" s="20" t="s">
        <v>769</v>
      </c>
      <c r="D775" s="20" t="s">
        <v>820</v>
      </c>
      <c r="E775" s="20" t="s">
        <v>1267</v>
      </c>
      <c r="F775" s="70" t="s">
        <v>829</v>
      </c>
      <c r="G775" s="20" t="s">
        <v>844</v>
      </c>
      <c r="H775" s="49" t="n">
        <v>10</v>
      </c>
      <c r="I775" s="70" t="s">
        <v>368</v>
      </c>
      <c r="J775" s="70" t="n">
        <v>200</v>
      </c>
      <c r="K775" s="73" t="n">
        <v>1</v>
      </c>
      <c r="L775" s="49" t="n">
        <v>15</v>
      </c>
      <c r="M775" s="67" t="n">
        <v>1.4</v>
      </c>
      <c r="N775" s="68" t="n">
        <f aca="false">K775*L775*M775</f>
        <v>21</v>
      </c>
      <c r="O775" s="34" t="n">
        <f aca="false">IFERROR(INDEX(Исходные!$B$18:$B$30,MATCH(H775,Исходные!$A$18:$A$30,0)),0)</f>
        <v>0.617</v>
      </c>
      <c r="P775" s="74" t="n">
        <f aca="false">N775*O775</f>
        <v>12.957</v>
      </c>
      <c r="Q775" s="20" t="s">
        <v>1284</v>
      </c>
      <c r="R775" s="75" t="s">
        <v>371</v>
      </c>
      <c r="S775" s="20"/>
      <c r="T775" s="20" t="s">
        <v>73</v>
      </c>
      <c r="U775" s="47" t="n">
        <v>0</v>
      </c>
      <c r="V775" s="70" t="s">
        <v>832</v>
      </c>
      <c r="W775" s="47" t="n">
        <v>2</v>
      </c>
    </row>
    <row r="776" customFormat="false" ht="35.05" hidden="false" customHeight="false" outlineLevel="0" collapsed="false">
      <c r="A776" s="70" t="n">
        <v>759</v>
      </c>
      <c r="B776" s="20" t="s">
        <v>1024</v>
      </c>
      <c r="C776" s="20" t="s">
        <v>769</v>
      </c>
      <c r="D776" s="20" t="s">
        <v>820</v>
      </c>
      <c r="E776" s="20" t="s">
        <v>1267</v>
      </c>
      <c r="F776" s="70" t="s">
        <v>829</v>
      </c>
      <c r="G776" s="20" t="s">
        <v>845</v>
      </c>
      <c r="H776" s="49" t="n">
        <v>10</v>
      </c>
      <c r="I776" s="70" t="s">
        <v>368</v>
      </c>
      <c r="J776" s="70" t="n">
        <v>200</v>
      </c>
      <c r="K776" s="73" t="n">
        <v>1</v>
      </c>
      <c r="L776" s="49" t="n">
        <v>17</v>
      </c>
      <c r="M776" s="67" t="n">
        <v>2.2</v>
      </c>
      <c r="N776" s="68" t="n">
        <f aca="false">K776*L776*M776</f>
        <v>37.4</v>
      </c>
      <c r="O776" s="34" t="n">
        <f aca="false">IFERROR(INDEX(Исходные!$B$18:$B$30,MATCH(H776,Исходные!$A$18:$A$30,0)),0)</f>
        <v>0.617</v>
      </c>
      <c r="P776" s="74" t="n">
        <f aca="false">N776*O776</f>
        <v>23.0758</v>
      </c>
      <c r="Q776" s="20" t="s">
        <v>1284</v>
      </c>
      <c r="R776" s="75" t="s">
        <v>371</v>
      </c>
      <c r="S776" s="20"/>
      <c r="T776" s="20" t="s">
        <v>73</v>
      </c>
      <c r="U776" s="47" t="n">
        <v>0</v>
      </c>
      <c r="V776" s="70" t="s">
        <v>832</v>
      </c>
      <c r="W776" s="47" t="n">
        <v>2</v>
      </c>
    </row>
    <row r="777" customFormat="false" ht="35.05" hidden="false" customHeight="false" outlineLevel="0" collapsed="false">
      <c r="A777" s="70" t="n">
        <v>760</v>
      </c>
      <c r="B777" s="20" t="s">
        <v>1024</v>
      </c>
      <c r="C777" s="20" t="s">
        <v>769</v>
      </c>
      <c r="D777" s="20" t="s">
        <v>820</v>
      </c>
      <c r="E777" s="20" t="s">
        <v>1267</v>
      </c>
      <c r="F777" s="70" t="s">
        <v>829</v>
      </c>
      <c r="G777" s="20" t="s">
        <v>846</v>
      </c>
      <c r="H777" s="49" t="n">
        <v>10</v>
      </c>
      <c r="I777" s="70" t="s">
        <v>368</v>
      </c>
      <c r="J777" s="70" t="n">
        <v>200</v>
      </c>
      <c r="K777" s="73" t="n">
        <v>1</v>
      </c>
      <c r="L777" s="49" t="n">
        <v>29</v>
      </c>
      <c r="M777" s="67" t="n">
        <v>1.4</v>
      </c>
      <c r="N777" s="68" t="n">
        <f aca="false">K777*L777*M777</f>
        <v>40.6</v>
      </c>
      <c r="O777" s="34" t="n">
        <f aca="false">IFERROR(INDEX(Исходные!$B$18:$B$30,MATCH(H777,Исходные!$A$18:$A$30,0)),0)</f>
        <v>0.617</v>
      </c>
      <c r="P777" s="74" t="n">
        <f aca="false">N777*O777</f>
        <v>25.0502</v>
      </c>
      <c r="Q777" s="20" t="s">
        <v>1284</v>
      </c>
      <c r="R777" s="75" t="s">
        <v>371</v>
      </c>
      <c r="S777" s="20"/>
      <c r="T777" s="20" t="s">
        <v>73</v>
      </c>
      <c r="U777" s="47" t="n">
        <v>0</v>
      </c>
      <c r="V777" s="70" t="s">
        <v>832</v>
      </c>
      <c r="W777" s="47" t="n">
        <v>2</v>
      </c>
    </row>
    <row r="778" customFormat="false" ht="35.05" hidden="false" customHeight="false" outlineLevel="0" collapsed="false">
      <c r="A778" s="70" t="n">
        <v>761</v>
      </c>
      <c r="B778" s="20" t="s">
        <v>1024</v>
      </c>
      <c r="C778" s="20" t="s">
        <v>769</v>
      </c>
      <c r="D778" s="20" t="s">
        <v>820</v>
      </c>
      <c r="E778" s="20" t="s">
        <v>1267</v>
      </c>
      <c r="F778" s="70" t="s">
        <v>829</v>
      </c>
      <c r="G778" s="20" t="s">
        <v>847</v>
      </c>
      <c r="H778" s="49" t="n">
        <v>10</v>
      </c>
      <c r="I778" s="70" t="s">
        <v>368</v>
      </c>
      <c r="J778" s="70" t="n">
        <v>200</v>
      </c>
      <c r="K778" s="73" t="n">
        <v>1</v>
      </c>
      <c r="L778" s="49" t="n">
        <v>62</v>
      </c>
      <c r="M778" s="67" t="n">
        <v>2.2</v>
      </c>
      <c r="N778" s="68" t="n">
        <f aca="false">K778*L778*M778</f>
        <v>136.4</v>
      </c>
      <c r="O778" s="34" t="n">
        <f aca="false">IFERROR(INDEX(Исходные!$B$18:$B$30,MATCH(H778,Исходные!$A$18:$A$30,0)),0)</f>
        <v>0.617</v>
      </c>
      <c r="P778" s="74" t="n">
        <f aca="false">N778*O778</f>
        <v>84.1588</v>
      </c>
      <c r="Q778" s="20" t="s">
        <v>1284</v>
      </c>
      <c r="R778" s="75" t="s">
        <v>371</v>
      </c>
      <c r="S778" s="20"/>
      <c r="T778" s="20" t="s">
        <v>73</v>
      </c>
      <c r="U778" s="47" t="n">
        <v>0</v>
      </c>
      <c r="V778" s="70" t="s">
        <v>832</v>
      </c>
      <c r="W778" s="47" t="n">
        <v>2</v>
      </c>
    </row>
    <row r="779" customFormat="false" ht="35.05" hidden="false" customHeight="false" outlineLevel="0" collapsed="false">
      <c r="A779" s="70" t="n">
        <v>762</v>
      </c>
      <c r="B779" s="20" t="s">
        <v>1024</v>
      </c>
      <c r="C779" s="20" t="s">
        <v>769</v>
      </c>
      <c r="D779" s="20" t="s">
        <v>848</v>
      </c>
      <c r="E779" s="20" t="s">
        <v>1267</v>
      </c>
      <c r="F779" s="70" t="s">
        <v>829</v>
      </c>
      <c r="G779" s="20" t="s">
        <v>1285</v>
      </c>
      <c r="H779" s="49" t="n">
        <v>20</v>
      </c>
      <c r="I779" s="70" t="s">
        <v>368</v>
      </c>
      <c r="J779" s="70" t="s">
        <v>369</v>
      </c>
      <c r="K779" s="73" t="n">
        <v>4</v>
      </c>
      <c r="L779" s="49" t="n">
        <v>2</v>
      </c>
      <c r="M779" s="67" t="n">
        <v>3</v>
      </c>
      <c r="N779" s="68" t="n">
        <f aca="false">K779*L779*M779</f>
        <v>24</v>
      </c>
      <c r="O779" s="34" t="n">
        <f aca="false">IFERROR(INDEX(Исходные!$B$18:$B$30,MATCH(H779,Исходные!$A$18:$A$30,0)),0)</f>
        <v>2.466</v>
      </c>
      <c r="P779" s="74" t="n">
        <f aca="false">N779*O779</f>
        <v>59.184</v>
      </c>
      <c r="Q779" s="20" t="s">
        <v>1286</v>
      </c>
      <c r="R779" s="75" t="s">
        <v>371</v>
      </c>
      <c r="S779" s="20"/>
      <c r="T779" s="20" t="s">
        <v>73</v>
      </c>
      <c r="U779" s="47" t="n">
        <v>0</v>
      </c>
      <c r="V779" s="70" t="s">
        <v>832</v>
      </c>
      <c r="W779" s="47" t="n">
        <v>2</v>
      </c>
    </row>
    <row r="780" customFormat="false" ht="35.05" hidden="false" customHeight="false" outlineLevel="0" collapsed="false">
      <c r="A780" s="70" t="n">
        <v>763</v>
      </c>
      <c r="B780" s="20" t="s">
        <v>1024</v>
      </c>
      <c r="C780" s="20" t="s">
        <v>769</v>
      </c>
      <c r="D780" s="20" t="s">
        <v>1287</v>
      </c>
      <c r="E780" s="20" t="s">
        <v>1267</v>
      </c>
      <c r="F780" s="70" t="s">
        <v>829</v>
      </c>
      <c r="G780" s="20" t="s">
        <v>1288</v>
      </c>
      <c r="H780" s="49" t="n">
        <v>18</v>
      </c>
      <c r="I780" s="70" t="s">
        <v>368</v>
      </c>
      <c r="J780" s="70" t="s">
        <v>369</v>
      </c>
      <c r="K780" s="73" t="n">
        <v>1</v>
      </c>
      <c r="L780" s="49" t="n">
        <v>1</v>
      </c>
      <c r="M780" s="67" t="n">
        <v>3</v>
      </c>
      <c r="N780" s="68" t="n">
        <f aca="false">K780*L780*M780</f>
        <v>3</v>
      </c>
      <c r="O780" s="34" t="n">
        <f aca="false">IFERROR(INDEX(Исходные!$B$18:$B$30,MATCH(H780,Исходные!$A$18:$A$30,0)),0)</f>
        <v>1.998</v>
      </c>
      <c r="P780" s="74" t="n">
        <f aca="false">N780*O780</f>
        <v>5.994</v>
      </c>
      <c r="Q780" s="20" t="s">
        <v>1289</v>
      </c>
      <c r="R780" s="75" t="s">
        <v>371</v>
      </c>
      <c r="S780" s="20"/>
      <c r="T780" s="20" t="s">
        <v>73</v>
      </c>
      <c r="U780" s="47" t="n">
        <v>0</v>
      </c>
      <c r="V780" s="70" t="s">
        <v>832</v>
      </c>
      <c r="W780" s="47" t="n">
        <v>2</v>
      </c>
    </row>
    <row r="781" customFormat="false" ht="35.05" hidden="false" customHeight="false" outlineLevel="0" collapsed="false">
      <c r="A781" s="70" t="n">
        <v>764</v>
      </c>
      <c r="B781" s="20" t="s">
        <v>1024</v>
      </c>
      <c r="C781" s="20" t="s">
        <v>769</v>
      </c>
      <c r="D781" s="20" t="s">
        <v>1290</v>
      </c>
      <c r="E781" s="20" t="s">
        <v>1267</v>
      </c>
      <c r="F781" s="70" t="s">
        <v>829</v>
      </c>
      <c r="G781" s="20" t="s">
        <v>1291</v>
      </c>
      <c r="H781" s="49" t="n">
        <v>18</v>
      </c>
      <c r="I781" s="70" t="s">
        <v>368</v>
      </c>
      <c r="J781" s="70" t="s">
        <v>369</v>
      </c>
      <c r="K781" s="73" t="n">
        <v>1</v>
      </c>
      <c r="L781" s="49" t="n">
        <v>1</v>
      </c>
      <c r="M781" s="67" t="n">
        <v>1.7</v>
      </c>
      <c r="N781" s="68" t="n">
        <f aca="false">K781*L781*M781</f>
        <v>1.7</v>
      </c>
      <c r="O781" s="34" t="n">
        <f aca="false">IFERROR(INDEX(Исходные!$B$18:$B$30,MATCH(H781,Исходные!$A$18:$A$30,0)),0)</f>
        <v>1.998</v>
      </c>
      <c r="P781" s="74" t="n">
        <f aca="false">N781*O781</f>
        <v>3.3966</v>
      </c>
      <c r="Q781" s="20" t="s">
        <v>1292</v>
      </c>
      <c r="R781" s="75" t="s">
        <v>371</v>
      </c>
      <c r="S781" s="20"/>
      <c r="T781" s="20" t="s">
        <v>73</v>
      </c>
      <c r="U781" s="47" t="n">
        <v>0</v>
      </c>
      <c r="V781" s="70" t="s">
        <v>832</v>
      </c>
      <c r="W781" s="47" t="n">
        <v>2</v>
      </c>
    </row>
    <row r="782" customFormat="false" ht="35.05" hidden="false" customHeight="false" outlineLevel="0" collapsed="false">
      <c r="A782" s="70" t="n">
        <v>765</v>
      </c>
      <c r="B782" s="20" t="s">
        <v>1024</v>
      </c>
      <c r="C782" s="20" t="s">
        <v>769</v>
      </c>
      <c r="D782" s="20" t="s">
        <v>851</v>
      </c>
      <c r="E782" s="20" t="s">
        <v>1267</v>
      </c>
      <c r="F782" s="70" t="s">
        <v>852</v>
      </c>
      <c r="G782" s="20" t="s">
        <v>853</v>
      </c>
      <c r="H782" s="49" t="n">
        <v>14</v>
      </c>
      <c r="I782" s="70" t="s">
        <v>368</v>
      </c>
      <c r="J782" s="70" t="s">
        <v>369</v>
      </c>
      <c r="K782" s="73" t="n">
        <v>1</v>
      </c>
      <c r="L782" s="49" t="n">
        <v>2</v>
      </c>
      <c r="M782" s="67" t="n">
        <v>25.795</v>
      </c>
      <c r="N782" s="68" t="n">
        <f aca="false">K782*L782*M782</f>
        <v>51.59</v>
      </c>
      <c r="O782" s="34" t="n">
        <f aca="false">IFERROR(INDEX(Исходные!$B$18:$B$30,MATCH(H782,Исходные!$A$18:$A$30,0)),0)</f>
        <v>1.208</v>
      </c>
      <c r="P782" s="74" t="n">
        <f aca="false">N782*O782</f>
        <v>62.32072</v>
      </c>
      <c r="Q782" s="20" t="s">
        <v>1293</v>
      </c>
      <c r="R782" s="75" t="s">
        <v>517</v>
      </c>
      <c r="S782" s="20"/>
      <c r="T782" s="20" t="s">
        <v>73</v>
      </c>
      <c r="U782" s="47" t="n">
        <v>0</v>
      </c>
      <c r="V782" s="70" t="s">
        <v>855</v>
      </c>
      <c r="W782" s="47" t="n">
        <v>2</v>
      </c>
    </row>
    <row r="783" customFormat="false" ht="35.05" hidden="false" customHeight="false" outlineLevel="0" collapsed="false">
      <c r="A783" s="70" t="n">
        <v>766</v>
      </c>
      <c r="B783" s="20" t="s">
        <v>1024</v>
      </c>
      <c r="C783" s="20" t="s">
        <v>769</v>
      </c>
      <c r="D783" s="20" t="s">
        <v>851</v>
      </c>
      <c r="E783" s="20" t="s">
        <v>1267</v>
      </c>
      <c r="F783" s="70" t="s">
        <v>856</v>
      </c>
      <c r="G783" s="20" t="s">
        <v>1294</v>
      </c>
      <c r="H783" s="49" t="n">
        <v>14</v>
      </c>
      <c r="I783" s="70" t="s">
        <v>368</v>
      </c>
      <c r="J783" s="70" t="s">
        <v>369</v>
      </c>
      <c r="K783" s="73" t="n">
        <v>2</v>
      </c>
      <c r="L783" s="49" t="n">
        <v>2</v>
      </c>
      <c r="M783" s="67" t="n">
        <v>0.56</v>
      </c>
      <c r="N783" s="68" t="n">
        <f aca="false">K783*L783*M783</f>
        <v>2.24</v>
      </c>
      <c r="O783" s="34" t="n">
        <f aca="false">IFERROR(INDEX(Исходные!$B$18:$B$30,MATCH(H783,Исходные!$A$18:$A$30,0)),0)</f>
        <v>1.208</v>
      </c>
      <c r="P783" s="74" t="n">
        <f aca="false">N783*O783</f>
        <v>2.70592</v>
      </c>
      <c r="Q783" s="20" t="s">
        <v>858</v>
      </c>
      <c r="R783" s="75" t="s">
        <v>524</v>
      </c>
      <c r="S783" s="20" t="s">
        <v>1295</v>
      </c>
      <c r="T783" s="20" t="s">
        <v>73</v>
      </c>
      <c r="U783" s="47" t="n">
        <v>0</v>
      </c>
      <c r="V783" s="70" t="s">
        <v>855</v>
      </c>
      <c r="W783" s="47" t="n">
        <v>2</v>
      </c>
    </row>
    <row r="784" customFormat="false" ht="35.05" hidden="false" customHeight="false" outlineLevel="0" collapsed="false">
      <c r="A784" s="70" t="n">
        <v>767</v>
      </c>
      <c r="B784" s="20" t="s">
        <v>1024</v>
      </c>
      <c r="C784" s="20" t="s">
        <v>769</v>
      </c>
      <c r="D784" s="20" t="s">
        <v>851</v>
      </c>
      <c r="E784" s="20" t="s">
        <v>1267</v>
      </c>
      <c r="F784" s="70" t="s">
        <v>852</v>
      </c>
      <c r="G784" s="20" t="s">
        <v>860</v>
      </c>
      <c r="H784" s="49" t="n">
        <v>14</v>
      </c>
      <c r="I784" s="70" t="s">
        <v>368</v>
      </c>
      <c r="J784" s="70" t="s">
        <v>369</v>
      </c>
      <c r="K784" s="73" t="n">
        <v>1</v>
      </c>
      <c r="L784" s="49" t="n">
        <v>2</v>
      </c>
      <c r="M784" s="67" t="n">
        <v>20.495</v>
      </c>
      <c r="N784" s="68" t="n">
        <f aca="false">K784*L784*M784</f>
        <v>40.99</v>
      </c>
      <c r="O784" s="34" t="n">
        <f aca="false">IFERROR(INDEX(Исходные!$B$18:$B$30,MATCH(H784,Исходные!$A$18:$A$30,0)),0)</f>
        <v>1.208</v>
      </c>
      <c r="P784" s="74" t="n">
        <f aca="false">N784*O784</f>
        <v>49.51592</v>
      </c>
      <c r="Q784" s="20" t="s">
        <v>861</v>
      </c>
      <c r="R784" s="75" t="s">
        <v>517</v>
      </c>
      <c r="S784" s="20"/>
      <c r="T784" s="20" t="s">
        <v>73</v>
      </c>
      <c r="U784" s="47" t="n">
        <v>0</v>
      </c>
      <c r="V784" s="70" t="s">
        <v>855</v>
      </c>
      <c r="W784" s="47" t="n">
        <v>2</v>
      </c>
    </row>
    <row r="785" customFormat="false" ht="35.05" hidden="false" customHeight="false" outlineLevel="0" collapsed="false">
      <c r="A785" s="70" t="n">
        <v>768</v>
      </c>
      <c r="B785" s="20" t="s">
        <v>1024</v>
      </c>
      <c r="C785" s="20" t="s">
        <v>769</v>
      </c>
      <c r="D785" s="20" t="s">
        <v>851</v>
      </c>
      <c r="E785" s="20" t="s">
        <v>1267</v>
      </c>
      <c r="F785" s="70" t="s">
        <v>856</v>
      </c>
      <c r="G785" s="20" t="s">
        <v>1296</v>
      </c>
      <c r="H785" s="49" t="n">
        <v>14</v>
      </c>
      <c r="I785" s="70" t="s">
        <v>368</v>
      </c>
      <c r="J785" s="70" t="s">
        <v>369</v>
      </c>
      <c r="K785" s="73" t="n">
        <v>2</v>
      </c>
      <c r="L785" s="49" t="n">
        <v>1</v>
      </c>
      <c r="M785" s="67" t="n">
        <v>0.56</v>
      </c>
      <c r="N785" s="68" t="n">
        <f aca="false">K785*L785*M785</f>
        <v>1.12</v>
      </c>
      <c r="O785" s="34" t="n">
        <f aca="false">IFERROR(INDEX(Исходные!$B$18:$B$30,MATCH(H785,Исходные!$A$18:$A$30,0)),0)</f>
        <v>1.208</v>
      </c>
      <c r="P785" s="74" t="n">
        <f aca="false">N785*O785</f>
        <v>1.35296</v>
      </c>
      <c r="Q785" s="20" t="s">
        <v>858</v>
      </c>
      <c r="R785" s="75" t="s">
        <v>524</v>
      </c>
      <c r="S785" s="20" t="s">
        <v>1297</v>
      </c>
      <c r="T785" s="20" t="s">
        <v>73</v>
      </c>
      <c r="U785" s="47" t="n">
        <v>0</v>
      </c>
      <c r="V785" s="70" t="s">
        <v>855</v>
      </c>
      <c r="W785" s="47" t="n">
        <v>2</v>
      </c>
    </row>
    <row r="786" customFormat="false" ht="35.05" hidden="false" customHeight="false" outlineLevel="0" collapsed="false">
      <c r="A786" s="70" t="n">
        <v>769</v>
      </c>
      <c r="B786" s="20" t="s">
        <v>1024</v>
      </c>
      <c r="C786" s="20" t="s">
        <v>769</v>
      </c>
      <c r="D786" s="20" t="s">
        <v>851</v>
      </c>
      <c r="E786" s="20" t="s">
        <v>1267</v>
      </c>
      <c r="F786" s="70" t="s">
        <v>401</v>
      </c>
      <c r="G786" s="20" t="s">
        <v>1298</v>
      </c>
      <c r="H786" s="49" t="n">
        <v>10</v>
      </c>
      <c r="I786" s="70" t="s">
        <v>403</v>
      </c>
      <c r="J786" s="70" t="n">
        <v>400</v>
      </c>
      <c r="K786" s="73" t="n">
        <v>1</v>
      </c>
      <c r="L786" s="49" t="n">
        <v>119</v>
      </c>
      <c r="M786" s="67" t="n">
        <v>0.7</v>
      </c>
      <c r="N786" s="68" t="n">
        <f aca="false">K786*L786*M786</f>
        <v>83.3</v>
      </c>
      <c r="O786" s="34" t="n">
        <f aca="false">IFERROR(INDEX(Исходные!$B$18:$B$30,MATCH(H786,Исходные!$A$18:$A$30,0)),0)</f>
        <v>0.617</v>
      </c>
      <c r="P786" s="74" t="n">
        <f aca="false">N786*O786</f>
        <v>51.3961</v>
      </c>
      <c r="Q786" s="20" t="s">
        <v>865</v>
      </c>
      <c r="R786" s="75" t="s">
        <v>371</v>
      </c>
      <c r="S786" s="20"/>
      <c r="T786" s="20" t="s">
        <v>73</v>
      </c>
      <c r="U786" s="47" t="n">
        <v>0</v>
      </c>
      <c r="V786" s="70" t="s">
        <v>855</v>
      </c>
      <c r="W786" s="47" t="n">
        <v>2</v>
      </c>
    </row>
    <row r="787" customFormat="false" ht="35.05" hidden="false" customHeight="false" outlineLevel="0" collapsed="false">
      <c r="A787" s="70" t="n">
        <v>770</v>
      </c>
      <c r="B787" s="20" t="s">
        <v>1024</v>
      </c>
      <c r="C787" s="20" t="s">
        <v>769</v>
      </c>
      <c r="D787" s="20" t="s">
        <v>866</v>
      </c>
      <c r="E787" s="20" t="s">
        <v>867</v>
      </c>
      <c r="F787" s="70" t="s">
        <v>867</v>
      </c>
      <c r="G787" s="20" t="s">
        <v>1299</v>
      </c>
      <c r="H787" s="49" t="n">
        <v>10</v>
      </c>
      <c r="I787" s="70" t="s">
        <v>403</v>
      </c>
      <c r="J787" s="70" t="s">
        <v>869</v>
      </c>
      <c r="K787" s="73" t="n">
        <v>1</v>
      </c>
      <c r="L787" s="49" t="n">
        <v>847</v>
      </c>
      <c r="M787" s="67" t="n">
        <v>0.42</v>
      </c>
      <c r="N787" s="68" t="n">
        <f aca="false">K787*L787*M787</f>
        <v>355.74</v>
      </c>
      <c r="O787" s="34" t="n">
        <f aca="false">IFERROR(INDEX(Исходные!$B$18:$B$30,MATCH(H787,Исходные!$A$18:$A$30,0)),0)</f>
        <v>0.617</v>
      </c>
      <c r="P787" s="74" t="n">
        <f aca="false">N787*O787</f>
        <v>219.49158</v>
      </c>
      <c r="Q787" s="20" t="s">
        <v>1300</v>
      </c>
      <c r="R787" s="77" t="s">
        <v>871</v>
      </c>
      <c r="S787" s="20"/>
      <c r="T787" s="20" t="s">
        <v>73</v>
      </c>
      <c r="U787" s="47" t="n">
        <v>1</v>
      </c>
      <c r="V787" s="70" t="s">
        <v>872</v>
      </c>
      <c r="W787" s="47" t="n">
        <v>2</v>
      </c>
    </row>
    <row r="788" customFormat="false" ht="35.05" hidden="false" customHeight="false" outlineLevel="0" collapsed="false">
      <c r="A788" s="70" t="n">
        <v>771</v>
      </c>
      <c r="B788" s="20" t="s">
        <v>1024</v>
      </c>
      <c r="C788" s="20" t="s">
        <v>769</v>
      </c>
      <c r="D788" s="20" t="s">
        <v>866</v>
      </c>
      <c r="E788" s="20" t="s">
        <v>873</v>
      </c>
      <c r="F788" s="70" t="s">
        <v>873</v>
      </c>
      <c r="G788" s="20" t="s">
        <v>874</v>
      </c>
      <c r="H788" s="49" t="n">
        <v>8</v>
      </c>
      <c r="I788" s="70" t="s">
        <v>403</v>
      </c>
      <c r="J788" s="70" t="s">
        <v>875</v>
      </c>
      <c r="K788" s="73" t="n">
        <v>1</v>
      </c>
      <c r="L788" s="49" t="n">
        <v>847</v>
      </c>
      <c r="M788" s="67" t="n">
        <v>0.22</v>
      </c>
      <c r="N788" s="68" t="n">
        <f aca="false">K788*L788*M788</f>
        <v>186.34</v>
      </c>
      <c r="O788" s="34" t="n">
        <f aca="false">IFERROR(INDEX(Исходные!$B$18:$B$30,MATCH(H788,Исходные!$A$18:$A$30,0)),0)</f>
        <v>0.395</v>
      </c>
      <c r="P788" s="74" t="n">
        <f aca="false">N788*O788</f>
        <v>73.6043</v>
      </c>
      <c r="Q788" s="20" t="s">
        <v>1301</v>
      </c>
      <c r="R788" s="77" t="s">
        <v>871</v>
      </c>
      <c r="S788" s="20"/>
      <c r="T788" s="20" t="s">
        <v>73</v>
      </c>
      <c r="U788" s="47" t="n">
        <v>1</v>
      </c>
      <c r="V788" s="70" t="s">
        <v>872</v>
      </c>
      <c r="W788" s="47" t="n">
        <v>2</v>
      </c>
    </row>
    <row r="789" customFormat="false" ht="15" hidden="false" customHeight="true" outlineLevel="0" collapsed="false">
      <c r="A789" s="72" t="s">
        <v>1302</v>
      </c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</row>
    <row r="790" customFormat="false" ht="35.05" hidden="false" customHeight="false" outlineLevel="0" collapsed="false">
      <c r="A790" s="70" t="n">
        <v>772</v>
      </c>
      <c r="B790" s="20" t="s">
        <v>1024</v>
      </c>
      <c r="C790" s="20" t="s">
        <v>878</v>
      </c>
      <c r="D790" s="20" t="s">
        <v>879</v>
      </c>
      <c r="E790" s="20" t="s">
        <v>880</v>
      </c>
      <c r="F790" s="70" t="s">
        <v>379</v>
      </c>
      <c r="G790" s="20" t="s">
        <v>881</v>
      </c>
      <c r="H790" s="49" t="n">
        <v>25</v>
      </c>
      <c r="I790" s="70" t="s">
        <v>368</v>
      </c>
      <c r="J790" s="70" t="s">
        <v>369</v>
      </c>
      <c r="K790" s="73" t="n">
        <v>1</v>
      </c>
      <c r="L790" s="49" t="n">
        <v>4</v>
      </c>
      <c r="M790" s="67" t="n">
        <v>20.4</v>
      </c>
      <c r="N790" s="68" t="n">
        <f aca="false">K790*L790*M790</f>
        <v>81.6</v>
      </c>
      <c r="O790" s="34" t="n">
        <f aca="false">IFERROR(INDEX(Исходные!$B$18:$B$30,MATCH(H790,Исходные!$A$18:$A$30,0)),0)</f>
        <v>3.853</v>
      </c>
      <c r="P790" s="74" t="n">
        <f aca="false">N790*O790</f>
        <v>314.4048</v>
      </c>
      <c r="Q790" s="20" t="s">
        <v>1303</v>
      </c>
      <c r="R790" s="75" t="s">
        <v>517</v>
      </c>
      <c r="S790" s="20" t="s">
        <v>689</v>
      </c>
      <c r="T790" s="20" t="s">
        <v>73</v>
      </c>
      <c r="U790" s="47" t="n">
        <v>0</v>
      </c>
      <c r="V790" s="70" t="s">
        <v>883</v>
      </c>
      <c r="W790" s="47" t="n">
        <v>2</v>
      </c>
    </row>
    <row r="791" customFormat="false" ht="35.05" hidden="false" customHeight="false" outlineLevel="0" collapsed="false">
      <c r="A791" s="70" t="n">
        <v>773</v>
      </c>
      <c r="B791" s="20" t="s">
        <v>1024</v>
      </c>
      <c r="C791" s="20" t="s">
        <v>878</v>
      </c>
      <c r="D791" s="20" t="s">
        <v>884</v>
      </c>
      <c r="E791" s="20" t="s">
        <v>880</v>
      </c>
      <c r="F791" s="70" t="s">
        <v>379</v>
      </c>
      <c r="G791" s="20" t="s">
        <v>885</v>
      </c>
      <c r="H791" s="49" t="n">
        <v>25</v>
      </c>
      <c r="I791" s="70" t="s">
        <v>368</v>
      </c>
      <c r="J791" s="70" t="s">
        <v>369</v>
      </c>
      <c r="K791" s="73" t="n">
        <v>1</v>
      </c>
      <c r="L791" s="49" t="n">
        <v>4</v>
      </c>
      <c r="M791" s="67" t="n">
        <v>20.4</v>
      </c>
      <c r="N791" s="68" t="n">
        <f aca="false">K791*L791*M791</f>
        <v>81.6</v>
      </c>
      <c r="O791" s="34" t="n">
        <f aca="false">IFERROR(INDEX(Исходные!$B$18:$B$30,MATCH(H791,Исходные!$A$18:$A$30,0)),0)</f>
        <v>3.853</v>
      </c>
      <c r="P791" s="74" t="n">
        <f aca="false">N791*O791</f>
        <v>314.4048</v>
      </c>
      <c r="Q791" s="20" t="s">
        <v>1303</v>
      </c>
      <c r="R791" s="75" t="s">
        <v>517</v>
      </c>
      <c r="S791" s="20" t="s">
        <v>689</v>
      </c>
      <c r="T791" s="20" t="s">
        <v>73</v>
      </c>
      <c r="U791" s="47" t="n">
        <v>0</v>
      </c>
      <c r="V791" s="70" t="s">
        <v>883</v>
      </c>
      <c r="W791" s="47" t="n">
        <v>2</v>
      </c>
    </row>
    <row r="792" customFormat="false" ht="35.05" hidden="false" customHeight="false" outlineLevel="0" collapsed="false">
      <c r="A792" s="70" t="n">
        <v>774</v>
      </c>
      <c r="B792" s="20" t="s">
        <v>1024</v>
      </c>
      <c r="C792" s="20" t="s">
        <v>878</v>
      </c>
      <c r="D792" s="20" t="s">
        <v>886</v>
      </c>
      <c r="E792" s="20" t="s">
        <v>880</v>
      </c>
      <c r="F792" s="70" t="s">
        <v>379</v>
      </c>
      <c r="G792" s="20" t="s">
        <v>887</v>
      </c>
      <c r="H792" s="49" t="n">
        <v>25</v>
      </c>
      <c r="I792" s="70" t="s">
        <v>368</v>
      </c>
      <c r="J792" s="70" t="s">
        <v>369</v>
      </c>
      <c r="K792" s="73" t="n">
        <v>1</v>
      </c>
      <c r="L792" s="49" t="n">
        <v>4</v>
      </c>
      <c r="M792" s="67" t="n">
        <v>13.9</v>
      </c>
      <c r="N792" s="68" t="n">
        <f aca="false">K792*L792*M792</f>
        <v>55.6</v>
      </c>
      <c r="O792" s="34" t="n">
        <f aca="false">IFERROR(INDEX(Исходные!$B$18:$B$30,MATCH(H792,Исходные!$A$18:$A$30,0)),0)</f>
        <v>3.853</v>
      </c>
      <c r="P792" s="74" t="n">
        <f aca="false">N792*O792</f>
        <v>214.2268</v>
      </c>
      <c r="Q792" s="20" t="s">
        <v>1303</v>
      </c>
      <c r="R792" s="75" t="s">
        <v>517</v>
      </c>
      <c r="S792" s="20" t="s">
        <v>689</v>
      </c>
      <c r="T792" s="20" t="s">
        <v>73</v>
      </c>
      <c r="U792" s="47" t="n">
        <v>0</v>
      </c>
      <c r="V792" s="70" t="s">
        <v>883</v>
      </c>
      <c r="W792" s="47" t="n">
        <v>2</v>
      </c>
    </row>
    <row r="793" customFormat="false" ht="35.05" hidden="false" customHeight="false" outlineLevel="0" collapsed="false">
      <c r="A793" s="70" t="n">
        <v>775</v>
      </c>
      <c r="B793" s="20" t="s">
        <v>1024</v>
      </c>
      <c r="C793" s="20" t="s">
        <v>878</v>
      </c>
      <c r="D793" s="20" t="s">
        <v>888</v>
      </c>
      <c r="E793" s="20" t="s">
        <v>880</v>
      </c>
      <c r="F793" s="70" t="s">
        <v>379</v>
      </c>
      <c r="G793" s="20" t="s">
        <v>889</v>
      </c>
      <c r="H793" s="49" t="n">
        <v>25</v>
      </c>
      <c r="I793" s="70" t="s">
        <v>368</v>
      </c>
      <c r="J793" s="70" t="s">
        <v>369</v>
      </c>
      <c r="K793" s="73" t="n">
        <v>1</v>
      </c>
      <c r="L793" s="49" t="n">
        <v>4</v>
      </c>
      <c r="M793" s="67" t="n">
        <v>20.4</v>
      </c>
      <c r="N793" s="68" t="n">
        <f aca="false">K793*L793*M793</f>
        <v>81.6</v>
      </c>
      <c r="O793" s="34" t="n">
        <f aca="false">IFERROR(INDEX(Исходные!$B$18:$B$30,MATCH(H793,Исходные!$A$18:$A$30,0)),0)</f>
        <v>3.853</v>
      </c>
      <c r="P793" s="74" t="n">
        <f aca="false">N793*O793</f>
        <v>314.4048</v>
      </c>
      <c r="Q793" s="20" t="s">
        <v>1303</v>
      </c>
      <c r="R793" s="75" t="s">
        <v>517</v>
      </c>
      <c r="S793" s="20" t="s">
        <v>689</v>
      </c>
      <c r="T793" s="20" t="s">
        <v>73</v>
      </c>
      <c r="U793" s="47" t="n">
        <v>0</v>
      </c>
      <c r="V793" s="70" t="s">
        <v>883</v>
      </c>
      <c r="W793" s="47" t="n">
        <v>2</v>
      </c>
    </row>
    <row r="794" customFormat="false" ht="35.05" hidden="false" customHeight="false" outlineLevel="0" collapsed="false">
      <c r="A794" s="70" t="n">
        <v>776</v>
      </c>
      <c r="B794" s="20" t="s">
        <v>1024</v>
      </c>
      <c r="C794" s="20" t="s">
        <v>878</v>
      </c>
      <c r="D794" s="20" t="s">
        <v>890</v>
      </c>
      <c r="E794" s="20" t="s">
        <v>880</v>
      </c>
      <c r="F794" s="70" t="s">
        <v>379</v>
      </c>
      <c r="G794" s="20" t="s">
        <v>891</v>
      </c>
      <c r="H794" s="49" t="n">
        <v>25</v>
      </c>
      <c r="I794" s="70" t="s">
        <v>368</v>
      </c>
      <c r="J794" s="70" t="s">
        <v>369</v>
      </c>
      <c r="K794" s="73" t="n">
        <v>1</v>
      </c>
      <c r="L794" s="49" t="n">
        <v>4</v>
      </c>
      <c r="M794" s="67" t="n">
        <v>25.4</v>
      </c>
      <c r="N794" s="68" t="n">
        <f aca="false">K794*L794*M794</f>
        <v>101.6</v>
      </c>
      <c r="O794" s="34" t="n">
        <f aca="false">IFERROR(INDEX(Исходные!$B$18:$B$30,MATCH(H794,Исходные!$A$18:$A$30,0)),0)</f>
        <v>3.853</v>
      </c>
      <c r="P794" s="74" t="n">
        <f aca="false">N794*O794</f>
        <v>391.4648</v>
      </c>
      <c r="Q794" s="20" t="s">
        <v>1303</v>
      </c>
      <c r="R794" s="75" t="s">
        <v>517</v>
      </c>
      <c r="S794" s="20" t="s">
        <v>518</v>
      </c>
      <c r="T794" s="20" t="s">
        <v>73</v>
      </c>
      <c r="U794" s="47" t="n">
        <v>0</v>
      </c>
      <c r="V794" s="70" t="s">
        <v>883</v>
      </c>
      <c r="W794" s="47" t="n">
        <v>2</v>
      </c>
    </row>
    <row r="795" customFormat="false" ht="35.05" hidden="false" customHeight="false" outlineLevel="0" collapsed="false">
      <c r="A795" s="70" t="n">
        <v>777</v>
      </c>
      <c r="B795" s="20" t="s">
        <v>1024</v>
      </c>
      <c r="C795" s="20" t="s">
        <v>878</v>
      </c>
      <c r="D795" s="20" t="s">
        <v>892</v>
      </c>
      <c r="E795" s="20" t="s">
        <v>880</v>
      </c>
      <c r="F795" s="70" t="s">
        <v>379</v>
      </c>
      <c r="G795" s="20" t="s">
        <v>893</v>
      </c>
      <c r="H795" s="49" t="n">
        <v>25</v>
      </c>
      <c r="I795" s="70" t="s">
        <v>368</v>
      </c>
      <c r="J795" s="70" t="s">
        <v>369</v>
      </c>
      <c r="K795" s="73" t="n">
        <v>1</v>
      </c>
      <c r="L795" s="49" t="n">
        <v>4</v>
      </c>
      <c r="M795" s="67" t="n">
        <v>25.4</v>
      </c>
      <c r="N795" s="68" t="n">
        <f aca="false">K795*L795*M795</f>
        <v>101.6</v>
      </c>
      <c r="O795" s="34" t="n">
        <f aca="false">IFERROR(INDEX(Исходные!$B$18:$B$30,MATCH(H795,Исходные!$A$18:$A$30,0)),0)</f>
        <v>3.853</v>
      </c>
      <c r="P795" s="74" t="n">
        <f aca="false">N795*O795</f>
        <v>391.4648</v>
      </c>
      <c r="Q795" s="20" t="s">
        <v>1303</v>
      </c>
      <c r="R795" s="75" t="s">
        <v>517</v>
      </c>
      <c r="S795" s="20" t="s">
        <v>518</v>
      </c>
      <c r="T795" s="20" t="s">
        <v>73</v>
      </c>
      <c r="U795" s="47" t="n">
        <v>0</v>
      </c>
      <c r="V795" s="70" t="s">
        <v>883</v>
      </c>
      <c r="W795" s="47" t="n">
        <v>2</v>
      </c>
    </row>
    <row r="796" customFormat="false" ht="35.05" hidden="false" customHeight="false" outlineLevel="0" collapsed="false">
      <c r="A796" s="70" t="n">
        <v>778</v>
      </c>
      <c r="B796" s="20" t="s">
        <v>1024</v>
      </c>
      <c r="C796" s="20" t="s">
        <v>878</v>
      </c>
      <c r="D796" s="20" t="s">
        <v>894</v>
      </c>
      <c r="E796" s="20" t="s">
        <v>880</v>
      </c>
      <c r="F796" s="70" t="s">
        <v>379</v>
      </c>
      <c r="G796" s="20" t="s">
        <v>895</v>
      </c>
      <c r="H796" s="49" t="n">
        <v>25</v>
      </c>
      <c r="I796" s="70" t="s">
        <v>368</v>
      </c>
      <c r="J796" s="70" t="s">
        <v>369</v>
      </c>
      <c r="K796" s="73" t="n">
        <v>1</v>
      </c>
      <c r="L796" s="49" t="n">
        <v>4</v>
      </c>
      <c r="M796" s="67" t="n">
        <v>13.9</v>
      </c>
      <c r="N796" s="68" t="n">
        <f aca="false">K796*L796*M796</f>
        <v>55.6</v>
      </c>
      <c r="O796" s="34" t="n">
        <f aca="false">IFERROR(INDEX(Исходные!$B$18:$B$30,MATCH(H796,Исходные!$A$18:$A$30,0)),0)</f>
        <v>3.853</v>
      </c>
      <c r="P796" s="74" t="n">
        <f aca="false">N796*O796</f>
        <v>214.2268</v>
      </c>
      <c r="Q796" s="20" t="s">
        <v>1303</v>
      </c>
      <c r="R796" s="75" t="s">
        <v>517</v>
      </c>
      <c r="S796" s="20" t="s">
        <v>689</v>
      </c>
      <c r="T796" s="20" t="s">
        <v>73</v>
      </c>
      <c r="U796" s="47" t="n">
        <v>0</v>
      </c>
      <c r="V796" s="70" t="s">
        <v>883</v>
      </c>
      <c r="W796" s="47" t="n">
        <v>2</v>
      </c>
    </row>
    <row r="797" customFormat="false" ht="35.05" hidden="false" customHeight="false" outlineLevel="0" collapsed="false">
      <c r="A797" s="70" t="n">
        <v>779</v>
      </c>
      <c r="B797" s="20" t="s">
        <v>1024</v>
      </c>
      <c r="C797" s="20" t="s">
        <v>878</v>
      </c>
      <c r="D797" s="20" t="s">
        <v>896</v>
      </c>
      <c r="E797" s="20" t="s">
        <v>897</v>
      </c>
      <c r="F797" s="70" t="s">
        <v>379</v>
      </c>
      <c r="G797" s="20" t="s">
        <v>898</v>
      </c>
      <c r="H797" s="49" t="n">
        <v>25</v>
      </c>
      <c r="I797" s="70" t="s">
        <v>368</v>
      </c>
      <c r="J797" s="70" t="s">
        <v>369</v>
      </c>
      <c r="K797" s="73" t="n">
        <v>1</v>
      </c>
      <c r="L797" s="49" t="n">
        <v>4</v>
      </c>
      <c r="M797" s="67" t="n">
        <v>11.9</v>
      </c>
      <c r="N797" s="68" t="n">
        <f aca="false">K797*L797*M797</f>
        <v>47.6</v>
      </c>
      <c r="O797" s="34" t="n">
        <f aca="false">IFERROR(INDEX(Исходные!$B$18:$B$30,MATCH(H797,Исходные!$A$18:$A$30,0)),0)</f>
        <v>3.853</v>
      </c>
      <c r="P797" s="74" t="n">
        <f aca="false">N797*O797</f>
        <v>183.4028</v>
      </c>
      <c r="Q797" s="20" t="s">
        <v>1304</v>
      </c>
      <c r="R797" s="75" t="s">
        <v>517</v>
      </c>
      <c r="S797" s="20" t="s">
        <v>689</v>
      </c>
      <c r="T797" s="20" t="s">
        <v>73</v>
      </c>
      <c r="U797" s="47" t="n">
        <v>0</v>
      </c>
      <c r="V797" s="70" t="s">
        <v>883</v>
      </c>
      <c r="W797" s="47" t="n">
        <v>2</v>
      </c>
    </row>
    <row r="798" customFormat="false" ht="35.05" hidden="false" customHeight="false" outlineLevel="0" collapsed="false">
      <c r="A798" s="70" t="n">
        <v>780</v>
      </c>
      <c r="B798" s="20" t="s">
        <v>1024</v>
      </c>
      <c r="C798" s="20" t="s">
        <v>878</v>
      </c>
      <c r="D798" s="20" t="s">
        <v>900</v>
      </c>
      <c r="E798" s="20" t="s">
        <v>901</v>
      </c>
      <c r="F798" s="70" t="s">
        <v>379</v>
      </c>
      <c r="G798" s="20" t="s">
        <v>902</v>
      </c>
      <c r="H798" s="49" t="n">
        <v>25</v>
      </c>
      <c r="I798" s="70" t="s">
        <v>368</v>
      </c>
      <c r="J798" s="70" t="s">
        <v>369</v>
      </c>
      <c r="K798" s="73" t="n">
        <v>1</v>
      </c>
      <c r="L798" s="49" t="n">
        <v>4</v>
      </c>
      <c r="M798" s="67" t="n">
        <v>3.785</v>
      </c>
      <c r="N798" s="68" t="n">
        <f aca="false">K798*L798*M798</f>
        <v>15.14</v>
      </c>
      <c r="O798" s="34" t="n">
        <f aca="false">IFERROR(INDEX(Исходные!$B$18:$B$30,MATCH(H798,Исходные!$A$18:$A$30,0)),0)</f>
        <v>3.853</v>
      </c>
      <c r="P798" s="74" t="n">
        <f aca="false">N798*O798</f>
        <v>58.33442</v>
      </c>
      <c r="Q798" s="20" t="s">
        <v>1305</v>
      </c>
      <c r="R798" s="75" t="s">
        <v>517</v>
      </c>
      <c r="S798" s="20"/>
      <c r="T798" s="20" t="s">
        <v>73</v>
      </c>
      <c r="U798" s="47" t="n">
        <v>0</v>
      </c>
      <c r="V798" s="70" t="s">
        <v>883</v>
      </c>
      <c r="W798" s="47" t="n">
        <v>2</v>
      </c>
    </row>
    <row r="799" customFormat="false" ht="35.05" hidden="false" customHeight="false" outlineLevel="0" collapsed="false">
      <c r="A799" s="70" t="n">
        <v>781</v>
      </c>
      <c r="B799" s="20" t="s">
        <v>1024</v>
      </c>
      <c r="C799" s="20" t="s">
        <v>878</v>
      </c>
      <c r="D799" s="20" t="s">
        <v>904</v>
      </c>
      <c r="E799" s="20" t="s">
        <v>901</v>
      </c>
      <c r="F799" s="70" t="s">
        <v>379</v>
      </c>
      <c r="G799" s="20" t="s">
        <v>905</v>
      </c>
      <c r="H799" s="49" t="n">
        <v>25</v>
      </c>
      <c r="I799" s="70" t="s">
        <v>368</v>
      </c>
      <c r="J799" s="70" t="s">
        <v>369</v>
      </c>
      <c r="K799" s="73" t="n">
        <v>1</v>
      </c>
      <c r="L799" s="49" t="n">
        <v>4</v>
      </c>
      <c r="M799" s="67" t="n">
        <v>3.365</v>
      </c>
      <c r="N799" s="68" t="n">
        <f aca="false">K799*L799*M799</f>
        <v>13.46</v>
      </c>
      <c r="O799" s="34" t="n">
        <f aca="false">IFERROR(INDEX(Исходные!$B$18:$B$30,MATCH(H799,Исходные!$A$18:$A$30,0)),0)</f>
        <v>3.853</v>
      </c>
      <c r="P799" s="74" t="n">
        <f aca="false">N799*O799</f>
        <v>51.86138</v>
      </c>
      <c r="Q799" s="20" t="s">
        <v>1305</v>
      </c>
      <c r="R799" s="75" t="s">
        <v>517</v>
      </c>
      <c r="S799" s="20"/>
      <c r="T799" s="20" t="s">
        <v>73</v>
      </c>
      <c r="U799" s="47" t="n">
        <v>0</v>
      </c>
      <c r="V799" s="70" t="s">
        <v>883</v>
      </c>
      <c r="W799" s="47" t="n">
        <v>2</v>
      </c>
    </row>
    <row r="800" customFormat="false" ht="35.05" hidden="false" customHeight="false" outlineLevel="0" collapsed="false">
      <c r="A800" s="70" t="n">
        <v>782</v>
      </c>
      <c r="B800" s="20" t="s">
        <v>1024</v>
      </c>
      <c r="C800" s="20" t="s">
        <v>878</v>
      </c>
      <c r="D800" s="20" t="s">
        <v>906</v>
      </c>
      <c r="E800" s="20" t="s">
        <v>907</v>
      </c>
      <c r="F800" s="70" t="s">
        <v>373</v>
      </c>
      <c r="G800" s="20" t="s">
        <v>908</v>
      </c>
      <c r="H800" s="49" t="n">
        <v>20</v>
      </c>
      <c r="I800" s="70" t="s">
        <v>368</v>
      </c>
      <c r="J800" s="70" t="s">
        <v>369</v>
      </c>
      <c r="K800" s="73" t="n">
        <v>1</v>
      </c>
      <c r="L800" s="49" t="n">
        <v>4</v>
      </c>
      <c r="M800" s="67" t="n">
        <v>3.05</v>
      </c>
      <c r="N800" s="68" t="n">
        <f aca="false">K800*L800*M800</f>
        <v>12.2</v>
      </c>
      <c r="O800" s="34" t="n">
        <f aca="false">IFERROR(INDEX(Исходные!$B$18:$B$30,MATCH(H800,Исходные!$A$18:$A$30,0)),0)</f>
        <v>2.466</v>
      </c>
      <c r="P800" s="74" t="n">
        <f aca="false">N800*O800</f>
        <v>30.0852</v>
      </c>
      <c r="Q800" s="20" t="s">
        <v>1306</v>
      </c>
      <c r="R800" s="75" t="s">
        <v>517</v>
      </c>
      <c r="S800" s="20"/>
      <c r="T800" s="20" t="s">
        <v>73</v>
      </c>
      <c r="U800" s="47" t="n">
        <v>0</v>
      </c>
      <c r="V800" s="70" t="s">
        <v>883</v>
      </c>
      <c r="W800" s="47" t="n">
        <v>2</v>
      </c>
    </row>
    <row r="801" customFormat="false" ht="35.05" hidden="false" customHeight="false" outlineLevel="0" collapsed="false">
      <c r="A801" s="70" t="n">
        <v>783</v>
      </c>
      <c r="B801" s="20" t="s">
        <v>1024</v>
      </c>
      <c r="C801" s="20" t="s">
        <v>878</v>
      </c>
      <c r="D801" s="20" t="s">
        <v>910</v>
      </c>
      <c r="E801" s="20" t="s">
        <v>907</v>
      </c>
      <c r="F801" s="70" t="s">
        <v>373</v>
      </c>
      <c r="G801" s="20" t="s">
        <v>911</v>
      </c>
      <c r="H801" s="49" t="n">
        <v>20</v>
      </c>
      <c r="I801" s="70" t="s">
        <v>368</v>
      </c>
      <c r="J801" s="70" t="s">
        <v>369</v>
      </c>
      <c r="K801" s="73" t="n">
        <v>1</v>
      </c>
      <c r="L801" s="49" t="n">
        <v>4</v>
      </c>
      <c r="M801" s="67" t="n">
        <v>3.785</v>
      </c>
      <c r="N801" s="68" t="n">
        <f aca="false">K801*L801*M801</f>
        <v>15.14</v>
      </c>
      <c r="O801" s="34" t="n">
        <f aca="false">IFERROR(INDEX(Исходные!$B$18:$B$30,MATCH(H801,Исходные!$A$18:$A$30,0)),0)</f>
        <v>2.466</v>
      </c>
      <c r="P801" s="74" t="n">
        <f aca="false">N801*O801</f>
        <v>37.33524</v>
      </c>
      <c r="Q801" s="20" t="s">
        <v>1306</v>
      </c>
      <c r="R801" s="75" t="s">
        <v>517</v>
      </c>
      <c r="S801" s="20"/>
      <c r="T801" s="20" t="s">
        <v>73</v>
      </c>
      <c r="U801" s="47" t="n">
        <v>0</v>
      </c>
      <c r="V801" s="70" t="s">
        <v>883</v>
      </c>
      <c r="W801" s="47" t="n">
        <v>2</v>
      </c>
    </row>
    <row r="802" customFormat="false" ht="35.05" hidden="false" customHeight="false" outlineLevel="0" collapsed="false">
      <c r="A802" s="70" t="n">
        <v>784</v>
      </c>
      <c r="B802" s="20" t="s">
        <v>1024</v>
      </c>
      <c r="C802" s="20" t="s">
        <v>878</v>
      </c>
      <c r="D802" s="20" t="s">
        <v>912</v>
      </c>
      <c r="E802" s="20" t="s">
        <v>907</v>
      </c>
      <c r="F802" s="70" t="s">
        <v>373</v>
      </c>
      <c r="G802" s="20" t="s">
        <v>913</v>
      </c>
      <c r="H802" s="49" t="n">
        <v>20</v>
      </c>
      <c r="I802" s="70" t="s">
        <v>368</v>
      </c>
      <c r="J802" s="70" t="s">
        <v>369</v>
      </c>
      <c r="K802" s="73" t="n">
        <v>1</v>
      </c>
      <c r="L802" s="49" t="n">
        <v>4</v>
      </c>
      <c r="M802" s="67" t="n">
        <v>4.1</v>
      </c>
      <c r="N802" s="68" t="n">
        <f aca="false">K802*L802*M802</f>
        <v>16.4</v>
      </c>
      <c r="O802" s="34" t="n">
        <f aca="false">IFERROR(INDEX(Исходные!$B$18:$B$30,MATCH(H802,Исходные!$A$18:$A$30,0)),0)</f>
        <v>2.466</v>
      </c>
      <c r="P802" s="74" t="n">
        <f aca="false">N802*O802</f>
        <v>40.4424</v>
      </c>
      <c r="Q802" s="20" t="s">
        <v>1306</v>
      </c>
      <c r="R802" s="75" t="s">
        <v>517</v>
      </c>
      <c r="S802" s="20"/>
      <c r="T802" s="20" t="s">
        <v>73</v>
      </c>
      <c r="U802" s="47" t="n">
        <v>0</v>
      </c>
      <c r="V802" s="70" t="s">
        <v>883</v>
      </c>
      <c r="W802" s="47" t="n">
        <v>2</v>
      </c>
    </row>
    <row r="803" customFormat="false" ht="35.05" hidden="false" customHeight="false" outlineLevel="0" collapsed="false">
      <c r="A803" s="70" t="n">
        <v>785</v>
      </c>
      <c r="B803" s="20" t="s">
        <v>1024</v>
      </c>
      <c r="C803" s="20" t="s">
        <v>878</v>
      </c>
      <c r="D803" s="20" t="s">
        <v>914</v>
      </c>
      <c r="E803" s="20" t="s">
        <v>907</v>
      </c>
      <c r="F803" s="70" t="s">
        <v>373</v>
      </c>
      <c r="G803" s="20" t="s">
        <v>915</v>
      </c>
      <c r="H803" s="49" t="n">
        <v>20</v>
      </c>
      <c r="I803" s="70" t="s">
        <v>368</v>
      </c>
      <c r="J803" s="70" t="s">
        <v>369</v>
      </c>
      <c r="K803" s="73" t="n">
        <v>1</v>
      </c>
      <c r="L803" s="49" t="n">
        <v>4</v>
      </c>
      <c r="M803" s="67" t="n">
        <v>3.325</v>
      </c>
      <c r="N803" s="68" t="n">
        <f aca="false">K803*L803*M803</f>
        <v>13.3</v>
      </c>
      <c r="O803" s="34" t="n">
        <f aca="false">IFERROR(INDEX(Исходные!$B$18:$B$30,MATCH(H803,Исходные!$A$18:$A$30,0)),0)</f>
        <v>2.466</v>
      </c>
      <c r="P803" s="74" t="n">
        <f aca="false">N803*O803</f>
        <v>32.7978</v>
      </c>
      <c r="Q803" s="20" t="s">
        <v>1306</v>
      </c>
      <c r="R803" s="75" t="s">
        <v>517</v>
      </c>
      <c r="S803" s="20"/>
      <c r="T803" s="20" t="s">
        <v>73</v>
      </c>
      <c r="U803" s="47" t="n">
        <v>0</v>
      </c>
      <c r="V803" s="70" t="s">
        <v>883</v>
      </c>
      <c r="W803" s="47" t="n">
        <v>2</v>
      </c>
    </row>
    <row r="804" customFormat="false" ht="35.05" hidden="false" customHeight="false" outlineLevel="0" collapsed="false">
      <c r="A804" s="70" t="n">
        <v>786</v>
      </c>
      <c r="B804" s="20" t="s">
        <v>1024</v>
      </c>
      <c r="C804" s="20" t="s">
        <v>878</v>
      </c>
      <c r="D804" s="20" t="s">
        <v>1307</v>
      </c>
      <c r="E804" s="20" t="s">
        <v>907</v>
      </c>
      <c r="F804" s="70" t="s">
        <v>373</v>
      </c>
      <c r="G804" s="20" t="s">
        <v>1308</v>
      </c>
      <c r="H804" s="49" t="n">
        <v>20</v>
      </c>
      <c r="I804" s="70" t="s">
        <v>368</v>
      </c>
      <c r="J804" s="70" t="s">
        <v>369</v>
      </c>
      <c r="K804" s="73" t="n">
        <v>1</v>
      </c>
      <c r="L804" s="49" t="n">
        <v>4</v>
      </c>
      <c r="M804" s="67" t="n">
        <v>3.78</v>
      </c>
      <c r="N804" s="68" t="n">
        <f aca="false">K804*L804*M804</f>
        <v>15.12</v>
      </c>
      <c r="O804" s="34" t="n">
        <f aca="false">IFERROR(INDEX(Исходные!$B$18:$B$30,MATCH(H804,Исходные!$A$18:$A$30,0)),0)</f>
        <v>2.466</v>
      </c>
      <c r="P804" s="74" t="n">
        <f aca="false">N804*O804</f>
        <v>37.28592</v>
      </c>
      <c r="Q804" s="20" t="s">
        <v>1306</v>
      </c>
      <c r="R804" s="75" t="s">
        <v>517</v>
      </c>
      <c r="S804" s="20"/>
      <c r="T804" s="20" t="s">
        <v>73</v>
      </c>
      <c r="U804" s="47" t="n">
        <v>0</v>
      </c>
      <c r="V804" s="70" t="s">
        <v>883</v>
      </c>
      <c r="W804" s="47" t="n">
        <v>2</v>
      </c>
    </row>
    <row r="805" customFormat="false" ht="35.05" hidden="false" customHeight="false" outlineLevel="0" collapsed="false">
      <c r="A805" s="70" t="n">
        <v>787</v>
      </c>
      <c r="B805" s="20" t="s">
        <v>1024</v>
      </c>
      <c r="C805" s="20" t="s">
        <v>878</v>
      </c>
      <c r="D805" s="20" t="s">
        <v>916</v>
      </c>
      <c r="E805" s="20" t="s">
        <v>917</v>
      </c>
      <c r="F805" s="70" t="s">
        <v>432</v>
      </c>
      <c r="G805" s="20" t="s">
        <v>918</v>
      </c>
      <c r="H805" s="49" t="n">
        <v>22</v>
      </c>
      <c r="I805" s="70" t="s">
        <v>368</v>
      </c>
      <c r="J805" s="70" t="s">
        <v>369</v>
      </c>
      <c r="K805" s="73" t="n">
        <v>1</v>
      </c>
      <c r="L805" s="49" t="n">
        <v>4</v>
      </c>
      <c r="M805" s="67" t="n">
        <v>2.175</v>
      </c>
      <c r="N805" s="68" t="n">
        <f aca="false">K805*L805*M805</f>
        <v>8.7</v>
      </c>
      <c r="O805" s="34" t="n">
        <f aca="false">IFERROR(INDEX(Исходные!$B$18:$B$30,MATCH(H805,Исходные!$A$18:$A$30,0)),0)</f>
        <v>2.984</v>
      </c>
      <c r="P805" s="74" t="n">
        <f aca="false">N805*O805</f>
        <v>25.9608</v>
      </c>
      <c r="Q805" s="20" t="s">
        <v>1309</v>
      </c>
      <c r="R805" s="75" t="s">
        <v>517</v>
      </c>
      <c r="S805" s="20"/>
      <c r="T805" s="20" t="s">
        <v>73</v>
      </c>
      <c r="U805" s="47" t="n">
        <v>0</v>
      </c>
      <c r="V805" s="70" t="s">
        <v>883</v>
      </c>
      <c r="W805" s="47" t="n">
        <v>2</v>
      </c>
    </row>
    <row r="806" customFormat="false" ht="35.05" hidden="false" customHeight="false" outlineLevel="0" collapsed="false">
      <c r="A806" s="70" t="n">
        <v>788</v>
      </c>
      <c r="B806" s="20" t="s">
        <v>1024</v>
      </c>
      <c r="C806" s="20" t="s">
        <v>878</v>
      </c>
      <c r="D806" s="20" t="s">
        <v>916</v>
      </c>
      <c r="E806" s="20" t="s">
        <v>917</v>
      </c>
      <c r="F806" s="70" t="s">
        <v>432</v>
      </c>
      <c r="G806" s="20" t="s">
        <v>920</v>
      </c>
      <c r="H806" s="49" t="n">
        <v>22</v>
      </c>
      <c r="I806" s="70" t="s">
        <v>368</v>
      </c>
      <c r="J806" s="70" t="s">
        <v>369</v>
      </c>
      <c r="K806" s="73" t="n">
        <v>1</v>
      </c>
      <c r="L806" s="49" t="n">
        <v>4</v>
      </c>
      <c r="M806" s="67" t="n">
        <v>4.15</v>
      </c>
      <c r="N806" s="68" t="n">
        <f aca="false">K806*L806*M806</f>
        <v>16.6</v>
      </c>
      <c r="O806" s="34" t="n">
        <f aca="false">IFERROR(INDEX(Исходные!$B$18:$B$30,MATCH(H806,Исходные!$A$18:$A$30,0)),0)</f>
        <v>2.984</v>
      </c>
      <c r="P806" s="74" t="n">
        <f aca="false">N806*O806</f>
        <v>49.5344</v>
      </c>
      <c r="Q806" s="20" t="s">
        <v>1309</v>
      </c>
      <c r="R806" s="75" t="s">
        <v>517</v>
      </c>
      <c r="S806" s="20"/>
      <c r="T806" s="20" t="s">
        <v>73</v>
      </c>
      <c r="U806" s="47" t="n">
        <v>0</v>
      </c>
      <c r="V806" s="70" t="s">
        <v>883</v>
      </c>
      <c r="W806" s="47" t="n">
        <v>2</v>
      </c>
    </row>
    <row r="807" customFormat="false" ht="35.05" hidden="false" customHeight="false" outlineLevel="0" collapsed="false">
      <c r="A807" s="70" t="n">
        <v>789</v>
      </c>
      <c r="B807" s="20" t="s">
        <v>1024</v>
      </c>
      <c r="C807" s="20" t="s">
        <v>878</v>
      </c>
      <c r="D807" s="20" t="s">
        <v>916</v>
      </c>
      <c r="E807" s="20" t="s">
        <v>917</v>
      </c>
      <c r="F807" s="70" t="s">
        <v>432</v>
      </c>
      <c r="G807" s="20" t="s">
        <v>921</v>
      </c>
      <c r="H807" s="49" t="n">
        <v>22</v>
      </c>
      <c r="I807" s="70" t="s">
        <v>368</v>
      </c>
      <c r="J807" s="70" t="s">
        <v>369</v>
      </c>
      <c r="K807" s="73" t="n">
        <v>1</v>
      </c>
      <c r="L807" s="49" t="n">
        <v>4</v>
      </c>
      <c r="M807" s="67" t="n">
        <v>2.175</v>
      </c>
      <c r="N807" s="68" t="n">
        <f aca="false">K807*L807*M807</f>
        <v>8.7</v>
      </c>
      <c r="O807" s="34" t="n">
        <f aca="false">IFERROR(INDEX(Исходные!$B$18:$B$30,MATCH(H807,Исходные!$A$18:$A$30,0)),0)</f>
        <v>2.984</v>
      </c>
      <c r="P807" s="74" t="n">
        <f aca="false">N807*O807</f>
        <v>25.9608</v>
      </c>
      <c r="Q807" s="20" t="s">
        <v>1309</v>
      </c>
      <c r="R807" s="75" t="s">
        <v>517</v>
      </c>
      <c r="S807" s="20"/>
      <c r="T807" s="20" t="s">
        <v>73</v>
      </c>
      <c r="U807" s="47" t="n">
        <v>0</v>
      </c>
      <c r="V807" s="70" t="s">
        <v>883</v>
      </c>
      <c r="W807" s="47" t="n">
        <v>2</v>
      </c>
    </row>
    <row r="808" customFormat="false" ht="35.05" hidden="false" customHeight="false" outlineLevel="0" collapsed="false">
      <c r="A808" s="70" t="n">
        <v>790</v>
      </c>
      <c r="B808" s="20" t="s">
        <v>1024</v>
      </c>
      <c r="C808" s="20" t="s">
        <v>878</v>
      </c>
      <c r="D808" s="20" t="s">
        <v>922</v>
      </c>
      <c r="E808" s="20" t="s">
        <v>917</v>
      </c>
      <c r="F808" s="70" t="s">
        <v>432</v>
      </c>
      <c r="G808" s="20" t="s">
        <v>918</v>
      </c>
      <c r="H808" s="49" t="n">
        <v>22</v>
      </c>
      <c r="I808" s="70" t="s">
        <v>368</v>
      </c>
      <c r="J808" s="70" t="s">
        <v>369</v>
      </c>
      <c r="K808" s="73" t="n">
        <v>1</v>
      </c>
      <c r="L808" s="49" t="n">
        <v>4</v>
      </c>
      <c r="M808" s="67" t="n">
        <v>2.175</v>
      </c>
      <c r="N808" s="68" t="n">
        <f aca="false">K808*L808*M808</f>
        <v>8.7</v>
      </c>
      <c r="O808" s="34" t="n">
        <f aca="false">IFERROR(INDEX(Исходные!$B$18:$B$30,MATCH(H808,Исходные!$A$18:$A$30,0)),0)</f>
        <v>2.984</v>
      </c>
      <c r="P808" s="74" t="n">
        <f aca="false">N808*O808</f>
        <v>25.9608</v>
      </c>
      <c r="Q808" s="20" t="s">
        <v>1309</v>
      </c>
      <c r="R808" s="75" t="s">
        <v>517</v>
      </c>
      <c r="S808" s="20"/>
      <c r="T808" s="20" t="s">
        <v>73</v>
      </c>
      <c r="U808" s="47" t="n">
        <v>0</v>
      </c>
      <c r="V808" s="70" t="s">
        <v>883</v>
      </c>
      <c r="W808" s="47" t="n">
        <v>2</v>
      </c>
    </row>
    <row r="809" customFormat="false" ht="35.05" hidden="false" customHeight="false" outlineLevel="0" collapsed="false">
      <c r="A809" s="70" t="n">
        <v>791</v>
      </c>
      <c r="B809" s="20" t="s">
        <v>1024</v>
      </c>
      <c r="C809" s="20" t="s">
        <v>878</v>
      </c>
      <c r="D809" s="20" t="s">
        <v>922</v>
      </c>
      <c r="E809" s="20" t="s">
        <v>917</v>
      </c>
      <c r="F809" s="70" t="s">
        <v>432</v>
      </c>
      <c r="G809" s="20" t="s">
        <v>920</v>
      </c>
      <c r="H809" s="49" t="n">
        <v>22</v>
      </c>
      <c r="I809" s="70" t="s">
        <v>368</v>
      </c>
      <c r="J809" s="70" t="s">
        <v>369</v>
      </c>
      <c r="K809" s="73" t="n">
        <v>1</v>
      </c>
      <c r="L809" s="49" t="n">
        <v>4</v>
      </c>
      <c r="M809" s="67" t="n">
        <v>4.15</v>
      </c>
      <c r="N809" s="68" t="n">
        <f aca="false">K809*L809*M809</f>
        <v>16.6</v>
      </c>
      <c r="O809" s="34" t="n">
        <f aca="false">IFERROR(INDEX(Исходные!$B$18:$B$30,MATCH(H809,Исходные!$A$18:$A$30,0)),0)</f>
        <v>2.984</v>
      </c>
      <c r="P809" s="74" t="n">
        <f aca="false">N809*O809</f>
        <v>49.5344</v>
      </c>
      <c r="Q809" s="20" t="s">
        <v>1309</v>
      </c>
      <c r="R809" s="75" t="s">
        <v>517</v>
      </c>
      <c r="S809" s="20"/>
      <c r="T809" s="20" t="s">
        <v>73</v>
      </c>
      <c r="U809" s="47" t="n">
        <v>0</v>
      </c>
      <c r="V809" s="70" t="s">
        <v>883</v>
      </c>
      <c r="W809" s="47" t="n">
        <v>2</v>
      </c>
    </row>
    <row r="810" customFormat="false" ht="35.05" hidden="false" customHeight="false" outlineLevel="0" collapsed="false">
      <c r="A810" s="70" t="n">
        <v>792</v>
      </c>
      <c r="B810" s="20" t="s">
        <v>1024</v>
      </c>
      <c r="C810" s="20" t="s">
        <v>878</v>
      </c>
      <c r="D810" s="20" t="s">
        <v>922</v>
      </c>
      <c r="E810" s="20" t="s">
        <v>917</v>
      </c>
      <c r="F810" s="70" t="s">
        <v>432</v>
      </c>
      <c r="G810" s="20" t="s">
        <v>921</v>
      </c>
      <c r="H810" s="49" t="n">
        <v>22</v>
      </c>
      <c r="I810" s="70" t="s">
        <v>368</v>
      </c>
      <c r="J810" s="70" t="s">
        <v>369</v>
      </c>
      <c r="K810" s="73" t="n">
        <v>1</v>
      </c>
      <c r="L810" s="49" t="n">
        <v>4</v>
      </c>
      <c r="M810" s="67" t="n">
        <v>2.175</v>
      </c>
      <c r="N810" s="68" t="n">
        <f aca="false">K810*L810*M810</f>
        <v>8.7</v>
      </c>
      <c r="O810" s="34" t="n">
        <f aca="false">IFERROR(INDEX(Исходные!$B$18:$B$30,MATCH(H810,Исходные!$A$18:$A$30,0)),0)</f>
        <v>2.984</v>
      </c>
      <c r="P810" s="74" t="n">
        <f aca="false">N810*O810</f>
        <v>25.9608</v>
      </c>
      <c r="Q810" s="20" t="s">
        <v>1309</v>
      </c>
      <c r="R810" s="75" t="s">
        <v>517</v>
      </c>
      <c r="S810" s="20"/>
      <c r="T810" s="20" t="s">
        <v>73</v>
      </c>
      <c r="U810" s="47" t="n">
        <v>0</v>
      </c>
      <c r="V810" s="70" t="s">
        <v>883</v>
      </c>
      <c r="W810" s="47" t="n">
        <v>2</v>
      </c>
    </row>
    <row r="811" customFormat="false" ht="35.05" hidden="false" customHeight="false" outlineLevel="0" collapsed="false">
      <c r="A811" s="70" t="n">
        <v>793</v>
      </c>
      <c r="B811" s="20" t="s">
        <v>1024</v>
      </c>
      <c r="C811" s="20" t="s">
        <v>878</v>
      </c>
      <c r="D811" s="20" t="s">
        <v>923</v>
      </c>
      <c r="E811" s="20" t="s">
        <v>917</v>
      </c>
      <c r="F811" s="70" t="s">
        <v>432</v>
      </c>
      <c r="G811" s="20" t="s">
        <v>918</v>
      </c>
      <c r="H811" s="49" t="n">
        <v>22</v>
      </c>
      <c r="I811" s="70" t="s">
        <v>368</v>
      </c>
      <c r="J811" s="70" t="s">
        <v>369</v>
      </c>
      <c r="K811" s="73" t="n">
        <v>1</v>
      </c>
      <c r="L811" s="49" t="n">
        <v>4</v>
      </c>
      <c r="M811" s="67" t="n">
        <v>2.15</v>
      </c>
      <c r="N811" s="68" t="n">
        <f aca="false">K811*L811*M811</f>
        <v>8.6</v>
      </c>
      <c r="O811" s="34" t="n">
        <f aca="false">IFERROR(INDEX(Исходные!$B$18:$B$30,MATCH(H811,Исходные!$A$18:$A$30,0)),0)</f>
        <v>2.984</v>
      </c>
      <c r="P811" s="74" t="n">
        <f aca="false">N811*O811</f>
        <v>25.6624</v>
      </c>
      <c r="Q811" s="20" t="s">
        <v>1309</v>
      </c>
      <c r="R811" s="75" t="s">
        <v>517</v>
      </c>
      <c r="S811" s="20"/>
      <c r="T811" s="20" t="s">
        <v>73</v>
      </c>
      <c r="U811" s="47" t="n">
        <v>0</v>
      </c>
      <c r="V811" s="70" t="s">
        <v>883</v>
      </c>
      <c r="W811" s="47" t="n">
        <v>2</v>
      </c>
    </row>
    <row r="812" customFormat="false" ht="35.05" hidden="false" customHeight="false" outlineLevel="0" collapsed="false">
      <c r="A812" s="70" t="n">
        <v>794</v>
      </c>
      <c r="B812" s="20" t="s">
        <v>1024</v>
      </c>
      <c r="C812" s="20" t="s">
        <v>878</v>
      </c>
      <c r="D812" s="20" t="s">
        <v>923</v>
      </c>
      <c r="E812" s="20" t="s">
        <v>917</v>
      </c>
      <c r="F812" s="70" t="s">
        <v>432</v>
      </c>
      <c r="G812" s="20" t="s">
        <v>920</v>
      </c>
      <c r="H812" s="49" t="n">
        <v>22</v>
      </c>
      <c r="I812" s="70" t="s">
        <v>368</v>
      </c>
      <c r="J812" s="70" t="s">
        <v>369</v>
      </c>
      <c r="K812" s="73" t="n">
        <v>1</v>
      </c>
      <c r="L812" s="49" t="n">
        <v>4</v>
      </c>
      <c r="M812" s="67" t="n">
        <v>3.775</v>
      </c>
      <c r="N812" s="68" t="n">
        <f aca="false">K812*L812*M812</f>
        <v>15.1</v>
      </c>
      <c r="O812" s="34" t="n">
        <f aca="false">IFERROR(INDEX(Исходные!$B$18:$B$30,MATCH(H812,Исходные!$A$18:$A$30,0)),0)</f>
        <v>2.984</v>
      </c>
      <c r="P812" s="74" t="n">
        <f aca="false">N812*O812</f>
        <v>45.0584</v>
      </c>
      <c r="Q812" s="20" t="s">
        <v>1309</v>
      </c>
      <c r="R812" s="75" t="s">
        <v>517</v>
      </c>
      <c r="S812" s="20"/>
      <c r="T812" s="20" t="s">
        <v>73</v>
      </c>
      <c r="U812" s="47" t="n">
        <v>0</v>
      </c>
      <c r="V812" s="70" t="s">
        <v>883</v>
      </c>
      <c r="W812" s="47" t="n">
        <v>2</v>
      </c>
    </row>
    <row r="813" customFormat="false" ht="35.05" hidden="false" customHeight="false" outlineLevel="0" collapsed="false">
      <c r="A813" s="70" t="n">
        <v>795</v>
      </c>
      <c r="B813" s="20" t="s">
        <v>1024</v>
      </c>
      <c r="C813" s="20" t="s">
        <v>878</v>
      </c>
      <c r="D813" s="20" t="s">
        <v>923</v>
      </c>
      <c r="E813" s="20" t="s">
        <v>917</v>
      </c>
      <c r="F813" s="70" t="s">
        <v>432</v>
      </c>
      <c r="G813" s="20" t="s">
        <v>921</v>
      </c>
      <c r="H813" s="49" t="n">
        <v>22</v>
      </c>
      <c r="I813" s="70" t="s">
        <v>368</v>
      </c>
      <c r="J813" s="70" t="s">
        <v>369</v>
      </c>
      <c r="K813" s="73" t="n">
        <v>1</v>
      </c>
      <c r="L813" s="49" t="n">
        <v>4</v>
      </c>
      <c r="M813" s="67" t="n">
        <v>2.15</v>
      </c>
      <c r="N813" s="68" t="n">
        <f aca="false">K813*L813*M813</f>
        <v>8.6</v>
      </c>
      <c r="O813" s="34" t="n">
        <f aca="false">IFERROR(INDEX(Исходные!$B$18:$B$30,MATCH(H813,Исходные!$A$18:$A$30,0)),0)</f>
        <v>2.984</v>
      </c>
      <c r="P813" s="74" t="n">
        <f aca="false">N813*O813</f>
        <v>25.6624</v>
      </c>
      <c r="Q813" s="20" t="s">
        <v>1309</v>
      </c>
      <c r="R813" s="75" t="s">
        <v>517</v>
      </c>
      <c r="S813" s="20"/>
      <c r="T813" s="20" t="s">
        <v>73</v>
      </c>
      <c r="U813" s="47" t="n">
        <v>0</v>
      </c>
      <c r="V813" s="70" t="s">
        <v>883</v>
      </c>
      <c r="W813" s="47" t="n">
        <v>2</v>
      </c>
    </row>
    <row r="814" customFormat="false" ht="35.05" hidden="false" customHeight="false" outlineLevel="0" collapsed="false">
      <c r="A814" s="70" t="n">
        <v>796</v>
      </c>
      <c r="B814" s="20" t="s">
        <v>1024</v>
      </c>
      <c r="C814" s="20" t="s">
        <v>878</v>
      </c>
      <c r="D814" s="20" t="s">
        <v>924</v>
      </c>
      <c r="E814" s="20" t="s">
        <v>917</v>
      </c>
      <c r="F814" s="70" t="s">
        <v>432</v>
      </c>
      <c r="G814" s="20" t="s">
        <v>918</v>
      </c>
      <c r="H814" s="49" t="n">
        <v>22</v>
      </c>
      <c r="I814" s="70" t="s">
        <v>368</v>
      </c>
      <c r="J814" s="70" t="s">
        <v>369</v>
      </c>
      <c r="K814" s="73" t="n">
        <v>1</v>
      </c>
      <c r="L814" s="49" t="n">
        <v>4</v>
      </c>
      <c r="M814" s="67" t="n">
        <v>2.15</v>
      </c>
      <c r="N814" s="68" t="n">
        <f aca="false">K814*L814*M814</f>
        <v>8.6</v>
      </c>
      <c r="O814" s="34" t="n">
        <f aca="false">IFERROR(INDEX(Исходные!$B$18:$B$30,MATCH(H814,Исходные!$A$18:$A$30,0)),0)</f>
        <v>2.984</v>
      </c>
      <c r="P814" s="74" t="n">
        <f aca="false">N814*O814</f>
        <v>25.6624</v>
      </c>
      <c r="Q814" s="20" t="s">
        <v>1309</v>
      </c>
      <c r="R814" s="75" t="s">
        <v>517</v>
      </c>
      <c r="S814" s="20"/>
      <c r="T814" s="20" t="s">
        <v>73</v>
      </c>
      <c r="U814" s="47" t="n">
        <v>0</v>
      </c>
      <c r="V814" s="70" t="s">
        <v>883</v>
      </c>
      <c r="W814" s="47" t="n">
        <v>2</v>
      </c>
    </row>
    <row r="815" customFormat="false" ht="35.05" hidden="false" customHeight="false" outlineLevel="0" collapsed="false">
      <c r="A815" s="70" t="n">
        <v>797</v>
      </c>
      <c r="B815" s="20" t="s">
        <v>1024</v>
      </c>
      <c r="C815" s="20" t="s">
        <v>878</v>
      </c>
      <c r="D815" s="20" t="s">
        <v>924</v>
      </c>
      <c r="E815" s="20" t="s">
        <v>917</v>
      </c>
      <c r="F815" s="70" t="s">
        <v>432</v>
      </c>
      <c r="G815" s="20" t="s">
        <v>920</v>
      </c>
      <c r="H815" s="49" t="n">
        <v>22</v>
      </c>
      <c r="I815" s="70" t="s">
        <v>368</v>
      </c>
      <c r="J815" s="70" t="s">
        <v>369</v>
      </c>
      <c r="K815" s="73" t="n">
        <v>1</v>
      </c>
      <c r="L815" s="49" t="n">
        <v>4</v>
      </c>
      <c r="M815" s="67" t="n">
        <v>7.95</v>
      </c>
      <c r="N815" s="68" t="n">
        <f aca="false">K815*L815*M815</f>
        <v>31.8</v>
      </c>
      <c r="O815" s="34" t="n">
        <f aca="false">IFERROR(INDEX(Исходные!$B$18:$B$30,MATCH(H815,Исходные!$A$18:$A$30,0)),0)</f>
        <v>2.984</v>
      </c>
      <c r="P815" s="74" t="n">
        <f aca="false">N815*O815</f>
        <v>94.8912</v>
      </c>
      <c r="Q815" s="20" t="s">
        <v>1309</v>
      </c>
      <c r="R815" s="75" t="s">
        <v>517</v>
      </c>
      <c r="S815" s="20"/>
      <c r="T815" s="20" t="s">
        <v>73</v>
      </c>
      <c r="U815" s="47" t="n">
        <v>0</v>
      </c>
      <c r="V815" s="70" t="s">
        <v>883</v>
      </c>
      <c r="W815" s="47" t="n">
        <v>2</v>
      </c>
    </row>
    <row r="816" customFormat="false" ht="35.05" hidden="false" customHeight="false" outlineLevel="0" collapsed="false">
      <c r="A816" s="70" t="n">
        <v>798</v>
      </c>
      <c r="B816" s="20" t="s">
        <v>1024</v>
      </c>
      <c r="C816" s="20" t="s">
        <v>878</v>
      </c>
      <c r="D816" s="20" t="s">
        <v>924</v>
      </c>
      <c r="E816" s="20" t="s">
        <v>917</v>
      </c>
      <c r="F816" s="70" t="s">
        <v>432</v>
      </c>
      <c r="G816" s="20" t="s">
        <v>921</v>
      </c>
      <c r="H816" s="49" t="n">
        <v>22</v>
      </c>
      <c r="I816" s="70" t="s">
        <v>368</v>
      </c>
      <c r="J816" s="70" t="s">
        <v>369</v>
      </c>
      <c r="K816" s="73" t="n">
        <v>1</v>
      </c>
      <c r="L816" s="49" t="n">
        <v>4</v>
      </c>
      <c r="M816" s="67" t="n">
        <v>2.15</v>
      </c>
      <c r="N816" s="68" t="n">
        <f aca="false">K816*L816*M816</f>
        <v>8.6</v>
      </c>
      <c r="O816" s="34" t="n">
        <f aca="false">IFERROR(INDEX(Исходные!$B$18:$B$30,MATCH(H816,Исходные!$A$18:$A$30,0)),0)</f>
        <v>2.984</v>
      </c>
      <c r="P816" s="74" t="n">
        <f aca="false">N816*O816</f>
        <v>25.6624</v>
      </c>
      <c r="Q816" s="20" t="s">
        <v>1309</v>
      </c>
      <c r="R816" s="75" t="s">
        <v>517</v>
      </c>
      <c r="S816" s="20"/>
      <c r="T816" s="20" t="s">
        <v>73</v>
      </c>
      <c r="U816" s="47" t="n">
        <v>0</v>
      </c>
      <c r="V816" s="70" t="s">
        <v>883</v>
      </c>
      <c r="W816" s="47" t="n">
        <v>2</v>
      </c>
    </row>
    <row r="817" customFormat="false" ht="35.05" hidden="false" customHeight="false" outlineLevel="0" collapsed="false">
      <c r="A817" s="70" t="n">
        <v>799</v>
      </c>
      <c r="B817" s="20" t="s">
        <v>1024</v>
      </c>
      <c r="C817" s="20" t="s">
        <v>878</v>
      </c>
      <c r="D817" s="20" t="s">
        <v>924</v>
      </c>
      <c r="E817" s="20" t="s">
        <v>917</v>
      </c>
      <c r="F817" s="70" t="s">
        <v>432</v>
      </c>
      <c r="G817" s="20" t="s">
        <v>925</v>
      </c>
      <c r="H817" s="49" t="n">
        <v>22</v>
      </c>
      <c r="I817" s="70" t="s">
        <v>368</v>
      </c>
      <c r="J817" s="70" t="s">
        <v>369</v>
      </c>
      <c r="K817" s="73" t="n">
        <v>1</v>
      </c>
      <c r="L817" s="49" t="n">
        <v>4</v>
      </c>
      <c r="M817" s="67" t="n">
        <v>2.375</v>
      </c>
      <c r="N817" s="68" t="n">
        <f aca="false">K817*L817*M817</f>
        <v>9.5</v>
      </c>
      <c r="O817" s="34" t="n">
        <f aca="false">IFERROR(INDEX(Исходные!$B$18:$B$30,MATCH(H817,Исходные!$A$18:$A$30,0)),0)</f>
        <v>2.984</v>
      </c>
      <c r="P817" s="74" t="n">
        <f aca="false">N817*O817</f>
        <v>28.348</v>
      </c>
      <c r="Q817" s="20" t="s">
        <v>1309</v>
      </c>
      <c r="R817" s="75" t="s">
        <v>517</v>
      </c>
      <c r="S817" s="20"/>
      <c r="T817" s="20" t="s">
        <v>73</v>
      </c>
      <c r="U817" s="47" t="n">
        <v>0</v>
      </c>
      <c r="V817" s="70" t="s">
        <v>883</v>
      </c>
      <c r="W817" s="47" t="n">
        <v>2</v>
      </c>
    </row>
    <row r="818" customFormat="false" ht="35.05" hidden="false" customHeight="false" outlineLevel="0" collapsed="false">
      <c r="A818" s="70" t="n">
        <v>800</v>
      </c>
      <c r="B818" s="20" t="s">
        <v>1024</v>
      </c>
      <c r="C818" s="20" t="s">
        <v>878</v>
      </c>
      <c r="D818" s="20" t="s">
        <v>926</v>
      </c>
      <c r="E818" s="20" t="s">
        <v>927</v>
      </c>
      <c r="F818" s="70" t="s">
        <v>369</v>
      </c>
      <c r="G818" s="20" t="s">
        <v>1310</v>
      </c>
      <c r="H818" s="49" t="n">
        <v>18</v>
      </c>
      <c r="I818" s="70" t="s">
        <v>368</v>
      </c>
      <c r="J818" s="70" t="s">
        <v>369</v>
      </c>
      <c r="K818" s="73" t="n">
        <v>1</v>
      </c>
      <c r="L818" s="49" t="n">
        <v>42</v>
      </c>
      <c r="M818" s="67" t="n">
        <v>1.2</v>
      </c>
      <c r="N818" s="68" t="n">
        <f aca="false">K818*L818*M818</f>
        <v>50.4</v>
      </c>
      <c r="O818" s="34" t="n">
        <f aca="false">IFERROR(INDEX(Исходные!$B$18:$B$30,MATCH(H818,Исходные!$A$18:$A$30,0)),0)</f>
        <v>1.998</v>
      </c>
      <c r="P818" s="74" t="n">
        <f aca="false">N818*O818</f>
        <v>100.6992</v>
      </c>
      <c r="Q818" s="20" t="s">
        <v>1311</v>
      </c>
      <c r="R818" s="76" t="s">
        <v>495</v>
      </c>
      <c r="S818" s="20"/>
      <c r="T818" s="20" t="s">
        <v>73</v>
      </c>
      <c r="U818" s="47" t="n">
        <v>1</v>
      </c>
      <c r="V818" s="70" t="s">
        <v>930</v>
      </c>
      <c r="W818" s="47" t="n">
        <v>2</v>
      </c>
    </row>
    <row r="819" customFormat="false" ht="35.05" hidden="false" customHeight="false" outlineLevel="0" collapsed="false">
      <c r="A819" s="70" t="n">
        <v>801</v>
      </c>
      <c r="B819" s="20" t="s">
        <v>1024</v>
      </c>
      <c r="C819" s="20" t="s">
        <v>878</v>
      </c>
      <c r="D819" s="20" t="s">
        <v>931</v>
      </c>
      <c r="E819" s="20" t="s">
        <v>932</v>
      </c>
      <c r="F819" s="70" t="s">
        <v>412</v>
      </c>
      <c r="G819" s="20" t="s">
        <v>1312</v>
      </c>
      <c r="H819" s="49" t="n">
        <v>8</v>
      </c>
      <c r="I819" s="70" t="s">
        <v>403</v>
      </c>
      <c r="J819" s="70" t="s">
        <v>501</v>
      </c>
      <c r="K819" s="73" t="n">
        <v>1</v>
      </c>
      <c r="L819" s="49" t="n">
        <v>925</v>
      </c>
      <c r="M819" s="67" t="n">
        <v>1.24</v>
      </c>
      <c r="N819" s="68" t="n">
        <f aca="false">K819*L819*M819</f>
        <v>1147</v>
      </c>
      <c r="O819" s="34" t="n">
        <f aca="false">IFERROR(INDEX(Исходные!$B$18:$B$30,MATCH(H819,Исходные!$A$18:$A$30,0)),0)</f>
        <v>0.395</v>
      </c>
      <c r="P819" s="74" t="n">
        <f aca="false">N819*O819</f>
        <v>453.065</v>
      </c>
      <c r="Q819" s="20" t="s">
        <v>1313</v>
      </c>
      <c r="R819" s="75" t="s">
        <v>371</v>
      </c>
      <c r="S819" s="20"/>
      <c r="T819" s="20" t="s">
        <v>73</v>
      </c>
      <c r="U819" s="47" t="n">
        <v>0</v>
      </c>
      <c r="V819" s="70" t="s">
        <v>935</v>
      </c>
      <c r="W819" s="47" t="n">
        <v>2</v>
      </c>
    </row>
    <row r="820" customFormat="false" ht="35.05" hidden="false" customHeight="false" outlineLevel="0" collapsed="false">
      <c r="A820" s="70" t="n">
        <v>802</v>
      </c>
      <c r="B820" s="20" t="s">
        <v>1024</v>
      </c>
      <c r="C820" s="20" t="s">
        <v>878</v>
      </c>
      <c r="D820" s="20" t="s">
        <v>936</v>
      </c>
      <c r="E820" s="20" t="s">
        <v>937</v>
      </c>
      <c r="F820" s="70" t="s">
        <v>412</v>
      </c>
      <c r="G820" s="20" t="s">
        <v>1314</v>
      </c>
      <c r="H820" s="49" t="n">
        <v>8</v>
      </c>
      <c r="I820" s="70" t="s">
        <v>403</v>
      </c>
      <c r="J820" s="70" t="s">
        <v>501</v>
      </c>
      <c r="K820" s="73" t="n">
        <v>1</v>
      </c>
      <c r="L820" s="49" t="n">
        <v>44</v>
      </c>
      <c r="M820" s="67" t="n">
        <v>1.24</v>
      </c>
      <c r="N820" s="68" t="n">
        <f aca="false">K820*L820*M820</f>
        <v>54.56</v>
      </c>
      <c r="O820" s="34" t="n">
        <f aca="false">IFERROR(INDEX(Исходные!$B$18:$B$30,MATCH(H820,Исходные!$A$18:$A$30,0)),0)</f>
        <v>0.395</v>
      </c>
      <c r="P820" s="74" t="n">
        <f aca="false">N820*O820</f>
        <v>21.5512</v>
      </c>
      <c r="Q820" s="20" t="s">
        <v>1315</v>
      </c>
      <c r="R820" s="75" t="s">
        <v>371</v>
      </c>
      <c r="S820" s="20"/>
      <c r="T820" s="20" t="s">
        <v>73</v>
      </c>
      <c r="U820" s="47" t="n">
        <v>0</v>
      </c>
      <c r="V820" s="70" t="s">
        <v>935</v>
      </c>
      <c r="W820" s="47" t="n">
        <v>2</v>
      </c>
    </row>
    <row r="821" customFormat="false" ht="35.05" hidden="false" customHeight="false" outlineLevel="0" collapsed="false">
      <c r="A821" s="70" t="n">
        <v>803</v>
      </c>
      <c r="B821" s="20" t="s">
        <v>1024</v>
      </c>
      <c r="C821" s="20" t="s">
        <v>878</v>
      </c>
      <c r="D821" s="20" t="s">
        <v>940</v>
      </c>
      <c r="E821" s="20" t="s">
        <v>941</v>
      </c>
      <c r="F821" s="70" t="s">
        <v>553</v>
      </c>
      <c r="G821" s="20" t="s">
        <v>1316</v>
      </c>
      <c r="H821" s="49" t="n">
        <v>8</v>
      </c>
      <c r="I821" s="70" t="s">
        <v>403</v>
      </c>
      <c r="J821" s="70" t="s">
        <v>501</v>
      </c>
      <c r="K821" s="73" t="n">
        <v>1</v>
      </c>
      <c r="L821" s="49" t="n">
        <v>44</v>
      </c>
      <c r="M821" s="67" t="n">
        <v>1.44</v>
      </c>
      <c r="N821" s="68" t="n">
        <f aca="false">K821*L821*M821</f>
        <v>63.36</v>
      </c>
      <c r="O821" s="34" t="n">
        <f aca="false">IFERROR(INDEX(Исходные!$B$18:$B$30,MATCH(H821,Исходные!$A$18:$A$30,0)),0)</f>
        <v>0.395</v>
      </c>
      <c r="P821" s="74" t="n">
        <f aca="false">N821*O821</f>
        <v>25.0272</v>
      </c>
      <c r="Q821" s="20" t="s">
        <v>1317</v>
      </c>
      <c r="R821" s="75" t="s">
        <v>371</v>
      </c>
      <c r="S821" s="20"/>
      <c r="T821" s="20" t="s">
        <v>73</v>
      </c>
      <c r="U821" s="47" t="n">
        <v>0</v>
      </c>
      <c r="V821" s="70" t="s">
        <v>935</v>
      </c>
      <c r="W821" s="47" t="n">
        <v>2</v>
      </c>
    </row>
    <row r="822" customFormat="false" ht="35.05" hidden="false" customHeight="false" outlineLevel="0" collapsed="false">
      <c r="A822" s="70" t="n">
        <v>804</v>
      </c>
      <c r="B822" s="20" t="s">
        <v>1024</v>
      </c>
      <c r="C822" s="20" t="s">
        <v>878</v>
      </c>
      <c r="D822" s="20" t="s">
        <v>944</v>
      </c>
      <c r="E822" s="20" t="s">
        <v>945</v>
      </c>
      <c r="F822" s="70" t="s">
        <v>418</v>
      </c>
      <c r="G822" s="20" t="s">
        <v>1318</v>
      </c>
      <c r="H822" s="49" t="n">
        <v>8</v>
      </c>
      <c r="I822" s="70" t="s">
        <v>403</v>
      </c>
      <c r="J822" s="70" t="s">
        <v>501</v>
      </c>
      <c r="K822" s="73" t="n">
        <v>1</v>
      </c>
      <c r="L822" s="49" t="n">
        <v>111</v>
      </c>
      <c r="M822" s="67" t="n">
        <v>1.04</v>
      </c>
      <c r="N822" s="68" t="n">
        <f aca="false">K822*L822*M822</f>
        <v>115.44</v>
      </c>
      <c r="O822" s="34" t="n">
        <f aca="false">IFERROR(INDEX(Исходные!$B$18:$B$30,MATCH(H822,Исходные!$A$18:$A$30,0)),0)</f>
        <v>0.395</v>
      </c>
      <c r="P822" s="74" t="n">
        <f aca="false">N822*O822</f>
        <v>45.5988</v>
      </c>
      <c r="Q822" s="20" t="s">
        <v>1319</v>
      </c>
      <c r="R822" s="75" t="s">
        <v>371</v>
      </c>
      <c r="S822" s="20"/>
      <c r="T822" s="20" t="s">
        <v>73</v>
      </c>
      <c r="U822" s="47" t="n">
        <v>0</v>
      </c>
      <c r="V822" s="70" t="s">
        <v>935</v>
      </c>
      <c r="W822" s="47" t="n">
        <v>2</v>
      </c>
    </row>
    <row r="823" customFormat="false" ht="35.05" hidden="false" customHeight="false" outlineLevel="0" collapsed="false">
      <c r="A823" s="70" t="n">
        <v>805</v>
      </c>
      <c r="B823" s="20" t="s">
        <v>1024</v>
      </c>
      <c r="C823" s="20" t="s">
        <v>878</v>
      </c>
      <c r="D823" s="20" t="s">
        <v>948</v>
      </c>
      <c r="E823" s="20" t="s">
        <v>949</v>
      </c>
      <c r="F823" s="70" t="s">
        <v>415</v>
      </c>
      <c r="G823" s="20" t="s">
        <v>1320</v>
      </c>
      <c r="H823" s="49" t="n">
        <v>8</v>
      </c>
      <c r="I823" s="70" t="s">
        <v>403</v>
      </c>
      <c r="J823" s="70" t="s">
        <v>501</v>
      </c>
      <c r="K823" s="73" t="n">
        <v>1</v>
      </c>
      <c r="L823" s="49" t="n">
        <v>272</v>
      </c>
      <c r="M823" s="67" t="n">
        <v>1.14</v>
      </c>
      <c r="N823" s="68" t="n">
        <f aca="false">K823*L823*M823</f>
        <v>310.08</v>
      </c>
      <c r="O823" s="34" t="n">
        <f aca="false">IFERROR(INDEX(Исходные!$B$18:$B$30,MATCH(H823,Исходные!$A$18:$A$30,0)),0)</f>
        <v>0.395</v>
      </c>
      <c r="P823" s="74" t="n">
        <f aca="false">N823*O823</f>
        <v>122.4816</v>
      </c>
      <c r="Q823" s="20" t="s">
        <v>1321</v>
      </c>
      <c r="R823" s="75" t="s">
        <v>371</v>
      </c>
      <c r="S823" s="20"/>
      <c r="T823" s="20" t="s">
        <v>73</v>
      </c>
      <c r="U823" s="47" t="n">
        <v>0</v>
      </c>
      <c r="V823" s="70" t="s">
        <v>935</v>
      </c>
      <c r="W823" s="47" t="n">
        <v>2</v>
      </c>
    </row>
    <row r="824" customFormat="false" ht="15" hidden="false" customHeight="true" outlineLevel="0" collapsed="false">
      <c r="A824" s="72" t="s">
        <v>1322</v>
      </c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</row>
    <row r="825" customFormat="false" ht="35.05" hidden="false" customHeight="false" outlineLevel="0" collapsed="false">
      <c r="A825" s="70" t="n">
        <v>806</v>
      </c>
      <c r="B825" s="20" t="s">
        <v>1024</v>
      </c>
      <c r="C825" s="20" t="s">
        <v>953</v>
      </c>
      <c r="D825" s="20" t="s">
        <v>1323</v>
      </c>
      <c r="E825" s="20" t="s">
        <v>89</v>
      </c>
      <c r="F825" s="70" t="s">
        <v>366</v>
      </c>
      <c r="G825" s="20" t="s">
        <v>1324</v>
      </c>
      <c r="H825" s="49" t="n">
        <v>10</v>
      </c>
      <c r="I825" s="70" t="s">
        <v>368</v>
      </c>
      <c r="J825" s="70" t="n">
        <v>90</v>
      </c>
      <c r="K825" s="73" t="n">
        <v>240</v>
      </c>
      <c r="L825" s="49" t="n">
        <v>7</v>
      </c>
      <c r="M825" s="67" t="n">
        <v>0.57</v>
      </c>
      <c r="N825" s="68" t="n">
        <f aca="false">K825*L825*M825</f>
        <v>957.6</v>
      </c>
      <c r="O825" s="34" t="n">
        <f aca="false">IFERROR(INDEX(Исходные!$B$18:$B$30,MATCH(H825,Исходные!$A$18:$A$30,0)),0)</f>
        <v>0.617</v>
      </c>
      <c r="P825" s="74" t="n">
        <f aca="false">N825*O825</f>
        <v>590.8392</v>
      </c>
      <c r="Q825" s="20" t="s">
        <v>1325</v>
      </c>
      <c r="R825" s="76" t="s">
        <v>495</v>
      </c>
      <c r="S825" s="20"/>
      <c r="T825" s="20" t="s">
        <v>73</v>
      </c>
      <c r="U825" s="47" t="n">
        <v>1</v>
      </c>
      <c r="V825" s="70" t="s">
        <v>89</v>
      </c>
      <c r="W825" s="47" t="n">
        <v>2</v>
      </c>
    </row>
    <row r="826" customFormat="false" ht="15" hidden="false" customHeight="true" outlineLevel="0" collapsed="false">
      <c r="A826" s="72" t="s">
        <v>1326</v>
      </c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</row>
    <row r="827" customFormat="false" ht="35.05" hidden="false" customHeight="false" outlineLevel="0" collapsed="false">
      <c r="A827" s="70" t="n">
        <v>807</v>
      </c>
      <c r="B827" s="20" t="s">
        <v>1024</v>
      </c>
      <c r="C827" s="20" t="s">
        <v>958</v>
      </c>
      <c r="D827" s="20" t="s">
        <v>959</v>
      </c>
      <c r="E827" s="20" t="s">
        <v>1327</v>
      </c>
      <c r="F827" s="70" t="s">
        <v>366</v>
      </c>
      <c r="G827" s="20" t="s">
        <v>1328</v>
      </c>
      <c r="H827" s="49" t="n">
        <v>18</v>
      </c>
      <c r="I827" s="70" t="s">
        <v>368</v>
      </c>
      <c r="J827" s="70" t="n">
        <v>150</v>
      </c>
      <c r="K827" s="73" t="n">
        <v>1</v>
      </c>
      <c r="L827" s="49" t="n">
        <v>18</v>
      </c>
      <c r="M827" s="67" t="n">
        <v>6.109</v>
      </c>
      <c r="N827" s="68" t="n">
        <f aca="false">K827*L827*M827</f>
        <v>109.962</v>
      </c>
      <c r="O827" s="34" t="n">
        <f aca="false">IFERROR(INDEX(Исходные!$B$18:$B$30,MATCH(H827,Исходные!$A$18:$A$30,0)),0)</f>
        <v>1.998</v>
      </c>
      <c r="P827" s="74" t="n">
        <f aca="false">N827*O827</f>
        <v>219.704076</v>
      </c>
      <c r="Q827" s="20" t="s">
        <v>1329</v>
      </c>
      <c r="R827" s="76" t="s">
        <v>392</v>
      </c>
      <c r="S827" s="20" t="s">
        <v>1330</v>
      </c>
      <c r="T827" s="20" t="s">
        <v>74</v>
      </c>
      <c r="U827" s="47" t="n">
        <v>1</v>
      </c>
      <c r="V827" s="70" t="s">
        <v>90</v>
      </c>
      <c r="W827" s="47" t="n">
        <v>2</v>
      </c>
    </row>
    <row r="828" customFormat="false" ht="35.05" hidden="false" customHeight="false" outlineLevel="0" collapsed="false">
      <c r="A828" s="70" t="n">
        <v>808</v>
      </c>
      <c r="B828" s="20" t="s">
        <v>1024</v>
      </c>
      <c r="C828" s="20" t="s">
        <v>958</v>
      </c>
      <c r="D828" s="20" t="s">
        <v>964</v>
      </c>
      <c r="E828" s="20" t="s">
        <v>1327</v>
      </c>
      <c r="F828" s="70" t="s">
        <v>376</v>
      </c>
      <c r="G828" s="20" t="s">
        <v>1331</v>
      </c>
      <c r="H828" s="49" t="n">
        <v>10</v>
      </c>
      <c r="I828" s="70" t="s">
        <v>368</v>
      </c>
      <c r="J828" s="70" t="s">
        <v>966</v>
      </c>
      <c r="K828" s="73" t="n">
        <v>1</v>
      </c>
      <c r="L828" s="49" t="n">
        <v>60</v>
      </c>
      <c r="M828" s="67" t="n">
        <v>1.19</v>
      </c>
      <c r="N828" s="68" t="n">
        <f aca="false">K828*L828*M828</f>
        <v>71.4</v>
      </c>
      <c r="O828" s="34" t="n">
        <f aca="false">IFERROR(INDEX(Исходные!$B$18:$B$30,MATCH(H828,Исходные!$A$18:$A$30,0)),0)</f>
        <v>0.617</v>
      </c>
      <c r="P828" s="74" t="n">
        <f aca="false">N828*O828</f>
        <v>44.0538</v>
      </c>
      <c r="Q828" s="20" t="s">
        <v>1332</v>
      </c>
      <c r="R828" s="75" t="s">
        <v>371</v>
      </c>
      <c r="S828" s="20" t="s">
        <v>1333</v>
      </c>
      <c r="T828" s="20" t="s">
        <v>74</v>
      </c>
      <c r="U828" s="47" t="n">
        <v>0</v>
      </c>
      <c r="V828" s="70" t="s">
        <v>90</v>
      </c>
      <c r="W828" s="47" t="n">
        <v>2</v>
      </c>
    </row>
    <row r="829" customFormat="false" ht="35.05" hidden="false" customHeight="false" outlineLevel="0" collapsed="false">
      <c r="A829" s="70" t="n">
        <v>809</v>
      </c>
      <c r="B829" s="20" t="s">
        <v>1024</v>
      </c>
      <c r="C829" s="20" t="s">
        <v>958</v>
      </c>
      <c r="D829" s="20" t="s">
        <v>964</v>
      </c>
      <c r="E829" s="20" t="s">
        <v>1327</v>
      </c>
      <c r="F829" s="70" t="s">
        <v>432</v>
      </c>
      <c r="G829" s="20" t="s">
        <v>1334</v>
      </c>
      <c r="H829" s="49" t="n">
        <v>10</v>
      </c>
      <c r="I829" s="70" t="s">
        <v>403</v>
      </c>
      <c r="J829" s="70" t="s">
        <v>966</v>
      </c>
      <c r="K829" s="73" t="n">
        <v>1</v>
      </c>
      <c r="L829" s="49" t="n">
        <v>60</v>
      </c>
      <c r="M829" s="67" t="n">
        <v>0.52</v>
      </c>
      <c r="N829" s="68" t="n">
        <f aca="false">K829*L829*M829</f>
        <v>31.2</v>
      </c>
      <c r="O829" s="34" t="n">
        <f aca="false">IFERROR(INDEX(Исходные!$B$18:$B$30,MATCH(H829,Исходные!$A$18:$A$30,0)),0)</f>
        <v>0.617</v>
      </c>
      <c r="P829" s="74" t="n">
        <f aca="false">N829*O829</f>
        <v>19.2504</v>
      </c>
      <c r="Q829" s="20" t="s">
        <v>1335</v>
      </c>
      <c r="R829" s="75" t="s">
        <v>371</v>
      </c>
      <c r="S829" s="20"/>
      <c r="T829" s="20" t="s">
        <v>74</v>
      </c>
      <c r="U829" s="47" t="n">
        <v>0</v>
      </c>
      <c r="V829" s="70" t="s">
        <v>90</v>
      </c>
      <c r="W829" s="47" t="n">
        <v>2</v>
      </c>
    </row>
    <row r="830" customFormat="false" ht="35.05" hidden="false" customHeight="false" outlineLevel="0" collapsed="false">
      <c r="A830" s="70" t="n">
        <v>810</v>
      </c>
      <c r="B830" s="20" t="s">
        <v>1024</v>
      </c>
      <c r="C830" s="20" t="s">
        <v>958</v>
      </c>
      <c r="D830" s="20" t="s">
        <v>964</v>
      </c>
      <c r="E830" s="20" t="s">
        <v>1327</v>
      </c>
      <c r="F830" s="70" t="s">
        <v>379</v>
      </c>
      <c r="G830" s="20" t="s">
        <v>996</v>
      </c>
      <c r="H830" s="49" t="n">
        <v>6</v>
      </c>
      <c r="I830" s="70" t="s">
        <v>403</v>
      </c>
      <c r="J830" s="70" t="s">
        <v>972</v>
      </c>
      <c r="K830" s="73" t="n">
        <v>1</v>
      </c>
      <c r="L830" s="49" t="n">
        <v>38</v>
      </c>
      <c r="M830" s="67" t="n">
        <v>0.28</v>
      </c>
      <c r="N830" s="68" t="n">
        <f aca="false">K830*L830*M830</f>
        <v>10.64</v>
      </c>
      <c r="O830" s="34" t="n">
        <f aca="false">IFERROR(INDEX(Исходные!$B$18:$B$30,MATCH(H830,Исходные!$A$18:$A$30,0)),0)</f>
        <v>0.222</v>
      </c>
      <c r="P830" s="74" t="n">
        <f aca="false">N830*O830</f>
        <v>2.36208</v>
      </c>
      <c r="Q830" s="20" t="s">
        <v>1336</v>
      </c>
      <c r="R830" s="76" t="s">
        <v>495</v>
      </c>
      <c r="S830" s="20" t="s">
        <v>1337</v>
      </c>
      <c r="T830" s="20" t="s">
        <v>74</v>
      </c>
      <c r="U830" s="47" t="n">
        <v>1</v>
      </c>
      <c r="V830" s="70" t="s">
        <v>90</v>
      </c>
      <c r="W830" s="47" t="n">
        <v>2</v>
      </c>
    </row>
    <row r="831" customFormat="false" ht="35.05" hidden="false" customHeight="false" outlineLevel="0" collapsed="false">
      <c r="A831" s="70" t="n">
        <v>811</v>
      </c>
      <c r="B831" s="20" t="s">
        <v>1024</v>
      </c>
      <c r="C831" s="20" t="s">
        <v>958</v>
      </c>
      <c r="D831" s="20" t="s">
        <v>964</v>
      </c>
      <c r="E831" s="20" t="s">
        <v>1327</v>
      </c>
      <c r="F831" s="70" t="s">
        <v>89</v>
      </c>
      <c r="G831" s="20" t="s">
        <v>1338</v>
      </c>
      <c r="H831" s="49" t="n">
        <v>5</v>
      </c>
      <c r="I831" s="70" t="s">
        <v>976</v>
      </c>
      <c r="J831" s="70" t="s">
        <v>977</v>
      </c>
      <c r="K831" s="73" t="n">
        <v>6.38</v>
      </c>
      <c r="L831" s="49" t="n">
        <v>20</v>
      </c>
      <c r="M831" s="67" t="n">
        <v>1</v>
      </c>
      <c r="N831" s="68" t="n">
        <f aca="false">K831*L831*M831</f>
        <v>127.6</v>
      </c>
      <c r="O831" s="34" t="n">
        <f aca="false">IFERROR(INDEX(Исходные!$B$18:$B$30,MATCH(H831,Исходные!$A$18:$A$30,0)),0)</f>
        <v>0.154</v>
      </c>
      <c r="P831" s="74" t="n">
        <f aca="false">N831*O831</f>
        <v>19.6504</v>
      </c>
      <c r="Q831" s="20" t="s">
        <v>1339</v>
      </c>
      <c r="R831" s="76" t="s">
        <v>392</v>
      </c>
      <c r="S831" s="20" t="s">
        <v>1340</v>
      </c>
      <c r="T831" s="20" t="s">
        <v>74</v>
      </c>
      <c r="U831" s="47" t="n">
        <v>1</v>
      </c>
      <c r="V831" s="70" t="s">
        <v>90</v>
      </c>
      <c r="W831" s="47" t="n">
        <v>2</v>
      </c>
    </row>
    <row r="832" customFormat="false" ht="35.05" hidden="false" customHeight="false" outlineLevel="0" collapsed="false">
      <c r="A832" s="70" t="n">
        <v>812</v>
      </c>
      <c r="B832" s="20" t="s">
        <v>1024</v>
      </c>
      <c r="C832" s="20" t="s">
        <v>958</v>
      </c>
      <c r="D832" s="20" t="s">
        <v>959</v>
      </c>
      <c r="E832" s="20" t="s">
        <v>1341</v>
      </c>
      <c r="F832" s="70" t="s">
        <v>366</v>
      </c>
      <c r="G832" s="20" t="s">
        <v>1342</v>
      </c>
      <c r="H832" s="49" t="n">
        <v>18</v>
      </c>
      <c r="I832" s="70" t="s">
        <v>368</v>
      </c>
      <c r="J832" s="70" t="n">
        <v>150</v>
      </c>
      <c r="K832" s="73" t="n">
        <v>1</v>
      </c>
      <c r="L832" s="49" t="n">
        <v>18</v>
      </c>
      <c r="M832" s="67" t="n">
        <v>6.109</v>
      </c>
      <c r="N832" s="68" t="n">
        <f aca="false">K832*L832*M832</f>
        <v>109.962</v>
      </c>
      <c r="O832" s="34" t="n">
        <f aca="false">IFERROR(INDEX(Исходные!$B$18:$B$30,MATCH(H832,Исходные!$A$18:$A$30,0)),0)</f>
        <v>1.998</v>
      </c>
      <c r="P832" s="74" t="n">
        <f aca="false">N832*O832</f>
        <v>219.704076</v>
      </c>
      <c r="Q832" s="20" t="s">
        <v>1329</v>
      </c>
      <c r="R832" s="76" t="s">
        <v>392</v>
      </c>
      <c r="S832" s="20" t="s">
        <v>1330</v>
      </c>
      <c r="T832" s="20" t="s">
        <v>74</v>
      </c>
      <c r="U832" s="47" t="n">
        <v>1</v>
      </c>
      <c r="V832" s="70" t="s">
        <v>91</v>
      </c>
      <c r="W832" s="47" t="n">
        <v>2</v>
      </c>
    </row>
    <row r="833" customFormat="false" ht="35.05" hidden="false" customHeight="false" outlineLevel="0" collapsed="false">
      <c r="A833" s="70" t="n">
        <v>813</v>
      </c>
      <c r="B833" s="20" t="s">
        <v>1024</v>
      </c>
      <c r="C833" s="20" t="s">
        <v>958</v>
      </c>
      <c r="D833" s="20" t="s">
        <v>964</v>
      </c>
      <c r="E833" s="20" t="s">
        <v>1341</v>
      </c>
      <c r="F833" s="70" t="s">
        <v>376</v>
      </c>
      <c r="G833" s="20" t="s">
        <v>1331</v>
      </c>
      <c r="H833" s="49" t="n">
        <v>10</v>
      </c>
      <c r="I833" s="70" t="s">
        <v>368</v>
      </c>
      <c r="J833" s="70" t="s">
        <v>966</v>
      </c>
      <c r="K833" s="73" t="n">
        <v>1</v>
      </c>
      <c r="L833" s="49" t="n">
        <v>60</v>
      </c>
      <c r="M833" s="67" t="n">
        <v>1.19</v>
      </c>
      <c r="N833" s="68" t="n">
        <f aca="false">K833*L833*M833</f>
        <v>71.4</v>
      </c>
      <c r="O833" s="34" t="n">
        <f aca="false">IFERROR(INDEX(Исходные!$B$18:$B$30,MATCH(H833,Исходные!$A$18:$A$30,0)),0)</f>
        <v>0.617</v>
      </c>
      <c r="P833" s="74" t="n">
        <f aca="false">N833*O833</f>
        <v>44.0538</v>
      </c>
      <c r="Q833" s="20" t="s">
        <v>1332</v>
      </c>
      <c r="R833" s="75" t="s">
        <v>371</v>
      </c>
      <c r="S833" s="20" t="s">
        <v>1333</v>
      </c>
      <c r="T833" s="20" t="s">
        <v>74</v>
      </c>
      <c r="U833" s="47" t="n">
        <v>0</v>
      </c>
      <c r="V833" s="70" t="s">
        <v>91</v>
      </c>
      <c r="W833" s="47" t="n">
        <v>2</v>
      </c>
    </row>
    <row r="834" customFormat="false" ht="35.05" hidden="false" customHeight="false" outlineLevel="0" collapsed="false">
      <c r="A834" s="70" t="n">
        <v>814</v>
      </c>
      <c r="B834" s="20" t="s">
        <v>1024</v>
      </c>
      <c r="C834" s="20" t="s">
        <v>958</v>
      </c>
      <c r="D834" s="20" t="s">
        <v>964</v>
      </c>
      <c r="E834" s="20" t="s">
        <v>1341</v>
      </c>
      <c r="F834" s="70" t="s">
        <v>432</v>
      </c>
      <c r="G834" s="20" t="s">
        <v>1334</v>
      </c>
      <c r="H834" s="49" t="n">
        <v>10</v>
      </c>
      <c r="I834" s="70" t="s">
        <v>403</v>
      </c>
      <c r="J834" s="70" t="s">
        <v>966</v>
      </c>
      <c r="K834" s="73" t="n">
        <v>1</v>
      </c>
      <c r="L834" s="49" t="n">
        <v>60</v>
      </c>
      <c r="M834" s="67" t="n">
        <v>0.52</v>
      </c>
      <c r="N834" s="68" t="n">
        <f aca="false">K834*L834*M834</f>
        <v>31.2</v>
      </c>
      <c r="O834" s="34" t="n">
        <f aca="false">IFERROR(INDEX(Исходные!$B$18:$B$30,MATCH(H834,Исходные!$A$18:$A$30,0)),0)</f>
        <v>0.617</v>
      </c>
      <c r="P834" s="74" t="n">
        <f aca="false">N834*O834</f>
        <v>19.2504</v>
      </c>
      <c r="Q834" s="20" t="s">
        <v>1335</v>
      </c>
      <c r="R834" s="75" t="s">
        <v>371</v>
      </c>
      <c r="S834" s="20"/>
      <c r="T834" s="20" t="s">
        <v>74</v>
      </c>
      <c r="U834" s="47" t="n">
        <v>0</v>
      </c>
      <c r="V834" s="70" t="s">
        <v>91</v>
      </c>
      <c r="W834" s="47" t="n">
        <v>2</v>
      </c>
    </row>
    <row r="835" customFormat="false" ht="35.05" hidden="false" customHeight="false" outlineLevel="0" collapsed="false">
      <c r="A835" s="70" t="n">
        <v>815</v>
      </c>
      <c r="B835" s="20" t="s">
        <v>1024</v>
      </c>
      <c r="C835" s="20" t="s">
        <v>958</v>
      </c>
      <c r="D835" s="20" t="s">
        <v>964</v>
      </c>
      <c r="E835" s="20" t="s">
        <v>1341</v>
      </c>
      <c r="F835" s="70" t="s">
        <v>379</v>
      </c>
      <c r="G835" s="20" t="s">
        <v>996</v>
      </c>
      <c r="H835" s="49" t="n">
        <v>6</v>
      </c>
      <c r="I835" s="70" t="s">
        <v>403</v>
      </c>
      <c r="J835" s="70" t="s">
        <v>972</v>
      </c>
      <c r="K835" s="73" t="n">
        <v>1</v>
      </c>
      <c r="L835" s="49" t="n">
        <v>38</v>
      </c>
      <c r="M835" s="67" t="n">
        <v>0.28</v>
      </c>
      <c r="N835" s="68" t="n">
        <f aca="false">K835*L835*M835</f>
        <v>10.64</v>
      </c>
      <c r="O835" s="34" t="n">
        <f aca="false">IFERROR(INDEX(Исходные!$B$18:$B$30,MATCH(H835,Исходные!$A$18:$A$30,0)),0)</f>
        <v>0.222</v>
      </c>
      <c r="P835" s="74" t="n">
        <f aca="false">N835*O835</f>
        <v>2.36208</v>
      </c>
      <c r="Q835" s="20" t="s">
        <v>1336</v>
      </c>
      <c r="R835" s="76" t="s">
        <v>495</v>
      </c>
      <c r="S835" s="20" t="s">
        <v>1337</v>
      </c>
      <c r="T835" s="20" t="s">
        <v>74</v>
      </c>
      <c r="U835" s="47" t="n">
        <v>1</v>
      </c>
      <c r="V835" s="70" t="s">
        <v>91</v>
      </c>
      <c r="W835" s="47" t="n">
        <v>2</v>
      </c>
    </row>
    <row r="836" customFormat="false" ht="35.05" hidden="false" customHeight="false" outlineLevel="0" collapsed="false">
      <c r="A836" s="70" t="n">
        <v>816</v>
      </c>
      <c r="B836" s="20" t="s">
        <v>1024</v>
      </c>
      <c r="C836" s="20" t="s">
        <v>958</v>
      </c>
      <c r="D836" s="20" t="s">
        <v>964</v>
      </c>
      <c r="E836" s="20" t="s">
        <v>1341</v>
      </c>
      <c r="F836" s="70" t="s">
        <v>89</v>
      </c>
      <c r="G836" s="20" t="s">
        <v>1338</v>
      </c>
      <c r="H836" s="49" t="n">
        <v>5</v>
      </c>
      <c r="I836" s="70" t="s">
        <v>976</v>
      </c>
      <c r="J836" s="70" t="s">
        <v>977</v>
      </c>
      <c r="K836" s="73" t="n">
        <v>6.38</v>
      </c>
      <c r="L836" s="49" t="n">
        <v>20</v>
      </c>
      <c r="M836" s="67" t="n">
        <v>1</v>
      </c>
      <c r="N836" s="68" t="n">
        <f aca="false">K836*L836*M836</f>
        <v>127.6</v>
      </c>
      <c r="O836" s="34" t="n">
        <f aca="false">IFERROR(INDEX(Исходные!$B$18:$B$30,MATCH(H836,Исходные!$A$18:$A$30,0)),0)</f>
        <v>0.154</v>
      </c>
      <c r="P836" s="74" t="n">
        <f aca="false">N836*O836</f>
        <v>19.6504</v>
      </c>
      <c r="Q836" s="20" t="s">
        <v>1339</v>
      </c>
      <c r="R836" s="76" t="s">
        <v>392</v>
      </c>
      <c r="S836" s="20" t="s">
        <v>1340</v>
      </c>
      <c r="T836" s="20" t="s">
        <v>74</v>
      </c>
      <c r="U836" s="47" t="n">
        <v>1</v>
      </c>
      <c r="V836" s="70" t="s">
        <v>91</v>
      </c>
      <c r="W836" s="47" t="n">
        <v>2</v>
      </c>
    </row>
    <row r="837" customFormat="false" ht="35.05" hidden="false" customHeight="false" outlineLevel="0" collapsed="false">
      <c r="A837" s="70" t="n">
        <v>817</v>
      </c>
      <c r="B837" s="20" t="s">
        <v>1024</v>
      </c>
      <c r="C837" s="20" t="s">
        <v>958</v>
      </c>
      <c r="D837" s="20" t="s">
        <v>1343</v>
      </c>
      <c r="E837" s="20" t="s">
        <v>1344</v>
      </c>
      <c r="F837" s="70" t="s">
        <v>376</v>
      </c>
      <c r="G837" s="20" t="s">
        <v>1345</v>
      </c>
      <c r="H837" s="49" t="n">
        <v>10</v>
      </c>
      <c r="I837" s="70" t="s">
        <v>368</v>
      </c>
      <c r="J837" s="70" t="n">
        <v>100</v>
      </c>
      <c r="K837" s="73" t="n">
        <v>2</v>
      </c>
      <c r="L837" s="49" t="n">
        <v>28</v>
      </c>
      <c r="M837" s="67" t="n">
        <v>1.19</v>
      </c>
      <c r="N837" s="68" t="n">
        <f aca="false">K837*L837*M837</f>
        <v>66.64</v>
      </c>
      <c r="O837" s="34" t="n">
        <f aca="false">IFERROR(INDEX(Исходные!$B$18:$B$30,MATCH(H837,Исходные!$A$18:$A$30,0)),0)</f>
        <v>0.617</v>
      </c>
      <c r="P837" s="74" t="n">
        <f aca="false">N837*O837</f>
        <v>41.11688</v>
      </c>
      <c r="Q837" s="20" t="s">
        <v>1346</v>
      </c>
      <c r="R837" s="75" t="s">
        <v>371</v>
      </c>
      <c r="S837" s="20"/>
      <c r="T837" s="20" t="s">
        <v>74</v>
      </c>
      <c r="U837" s="47" t="n">
        <v>0</v>
      </c>
      <c r="V837" s="70" t="s">
        <v>991</v>
      </c>
      <c r="W837" s="47" t="n">
        <v>2</v>
      </c>
    </row>
    <row r="838" customFormat="false" ht="35.05" hidden="false" customHeight="false" outlineLevel="0" collapsed="false">
      <c r="A838" s="70" t="n">
        <v>818</v>
      </c>
      <c r="B838" s="20" t="s">
        <v>1024</v>
      </c>
      <c r="C838" s="20" t="s">
        <v>958</v>
      </c>
      <c r="D838" s="20" t="s">
        <v>1343</v>
      </c>
      <c r="E838" s="20" t="s">
        <v>1344</v>
      </c>
      <c r="F838" s="70" t="s">
        <v>432</v>
      </c>
      <c r="G838" s="20" t="s">
        <v>1347</v>
      </c>
      <c r="H838" s="49" t="n">
        <v>10</v>
      </c>
      <c r="I838" s="70" t="s">
        <v>403</v>
      </c>
      <c r="J838" s="70" t="n">
        <v>100</v>
      </c>
      <c r="K838" s="73" t="n">
        <v>2</v>
      </c>
      <c r="L838" s="49" t="n">
        <v>28</v>
      </c>
      <c r="M838" s="67" t="n">
        <v>0.52</v>
      </c>
      <c r="N838" s="68" t="n">
        <f aca="false">K838*L838*M838</f>
        <v>29.12</v>
      </c>
      <c r="O838" s="34" t="n">
        <f aca="false">IFERROR(INDEX(Исходные!$B$18:$B$30,MATCH(H838,Исходные!$A$18:$A$30,0)),0)</f>
        <v>0.617</v>
      </c>
      <c r="P838" s="74" t="n">
        <f aca="false">N838*O838</f>
        <v>17.96704</v>
      </c>
      <c r="Q838" s="20" t="s">
        <v>993</v>
      </c>
      <c r="R838" s="75" t="s">
        <v>371</v>
      </c>
      <c r="S838" s="20"/>
      <c r="T838" s="20" t="s">
        <v>74</v>
      </c>
      <c r="U838" s="47" t="n">
        <v>0</v>
      </c>
      <c r="V838" s="70" t="s">
        <v>991</v>
      </c>
      <c r="W838" s="47" t="n">
        <v>2</v>
      </c>
    </row>
    <row r="839" customFormat="false" ht="35.05" hidden="false" customHeight="false" outlineLevel="0" collapsed="false">
      <c r="A839" s="70" t="n">
        <v>819</v>
      </c>
      <c r="B839" s="20" t="s">
        <v>1024</v>
      </c>
      <c r="C839" s="20" t="s">
        <v>958</v>
      </c>
      <c r="D839" s="20" t="s">
        <v>1343</v>
      </c>
      <c r="E839" s="20" t="s">
        <v>1344</v>
      </c>
      <c r="F839" s="70" t="s">
        <v>373</v>
      </c>
      <c r="G839" s="20" t="s">
        <v>1348</v>
      </c>
      <c r="H839" s="49" t="n">
        <v>10</v>
      </c>
      <c r="I839" s="70" t="s">
        <v>368</v>
      </c>
      <c r="J839" s="70" t="n">
        <v>100</v>
      </c>
      <c r="K839" s="73" t="n">
        <v>1</v>
      </c>
      <c r="L839" s="49" t="n">
        <v>28</v>
      </c>
      <c r="M839" s="67" t="n">
        <v>0.6</v>
      </c>
      <c r="N839" s="68" t="n">
        <f aca="false">K839*L839*M839</f>
        <v>16.8</v>
      </c>
      <c r="O839" s="34" t="n">
        <f aca="false">IFERROR(INDEX(Исходные!$B$18:$B$30,MATCH(H839,Исходные!$A$18:$A$30,0)),0)</f>
        <v>0.617</v>
      </c>
      <c r="P839" s="74" t="n">
        <f aca="false">N839*O839</f>
        <v>10.3656</v>
      </c>
      <c r="Q839" s="20" t="s">
        <v>1349</v>
      </c>
      <c r="R839" s="75" t="s">
        <v>371</v>
      </c>
      <c r="S839" s="20"/>
      <c r="T839" s="20" t="s">
        <v>74</v>
      </c>
      <c r="U839" s="47" t="n">
        <v>0</v>
      </c>
      <c r="V839" s="70" t="s">
        <v>991</v>
      </c>
      <c r="W839" s="47" t="n">
        <v>2</v>
      </c>
    </row>
    <row r="840" customFormat="false" ht="35.05" hidden="false" customHeight="false" outlineLevel="0" collapsed="false">
      <c r="A840" s="70" t="n">
        <v>820</v>
      </c>
      <c r="B840" s="20" t="s">
        <v>1024</v>
      </c>
      <c r="C840" s="20" t="s">
        <v>958</v>
      </c>
      <c r="D840" s="20" t="s">
        <v>1343</v>
      </c>
      <c r="E840" s="20" t="s">
        <v>1344</v>
      </c>
      <c r="F840" s="70" t="s">
        <v>379</v>
      </c>
      <c r="G840" s="20" t="s">
        <v>1350</v>
      </c>
      <c r="H840" s="49" t="n">
        <v>6</v>
      </c>
      <c r="I840" s="70" t="s">
        <v>403</v>
      </c>
      <c r="J840" s="70" t="s">
        <v>972</v>
      </c>
      <c r="K840" s="73" t="n">
        <v>1</v>
      </c>
      <c r="L840" s="49" t="n">
        <v>28</v>
      </c>
      <c r="M840" s="67" t="n">
        <v>0.28</v>
      </c>
      <c r="N840" s="68" t="n">
        <f aca="false">K840*L840*M840</f>
        <v>7.84</v>
      </c>
      <c r="O840" s="34" t="n">
        <f aca="false">IFERROR(INDEX(Исходные!$B$18:$B$30,MATCH(H840,Исходные!$A$18:$A$30,0)),0)</f>
        <v>0.222</v>
      </c>
      <c r="P840" s="74" t="n">
        <f aca="false">N840*O840</f>
        <v>1.74048</v>
      </c>
      <c r="Q840" s="20" t="s">
        <v>997</v>
      </c>
      <c r="R840" s="76" t="s">
        <v>495</v>
      </c>
      <c r="S840" s="20"/>
      <c r="T840" s="20" t="s">
        <v>74</v>
      </c>
      <c r="U840" s="47" t="n">
        <v>1</v>
      </c>
      <c r="V840" s="70" t="s">
        <v>991</v>
      </c>
      <c r="W840" s="47" t="n">
        <v>2</v>
      </c>
    </row>
    <row r="841" customFormat="false" ht="35.05" hidden="false" customHeight="false" outlineLevel="0" collapsed="false">
      <c r="A841" s="70" t="n">
        <v>821</v>
      </c>
      <c r="B841" s="20" t="s">
        <v>1024</v>
      </c>
      <c r="C841" s="20" t="s">
        <v>958</v>
      </c>
      <c r="D841" s="20" t="s">
        <v>1343</v>
      </c>
      <c r="E841" s="20" t="s">
        <v>1344</v>
      </c>
      <c r="F841" s="70" t="s">
        <v>999</v>
      </c>
      <c r="G841" s="20" t="s">
        <v>1351</v>
      </c>
      <c r="H841" s="49" t="n">
        <v>10</v>
      </c>
      <c r="I841" s="70" t="s">
        <v>368</v>
      </c>
      <c r="J841" s="70" t="s">
        <v>369</v>
      </c>
      <c r="K841" s="73" t="n">
        <v>2</v>
      </c>
      <c r="L841" s="49" t="n">
        <v>4</v>
      </c>
      <c r="M841" s="67" t="n">
        <v>0.48</v>
      </c>
      <c r="N841" s="68" t="n">
        <f aca="false">K841*L841*M841</f>
        <v>3.84</v>
      </c>
      <c r="O841" s="34" t="n">
        <f aca="false">IFERROR(INDEX(Исходные!$B$18:$B$30,MATCH(H841,Исходные!$A$18:$A$30,0)),0)</f>
        <v>0.617</v>
      </c>
      <c r="P841" s="74" t="n">
        <f aca="false">N841*O841</f>
        <v>2.36928</v>
      </c>
      <c r="Q841" s="20" t="s">
        <v>1352</v>
      </c>
      <c r="R841" s="76" t="s">
        <v>495</v>
      </c>
      <c r="S841" s="20"/>
      <c r="T841" s="20" t="s">
        <v>74</v>
      </c>
      <c r="U841" s="47" t="n">
        <v>1</v>
      </c>
      <c r="V841" s="70" t="s">
        <v>991</v>
      </c>
      <c r="W841" s="47" t="n">
        <v>2</v>
      </c>
    </row>
    <row r="842" customFormat="false" ht="35.05" hidden="false" customHeight="false" outlineLevel="0" collapsed="false">
      <c r="A842" s="70" t="n">
        <v>822</v>
      </c>
      <c r="B842" s="20" t="s">
        <v>1024</v>
      </c>
      <c r="C842" s="20" t="s">
        <v>958</v>
      </c>
      <c r="D842" s="20" t="s">
        <v>1003</v>
      </c>
      <c r="E842" s="20" t="s">
        <v>168</v>
      </c>
      <c r="F842" s="70" t="s">
        <v>366</v>
      </c>
      <c r="G842" s="20" t="s">
        <v>1004</v>
      </c>
      <c r="H842" s="49" t="n">
        <v>25</v>
      </c>
      <c r="I842" s="70" t="s">
        <v>368</v>
      </c>
      <c r="J842" s="70" t="s">
        <v>369</v>
      </c>
      <c r="K842" s="73" t="n">
        <v>1</v>
      </c>
      <c r="L842" s="49" t="n">
        <v>4</v>
      </c>
      <c r="M842" s="67" t="n">
        <v>3.065</v>
      </c>
      <c r="N842" s="68" t="n">
        <f aca="false">K842*L842*M842</f>
        <v>12.26</v>
      </c>
      <c r="O842" s="34" t="n">
        <f aca="false">IFERROR(INDEX(Исходные!$B$18:$B$30,MATCH(H842,Исходные!$A$18:$A$30,0)),0)</f>
        <v>3.853</v>
      </c>
      <c r="P842" s="74" t="n">
        <f aca="false">N842*O842</f>
        <v>47.23778</v>
      </c>
      <c r="Q842" s="20" t="s">
        <v>1353</v>
      </c>
      <c r="R842" s="76" t="s">
        <v>392</v>
      </c>
      <c r="S842" s="20"/>
      <c r="T842" s="20" t="s">
        <v>74</v>
      </c>
      <c r="U842" s="47" t="n">
        <v>1</v>
      </c>
      <c r="V842" s="70" t="s">
        <v>1007</v>
      </c>
      <c r="W842" s="47" t="n">
        <v>2</v>
      </c>
    </row>
    <row r="843" customFormat="false" ht="35.05" hidden="false" customHeight="false" outlineLevel="0" collapsed="false">
      <c r="A843" s="70" t="n">
        <v>823</v>
      </c>
      <c r="B843" s="20" t="s">
        <v>1024</v>
      </c>
      <c r="C843" s="20" t="s">
        <v>958</v>
      </c>
      <c r="D843" s="20" t="s">
        <v>1003</v>
      </c>
      <c r="E843" s="20" t="s">
        <v>168</v>
      </c>
      <c r="F843" s="70" t="s">
        <v>366</v>
      </c>
      <c r="G843" s="20" t="s">
        <v>1354</v>
      </c>
      <c r="H843" s="49" t="n">
        <v>25</v>
      </c>
      <c r="I843" s="70" t="s">
        <v>368</v>
      </c>
      <c r="J843" s="70" t="s">
        <v>369</v>
      </c>
      <c r="K843" s="73" t="n">
        <v>1</v>
      </c>
      <c r="L843" s="49" t="n">
        <v>4</v>
      </c>
      <c r="M843" s="67" t="n">
        <v>2.21</v>
      </c>
      <c r="N843" s="68" t="n">
        <f aca="false">K843*L843*M843</f>
        <v>8.84</v>
      </c>
      <c r="O843" s="34" t="n">
        <f aca="false">IFERROR(INDEX(Исходные!$B$18:$B$30,MATCH(H843,Исходные!$A$18:$A$30,0)),0)</f>
        <v>3.853</v>
      </c>
      <c r="P843" s="74" t="n">
        <f aca="false">N843*O843</f>
        <v>34.06052</v>
      </c>
      <c r="Q843" s="20" t="s">
        <v>1355</v>
      </c>
      <c r="R843" s="76" t="s">
        <v>392</v>
      </c>
      <c r="S843" s="20" t="s">
        <v>1356</v>
      </c>
      <c r="T843" s="20" t="s">
        <v>74</v>
      </c>
      <c r="U843" s="47" t="n">
        <v>1</v>
      </c>
      <c r="V843" s="70" t="s">
        <v>1007</v>
      </c>
      <c r="W843" s="47" t="n">
        <v>2</v>
      </c>
    </row>
    <row r="844" customFormat="false" ht="35.05" hidden="false" customHeight="false" outlineLevel="0" collapsed="false">
      <c r="A844" s="70" t="n">
        <v>824</v>
      </c>
      <c r="B844" s="20" t="s">
        <v>1024</v>
      </c>
      <c r="C844" s="20" t="s">
        <v>958</v>
      </c>
      <c r="D844" s="20" t="s">
        <v>1011</v>
      </c>
      <c r="E844" s="20" t="s">
        <v>168</v>
      </c>
      <c r="F844" s="70" t="s">
        <v>1012</v>
      </c>
      <c r="G844" s="20" t="s">
        <v>1357</v>
      </c>
      <c r="H844" s="49" t="n">
        <v>8</v>
      </c>
      <c r="I844" s="70" t="s">
        <v>403</v>
      </c>
      <c r="J844" s="70" t="n">
        <v>100</v>
      </c>
      <c r="K844" s="73" t="n">
        <v>1</v>
      </c>
      <c r="L844" s="49" t="n">
        <v>14</v>
      </c>
      <c r="M844" s="67" t="n">
        <v>1.28</v>
      </c>
      <c r="N844" s="68" t="n">
        <f aca="false">K844*L844*M844</f>
        <v>17.92</v>
      </c>
      <c r="O844" s="34" t="n">
        <f aca="false">IFERROR(INDEX(Исходные!$B$18:$B$30,MATCH(H844,Исходные!$A$18:$A$30,0)),0)</f>
        <v>0.395</v>
      </c>
      <c r="P844" s="74" t="n">
        <f aca="false">N844*O844</f>
        <v>7.0784</v>
      </c>
      <c r="Q844" s="20" t="s">
        <v>1358</v>
      </c>
      <c r="R844" s="75" t="s">
        <v>371</v>
      </c>
      <c r="S844" s="20"/>
      <c r="T844" s="20" t="s">
        <v>74</v>
      </c>
      <c r="U844" s="47" t="n">
        <v>0</v>
      </c>
      <c r="V844" s="70" t="s">
        <v>1007</v>
      </c>
      <c r="W844" s="47" t="n">
        <v>2</v>
      </c>
    </row>
    <row r="845" customFormat="false" ht="35.05" hidden="false" customHeight="false" outlineLevel="0" collapsed="false">
      <c r="A845" s="70" t="n">
        <v>825</v>
      </c>
      <c r="B845" s="20" t="s">
        <v>1024</v>
      </c>
      <c r="C845" s="20" t="s">
        <v>958</v>
      </c>
      <c r="D845" s="20" t="s">
        <v>1011</v>
      </c>
      <c r="E845" s="20" t="s">
        <v>168</v>
      </c>
      <c r="F845" s="70" t="s">
        <v>1015</v>
      </c>
      <c r="G845" s="20" t="s">
        <v>1359</v>
      </c>
      <c r="H845" s="49" t="n">
        <v>8</v>
      </c>
      <c r="I845" s="70" t="s">
        <v>403</v>
      </c>
      <c r="J845" s="70" t="n">
        <v>100</v>
      </c>
      <c r="K845" s="73" t="n">
        <v>1</v>
      </c>
      <c r="L845" s="49" t="n">
        <v>22</v>
      </c>
      <c r="M845" s="67" t="n">
        <v>1.16</v>
      </c>
      <c r="N845" s="68" t="n">
        <f aca="false">K845*L845*M845</f>
        <v>25.52</v>
      </c>
      <c r="O845" s="34" t="n">
        <f aca="false">IFERROR(INDEX(Исходные!$B$18:$B$30,MATCH(H845,Исходные!$A$18:$A$30,0)),0)</f>
        <v>0.395</v>
      </c>
      <c r="P845" s="74" t="n">
        <f aca="false">N845*O845</f>
        <v>10.0804</v>
      </c>
      <c r="Q845" s="20" t="s">
        <v>1360</v>
      </c>
      <c r="R845" s="75" t="s">
        <v>371</v>
      </c>
      <c r="S845" s="20"/>
      <c r="T845" s="20" t="s">
        <v>74</v>
      </c>
      <c r="U845" s="47" t="n">
        <v>0</v>
      </c>
      <c r="V845" s="70" t="s">
        <v>1007</v>
      </c>
      <c r="W845" s="47" t="n">
        <v>2</v>
      </c>
    </row>
    <row r="846" customFormat="false" ht="35.05" hidden="false" customHeight="false" outlineLevel="0" collapsed="false">
      <c r="A846" s="70" t="n">
        <v>826</v>
      </c>
      <c r="B846" s="20" t="s">
        <v>1024</v>
      </c>
      <c r="C846" s="20" t="s">
        <v>958</v>
      </c>
      <c r="D846" s="20" t="s">
        <v>1011</v>
      </c>
      <c r="E846" s="20" t="s">
        <v>168</v>
      </c>
      <c r="F846" s="70" t="s">
        <v>1018</v>
      </c>
      <c r="G846" s="20" t="s">
        <v>1361</v>
      </c>
      <c r="H846" s="49" t="n">
        <v>16</v>
      </c>
      <c r="I846" s="70" t="s">
        <v>403</v>
      </c>
      <c r="J846" s="70" t="s">
        <v>369</v>
      </c>
      <c r="K846" s="73" t="n">
        <v>1</v>
      </c>
      <c r="L846" s="49" t="n">
        <v>2</v>
      </c>
      <c r="M846" s="67" t="n">
        <v>0.42</v>
      </c>
      <c r="N846" s="68" t="n">
        <f aca="false">K846*L846*M846</f>
        <v>0.84</v>
      </c>
      <c r="O846" s="34" t="n">
        <f aca="false">IFERROR(INDEX(Исходные!$B$18:$B$30,MATCH(H846,Исходные!$A$18:$A$30,0)),0)</f>
        <v>1.578</v>
      </c>
      <c r="P846" s="74" t="n">
        <f aca="false">N846*O846</f>
        <v>1.32552</v>
      </c>
      <c r="Q846" s="20" t="s">
        <v>1362</v>
      </c>
      <c r="R846" s="76" t="s">
        <v>495</v>
      </c>
      <c r="S846" s="20"/>
      <c r="T846" s="20" t="s">
        <v>74</v>
      </c>
      <c r="U846" s="47" t="n">
        <v>1</v>
      </c>
      <c r="V846" s="70" t="s">
        <v>1007</v>
      </c>
      <c r="W846" s="47" t="n">
        <v>2</v>
      </c>
    </row>
    <row r="847" customFormat="false" ht="15" hidden="false" customHeight="false" outlineLevel="0" collapsed="false">
      <c r="G847" s="4" t="s">
        <v>1363</v>
      </c>
      <c r="N847" s="78" t="n">
        <f aca="false">SUMIFS(N5:N846,W5:W846,1)</f>
        <v>30190.61</v>
      </c>
      <c r="P847" s="78" t="n">
        <f aca="false">SUMIFS(P5:P846,W5:W846,1)</f>
        <v>32591.57317</v>
      </c>
    </row>
    <row r="848" customFormat="false" ht="15" hidden="false" customHeight="false" outlineLevel="0" collapsed="false">
      <c r="G848" s="4" t="s">
        <v>1364</v>
      </c>
      <c r="N848" s="78" t="n">
        <f aca="false">SUMIFS(N5:N846,W5:W846,2)</f>
        <v>29659.274</v>
      </c>
      <c r="P848" s="78" t="n">
        <f aca="false">SUMIFS(P5:P846,W5:W846,2)</f>
        <v>29955.042322</v>
      </c>
    </row>
    <row r="849" customFormat="false" ht="15" hidden="false" customHeight="false" outlineLevel="0" collapsed="false">
      <c r="G849" s="4" t="s">
        <v>1365</v>
      </c>
      <c r="N849" s="78" t="n">
        <f aca="false">SUM(N5:N846)</f>
        <v>59849.884</v>
      </c>
      <c r="P849" s="78" t="n">
        <f aca="false">SUM(P5:P846)</f>
        <v>62546.615492</v>
      </c>
    </row>
  </sheetData>
  <autoFilter ref="A4:W846"/>
  <mergeCells count="16">
    <mergeCell ref="A5:W5"/>
    <mergeCell ref="A6:W6"/>
    <mergeCell ref="A88:W88"/>
    <mergeCell ref="A105:W105"/>
    <mergeCell ref="A273:W273"/>
    <mergeCell ref="A361:W361"/>
    <mergeCell ref="A395:W395"/>
    <mergeCell ref="A397:W397"/>
    <mergeCell ref="A418:W418"/>
    <mergeCell ref="A419:W419"/>
    <mergeCell ref="A504:W504"/>
    <mergeCell ref="A521:W521"/>
    <mergeCell ref="A699:W699"/>
    <mergeCell ref="A789:W789"/>
    <mergeCell ref="A824:W824"/>
    <mergeCell ref="A826:W8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52" t="s">
        <v>1366</v>
      </c>
    </row>
    <row r="2" customFormat="false" ht="15" hidden="false" customHeight="false" outlineLevel="0" collapsed="false">
      <c r="A2" s="28" t="s">
        <v>1367</v>
      </c>
    </row>
    <row r="4" customFormat="false" ht="42" hidden="false" customHeight="true" outlineLevel="0" collapsed="false">
      <c r="A4" s="5" t="s">
        <v>1368</v>
      </c>
      <c r="B4" s="5" t="s">
        <v>346</v>
      </c>
      <c r="C4" s="5" t="s">
        <v>347</v>
      </c>
      <c r="D4" s="5" t="s">
        <v>1369</v>
      </c>
      <c r="E4" s="5" t="s">
        <v>1370</v>
      </c>
      <c r="F4" s="5" t="s">
        <v>1371</v>
      </c>
      <c r="G4" s="5" t="s">
        <v>1372</v>
      </c>
      <c r="H4" s="5" t="s">
        <v>1371</v>
      </c>
      <c r="I4" s="5" t="s">
        <v>1373</v>
      </c>
      <c r="J4" s="5" t="s">
        <v>1371</v>
      </c>
      <c r="K4" s="5" t="s">
        <v>1374</v>
      </c>
      <c r="L4" s="5" t="s">
        <v>1371</v>
      </c>
      <c r="M4" s="5" t="s">
        <v>1375</v>
      </c>
      <c r="N4" s="5" t="s">
        <v>1376</v>
      </c>
      <c r="O4" s="5" t="s">
        <v>1377</v>
      </c>
      <c r="P4" s="5" t="s">
        <v>1378</v>
      </c>
      <c r="Q4" s="5" t="s">
        <v>1379</v>
      </c>
      <c r="R4" s="5" t="s">
        <v>1380</v>
      </c>
    </row>
    <row r="5" customFormat="false" ht="15" hidden="false" customHeight="false" outlineLevel="0" collapsed="false">
      <c r="A5" s="47" t="n">
        <v>1</v>
      </c>
      <c r="B5" s="47" t="n">
        <v>32</v>
      </c>
      <c r="C5" s="70" t="s">
        <v>368</v>
      </c>
      <c r="D5" s="47" t="n">
        <v>1</v>
      </c>
      <c r="E5" s="67" t="n">
        <v>4</v>
      </c>
      <c r="F5" s="49" t="n">
        <v>2</v>
      </c>
      <c r="G5" s="67" t="n">
        <v>3.7</v>
      </c>
      <c r="H5" s="49" t="n">
        <v>1</v>
      </c>
      <c r="I5" s="20"/>
      <c r="J5" s="20"/>
      <c r="K5" s="20"/>
      <c r="L5" s="20"/>
      <c r="M5" s="34" t="n">
        <f aca="false">E5*F5+G5*H5+I5*J5+K5*L5</f>
        <v>11.7</v>
      </c>
      <c r="N5" s="34" t="n">
        <f aca="false">Исходные!$B$12-M5</f>
        <v>0</v>
      </c>
      <c r="O5" s="49" t="n">
        <v>6</v>
      </c>
      <c r="P5" s="47" t="n">
        <f aca="false">(F5+H5+J5+L5)*O5</f>
        <v>18</v>
      </c>
      <c r="Q5" s="68" t="n">
        <f aca="false">M5*O5</f>
        <v>70.2</v>
      </c>
      <c r="R5" s="68" t="n">
        <f aca="false">N5*O5</f>
        <v>0</v>
      </c>
    </row>
    <row r="6" customFormat="false" ht="15" hidden="false" customHeight="false" outlineLevel="0" collapsed="false">
      <c r="A6" s="47" t="n">
        <v>1</v>
      </c>
      <c r="B6" s="47" t="n">
        <v>32</v>
      </c>
      <c r="C6" s="70" t="s">
        <v>368</v>
      </c>
      <c r="D6" s="47" t="n">
        <v>2</v>
      </c>
      <c r="E6" s="67" t="n">
        <v>4</v>
      </c>
      <c r="F6" s="49" t="n">
        <v>2</v>
      </c>
      <c r="G6" s="67" t="n">
        <v>3.6</v>
      </c>
      <c r="H6" s="49" t="n">
        <v>1</v>
      </c>
      <c r="I6" s="20"/>
      <c r="J6" s="20"/>
      <c r="K6" s="20"/>
      <c r="L6" s="20"/>
      <c r="M6" s="34" t="n">
        <f aca="false">E6*F6+G6*H6+I6*J6+K6*L6</f>
        <v>11.6</v>
      </c>
      <c r="N6" s="34" t="n">
        <f aca="false">Исходные!$B$12-M6</f>
        <v>0.0999999999999996</v>
      </c>
      <c r="O6" s="49" t="n">
        <v>2</v>
      </c>
      <c r="P6" s="47" t="n">
        <f aca="false">(F6+H6+J6+L6)*O6</f>
        <v>6</v>
      </c>
      <c r="Q6" s="68" t="n">
        <f aca="false">M6*O6</f>
        <v>23.2</v>
      </c>
      <c r="R6" s="68" t="n">
        <f aca="false">N6*O6</f>
        <v>0.199999999999999</v>
      </c>
    </row>
    <row r="7" customFormat="false" ht="15" hidden="false" customHeight="false" outlineLevel="0" collapsed="false">
      <c r="A7" s="47" t="n">
        <v>1</v>
      </c>
      <c r="B7" s="47" t="n">
        <v>32</v>
      </c>
      <c r="C7" s="70" t="s">
        <v>368</v>
      </c>
      <c r="D7" s="47" t="n">
        <v>3</v>
      </c>
      <c r="E7" s="67" t="n">
        <v>7.5</v>
      </c>
      <c r="F7" s="49" t="n">
        <v>1</v>
      </c>
      <c r="G7" s="67" t="n">
        <v>4</v>
      </c>
      <c r="H7" s="49" t="n">
        <v>1</v>
      </c>
      <c r="I7" s="20"/>
      <c r="J7" s="20"/>
      <c r="K7" s="20"/>
      <c r="L7" s="20"/>
      <c r="M7" s="34" t="n">
        <f aca="false">E7*F7+G7*H7+I7*J7+K7*L7</f>
        <v>11.5</v>
      </c>
      <c r="N7" s="34" t="n">
        <f aca="false">Исходные!$B$12-M7</f>
        <v>0.199999999999999</v>
      </c>
      <c r="O7" s="49" t="n">
        <v>2</v>
      </c>
      <c r="P7" s="47" t="n">
        <f aca="false">(F7+H7+J7+L7)*O7</f>
        <v>4</v>
      </c>
      <c r="Q7" s="68" t="n">
        <f aca="false">M7*O7</f>
        <v>23</v>
      </c>
      <c r="R7" s="68" t="n">
        <f aca="false">N7*O7</f>
        <v>0.399999999999999</v>
      </c>
    </row>
    <row r="8" customFormat="false" ht="15" hidden="false" customHeight="false" outlineLevel="0" collapsed="false">
      <c r="A8" s="47" t="n">
        <v>1</v>
      </c>
      <c r="B8" s="47" t="n">
        <v>32</v>
      </c>
      <c r="C8" s="70" t="s">
        <v>368</v>
      </c>
      <c r="D8" s="47" t="n">
        <v>4</v>
      </c>
      <c r="E8" s="67" t="n">
        <v>4.3</v>
      </c>
      <c r="F8" s="49" t="n">
        <v>2</v>
      </c>
      <c r="G8" s="67" t="n">
        <v>2.85</v>
      </c>
      <c r="H8" s="49" t="n">
        <v>1</v>
      </c>
      <c r="I8" s="20"/>
      <c r="J8" s="20"/>
      <c r="K8" s="20"/>
      <c r="L8" s="20"/>
      <c r="M8" s="34" t="n">
        <f aca="false">E8*F8+G8*H8+I8*J8+K8*L8</f>
        <v>11.45</v>
      </c>
      <c r="N8" s="34" t="n">
        <f aca="false">Исходные!$B$12-M8</f>
        <v>0.25</v>
      </c>
      <c r="O8" s="49" t="n">
        <v>1</v>
      </c>
      <c r="P8" s="47" t="n">
        <f aca="false">(F8+H8+J8+L8)*O8</f>
        <v>3</v>
      </c>
      <c r="Q8" s="68" t="n">
        <f aca="false">M8*O8</f>
        <v>11.45</v>
      </c>
      <c r="R8" s="68" t="n">
        <f aca="false">N8*O8</f>
        <v>0.25</v>
      </c>
    </row>
    <row r="9" customFormat="false" ht="15" hidden="false" customHeight="false" outlineLevel="0" collapsed="false">
      <c r="A9" s="47" t="n">
        <v>1</v>
      </c>
      <c r="B9" s="47" t="n">
        <v>32</v>
      </c>
      <c r="C9" s="70" t="s">
        <v>368</v>
      </c>
      <c r="D9" s="47" t="n">
        <v>5</v>
      </c>
      <c r="E9" s="67" t="n">
        <v>4</v>
      </c>
      <c r="F9" s="49" t="n">
        <v>2</v>
      </c>
      <c r="G9" s="67" t="n">
        <v>3.4</v>
      </c>
      <c r="H9" s="49" t="n">
        <v>1</v>
      </c>
      <c r="I9" s="20"/>
      <c r="J9" s="20"/>
      <c r="K9" s="20"/>
      <c r="L9" s="20"/>
      <c r="M9" s="34" t="n">
        <f aca="false">E9*F9+G9*H9+I9*J9+K9*L9</f>
        <v>11.4</v>
      </c>
      <c r="N9" s="34" t="n">
        <f aca="false">Исходные!$B$12-M9</f>
        <v>0.299999999999999</v>
      </c>
      <c r="O9" s="49" t="n">
        <v>2</v>
      </c>
      <c r="P9" s="47" t="n">
        <f aca="false">(F9+H9+J9+L9)*O9</f>
        <v>6</v>
      </c>
      <c r="Q9" s="68" t="n">
        <f aca="false">M9*O9</f>
        <v>22.8</v>
      </c>
      <c r="R9" s="68" t="n">
        <f aca="false">N9*O9</f>
        <v>0.599999999999998</v>
      </c>
    </row>
    <row r="10" customFormat="false" ht="15" hidden="false" customHeight="false" outlineLevel="0" collapsed="false">
      <c r="A10" s="47" t="n">
        <v>1</v>
      </c>
      <c r="B10" s="47" t="n">
        <v>32</v>
      </c>
      <c r="C10" s="70" t="s">
        <v>368</v>
      </c>
      <c r="D10" s="47" t="n">
        <v>6</v>
      </c>
      <c r="E10" s="67" t="n">
        <v>3.8</v>
      </c>
      <c r="F10" s="49" t="n">
        <v>3</v>
      </c>
      <c r="G10" s="20"/>
      <c r="H10" s="20"/>
      <c r="I10" s="20"/>
      <c r="J10" s="20"/>
      <c r="K10" s="20"/>
      <c r="L10" s="20"/>
      <c r="M10" s="34" t="n">
        <f aca="false">E10*F10+G10*H10+I10*J10+K10*L10</f>
        <v>11.4</v>
      </c>
      <c r="N10" s="34" t="n">
        <f aca="false">Исходные!$B$12-M10</f>
        <v>0.300000000000001</v>
      </c>
      <c r="O10" s="49" t="n">
        <v>1</v>
      </c>
      <c r="P10" s="47" t="n">
        <f aca="false">(F10+H10+J10+L10)*O10</f>
        <v>3</v>
      </c>
      <c r="Q10" s="68" t="n">
        <f aca="false">M10*O10</f>
        <v>11.4</v>
      </c>
      <c r="R10" s="68" t="n">
        <f aca="false">N10*O10</f>
        <v>0.300000000000001</v>
      </c>
    </row>
    <row r="11" customFormat="false" ht="15" hidden="false" customHeight="false" outlineLevel="0" collapsed="false">
      <c r="A11" s="47" t="n">
        <v>1</v>
      </c>
      <c r="B11" s="47" t="n">
        <v>32</v>
      </c>
      <c r="C11" s="70" t="s">
        <v>368</v>
      </c>
      <c r="D11" s="47" t="n">
        <v>7</v>
      </c>
      <c r="E11" s="67" t="n">
        <v>4</v>
      </c>
      <c r="F11" s="49" t="n">
        <v>2</v>
      </c>
      <c r="G11" s="67" t="n">
        <v>3.3</v>
      </c>
      <c r="H11" s="49" t="n">
        <v>1</v>
      </c>
      <c r="I11" s="20"/>
      <c r="J11" s="20"/>
      <c r="K11" s="20"/>
      <c r="L11" s="20"/>
      <c r="M11" s="34" t="n">
        <f aca="false">E11*F11+G11*H11+I11*J11+K11*L11</f>
        <v>11.3</v>
      </c>
      <c r="N11" s="34" t="n">
        <f aca="false">Исходные!$B$12-M11</f>
        <v>0.399999999999999</v>
      </c>
      <c r="O11" s="49" t="n">
        <v>2</v>
      </c>
      <c r="P11" s="47" t="n">
        <f aca="false">(F11+H11+J11+L11)*O11</f>
        <v>6</v>
      </c>
      <c r="Q11" s="68" t="n">
        <f aca="false">M11*O11</f>
        <v>22.6</v>
      </c>
      <c r="R11" s="68" t="n">
        <f aca="false">N11*O11</f>
        <v>0.799999999999997</v>
      </c>
    </row>
    <row r="12" customFormat="false" ht="15" hidden="false" customHeight="false" outlineLevel="0" collapsed="false">
      <c r="A12" s="47" t="n">
        <v>1</v>
      </c>
      <c r="B12" s="47" t="n">
        <v>32</v>
      </c>
      <c r="C12" s="70" t="s">
        <v>368</v>
      </c>
      <c r="D12" s="47" t="n">
        <v>8</v>
      </c>
      <c r="E12" s="67" t="n">
        <v>4</v>
      </c>
      <c r="F12" s="49" t="n">
        <v>2</v>
      </c>
      <c r="G12" s="67" t="n">
        <v>2.85</v>
      </c>
      <c r="H12" s="49" t="n">
        <v>1</v>
      </c>
      <c r="I12" s="20"/>
      <c r="J12" s="20"/>
      <c r="K12" s="20"/>
      <c r="L12" s="20"/>
      <c r="M12" s="34" t="n">
        <f aca="false">E12*F12+G12*H12+I12*J12+K12*L12</f>
        <v>10.85</v>
      </c>
      <c r="N12" s="34" t="n">
        <f aca="false">Исходные!$B$12-M12</f>
        <v>0.85</v>
      </c>
      <c r="O12" s="49" t="n">
        <v>3</v>
      </c>
      <c r="P12" s="47" t="n">
        <f aca="false">(F12+H12+J12+L12)*O12</f>
        <v>9</v>
      </c>
      <c r="Q12" s="68" t="n">
        <f aca="false">M12*O12</f>
        <v>32.55</v>
      </c>
      <c r="R12" s="68" t="n">
        <f aca="false">N12*O12</f>
        <v>2.55</v>
      </c>
    </row>
    <row r="13" customFormat="false" ht="15" hidden="false" customHeight="false" outlineLevel="0" collapsed="false">
      <c r="A13" s="47" t="n">
        <v>1</v>
      </c>
      <c r="B13" s="47" t="n">
        <v>32</v>
      </c>
      <c r="C13" s="70" t="s">
        <v>368</v>
      </c>
      <c r="D13" s="47" t="n">
        <v>9</v>
      </c>
      <c r="E13" s="67" t="n">
        <v>4</v>
      </c>
      <c r="F13" s="49" t="n">
        <v>2</v>
      </c>
      <c r="G13" s="67" t="n">
        <v>2.4</v>
      </c>
      <c r="H13" s="49" t="n">
        <v>1</v>
      </c>
      <c r="I13" s="20"/>
      <c r="J13" s="20"/>
      <c r="K13" s="20"/>
      <c r="L13" s="20"/>
      <c r="M13" s="34" t="n">
        <f aca="false">E13*F13+G13*H13+I13*J13+K13*L13</f>
        <v>10.4</v>
      </c>
      <c r="N13" s="34" t="n">
        <f aca="false">Исходные!$B$12-M13</f>
        <v>1.3</v>
      </c>
      <c r="O13" s="49" t="n">
        <v>2</v>
      </c>
      <c r="P13" s="47" t="n">
        <f aca="false">(F13+H13+J13+L13)*O13</f>
        <v>6</v>
      </c>
      <c r="Q13" s="68" t="n">
        <f aca="false">M13*O13</f>
        <v>20.8</v>
      </c>
      <c r="R13" s="68" t="n">
        <f aca="false">N13*O13</f>
        <v>2.6</v>
      </c>
    </row>
    <row r="14" customFormat="false" ht="15" hidden="false" customHeight="false" outlineLevel="0" collapsed="false">
      <c r="A14" s="47" t="n">
        <v>1</v>
      </c>
      <c r="B14" s="47" t="n">
        <v>32</v>
      </c>
      <c r="C14" s="70" t="s">
        <v>368</v>
      </c>
      <c r="D14" s="47" t="n">
        <v>10</v>
      </c>
      <c r="E14" s="67" t="n">
        <v>4</v>
      </c>
      <c r="F14" s="49" t="n">
        <v>2</v>
      </c>
      <c r="G14" s="67" t="n">
        <v>2.05</v>
      </c>
      <c r="H14" s="49" t="n">
        <v>1</v>
      </c>
      <c r="I14" s="20"/>
      <c r="J14" s="20"/>
      <c r="K14" s="20"/>
      <c r="L14" s="20"/>
      <c r="M14" s="34" t="n">
        <f aca="false">E14*F14+G14*H14+I14*J14+K14*L14</f>
        <v>10.05</v>
      </c>
      <c r="N14" s="34" t="n">
        <f aca="false">Исходные!$B$12-M14</f>
        <v>1.65</v>
      </c>
      <c r="O14" s="49" t="n">
        <v>2</v>
      </c>
      <c r="P14" s="47" t="n">
        <f aca="false">(F14+H14+J14+L14)*O14</f>
        <v>6</v>
      </c>
      <c r="Q14" s="68" t="n">
        <f aca="false">M14*O14</f>
        <v>20.1</v>
      </c>
      <c r="R14" s="68" t="n">
        <f aca="false">N14*O14</f>
        <v>3.3</v>
      </c>
    </row>
    <row r="15" customFormat="false" ht="15" hidden="false" customHeight="false" outlineLevel="0" collapsed="false">
      <c r="A15" s="47" t="n">
        <v>1</v>
      </c>
      <c r="B15" s="47" t="n">
        <v>32</v>
      </c>
      <c r="C15" s="70" t="s">
        <v>368</v>
      </c>
      <c r="D15" s="47" t="n">
        <v>11</v>
      </c>
      <c r="E15" s="67" t="n">
        <v>4</v>
      </c>
      <c r="F15" s="49" t="n">
        <v>2</v>
      </c>
      <c r="G15" s="20"/>
      <c r="H15" s="20"/>
      <c r="I15" s="20"/>
      <c r="J15" s="20"/>
      <c r="K15" s="20"/>
      <c r="L15" s="20"/>
      <c r="M15" s="34" t="n">
        <f aca="false">E15*F15+G15*H15+I15*J15+K15*L15</f>
        <v>8</v>
      </c>
      <c r="N15" s="34" t="n">
        <f aca="false">Исходные!$B$12-M15</f>
        <v>3.7</v>
      </c>
      <c r="O15" s="49" t="n">
        <v>20</v>
      </c>
      <c r="P15" s="47" t="n">
        <f aca="false">(F15+H15+J15+L15)*O15</f>
        <v>40</v>
      </c>
      <c r="Q15" s="68" t="n">
        <f aca="false">M15*O15</f>
        <v>160</v>
      </c>
      <c r="R15" s="68" t="n">
        <f aca="false">N15*O15</f>
        <v>74</v>
      </c>
    </row>
    <row r="16" customFormat="false" ht="15" hidden="false" customHeight="false" outlineLevel="0" collapsed="false">
      <c r="A16" s="47" t="n">
        <v>1</v>
      </c>
      <c r="B16" s="47" t="n">
        <v>32</v>
      </c>
      <c r="C16" s="70" t="s">
        <v>368</v>
      </c>
      <c r="D16" s="47" t="n">
        <v>12</v>
      </c>
      <c r="E16" s="67" t="n">
        <v>3.8</v>
      </c>
      <c r="F16" s="49" t="n">
        <v>1</v>
      </c>
      <c r="G16" s="20"/>
      <c r="H16" s="20"/>
      <c r="I16" s="20"/>
      <c r="J16" s="20"/>
      <c r="K16" s="20"/>
      <c r="L16" s="20"/>
      <c r="M16" s="34" t="n">
        <f aca="false">E16*F16+G16*H16+I16*J16+K16*L16</f>
        <v>3.8</v>
      </c>
      <c r="N16" s="34" t="n">
        <f aca="false">Исходные!$B$12-M16</f>
        <v>7.9</v>
      </c>
      <c r="O16" s="49" t="n">
        <v>1</v>
      </c>
      <c r="P16" s="47" t="n">
        <f aca="false">(F16+H16+J16+L16)*O16</f>
        <v>1</v>
      </c>
      <c r="Q16" s="68" t="n">
        <f aca="false">M16*O16</f>
        <v>3.8</v>
      </c>
      <c r="R16" s="68" t="n">
        <f aca="false">N16*O16</f>
        <v>7.9</v>
      </c>
    </row>
    <row r="17" customFormat="false" ht="15" hidden="false" customHeight="false" outlineLevel="0" collapsed="false">
      <c r="A17" s="47" t="n">
        <v>1</v>
      </c>
      <c r="B17" s="47" t="n">
        <v>28</v>
      </c>
      <c r="C17" s="70" t="s">
        <v>368</v>
      </c>
      <c r="D17" s="47" t="n">
        <v>1</v>
      </c>
      <c r="E17" s="67" t="n">
        <v>11.7</v>
      </c>
      <c r="F17" s="49" t="n">
        <v>1</v>
      </c>
      <c r="G17" s="20"/>
      <c r="H17" s="20"/>
      <c r="I17" s="20"/>
      <c r="J17" s="20"/>
      <c r="K17" s="20"/>
      <c r="L17" s="20"/>
      <c r="M17" s="34" t="n">
        <f aca="false">E17*F17+G17*H17+I17*J17+K17*L17</f>
        <v>11.7</v>
      </c>
      <c r="N17" s="34" t="n">
        <f aca="false">Исходные!$B$12-M17</f>
        <v>0</v>
      </c>
      <c r="O17" s="49" t="n">
        <v>52</v>
      </c>
      <c r="P17" s="47" t="n">
        <f aca="false">(F17+H17+J17+L17)*O17</f>
        <v>52</v>
      </c>
      <c r="Q17" s="68" t="n">
        <f aca="false">M17*O17</f>
        <v>608.4</v>
      </c>
      <c r="R17" s="68" t="n">
        <f aca="false">N17*O17</f>
        <v>0</v>
      </c>
    </row>
    <row r="18" customFormat="false" ht="15" hidden="false" customHeight="false" outlineLevel="0" collapsed="false">
      <c r="A18" s="47" t="n">
        <v>1</v>
      </c>
      <c r="B18" s="47" t="n">
        <v>28</v>
      </c>
      <c r="C18" s="70" t="s">
        <v>368</v>
      </c>
      <c r="D18" s="47" t="n">
        <v>2</v>
      </c>
      <c r="E18" s="67" t="n">
        <v>4</v>
      </c>
      <c r="F18" s="49" t="n">
        <v>2</v>
      </c>
      <c r="G18" s="67" t="n">
        <v>3.7</v>
      </c>
      <c r="H18" s="49" t="n">
        <v>1</v>
      </c>
      <c r="I18" s="20"/>
      <c r="J18" s="20"/>
      <c r="K18" s="20"/>
      <c r="L18" s="20"/>
      <c r="M18" s="34" t="n">
        <f aca="false">E18*F18+G18*H18+I18*J18+K18*L18</f>
        <v>11.7</v>
      </c>
      <c r="N18" s="34" t="n">
        <f aca="false">Исходные!$B$12-M18</f>
        <v>0</v>
      </c>
      <c r="O18" s="49" t="n">
        <v>2</v>
      </c>
      <c r="P18" s="47" t="n">
        <f aca="false">(F18+H18+J18+L18)*O18</f>
        <v>6</v>
      </c>
      <c r="Q18" s="68" t="n">
        <f aca="false">M18*O18</f>
        <v>23.4</v>
      </c>
      <c r="R18" s="68" t="n">
        <f aca="false">N18*O18</f>
        <v>0</v>
      </c>
    </row>
    <row r="19" customFormat="false" ht="15" hidden="false" customHeight="false" outlineLevel="0" collapsed="false">
      <c r="A19" s="47" t="n">
        <v>1</v>
      </c>
      <c r="B19" s="47" t="n">
        <v>28</v>
      </c>
      <c r="C19" s="70" t="s">
        <v>368</v>
      </c>
      <c r="D19" s="47" t="n">
        <v>3</v>
      </c>
      <c r="E19" s="67" t="n">
        <v>4</v>
      </c>
      <c r="F19" s="49" t="n">
        <v>2</v>
      </c>
      <c r="G19" s="67" t="n">
        <v>1.85</v>
      </c>
      <c r="H19" s="49" t="n">
        <v>2</v>
      </c>
      <c r="I19" s="20"/>
      <c r="J19" s="20"/>
      <c r="K19" s="20"/>
      <c r="L19" s="20"/>
      <c r="M19" s="34" t="n">
        <f aca="false">E19*F19+G19*H19+I19*J19+K19*L19</f>
        <v>11.7</v>
      </c>
      <c r="N19" s="34" t="n">
        <f aca="false">Исходные!$B$12-M19</f>
        <v>0</v>
      </c>
      <c r="O19" s="49" t="n">
        <v>1</v>
      </c>
      <c r="P19" s="47" t="n">
        <f aca="false">(F19+H19+J19+L19)*O19</f>
        <v>4</v>
      </c>
      <c r="Q19" s="68" t="n">
        <f aca="false">M19*O19</f>
        <v>11.7</v>
      </c>
      <c r="R19" s="68" t="n">
        <f aca="false">N19*O19</f>
        <v>0</v>
      </c>
    </row>
    <row r="20" customFormat="false" ht="15" hidden="false" customHeight="false" outlineLevel="0" collapsed="false">
      <c r="A20" s="47" t="n">
        <v>1</v>
      </c>
      <c r="B20" s="47" t="n">
        <v>28</v>
      </c>
      <c r="C20" s="70" t="s">
        <v>368</v>
      </c>
      <c r="D20" s="47" t="n">
        <v>4</v>
      </c>
      <c r="E20" s="67" t="n">
        <v>7.85</v>
      </c>
      <c r="F20" s="49" t="n">
        <v>1</v>
      </c>
      <c r="G20" s="67" t="n">
        <v>3.8</v>
      </c>
      <c r="H20" s="49" t="n">
        <v>1</v>
      </c>
      <c r="I20" s="20"/>
      <c r="J20" s="20"/>
      <c r="K20" s="20"/>
      <c r="L20" s="20"/>
      <c r="M20" s="34" t="n">
        <f aca="false">E20*F20+G20*H20+I20*J20+K20*L20</f>
        <v>11.65</v>
      </c>
      <c r="N20" s="34" t="n">
        <f aca="false">Исходные!$B$12-M20</f>
        <v>0.0500000000000007</v>
      </c>
      <c r="O20" s="49" t="n">
        <v>2</v>
      </c>
      <c r="P20" s="47" t="n">
        <f aca="false">(F20+H20+J20+L20)*O20</f>
        <v>4</v>
      </c>
      <c r="Q20" s="68" t="n">
        <f aca="false">M20*O20</f>
        <v>23.3</v>
      </c>
      <c r="R20" s="68" t="n">
        <f aca="false">N20*O20</f>
        <v>0.100000000000001</v>
      </c>
    </row>
    <row r="21" customFormat="false" ht="15" hidden="false" customHeight="false" outlineLevel="0" collapsed="false">
      <c r="A21" s="47" t="n">
        <v>1</v>
      </c>
      <c r="B21" s="47" t="n">
        <v>28</v>
      </c>
      <c r="C21" s="70" t="s">
        <v>368</v>
      </c>
      <c r="D21" s="47" t="n">
        <v>5</v>
      </c>
      <c r="E21" s="67" t="n">
        <v>4.3</v>
      </c>
      <c r="F21" s="49" t="n">
        <v>2</v>
      </c>
      <c r="G21" s="67" t="n">
        <v>3</v>
      </c>
      <c r="H21" s="49" t="n">
        <v>1</v>
      </c>
      <c r="I21" s="20"/>
      <c r="J21" s="20"/>
      <c r="K21" s="20"/>
      <c r="L21" s="20"/>
      <c r="M21" s="34" t="n">
        <f aca="false">E21*F21+G21*H21+I21*J21+K21*L21</f>
        <v>11.6</v>
      </c>
      <c r="N21" s="34" t="n">
        <f aca="false">Исходные!$B$12-M21</f>
        <v>0.0999999999999996</v>
      </c>
      <c r="O21" s="49" t="n">
        <v>1</v>
      </c>
      <c r="P21" s="47" t="n">
        <f aca="false">(F21+H21+J21+L21)*O21</f>
        <v>3</v>
      </c>
      <c r="Q21" s="68" t="n">
        <f aca="false">M21*O21</f>
        <v>11.6</v>
      </c>
      <c r="R21" s="68" t="n">
        <f aca="false">N21*O21</f>
        <v>0.0999999999999996</v>
      </c>
    </row>
    <row r="22" customFormat="false" ht="15" hidden="false" customHeight="false" outlineLevel="0" collapsed="false">
      <c r="A22" s="47" t="n">
        <v>1</v>
      </c>
      <c r="B22" s="47" t="n">
        <v>28</v>
      </c>
      <c r="C22" s="70" t="s">
        <v>368</v>
      </c>
      <c r="D22" s="47" t="n">
        <v>6</v>
      </c>
      <c r="E22" s="67" t="n">
        <v>4</v>
      </c>
      <c r="F22" s="49" t="n">
        <v>2</v>
      </c>
      <c r="G22" s="67" t="n">
        <v>3.6</v>
      </c>
      <c r="H22" s="49" t="n">
        <v>1</v>
      </c>
      <c r="I22" s="20"/>
      <c r="J22" s="20"/>
      <c r="K22" s="20"/>
      <c r="L22" s="20"/>
      <c r="M22" s="34" t="n">
        <f aca="false">E22*F22+G22*H22+I22*J22+K22*L22</f>
        <v>11.6</v>
      </c>
      <c r="N22" s="34" t="n">
        <f aca="false">Исходные!$B$12-M22</f>
        <v>0.0999999999999996</v>
      </c>
      <c r="O22" s="49" t="n">
        <v>6</v>
      </c>
      <c r="P22" s="47" t="n">
        <f aca="false">(F22+H22+J22+L22)*O22</f>
        <v>18</v>
      </c>
      <c r="Q22" s="68" t="n">
        <f aca="false">M22*O22</f>
        <v>69.6</v>
      </c>
      <c r="R22" s="68" t="n">
        <f aca="false">N22*O22</f>
        <v>0.599999999999998</v>
      </c>
    </row>
    <row r="23" customFormat="false" ht="15" hidden="false" customHeight="false" outlineLevel="0" collapsed="false">
      <c r="A23" s="47" t="n">
        <v>1</v>
      </c>
      <c r="B23" s="47" t="n">
        <v>28</v>
      </c>
      <c r="C23" s="70" t="s">
        <v>368</v>
      </c>
      <c r="D23" s="47" t="n">
        <v>7</v>
      </c>
      <c r="E23" s="67" t="n">
        <v>4.7</v>
      </c>
      <c r="F23" s="49" t="n">
        <v>2</v>
      </c>
      <c r="G23" s="67" t="n">
        <v>2.1</v>
      </c>
      <c r="H23" s="49" t="n">
        <v>1</v>
      </c>
      <c r="I23" s="20"/>
      <c r="J23" s="20"/>
      <c r="K23" s="20"/>
      <c r="L23" s="20"/>
      <c r="M23" s="34" t="n">
        <f aca="false">E23*F23+G23*H23+I23*J23+K23*L23</f>
        <v>11.5</v>
      </c>
      <c r="N23" s="34" t="n">
        <f aca="false">Исходные!$B$12-M23</f>
        <v>0.199999999999999</v>
      </c>
      <c r="O23" s="49" t="n">
        <v>2</v>
      </c>
      <c r="P23" s="47" t="n">
        <f aca="false">(F23+H23+J23+L23)*O23</f>
        <v>6</v>
      </c>
      <c r="Q23" s="68" t="n">
        <f aca="false">M23*O23</f>
        <v>23</v>
      </c>
      <c r="R23" s="68" t="n">
        <f aca="false">N23*O23</f>
        <v>0.399999999999999</v>
      </c>
    </row>
    <row r="24" customFormat="false" ht="15" hidden="false" customHeight="false" outlineLevel="0" collapsed="false">
      <c r="A24" s="47" t="n">
        <v>1</v>
      </c>
      <c r="B24" s="47" t="n">
        <v>28</v>
      </c>
      <c r="C24" s="70" t="s">
        <v>368</v>
      </c>
      <c r="D24" s="47" t="n">
        <v>8</v>
      </c>
      <c r="E24" s="67" t="n">
        <v>3.8</v>
      </c>
      <c r="F24" s="49" t="n">
        <v>3</v>
      </c>
      <c r="G24" s="20"/>
      <c r="H24" s="20"/>
      <c r="I24" s="20"/>
      <c r="J24" s="20"/>
      <c r="K24" s="20"/>
      <c r="L24" s="20"/>
      <c r="M24" s="34" t="n">
        <f aca="false">E24*F24+G24*H24+I24*J24+K24*L24</f>
        <v>11.4</v>
      </c>
      <c r="N24" s="34" t="n">
        <f aca="false">Исходные!$B$12-M24</f>
        <v>0.300000000000001</v>
      </c>
      <c r="O24" s="49" t="n">
        <v>1</v>
      </c>
      <c r="P24" s="47" t="n">
        <f aca="false">(F24+H24+J24+L24)*O24</f>
        <v>3</v>
      </c>
      <c r="Q24" s="68" t="n">
        <f aca="false">M24*O24</f>
        <v>11.4</v>
      </c>
      <c r="R24" s="68" t="n">
        <f aca="false">N24*O24</f>
        <v>0.300000000000001</v>
      </c>
    </row>
    <row r="25" customFormat="false" ht="15" hidden="false" customHeight="false" outlineLevel="0" collapsed="false">
      <c r="A25" s="47" t="n">
        <v>1</v>
      </c>
      <c r="B25" s="47" t="n">
        <v>28</v>
      </c>
      <c r="C25" s="70" t="s">
        <v>368</v>
      </c>
      <c r="D25" s="47" t="n">
        <v>9</v>
      </c>
      <c r="E25" s="67" t="n">
        <v>5.5</v>
      </c>
      <c r="F25" s="49" t="n">
        <v>2</v>
      </c>
      <c r="G25" s="20"/>
      <c r="H25" s="20"/>
      <c r="I25" s="20"/>
      <c r="J25" s="20"/>
      <c r="K25" s="20"/>
      <c r="L25" s="20"/>
      <c r="M25" s="34" t="n">
        <f aca="false">E25*F25+G25*H25+I25*J25+K25*L25</f>
        <v>11</v>
      </c>
      <c r="N25" s="34" t="n">
        <f aca="false">Исходные!$B$12-M25</f>
        <v>0.699999999999999</v>
      </c>
      <c r="O25" s="49" t="n">
        <v>1</v>
      </c>
      <c r="P25" s="47" t="n">
        <f aca="false">(F25+H25+J25+L25)*O25</f>
        <v>2</v>
      </c>
      <c r="Q25" s="68" t="n">
        <f aca="false">M25*O25</f>
        <v>11</v>
      </c>
      <c r="R25" s="68" t="n">
        <f aca="false">N25*O25</f>
        <v>0.699999999999999</v>
      </c>
    </row>
    <row r="26" customFormat="false" ht="15" hidden="false" customHeight="false" outlineLevel="0" collapsed="false">
      <c r="A26" s="47" t="n">
        <v>1</v>
      </c>
      <c r="B26" s="47" t="n">
        <v>28</v>
      </c>
      <c r="C26" s="70" t="s">
        <v>368</v>
      </c>
      <c r="D26" s="47" t="n">
        <v>10</v>
      </c>
      <c r="E26" s="67" t="n">
        <v>4</v>
      </c>
      <c r="F26" s="49" t="n">
        <v>2</v>
      </c>
      <c r="G26" s="67" t="n">
        <v>3</v>
      </c>
      <c r="H26" s="49" t="n">
        <v>1</v>
      </c>
      <c r="I26" s="20"/>
      <c r="J26" s="20"/>
      <c r="K26" s="20"/>
      <c r="L26" s="20"/>
      <c r="M26" s="34" t="n">
        <f aca="false">E26*F26+G26*H26+I26*J26+K26*L26</f>
        <v>11</v>
      </c>
      <c r="N26" s="34" t="n">
        <f aca="false">Исходные!$B$12-M26</f>
        <v>0.699999999999999</v>
      </c>
      <c r="O26" s="49" t="n">
        <v>1</v>
      </c>
      <c r="P26" s="47" t="n">
        <f aca="false">(F26+H26+J26+L26)*O26</f>
        <v>3</v>
      </c>
      <c r="Q26" s="68" t="n">
        <f aca="false">M26*O26</f>
        <v>11</v>
      </c>
      <c r="R26" s="68" t="n">
        <f aca="false">N26*O26</f>
        <v>0.699999999999999</v>
      </c>
    </row>
    <row r="27" customFormat="false" ht="15" hidden="false" customHeight="false" outlineLevel="0" collapsed="false">
      <c r="A27" s="47" t="n">
        <v>1</v>
      </c>
      <c r="B27" s="47" t="n">
        <v>28</v>
      </c>
      <c r="C27" s="70" t="s">
        <v>368</v>
      </c>
      <c r="D27" s="47" t="n">
        <v>11</v>
      </c>
      <c r="E27" s="67" t="n">
        <v>8.8</v>
      </c>
      <c r="F27" s="49" t="n">
        <v>1</v>
      </c>
      <c r="G27" s="67" t="n">
        <v>2.1</v>
      </c>
      <c r="H27" s="49" t="n">
        <v>1</v>
      </c>
      <c r="I27" s="20"/>
      <c r="J27" s="20"/>
      <c r="K27" s="20"/>
      <c r="L27" s="20"/>
      <c r="M27" s="34" t="n">
        <f aca="false">E27*F27+G27*H27+I27*J27+K27*L27</f>
        <v>10.9</v>
      </c>
      <c r="N27" s="34" t="n">
        <f aca="false">Исходные!$B$12-M27</f>
        <v>0.799999999999999</v>
      </c>
      <c r="O27" s="49" t="n">
        <v>14</v>
      </c>
      <c r="P27" s="47" t="n">
        <f aca="false">(F27+H27+J27+L27)*O27</f>
        <v>28</v>
      </c>
      <c r="Q27" s="68" t="n">
        <f aca="false">M27*O27</f>
        <v>152.6</v>
      </c>
      <c r="R27" s="68" t="n">
        <f aca="false">N27*O27</f>
        <v>11.2</v>
      </c>
    </row>
    <row r="28" customFormat="false" ht="15" hidden="false" customHeight="false" outlineLevel="0" collapsed="false">
      <c r="A28" s="47" t="n">
        <v>1</v>
      </c>
      <c r="B28" s="47" t="n">
        <v>28</v>
      </c>
      <c r="C28" s="70" t="s">
        <v>368</v>
      </c>
      <c r="D28" s="47" t="n">
        <v>12</v>
      </c>
      <c r="E28" s="67" t="n">
        <v>8.8</v>
      </c>
      <c r="F28" s="49" t="n">
        <v>1</v>
      </c>
      <c r="G28" s="67" t="n">
        <v>2.05</v>
      </c>
      <c r="H28" s="49" t="n">
        <v>1</v>
      </c>
      <c r="I28" s="20"/>
      <c r="J28" s="20"/>
      <c r="K28" s="20"/>
      <c r="L28" s="20"/>
      <c r="M28" s="34" t="n">
        <f aca="false">E28*F28+G28*H28+I28*J28+K28*L28</f>
        <v>10.85</v>
      </c>
      <c r="N28" s="34" t="n">
        <f aca="false">Исходные!$B$12-M28</f>
        <v>0.849999999999998</v>
      </c>
      <c r="O28" s="49" t="n">
        <v>6</v>
      </c>
      <c r="P28" s="47" t="n">
        <f aca="false">(F28+H28+J28+L28)*O28</f>
        <v>12</v>
      </c>
      <c r="Q28" s="68" t="n">
        <f aca="false">M28*O28</f>
        <v>65.1</v>
      </c>
      <c r="R28" s="68" t="n">
        <f aca="false">N28*O28</f>
        <v>5.09999999999999</v>
      </c>
    </row>
    <row r="29" customFormat="false" ht="15" hidden="false" customHeight="false" outlineLevel="0" collapsed="false">
      <c r="A29" s="47" t="n">
        <v>1</v>
      </c>
      <c r="B29" s="47" t="n">
        <v>28</v>
      </c>
      <c r="C29" s="70" t="s">
        <v>368</v>
      </c>
      <c r="D29" s="47" t="n">
        <v>13</v>
      </c>
      <c r="E29" s="67" t="n">
        <v>4</v>
      </c>
      <c r="F29" s="49" t="n">
        <v>2</v>
      </c>
      <c r="G29" s="67" t="n">
        <v>2.05</v>
      </c>
      <c r="H29" s="49" t="n">
        <v>1</v>
      </c>
      <c r="I29" s="20"/>
      <c r="J29" s="20"/>
      <c r="K29" s="20"/>
      <c r="L29" s="20"/>
      <c r="M29" s="34" t="n">
        <f aca="false">E29*F29+G29*H29+I29*J29+K29*L29</f>
        <v>10.05</v>
      </c>
      <c r="N29" s="34" t="n">
        <f aca="false">Исходные!$B$12-M29</f>
        <v>1.65</v>
      </c>
      <c r="O29" s="49" t="n">
        <v>4</v>
      </c>
      <c r="P29" s="47" t="n">
        <f aca="false">(F29+H29+J29+L29)*O29</f>
        <v>12</v>
      </c>
      <c r="Q29" s="68" t="n">
        <f aca="false">M29*O29</f>
        <v>40.2</v>
      </c>
      <c r="R29" s="68" t="n">
        <f aca="false">N29*O29</f>
        <v>6.59999999999999</v>
      </c>
    </row>
    <row r="30" customFormat="false" ht="15" hidden="false" customHeight="false" outlineLevel="0" collapsed="false">
      <c r="A30" s="47" t="n">
        <v>1</v>
      </c>
      <c r="B30" s="47" t="n">
        <v>28</v>
      </c>
      <c r="C30" s="70" t="s">
        <v>368</v>
      </c>
      <c r="D30" s="47" t="n">
        <v>14</v>
      </c>
      <c r="E30" s="67" t="n">
        <v>4</v>
      </c>
      <c r="F30" s="49" t="n">
        <v>2</v>
      </c>
      <c r="G30" s="20"/>
      <c r="H30" s="20"/>
      <c r="I30" s="20"/>
      <c r="J30" s="20"/>
      <c r="K30" s="20"/>
      <c r="L30" s="20"/>
      <c r="M30" s="34" t="n">
        <f aca="false">E30*F30+G30*H30+I30*J30+K30*L30</f>
        <v>8</v>
      </c>
      <c r="N30" s="34" t="n">
        <f aca="false">Исходные!$B$12-M30</f>
        <v>3.7</v>
      </c>
      <c r="O30" s="49" t="n">
        <v>38</v>
      </c>
      <c r="P30" s="47" t="n">
        <f aca="false">(F30+H30+J30+L30)*O30</f>
        <v>76</v>
      </c>
      <c r="Q30" s="68" t="n">
        <f aca="false">M30*O30</f>
        <v>304</v>
      </c>
      <c r="R30" s="68" t="n">
        <f aca="false">N30*O30</f>
        <v>140.6</v>
      </c>
    </row>
    <row r="31" customFormat="false" ht="15" hidden="false" customHeight="false" outlineLevel="0" collapsed="false">
      <c r="A31" s="47" t="n">
        <v>1</v>
      </c>
      <c r="B31" s="47" t="n">
        <v>28</v>
      </c>
      <c r="C31" s="70" t="s">
        <v>368</v>
      </c>
      <c r="D31" s="47" t="n">
        <v>15</v>
      </c>
      <c r="E31" s="67" t="n">
        <v>3.8</v>
      </c>
      <c r="F31" s="49" t="n">
        <v>1</v>
      </c>
      <c r="G31" s="20"/>
      <c r="H31" s="20"/>
      <c r="I31" s="20"/>
      <c r="J31" s="20"/>
      <c r="K31" s="20"/>
      <c r="L31" s="20"/>
      <c r="M31" s="34" t="n">
        <f aca="false">E31*F31+G31*H31+I31*J31+K31*L31</f>
        <v>3.8</v>
      </c>
      <c r="N31" s="34" t="n">
        <f aca="false">Исходные!$B$12-M31</f>
        <v>7.9</v>
      </c>
      <c r="O31" s="49" t="n">
        <v>1</v>
      </c>
      <c r="P31" s="47" t="n">
        <f aca="false">(F31+H31+J31+L31)*O31</f>
        <v>1</v>
      </c>
      <c r="Q31" s="68" t="n">
        <f aca="false">M31*O31</f>
        <v>3.8</v>
      </c>
      <c r="R31" s="68" t="n">
        <f aca="false">N31*O31</f>
        <v>7.9</v>
      </c>
    </row>
    <row r="32" customFormat="false" ht="15" hidden="false" customHeight="false" outlineLevel="0" collapsed="false">
      <c r="A32" s="47" t="n">
        <v>1</v>
      </c>
      <c r="B32" s="47" t="n">
        <v>25</v>
      </c>
      <c r="C32" s="70" t="s">
        <v>368</v>
      </c>
      <c r="D32" s="47" t="n">
        <v>1</v>
      </c>
      <c r="E32" s="67" t="n">
        <v>11.7</v>
      </c>
      <c r="F32" s="49" t="n">
        <v>1</v>
      </c>
      <c r="G32" s="20"/>
      <c r="H32" s="20"/>
      <c r="I32" s="20"/>
      <c r="J32" s="20"/>
      <c r="K32" s="20"/>
      <c r="L32" s="20"/>
      <c r="M32" s="34" t="n">
        <f aca="false">E32*F32+G32*H32+I32*J32+K32*L32</f>
        <v>11.7</v>
      </c>
      <c r="N32" s="34" t="n">
        <f aca="false">Исходные!$B$12-M32</f>
        <v>0</v>
      </c>
      <c r="O32" s="49" t="n">
        <v>40</v>
      </c>
      <c r="P32" s="47" t="n">
        <f aca="false">(F32+H32+J32+L32)*O32</f>
        <v>40</v>
      </c>
      <c r="Q32" s="68" t="n">
        <f aca="false">M32*O32</f>
        <v>468</v>
      </c>
      <c r="R32" s="68" t="n">
        <f aca="false">N32*O32</f>
        <v>0</v>
      </c>
    </row>
    <row r="33" customFormat="false" ht="15" hidden="false" customHeight="false" outlineLevel="0" collapsed="false">
      <c r="A33" s="47" t="n">
        <v>1</v>
      </c>
      <c r="B33" s="47" t="n">
        <v>25</v>
      </c>
      <c r="C33" s="70" t="s">
        <v>368</v>
      </c>
      <c r="D33" s="47" t="n">
        <v>2</v>
      </c>
      <c r="E33" s="67" t="n">
        <v>7.85</v>
      </c>
      <c r="F33" s="49" t="n">
        <v>1</v>
      </c>
      <c r="G33" s="67" t="n">
        <v>3.8</v>
      </c>
      <c r="H33" s="49" t="n">
        <v>1</v>
      </c>
      <c r="I33" s="20"/>
      <c r="J33" s="20"/>
      <c r="K33" s="20"/>
      <c r="L33" s="20"/>
      <c r="M33" s="34" t="n">
        <f aca="false">E33*F33+G33*H33+I33*J33+K33*L33</f>
        <v>11.65</v>
      </c>
      <c r="N33" s="34" t="n">
        <f aca="false">Исходные!$B$12-M33</f>
        <v>0.0500000000000007</v>
      </c>
      <c r="O33" s="49" t="n">
        <v>4</v>
      </c>
      <c r="P33" s="47" t="n">
        <f aca="false">(F33+H33+J33+L33)*O33</f>
        <v>8</v>
      </c>
      <c r="Q33" s="68" t="n">
        <f aca="false">M33*O33</f>
        <v>46.6</v>
      </c>
      <c r="R33" s="68" t="n">
        <f aca="false">N33*O33</f>
        <v>0.200000000000003</v>
      </c>
    </row>
    <row r="34" customFormat="false" ht="15" hidden="false" customHeight="false" outlineLevel="0" collapsed="false">
      <c r="A34" s="47" t="n">
        <v>1</v>
      </c>
      <c r="B34" s="47" t="n">
        <v>25</v>
      </c>
      <c r="C34" s="70" t="s">
        <v>368</v>
      </c>
      <c r="D34" s="47" t="n">
        <v>3</v>
      </c>
      <c r="E34" s="67" t="n">
        <v>3.8</v>
      </c>
      <c r="F34" s="49" t="n">
        <v>2</v>
      </c>
      <c r="G34" s="67" t="n">
        <v>3.785</v>
      </c>
      <c r="H34" s="49" t="n">
        <v>1</v>
      </c>
      <c r="I34" s="67" t="n">
        <v>0.2</v>
      </c>
      <c r="J34" s="49" t="n">
        <v>1</v>
      </c>
      <c r="K34" s="20"/>
      <c r="L34" s="20"/>
      <c r="M34" s="34" t="n">
        <f aca="false">E34*F34+G34*H34+I34*J34+K34*L34</f>
        <v>11.585</v>
      </c>
      <c r="N34" s="34" t="n">
        <f aca="false">Исходные!$B$12-M34</f>
        <v>0.115</v>
      </c>
      <c r="O34" s="49" t="n">
        <v>1</v>
      </c>
      <c r="P34" s="47" t="n">
        <f aca="false">(F34+H34+J34+L34)*O34</f>
        <v>4</v>
      </c>
      <c r="Q34" s="68" t="n">
        <f aca="false">M34*O34</f>
        <v>11.585</v>
      </c>
      <c r="R34" s="68" t="n">
        <f aca="false">N34*O34</f>
        <v>0.115</v>
      </c>
    </row>
    <row r="35" customFormat="false" ht="15" hidden="false" customHeight="false" outlineLevel="0" collapsed="false">
      <c r="A35" s="47" t="n">
        <v>1</v>
      </c>
      <c r="B35" s="47" t="n">
        <v>25</v>
      </c>
      <c r="C35" s="70" t="s">
        <v>368</v>
      </c>
      <c r="D35" s="47" t="n">
        <v>4</v>
      </c>
      <c r="E35" s="67" t="n">
        <v>4</v>
      </c>
      <c r="F35" s="49" t="n">
        <v>2</v>
      </c>
      <c r="G35" s="67" t="n">
        <v>3.365</v>
      </c>
      <c r="H35" s="49" t="n">
        <v>1</v>
      </c>
      <c r="I35" s="67" t="n">
        <v>0.2</v>
      </c>
      <c r="J35" s="49" t="n">
        <v>1</v>
      </c>
      <c r="K35" s="20"/>
      <c r="L35" s="20"/>
      <c r="M35" s="34" t="n">
        <f aca="false">E35*F35+G35*H35+I35*J35+K35*L35</f>
        <v>11.565</v>
      </c>
      <c r="N35" s="34" t="n">
        <f aca="false">Исходные!$B$12-M35</f>
        <v>0.135</v>
      </c>
      <c r="O35" s="49" t="n">
        <v>3</v>
      </c>
      <c r="P35" s="47" t="n">
        <f aca="false">(F35+H35+J35+L35)*O35</f>
        <v>12</v>
      </c>
      <c r="Q35" s="68" t="n">
        <f aca="false">M35*O35</f>
        <v>34.695</v>
      </c>
      <c r="R35" s="68" t="n">
        <f aca="false">N35*O35</f>
        <v>0.404999999999999</v>
      </c>
    </row>
    <row r="36" customFormat="false" ht="15" hidden="false" customHeight="false" outlineLevel="0" collapsed="false">
      <c r="A36" s="47" t="n">
        <v>1</v>
      </c>
      <c r="B36" s="47" t="n">
        <v>25</v>
      </c>
      <c r="C36" s="70" t="s">
        <v>368</v>
      </c>
      <c r="D36" s="47" t="n">
        <v>5</v>
      </c>
      <c r="E36" s="67" t="n">
        <v>4</v>
      </c>
      <c r="F36" s="49" t="n">
        <v>2</v>
      </c>
      <c r="G36" s="67" t="n">
        <v>3.365</v>
      </c>
      <c r="H36" s="49" t="n">
        <v>1</v>
      </c>
      <c r="I36" s="20"/>
      <c r="J36" s="20"/>
      <c r="K36" s="20"/>
      <c r="L36" s="20"/>
      <c r="M36" s="34" t="n">
        <f aca="false">E36*F36+G36*H36+I36*J36+K36*L36</f>
        <v>11.365</v>
      </c>
      <c r="N36" s="34" t="n">
        <f aca="false">Исходные!$B$12-M36</f>
        <v>0.334999999999999</v>
      </c>
      <c r="O36" s="49" t="n">
        <v>1</v>
      </c>
      <c r="P36" s="47" t="n">
        <f aca="false">(F36+H36+J36+L36)*O36</f>
        <v>3</v>
      </c>
      <c r="Q36" s="68" t="n">
        <f aca="false">M36*O36</f>
        <v>11.365</v>
      </c>
      <c r="R36" s="68" t="n">
        <f aca="false">N36*O36</f>
        <v>0.334999999999999</v>
      </c>
    </row>
    <row r="37" customFormat="false" ht="15" hidden="false" customHeight="false" outlineLevel="0" collapsed="false">
      <c r="A37" s="47" t="n">
        <v>1</v>
      </c>
      <c r="B37" s="47" t="n">
        <v>25</v>
      </c>
      <c r="C37" s="70" t="s">
        <v>368</v>
      </c>
      <c r="D37" s="47" t="n">
        <v>6</v>
      </c>
      <c r="E37" s="67" t="n">
        <v>3.785</v>
      </c>
      <c r="F37" s="49" t="n">
        <v>3</v>
      </c>
      <c r="G37" s="20"/>
      <c r="H37" s="20"/>
      <c r="I37" s="20"/>
      <c r="J37" s="20"/>
      <c r="K37" s="20"/>
      <c r="L37" s="20"/>
      <c r="M37" s="34" t="n">
        <f aca="false">E37*F37+G37*H37+I37*J37+K37*L37</f>
        <v>11.355</v>
      </c>
      <c r="N37" s="34" t="n">
        <f aca="false">Исходные!$B$12-M37</f>
        <v>0.344999999999999</v>
      </c>
      <c r="O37" s="49" t="n">
        <v>1</v>
      </c>
      <c r="P37" s="47" t="n">
        <f aca="false">(F37+H37+J37+L37)*O37</f>
        <v>3</v>
      </c>
      <c r="Q37" s="68" t="n">
        <f aca="false">M37*O37</f>
        <v>11.355</v>
      </c>
      <c r="R37" s="68" t="n">
        <f aca="false">N37*O37</f>
        <v>0.344999999999999</v>
      </c>
    </row>
    <row r="38" customFormat="false" ht="15" hidden="false" customHeight="false" outlineLevel="0" collapsed="false">
      <c r="A38" s="47" t="n">
        <v>1</v>
      </c>
      <c r="B38" s="47" t="n">
        <v>25</v>
      </c>
      <c r="C38" s="70" t="s">
        <v>368</v>
      </c>
      <c r="D38" s="47" t="n">
        <v>7</v>
      </c>
      <c r="E38" s="67" t="n">
        <v>4</v>
      </c>
      <c r="F38" s="49" t="n">
        <v>2</v>
      </c>
      <c r="G38" s="67" t="n">
        <v>3.065</v>
      </c>
      <c r="H38" s="49" t="n">
        <v>1</v>
      </c>
      <c r="I38" s="20"/>
      <c r="J38" s="20"/>
      <c r="K38" s="20"/>
      <c r="L38" s="20"/>
      <c r="M38" s="34" t="n">
        <f aca="false">E38*F38+G38*H38+I38*J38+K38*L38</f>
        <v>11.065</v>
      </c>
      <c r="N38" s="34" t="n">
        <f aca="false">Исходные!$B$12-M38</f>
        <v>0.635</v>
      </c>
      <c r="O38" s="49" t="n">
        <v>4</v>
      </c>
      <c r="P38" s="47" t="n">
        <f aca="false">(F38+H38+J38+L38)*O38</f>
        <v>12</v>
      </c>
      <c r="Q38" s="68" t="n">
        <f aca="false">M38*O38</f>
        <v>44.26</v>
      </c>
      <c r="R38" s="68" t="n">
        <f aca="false">N38*O38</f>
        <v>2.54</v>
      </c>
    </row>
    <row r="39" customFormat="false" ht="15" hidden="false" customHeight="false" outlineLevel="0" collapsed="false">
      <c r="A39" s="47" t="n">
        <v>1</v>
      </c>
      <c r="B39" s="47" t="n">
        <v>25</v>
      </c>
      <c r="C39" s="70" t="s">
        <v>368</v>
      </c>
      <c r="D39" s="47" t="n">
        <v>8</v>
      </c>
      <c r="E39" s="67" t="n">
        <v>8.7</v>
      </c>
      <c r="F39" s="49" t="n">
        <v>1</v>
      </c>
      <c r="G39" s="67" t="n">
        <v>2.28</v>
      </c>
      <c r="H39" s="49" t="n">
        <v>1</v>
      </c>
      <c r="I39" s="20"/>
      <c r="J39" s="20"/>
      <c r="K39" s="20"/>
      <c r="L39" s="20"/>
      <c r="M39" s="34" t="n">
        <f aca="false">E39*F39+G39*H39+I39*J39+K39*L39</f>
        <v>10.98</v>
      </c>
      <c r="N39" s="34" t="n">
        <f aca="false">Исходные!$B$12-M39</f>
        <v>0.720000000000001</v>
      </c>
      <c r="O39" s="49" t="n">
        <v>4</v>
      </c>
      <c r="P39" s="47" t="n">
        <f aca="false">(F39+H39+J39+L39)*O39</f>
        <v>8</v>
      </c>
      <c r="Q39" s="68" t="n">
        <f aca="false">M39*O39</f>
        <v>43.92</v>
      </c>
      <c r="R39" s="68" t="n">
        <f aca="false">N39*O39</f>
        <v>2.88</v>
      </c>
    </row>
    <row r="40" customFormat="false" ht="15" hidden="false" customHeight="false" outlineLevel="0" collapsed="false">
      <c r="A40" s="47" t="n">
        <v>1</v>
      </c>
      <c r="B40" s="47" t="n">
        <v>25</v>
      </c>
      <c r="C40" s="70" t="s">
        <v>368</v>
      </c>
      <c r="D40" s="47" t="n">
        <v>9</v>
      </c>
      <c r="E40" s="67" t="n">
        <v>8.7</v>
      </c>
      <c r="F40" s="49" t="n">
        <v>1</v>
      </c>
      <c r="G40" s="67" t="n">
        <v>2.2</v>
      </c>
      <c r="H40" s="49" t="n">
        <v>1</v>
      </c>
      <c r="I40" s="20"/>
      <c r="J40" s="20"/>
      <c r="K40" s="20"/>
      <c r="L40" s="20"/>
      <c r="M40" s="34" t="n">
        <f aca="false">E40*F40+G40*H40+I40*J40+K40*L40</f>
        <v>10.9</v>
      </c>
      <c r="N40" s="34" t="n">
        <f aca="false">Исходные!$B$12-M40</f>
        <v>0.800000000000001</v>
      </c>
      <c r="O40" s="49" t="n">
        <v>8</v>
      </c>
      <c r="P40" s="47" t="n">
        <f aca="false">(F40+H40+J40+L40)*O40</f>
        <v>16</v>
      </c>
      <c r="Q40" s="68" t="n">
        <f aca="false">M40*O40</f>
        <v>87.2</v>
      </c>
      <c r="R40" s="68" t="n">
        <f aca="false">N40*O40</f>
        <v>6.40000000000001</v>
      </c>
    </row>
    <row r="41" customFormat="false" ht="15" hidden="false" customHeight="false" outlineLevel="0" collapsed="false">
      <c r="A41" s="47" t="n">
        <v>1</v>
      </c>
      <c r="B41" s="47" t="n">
        <v>25</v>
      </c>
      <c r="C41" s="70" t="s">
        <v>368</v>
      </c>
      <c r="D41" s="47" t="n">
        <v>10</v>
      </c>
      <c r="E41" s="67" t="n">
        <v>6.2</v>
      </c>
      <c r="F41" s="49" t="n">
        <v>1</v>
      </c>
      <c r="G41" s="67" t="n">
        <v>4.5</v>
      </c>
      <c r="H41" s="49" t="n">
        <v>1</v>
      </c>
      <c r="I41" s="20"/>
      <c r="J41" s="20"/>
      <c r="K41" s="20"/>
      <c r="L41" s="20"/>
      <c r="M41" s="34" t="n">
        <f aca="false">E41*F41+G41*H41+I41*J41+K41*L41</f>
        <v>10.7</v>
      </c>
      <c r="N41" s="34" t="n">
        <f aca="false">Исходные!$B$12-M41</f>
        <v>1</v>
      </c>
      <c r="O41" s="49" t="n">
        <v>2</v>
      </c>
      <c r="P41" s="47" t="n">
        <f aca="false">(F41+H41+J41+L41)*O41</f>
        <v>4</v>
      </c>
      <c r="Q41" s="68" t="n">
        <f aca="false">M41*O41</f>
        <v>21.4</v>
      </c>
      <c r="R41" s="68" t="n">
        <f aca="false">N41*O41</f>
        <v>2</v>
      </c>
    </row>
    <row r="42" customFormat="false" ht="15" hidden="false" customHeight="false" outlineLevel="0" collapsed="false">
      <c r="A42" s="47" t="n">
        <v>1</v>
      </c>
      <c r="B42" s="47" t="n">
        <v>25</v>
      </c>
      <c r="C42" s="70" t="s">
        <v>368</v>
      </c>
      <c r="D42" s="47" t="n">
        <v>11</v>
      </c>
      <c r="E42" s="67" t="n">
        <v>10.5</v>
      </c>
      <c r="F42" s="49" t="n">
        <v>1</v>
      </c>
      <c r="G42" s="20"/>
      <c r="H42" s="20"/>
      <c r="I42" s="20"/>
      <c r="J42" s="20"/>
      <c r="K42" s="20"/>
      <c r="L42" s="20"/>
      <c r="M42" s="34" t="n">
        <f aca="false">E42*F42+G42*H42+I42*J42+K42*L42</f>
        <v>10.5</v>
      </c>
      <c r="N42" s="34" t="n">
        <f aca="false">Исходные!$B$12-M42</f>
        <v>1.2</v>
      </c>
      <c r="O42" s="49" t="n">
        <v>2</v>
      </c>
      <c r="P42" s="47" t="n">
        <f aca="false">(F42+H42+J42+L42)*O42</f>
        <v>2</v>
      </c>
      <c r="Q42" s="68" t="n">
        <f aca="false">M42*O42</f>
        <v>21</v>
      </c>
      <c r="R42" s="68" t="n">
        <f aca="false">N42*O42</f>
        <v>2.4</v>
      </c>
    </row>
    <row r="43" customFormat="false" ht="15" hidden="false" customHeight="false" outlineLevel="0" collapsed="false">
      <c r="A43" s="47" t="n">
        <v>1</v>
      </c>
      <c r="B43" s="47" t="n">
        <v>25</v>
      </c>
      <c r="C43" s="70" t="s">
        <v>368</v>
      </c>
      <c r="D43" s="47" t="n">
        <v>12</v>
      </c>
      <c r="E43" s="67" t="n">
        <v>2.05</v>
      </c>
      <c r="F43" s="49" t="n">
        <v>2</v>
      </c>
      <c r="G43" s="67" t="n">
        <v>2</v>
      </c>
      <c r="H43" s="49" t="n">
        <v>3</v>
      </c>
      <c r="I43" s="20"/>
      <c r="J43" s="20"/>
      <c r="K43" s="20"/>
      <c r="L43" s="20"/>
      <c r="M43" s="34" t="n">
        <f aca="false">E43*F43+G43*H43+I43*J43+K43*L43</f>
        <v>10.1</v>
      </c>
      <c r="N43" s="34" t="n">
        <f aca="false">Исходные!$B$12-M43</f>
        <v>1.6</v>
      </c>
      <c r="O43" s="49" t="n">
        <v>1</v>
      </c>
      <c r="P43" s="47" t="n">
        <f aca="false">(F43+H43+J43+L43)*O43</f>
        <v>5</v>
      </c>
      <c r="Q43" s="68" t="n">
        <f aca="false">M43*O43</f>
        <v>10.1</v>
      </c>
      <c r="R43" s="68" t="n">
        <f aca="false">N43*O43</f>
        <v>1.6</v>
      </c>
    </row>
    <row r="44" customFormat="false" ht="15" hidden="false" customHeight="false" outlineLevel="0" collapsed="false">
      <c r="A44" s="47" t="n">
        <v>1</v>
      </c>
      <c r="B44" s="47" t="n">
        <v>25</v>
      </c>
      <c r="C44" s="70" t="s">
        <v>368</v>
      </c>
      <c r="D44" s="47" t="n">
        <v>13</v>
      </c>
      <c r="E44" s="67" t="n">
        <v>4</v>
      </c>
      <c r="F44" s="49" t="n">
        <v>2</v>
      </c>
      <c r="G44" s="67" t="n">
        <v>2.05</v>
      </c>
      <c r="H44" s="49" t="n">
        <v>1</v>
      </c>
      <c r="I44" s="20"/>
      <c r="J44" s="20"/>
      <c r="K44" s="20"/>
      <c r="L44" s="20"/>
      <c r="M44" s="34" t="n">
        <f aca="false">E44*F44+G44*H44+I44*J44+K44*L44</f>
        <v>10.05</v>
      </c>
      <c r="N44" s="34" t="n">
        <f aca="false">Исходные!$B$12-M44</f>
        <v>1.65</v>
      </c>
      <c r="O44" s="49" t="n">
        <v>10</v>
      </c>
      <c r="P44" s="47" t="n">
        <f aca="false">(F44+H44+J44+L44)*O44</f>
        <v>30</v>
      </c>
      <c r="Q44" s="68" t="n">
        <f aca="false">M44*O44</f>
        <v>100.5</v>
      </c>
      <c r="R44" s="68" t="n">
        <f aca="false">N44*O44</f>
        <v>16.5</v>
      </c>
    </row>
    <row r="45" customFormat="false" ht="15" hidden="false" customHeight="false" outlineLevel="0" collapsed="false">
      <c r="A45" s="47" t="n">
        <v>1</v>
      </c>
      <c r="B45" s="47" t="n">
        <v>25</v>
      </c>
      <c r="C45" s="70" t="s">
        <v>368</v>
      </c>
      <c r="D45" s="47" t="n">
        <v>14</v>
      </c>
      <c r="E45" s="67" t="n">
        <v>2</v>
      </c>
      <c r="F45" s="49" t="n">
        <v>5</v>
      </c>
      <c r="G45" s="20"/>
      <c r="H45" s="20"/>
      <c r="I45" s="20"/>
      <c r="J45" s="20"/>
      <c r="K45" s="20"/>
      <c r="L45" s="20"/>
      <c r="M45" s="34" t="n">
        <f aca="false">E45*F45+G45*H45+I45*J45+K45*L45</f>
        <v>10</v>
      </c>
      <c r="N45" s="34" t="n">
        <f aca="false">Исходные!$B$12-M45</f>
        <v>1.7</v>
      </c>
      <c r="O45" s="49" t="n">
        <v>1</v>
      </c>
      <c r="P45" s="47" t="n">
        <f aca="false">(F45+H45+J45+L45)*O45</f>
        <v>5</v>
      </c>
      <c r="Q45" s="68" t="n">
        <f aca="false">M45*O45</f>
        <v>10</v>
      </c>
      <c r="R45" s="68" t="n">
        <f aca="false">N45*O45</f>
        <v>1.7</v>
      </c>
    </row>
    <row r="46" customFormat="false" ht="15" hidden="false" customHeight="false" outlineLevel="0" collapsed="false">
      <c r="A46" s="47" t="n">
        <v>1</v>
      </c>
      <c r="B46" s="47" t="n">
        <v>22</v>
      </c>
      <c r="C46" s="70" t="s">
        <v>368</v>
      </c>
      <c r="D46" s="47" t="n">
        <v>1</v>
      </c>
      <c r="E46" s="67" t="n">
        <v>4</v>
      </c>
      <c r="F46" s="49" t="n">
        <v>2</v>
      </c>
      <c r="G46" s="67" t="n">
        <v>2.375</v>
      </c>
      <c r="H46" s="49" t="n">
        <v>1</v>
      </c>
      <c r="I46" s="67" t="n">
        <v>1.3</v>
      </c>
      <c r="J46" s="49" t="n">
        <v>1</v>
      </c>
      <c r="K46" s="20"/>
      <c r="L46" s="20"/>
      <c r="M46" s="34" t="n">
        <f aca="false">E46*F46+G46*H46+I46*J46+K46*L46</f>
        <v>11.675</v>
      </c>
      <c r="N46" s="34" t="n">
        <f aca="false">Исходные!$B$12-M46</f>
        <v>0.0249999999999986</v>
      </c>
      <c r="O46" s="49" t="n">
        <v>3</v>
      </c>
      <c r="P46" s="47" t="n">
        <f aca="false">(F46+H46+J46+L46)*O46</f>
        <v>12</v>
      </c>
      <c r="Q46" s="68" t="n">
        <f aca="false">M46*O46</f>
        <v>35.025</v>
      </c>
      <c r="R46" s="68" t="n">
        <f aca="false">N46*O46</f>
        <v>0.0749999999999957</v>
      </c>
    </row>
    <row r="47" customFormat="false" ht="15" hidden="false" customHeight="false" outlineLevel="0" collapsed="false">
      <c r="A47" s="47" t="n">
        <v>1</v>
      </c>
      <c r="B47" s="47" t="n">
        <v>22</v>
      </c>
      <c r="C47" s="70" t="s">
        <v>368</v>
      </c>
      <c r="D47" s="47" t="n">
        <v>2</v>
      </c>
      <c r="E47" s="67" t="n">
        <v>4.7</v>
      </c>
      <c r="F47" s="49" t="n">
        <v>2</v>
      </c>
      <c r="G47" s="67" t="n">
        <v>2.175</v>
      </c>
      <c r="H47" s="49" t="n">
        <v>1</v>
      </c>
      <c r="I47" s="20"/>
      <c r="J47" s="20"/>
      <c r="K47" s="20"/>
      <c r="L47" s="20"/>
      <c r="M47" s="34" t="n">
        <f aca="false">E47*F47+G47*H47+I47*J47+K47*L47</f>
        <v>11.575</v>
      </c>
      <c r="N47" s="34" t="n">
        <f aca="false">Исходные!$B$12-M47</f>
        <v>0.125</v>
      </c>
      <c r="O47" s="49" t="n">
        <v>1</v>
      </c>
      <c r="P47" s="47" t="n">
        <f aca="false">(F47+H47+J47+L47)*O47</f>
        <v>3</v>
      </c>
      <c r="Q47" s="68" t="n">
        <f aca="false">M47*O47</f>
        <v>11.575</v>
      </c>
      <c r="R47" s="68" t="n">
        <f aca="false">N47*O47</f>
        <v>0.125</v>
      </c>
    </row>
    <row r="48" customFormat="false" ht="15" hidden="false" customHeight="false" outlineLevel="0" collapsed="false">
      <c r="A48" s="47" t="n">
        <v>1</v>
      </c>
      <c r="B48" s="47" t="n">
        <v>22</v>
      </c>
      <c r="C48" s="70" t="s">
        <v>368</v>
      </c>
      <c r="D48" s="47" t="n">
        <v>3</v>
      </c>
      <c r="E48" s="67" t="n">
        <v>3.775</v>
      </c>
      <c r="F48" s="49" t="n">
        <v>1</v>
      </c>
      <c r="G48" s="67" t="n">
        <v>2.15</v>
      </c>
      <c r="H48" s="49" t="n">
        <v>3</v>
      </c>
      <c r="I48" s="67" t="n">
        <v>1.3</v>
      </c>
      <c r="J48" s="49" t="n">
        <v>1</v>
      </c>
      <c r="K48" s="20"/>
      <c r="L48" s="20"/>
      <c r="M48" s="34" t="n">
        <f aca="false">E48*F48+G48*H48+I48*J48+K48*L48</f>
        <v>11.525</v>
      </c>
      <c r="N48" s="34" t="n">
        <f aca="false">Исходные!$B$12-M48</f>
        <v>0.174999999999999</v>
      </c>
      <c r="O48" s="49" t="n">
        <v>1</v>
      </c>
      <c r="P48" s="47" t="n">
        <f aca="false">(F48+H48+J48+L48)*O48</f>
        <v>5</v>
      </c>
      <c r="Q48" s="68" t="n">
        <f aca="false">M48*O48</f>
        <v>11.525</v>
      </c>
      <c r="R48" s="68" t="n">
        <f aca="false">N48*O48</f>
        <v>0.174999999999999</v>
      </c>
    </row>
    <row r="49" customFormat="false" ht="15" hidden="false" customHeight="false" outlineLevel="0" collapsed="false">
      <c r="A49" s="47" t="n">
        <v>1</v>
      </c>
      <c r="B49" s="47" t="n">
        <v>22</v>
      </c>
      <c r="C49" s="70" t="s">
        <v>368</v>
      </c>
      <c r="D49" s="47" t="n">
        <v>4</v>
      </c>
      <c r="E49" s="67" t="n">
        <v>4.15</v>
      </c>
      <c r="F49" s="49" t="n">
        <v>2</v>
      </c>
      <c r="G49" s="67" t="n">
        <v>3.2</v>
      </c>
      <c r="H49" s="49" t="n">
        <v>1</v>
      </c>
      <c r="I49" s="20"/>
      <c r="J49" s="20"/>
      <c r="K49" s="20"/>
      <c r="L49" s="20"/>
      <c r="M49" s="34" t="n">
        <f aca="false">E49*F49+G49*H49+I49*J49+K49*L49</f>
        <v>11.5</v>
      </c>
      <c r="N49" s="34" t="n">
        <f aca="false">Исходные!$B$12-M49</f>
        <v>0.199999999999999</v>
      </c>
      <c r="O49" s="49" t="n">
        <v>4</v>
      </c>
      <c r="P49" s="47" t="n">
        <f aca="false">(F49+H49+J49+L49)*O49</f>
        <v>12</v>
      </c>
      <c r="Q49" s="68" t="n">
        <f aca="false">M49*O49</f>
        <v>46</v>
      </c>
      <c r="R49" s="68" t="n">
        <f aca="false">N49*O49</f>
        <v>0.799999999999997</v>
      </c>
    </row>
    <row r="50" customFormat="false" ht="15" hidden="false" customHeight="false" outlineLevel="0" collapsed="false">
      <c r="A50" s="47" t="n">
        <v>1</v>
      </c>
      <c r="B50" s="47" t="n">
        <v>22</v>
      </c>
      <c r="C50" s="70" t="s">
        <v>368</v>
      </c>
      <c r="D50" s="47" t="n">
        <v>5</v>
      </c>
      <c r="E50" s="67" t="n">
        <v>4</v>
      </c>
      <c r="F50" s="49" t="n">
        <v>2</v>
      </c>
      <c r="G50" s="67" t="n">
        <v>2.175</v>
      </c>
      <c r="H50" s="49" t="n">
        <v>1</v>
      </c>
      <c r="I50" s="67" t="n">
        <v>1.3</v>
      </c>
      <c r="J50" s="49" t="n">
        <v>1</v>
      </c>
      <c r="K50" s="20"/>
      <c r="L50" s="20"/>
      <c r="M50" s="34" t="n">
        <f aca="false">E50*F50+G50*H50+I50*J50+K50*L50</f>
        <v>11.475</v>
      </c>
      <c r="N50" s="34" t="n">
        <f aca="false">Исходные!$B$12-M50</f>
        <v>0.224999999999998</v>
      </c>
      <c r="O50" s="49" t="n">
        <v>6</v>
      </c>
      <c r="P50" s="47" t="n">
        <f aca="false">(F50+H50+J50+L50)*O50</f>
        <v>24</v>
      </c>
      <c r="Q50" s="68" t="n">
        <f aca="false">M50*O50</f>
        <v>68.85</v>
      </c>
      <c r="R50" s="68" t="n">
        <f aca="false">N50*O50</f>
        <v>1.34999999999999</v>
      </c>
    </row>
    <row r="51" customFormat="false" ht="15" hidden="false" customHeight="false" outlineLevel="0" collapsed="false">
      <c r="A51" s="47" t="n">
        <v>1</v>
      </c>
      <c r="B51" s="47" t="n">
        <v>22</v>
      </c>
      <c r="C51" s="70" t="s">
        <v>368</v>
      </c>
      <c r="D51" s="47" t="n">
        <v>6</v>
      </c>
      <c r="E51" s="67" t="n">
        <v>4.5</v>
      </c>
      <c r="F51" s="49" t="n">
        <v>2</v>
      </c>
      <c r="G51" s="67" t="n">
        <v>2.375</v>
      </c>
      <c r="H51" s="49" t="n">
        <v>1</v>
      </c>
      <c r="I51" s="20"/>
      <c r="J51" s="20"/>
      <c r="K51" s="20"/>
      <c r="L51" s="20"/>
      <c r="M51" s="34" t="n">
        <f aca="false">E51*F51+G51*H51+I51*J51+K51*L51</f>
        <v>11.375</v>
      </c>
      <c r="N51" s="34" t="n">
        <f aca="false">Исходные!$B$12-M51</f>
        <v>0.324999999999999</v>
      </c>
      <c r="O51" s="49" t="n">
        <v>1</v>
      </c>
      <c r="P51" s="47" t="n">
        <f aca="false">(F51+H51+J51+L51)*O51</f>
        <v>3</v>
      </c>
      <c r="Q51" s="68" t="n">
        <f aca="false">M51*O51</f>
        <v>11.375</v>
      </c>
      <c r="R51" s="68" t="n">
        <f aca="false">N51*O51</f>
        <v>0.324999999999999</v>
      </c>
    </row>
    <row r="52" customFormat="false" ht="15" hidden="false" customHeight="false" outlineLevel="0" collapsed="false">
      <c r="A52" s="47" t="n">
        <v>1</v>
      </c>
      <c r="B52" s="47" t="n">
        <v>22</v>
      </c>
      <c r="C52" s="70" t="s">
        <v>368</v>
      </c>
      <c r="D52" s="47" t="n">
        <v>7</v>
      </c>
      <c r="E52" s="67" t="n">
        <v>3.775</v>
      </c>
      <c r="F52" s="49" t="n">
        <v>3</v>
      </c>
      <c r="G52" s="20"/>
      <c r="H52" s="20"/>
      <c r="I52" s="20"/>
      <c r="J52" s="20"/>
      <c r="K52" s="20"/>
      <c r="L52" s="20"/>
      <c r="M52" s="34" t="n">
        <f aca="false">E52*F52+G52*H52+I52*J52+K52*L52</f>
        <v>11.325</v>
      </c>
      <c r="N52" s="34" t="n">
        <f aca="false">Исходные!$B$12-M52</f>
        <v>0.375</v>
      </c>
      <c r="O52" s="49" t="n">
        <v>1</v>
      </c>
      <c r="P52" s="47" t="n">
        <f aca="false">(F52+H52+J52+L52)*O52</f>
        <v>3</v>
      </c>
      <c r="Q52" s="68" t="n">
        <f aca="false">M52*O52</f>
        <v>11.325</v>
      </c>
      <c r="R52" s="68" t="n">
        <f aca="false">N52*O52</f>
        <v>0.375</v>
      </c>
    </row>
    <row r="53" customFormat="false" ht="15" hidden="false" customHeight="false" outlineLevel="0" collapsed="false">
      <c r="A53" s="47" t="n">
        <v>1</v>
      </c>
      <c r="B53" s="47" t="n">
        <v>22</v>
      </c>
      <c r="C53" s="70" t="s">
        <v>368</v>
      </c>
      <c r="D53" s="47" t="n">
        <v>8</v>
      </c>
      <c r="E53" s="67" t="n">
        <v>5.5</v>
      </c>
      <c r="F53" s="49" t="n">
        <v>2</v>
      </c>
      <c r="G53" s="20"/>
      <c r="H53" s="20"/>
      <c r="I53" s="20"/>
      <c r="J53" s="20"/>
      <c r="K53" s="20"/>
      <c r="L53" s="20"/>
      <c r="M53" s="34" t="n">
        <f aca="false">E53*F53+G53*H53+I53*J53+K53*L53</f>
        <v>11</v>
      </c>
      <c r="N53" s="34" t="n">
        <f aca="false">Исходные!$B$12-M53</f>
        <v>0.699999999999999</v>
      </c>
      <c r="O53" s="49" t="n">
        <v>2</v>
      </c>
      <c r="P53" s="47" t="n">
        <f aca="false">(F53+H53+J53+L53)*O53</f>
        <v>4</v>
      </c>
      <c r="Q53" s="68" t="n">
        <f aca="false">M53*O53</f>
        <v>22</v>
      </c>
      <c r="R53" s="68" t="n">
        <f aca="false">N53*O53</f>
        <v>1.4</v>
      </c>
    </row>
    <row r="54" customFormat="false" ht="15" hidden="false" customHeight="false" outlineLevel="0" collapsed="false">
      <c r="A54" s="47" t="n">
        <v>1</v>
      </c>
      <c r="B54" s="47" t="n">
        <v>22</v>
      </c>
      <c r="C54" s="70" t="s">
        <v>368</v>
      </c>
      <c r="D54" s="47" t="n">
        <v>9</v>
      </c>
      <c r="E54" s="67" t="n">
        <v>2.15</v>
      </c>
      <c r="F54" s="49" t="n">
        <v>5</v>
      </c>
      <c r="G54" s="20"/>
      <c r="H54" s="20"/>
      <c r="I54" s="20"/>
      <c r="J54" s="20"/>
      <c r="K54" s="20"/>
      <c r="L54" s="20"/>
      <c r="M54" s="34" t="n">
        <f aca="false">E54*F54+G54*H54+I54*J54+K54*L54</f>
        <v>10.75</v>
      </c>
      <c r="N54" s="34" t="n">
        <f aca="false">Исходные!$B$12-M54</f>
        <v>0.949999999999999</v>
      </c>
      <c r="O54" s="49" t="n">
        <v>1</v>
      </c>
      <c r="P54" s="47" t="n">
        <f aca="false">(F54+H54+J54+L54)*O54</f>
        <v>5</v>
      </c>
      <c r="Q54" s="68" t="n">
        <f aca="false">M54*O54</f>
        <v>10.75</v>
      </c>
      <c r="R54" s="68" t="n">
        <f aca="false">N54*O54</f>
        <v>0.949999999999999</v>
      </c>
    </row>
    <row r="55" customFormat="false" ht="15" hidden="false" customHeight="false" outlineLevel="0" collapsed="false">
      <c r="A55" s="47" t="n">
        <v>1</v>
      </c>
      <c r="B55" s="47" t="n">
        <v>22</v>
      </c>
      <c r="C55" s="70" t="s">
        <v>368</v>
      </c>
      <c r="D55" s="47" t="n">
        <v>10</v>
      </c>
      <c r="E55" s="67" t="n">
        <v>2.15</v>
      </c>
      <c r="F55" s="49" t="n">
        <v>4</v>
      </c>
      <c r="G55" s="67" t="n">
        <v>2.05</v>
      </c>
      <c r="H55" s="49" t="n">
        <v>1</v>
      </c>
      <c r="I55" s="20"/>
      <c r="J55" s="20"/>
      <c r="K55" s="20"/>
      <c r="L55" s="20"/>
      <c r="M55" s="34" t="n">
        <f aca="false">E55*F55+G55*H55+I55*J55+K55*L55</f>
        <v>10.65</v>
      </c>
      <c r="N55" s="34" t="n">
        <f aca="false">Исходные!$B$12-M55</f>
        <v>1.05</v>
      </c>
      <c r="O55" s="49" t="n">
        <v>1</v>
      </c>
      <c r="P55" s="47" t="n">
        <f aca="false">(F55+H55+J55+L55)*O55</f>
        <v>5</v>
      </c>
      <c r="Q55" s="68" t="n">
        <f aca="false">M55*O55</f>
        <v>10.65</v>
      </c>
      <c r="R55" s="68" t="n">
        <f aca="false">N55*O55</f>
        <v>1.05</v>
      </c>
    </row>
    <row r="56" customFormat="false" ht="15" hidden="false" customHeight="false" outlineLevel="0" collapsed="false">
      <c r="A56" s="47" t="n">
        <v>1</v>
      </c>
      <c r="B56" s="47" t="n">
        <v>22</v>
      </c>
      <c r="C56" s="70" t="s">
        <v>368</v>
      </c>
      <c r="D56" s="47" t="n">
        <v>11</v>
      </c>
      <c r="E56" s="67" t="n">
        <v>4</v>
      </c>
      <c r="F56" s="49" t="n">
        <v>2</v>
      </c>
      <c r="G56" s="67" t="n">
        <v>2.175</v>
      </c>
      <c r="H56" s="49" t="n">
        <v>1</v>
      </c>
      <c r="I56" s="20"/>
      <c r="J56" s="20"/>
      <c r="K56" s="20"/>
      <c r="L56" s="20"/>
      <c r="M56" s="34" t="n">
        <f aca="false">E56*F56+G56*H56+I56*J56+K56*L56</f>
        <v>10.175</v>
      </c>
      <c r="N56" s="34" t="n">
        <f aca="false">Исходные!$B$12-M56</f>
        <v>1.525</v>
      </c>
      <c r="O56" s="49" t="n">
        <v>9</v>
      </c>
      <c r="P56" s="47" t="n">
        <f aca="false">(F56+H56+J56+L56)*O56</f>
        <v>27</v>
      </c>
      <c r="Q56" s="68" t="n">
        <f aca="false">M56*O56</f>
        <v>91.575</v>
      </c>
      <c r="R56" s="68" t="n">
        <f aca="false">N56*O56</f>
        <v>13.725</v>
      </c>
    </row>
    <row r="57" customFormat="false" ht="15" hidden="false" customHeight="false" outlineLevel="0" collapsed="false">
      <c r="A57" s="47" t="n">
        <v>1</v>
      </c>
      <c r="B57" s="47" t="n">
        <v>22</v>
      </c>
      <c r="C57" s="70" t="s">
        <v>368</v>
      </c>
      <c r="D57" s="47" t="n">
        <v>12</v>
      </c>
      <c r="E57" s="67" t="n">
        <v>7.95</v>
      </c>
      <c r="F57" s="49" t="n">
        <v>1</v>
      </c>
      <c r="G57" s="67" t="n">
        <v>2.15</v>
      </c>
      <c r="H57" s="49" t="n">
        <v>1</v>
      </c>
      <c r="I57" s="20"/>
      <c r="J57" s="20"/>
      <c r="K57" s="20"/>
      <c r="L57" s="20"/>
      <c r="M57" s="34" t="n">
        <f aca="false">E57*F57+G57*H57+I57*J57+K57*L57</f>
        <v>10.1</v>
      </c>
      <c r="N57" s="34" t="n">
        <f aca="false">Исходные!$B$12-M57</f>
        <v>1.6</v>
      </c>
      <c r="O57" s="49" t="n">
        <v>4</v>
      </c>
      <c r="P57" s="47" t="n">
        <f aca="false">(F57+H57+J57+L57)*O57</f>
        <v>8</v>
      </c>
      <c r="Q57" s="68" t="n">
        <f aca="false">M57*O57</f>
        <v>40.4</v>
      </c>
      <c r="R57" s="68" t="n">
        <f aca="false">N57*O57</f>
        <v>6.4</v>
      </c>
    </row>
    <row r="58" customFormat="false" ht="15" hidden="false" customHeight="false" outlineLevel="0" collapsed="false">
      <c r="A58" s="47" t="n">
        <v>1</v>
      </c>
      <c r="B58" s="47" t="n">
        <v>22</v>
      </c>
      <c r="C58" s="70" t="s">
        <v>368</v>
      </c>
      <c r="D58" s="47" t="n">
        <v>13</v>
      </c>
      <c r="E58" s="67" t="n">
        <v>2.05</v>
      </c>
      <c r="F58" s="49" t="n">
        <v>1</v>
      </c>
      <c r="G58" s="20"/>
      <c r="H58" s="20"/>
      <c r="I58" s="20"/>
      <c r="J58" s="20"/>
      <c r="K58" s="20"/>
      <c r="L58" s="20"/>
      <c r="M58" s="34" t="n">
        <f aca="false">E58*F58+G58*H58+I58*J58+K58*L58</f>
        <v>2.05</v>
      </c>
      <c r="N58" s="34" t="n">
        <f aca="false">Исходные!$B$12-M58</f>
        <v>9.65</v>
      </c>
      <c r="O58" s="49" t="n">
        <v>1</v>
      </c>
      <c r="P58" s="47" t="n">
        <f aca="false">(F58+H58+J58+L58)*O58</f>
        <v>1</v>
      </c>
      <c r="Q58" s="68" t="n">
        <f aca="false">M58*O58</f>
        <v>2.05</v>
      </c>
      <c r="R58" s="68" t="n">
        <f aca="false">N58*O58</f>
        <v>9.65</v>
      </c>
    </row>
    <row r="59" customFormat="false" ht="15" hidden="false" customHeight="false" outlineLevel="0" collapsed="false">
      <c r="A59" s="47" t="n">
        <v>1</v>
      </c>
      <c r="B59" s="47" t="n">
        <v>20</v>
      </c>
      <c r="C59" s="70" t="s">
        <v>368</v>
      </c>
      <c r="D59" s="47" t="n">
        <v>1</v>
      </c>
      <c r="E59" s="67" t="n">
        <v>4</v>
      </c>
      <c r="F59" s="49" t="n">
        <v>2</v>
      </c>
      <c r="G59" s="67" t="n">
        <v>2.4</v>
      </c>
      <c r="H59" s="49" t="n">
        <v>1</v>
      </c>
      <c r="I59" s="67" t="n">
        <v>1.2</v>
      </c>
      <c r="J59" s="49" t="n">
        <v>1</v>
      </c>
      <c r="K59" s="20"/>
      <c r="L59" s="20"/>
      <c r="M59" s="34" t="n">
        <f aca="false">E59*F59+G59*H59+I59*J59+K59*L59</f>
        <v>11.6</v>
      </c>
      <c r="N59" s="34" t="n">
        <f aca="false">Исходные!$B$12-M59</f>
        <v>0.0999999999999996</v>
      </c>
      <c r="O59" s="49" t="n">
        <v>1</v>
      </c>
      <c r="P59" s="47" t="n">
        <f aca="false">(F59+H59+J59+L59)*O59</f>
        <v>4</v>
      </c>
      <c r="Q59" s="68" t="n">
        <f aca="false">M59*O59</f>
        <v>11.6</v>
      </c>
      <c r="R59" s="68" t="n">
        <f aca="false">N59*O59</f>
        <v>0.0999999999999996</v>
      </c>
    </row>
    <row r="60" customFormat="false" ht="15" hidden="false" customHeight="false" outlineLevel="0" collapsed="false">
      <c r="A60" s="47" t="n">
        <v>1</v>
      </c>
      <c r="B60" s="47" t="n">
        <v>20</v>
      </c>
      <c r="C60" s="70" t="s">
        <v>368</v>
      </c>
      <c r="D60" s="47" t="n">
        <v>2</v>
      </c>
      <c r="E60" s="67" t="n">
        <v>4</v>
      </c>
      <c r="F60" s="49" t="n">
        <v>2</v>
      </c>
      <c r="G60" s="67" t="n">
        <v>1.2</v>
      </c>
      <c r="H60" s="49" t="n">
        <v>3</v>
      </c>
      <c r="I60" s="20"/>
      <c r="J60" s="20"/>
      <c r="K60" s="20"/>
      <c r="L60" s="20"/>
      <c r="M60" s="34" t="n">
        <f aca="false">E60*F60+G60*H60+I60*J60+K60*L60</f>
        <v>11.6</v>
      </c>
      <c r="N60" s="34" t="n">
        <f aca="false">Исходные!$B$12-M60</f>
        <v>0.0999999999999996</v>
      </c>
      <c r="O60" s="49" t="n">
        <v>1</v>
      </c>
      <c r="P60" s="47" t="n">
        <f aca="false">(F60+H60+J60+L60)*O60</f>
        <v>5</v>
      </c>
      <c r="Q60" s="68" t="n">
        <f aca="false">M60*O60</f>
        <v>11.6</v>
      </c>
      <c r="R60" s="68" t="n">
        <f aca="false">N60*O60</f>
        <v>0.0999999999999996</v>
      </c>
    </row>
    <row r="61" customFormat="false" ht="15" hidden="false" customHeight="false" outlineLevel="0" collapsed="false">
      <c r="A61" s="47" t="n">
        <v>1</v>
      </c>
      <c r="B61" s="47" t="n">
        <v>20</v>
      </c>
      <c r="C61" s="70" t="s">
        <v>368</v>
      </c>
      <c r="D61" s="47" t="n">
        <v>3</v>
      </c>
      <c r="E61" s="67" t="n">
        <v>4.1</v>
      </c>
      <c r="F61" s="49" t="n">
        <v>2</v>
      </c>
      <c r="G61" s="67" t="n">
        <v>3.325</v>
      </c>
      <c r="H61" s="49" t="n">
        <v>1</v>
      </c>
      <c r="I61" s="20"/>
      <c r="J61" s="20"/>
      <c r="K61" s="20"/>
      <c r="L61" s="20"/>
      <c r="M61" s="34" t="n">
        <f aca="false">E61*F61+G61*H61+I61*J61+K61*L61</f>
        <v>11.525</v>
      </c>
      <c r="N61" s="34" t="n">
        <f aca="false">Исходные!$B$12-M61</f>
        <v>0.175000000000001</v>
      </c>
      <c r="O61" s="49" t="n">
        <v>2</v>
      </c>
      <c r="P61" s="47" t="n">
        <f aca="false">(F61+H61+J61+L61)*O61</f>
        <v>6</v>
      </c>
      <c r="Q61" s="68" t="n">
        <f aca="false">M61*O61</f>
        <v>23.05</v>
      </c>
      <c r="R61" s="68" t="n">
        <f aca="false">N61*O61</f>
        <v>0.350000000000001</v>
      </c>
    </row>
    <row r="62" customFormat="false" ht="15" hidden="false" customHeight="false" outlineLevel="0" collapsed="false">
      <c r="A62" s="47" t="n">
        <v>1</v>
      </c>
      <c r="B62" s="47" t="n">
        <v>20</v>
      </c>
      <c r="C62" s="70" t="s">
        <v>368</v>
      </c>
      <c r="D62" s="47" t="n">
        <v>4</v>
      </c>
      <c r="E62" s="67" t="n">
        <v>3.785</v>
      </c>
      <c r="F62" s="49" t="n">
        <v>3</v>
      </c>
      <c r="G62" s="20"/>
      <c r="H62" s="20"/>
      <c r="I62" s="20"/>
      <c r="J62" s="20"/>
      <c r="K62" s="20"/>
      <c r="L62" s="20"/>
      <c r="M62" s="34" t="n">
        <f aca="false">E62*F62+G62*H62+I62*J62+K62*L62</f>
        <v>11.355</v>
      </c>
      <c r="N62" s="34" t="n">
        <f aca="false">Исходные!$B$12-M62</f>
        <v>0.344999999999999</v>
      </c>
      <c r="O62" s="49" t="n">
        <v>1</v>
      </c>
      <c r="P62" s="47" t="n">
        <f aca="false">(F62+H62+J62+L62)*O62</f>
        <v>3</v>
      </c>
      <c r="Q62" s="68" t="n">
        <f aca="false">M62*O62</f>
        <v>11.355</v>
      </c>
      <c r="R62" s="68" t="n">
        <f aca="false">N62*O62</f>
        <v>0.344999999999999</v>
      </c>
    </row>
    <row r="63" customFormat="false" ht="15" hidden="false" customHeight="false" outlineLevel="0" collapsed="false">
      <c r="A63" s="47" t="n">
        <v>1</v>
      </c>
      <c r="B63" s="47" t="n">
        <v>20</v>
      </c>
      <c r="C63" s="70" t="s">
        <v>368</v>
      </c>
      <c r="D63" s="47" t="n">
        <v>5</v>
      </c>
      <c r="E63" s="67" t="n">
        <v>4</v>
      </c>
      <c r="F63" s="49" t="n">
        <v>2</v>
      </c>
      <c r="G63" s="67" t="n">
        <v>3.325</v>
      </c>
      <c r="H63" s="49" t="n">
        <v>1</v>
      </c>
      <c r="I63" s="20"/>
      <c r="J63" s="20"/>
      <c r="K63" s="20"/>
      <c r="L63" s="20"/>
      <c r="M63" s="34" t="n">
        <f aca="false">E63*F63+G63*H63+I63*J63+K63*L63</f>
        <v>11.325</v>
      </c>
      <c r="N63" s="34" t="n">
        <f aca="false">Исходные!$B$12-M63</f>
        <v>0.375</v>
      </c>
      <c r="O63" s="49" t="n">
        <v>2</v>
      </c>
      <c r="P63" s="47" t="n">
        <f aca="false">(F63+H63+J63+L63)*O63</f>
        <v>6</v>
      </c>
      <c r="Q63" s="68" t="n">
        <f aca="false">M63*O63</f>
        <v>22.65</v>
      </c>
      <c r="R63" s="68" t="n">
        <f aca="false">N63*O63</f>
        <v>0.75</v>
      </c>
    </row>
    <row r="64" customFormat="false" ht="15" hidden="false" customHeight="false" outlineLevel="0" collapsed="false">
      <c r="A64" s="47" t="n">
        <v>1</v>
      </c>
      <c r="B64" s="47" t="n">
        <v>20</v>
      </c>
      <c r="C64" s="70" t="s">
        <v>368</v>
      </c>
      <c r="D64" s="47" t="n">
        <v>6</v>
      </c>
      <c r="E64" s="67" t="n">
        <v>4</v>
      </c>
      <c r="F64" s="49" t="n">
        <v>2</v>
      </c>
      <c r="G64" s="67" t="n">
        <v>1.95</v>
      </c>
      <c r="H64" s="49" t="n">
        <v>1</v>
      </c>
      <c r="I64" s="67" t="n">
        <v>1.2</v>
      </c>
      <c r="J64" s="49" t="n">
        <v>1</v>
      </c>
      <c r="K64" s="20"/>
      <c r="L64" s="20"/>
      <c r="M64" s="34" t="n">
        <f aca="false">E64*F64+G64*H64+I64*J64+K64*L64</f>
        <v>11.15</v>
      </c>
      <c r="N64" s="34" t="n">
        <f aca="false">Исходные!$B$12-M64</f>
        <v>0.550000000000001</v>
      </c>
      <c r="O64" s="49" t="n">
        <v>10</v>
      </c>
      <c r="P64" s="47" t="n">
        <f aca="false">(F64+H64+J64+L64)*O64</f>
        <v>40</v>
      </c>
      <c r="Q64" s="68" t="n">
        <f aca="false">M64*O64</f>
        <v>111.5</v>
      </c>
      <c r="R64" s="68" t="n">
        <f aca="false">N64*O64</f>
        <v>5.50000000000001</v>
      </c>
    </row>
    <row r="65" customFormat="false" ht="15" hidden="false" customHeight="false" outlineLevel="0" collapsed="false">
      <c r="A65" s="47" t="n">
        <v>1</v>
      </c>
      <c r="B65" s="47" t="n">
        <v>20</v>
      </c>
      <c r="C65" s="70" t="s">
        <v>368</v>
      </c>
      <c r="D65" s="47" t="n">
        <v>7</v>
      </c>
      <c r="E65" s="67" t="n">
        <v>4</v>
      </c>
      <c r="F65" s="49" t="n">
        <v>2</v>
      </c>
      <c r="G65" s="67" t="n">
        <v>3.05</v>
      </c>
      <c r="H65" s="49" t="n">
        <v>1</v>
      </c>
      <c r="I65" s="20"/>
      <c r="J65" s="20"/>
      <c r="K65" s="20"/>
      <c r="L65" s="20"/>
      <c r="M65" s="34" t="n">
        <f aca="false">E65*F65+G65*H65+I65*J65+K65*L65</f>
        <v>11.05</v>
      </c>
      <c r="N65" s="34" t="n">
        <f aca="false">Исходные!$B$12-M65</f>
        <v>0.649999999999999</v>
      </c>
      <c r="O65" s="49" t="n">
        <v>4</v>
      </c>
      <c r="P65" s="47" t="n">
        <f aca="false">(F65+H65+J65+L65)*O65</f>
        <v>12</v>
      </c>
      <c r="Q65" s="68" t="n">
        <f aca="false">M65*O65</f>
        <v>44.2</v>
      </c>
      <c r="R65" s="68" t="n">
        <f aca="false">N65*O65</f>
        <v>2.59999999999999</v>
      </c>
    </row>
    <row r="66" customFormat="false" ht="15" hidden="false" customHeight="false" outlineLevel="0" collapsed="false">
      <c r="A66" s="47" t="n">
        <v>1</v>
      </c>
      <c r="B66" s="47" t="n">
        <v>20</v>
      </c>
      <c r="C66" s="70" t="s">
        <v>368</v>
      </c>
      <c r="D66" s="47" t="n">
        <v>8</v>
      </c>
      <c r="E66" s="67" t="n">
        <v>4</v>
      </c>
      <c r="F66" s="49" t="n">
        <v>2</v>
      </c>
      <c r="G66" s="67" t="n">
        <v>3</v>
      </c>
      <c r="H66" s="49" t="n">
        <v>1</v>
      </c>
      <c r="I66" s="20"/>
      <c r="J66" s="20"/>
      <c r="K66" s="20"/>
      <c r="L66" s="20"/>
      <c r="M66" s="34" t="n">
        <f aca="false">E66*F66+G66*H66+I66*J66+K66*L66</f>
        <v>11</v>
      </c>
      <c r="N66" s="34" t="n">
        <f aca="false">Исходные!$B$12-M66</f>
        <v>0.699999999999999</v>
      </c>
      <c r="O66" s="49" t="n">
        <v>6</v>
      </c>
      <c r="P66" s="47" t="n">
        <f aca="false">(F66+H66+J66+L66)*O66</f>
        <v>18</v>
      </c>
      <c r="Q66" s="68" t="n">
        <f aca="false">M66*O66</f>
        <v>66</v>
      </c>
      <c r="R66" s="68" t="n">
        <f aca="false">N66*O66</f>
        <v>4.2</v>
      </c>
    </row>
    <row r="67" customFormat="false" ht="15" hidden="false" customHeight="false" outlineLevel="0" collapsed="false">
      <c r="A67" s="47" t="n">
        <v>1</v>
      </c>
      <c r="B67" s="47" t="n">
        <v>20</v>
      </c>
      <c r="C67" s="70" t="s">
        <v>368</v>
      </c>
      <c r="D67" s="47" t="n">
        <v>9</v>
      </c>
      <c r="E67" s="67" t="n">
        <v>4</v>
      </c>
      <c r="F67" s="49" t="n">
        <v>2</v>
      </c>
      <c r="G67" s="67" t="n">
        <v>2.85</v>
      </c>
      <c r="H67" s="49" t="n">
        <v>1</v>
      </c>
      <c r="I67" s="20"/>
      <c r="J67" s="20"/>
      <c r="K67" s="20"/>
      <c r="L67" s="20"/>
      <c r="M67" s="34" t="n">
        <f aca="false">E67*F67+G67*H67+I67*J67+K67*L67</f>
        <v>10.85</v>
      </c>
      <c r="N67" s="34" t="n">
        <f aca="false">Исходные!$B$12-M67</f>
        <v>0.85</v>
      </c>
      <c r="O67" s="49" t="n">
        <v>2</v>
      </c>
      <c r="P67" s="47" t="n">
        <f aca="false">(F67+H67+J67+L67)*O67</f>
        <v>6</v>
      </c>
      <c r="Q67" s="68" t="n">
        <f aca="false">M67*O67</f>
        <v>21.7</v>
      </c>
      <c r="R67" s="68" t="n">
        <f aca="false">N67*O67</f>
        <v>1.7</v>
      </c>
    </row>
    <row r="68" customFormat="false" ht="15" hidden="false" customHeight="false" outlineLevel="0" collapsed="false">
      <c r="A68" s="47" t="n">
        <v>1</v>
      </c>
      <c r="B68" s="47" t="n">
        <v>20</v>
      </c>
      <c r="C68" s="70" t="s">
        <v>368</v>
      </c>
      <c r="D68" s="47" t="n">
        <v>10</v>
      </c>
      <c r="E68" s="67" t="n">
        <v>4</v>
      </c>
      <c r="F68" s="49" t="n">
        <v>2</v>
      </c>
      <c r="G68" s="67" t="n">
        <v>1.2</v>
      </c>
      <c r="H68" s="49" t="n">
        <v>2</v>
      </c>
      <c r="I68" s="20"/>
      <c r="J68" s="20"/>
      <c r="K68" s="20"/>
      <c r="L68" s="20"/>
      <c r="M68" s="34" t="n">
        <f aca="false">E68*F68+G68*H68+I68*J68+K68*L68</f>
        <v>10.4</v>
      </c>
      <c r="N68" s="34" t="n">
        <f aca="false">Исходные!$B$12-M68</f>
        <v>1.3</v>
      </c>
      <c r="O68" s="49" t="n">
        <v>1</v>
      </c>
      <c r="P68" s="47" t="n">
        <f aca="false">(F68+H68+J68+L68)*O68</f>
        <v>4</v>
      </c>
      <c r="Q68" s="68" t="n">
        <f aca="false">M68*O68</f>
        <v>10.4</v>
      </c>
      <c r="R68" s="68" t="n">
        <f aca="false">N68*O68</f>
        <v>1.3</v>
      </c>
    </row>
    <row r="69" customFormat="false" ht="15" hidden="false" customHeight="false" outlineLevel="0" collapsed="false">
      <c r="A69" s="47" t="n">
        <v>1</v>
      </c>
      <c r="B69" s="47" t="n">
        <v>20</v>
      </c>
      <c r="C69" s="70" t="s">
        <v>368</v>
      </c>
      <c r="D69" s="47" t="n">
        <v>11</v>
      </c>
      <c r="E69" s="67" t="n">
        <v>4</v>
      </c>
      <c r="F69" s="49" t="n">
        <v>2</v>
      </c>
      <c r="G69" s="20"/>
      <c r="H69" s="20"/>
      <c r="I69" s="20"/>
      <c r="J69" s="20"/>
      <c r="K69" s="20"/>
      <c r="L69" s="20"/>
      <c r="M69" s="34" t="n">
        <f aca="false">E69*F69+G69*H69+I69*J69+K69*L69</f>
        <v>8</v>
      </c>
      <c r="N69" s="34" t="n">
        <f aca="false">Исходные!$B$12-M69</f>
        <v>3.7</v>
      </c>
      <c r="O69" s="49" t="n">
        <v>56</v>
      </c>
      <c r="P69" s="47" t="n">
        <f aca="false">(F69+H69+J69+L69)*O69</f>
        <v>112</v>
      </c>
      <c r="Q69" s="68" t="n">
        <f aca="false">M69*O69</f>
        <v>448</v>
      </c>
      <c r="R69" s="68" t="n">
        <f aca="false">N69*O69</f>
        <v>207.2</v>
      </c>
    </row>
    <row r="70" customFormat="false" ht="15" hidden="false" customHeight="false" outlineLevel="0" collapsed="false">
      <c r="A70" s="47" t="n">
        <v>1</v>
      </c>
      <c r="B70" s="47" t="n">
        <v>20</v>
      </c>
      <c r="C70" s="70" t="s">
        <v>368</v>
      </c>
      <c r="D70" s="47" t="n">
        <v>12</v>
      </c>
      <c r="E70" s="67" t="n">
        <v>3.785</v>
      </c>
      <c r="F70" s="49" t="n">
        <v>1</v>
      </c>
      <c r="G70" s="20"/>
      <c r="H70" s="20"/>
      <c r="I70" s="20"/>
      <c r="J70" s="20"/>
      <c r="K70" s="20"/>
      <c r="L70" s="20"/>
      <c r="M70" s="34" t="n">
        <f aca="false">E70*F70+G70*H70+I70*J70+K70*L70</f>
        <v>3.785</v>
      </c>
      <c r="N70" s="34" t="n">
        <f aca="false">Исходные!$B$12-M70</f>
        <v>7.915</v>
      </c>
      <c r="O70" s="49" t="n">
        <v>1</v>
      </c>
      <c r="P70" s="47" t="n">
        <f aca="false">(F70+H70+J70+L70)*O70</f>
        <v>1</v>
      </c>
      <c r="Q70" s="68" t="n">
        <f aca="false">M70*O70</f>
        <v>3.785</v>
      </c>
      <c r="R70" s="68" t="n">
        <f aca="false">N70*O70</f>
        <v>7.915</v>
      </c>
    </row>
    <row r="71" customFormat="false" ht="15" hidden="false" customHeight="false" outlineLevel="0" collapsed="false">
      <c r="A71" s="47" t="n">
        <v>1</v>
      </c>
      <c r="B71" s="47" t="n">
        <v>18</v>
      </c>
      <c r="C71" s="70" t="s">
        <v>368</v>
      </c>
      <c r="D71" s="47" t="n">
        <v>1</v>
      </c>
      <c r="E71" s="67" t="n">
        <v>11.7</v>
      </c>
      <c r="F71" s="49" t="n">
        <v>1</v>
      </c>
      <c r="G71" s="20"/>
      <c r="H71" s="20"/>
      <c r="I71" s="20"/>
      <c r="J71" s="20"/>
      <c r="K71" s="20"/>
      <c r="L71" s="20"/>
      <c r="M71" s="34" t="n">
        <f aca="false">E71*F71+G71*H71+I71*J71+K71*L71</f>
        <v>11.7</v>
      </c>
      <c r="N71" s="34" t="n">
        <f aca="false">Исходные!$B$12-M71</f>
        <v>0</v>
      </c>
      <c r="O71" s="49" t="n">
        <v>26</v>
      </c>
      <c r="P71" s="47" t="n">
        <f aca="false">(F71+H71+J71+L71)*O71</f>
        <v>26</v>
      </c>
      <c r="Q71" s="68" t="n">
        <f aca="false">M71*O71</f>
        <v>304.2</v>
      </c>
      <c r="R71" s="68" t="n">
        <f aca="false">N71*O71</f>
        <v>0</v>
      </c>
    </row>
    <row r="72" customFormat="false" ht="15" hidden="false" customHeight="false" outlineLevel="0" collapsed="false">
      <c r="A72" s="47" t="n">
        <v>1</v>
      </c>
      <c r="B72" s="47" t="n">
        <v>18</v>
      </c>
      <c r="C72" s="70" t="s">
        <v>368</v>
      </c>
      <c r="D72" s="47" t="n">
        <v>2</v>
      </c>
      <c r="E72" s="67" t="n">
        <v>6.508</v>
      </c>
      <c r="F72" s="49" t="n">
        <v>1</v>
      </c>
      <c r="G72" s="67" t="n">
        <v>1.95</v>
      </c>
      <c r="H72" s="49" t="n">
        <v>2</v>
      </c>
      <c r="I72" s="67" t="n">
        <v>1.2</v>
      </c>
      <c r="J72" s="49" t="n">
        <v>1</v>
      </c>
      <c r="K72" s="20"/>
      <c r="L72" s="20"/>
      <c r="M72" s="34" t="n">
        <f aca="false">E72*F72+G72*H72+I72*J72+K72*L72</f>
        <v>11.608</v>
      </c>
      <c r="N72" s="34" t="n">
        <f aca="false">Исходные!$B$12-M72</f>
        <v>0.0920000000000005</v>
      </c>
      <c r="O72" s="49" t="n">
        <v>8</v>
      </c>
      <c r="P72" s="47" t="n">
        <f aca="false">(F72+H72+J72+L72)*O72</f>
        <v>32</v>
      </c>
      <c r="Q72" s="68" t="n">
        <f aca="false">M72*O72</f>
        <v>92.864</v>
      </c>
      <c r="R72" s="68" t="n">
        <f aca="false">N72*O72</f>
        <v>0.736000000000004</v>
      </c>
    </row>
    <row r="73" customFormat="false" ht="15" hidden="false" customHeight="false" outlineLevel="0" collapsed="false">
      <c r="A73" s="47" t="n">
        <v>1</v>
      </c>
      <c r="B73" s="47" t="n">
        <v>18</v>
      </c>
      <c r="C73" s="70" t="s">
        <v>368</v>
      </c>
      <c r="D73" s="47" t="n">
        <v>3</v>
      </c>
      <c r="E73" s="67" t="n">
        <v>5.93</v>
      </c>
      <c r="F73" s="49" t="n">
        <v>1</v>
      </c>
      <c r="G73" s="67" t="n">
        <v>1.45</v>
      </c>
      <c r="H73" s="49" t="n">
        <v>3</v>
      </c>
      <c r="I73" s="67" t="n">
        <v>1.2</v>
      </c>
      <c r="J73" s="49" t="n">
        <v>1</v>
      </c>
      <c r="K73" s="20"/>
      <c r="L73" s="20"/>
      <c r="M73" s="34" t="n">
        <f aca="false">E73*F73+G73*H73+I73*J73+K73*L73</f>
        <v>11.48</v>
      </c>
      <c r="N73" s="34" t="n">
        <f aca="false">Исходные!$B$12-M73</f>
        <v>0.220000000000001</v>
      </c>
      <c r="O73" s="49" t="n">
        <v>3</v>
      </c>
      <c r="P73" s="47" t="n">
        <f aca="false">(F73+H73+J73+L73)*O73</f>
        <v>15</v>
      </c>
      <c r="Q73" s="68" t="n">
        <f aca="false">M73*O73</f>
        <v>34.44</v>
      </c>
      <c r="R73" s="68" t="n">
        <f aca="false">N73*O73</f>
        <v>0.660000000000002</v>
      </c>
    </row>
    <row r="74" customFormat="false" ht="15" hidden="false" customHeight="false" outlineLevel="0" collapsed="false">
      <c r="A74" s="47" t="n">
        <v>1</v>
      </c>
      <c r="B74" s="47" t="n">
        <v>18</v>
      </c>
      <c r="C74" s="70" t="s">
        <v>368</v>
      </c>
      <c r="D74" s="47" t="n">
        <v>4</v>
      </c>
      <c r="E74" s="67" t="n">
        <v>8.944</v>
      </c>
      <c r="F74" s="49" t="n">
        <v>1</v>
      </c>
      <c r="G74" s="67" t="n">
        <v>2.388</v>
      </c>
      <c r="H74" s="49" t="n">
        <v>1</v>
      </c>
      <c r="I74" s="20"/>
      <c r="J74" s="20"/>
      <c r="K74" s="20"/>
      <c r="L74" s="20"/>
      <c r="M74" s="34" t="n">
        <f aca="false">E74*F74+G74*H74+I74*J74+K74*L74</f>
        <v>11.332</v>
      </c>
      <c r="N74" s="34" t="n">
        <f aca="false">Исходные!$B$12-M74</f>
        <v>0.367999999999999</v>
      </c>
      <c r="O74" s="49" t="n">
        <v>8</v>
      </c>
      <c r="P74" s="47" t="n">
        <f aca="false">(F74+H74+J74+L74)*O74</f>
        <v>16</v>
      </c>
      <c r="Q74" s="68" t="n">
        <f aca="false">M74*O74</f>
        <v>90.656</v>
      </c>
      <c r="R74" s="68" t="n">
        <f aca="false">N74*O74</f>
        <v>2.94399999999999</v>
      </c>
    </row>
    <row r="75" customFormat="false" ht="15" hidden="false" customHeight="false" outlineLevel="0" collapsed="false">
      <c r="A75" s="47" t="n">
        <v>1</v>
      </c>
      <c r="B75" s="47" t="n">
        <v>18</v>
      </c>
      <c r="C75" s="70" t="s">
        <v>368</v>
      </c>
      <c r="D75" s="47" t="n">
        <v>5</v>
      </c>
      <c r="E75" s="67" t="n">
        <v>5.93</v>
      </c>
      <c r="F75" s="49" t="n">
        <v>1</v>
      </c>
      <c r="G75" s="67" t="n">
        <v>1.95</v>
      </c>
      <c r="H75" s="49" t="n">
        <v>2</v>
      </c>
      <c r="I75" s="67" t="n">
        <v>1.45</v>
      </c>
      <c r="J75" s="49" t="n">
        <v>1</v>
      </c>
      <c r="K75" s="20"/>
      <c r="L75" s="20"/>
      <c r="M75" s="34" t="n">
        <f aca="false">E75*F75+G75*H75+I75*J75+K75*L75</f>
        <v>11.28</v>
      </c>
      <c r="N75" s="34" t="n">
        <f aca="false">Исходные!$B$12-M75</f>
        <v>0.42</v>
      </c>
      <c r="O75" s="49" t="n">
        <v>9</v>
      </c>
      <c r="P75" s="47" t="n">
        <f aca="false">(F75+H75+J75+L75)*O75</f>
        <v>36</v>
      </c>
      <c r="Q75" s="68" t="n">
        <f aca="false">M75*O75</f>
        <v>101.52</v>
      </c>
      <c r="R75" s="68" t="n">
        <f aca="false">N75*O75</f>
        <v>3.78</v>
      </c>
    </row>
    <row r="76" customFormat="false" ht="15" hidden="false" customHeight="false" outlineLevel="0" collapsed="false">
      <c r="A76" s="47" t="n">
        <v>1</v>
      </c>
      <c r="B76" s="47" t="n">
        <v>18</v>
      </c>
      <c r="C76" s="70" t="s">
        <v>368</v>
      </c>
      <c r="D76" s="47" t="n">
        <v>6</v>
      </c>
      <c r="E76" s="67" t="n">
        <v>5.93</v>
      </c>
      <c r="F76" s="49" t="n">
        <v>1</v>
      </c>
      <c r="G76" s="67" t="n">
        <v>1.45</v>
      </c>
      <c r="H76" s="49" t="n">
        <v>2</v>
      </c>
      <c r="I76" s="67" t="n">
        <v>1.2</v>
      </c>
      <c r="J76" s="49" t="n">
        <v>2</v>
      </c>
      <c r="K76" s="20"/>
      <c r="L76" s="20"/>
      <c r="M76" s="34" t="n">
        <f aca="false">E76*F76+G76*H76+I76*J76+K76*L76</f>
        <v>11.23</v>
      </c>
      <c r="N76" s="34" t="n">
        <f aca="false">Исходные!$B$12-M76</f>
        <v>0.469999999999999</v>
      </c>
      <c r="O76" s="49" t="n">
        <v>1</v>
      </c>
      <c r="P76" s="47" t="n">
        <f aca="false">(F76+H76+J76+L76)*O76</f>
        <v>5</v>
      </c>
      <c r="Q76" s="68" t="n">
        <f aca="false">M76*O76</f>
        <v>11.23</v>
      </c>
      <c r="R76" s="68" t="n">
        <f aca="false">N76*O76</f>
        <v>0.469999999999999</v>
      </c>
    </row>
    <row r="77" customFormat="false" ht="15" hidden="false" customHeight="false" outlineLevel="0" collapsed="false">
      <c r="A77" s="47" t="n">
        <v>1</v>
      </c>
      <c r="B77" s="47" t="n">
        <v>18</v>
      </c>
      <c r="C77" s="70" t="s">
        <v>368</v>
      </c>
      <c r="D77" s="47" t="n">
        <v>7</v>
      </c>
      <c r="E77" s="67" t="n">
        <v>8.944</v>
      </c>
      <c r="F77" s="49" t="n">
        <v>1</v>
      </c>
      <c r="G77" s="67" t="n">
        <v>1.95</v>
      </c>
      <c r="H77" s="49" t="n">
        <v>1</v>
      </c>
      <c r="I77" s="20"/>
      <c r="J77" s="20"/>
      <c r="K77" s="20"/>
      <c r="L77" s="20"/>
      <c r="M77" s="34" t="n">
        <f aca="false">E77*F77+G77*H77+I77*J77+K77*L77</f>
        <v>10.894</v>
      </c>
      <c r="N77" s="34" t="n">
        <f aca="false">Исходные!$B$12-M77</f>
        <v>0.805999999999999</v>
      </c>
      <c r="O77" s="49" t="n">
        <v>2</v>
      </c>
      <c r="P77" s="47" t="n">
        <f aca="false">(F77+H77+J77+L77)*O77</f>
        <v>4</v>
      </c>
      <c r="Q77" s="68" t="n">
        <f aca="false">M77*O77</f>
        <v>21.788</v>
      </c>
      <c r="R77" s="68" t="n">
        <f aca="false">N77*O77</f>
        <v>1.612</v>
      </c>
    </row>
    <row r="78" customFormat="false" ht="15" hidden="false" customHeight="false" outlineLevel="0" collapsed="false">
      <c r="A78" s="47" t="n">
        <v>1</v>
      </c>
      <c r="B78" s="47" t="n">
        <v>18</v>
      </c>
      <c r="C78" s="70" t="s">
        <v>368</v>
      </c>
      <c r="D78" s="47" t="n">
        <v>8</v>
      </c>
      <c r="E78" s="67" t="n">
        <v>1.2</v>
      </c>
      <c r="F78" s="49" t="n">
        <v>9</v>
      </c>
      <c r="G78" s="20"/>
      <c r="H78" s="20"/>
      <c r="I78" s="20"/>
      <c r="J78" s="20"/>
      <c r="K78" s="20"/>
      <c r="L78" s="20"/>
      <c r="M78" s="34" t="n">
        <f aca="false">E78*F78+G78*H78+I78*J78+K78*L78</f>
        <v>10.8</v>
      </c>
      <c r="N78" s="34" t="n">
        <f aca="false">Исходные!$B$12-M78</f>
        <v>0.9</v>
      </c>
      <c r="O78" s="49" t="n">
        <v>1</v>
      </c>
      <c r="P78" s="47" t="n">
        <f aca="false">(F78+H78+J78+L78)*O78</f>
        <v>9</v>
      </c>
      <c r="Q78" s="68" t="n">
        <f aca="false">M78*O78</f>
        <v>10.8</v>
      </c>
      <c r="R78" s="68" t="n">
        <f aca="false">N78*O78</f>
        <v>0.9</v>
      </c>
    </row>
    <row r="79" customFormat="false" ht="15" hidden="false" customHeight="false" outlineLevel="0" collapsed="false">
      <c r="A79" s="47" t="n">
        <v>1</v>
      </c>
      <c r="B79" s="47" t="n">
        <v>18</v>
      </c>
      <c r="C79" s="70" t="s">
        <v>368</v>
      </c>
      <c r="D79" s="47" t="n">
        <v>9</v>
      </c>
      <c r="E79" s="67" t="n">
        <v>5.93</v>
      </c>
      <c r="F79" s="49" t="n">
        <v>1</v>
      </c>
      <c r="G79" s="67" t="n">
        <v>1.2</v>
      </c>
      <c r="H79" s="49" t="n">
        <v>4</v>
      </c>
      <c r="I79" s="20"/>
      <c r="J79" s="20"/>
      <c r="K79" s="20"/>
      <c r="L79" s="20"/>
      <c r="M79" s="34" t="n">
        <f aca="false">E79*F79+G79*H79+I79*J79+K79*L79</f>
        <v>10.73</v>
      </c>
      <c r="N79" s="34" t="n">
        <f aca="false">Исходные!$B$12-M79</f>
        <v>0.969999999999999</v>
      </c>
      <c r="O79" s="49" t="n">
        <v>5</v>
      </c>
      <c r="P79" s="47" t="n">
        <f aca="false">(F79+H79+J79+L79)*O79</f>
        <v>25</v>
      </c>
      <c r="Q79" s="68" t="n">
        <f aca="false">M79*O79</f>
        <v>53.65</v>
      </c>
      <c r="R79" s="68" t="n">
        <f aca="false">N79*O79</f>
        <v>4.84999999999999</v>
      </c>
    </row>
    <row r="80" customFormat="false" ht="15" hidden="false" customHeight="false" outlineLevel="0" collapsed="false">
      <c r="A80" s="47" t="n">
        <v>1</v>
      </c>
      <c r="B80" s="47" t="n">
        <v>18</v>
      </c>
      <c r="C80" s="70" t="s">
        <v>368</v>
      </c>
      <c r="D80" s="47" t="n">
        <v>10</v>
      </c>
      <c r="E80" s="67" t="n">
        <v>6.508</v>
      </c>
      <c r="F80" s="49" t="n">
        <v>1</v>
      </c>
      <c r="G80" s="67" t="n">
        <v>4.144</v>
      </c>
      <c r="H80" s="49" t="n">
        <v>1</v>
      </c>
      <c r="I80" s="20"/>
      <c r="J80" s="20"/>
      <c r="K80" s="20"/>
      <c r="L80" s="20"/>
      <c r="M80" s="34" t="n">
        <f aca="false">E80*F80+G80*H80+I80*J80+K80*L80</f>
        <v>10.652</v>
      </c>
      <c r="N80" s="34" t="n">
        <f aca="false">Исходные!$B$12-M80</f>
        <v>1.048</v>
      </c>
      <c r="O80" s="49" t="n">
        <v>10</v>
      </c>
      <c r="P80" s="47" t="n">
        <f aca="false">(F80+H80+J80+L80)*O80</f>
        <v>20</v>
      </c>
      <c r="Q80" s="68" t="n">
        <f aca="false">M80*O80</f>
        <v>106.52</v>
      </c>
      <c r="R80" s="68" t="n">
        <f aca="false">N80*O80</f>
        <v>10.48</v>
      </c>
    </row>
    <row r="81" customFormat="false" ht="15" hidden="false" customHeight="false" outlineLevel="0" collapsed="false">
      <c r="A81" s="47" t="n">
        <v>1</v>
      </c>
      <c r="B81" s="47" t="n">
        <v>16</v>
      </c>
      <c r="C81" s="70" t="s">
        <v>368</v>
      </c>
      <c r="D81" s="47" t="n">
        <v>1</v>
      </c>
      <c r="E81" s="67" t="n">
        <v>11.7</v>
      </c>
      <c r="F81" s="49" t="n">
        <v>1</v>
      </c>
      <c r="G81" s="20"/>
      <c r="H81" s="20"/>
      <c r="I81" s="20"/>
      <c r="J81" s="20"/>
      <c r="K81" s="20"/>
      <c r="L81" s="20"/>
      <c r="M81" s="34" t="n">
        <f aca="false">E81*F81+G81*H81+I81*J81+K81*L81</f>
        <v>11.7</v>
      </c>
      <c r="N81" s="34" t="n">
        <f aca="false">Исходные!$B$12-M81</f>
        <v>0</v>
      </c>
      <c r="O81" s="49" t="n">
        <v>26</v>
      </c>
      <c r="P81" s="47" t="n">
        <f aca="false">(F81+H81+J81+L81)*O81</f>
        <v>26</v>
      </c>
      <c r="Q81" s="68" t="n">
        <f aca="false">M81*O81</f>
        <v>304.2</v>
      </c>
      <c r="R81" s="68" t="n">
        <f aca="false">N81*O81</f>
        <v>0</v>
      </c>
    </row>
    <row r="82" customFormat="false" ht="15" hidden="false" customHeight="false" outlineLevel="0" collapsed="false">
      <c r="A82" s="47" t="n">
        <v>1</v>
      </c>
      <c r="B82" s="47" t="n">
        <v>16</v>
      </c>
      <c r="C82" s="70" t="s">
        <v>368</v>
      </c>
      <c r="D82" s="47" t="n">
        <v>2</v>
      </c>
      <c r="E82" s="67" t="n">
        <v>9.45</v>
      </c>
      <c r="F82" s="49" t="n">
        <v>1</v>
      </c>
      <c r="G82" s="67" t="n">
        <v>2.25</v>
      </c>
      <c r="H82" s="49" t="n">
        <v>1</v>
      </c>
      <c r="I82" s="20"/>
      <c r="J82" s="20"/>
      <c r="K82" s="20"/>
      <c r="L82" s="20"/>
      <c r="M82" s="34" t="n">
        <f aca="false">E82*F82+G82*H82+I82*J82+K82*L82</f>
        <v>11.7</v>
      </c>
      <c r="N82" s="34" t="n">
        <f aca="false">Исходные!$B$12-M82</f>
        <v>0</v>
      </c>
      <c r="O82" s="49" t="n">
        <v>2</v>
      </c>
      <c r="P82" s="47" t="n">
        <f aca="false">(F82+H82+J82+L82)*O82</f>
        <v>4</v>
      </c>
      <c r="Q82" s="68" t="n">
        <f aca="false">M82*O82</f>
        <v>23.4</v>
      </c>
      <c r="R82" s="68" t="n">
        <f aca="false">N82*O82</f>
        <v>0</v>
      </c>
    </row>
    <row r="83" customFormat="false" ht="15" hidden="false" customHeight="false" outlineLevel="0" collapsed="false">
      <c r="A83" s="47" t="n">
        <v>1</v>
      </c>
      <c r="B83" s="47" t="n">
        <v>16</v>
      </c>
      <c r="C83" s="70" t="s">
        <v>368</v>
      </c>
      <c r="D83" s="47" t="n">
        <v>3</v>
      </c>
      <c r="E83" s="67" t="n">
        <v>1.95</v>
      </c>
      <c r="F83" s="49" t="n">
        <v>6</v>
      </c>
      <c r="G83" s="20"/>
      <c r="H83" s="20"/>
      <c r="I83" s="20"/>
      <c r="J83" s="20"/>
      <c r="K83" s="20"/>
      <c r="L83" s="20"/>
      <c r="M83" s="34" t="n">
        <f aca="false">E83*F83+G83*H83+I83*J83+K83*L83</f>
        <v>11.7</v>
      </c>
      <c r="N83" s="34" t="n">
        <f aca="false">Исходные!$B$12-M83</f>
        <v>0</v>
      </c>
      <c r="O83" s="49" t="n">
        <v>5</v>
      </c>
      <c r="P83" s="47" t="n">
        <f aca="false">(F83+H83+J83+L83)*O83</f>
        <v>30</v>
      </c>
      <c r="Q83" s="68" t="n">
        <f aca="false">M83*O83</f>
        <v>58.5</v>
      </c>
      <c r="R83" s="68" t="n">
        <f aca="false">N83*O83</f>
        <v>0</v>
      </c>
    </row>
    <row r="84" customFormat="false" ht="15" hidden="false" customHeight="false" outlineLevel="0" collapsed="false">
      <c r="A84" s="47" t="n">
        <v>1</v>
      </c>
      <c r="B84" s="47" t="n">
        <v>16</v>
      </c>
      <c r="C84" s="70" t="s">
        <v>368</v>
      </c>
      <c r="D84" s="47" t="n">
        <v>4</v>
      </c>
      <c r="E84" s="67" t="n">
        <v>3.3</v>
      </c>
      <c r="F84" s="49" t="n">
        <v>1</v>
      </c>
      <c r="G84" s="67" t="n">
        <v>3</v>
      </c>
      <c r="H84" s="49" t="n">
        <v>2</v>
      </c>
      <c r="I84" s="67" t="n">
        <v>2.356</v>
      </c>
      <c r="J84" s="49" t="n">
        <v>1</v>
      </c>
      <c r="K84" s="20"/>
      <c r="L84" s="20"/>
      <c r="M84" s="34" t="n">
        <f aca="false">E84*F84+G84*H84+I84*J84+K84*L84</f>
        <v>11.656</v>
      </c>
      <c r="N84" s="34" t="n">
        <f aca="false">Исходные!$B$12-M84</f>
        <v>0.0439999999999987</v>
      </c>
      <c r="O84" s="49" t="n">
        <v>1</v>
      </c>
      <c r="P84" s="47" t="n">
        <f aca="false">(F84+H84+J84+L84)*O84</f>
        <v>4</v>
      </c>
      <c r="Q84" s="68" t="n">
        <f aca="false">M84*O84</f>
        <v>11.656</v>
      </c>
      <c r="R84" s="68" t="n">
        <f aca="false">N84*O84</f>
        <v>0.0439999999999987</v>
      </c>
    </row>
    <row r="85" customFormat="false" ht="15" hidden="false" customHeight="false" outlineLevel="0" collapsed="false">
      <c r="A85" s="47" t="n">
        <v>1</v>
      </c>
      <c r="B85" s="47" t="n">
        <v>16</v>
      </c>
      <c r="C85" s="70" t="s">
        <v>368</v>
      </c>
      <c r="D85" s="47" t="n">
        <v>5</v>
      </c>
      <c r="E85" s="67" t="n">
        <v>2.9</v>
      </c>
      <c r="F85" s="49" t="n">
        <v>4</v>
      </c>
      <c r="G85" s="20"/>
      <c r="H85" s="20"/>
      <c r="I85" s="20"/>
      <c r="J85" s="20"/>
      <c r="K85" s="20"/>
      <c r="L85" s="20"/>
      <c r="M85" s="34" t="n">
        <f aca="false">E85*F85+G85*H85+I85*J85+K85*L85</f>
        <v>11.6</v>
      </c>
      <c r="N85" s="34" t="n">
        <f aca="false">Исходные!$B$12-M85</f>
        <v>0.0999999999999996</v>
      </c>
      <c r="O85" s="49" t="n">
        <v>3</v>
      </c>
      <c r="P85" s="47" t="n">
        <f aca="false">(F85+H85+J85+L85)*O85</f>
        <v>12</v>
      </c>
      <c r="Q85" s="68" t="n">
        <f aca="false">M85*O85</f>
        <v>34.8</v>
      </c>
      <c r="R85" s="68" t="n">
        <f aca="false">N85*O85</f>
        <v>0.299999999999999</v>
      </c>
    </row>
    <row r="86" customFormat="false" ht="15" hidden="false" customHeight="false" outlineLevel="0" collapsed="false">
      <c r="A86" s="47" t="n">
        <v>1</v>
      </c>
      <c r="B86" s="47" t="n">
        <v>16</v>
      </c>
      <c r="C86" s="70" t="s">
        <v>368</v>
      </c>
      <c r="D86" s="47" t="n">
        <v>6</v>
      </c>
      <c r="E86" s="67" t="n">
        <v>2.9</v>
      </c>
      <c r="F86" s="49" t="n">
        <v>1</v>
      </c>
      <c r="G86" s="67" t="n">
        <v>2.25</v>
      </c>
      <c r="H86" s="49" t="n">
        <v>3</v>
      </c>
      <c r="I86" s="67" t="n">
        <v>1.95</v>
      </c>
      <c r="J86" s="49" t="n">
        <v>1</v>
      </c>
      <c r="K86" s="20"/>
      <c r="L86" s="20"/>
      <c r="M86" s="34" t="n">
        <f aca="false">E86*F86+G86*H86+I86*J86+K86*L86</f>
        <v>11.6</v>
      </c>
      <c r="N86" s="34" t="n">
        <f aca="false">Исходные!$B$12-M86</f>
        <v>0.0999999999999996</v>
      </c>
      <c r="O86" s="49" t="n">
        <v>1</v>
      </c>
      <c r="P86" s="47" t="n">
        <f aca="false">(F86+H86+J86+L86)*O86</f>
        <v>5</v>
      </c>
      <c r="Q86" s="68" t="n">
        <f aca="false">M86*O86</f>
        <v>11.6</v>
      </c>
      <c r="R86" s="68" t="n">
        <f aca="false">N86*O86</f>
        <v>0.0999999999999996</v>
      </c>
    </row>
    <row r="87" customFormat="false" ht="15" hidden="false" customHeight="false" outlineLevel="0" collapsed="false">
      <c r="A87" s="47" t="n">
        <v>1</v>
      </c>
      <c r="B87" s="47" t="n">
        <v>16</v>
      </c>
      <c r="C87" s="70" t="s">
        <v>368</v>
      </c>
      <c r="D87" s="47" t="n">
        <v>7</v>
      </c>
      <c r="E87" s="67" t="n">
        <v>1.95</v>
      </c>
      <c r="F87" s="49" t="n">
        <v>5</v>
      </c>
      <c r="G87" s="67" t="n">
        <v>1.85</v>
      </c>
      <c r="H87" s="49" t="n">
        <v>1</v>
      </c>
      <c r="I87" s="20"/>
      <c r="J87" s="20"/>
      <c r="K87" s="20"/>
      <c r="L87" s="20"/>
      <c r="M87" s="34" t="n">
        <f aca="false">E87*F87+G87*H87+I87*J87+K87*L87</f>
        <v>11.6</v>
      </c>
      <c r="N87" s="34" t="n">
        <f aca="false">Исходные!$B$12-M87</f>
        <v>0.0999999999999996</v>
      </c>
      <c r="O87" s="49" t="n">
        <v>1</v>
      </c>
      <c r="P87" s="47" t="n">
        <f aca="false">(F87+H87+J87+L87)*O87</f>
        <v>6</v>
      </c>
      <c r="Q87" s="68" t="n">
        <f aca="false">M87*O87</f>
        <v>11.6</v>
      </c>
      <c r="R87" s="68" t="n">
        <f aca="false">N87*O87</f>
        <v>0.0999999999999996</v>
      </c>
    </row>
    <row r="88" customFormat="false" ht="15" hidden="false" customHeight="false" outlineLevel="0" collapsed="false">
      <c r="A88" s="47" t="n">
        <v>1</v>
      </c>
      <c r="B88" s="47" t="n">
        <v>16</v>
      </c>
      <c r="C88" s="70" t="s">
        <v>368</v>
      </c>
      <c r="D88" s="47" t="n">
        <v>8</v>
      </c>
      <c r="E88" s="67" t="n">
        <v>1.45</v>
      </c>
      <c r="F88" s="49" t="n">
        <v>8</v>
      </c>
      <c r="G88" s="20"/>
      <c r="H88" s="20"/>
      <c r="I88" s="20"/>
      <c r="J88" s="20"/>
      <c r="K88" s="20"/>
      <c r="L88" s="20"/>
      <c r="M88" s="34" t="n">
        <f aca="false">E88*F88+G88*H88+I88*J88+K88*L88</f>
        <v>11.6</v>
      </c>
      <c r="N88" s="34" t="n">
        <f aca="false">Исходные!$B$12-M88</f>
        <v>0.0999999999999996</v>
      </c>
      <c r="O88" s="49" t="n">
        <v>8</v>
      </c>
      <c r="P88" s="47" t="n">
        <f aca="false">(F88+H88+J88+L88)*O88</f>
        <v>64</v>
      </c>
      <c r="Q88" s="68" t="n">
        <f aca="false">M88*O88</f>
        <v>92.8</v>
      </c>
      <c r="R88" s="68" t="n">
        <f aca="false">N88*O88</f>
        <v>0.799999999999997</v>
      </c>
    </row>
    <row r="89" customFormat="false" ht="15" hidden="false" customHeight="false" outlineLevel="0" collapsed="false">
      <c r="A89" s="47" t="n">
        <v>1</v>
      </c>
      <c r="B89" s="47" t="n">
        <v>16</v>
      </c>
      <c r="C89" s="70" t="s">
        <v>368</v>
      </c>
      <c r="D89" s="47" t="n">
        <v>9</v>
      </c>
      <c r="E89" s="67" t="n">
        <v>4.95</v>
      </c>
      <c r="F89" s="49" t="n">
        <v>2</v>
      </c>
      <c r="G89" s="67" t="n">
        <v>1.6</v>
      </c>
      <c r="H89" s="49" t="n">
        <v>1</v>
      </c>
      <c r="I89" s="20"/>
      <c r="J89" s="20"/>
      <c r="K89" s="20"/>
      <c r="L89" s="20"/>
      <c r="M89" s="34" t="n">
        <f aca="false">E89*F89+G89*H89+I89*J89+K89*L89</f>
        <v>11.5</v>
      </c>
      <c r="N89" s="34" t="n">
        <f aca="false">Исходные!$B$12-M89</f>
        <v>0.199999999999999</v>
      </c>
      <c r="O89" s="49" t="n">
        <v>3</v>
      </c>
      <c r="P89" s="47" t="n">
        <f aca="false">(F89+H89+J89+L89)*O89</f>
        <v>9</v>
      </c>
      <c r="Q89" s="68" t="n">
        <f aca="false">M89*O89</f>
        <v>34.5</v>
      </c>
      <c r="R89" s="68" t="n">
        <f aca="false">N89*O89</f>
        <v>0.599999999999998</v>
      </c>
    </row>
    <row r="90" customFormat="false" ht="15" hidden="false" customHeight="false" outlineLevel="0" collapsed="false">
      <c r="A90" s="47" t="n">
        <v>1</v>
      </c>
      <c r="B90" s="47" t="n">
        <v>16</v>
      </c>
      <c r="C90" s="70" t="s">
        <v>368</v>
      </c>
      <c r="D90" s="47" t="n">
        <v>10</v>
      </c>
      <c r="E90" s="67" t="n">
        <v>1.45</v>
      </c>
      <c r="F90" s="49" t="n">
        <v>7</v>
      </c>
      <c r="G90" s="67" t="n">
        <v>1.25</v>
      </c>
      <c r="H90" s="49" t="n">
        <v>1</v>
      </c>
      <c r="I90" s="20"/>
      <c r="J90" s="20"/>
      <c r="K90" s="20"/>
      <c r="L90" s="20"/>
      <c r="M90" s="34" t="n">
        <f aca="false">E90*F90+G90*H90+I90*J90+K90*L90</f>
        <v>11.4</v>
      </c>
      <c r="N90" s="34" t="n">
        <f aca="false">Исходные!$B$12-M90</f>
        <v>0.299999999999999</v>
      </c>
      <c r="O90" s="49" t="n">
        <v>1</v>
      </c>
      <c r="P90" s="47" t="n">
        <f aca="false">(F90+H90+J90+L90)*O90</f>
        <v>8</v>
      </c>
      <c r="Q90" s="68" t="n">
        <f aca="false">M90*O90</f>
        <v>11.4</v>
      </c>
      <c r="R90" s="68" t="n">
        <f aca="false">N90*O90</f>
        <v>0.299999999999999</v>
      </c>
    </row>
    <row r="91" customFormat="false" ht="15" hidden="false" customHeight="false" outlineLevel="0" collapsed="false">
      <c r="A91" s="47" t="n">
        <v>1</v>
      </c>
      <c r="B91" s="47" t="n">
        <v>16</v>
      </c>
      <c r="C91" s="70" t="s">
        <v>368</v>
      </c>
      <c r="D91" s="47" t="n">
        <v>11</v>
      </c>
      <c r="E91" s="67" t="n">
        <v>1.85</v>
      </c>
      <c r="F91" s="49" t="n">
        <v>1</v>
      </c>
      <c r="G91" s="67" t="n">
        <v>1.6</v>
      </c>
      <c r="H91" s="49" t="n">
        <v>5</v>
      </c>
      <c r="I91" s="67" t="n">
        <v>1.45</v>
      </c>
      <c r="J91" s="49" t="n">
        <v>1</v>
      </c>
      <c r="K91" s="20"/>
      <c r="L91" s="20"/>
      <c r="M91" s="34" t="n">
        <f aca="false">E91*F91+G91*H91+I91*J91+K91*L91</f>
        <v>11.3</v>
      </c>
      <c r="N91" s="34" t="n">
        <f aca="false">Исходные!$B$12-M91</f>
        <v>0.4</v>
      </c>
      <c r="O91" s="49" t="n">
        <v>1</v>
      </c>
      <c r="P91" s="47" t="n">
        <f aca="false">(F91+H91+J91+L91)*O91</f>
        <v>7</v>
      </c>
      <c r="Q91" s="68" t="n">
        <f aca="false">M91*O91</f>
        <v>11.3</v>
      </c>
      <c r="R91" s="68" t="n">
        <f aca="false">N91*O91</f>
        <v>0.4</v>
      </c>
    </row>
    <row r="92" customFormat="false" ht="15" hidden="false" customHeight="false" outlineLevel="0" collapsed="false">
      <c r="A92" s="47" t="n">
        <v>1</v>
      </c>
      <c r="B92" s="47" t="n">
        <v>16</v>
      </c>
      <c r="C92" s="70" t="s">
        <v>368</v>
      </c>
      <c r="D92" s="47" t="n">
        <v>12</v>
      </c>
      <c r="E92" s="67" t="n">
        <v>8.928</v>
      </c>
      <c r="F92" s="49" t="n">
        <v>1</v>
      </c>
      <c r="G92" s="67" t="n">
        <v>2.356</v>
      </c>
      <c r="H92" s="49" t="n">
        <v>1</v>
      </c>
      <c r="I92" s="20"/>
      <c r="J92" s="20"/>
      <c r="K92" s="20"/>
      <c r="L92" s="20"/>
      <c r="M92" s="34" t="n">
        <f aca="false">E92*F92+G92*H92+I92*J92+K92*L92</f>
        <v>11.284</v>
      </c>
      <c r="N92" s="34" t="n">
        <f aca="false">Исходные!$B$12-M92</f>
        <v>0.415999999999999</v>
      </c>
      <c r="O92" s="49" t="n">
        <v>7</v>
      </c>
      <c r="P92" s="47" t="n">
        <f aca="false">(F92+H92+J92+L92)*O92</f>
        <v>14</v>
      </c>
      <c r="Q92" s="68" t="n">
        <f aca="false">M92*O92</f>
        <v>78.988</v>
      </c>
      <c r="R92" s="68" t="n">
        <f aca="false">N92*O92</f>
        <v>2.91199999999999</v>
      </c>
    </row>
    <row r="93" customFormat="false" ht="15" hidden="false" customHeight="false" outlineLevel="0" collapsed="false">
      <c r="A93" s="47" t="n">
        <v>1</v>
      </c>
      <c r="B93" s="47" t="n">
        <v>16</v>
      </c>
      <c r="C93" s="70" t="s">
        <v>368</v>
      </c>
      <c r="D93" s="47" t="n">
        <v>13</v>
      </c>
      <c r="E93" s="67" t="n">
        <v>2.25</v>
      </c>
      <c r="F93" s="49" t="n">
        <v>5</v>
      </c>
      <c r="G93" s="20"/>
      <c r="H93" s="20"/>
      <c r="I93" s="20"/>
      <c r="J93" s="20"/>
      <c r="K93" s="20"/>
      <c r="L93" s="20"/>
      <c r="M93" s="34" t="n">
        <f aca="false">E93*F93+G93*H93+I93*J93+K93*L93</f>
        <v>11.25</v>
      </c>
      <c r="N93" s="34" t="n">
        <f aca="false">Исходные!$B$12-M93</f>
        <v>0.449999999999999</v>
      </c>
      <c r="O93" s="49" t="n">
        <v>13</v>
      </c>
      <c r="P93" s="47" t="n">
        <f aca="false">(F93+H93+J93+L93)*O93</f>
        <v>65</v>
      </c>
      <c r="Q93" s="68" t="n">
        <f aca="false">M93*O93</f>
        <v>146.25</v>
      </c>
      <c r="R93" s="68" t="n">
        <f aca="false">N93*O93</f>
        <v>5.84999999999999</v>
      </c>
    </row>
    <row r="94" customFormat="false" ht="15" hidden="false" customHeight="false" outlineLevel="0" collapsed="false">
      <c r="A94" s="47" t="n">
        <v>1</v>
      </c>
      <c r="B94" s="47" t="n">
        <v>16</v>
      </c>
      <c r="C94" s="70" t="s">
        <v>368</v>
      </c>
      <c r="D94" s="47" t="n">
        <v>14</v>
      </c>
      <c r="E94" s="67" t="n">
        <v>1.25</v>
      </c>
      <c r="F94" s="49" t="n">
        <v>9</v>
      </c>
      <c r="G94" s="20"/>
      <c r="H94" s="20"/>
      <c r="I94" s="20"/>
      <c r="J94" s="20"/>
      <c r="K94" s="20"/>
      <c r="L94" s="20"/>
      <c r="M94" s="34" t="n">
        <f aca="false">E94*F94+G94*H94+I94*J94+K94*L94</f>
        <v>11.25</v>
      </c>
      <c r="N94" s="34" t="n">
        <f aca="false">Исходные!$B$12-M94</f>
        <v>0.449999999999999</v>
      </c>
      <c r="O94" s="49" t="n">
        <v>7</v>
      </c>
      <c r="P94" s="47" t="n">
        <f aca="false">(F94+H94+J94+L94)*O94</f>
        <v>63</v>
      </c>
      <c r="Q94" s="68" t="n">
        <f aca="false">M94*O94</f>
        <v>78.75</v>
      </c>
      <c r="R94" s="68" t="n">
        <f aca="false">N94*O94</f>
        <v>3.15</v>
      </c>
    </row>
    <row r="95" customFormat="false" ht="15" hidden="false" customHeight="false" outlineLevel="0" collapsed="false">
      <c r="A95" s="47" t="n">
        <v>1</v>
      </c>
      <c r="B95" s="47" t="n">
        <v>16</v>
      </c>
      <c r="C95" s="70" t="s">
        <v>368</v>
      </c>
      <c r="D95" s="47" t="n">
        <v>15</v>
      </c>
      <c r="E95" s="67" t="n">
        <v>8.928</v>
      </c>
      <c r="F95" s="49" t="n">
        <v>1</v>
      </c>
      <c r="G95" s="67" t="n">
        <v>2.3</v>
      </c>
      <c r="H95" s="49" t="n">
        <v>1</v>
      </c>
      <c r="I95" s="20"/>
      <c r="J95" s="20"/>
      <c r="K95" s="20"/>
      <c r="L95" s="20"/>
      <c r="M95" s="34" t="n">
        <f aca="false">E95*F95+G95*H95+I95*J95+K95*L95</f>
        <v>11.228</v>
      </c>
      <c r="N95" s="34" t="n">
        <f aca="false">Исходные!$B$12-M95</f>
        <v>0.471999999999998</v>
      </c>
      <c r="O95" s="49" t="n">
        <v>2</v>
      </c>
      <c r="P95" s="47" t="n">
        <f aca="false">(F95+H95+J95+L95)*O95</f>
        <v>4</v>
      </c>
      <c r="Q95" s="68" t="n">
        <f aca="false">M95*O95</f>
        <v>22.456</v>
      </c>
      <c r="R95" s="68" t="n">
        <f aca="false">N95*O95</f>
        <v>0.943999999999996</v>
      </c>
    </row>
    <row r="96" customFormat="false" ht="15" hidden="false" customHeight="false" outlineLevel="0" collapsed="false">
      <c r="A96" s="47" t="n">
        <v>1</v>
      </c>
      <c r="B96" s="47" t="n">
        <v>16</v>
      </c>
      <c r="C96" s="70" t="s">
        <v>368</v>
      </c>
      <c r="D96" s="47" t="n">
        <v>16</v>
      </c>
      <c r="E96" s="67" t="n">
        <v>8.928</v>
      </c>
      <c r="F96" s="49" t="n">
        <v>1</v>
      </c>
      <c r="G96" s="67" t="n">
        <v>2.25</v>
      </c>
      <c r="H96" s="49" t="n">
        <v>1</v>
      </c>
      <c r="I96" s="20"/>
      <c r="J96" s="20"/>
      <c r="K96" s="20"/>
      <c r="L96" s="20"/>
      <c r="M96" s="34" t="n">
        <f aca="false">E96*F96+G96*H96+I96*J96+K96*L96</f>
        <v>11.178</v>
      </c>
      <c r="N96" s="34" t="n">
        <f aca="false">Исходные!$B$12-M96</f>
        <v>0.521999999999999</v>
      </c>
      <c r="O96" s="49" t="n">
        <v>1</v>
      </c>
      <c r="P96" s="47" t="n">
        <f aca="false">(F96+H96+J96+L96)*O96</f>
        <v>2</v>
      </c>
      <c r="Q96" s="68" t="n">
        <f aca="false">M96*O96</f>
        <v>11.178</v>
      </c>
      <c r="R96" s="68" t="n">
        <f aca="false">N96*O96</f>
        <v>0.521999999999999</v>
      </c>
    </row>
    <row r="97" customFormat="false" ht="15" hidden="false" customHeight="false" outlineLevel="0" collapsed="false">
      <c r="A97" s="47" t="n">
        <v>1</v>
      </c>
      <c r="B97" s="47" t="n">
        <v>16</v>
      </c>
      <c r="C97" s="70" t="s">
        <v>368</v>
      </c>
      <c r="D97" s="47" t="n">
        <v>17</v>
      </c>
      <c r="E97" s="67" t="n">
        <v>3</v>
      </c>
      <c r="F97" s="49" t="n">
        <v>2</v>
      </c>
      <c r="G97" s="67" t="n">
        <v>2.9</v>
      </c>
      <c r="H97" s="49" t="n">
        <v>1</v>
      </c>
      <c r="I97" s="67" t="n">
        <v>2.25</v>
      </c>
      <c r="J97" s="49" t="n">
        <v>1</v>
      </c>
      <c r="K97" s="20"/>
      <c r="L97" s="20"/>
      <c r="M97" s="34" t="n">
        <f aca="false">E97*F97+G97*H97+I97*J97+K97*L97</f>
        <v>11.15</v>
      </c>
      <c r="N97" s="34" t="n">
        <f aca="false">Исходные!$B$12-M97</f>
        <v>0.549999999999999</v>
      </c>
      <c r="O97" s="49" t="n">
        <v>1</v>
      </c>
      <c r="P97" s="47" t="n">
        <f aca="false">(F97+H97+J97+L97)*O97</f>
        <v>4</v>
      </c>
      <c r="Q97" s="68" t="n">
        <f aca="false">M97*O97</f>
        <v>11.15</v>
      </c>
      <c r="R97" s="68" t="n">
        <f aca="false">N97*O97</f>
        <v>0.549999999999999</v>
      </c>
    </row>
    <row r="98" customFormat="false" ht="15" hidden="false" customHeight="false" outlineLevel="0" collapsed="false">
      <c r="A98" s="47" t="n">
        <v>1</v>
      </c>
      <c r="B98" s="47" t="n">
        <v>16</v>
      </c>
      <c r="C98" s="70" t="s">
        <v>368</v>
      </c>
      <c r="D98" s="47" t="n">
        <v>18</v>
      </c>
      <c r="E98" s="67" t="n">
        <v>3.6</v>
      </c>
      <c r="F98" s="49" t="n">
        <v>2</v>
      </c>
      <c r="G98" s="67" t="n">
        <v>3.3</v>
      </c>
      <c r="H98" s="49" t="n">
        <v>1</v>
      </c>
      <c r="I98" s="20"/>
      <c r="J98" s="20"/>
      <c r="K98" s="20"/>
      <c r="L98" s="20"/>
      <c r="M98" s="34" t="n">
        <f aca="false">E98*F98+G98*H98+I98*J98+K98*L98</f>
        <v>10.5</v>
      </c>
      <c r="N98" s="34" t="n">
        <f aca="false">Исходные!$B$12-M98</f>
        <v>1.2</v>
      </c>
      <c r="O98" s="49" t="n">
        <v>1</v>
      </c>
      <c r="P98" s="47" t="n">
        <f aca="false">(F98+H98+J98+L98)*O98</f>
        <v>3</v>
      </c>
      <c r="Q98" s="68" t="n">
        <f aca="false">M98*O98</f>
        <v>10.5</v>
      </c>
      <c r="R98" s="68" t="n">
        <f aca="false">N98*O98</f>
        <v>1.2</v>
      </c>
    </row>
    <row r="99" customFormat="false" ht="15" hidden="false" customHeight="false" outlineLevel="0" collapsed="false">
      <c r="A99" s="47" t="n">
        <v>1</v>
      </c>
      <c r="B99" s="47" t="n">
        <v>16</v>
      </c>
      <c r="C99" s="70" t="s">
        <v>368</v>
      </c>
      <c r="D99" s="47" t="n">
        <v>19</v>
      </c>
      <c r="E99" s="67" t="n">
        <v>1.25</v>
      </c>
      <c r="F99" s="49" t="n">
        <v>8</v>
      </c>
      <c r="G99" s="20"/>
      <c r="H99" s="20"/>
      <c r="I99" s="20"/>
      <c r="J99" s="20"/>
      <c r="K99" s="20"/>
      <c r="L99" s="20"/>
      <c r="M99" s="34" t="n">
        <f aca="false">E99*F99+G99*H99+I99*J99+K99*L99</f>
        <v>10</v>
      </c>
      <c r="N99" s="34" t="n">
        <f aca="false">Исходные!$B$12-M99</f>
        <v>1.7</v>
      </c>
      <c r="O99" s="49" t="n">
        <v>1</v>
      </c>
      <c r="P99" s="47" t="n">
        <f aca="false">(F99+H99+J99+L99)*O99</f>
        <v>8</v>
      </c>
      <c r="Q99" s="68" t="n">
        <f aca="false">M99*O99</f>
        <v>10</v>
      </c>
      <c r="R99" s="68" t="n">
        <f aca="false">N99*O99</f>
        <v>1.7</v>
      </c>
    </row>
    <row r="100" customFormat="false" ht="15" hidden="false" customHeight="false" outlineLevel="0" collapsed="false">
      <c r="A100" s="47" t="n">
        <v>1</v>
      </c>
      <c r="B100" s="47" t="n">
        <v>14</v>
      </c>
      <c r="C100" s="70" t="s">
        <v>368</v>
      </c>
      <c r="D100" s="47" t="n">
        <v>1</v>
      </c>
      <c r="E100" s="67" t="n">
        <v>11.7</v>
      </c>
      <c r="F100" s="49" t="n">
        <v>1</v>
      </c>
      <c r="G100" s="20"/>
      <c r="H100" s="20"/>
      <c r="I100" s="20"/>
      <c r="J100" s="20"/>
      <c r="K100" s="20"/>
      <c r="L100" s="20"/>
      <c r="M100" s="34" t="n">
        <f aca="false">E100*F100+G100*H100+I100*J100+K100*L100</f>
        <v>11.7</v>
      </c>
      <c r="N100" s="34" t="n">
        <f aca="false">Исходные!$B$12-M100</f>
        <v>0</v>
      </c>
      <c r="O100" s="49" t="n">
        <v>6</v>
      </c>
      <c r="P100" s="47" t="n">
        <f aca="false">(F100+H100+J100+L100)*O100</f>
        <v>6</v>
      </c>
      <c r="Q100" s="68" t="n">
        <f aca="false">M100*O100</f>
        <v>70.2</v>
      </c>
      <c r="R100" s="68" t="n">
        <f aca="false">N100*O100</f>
        <v>0</v>
      </c>
    </row>
    <row r="101" customFormat="false" ht="15" hidden="false" customHeight="false" outlineLevel="0" collapsed="false">
      <c r="A101" s="47" t="n">
        <v>1</v>
      </c>
      <c r="B101" s="47" t="n">
        <v>14</v>
      </c>
      <c r="C101" s="70" t="s">
        <v>368</v>
      </c>
      <c r="D101" s="47" t="n">
        <v>2</v>
      </c>
      <c r="E101" s="67" t="n">
        <v>4</v>
      </c>
      <c r="F101" s="49" t="n">
        <v>2</v>
      </c>
      <c r="G101" s="67" t="n">
        <v>3.7</v>
      </c>
      <c r="H101" s="49" t="n">
        <v>1</v>
      </c>
      <c r="I101" s="20"/>
      <c r="J101" s="20"/>
      <c r="K101" s="20"/>
      <c r="L101" s="20"/>
      <c r="M101" s="34" t="n">
        <f aca="false">E101*F101+G101*H101+I101*J101+K101*L101</f>
        <v>11.7</v>
      </c>
      <c r="N101" s="34" t="n">
        <f aca="false">Исходные!$B$12-M101</f>
        <v>0</v>
      </c>
      <c r="O101" s="49" t="n">
        <v>1</v>
      </c>
      <c r="P101" s="47" t="n">
        <f aca="false">(F101+H101+J101+L101)*O101</f>
        <v>3</v>
      </c>
      <c r="Q101" s="68" t="n">
        <f aca="false">M101*O101</f>
        <v>11.7</v>
      </c>
      <c r="R101" s="68" t="n">
        <f aca="false">N101*O101</f>
        <v>0</v>
      </c>
    </row>
    <row r="102" customFormat="false" ht="15" hidden="false" customHeight="false" outlineLevel="0" collapsed="false">
      <c r="A102" s="47" t="n">
        <v>1</v>
      </c>
      <c r="B102" s="47" t="n">
        <v>14</v>
      </c>
      <c r="C102" s="70" t="s">
        <v>368</v>
      </c>
      <c r="D102" s="47" t="n">
        <v>3</v>
      </c>
      <c r="E102" s="67" t="n">
        <v>1.45</v>
      </c>
      <c r="F102" s="49" t="n">
        <v>8</v>
      </c>
      <c r="G102" s="20"/>
      <c r="H102" s="20"/>
      <c r="I102" s="20"/>
      <c r="J102" s="20"/>
      <c r="K102" s="20"/>
      <c r="L102" s="20"/>
      <c r="M102" s="34" t="n">
        <f aca="false">E102*F102+G102*H102+I102*J102+K102*L102</f>
        <v>11.6</v>
      </c>
      <c r="N102" s="34" t="n">
        <f aca="false">Исходные!$B$12-M102</f>
        <v>0.0999999999999996</v>
      </c>
      <c r="O102" s="49" t="n">
        <v>5</v>
      </c>
      <c r="P102" s="47" t="n">
        <f aca="false">(F102+H102+J102+L102)*O102</f>
        <v>40</v>
      </c>
      <c r="Q102" s="68" t="n">
        <f aca="false">M102*O102</f>
        <v>58</v>
      </c>
      <c r="R102" s="68" t="n">
        <f aca="false">N102*O102</f>
        <v>0.499999999999998</v>
      </c>
    </row>
    <row r="103" customFormat="false" ht="15" hidden="false" customHeight="false" outlineLevel="0" collapsed="false">
      <c r="A103" s="47" t="n">
        <v>1</v>
      </c>
      <c r="B103" s="47" t="n">
        <v>14</v>
      </c>
      <c r="C103" s="70" t="s">
        <v>368</v>
      </c>
      <c r="D103" s="47" t="n">
        <v>4</v>
      </c>
      <c r="E103" s="67" t="n">
        <v>9.1</v>
      </c>
      <c r="F103" s="49" t="n">
        <v>1</v>
      </c>
      <c r="G103" s="67" t="n">
        <v>2.4</v>
      </c>
      <c r="H103" s="49" t="n">
        <v>1</v>
      </c>
      <c r="I103" s="20"/>
      <c r="J103" s="20"/>
      <c r="K103" s="20"/>
      <c r="L103" s="20"/>
      <c r="M103" s="34" t="n">
        <f aca="false">E103*F103+G103*H103+I103*J103+K103*L103</f>
        <v>11.5</v>
      </c>
      <c r="N103" s="34" t="n">
        <f aca="false">Исходные!$B$12-M103</f>
        <v>0.199999999999999</v>
      </c>
      <c r="O103" s="49" t="n">
        <v>2</v>
      </c>
      <c r="P103" s="47" t="n">
        <f aca="false">(F103+H103+J103+L103)*O103</f>
        <v>4</v>
      </c>
      <c r="Q103" s="68" t="n">
        <f aca="false">M103*O103</f>
        <v>23</v>
      </c>
      <c r="R103" s="68" t="n">
        <f aca="false">N103*O103</f>
        <v>0.399999999999999</v>
      </c>
    </row>
    <row r="104" customFormat="false" ht="15" hidden="false" customHeight="false" outlineLevel="0" collapsed="false">
      <c r="A104" s="47" t="n">
        <v>1</v>
      </c>
      <c r="B104" s="47" t="n">
        <v>14</v>
      </c>
      <c r="C104" s="70" t="s">
        <v>368</v>
      </c>
      <c r="D104" s="47" t="n">
        <v>5</v>
      </c>
      <c r="E104" s="67" t="n">
        <v>3.9</v>
      </c>
      <c r="F104" s="49" t="n">
        <v>2</v>
      </c>
      <c r="G104" s="67" t="n">
        <v>3.7</v>
      </c>
      <c r="H104" s="49" t="n">
        <v>1</v>
      </c>
      <c r="I104" s="20"/>
      <c r="J104" s="20"/>
      <c r="K104" s="20"/>
      <c r="L104" s="20"/>
      <c r="M104" s="34" t="n">
        <f aca="false">E104*F104+G104*H104+I104*J104+K104*L104</f>
        <v>11.5</v>
      </c>
      <c r="N104" s="34" t="n">
        <f aca="false">Исходные!$B$12-M104</f>
        <v>0.199999999999999</v>
      </c>
      <c r="O104" s="49" t="n">
        <v>1</v>
      </c>
      <c r="P104" s="47" t="n">
        <f aca="false">(F104+H104+J104+L104)*O104</f>
        <v>3</v>
      </c>
      <c r="Q104" s="68" t="n">
        <f aca="false">M104*O104</f>
        <v>11.5</v>
      </c>
      <c r="R104" s="68" t="n">
        <f aca="false">N104*O104</f>
        <v>0.199999999999999</v>
      </c>
    </row>
    <row r="105" customFormat="false" ht="15" hidden="false" customHeight="false" outlineLevel="0" collapsed="false">
      <c r="A105" s="47" t="n">
        <v>1</v>
      </c>
      <c r="B105" s="47" t="n">
        <v>14</v>
      </c>
      <c r="C105" s="70" t="s">
        <v>368</v>
      </c>
      <c r="D105" s="47" t="n">
        <v>6</v>
      </c>
      <c r="E105" s="67" t="n">
        <v>4.2</v>
      </c>
      <c r="F105" s="49" t="n">
        <v>2</v>
      </c>
      <c r="G105" s="67" t="n">
        <v>2.85</v>
      </c>
      <c r="H105" s="49" t="n">
        <v>1</v>
      </c>
      <c r="I105" s="20"/>
      <c r="J105" s="20"/>
      <c r="K105" s="20"/>
      <c r="L105" s="20"/>
      <c r="M105" s="34" t="n">
        <f aca="false">E105*F105+G105*H105+I105*J105+K105*L105</f>
        <v>11.25</v>
      </c>
      <c r="N105" s="34" t="n">
        <f aca="false">Исходные!$B$12-M105</f>
        <v>0.449999999999999</v>
      </c>
      <c r="O105" s="49" t="n">
        <v>2</v>
      </c>
      <c r="P105" s="47" t="n">
        <f aca="false">(F105+H105+J105+L105)*O105</f>
        <v>6</v>
      </c>
      <c r="Q105" s="68" t="n">
        <f aca="false">M105*O105</f>
        <v>22.5</v>
      </c>
      <c r="R105" s="68" t="n">
        <f aca="false">N105*O105</f>
        <v>0.899999999999999</v>
      </c>
    </row>
    <row r="106" customFormat="false" ht="15" hidden="false" customHeight="false" outlineLevel="0" collapsed="false">
      <c r="A106" s="47" t="n">
        <v>1</v>
      </c>
      <c r="B106" s="47" t="n">
        <v>14</v>
      </c>
      <c r="C106" s="70" t="s">
        <v>368</v>
      </c>
      <c r="D106" s="47" t="n">
        <v>7</v>
      </c>
      <c r="E106" s="67" t="n">
        <v>3.7</v>
      </c>
      <c r="F106" s="49" t="n">
        <v>3</v>
      </c>
      <c r="G106" s="20"/>
      <c r="H106" s="20"/>
      <c r="I106" s="20"/>
      <c r="J106" s="20"/>
      <c r="K106" s="20"/>
      <c r="L106" s="20"/>
      <c r="M106" s="34" t="n">
        <f aca="false">E106*F106+G106*H106+I106*J106+K106*L106</f>
        <v>11.1</v>
      </c>
      <c r="N106" s="34" t="n">
        <f aca="false">Исходные!$B$12-M106</f>
        <v>0.599999999999998</v>
      </c>
      <c r="O106" s="49" t="n">
        <v>1</v>
      </c>
      <c r="P106" s="47" t="n">
        <f aca="false">(F106+H106+J106+L106)*O106</f>
        <v>3</v>
      </c>
      <c r="Q106" s="68" t="n">
        <f aca="false">M106*O106</f>
        <v>11.1</v>
      </c>
      <c r="R106" s="68" t="n">
        <f aca="false">N106*O106</f>
        <v>0.599999999999998</v>
      </c>
    </row>
    <row r="107" customFormat="false" ht="15" hidden="false" customHeight="false" outlineLevel="0" collapsed="false">
      <c r="A107" s="47" t="n">
        <v>1</v>
      </c>
      <c r="B107" s="47" t="n">
        <v>14</v>
      </c>
      <c r="C107" s="70" t="s">
        <v>368</v>
      </c>
      <c r="D107" s="47" t="n">
        <v>8</v>
      </c>
      <c r="E107" s="67" t="n">
        <v>9.385</v>
      </c>
      <c r="F107" s="49" t="n">
        <v>1</v>
      </c>
      <c r="G107" s="67" t="n">
        <v>1.45</v>
      </c>
      <c r="H107" s="49" t="n">
        <v>1</v>
      </c>
      <c r="I107" s="20"/>
      <c r="J107" s="20"/>
      <c r="K107" s="20"/>
      <c r="L107" s="20"/>
      <c r="M107" s="34" t="n">
        <f aca="false">E107*F107+G107*H107+I107*J107+K107*L107</f>
        <v>10.835</v>
      </c>
      <c r="N107" s="34" t="n">
        <f aca="false">Исходные!$B$12-M107</f>
        <v>0.865</v>
      </c>
      <c r="O107" s="49" t="n">
        <v>2</v>
      </c>
      <c r="P107" s="47" t="n">
        <f aca="false">(F107+H107+J107+L107)*O107</f>
        <v>4</v>
      </c>
      <c r="Q107" s="68" t="n">
        <f aca="false">M107*O107</f>
        <v>21.67</v>
      </c>
      <c r="R107" s="68" t="n">
        <f aca="false">N107*O107</f>
        <v>1.73</v>
      </c>
    </row>
    <row r="108" customFormat="false" ht="15" hidden="false" customHeight="false" outlineLevel="0" collapsed="false">
      <c r="A108" s="47" t="n">
        <v>1</v>
      </c>
      <c r="B108" s="47" t="n">
        <v>14</v>
      </c>
      <c r="C108" s="70" t="s">
        <v>368</v>
      </c>
      <c r="D108" s="47" t="n">
        <v>9</v>
      </c>
      <c r="E108" s="67" t="n">
        <v>3.7</v>
      </c>
      <c r="F108" s="49" t="n">
        <v>1</v>
      </c>
      <c r="G108" s="67" t="n">
        <v>3.545</v>
      </c>
      <c r="H108" s="49" t="n">
        <v>2</v>
      </c>
      <c r="I108" s="20"/>
      <c r="J108" s="20"/>
      <c r="K108" s="20"/>
      <c r="L108" s="20"/>
      <c r="M108" s="34" t="n">
        <f aca="false">E108*F108+G108*H108+I108*J108+K108*L108</f>
        <v>10.79</v>
      </c>
      <c r="N108" s="34" t="n">
        <f aca="false">Исходные!$B$12-M108</f>
        <v>0.91</v>
      </c>
      <c r="O108" s="49" t="n">
        <v>1</v>
      </c>
      <c r="P108" s="47" t="n">
        <f aca="false">(F108+H108+J108+L108)*O108</f>
        <v>3</v>
      </c>
      <c r="Q108" s="68" t="n">
        <f aca="false">M108*O108</f>
        <v>10.79</v>
      </c>
      <c r="R108" s="68" t="n">
        <f aca="false">N108*O108</f>
        <v>0.91</v>
      </c>
    </row>
    <row r="109" customFormat="false" ht="15" hidden="false" customHeight="false" outlineLevel="0" collapsed="false">
      <c r="A109" s="47" t="n">
        <v>1</v>
      </c>
      <c r="B109" s="47" t="n">
        <v>12</v>
      </c>
      <c r="C109" s="70" t="s">
        <v>368</v>
      </c>
      <c r="D109" s="47" t="n">
        <v>1</v>
      </c>
      <c r="E109" s="67" t="n">
        <v>11.7</v>
      </c>
      <c r="F109" s="49" t="n">
        <v>1</v>
      </c>
      <c r="G109" s="20"/>
      <c r="H109" s="20"/>
      <c r="I109" s="20"/>
      <c r="J109" s="20"/>
      <c r="K109" s="20"/>
      <c r="L109" s="20"/>
      <c r="M109" s="34" t="n">
        <f aca="false">E109*F109+G109*H109+I109*J109+K109*L109</f>
        <v>11.7</v>
      </c>
      <c r="N109" s="34" t="n">
        <f aca="false">Исходные!$B$12-M109</f>
        <v>0</v>
      </c>
      <c r="O109" s="49" t="n">
        <v>4</v>
      </c>
      <c r="P109" s="47" t="n">
        <f aca="false">(F109+H109+J109+L109)*O109</f>
        <v>4</v>
      </c>
      <c r="Q109" s="68" t="n">
        <f aca="false">M109*O109</f>
        <v>46.8</v>
      </c>
      <c r="R109" s="68" t="n">
        <f aca="false">N109*O109</f>
        <v>0</v>
      </c>
    </row>
    <row r="110" customFormat="false" ht="15" hidden="false" customHeight="false" outlineLevel="0" collapsed="false">
      <c r="A110" s="47" t="n">
        <v>1</v>
      </c>
      <c r="B110" s="47" t="n">
        <v>12</v>
      </c>
      <c r="C110" s="70" t="s">
        <v>368</v>
      </c>
      <c r="D110" s="47" t="n">
        <v>2</v>
      </c>
      <c r="E110" s="67" t="n">
        <v>2.05</v>
      </c>
      <c r="F110" s="49" t="n">
        <v>5</v>
      </c>
      <c r="G110" s="67" t="n">
        <v>1.4</v>
      </c>
      <c r="H110" s="49" t="n">
        <v>1</v>
      </c>
      <c r="I110" s="20"/>
      <c r="J110" s="20"/>
      <c r="K110" s="20"/>
      <c r="L110" s="20"/>
      <c r="M110" s="34" t="n">
        <f aca="false">E110*F110+G110*H110+I110*J110+K110*L110</f>
        <v>11.65</v>
      </c>
      <c r="N110" s="34" t="n">
        <f aca="false">Исходные!$B$12-M110</f>
        <v>0.0499999999999989</v>
      </c>
      <c r="O110" s="49" t="n">
        <v>1</v>
      </c>
      <c r="P110" s="47" t="n">
        <f aca="false">(F110+H110+J110+L110)*O110</f>
        <v>6</v>
      </c>
      <c r="Q110" s="68" t="n">
        <f aca="false">M110*O110</f>
        <v>11.65</v>
      </c>
      <c r="R110" s="68" t="n">
        <f aca="false">N110*O110</f>
        <v>0.0499999999999989</v>
      </c>
    </row>
    <row r="111" customFormat="false" ht="15" hidden="false" customHeight="false" outlineLevel="0" collapsed="false">
      <c r="A111" s="47" t="n">
        <v>1</v>
      </c>
      <c r="B111" s="47" t="n">
        <v>12</v>
      </c>
      <c r="C111" s="70" t="s">
        <v>368</v>
      </c>
      <c r="D111" s="47" t="n">
        <v>3</v>
      </c>
      <c r="E111" s="67" t="n">
        <v>2.4</v>
      </c>
      <c r="F111" s="49" t="n">
        <v>4</v>
      </c>
      <c r="G111" s="67" t="n">
        <v>2.05</v>
      </c>
      <c r="H111" s="49" t="n">
        <v>1</v>
      </c>
      <c r="I111" s="20"/>
      <c r="J111" s="20"/>
      <c r="K111" s="20"/>
      <c r="L111" s="20"/>
      <c r="M111" s="34" t="n">
        <f aca="false">E111*F111+G111*H111+I111*J111+K111*L111</f>
        <v>11.65</v>
      </c>
      <c r="N111" s="34" t="n">
        <f aca="false">Исходные!$B$12-M111</f>
        <v>0.0500000000000007</v>
      </c>
      <c r="O111" s="49" t="n">
        <v>1</v>
      </c>
      <c r="P111" s="47" t="n">
        <f aca="false">(F111+H111+J111+L111)*O111</f>
        <v>5</v>
      </c>
      <c r="Q111" s="68" t="n">
        <f aca="false">M111*O111</f>
        <v>11.65</v>
      </c>
      <c r="R111" s="68" t="n">
        <f aca="false">N111*O111</f>
        <v>0.0500000000000007</v>
      </c>
    </row>
    <row r="112" customFormat="false" ht="15" hidden="false" customHeight="false" outlineLevel="0" collapsed="false">
      <c r="A112" s="47" t="n">
        <v>1</v>
      </c>
      <c r="B112" s="47" t="n">
        <v>12</v>
      </c>
      <c r="C112" s="70" t="s">
        <v>368</v>
      </c>
      <c r="D112" s="47" t="n">
        <v>4</v>
      </c>
      <c r="E112" s="67" t="n">
        <v>3.4</v>
      </c>
      <c r="F112" s="49" t="n">
        <v>3</v>
      </c>
      <c r="G112" s="67" t="n">
        <v>1.4</v>
      </c>
      <c r="H112" s="49" t="n">
        <v>1</v>
      </c>
      <c r="I112" s="20"/>
      <c r="J112" s="20"/>
      <c r="K112" s="20"/>
      <c r="L112" s="20"/>
      <c r="M112" s="34" t="n">
        <f aca="false">E112*F112+G112*H112+I112*J112+K112*L112</f>
        <v>11.6</v>
      </c>
      <c r="N112" s="34" t="n">
        <f aca="false">Исходные!$B$12-M112</f>
        <v>0.0999999999999996</v>
      </c>
      <c r="O112" s="49" t="n">
        <v>1</v>
      </c>
      <c r="P112" s="47" t="n">
        <f aca="false">(F112+H112+J112+L112)*O112</f>
        <v>4</v>
      </c>
      <c r="Q112" s="68" t="n">
        <f aca="false">M112*O112</f>
        <v>11.6</v>
      </c>
      <c r="R112" s="68" t="n">
        <f aca="false">N112*O112</f>
        <v>0.0999999999999996</v>
      </c>
    </row>
    <row r="113" customFormat="false" ht="15" hidden="false" customHeight="false" outlineLevel="0" collapsed="false">
      <c r="A113" s="47" t="n">
        <v>1</v>
      </c>
      <c r="B113" s="47" t="n">
        <v>12</v>
      </c>
      <c r="C113" s="70" t="s">
        <v>368</v>
      </c>
      <c r="D113" s="47" t="n">
        <v>5</v>
      </c>
      <c r="E113" s="67" t="n">
        <v>3.8</v>
      </c>
      <c r="F113" s="49" t="n">
        <v>3</v>
      </c>
      <c r="G113" s="20"/>
      <c r="H113" s="20"/>
      <c r="I113" s="20"/>
      <c r="J113" s="20"/>
      <c r="K113" s="20"/>
      <c r="L113" s="20"/>
      <c r="M113" s="34" t="n">
        <f aca="false">E113*F113+G113*H113+I113*J113+K113*L113</f>
        <v>11.4</v>
      </c>
      <c r="N113" s="34" t="n">
        <f aca="false">Исходные!$B$12-M113</f>
        <v>0.300000000000001</v>
      </c>
      <c r="O113" s="49" t="n">
        <v>2</v>
      </c>
      <c r="P113" s="47" t="n">
        <f aca="false">(F113+H113+J113+L113)*O113</f>
        <v>6</v>
      </c>
      <c r="Q113" s="68" t="n">
        <f aca="false">M113*O113</f>
        <v>22.8</v>
      </c>
      <c r="R113" s="68" t="n">
        <f aca="false">N113*O113</f>
        <v>0.600000000000001</v>
      </c>
    </row>
    <row r="114" customFormat="false" ht="15" hidden="false" customHeight="false" outlineLevel="0" collapsed="false">
      <c r="A114" s="47" t="n">
        <v>1</v>
      </c>
      <c r="B114" s="47" t="n">
        <v>12</v>
      </c>
      <c r="C114" s="70" t="s">
        <v>368</v>
      </c>
      <c r="D114" s="47" t="n">
        <v>6</v>
      </c>
      <c r="E114" s="67" t="n">
        <v>2.3</v>
      </c>
      <c r="F114" s="49" t="n">
        <v>4</v>
      </c>
      <c r="G114" s="67" t="n">
        <v>2.2</v>
      </c>
      <c r="H114" s="49" t="n">
        <v>1</v>
      </c>
      <c r="I114" s="20"/>
      <c r="J114" s="20"/>
      <c r="K114" s="20"/>
      <c r="L114" s="20"/>
      <c r="M114" s="34" t="n">
        <f aca="false">E114*F114+G114*H114+I114*J114+K114*L114</f>
        <v>11.4</v>
      </c>
      <c r="N114" s="34" t="n">
        <f aca="false">Исходные!$B$12-M114</f>
        <v>0.300000000000001</v>
      </c>
      <c r="O114" s="49" t="n">
        <v>1</v>
      </c>
      <c r="P114" s="47" t="n">
        <f aca="false">(F114+H114+J114+L114)*O114</f>
        <v>5</v>
      </c>
      <c r="Q114" s="68" t="n">
        <f aca="false">M114*O114</f>
        <v>11.4</v>
      </c>
      <c r="R114" s="68" t="n">
        <f aca="false">N114*O114</f>
        <v>0.300000000000001</v>
      </c>
    </row>
    <row r="115" customFormat="false" ht="15" hidden="false" customHeight="false" outlineLevel="0" collapsed="false">
      <c r="A115" s="47" t="n">
        <v>1</v>
      </c>
      <c r="B115" s="47" t="n">
        <v>12</v>
      </c>
      <c r="C115" s="70" t="s">
        <v>368</v>
      </c>
      <c r="D115" s="47" t="n">
        <v>7</v>
      </c>
      <c r="E115" s="67" t="n">
        <v>3.8</v>
      </c>
      <c r="F115" s="49" t="n">
        <v>2</v>
      </c>
      <c r="G115" s="67" t="n">
        <v>3.6</v>
      </c>
      <c r="H115" s="49" t="n">
        <v>1</v>
      </c>
      <c r="I115" s="20"/>
      <c r="J115" s="20"/>
      <c r="K115" s="20"/>
      <c r="L115" s="20"/>
      <c r="M115" s="34" t="n">
        <f aca="false">E115*F115+G115*H115+I115*J115+K115*L115</f>
        <v>11.2</v>
      </c>
      <c r="N115" s="34" t="n">
        <f aca="false">Исходные!$B$12-M115</f>
        <v>0.5</v>
      </c>
      <c r="O115" s="49" t="n">
        <v>1</v>
      </c>
      <c r="P115" s="47" t="n">
        <f aca="false">(F115+H115+J115+L115)*O115</f>
        <v>3</v>
      </c>
      <c r="Q115" s="68" t="n">
        <f aca="false">M115*O115</f>
        <v>11.2</v>
      </c>
      <c r="R115" s="68" t="n">
        <f aca="false">N115*O115</f>
        <v>0.5</v>
      </c>
    </row>
    <row r="116" customFormat="false" ht="15" hidden="false" customHeight="false" outlineLevel="0" collapsed="false">
      <c r="A116" s="47" t="n">
        <v>1</v>
      </c>
      <c r="B116" s="47" t="n">
        <v>12</v>
      </c>
      <c r="C116" s="70" t="s">
        <v>368</v>
      </c>
      <c r="D116" s="47" t="n">
        <v>8</v>
      </c>
      <c r="E116" s="67" t="n">
        <v>2.05</v>
      </c>
      <c r="F116" s="49" t="n">
        <v>2</v>
      </c>
      <c r="G116" s="67" t="n">
        <v>1.4</v>
      </c>
      <c r="H116" s="49" t="n">
        <v>5</v>
      </c>
      <c r="I116" s="20"/>
      <c r="J116" s="20"/>
      <c r="K116" s="20"/>
      <c r="L116" s="20"/>
      <c r="M116" s="34" t="n">
        <f aca="false">E116*F116+G116*H116+I116*J116+K116*L116</f>
        <v>11.1</v>
      </c>
      <c r="N116" s="34" t="n">
        <f aca="false">Исходные!$B$12-M116</f>
        <v>0.6</v>
      </c>
      <c r="O116" s="49" t="n">
        <v>1</v>
      </c>
      <c r="P116" s="47" t="n">
        <f aca="false">(F116+H116+J116+L116)*O116</f>
        <v>7</v>
      </c>
      <c r="Q116" s="68" t="n">
        <f aca="false">M116*O116</f>
        <v>11.1</v>
      </c>
      <c r="R116" s="68" t="n">
        <f aca="false">N116*O116</f>
        <v>0.6</v>
      </c>
    </row>
    <row r="117" customFormat="false" ht="15" hidden="false" customHeight="false" outlineLevel="0" collapsed="false">
      <c r="A117" s="47" t="n">
        <v>1</v>
      </c>
      <c r="B117" s="47" t="n">
        <v>12</v>
      </c>
      <c r="C117" s="70" t="s">
        <v>368</v>
      </c>
      <c r="D117" s="47" t="n">
        <v>9</v>
      </c>
      <c r="E117" s="67" t="n">
        <v>2.2</v>
      </c>
      <c r="F117" s="49" t="n">
        <v>5</v>
      </c>
      <c r="G117" s="20"/>
      <c r="H117" s="20"/>
      <c r="I117" s="20"/>
      <c r="J117" s="20"/>
      <c r="K117" s="20"/>
      <c r="L117" s="20"/>
      <c r="M117" s="34" t="n">
        <f aca="false">E117*F117+G117*H117+I117*J117+K117*L117</f>
        <v>11</v>
      </c>
      <c r="N117" s="34" t="n">
        <f aca="false">Исходные!$B$12-M117</f>
        <v>0.699999999999999</v>
      </c>
      <c r="O117" s="49" t="n">
        <v>2</v>
      </c>
      <c r="P117" s="47" t="n">
        <f aca="false">(F117+H117+J117+L117)*O117</f>
        <v>10</v>
      </c>
      <c r="Q117" s="68" t="n">
        <f aca="false">M117*O117</f>
        <v>22</v>
      </c>
      <c r="R117" s="68" t="n">
        <f aca="false">N117*O117</f>
        <v>1.4</v>
      </c>
    </row>
    <row r="118" customFormat="false" ht="15" hidden="false" customHeight="false" outlineLevel="0" collapsed="false">
      <c r="A118" s="47" t="n">
        <v>1</v>
      </c>
      <c r="B118" s="47" t="n">
        <v>12</v>
      </c>
      <c r="C118" s="70" t="s">
        <v>368</v>
      </c>
      <c r="D118" s="47" t="n">
        <v>10</v>
      </c>
      <c r="E118" s="67" t="n">
        <v>5.496</v>
      </c>
      <c r="F118" s="49" t="n">
        <v>2</v>
      </c>
      <c r="G118" s="20"/>
      <c r="H118" s="20"/>
      <c r="I118" s="20"/>
      <c r="J118" s="20"/>
      <c r="K118" s="20"/>
      <c r="L118" s="20"/>
      <c r="M118" s="34" t="n">
        <f aca="false">E118*F118+G118*H118+I118*J118+K118*L118</f>
        <v>10.992</v>
      </c>
      <c r="N118" s="34" t="n">
        <f aca="false">Исходные!$B$12-M118</f>
        <v>0.707999999999998</v>
      </c>
      <c r="O118" s="49" t="n">
        <v>2</v>
      </c>
      <c r="P118" s="47" t="n">
        <f aca="false">(F118+H118+J118+L118)*O118</f>
        <v>4</v>
      </c>
      <c r="Q118" s="68" t="n">
        <f aca="false">M118*O118</f>
        <v>21.984</v>
      </c>
      <c r="R118" s="68" t="n">
        <f aca="false">N118*O118</f>
        <v>1.416</v>
      </c>
    </row>
    <row r="119" customFormat="false" ht="15" hidden="false" customHeight="false" outlineLevel="0" collapsed="false">
      <c r="A119" s="47" t="n">
        <v>1</v>
      </c>
      <c r="B119" s="47" t="n">
        <v>12</v>
      </c>
      <c r="C119" s="70" t="s">
        <v>368</v>
      </c>
      <c r="D119" s="47" t="n">
        <v>11</v>
      </c>
      <c r="E119" s="67" t="n">
        <v>3.6</v>
      </c>
      <c r="F119" s="49" t="n">
        <v>3</v>
      </c>
      <c r="G119" s="20"/>
      <c r="H119" s="20"/>
      <c r="I119" s="20"/>
      <c r="J119" s="20"/>
      <c r="K119" s="20"/>
      <c r="L119" s="20"/>
      <c r="M119" s="34" t="n">
        <f aca="false">E119*F119+G119*H119+I119*J119+K119*L119</f>
        <v>10.8</v>
      </c>
      <c r="N119" s="34" t="n">
        <f aca="false">Исходные!$B$12-M119</f>
        <v>0.899999999999999</v>
      </c>
      <c r="O119" s="49" t="n">
        <v>1</v>
      </c>
      <c r="P119" s="47" t="n">
        <f aca="false">(F119+H119+J119+L119)*O119</f>
        <v>3</v>
      </c>
      <c r="Q119" s="68" t="n">
        <f aca="false">M119*O119</f>
        <v>10.8</v>
      </c>
      <c r="R119" s="68" t="n">
        <f aca="false">N119*O119</f>
        <v>0.899999999999999</v>
      </c>
    </row>
    <row r="120" customFormat="false" ht="15" hidden="false" customHeight="false" outlineLevel="0" collapsed="false">
      <c r="A120" s="47" t="n">
        <v>1</v>
      </c>
      <c r="B120" s="47" t="n">
        <v>12</v>
      </c>
      <c r="C120" s="70" t="s">
        <v>368</v>
      </c>
      <c r="D120" s="47" t="n">
        <v>12</v>
      </c>
      <c r="E120" s="67" t="n">
        <v>10.6</v>
      </c>
      <c r="F120" s="49" t="n">
        <v>1</v>
      </c>
      <c r="G120" s="20"/>
      <c r="H120" s="20"/>
      <c r="I120" s="20"/>
      <c r="J120" s="20"/>
      <c r="K120" s="20"/>
      <c r="L120" s="20"/>
      <c r="M120" s="34" t="n">
        <f aca="false">E120*F120+G120*H120+I120*J120+K120*L120</f>
        <v>10.6</v>
      </c>
      <c r="N120" s="34" t="n">
        <f aca="false">Исходные!$B$12-M120</f>
        <v>1.1</v>
      </c>
      <c r="O120" s="49" t="n">
        <v>2</v>
      </c>
      <c r="P120" s="47" t="n">
        <f aca="false">(F120+H120+J120+L120)*O120</f>
        <v>2</v>
      </c>
      <c r="Q120" s="68" t="n">
        <f aca="false">M120*O120</f>
        <v>21.2</v>
      </c>
      <c r="R120" s="68" t="n">
        <f aca="false">N120*O120</f>
        <v>2.2</v>
      </c>
    </row>
    <row r="121" customFormat="false" ht="15" hidden="false" customHeight="false" outlineLevel="0" collapsed="false">
      <c r="A121" s="47" t="n">
        <v>1</v>
      </c>
      <c r="B121" s="47" t="n">
        <v>12</v>
      </c>
      <c r="C121" s="70" t="s">
        <v>368</v>
      </c>
      <c r="D121" s="47" t="n">
        <v>13</v>
      </c>
      <c r="E121" s="67" t="n">
        <v>3.6</v>
      </c>
      <c r="F121" s="49" t="n">
        <v>2</v>
      </c>
      <c r="G121" s="67" t="n">
        <v>3.4</v>
      </c>
      <c r="H121" s="49" t="n">
        <v>1</v>
      </c>
      <c r="I121" s="20"/>
      <c r="J121" s="20"/>
      <c r="K121" s="20"/>
      <c r="L121" s="20"/>
      <c r="M121" s="34" t="n">
        <f aca="false">E121*F121+G121*H121+I121*J121+K121*L121</f>
        <v>10.6</v>
      </c>
      <c r="N121" s="34" t="n">
        <f aca="false">Исходные!$B$12-M121</f>
        <v>1.1</v>
      </c>
      <c r="O121" s="49" t="n">
        <v>1</v>
      </c>
      <c r="P121" s="47" t="n">
        <f aca="false">(F121+H121+J121+L121)*O121</f>
        <v>3</v>
      </c>
      <c r="Q121" s="68" t="n">
        <f aca="false">M121*O121</f>
        <v>10.6</v>
      </c>
      <c r="R121" s="68" t="n">
        <f aca="false">N121*O121</f>
        <v>1.1</v>
      </c>
    </row>
    <row r="122" customFormat="false" ht="15" hidden="false" customHeight="false" outlineLevel="0" collapsed="false">
      <c r="A122" s="47" t="n">
        <v>1</v>
      </c>
      <c r="B122" s="47" t="n">
        <v>12</v>
      </c>
      <c r="C122" s="70" t="s">
        <v>368</v>
      </c>
      <c r="D122" s="47" t="n">
        <v>14</v>
      </c>
      <c r="E122" s="67" t="n">
        <v>2.2</v>
      </c>
      <c r="F122" s="49" t="n">
        <v>1</v>
      </c>
      <c r="G122" s="67" t="n">
        <v>2.05</v>
      </c>
      <c r="H122" s="49" t="n">
        <v>4</v>
      </c>
      <c r="I122" s="20"/>
      <c r="J122" s="20"/>
      <c r="K122" s="20"/>
      <c r="L122" s="20"/>
      <c r="M122" s="34" t="n">
        <f aca="false">E122*F122+G122*H122+I122*J122+K122*L122</f>
        <v>10.4</v>
      </c>
      <c r="N122" s="34" t="n">
        <f aca="false">Исходные!$B$12-M122</f>
        <v>1.3</v>
      </c>
      <c r="O122" s="49" t="n">
        <v>1</v>
      </c>
      <c r="P122" s="47" t="n">
        <f aca="false">(F122+H122+J122+L122)*O122</f>
        <v>5</v>
      </c>
      <c r="Q122" s="68" t="n">
        <f aca="false">M122*O122</f>
        <v>10.4</v>
      </c>
      <c r="R122" s="68" t="n">
        <f aca="false">N122*O122</f>
        <v>1.3</v>
      </c>
    </row>
    <row r="123" customFormat="false" ht="15" hidden="false" customHeight="false" outlineLevel="0" collapsed="false">
      <c r="A123" s="47" t="n">
        <v>1</v>
      </c>
      <c r="B123" s="47" t="n">
        <v>12</v>
      </c>
      <c r="C123" s="70" t="s">
        <v>368</v>
      </c>
      <c r="D123" s="47" t="n">
        <v>15</v>
      </c>
      <c r="E123" s="67" t="n">
        <v>1.4</v>
      </c>
      <c r="F123" s="49" t="n">
        <v>5</v>
      </c>
      <c r="G123" s="20"/>
      <c r="H123" s="20"/>
      <c r="I123" s="20"/>
      <c r="J123" s="20"/>
      <c r="K123" s="20"/>
      <c r="L123" s="20"/>
      <c r="M123" s="34" t="n">
        <f aca="false">E123*F123+G123*H123+I123*J123+K123*L123</f>
        <v>7</v>
      </c>
      <c r="N123" s="34" t="n">
        <f aca="false">Исходные!$B$12-M123</f>
        <v>4.7</v>
      </c>
      <c r="O123" s="49" t="n">
        <v>1</v>
      </c>
      <c r="P123" s="47" t="n">
        <f aca="false">(F123+H123+J123+L123)*O123</f>
        <v>5</v>
      </c>
      <c r="Q123" s="68" t="n">
        <f aca="false">M123*O123</f>
        <v>7</v>
      </c>
      <c r="R123" s="68" t="n">
        <f aca="false">N123*O123</f>
        <v>4.7</v>
      </c>
    </row>
    <row r="124" customFormat="false" ht="15" hidden="false" customHeight="false" outlineLevel="0" collapsed="false">
      <c r="A124" s="47" t="n">
        <v>1</v>
      </c>
      <c r="B124" s="47" t="n">
        <v>10</v>
      </c>
      <c r="C124" s="70" t="s">
        <v>368</v>
      </c>
      <c r="D124" s="47" t="n">
        <v>1</v>
      </c>
      <c r="E124" s="67" t="n">
        <v>11.7</v>
      </c>
      <c r="F124" s="49" t="n">
        <v>1</v>
      </c>
      <c r="G124" s="20"/>
      <c r="H124" s="20"/>
      <c r="I124" s="20"/>
      <c r="J124" s="20"/>
      <c r="K124" s="20"/>
      <c r="L124" s="20"/>
      <c r="M124" s="34" t="n">
        <f aca="false">E124*F124+G124*H124+I124*J124+K124*L124</f>
        <v>11.7</v>
      </c>
      <c r="N124" s="34" t="n">
        <f aca="false">Исходные!$B$12-M124</f>
        <v>0</v>
      </c>
      <c r="O124" s="49" t="n">
        <v>616</v>
      </c>
      <c r="P124" s="47" t="n">
        <f aca="false">(F124+H124+J124+L124)*O124</f>
        <v>616</v>
      </c>
      <c r="Q124" s="68" t="n">
        <f aca="false">M124*O124</f>
        <v>7207.2</v>
      </c>
      <c r="R124" s="68" t="n">
        <f aca="false">N124*O124</f>
        <v>0</v>
      </c>
    </row>
    <row r="125" customFormat="false" ht="15" hidden="false" customHeight="false" outlineLevel="0" collapsed="false">
      <c r="A125" s="47" t="n">
        <v>1</v>
      </c>
      <c r="B125" s="47" t="n">
        <v>10</v>
      </c>
      <c r="C125" s="70" t="s">
        <v>368</v>
      </c>
      <c r="D125" s="47" t="n">
        <v>2</v>
      </c>
      <c r="E125" s="67" t="n">
        <v>4.75</v>
      </c>
      <c r="F125" s="49" t="n">
        <v>2</v>
      </c>
      <c r="G125" s="67" t="n">
        <v>2.2</v>
      </c>
      <c r="H125" s="49" t="n">
        <v>1</v>
      </c>
      <c r="I125" s="20"/>
      <c r="J125" s="20"/>
      <c r="K125" s="20"/>
      <c r="L125" s="20"/>
      <c r="M125" s="34" t="n">
        <f aca="false">E125*F125+G125*H125+I125*J125+K125*L125</f>
        <v>11.7</v>
      </c>
      <c r="N125" s="34" t="n">
        <f aca="false">Исходные!$B$12-M125</f>
        <v>0</v>
      </c>
      <c r="O125" s="49" t="n">
        <v>13</v>
      </c>
      <c r="P125" s="47" t="n">
        <f aca="false">(F125+H125+J125+L125)*O125</f>
        <v>39</v>
      </c>
      <c r="Q125" s="68" t="n">
        <f aca="false">M125*O125</f>
        <v>152.1</v>
      </c>
      <c r="R125" s="68" t="n">
        <f aca="false">N125*O125</f>
        <v>0</v>
      </c>
    </row>
    <row r="126" customFormat="false" ht="15" hidden="false" customHeight="false" outlineLevel="0" collapsed="false">
      <c r="A126" s="47" t="n">
        <v>1</v>
      </c>
      <c r="B126" s="47" t="n">
        <v>10</v>
      </c>
      <c r="C126" s="70" t="s">
        <v>368</v>
      </c>
      <c r="D126" s="47" t="n">
        <v>3</v>
      </c>
      <c r="E126" s="67" t="n">
        <v>1.4</v>
      </c>
      <c r="F126" s="49" t="n">
        <v>4</v>
      </c>
      <c r="G126" s="67" t="n">
        <v>1.25</v>
      </c>
      <c r="H126" s="49" t="n">
        <v>3</v>
      </c>
      <c r="I126" s="67" t="n">
        <v>1.2</v>
      </c>
      <c r="J126" s="49" t="n">
        <v>1</v>
      </c>
      <c r="K126" s="67" t="n">
        <v>0.57</v>
      </c>
      <c r="L126" s="49" t="n">
        <v>2</v>
      </c>
      <c r="M126" s="34" t="n">
        <f aca="false">E126*F126+G126*H126+I126*J126+K126*L126</f>
        <v>11.69</v>
      </c>
      <c r="N126" s="34" t="n">
        <f aca="false">Исходные!$B$12-M126</f>
        <v>0.00999999999999979</v>
      </c>
      <c r="O126" s="49" t="n">
        <v>1</v>
      </c>
      <c r="P126" s="47" t="n">
        <f aca="false">(F126+H126+J126+L126)*O126</f>
        <v>10</v>
      </c>
      <c r="Q126" s="68" t="n">
        <f aca="false">M126*O126</f>
        <v>11.69</v>
      </c>
      <c r="R126" s="68" t="n">
        <f aca="false">N126*O126</f>
        <v>0.00999999999999979</v>
      </c>
    </row>
    <row r="127" customFormat="false" ht="15" hidden="false" customHeight="false" outlineLevel="0" collapsed="false">
      <c r="A127" s="47" t="n">
        <v>1</v>
      </c>
      <c r="B127" s="47" t="n">
        <v>10</v>
      </c>
      <c r="C127" s="70" t="s">
        <v>368</v>
      </c>
      <c r="D127" s="47" t="n">
        <v>4</v>
      </c>
      <c r="E127" s="67" t="n">
        <v>1.4</v>
      </c>
      <c r="F127" s="49" t="n">
        <v>8</v>
      </c>
      <c r="G127" s="67" t="n">
        <v>0.48</v>
      </c>
      <c r="H127" s="49" t="n">
        <v>1</v>
      </c>
      <c r="I127" s="20"/>
      <c r="J127" s="20"/>
      <c r="K127" s="20"/>
      <c r="L127" s="20"/>
      <c r="M127" s="34" t="n">
        <f aca="false">E127*F127+G127*H127+I127*J127+K127*L127</f>
        <v>11.68</v>
      </c>
      <c r="N127" s="34" t="n">
        <f aca="false">Исходные!$B$12-M127</f>
        <v>0.0199999999999996</v>
      </c>
      <c r="O127" s="49" t="n">
        <v>3</v>
      </c>
      <c r="P127" s="47" t="n">
        <f aca="false">(F127+H127+J127+L127)*O127</f>
        <v>27</v>
      </c>
      <c r="Q127" s="68" t="n">
        <f aca="false">M127*O127</f>
        <v>35.04</v>
      </c>
      <c r="R127" s="68" t="n">
        <f aca="false">N127*O127</f>
        <v>0.0599999999999987</v>
      </c>
    </row>
    <row r="128" customFormat="false" ht="15" hidden="false" customHeight="false" outlineLevel="0" collapsed="false">
      <c r="A128" s="47" t="n">
        <v>1</v>
      </c>
      <c r="B128" s="47" t="n">
        <v>10</v>
      </c>
      <c r="C128" s="70" t="s">
        <v>368</v>
      </c>
      <c r="D128" s="47" t="n">
        <v>5</v>
      </c>
      <c r="E128" s="67" t="n">
        <v>11.05</v>
      </c>
      <c r="F128" s="49" t="n">
        <v>1</v>
      </c>
      <c r="G128" s="67" t="n">
        <v>0.62</v>
      </c>
      <c r="H128" s="49" t="n">
        <v>1</v>
      </c>
      <c r="I128" s="20"/>
      <c r="J128" s="20"/>
      <c r="K128" s="20"/>
      <c r="L128" s="20"/>
      <c r="M128" s="34" t="n">
        <f aca="false">E128*F128+G128*H128+I128*J128+K128*L128</f>
        <v>11.67</v>
      </c>
      <c r="N128" s="34" t="n">
        <f aca="false">Исходные!$B$12-M128</f>
        <v>0.0299999999999994</v>
      </c>
      <c r="O128" s="49" t="n">
        <v>48</v>
      </c>
      <c r="P128" s="47" t="n">
        <f aca="false">(F128+H128+J128+L128)*O128</f>
        <v>96</v>
      </c>
      <c r="Q128" s="68" t="n">
        <f aca="false">M128*O128</f>
        <v>560.16</v>
      </c>
      <c r="R128" s="68" t="n">
        <f aca="false">N128*O128</f>
        <v>1.43999999999997</v>
      </c>
    </row>
    <row r="129" customFormat="false" ht="15" hidden="false" customHeight="false" outlineLevel="0" collapsed="false">
      <c r="A129" s="47" t="n">
        <v>1</v>
      </c>
      <c r="B129" s="47" t="n">
        <v>10</v>
      </c>
      <c r="C129" s="70" t="s">
        <v>368</v>
      </c>
      <c r="D129" s="47" t="n">
        <v>6</v>
      </c>
      <c r="E129" s="67" t="n">
        <v>9.18</v>
      </c>
      <c r="F129" s="49" t="n">
        <v>1</v>
      </c>
      <c r="G129" s="67" t="n">
        <v>2</v>
      </c>
      <c r="H129" s="49" t="n">
        <v>1</v>
      </c>
      <c r="I129" s="67" t="n">
        <v>0.48</v>
      </c>
      <c r="J129" s="49" t="n">
        <v>1</v>
      </c>
      <c r="K129" s="20"/>
      <c r="L129" s="20"/>
      <c r="M129" s="34" t="n">
        <f aca="false">E129*F129+G129*H129+I129*J129+K129*L129</f>
        <v>11.66</v>
      </c>
      <c r="N129" s="34" t="n">
        <f aca="false">Исходные!$B$12-M129</f>
        <v>0.0399999999999992</v>
      </c>
      <c r="O129" s="49" t="n">
        <v>5</v>
      </c>
      <c r="P129" s="47" t="n">
        <f aca="false">(F129+H129+J129+L129)*O129</f>
        <v>15</v>
      </c>
      <c r="Q129" s="68" t="n">
        <f aca="false">M129*O129</f>
        <v>58.3</v>
      </c>
      <c r="R129" s="68" t="n">
        <f aca="false">N129*O129</f>
        <v>0.199999999999996</v>
      </c>
    </row>
    <row r="130" customFormat="false" ht="15" hidden="false" customHeight="false" outlineLevel="0" collapsed="false">
      <c r="A130" s="47" t="n">
        <v>1</v>
      </c>
      <c r="B130" s="47" t="n">
        <v>10</v>
      </c>
      <c r="C130" s="70" t="s">
        <v>368</v>
      </c>
      <c r="D130" s="47" t="n">
        <v>7</v>
      </c>
      <c r="E130" s="67" t="n">
        <v>4.32</v>
      </c>
      <c r="F130" s="49" t="n">
        <v>2</v>
      </c>
      <c r="G130" s="67" t="n">
        <v>3.02</v>
      </c>
      <c r="H130" s="49" t="n">
        <v>1</v>
      </c>
      <c r="I130" s="20"/>
      <c r="J130" s="20"/>
      <c r="K130" s="20"/>
      <c r="L130" s="20"/>
      <c r="M130" s="34" t="n">
        <f aca="false">E130*F130+G130*H130+I130*J130+K130*L130</f>
        <v>11.66</v>
      </c>
      <c r="N130" s="34" t="n">
        <f aca="false">Исходные!$B$12-M130</f>
        <v>0.0399999999999992</v>
      </c>
      <c r="O130" s="49" t="n">
        <v>16</v>
      </c>
      <c r="P130" s="47" t="n">
        <f aca="false">(F130+H130+J130+L130)*O130</f>
        <v>48</v>
      </c>
      <c r="Q130" s="68" t="n">
        <f aca="false">M130*O130</f>
        <v>186.56</v>
      </c>
      <c r="R130" s="68" t="n">
        <f aca="false">N130*O130</f>
        <v>0.639999999999986</v>
      </c>
    </row>
    <row r="131" customFormat="false" ht="15" hidden="false" customHeight="false" outlineLevel="0" collapsed="false">
      <c r="A131" s="47" t="n">
        <v>1</v>
      </c>
      <c r="B131" s="47" t="n">
        <v>10</v>
      </c>
      <c r="C131" s="70" t="s">
        <v>368</v>
      </c>
      <c r="D131" s="47" t="n">
        <v>8</v>
      </c>
      <c r="E131" s="67" t="n">
        <v>3.02</v>
      </c>
      <c r="F131" s="49" t="n">
        <v>3</v>
      </c>
      <c r="G131" s="67" t="n">
        <v>2.6</v>
      </c>
      <c r="H131" s="49" t="n">
        <v>1</v>
      </c>
      <c r="I131" s="20"/>
      <c r="J131" s="20"/>
      <c r="K131" s="20"/>
      <c r="L131" s="20"/>
      <c r="M131" s="34" t="n">
        <f aca="false">E131*F131+G131*H131+I131*J131+K131*L131</f>
        <v>11.66</v>
      </c>
      <c r="N131" s="34" t="n">
        <f aca="false">Исходные!$B$12-M131</f>
        <v>0.0399999999999992</v>
      </c>
      <c r="O131" s="49" t="n">
        <v>6</v>
      </c>
      <c r="P131" s="47" t="n">
        <f aca="false">(F131+H131+J131+L131)*O131</f>
        <v>24</v>
      </c>
      <c r="Q131" s="68" t="n">
        <f aca="false">M131*O131</f>
        <v>69.96</v>
      </c>
      <c r="R131" s="68" t="n">
        <f aca="false">N131*O131</f>
        <v>0.239999999999995</v>
      </c>
    </row>
    <row r="132" customFormat="false" ht="15" hidden="false" customHeight="false" outlineLevel="0" collapsed="false">
      <c r="A132" s="47" t="n">
        <v>1</v>
      </c>
      <c r="B132" s="47" t="n">
        <v>10</v>
      </c>
      <c r="C132" s="70" t="s">
        <v>368</v>
      </c>
      <c r="D132" s="47" t="n">
        <v>9</v>
      </c>
      <c r="E132" s="67" t="n">
        <v>11.05</v>
      </c>
      <c r="F132" s="49" t="n">
        <v>1</v>
      </c>
      <c r="G132" s="67" t="n">
        <v>0.6</v>
      </c>
      <c r="H132" s="49" t="n">
        <v>1</v>
      </c>
      <c r="I132" s="20"/>
      <c r="J132" s="20"/>
      <c r="K132" s="20"/>
      <c r="L132" s="20"/>
      <c r="M132" s="34" t="n">
        <f aca="false">E132*F132+G132*H132+I132*J132+K132*L132</f>
        <v>11.65</v>
      </c>
      <c r="N132" s="34" t="n">
        <f aca="false">Исходные!$B$12-M132</f>
        <v>0.0499999999999989</v>
      </c>
      <c r="O132" s="49" t="n">
        <v>28</v>
      </c>
      <c r="P132" s="47" t="n">
        <f aca="false">(F132+H132+J132+L132)*O132</f>
        <v>56</v>
      </c>
      <c r="Q132" s="68" t="n">
        <f aca="false">M132*O132</f>
        <v>326.2</v>
      </c>
      <c r="R132" s="68" t="n">
        <f aca="false">N132*O132</f>
        <v>1.39999999999997</v>
      </c>
    </row>
    <row r="133" customFormat="false" ht="15" hidden="false" customHeight="false" outlineLevel="0" collapsed="false">
      <c r="A133" s="47" t="n">
        <v>1</v>
      </c>
      <c r="B133" s="47" t="n">
        <v>10</v>
      </c>
      <c r="C133" s="70" t="s">
        <v>368</v>
      </c>
      <c r="D133" s="47" t="n">
        <v>10</v>
      </c>
      <c r="E133" s="67" t="n">
        <v>6.9</v>
      </c>
      <c r="F133" s="49" t="n">
        <v>1</v>
      </c>
      <c r="G133" s="67" t="n">
        <v>4.75</v>
      </c>
      <c r="H133" s="49" t="n">
        <v>1</v>
      </c>
      <c r="I133" s="20"/>
      <c r="J133" s="20"/>
      <c r="K133" s="20"/>
      <c r="L133" s="20"/>
      <c r="M133" s="34" t="n">
        <f aca="false">E133*F133+G133*H133+I133*J133+K133*L133</f>
        <v>11.65</v>
      </c>
      <c r="N133" s="34" t="n">
        <f aca="false">Исходные!$B$12-M133</f>
        <v>0.0499999999999989</v>
      </c>
      <c r="O133" s="49" t="n">
        <v>26</v>
      </c>
      <c r="P133" s="47" t="n">
        <f aca="false">(F133+H133+J133+L133)*O133</f>
        <v>52</v>
      </c>
      <c r="Q133" s="68" t="n">
        <f aca="false">M133*O133</f>
        <v>302.9</v>
      </c>
      <c r="R133" s="68" t="n">
        <f aca="false">N133*O133</f>
        <v>1.29999999999997</v>
      </c>
    </row>
    <row r="134" customFormat="false" ht="15" hidden="false" customHeight="false" outlineLevel="0" collapsed="false">
      <c r="A134" s="47" t="n">
        <v>1</v>
      </c>
      <c r="B134" s="47" t="n">
        <v>10</v>
      </c>
      <c r="C134" s="70" t="s">
        <v>368</v>
      </c>
      <c r="D134" s="47" t="n">
        <v>11</v>
      </c>
      <c r="E134" s="67" t="n">
        <v>4.5</v>
      </c>
      <c r="F134" s="49" t="n">
        <v>2</v>
      </c>
      <c r="G134" s="67" t="n">
        <v>1.4</v>
      </c>
      <c r="H134" s="49" t="n">
        <v>1</v>
      </c>
      <c r="I134" s="67" t="n">
        <v>1.25</v>
      </c>
      <c r="J134" s="49" t="n">
        <v>1</v>
      </c>
      <c r="K134" s="20"/>
      <c r="L134" s="20"/>
      <c r="M134" s="34" t="n">
        <f aca="false">E134*F134+G134*H134+I134*J134+K134*L134</f>
        <v>11.65</v>
      </c>
      <c r="N134" s="34" t="n">
        <f aca="false">Исходные!$B$12-M134</f>
        <v>0.0499999999999989</v>
      </c>
      <c r="O134" s="49" t="n">
        <v>3</v>
      </c>
      <c r="P134" s="47" t="n">
        <f aca="false">(F134+H134+J134+L134)*O134</f>
        <v>12</v>
      </c>
      <c r="Q134" s="68" t="n">
        <f aca="false">M134*O134</f>
        <v>34.95</v>
      </c>
      <c r="R134" s="68" t="n">
        <f aca="false">N134*O134</f>
        <v>0.149999999999997</v>
      </c>
    </row>
    <row r="135" customFormat="false" ht="15" hidden="false" customHeight="false" outlineLevel="0" collapsed="false">
      <c r="A135" s="47" t="n">
        <v>1</v>
      </c>
      <c r="B135" s="47" t="n">
        <v>10</v>
      </c>
      <c r="C135" s="70" t="s">
        <v>368</v>
      </c>
      <c r="D135" s="47" t="n">
        <v>12</v>
      </c>
      <c r="E135" s="67" t="n">
        <v>3.02</v>
      </c>
      <c r="F135" s="49" t="n">
        <v>2</v>
      </c>
      <c r="G135" s="67" t="n">
        <v>1.4</v>
      </c>
      <c r="H135" s="49" t="n">
        <v>4</v>
      </c>
      <c r="I135" s="20"/>
      <c r="J135" s="20"/>
      <c r="K135" s="20"/>
      <c r="L135" s="20"/>
      <c r="M135" s="34" t="n">
        <f aca="false">E135*F135+G135*H135+I135*J135+K135*L135</f>
        <v>11.64</v>
      </c>
      <c r="N135" s="34" t="n">
        <f aca="false">Исходные!$B$12-M135</f>
        <v>0.0599999999999987</v>
      </c>
      <c r="O135" s="49" t="n">
        <v>1</v>
      </c>
      <c r="P135" s="47" t="n">
        <f aca="false">(F135+H135+J135+L135)*O135</f>
        <v>6</v>
      </c>
      <c r="Q135" s="68" t="n">
        <f aca="false">M135*O135</f>
        <v>11.64</v>
      </c>
      <c r="R135" s="68" t="n">
        <f aca="false">N135*O135</f>
        <v>0.0599999999999987</v>
      </c>
    </row>
    <row r="136" customFormat="false" ht="15" hidden="false" customHeight="false" outlineLevel="0" collapsed="false">
      <c r="A136" s="47" t="n">
        <v>1</v>
      </c>
      <c r="B136" s="47" t="n">
        <v>10</v>
      </c>
      <c r="C136" s="70" t="s">
        <v>368</v>
      </c>
      <c r="D136" s="47" t="n">
        <v>13</v>
      </c>
      <c r="E136" s="67" t="n">
        <v>8</v>
      </c>
      <c r="F136" s="49" t="n">
        <v>1</v>
      </c>
      <c r="G136" s="67" t="n">
        <v>3.625</v>
      </c>
      <c r="H136" s="49" t="n">
        <v>1</v>
      </c>
      <c r="I136" s="20"/>
      <c r="J136" s="20"/>
      <c r="K136" s="20"/>
      <c r="L136" s="20"/>
      <c r="M136" s="34" t="n">
        <f aca="false">E136*F136+G136*H136+I136*J136+K136*L136</f>
        <v>11.625</v>
      </c>
      <c r="N136" s="34" t="n">
        <f aca="false">Исходные!$B$12-M136</f>
        <v>0.0749999999999993</v>
      </c>
      <c r="O136" s="49" t="n">
        <v>20</v>
      </c>
      <c r="P136" s="47" t="n">
        <f aca="false">(F136+H136+J136+L136)*O136</f>
        <v>40</v>
      </c>
      <c r="Q136" s="68" t="n">
        <f aca="false">M136*O136</f>
        <v>232.5</v>
      </c>
      <c r="R136" s="68" t="n">
        <f aca="false">N136*O136</f>
        <v>1.49999999999999</v>
      </c>
    </row>
    <row r="137" customFormat="false" ht="15" hidden="false" customHeight="false" outlineLevel="0" collapsed="false">
      <c r="A137" s="47" t="n">
        <v>1</v>
      </c>
      <c r="B137" s="47" t="n">
        <v>10</v>
      </c>
      <c r="C137" s="70" t="s">
        <v>368</v>
      </c>
      <c r="D137" s="47" t="n">
        <v>14</v>
      </c>
      <c r="E137" s="67" t="n">
        <v>11.05</v>
      </c>
      <c r="F137" s="49" t="n">
        <v>1</v>
      </c>
      <c r="G137" s="67" t="n">
        <v>0.57</v>
      </c>
      <c r="H137" s="49" t="n">
        <v>1</v>
      </c>
      <c r="I137" s="20"/>
      <c r="J137" s="20"/>
      <c r="K137" s="20"/>
      <c r="L137" s="20"/>
      <c r="M137" s="34" t="n">
        <f aca="false">E137*F137+G137*H137+I137*J137+K137*L137</f>
        <v>11.62</v>
      </c>
      <c r="N137" s="34" t="n">
        <f aca="false">Исходные!$B$12-M137</f>
        <v>0.0799999999999983</v>
      </c>
      <c r="O137" s="49" t="n">
        <v>4</v>
      </c>
      <c r="P137" s="47" t="n">
        <f aca="false">(F137+H137+J137+L137)*O137</f>
        <v>8</v>
      </c>
      <c r="Q137" s="68" t="n">
        <f aca="false">M137*O137</f>
        <v>46.48</v>
      </c>
      <c r="R137" s="68" t="n">
        <f aca="false">N137*O137</f>
        <v>0.319999999999993</v>
      </c>
    </row>
    <row r="138" customFormat="false" ht="15" hidden="false" customHeight="false" outlineLevel="0" collapsed="false">
      <c r="A138" s="47" t="n">
        <v>1</v>
      </c>
      <c r="B138" s="47" t="n">
        <v>10</v>
      </c>
      <c r="C138" s="70" t="s">
        <v>368</v>
      </c>
      <c r="D138" s="47" t="n">
        <v>15</v>
      </c>
      <c r="E138" s="67" t="n">
        <v>4.3</v>
      </c>
      <c r="F138" s="49" t="n">
        <v>2</v>
      </c>
      <c r="G138" s="67" t="n">
        <v>3.02</v>
      </c>
      <c r="H138" s="49" t="n">
        <v>1</v>
      </c>
      <c r="I138" s="20"/>
      <c r="J138" s="20"/>
      <c r="K138" s="20"/>
      <c r="L138" s="20"/>
      <c r="M138" s="34" t="n">
        <f aca="false">E138*F138+G138*H138+I138*J138+K138*L138</f>
        <v>11.62</v>
      </c>
      <c r="N138" s="34" t="n">
        <f aca="false">Исходные!$B$12-M138</f>
        <v>0.0800000000000001</v>
      </c>
      <c r="O138" s="49" t="n">
        <v>17</v>
      </c>
      <c r="P138" s="47" t="n">
        <f aca="false">(F138+H138+J138+L138)*O138</f>
        <v>51</v>
      </c>
      <c r="Q138" s="68" t="n">
        <f aca="false">M138*O138</f>
        <v>197.54</v>
      </c>
      <c r="R138" s="68" t="n">
        <f aca="false">N138*O138</f>
        <v>1.36</v>
      </c>
    </row>
    <row r="139" customFormat="false" ht="15" hidden="false" customHeight="false" outlineLevel="0" collapsed="false">
      <c r="A139" s="47" t="n">
        <v>1</v>
      </c>
      <c r="B139" s="47" t="n">
        <v>10</v>
      </c>
      <c r="C139" s="70" t="s">
        <v>368</v>
      </c>
      <c r="D139" s="47" t="n">
        <v>16</v>
      </c>
      <c r="E139" s="67" t="n">
        <v>5.98</v>
      </c>
      <c r="F139" s="49" t="n">
        <v>1</v>
      </c>
      <c r="G139" s="67" t="n">
        <v>5.05</v>
      </c>
      <c r="H139" s="49" t="n">
        <v>1</v>
      </c>
      <c r="I139" s="67" t="n">
        <v>0.57</v>
      </c>
      <c r="J139" s="49" t="n">
        <v>1</v>
      </c>
      <c r="K139" s="20"/>
      <c r="L139" s="20"/>
      <c r="M139" s="34" t="n">
        <f aca="false">E139*F139+G139*H139+I139*J139+K139*L139</f>
        <v>11.6</v>
      </c>
      <c r="N139" s="34" t="n">
        <f aca="false">Исходные!$B$12-M139</f>
        <v>0.0999999999999979</v>
      </c>
      <c r="O139" s="49" t="n">
        <v>10</v>
      </c>
      <c r="P139" s="47" t="n">
        <f aca="false">(F139+H139+J139+L139)*O139</f>
        <v>30</v>
      </c>
      <c r="Q139" s="68" t="n">
        <f aca="false">M139*O139</f>
        <v>116</v>
      </c>
      <c r="R139" s="68" t="n">
        <f aca="false">N139*O139</f>
        <v>0.999999999999979</v>
      </c>
    </row>
    <row r="140" customFormat="false" ht="15" hidden="false" customHeight="false" outlineLevel="0" collapsed="false">
      <c r="A140" s="47" t="n">
        <v>1</v>
      </c>
      <c r="B140" s="47" t="n">
        <v>10</v>
      </c>
      <c r="C140" s="70" t="s">
        <v>368</v>
      </c>
      <c r="D140" s="47" t="n">
        <v>17</v>
      </c>
      <c r="E140" s="67" t="n">
        <v>4.5</v>
      </c>
      <c r="F140" s="49" t="n">
        <v>2</v>
      </c>
      <c r="G140" s="67" t="n">
        <v>2.6</v>
      </c>
      <c r="H140" s="49" t="n">
        <v>1</v>
      </c>
      <c r="I140" s="20"/>
      <c r="J140" s="20"/>
      <c r="K140" s="20"/>
      <c r="L140" s="20"/>
      <c r="M140" s="34" t="n">
        <f aca="false">E140*F140+G140*H140+I140*J140+K140*L140</f>
        <v>11.6</v>
      </c>
      <c r="N140" s="34" t="n">
        <f aca="false">Исходные!$B$12-M140</f>
        <v>0.0999999999999996</v>
      </c>
      <c r="O140" s="49" t="n">
        <v>18</v>
      </c>
      <c r="P140" s="47" t="n">
        <f aca="false">(F140+H140+J140+L140)*O140</f>
        <v>54</v>
      </c>
      <c r="Q140" s="68" t="n">
        <f aca="false">M140*O140</f>
        <v>208.8</v>
      </c>
      <c r="R140" s="68" t="n">
        <f aca="false">N140*O140</f>
        <v>1.79999999999999</v>
      </c>
    </row>
    <row r="141" customFormat="false" ht="15" hidden="false" customHeight="false" outlineLevel="0" collapsed="false">
      <c r="A141" s="47" t="n">
        <v>1</v>
      </c>
      <c r="B141" s="47" t="n">
        <v>10</v>
      </c>
      <c r="C141" s="70" t="s">
        <v>368</v>
      </c>
      <c r="D141" s="47" t="n">
        <v>18</v>
      </c>
      <c r="E141" s="67" t="n">
        <v>8</v>
      </c>
      <c r="F141" s="49" t="n">
        <v>1</v>
      </c>
      <c r="G141" s="67" t="n">
        <v>3.02</v>
      </c>
      <c r="H141" s="49" t="n">
        <v>1</v>
      </c>
      <c r="I141" s="67" t="n">
        <v>0.57</v>
      </c>
      <c r="J141" s="49" t="n">
        <v>1</v>
      </c>
      <c r="K141" s="20"/>
      <c r="L141" s="20"/>
      <c r="M141" s="34" t="n">
        <f aca="false">E141*F141+G141*H141+I141*J141+K141*L141</f>
        <v>11.59</v>
      </c>
      <c r="N141" s="34" t="n">
        <f aca="false">Исходные!$B$12-M141</f>
        <v>0.109999999999999</v>
      </c>
      <c r="O141" s="49" t="n">
        <v>8</v>
      </c>
      <c r="P141" s="47" t="n">
        <f aca="false">(F141+H141+J141+L141)*O141</f>
        <v>24</v>
      </c>
      <c r="Q141" s="68" t="n">
        <f aca="false">M141*O141</f>
        <v>92.72</v>
      </c>
      <c r="R141" s="68" t="n">
        <f aca="false">N141*O141</f>
        <v>0.879999999999996</v>
      </c>
    </row>
    <row r="142" customFormat="false" ht="15" hidden="false" customHeight="false" outlineLevel="0" collapsed="false">
      <c r="A142" s="47" t="n">
        <v>1</v>
      </c>
      <c r="B142" s="47" t="n">
        <v>10</v>
      </c>
      <c r="C142" s="70" t="s">
        <v>368</v>
      </c>
      <c r="D142" s="47" t="n">
        <v>19</v>
      </c>
      <c r="E142" s="67" t="n">
        <v>7.95</v>
      </c>
      <c r="F142" s="49" t="n">
        <v>1</v>
      </c>
      <c r="G142" s="67" t="n">
        <v>3.02</v>
      </c>
      <c r="H142" s="49" t="n">
        <v>1</v>
      </c>
      <c r="I142" s="67" t="n">
        <v>0.57</v>
      </c>
      <c r="J142" s="49" t="n">
        <v>1</v>
      </c>
      <c r="K142" s="20"/>
      <c r="L142" s="20"/>
      <c r="M142" s="34" t="n">
        <f aca="false">E142*F142+G142*H142+I142*J142+K142*L142</f>
        <v>11.54</v>
      </c>
      <c r="N142" s="34" t="n">
        <f aca="false">Исходные!$B$12-M142</f>
        <v>0.159999999999998</v>
      </c>
      <c r="O142" s="49" t="n">
        <v>18</v>
      </c>
      <c r="P142" s="47" t="n">
        <f aca="false">(F142+H142+J142+L142)*O142</f>
        <v>54</v>
      </c>
      <c r="Q142" s="68" t="n">
        <f aca="false">M142*O142</f>
        <v>207.72</v>
      </c>
      <c r="R142" s="68" t="n">
        <f aca="false">N142*O142</f>
        <v>2.87999999999997</v>
      </c>
    </row>
    <row r="143" customFormat="false" ht="15" hidden="false" customHeight="false" outlineLevel="0" collapsed="false">
      <c r="A143" s="47" t="n">
        <v>1</v>
      </c>
      <c r="B143" s="47" t="n">
        <v>10</v>
      </c>
      <c r="C143" s="70" t="s">
        <v>368</v>
      </c>
      <c r="D143" s="47" t="n">
        <v>20</v>
      </c>
      <c r="E143" s="67" t="n">
        <v>9.32</v>
      </c>
      <c r="F143" s="49" t="n">
        <v>1</v>
      </c>
      <c r="G143" s="67" t="n">
        <v>2.2</v>
      </c>
      <c r="H143" s="49" t="n">
        <v>1</v>
      </c>
      <c r="I143" s="20"/>
      <c r="J143" s="20"/>
      <c r="K143" s="20"/>
      <c r="L143" s="20"/>
      <c r="M143" s="34" t="n">
        <f aca="false">E143*F143+G143*H143+I143*J143+K143*L143</f>
        <v>11.52</v>
      </c>
      <c r="N143" s="34" t="n">
        <f aca="false">Исходные!$B$12-M143</f>
        <v>0.18</v>
      </c>
      <c r="O143" s="49" t="n">
        <v>78</v>
      </c>
      <c r="P143" s="47" t="n">
        <f aca="false">(F143+H143+J143+L143)*O143</f>
        <v>156</v>
      </c>
      <c r="Q143" s="68" t="n">
        <f aca="false">M143*O143</f>
        <v>898.56</v>
      </c>
      <c r="R143" s="68" t="n">
        <f aca="false">N143*O143</f>
        <v>14.04</v>
      </c>
    </row>
    <row r="144" customFormat="false" ht="15" hidden="false" customHeight="false" outlineLevel="0" collapsed="false">
      <c r="A144" s="47" t="n">
        <v>1</v>
      </c>
      <c r="B144" s="47" t="n">
        <v>10</v>
      </c>
      <c r="C144" s="70" t="s">
        <v>368</v>
      </c>
      <c r="D144" s="47" t="n">
        <v>21</v>
      </c>
      <c r="E144" s="67" t="n">
        <v>5.05</v>
      </c>
      <c r="F144" s="49" t="n">
        <v>2</v>
      </c>
      <c r="G144" s="67" t="n">
        <v>1.4</v>
      </c>
      <c r="H144" s="49" t="n">
        <v>1</v>
      </c>
      <c r="I144" s="20"/>
      <c r="J144" s="20"/>
      <c r="K144" s="20"/>
      <c r="L144" s="20"/>
      <c r="M144" s="34" t="n">
        <f aca="false">E144*F144+G144*H144+I144*J144+K144*L144</f>
        <v>11.5</v>
      </c>
      <c r="N144" s="34" t="n">
        <f aca="false">Исходные!$B$12-M144</f>
        <v>0.199999999999999</v>
      </c>
      <c r="O144" s="49" t="n">
        <v>6</v>
      </c>
      <c r="P144" s="47" t="n">
        <f aca="false">(F144+H144+J144+L144)*O144</f>
        <v>18</v>
      </c>
      <c r="Q144" s="68" t="n">
        <f aca="false">M144*O144</f>
        <v>69</v>
      </c>
      <c r="R144" s="68" t="n">
        <f aca="false">N144*O144</f>
        <v>1.2</v>
      </c>
    </row>
    <row r="145" customFormat="false" ht="15" hidden="false" customHeight="false" outlineLevel="0" collapsed="false">
      <c r="A145" s="47" t="n">
        <v>1</v>
      </c>
      <c r="B145" s="47" t="n">
        <v>10</v>
      </c>
      <c r="C145" s="70" t="s">
        <v>368</v>
      </c>
      <c r="D145" s="47" t="n">
        <v>22</v>
      </c>
      <c r="E145" s="67" t="n">
        <v>7.71</v>
      </c>
      <c r="F145" s="49" t="n">
        <v>1</v>
      </c>
      <c r="G145" s="67" t="n">
        <v>3.78</v>
      </c>
      <c r="H145" s="49" t="n">
        <v>1</v>
      </c>
      <c r="I145" s="20"/>
      <c r="J145" s="20"/>
      <c r="K145" s="20"/>
      <c r="L145" s="20"/>
      <c r="M145" s="34" t="n">
        <f aca="false">E145*F145+G145*H145+I145*J145+K145*L145</f>
        <v>11.49</v>
      </c>
      <c r="N145" s="34" t="n">
        <f aca="false">Исходные!$B$12-M145</f>
        <v>0.209999999999999</v>
      </c>
      <c r="O145" s="49" t="n">
        <v>4</v>
      </c>
      <c r="P145" s="47" t="n">
        <f aca="false">(F145+H145+J145+L145)*O145</f>
        <v>8</v>
      </c>
      <c r="Q145" s="68" t="n">
        <f aca="false">M145*O145</f>
        <v>45.96</v>
      </c>
      <c r="R145" s="68" t="n">
        <f aca="false">N145*O145</f>
        <v>0.839999999999996</v>
      </c>
    </row>
    <row r="146" customFormat="false" ht="15" hidden="false" customHeight="false" outlineLevel="0" collapsed="false">
      <c r="A146" s="47" t="n">
        <v>1</v>
      </c>
      <c r="B146" s="47" t="n">
        <v>10</v>
      </c>
      <c r="C146" s="70" t="s">
        <v>368</v>
      </c>
      <c r="D146" s="47" t="n">
        <v>23</v>
      </c>
      <c r="E146" s="67" t="n">
        <v>10.9</v>
      </c>
      <c r="F146" s="49" t="n">
        <v>1</v>
      </c>
      <c r="G146" s="67" t="n">
        <v>0.57</v>
      </c>
      <c r="H146" s="49" t="n">
        <v>1</v>
      </c>
      <c r="I146" s="20"/>
      <c r="J146" s="20"/>
      <c r="K146" s="20"/>
      <c r="L146" s="20"/>
      <c r="M146" s="34" t="n">
        <f aca="false">E146*F146+G146*H146+I146*J146+K146*L146</f>
        <v>11.47</v>
      </c>
      <c r="N146" s="34" t="n">
        <f aca="false">Исходные!$B$12-M146</f>
        <v>0.229999999999999</v>
      </c>
      <c r="O146" s="49" t="n">
        <v>2</v>
      </c>
      <c r="P146" s="47" t="n">
        <f aca="false">(F146+H146+J146+L146)*O146</f>
        <v>4</v>
      </c>
      <c r="Q146" s="68" t="n">
        <f aca="false">M146*O146</f>
        <v>22.94</v>
      </c>
      <c r="R146" s="68" t="n">
        <f aca="false">N146*O146</f>
        <v>0.459999999999997</v>
      </c>
    </row>
    <row r="147" customFormat="false" ht="15" hidden="false" customHeight="false" outlineLevel="0" collapsed="false">
      <c r="A147" s="47" t="n">
        <v>1</v>
      </c>
      <c r="B147" s="47" t="n">
        <v>10</v>
      </c>
      <c r="C147" s="70" t="s">
        <v>368</v>
      </c>
      <c r="D147" s="47" t="n">
        <v>24</v>
      </c>
      <c r="E147" s="67" t="n">
        <v>0.57</v>
      </c>
      <c r="F147" s="49" t="n">
        <v>20</v>
      </c>
      <c r="G147" s="20"/>
      <c r="H147" s="20"/>
      <c r="I147" s="20"/>
      <c r="J147" s="20"/>
      <c r="K147" s="20"/>
      <c r="L147" s="20"/>
      <c r="M147" s="34" t="n">
        <f aca="false">E147*F147+G147*H147+I147*J147+K147*L147</f>
        <v>11.4</v>
      </c>
      <c r="N147" s="34" t="n">
        <f aca="false">Исходные!$B$12-M147</f>
        <v>0.300000000000001</v>
      </c>
      <c r="O147" s="49" t="n">
        <v>78</v>
      </c>
      <c r="P147" s="47" t="n">
        <f aca="false">(F147+H147+J147+L147)*O147</f>
        <v>1560</v>
      </c>
      <c r="Q147" s="68" t="n">
        <f aca="false">M147*O147</f>
        <v>889.2</v>
      </c>
      <c r="R147" s="68" t="n">
        <f aca="false">N147*O147</f>
        <v>23.4000000000001</v>
      </c>
    </row>
    <row r="148" customFormat="false" ht="15" hidden="false" customHeight="false" outlineLevel="0" collapsed="false">
      <c r="A148" s="47" t="n">
        <v>1</v>
      </c>
      <c r="B148" s="47" t="n">
        <v>10</v>
      </c>
      <c r="C148" s="70" t="s">
        <v>368</v>
      </c>
      <c r="D148" s="47" t="n">
        <v>25</v>
      </c>
      <c r="E148" s="67" t="n">
        <v>9.18</v>
      </c>
      <c r="F148" s="49" t="n">
        <v>1</v>
      </c>
      <c r="G148" s="67" t="n">
        <v>2.2</v>
      </c>
      <c r="H148" s="49" t="n">
        <v>1</v>
      </c>
      <c r="I148" s="20"/>
      <c r="J148" s="20"/>
      <c r="K148" s="20"/>
      <c r="L148" s="20"/>
      <c r="M148" s="34" t="n">
        <f aca="false">E148*F148+G148*H148+I148*J148+K148*L148</f>
        <v>11.38</v>
      </c>
      <c r="N148" s="34" t="n">
        <f aca="false">Исходные!$B$12-M148</f>
        <v>0.32</v>
      </c>
      <c r="O148" s="49" t="n">
        <v>6</v>
      </c>
      <c r="P148" s="47" t="n">
        <f aca="false">(F148+H148+J148+L148)*O148</f>
        <v>12</v>
      </c>
      <c r="Q148" s="68" t="n">
        <f aca="false">M148*O148</f>
        <v>68.28</v>
      </c>
      <c r="R148" s="68" t="n">
        <f aca="false">N148*O148</f>
        <v>1.92</v>
      </c>
    </row>
    <row r="149" customFormat="false" ht="15" hidden="false" customHeight="false" outlineLevel="0" collapsed="false">
      <c r="A149" s="47" t="n">
        <v>1</v>
      </c>
      <c r="B149" s="47" t="n">
        <v>10</v>
      </c>
      <c r="C149" s="70" t="s">
        <v>368</v>
      </c>
      <c r="D149" s="47" t="n">
        <v>26</v>
      </c>
      <c r="E149" s="67" t="n">
        <v>10.8</v>
      </c>
      <c r="F149" s="49" t="n">
        <v>1</v>
      </c>
      <c r="G149" s="67" t="n">
        <v>0.57</v>
      </c>
      <c r="H149" s="49" t="n">
        <v>1</v>
      </c>
      <c r="I149" s="20"/>
      <c r="J149" s="20"/>
      <c r="K149" s="20"/>
      <c r="L149" s="20"/>
      <c r="M149" s="34" t="n">
        <f aca="false">E149*F149+G149*H149+I149*J149+K149*L149</f>
        <v>11.37</v>
      </c>
      <c r="N149" s="34" t="n">
        <f aca="false">Исходные!$B$12-M149</f>
        <v>0.329999999999998</v>
      </c>
      <c r="O149" s="49" t="n">
        <v>2</v>
      </c>
      <c r="P149" s="47" t="n">
        <f aca="false">(F149+H149+J149+L149)*O149</f>
        <v>4</v>
      </c>
      <c r="Q149" s="68" t="n">
        <f aca="false">M149*O149</f>
        <v>22.74</v>
      </c>
      <c r="R149" s="68" t="n">
        <f aca="false">N149*O149</f>
        <v>0.659999999999997</v>
      </c>
    </row>
    <row r="150" customFormat="false" ht="15" hidden="false" customHeight="false" outlineLevel="0" collapsed="false">
      <c r="A150" s="47" t="n">
        <v>1</v>
      </c>
      <c r="B150" s="47" t="n">
        <v>10</v>
      </c>
      <c r="C150" s="70" t="s">
        <v>368</v>
      </c>
      <c r="D150" s="47" t="n">
        <v>27</v>
      </c>
      <c r="E150" s="67" t="n">
        <v>1.2</v>
      </c>
      <c r="F150" s="49" t="n">
        <v>9</v>
      </c>
      <c r="G150" s="67" t="n">
        <v>0.57</v>
      </c>
      <c r="H150" s="49" t="n">
        <v>1</v>
      </c>
      <c r="I150" s="20"/>
      <c r="J150" s="20"/>
      <c r="K150" s="20"/>
      <c r="L150" s="20"/>
      <c r="M150" s="34" t="n">
        <f aca="false">E150*F150+G150*H150+I150*J150+K150*L150</f>
        <v>11.37</v>
      </c>
      <c r="N150" s="34" t="n">
        <f aca="false">Исходные!$B$12-M150</f>
        <v>0.33</v>
      </c>
      <c r="O150" s="49" t="n">
        <v>18</v>
      </c>
      <c r="P150" s="47" t="n">
        <f aca="false">(F150+H150+J150+L150)*O150</f>
        <v>180</v>
      </c>
      <c r="Q150" s="68" t="n">
        <f aca="false">M150*O150</f>
        <v>204.66</v>
      </c>
      <c r="R150" s="68" t="n">
        <f aca="false">N150*O150</f>
        <v>5.94</v>
      </c>
    </row>
    <row r="151" customFormat="false" ht="15" hidden="false" customHeight="false" outlineLevel="0" collapsed="false">
      <c r="A151" s="47" t="n">
        <v>1</v>
      </c>
      <c r="B151" s="47" t="n">
        <v>10</v>
      </c>
      <c r="C151" s="70" t="s">
        <v>368</v>
      </c>
      <c r="D151" s="47" t="n">
        <v>28</v>
      </c>
      <c r="E151" s="67" t="n">
        <v>1.2</v>
      </c>
      <c r="F151" s="49" t="n">
        <v>7</v>
      </c>
      <c r="G151" s="67" t="n">
        <v>1.19</v>
      </c>
      <c r="H151" s="49" t="n">
        <v>2</v>
      </c>
      <c r="I151" s="67" t="n">
        <v>0.57</v>
      </c>
      <c r="J151" s="49" t="n">
        <v>1</v>
      </c>
      <c r="K151" s="20"/>
      <c r="L151" s="20"/>
      <c r="M151" s="34" t="n">
        <f aca="false">E151*F151+G151*H151+I151*J151+K151*L151</f>
        <v>11.35</v>
      </c>
      <c r="N151" s="34" t="n">
        <f aca="false">Исходные!$B$12-M151</f>
        <v>0.349999999999998</v>
      </c>
      <c r="O151" s="49" t="n">
        <v>1</v>
      </c>
      <c r="P151" s="47" t="n">
        <f aca="false">(F151+H151+J151+L151)*O151</f>
        <v>10</v>
      </c>
      <c r="Q151" s="68" t="n">
        <f aca="false">M151*O151</f>
        <v>11.35</v>
      </c>
      <c r="R151" s="68" t="n">
        <f aca="false">N151*O151</f>
        <v>0.349999999999998</v>
      </c>
    </row>
    <row r="152" customFormat="false" ht="15" hidden="false" customHeight="false" outlineLevel="0" collapsed="false">
      <c r="A152" s="47" t="n">
        <v>1</v>
      </c>
      <c r="B152" s="47" t="n">
        <v>10</v>
      </c>
      <c r="C152" s="70" t="s">
        <v>368</v>
      </c>
      <c r="D152" s="47" t="n">
        <v>29</v>
      </c>
      <c r="E152" s="67" t="n">
        <v>3.78</v>
      </c>
      <c r="F152" s="49" t="n">
        <v>3</v>
      </c>
      <c r="G152" s="20"/>
      <c r="H152" s="20"/>
      <c r="I152" s="20"/>
      <c r="J152" s="20"/>
      <c r="K152" s="20"/>
      <c r="L152" s="20"/>
      <c r="M152" s="34" t="n">
        <f aca="false">E152*F152+G152*H152+I152*J152+K152*L152</f>
        <v>11.34</v>
      </c>
      <c r="N152" s="34" t="n">
        <f aca="false">Исходные!$B$12-M152</f>
        <v>0.359999999999999</v>
      </c>
      <c r="O152" s="49" t="n">
        <v>4</v>
      </c>
      <c r="P152" s="47" t="n">
        <f aca="false">(F152+H152+J152+L152)*O152</f>
        <v>12</v>
      </c>
      <c r="Q152" s="68" t="n">
        <f aca="false">M152*O152</f>
        <v>45.36</v>
      </c>
      <c r="R152" s="68" t="n">
        <f aca="false">N152*O152</f>
        <v>1.44</v>
      </c>
    </row>
    <row r="153" customFormat="false" ht="15" hidden="false" customHeight="false" outlineLevel="0" collapsed="false">
      <c r="A153" s="47" t="n">
        <v>1</v>
      </c>
      <c r="B153" s="47" t="n">
        <v>10</v>
      </c>
      <c r="C153" s="70" t="s">
        <v>368</v>
      </c>
      <c r="D153" s="47" t="n">
        <v>30</v>
      </c>
      <c r="E153" s="67" t="n">
        <v>4.15</v>
      </c>
      <c r="F153" s="49" t="n">
        <v>2</v>
      </c>
      <c r="G153" s="67" t="n">
        <v>3.02</v>
      </c>
      <c r="H153" s="49" t="n">
        <v>1</v>
      </c>
      <c r="I153" s="20"/>
      <c r="J153" s="20"/>
      <c r="K153" s="20"/>
      <c r="L153" s="20"/>
      <c r="M153" s="34" t="n">
        <f aca="false">E153*F153+G153*H153+I153*J153+K153*L153</f>
        <v>11.32</v>
      </c>
      <c r="N153" s="34" t="n">
        <f aca="false">Исходные!$B$12-M153</f>
        <v>0.379999999999999</v>
      </c>
      <c r="O153" s="49" t="n">
        <v>18</v>
      </c>
      <c r="P153" s="47" t="n">
        <f aca="false">(F153+H153+J153+L153)*O153</f>
        <v>54</v>
      </c>
      <c r="Q153" s="68" t="n">
        <f aca="false">M153*O153</f>
        <v>203.76</v>
      </c>
      <c r="R153" s="68" t="n">
        <f aca="false">N153*O153</f>
        <v>6.83999999999998</v>
      </c>
    </row>
    <row r="154" customFormat="false" ht="15" hidden="false" customHeight="false" outlineLevel="0" collapsed="false">
      <c r="A154" s="47" t="n">
        <v>1</v>
      </c>
      <c r="B154" s="47" t="n">
        <v>10</v>
      </c>
      <c r="C154" s="70" t="s">
        <v>368</v>
      </c>
      <c r="D154" s="47" t="n">
        <v>31</v>
      </c>
      <c r="E154" s="67" t="n">
        <v>1.19</v>
      </c>
      <c r="F154" s="49" t="n">
        <v>9</v>
      </c>
      <c r="G154" s="67" t="n">
        <v>0.57</v>
      </c>
      <c r="H154" s="49" t="n">
        <v>1</v>
      </c>
      <c r="I154" s="20"/>
      <c r="J154" s="20"/>
      <c r="K154" s="20"/>
      <c r="L154" s="20"/>
      <c r="M154" s="34" t="n">
        <f aca="false">E154*F154+G154*H154+I154*J154+K154*L154</f>
        <v>11.28</v>
      </c>
      <c r="N154" s="34" t="n">
        <f aca="false">Исходные!$B$12-M154</f>
        <v>0.42</v>
      </c>
      <c r="O154" s="49" t="n">
        <v>20</v>
      </c>
      <c r="P154" s="47" t="n">
        <f aca="false">(F154+H154+J154+L154)*O154</f>
        <v>200</v>
      </c>
      <c r="Q154" s="68" t="n">
        <f aca="false">M154*O154</f>
        <v>225.6</v>
      </c>
      <c r="R154" s="68" t="n">
        <f aca="false">N154*O154</f>
        <v>8.4</v>
      </c>
    </row>
    <row r="155" customFormat="false" ht="15" hidden="false" customHeight="false" outlineLevel="0" collapsed="false">
      <c r="A155" s="47" t="n">
        <v>1</v>
      </c>
      <c r="B155" s="47" t="n">
        <v>10</v>
      </c>
      <c r="C155" s="70" t="s">
        <v>368</v>
      </c>
      <c r="D155" s="47" t="n">
        <v>32</v>
      </c>
      <c r="E155" s="67" t="n">
        <v>9.18</v>
      </c>
      <c r="F155" s="49" t="n">
        <v>1</v>
      </c>
      <c r="G155" s="67" t="n">
        <v>2</v>
      </c>
      <c r="H155" s="49" t="n">
        <v>1</v>
      </c>
      <c r="I155" s="20"/>
      <c r="J155" s="20"/>
      <c r="K155" s="20"/>
      <c r="L155" s="20"/>
      <c r="M155" s="34" t="n">
        <f aca="false">E155*F155+G155*H155+I155*J155+K155*L155</f>
        <v>11.18</v>
      </c>
      <c r="N155" s="34" t="n">
        <f aca="false">Исходные!$B$12-M155</f>
        <v>0.52</v>
      </c>
      <c r="O155" s="49" t="n">
        <v>20</v>
      </c>
      <c r="P155" s="47" t="n">
        <f aca="false">(F155+H155+J155+L155)*O155</f>
        <v>40</v>
      </c>
      <c r="Q155" s="68" t="n">
        <f aca="false">M155*O155</f>
        <v>223.6</v>
      </c>
      <c r="R155" s="68" t="n">
        <f aca="false">N155*O155</f>
        <v>10.4</v>
      </c>
    </row>
    <row r="156" customFormat="false" ht="15" hidden="false" customHeight="false" outlineLevel="0" collapsed="false">
      <c r="A156" s="47" t="n">
        <v>1</v>
      </c>
      <c r="B156" s="47" t="n">
        <v>10</v>
      </c>
      <c r="C156" s="70" t="s">
        <v>368</v>
      </c>
      <c r="D156" s="47" t="n">
        <v>33</v>
      </c>
      <c r="E156" s="67" t="n">
        <v>9.18</v>
      </c>
      <c r="F156" s="49" t="n">
        <v>1</v>
      </c>
      <c r="G156" s="67" t="n">
        <v>1.4</v>
      </c>
      <c r="H156" s="49" t="n">
        <v>1</v>
      </c>
      <c r="I156" s="67" t="n">
        <v>0.57</v>
      </c>
      <c r="J156" s="49" t="n">
        <v>1</v>
      </c>
      <c r="K156" s="20"/>
      <c r="L156" s="20"/>
      <c r="M156" s="34" t="n">
        <f aca="false">E156*F156+G156*H156+I156*J156+K156*L156</f>
        <v>11.15</v>
      </c>
      <c r="N156" s="34" t="n">
        <f aca="false">Исходные!$B$12-M156</f>
        <v>0.549999999999999</v>
      </c>
      <c r="O156" s="49" t="n">
        <v>21</v>
      </c>
      <c r="P156" s="47" t="n">
        <f aca="false">(F156+H156+J156+L156)*O156</f>
        <v>63</v>
      </c>
      <c r="Q156" s="68" t="n">
        <f aca="false">M156*O156</f>
        <v>234.15</v>
      </c>
      <c r="R156" s="68" t="n">
        <f aca="false">N156*O156</f>
        <v>11.55</v>
      </c>
    </row>
    <row r="157" customFormat="false" ht="15" hidden="false" customHeight="false" outlineLevel="0" collapsed="false">
      <c r="A157" s="47" t="n">
        <v>1</v>
      </c>
      <c r="B157" s="47" t="n">
        <v>10</v>
      </c>
      <c r="C157" s="70" t="s">
        <v>368</v>
      </c>
      <c r="D157" s="47" t="n">
        <v>34</v>
      </c>
      <c r="E157" s="67" t="n">
        <v>3.78</v>
      </c>
      <c r="F157" s="49" t="n">
        <v>2</v>
      </c>
      <c r="G157" s="67" t="n">
        <v>3.02</v>
      </c>
      <c r="H157" s="49" t="n">
        <v>1</v>
      </c>
      <c r="I157" s="67" t="n">
        <v>0.57</v>
      </c>
      <c r="J157" s="49" t="n">
        <v>1</v>
      </c>
      <c r="K157" s="20"/>
      <c r="L157" s="20"/>
      <c r="M157" s="34" t="n">
        <f aca="false">E157*F157+G157*H157+I157*J157+K157*L157</f>
        <v>11.15</v>
      </c>
      <c r="N157" s="34" t="n">
        <f aca="false">Исходные!$B$12-M157</f>
        <v>0.549999999999999</v>
      </c>
      <c r="O157" s="49" t="n">
        <v>1</v>
      </c>
      <c r="P157" s="47" t="n">
        <f aca="false">(F157+H157+J157+L157)*O157</f>
        <v>4</v>
      </c>
      <c r="Q157" s="68" t="n">
        <f aca="false">M157*O157</f>
        <v>11.15</v>
      </c>
      <c r="R157" s="68" t="n">
        <f aca="false">N157*O157</f>
        <v>0.549999999999999</v>
      </c>
    </row>
    <row r="158" customFormat="false" ht="15" hidden="false" customHeight="false" outlineLevel="0" collapsed="false">
      <c r="A158" s="47" t="n">
        <v>1</v>
      </c>
      <c r="B158" s="47" t="n">
        <v>10</v>
      </c>
      <c r="C158" s="70" t="s">
        <v>368</v>
      </c>
      <c r="D158" s="47" t="n">
        <v>35</v>
      </c>
      <c r="E158" s="67" t="n">
        <v>0.57</v>
      </c>
      <c r="F158" s="49" t="n">
        <v>13</v>
      </c>
      <c r="G158" s="20"/>
      <c r="H158" s="20"/>
      <c r="I158" s="20"/>
      <c r="J158" s="20"/>
      <c r="K158" s="20"/>
      <c r="L158" s="20"/>
      <c r="M158" s="34" t="n">
        <f aca="false">E158*F158+G158*H158+I158*J158+K158*L158</f>
        <v>7.41</v>
      </c>
      <c r="N158" s="34" t="n">
        <f aca="false">Исходные!$B$12-M158</f>
        <v>4.29</v>
      </c>
      <c r="O158" s="49" t="n">
        <v>1</v>
      </c>
      <c r="P158" s="47" t="n">
        <f aca="false">(F158+H158+J158+L158)*O158</f>
        <v>13</v>
      </c>
      <c r="Q158" s="68" t="n">
        <f aca="false">M158*O158</f>
        <v>7.41</v>
      </c>
      <c r="R158" s="68" t="n">
        <f aca="false">N158*O158</f>
        <v>4.29</v>
      </c>
    </row>
    <row r="159" customFormat="false" ht="15" hidden="false" customHeight="false" outlineLevel="0" collapsed="false">
      <c r="A159" s="47" t="n">
        <v>1</v>
      </c>
      <c r="B159" s="47" t="n">
        <v>16</v>
      </c>
      <c r="C159" s="70" t="s">
        <v>403</v>
      </c>
      <c r="D159" s="47" t="n">
        <v>1</v>
      </c>
      <c r="E159" s="67" t="n">
        <v>0.42</v>
      </c>
      <c r="F159" s="49" t="n">
        <v>2</v>
      </c>
      <c r="G159" s="20"/>
      <c r="H159" s="20"/>
      <c r="I159" s="20"/>
      <c r="J159" s="20"/>
      <c r="K159" s="20"/>
      <c r="L159" s="20"/>
      <c r="M159" s="34" t="n">
        <f aca="false">E159*F159+G159*H159+I159*J159+K159*L159</f>
        <v>0.84</v>
      </c>
      <c r="N159" s="34" t="n">
        <f aca="false">Исходные!$B$12-M159</f>
        <v>10.86</v>
      </c>
      <c r="O159" s="49" t="n">
        <v>1</v>
      </c>
      <c r="P159" s="47" t="n">
        <f aca="false">(F159+H159+J159+L159)*O159</f>
        <v>2</v>
      </c>
      <c r="Q159" s="68" t="n">
        <f aca="false">M159*O159</f>
        <v>0.84</v>
      </c>
      <c r="R159" s="68" t="n">
        <f aca="false">N159*O159</f>
        <v>10.86</v>
      </c>
    </row>
    <row r="160" customFormat="false" ht="15" hidden="false" customHeight="false" outlineLevel="0" collapsed="false">
      <c r="A160" s="47" t="n">
        <v>1</v>
      </c>
      <c r="B160" s="47" t="n">
        <v>10</v>
      </c>
      <c r="C160" s="70" t="s">
        <v>403</v>
      </c>
      <c r="D160" s="47" t="n">
        <v>1</v>
      </c>
      <c r="E160" s="67" t="n">
        <v>1.76</v>
      </c>
      <c r="F160" s="49" t="n">
        <v>6</v>
      </c>
      <c r="G160" s="67" t="n">
        <v>0.7</v>
      </c>
      <c r="H160" s="49" t="n">
        <v>1</v>
      </c>
      <c r="I160" s="67" t="n">
        <v>0.42</v>
      </c>
      <c r="J160" s="49" t="n">
        <v>1</v>
      </c>
      <c r="K160" s="20"/>
      <c r="L160" s="20"/>
      <c r="M160" s="34" t="n">
        <f aca="false">E160*F160+G160*H160+I160*J160+K160*L160</f>
        <v>11.68</v>
      </c>
      <c r="N160" s="34" t="n">
        <f aca="false">Исходные!$B$12-M160</f>
        <v>0.0199999999999996</v>
      </c>
      <c r="O160" s="49" t="n">
        <v>9</v>
      </c>
      <c r="P160" s="47" t="n">
        <f aca="false">(F160+H160+J160+L160)*O160</f>
        <v>72</v>
      </c>
      <c r="Q160" s="68" t="n">
        <f aca="false">M160*O160</f>
        <v>105.12</v>
      </c>
      <c r="R160" s="68" t="n">
        <f aca="false">N160*O160</f>
        <v>0.179999999999996</v>
      </c>
    </row>
    <row r="161" customFormat="false" ht="15" hidden="false" customHeight="false" outlineLevel="0" collapsed="false">
      <c r="A161" s="47" t="n">
        <v>1</v>
      </c>
      <c r="B161" s="47" t="n">
        <v>10</v>
      </c>
      <c r="C161" s="70" t="s">
        <v>403</v>
      </c>
      <c r="D161" s="47" t="n">
        <v>2</v>
      </c>
      <c r="E161" s="67" t="n">
        <v>2.06</v>
      </c>
      <c r="F161" s="49" t="n">
        <v>5</v>
      </c>
      <c r="G161" s="67" t="n">
        <v>1.33</v>
      </c>
      <c r="H161" s="49" t="n">
        <v>1</v>
      </c>
      <c r="I161" s="20"/>
      <c r="J161" s="20"/>
      <c r="K161" s="20"/>
      <c r="L161" s="20"/>
      <c r="M161" s="34" t="n">
        <f aca="false">E161*F161+G161*H161+I161*J161+K161*L161</f>
        <v>11.63</v>
      </c>
      <c r="N161" s="34" t="n">
        <f aca="false">Исходные!$B$12-M161</f>
        <v>0.0699999999999985</v>
      </c>
      <c r="O161" s="49" t="n">
        <v>131</v>
      </c>
      <c r="P161" s="47" t="n">
        <f aca="false">(F161+H161+J161+L161)*O161</f>
        <v>786</v>
      </c>
      <c r="Q161" s="68" t="n">
        <f aca="false">M161*O161</f>
        <v>1523.53</v>
      </c>
      <c r="R161" s="68" t="n">
        <f aca="false">N161*O161</f>
        <v>9.16999999999981</v>
      </c>
    </row>
    <row r="162" customFormat="false" ht="15" hidden="false" customHeight="false" outlineLevel="0" collapsed="false">
      <c r="A162" s="47" t="n">
        <v>1</v>
      </c>
      <c r="B162" s="47" t="n">
        <v>10</v>
      </c>
      <c r="C162" s="70" t="s">
        <v>403</v>
      </c>
      <c r="D162" s="47" t="n">
        <v>3</v>
      </c>
      <c r="E162" s="67" t="n">
        <v>1.6</v>
      </c>
      <c r="F162" s="49" t="n">
        <v>7</v>
      </c>
      <c r="G162" s="67" t="n">
        <v>0.42</v>
      </c>
      <c r="H162" s="49" t="n">
        <v>1</v>
      </c>
      <c r="I162" s="20"/>
      <c r="J162" s="20"/>
      <c r="K162" s="20"/>
      <c r="L162" s="20"/>
      <c r="M162" s="34" t="n">
        <f aca="false">E162*F162+G162*H162+I162*J162+K162*L162</f>
        <v>11.62</v>
      </c>
      <c r="N162" s="34" t="n">
        <f aca="false">Исходные!$B$12-M162</f>
        <v>0.0799999999999983</v>
      </c>
      <c r="O162" s="49" t="n">
        <v>43</v>
      </c>
      <c r="P162" s="47" t="n">
        <f aca="false">(F162+H162+J162+L162)*O162</f>
        <v>344</v>
      </c>
      <c r="Q162" s="68" t="n">
        <f aca="false">M162*O162</f>
        <v>499.66</v>
      </c>
      <c r="R162" s="68" t="n">
        <f aca="false">N162*O162</f>
        <v>3.43999999999993</v>
      </c>
    </row>
    <row r="163" customFormat="false" ht="15" hidden="false" customHeight="false" outlineLevel="0" collapsed="false">
      <c r="A163" s="47" t="n">
        <v>1</v>
      </c>
      <c r="B163" s="47" t="n">
        <v>10</v>
      </c>
      <c r="C163" s="70" t="s">
        <v>403</v>
      </c>
      <c r="D163" s="47" t="n">
        <v>4</v>
      </c>
      <c r="E163" s="67" t="n">
        <v>1.56</v>
      </c>
      <c r="F163" s="49" t="n">
        <v>7</v>
      </c>
      <c r="G163" s="67" t="n">
        <v>0.7</v>
      </c>
      <c r="H163" s="49" t="n">
        <v>1</v>
      </c>
      <c r="I163" s="20"/>
      <c r="J163" s="20"/>
      <c r="K163" s="20"/>
      <c r="L163" s="20"/>
      <c r="M163" s="34" t="n">
        <f aca="false">E163*F163+G163*H163+I163*J163+K163*L163</f>
        <v>11.62</v>
      </c>
      <c r="N163" s="34" t="n">
        <f aca="false">Исходные!$B$12-M163</f>
        <v>0.0800000000000001</v>
      </c>
      <c r="O163" s="49" t="n">
        <v>14</v>
      </c>
      <c r="P163" s="47" t="n">
        <f aca="false">(F163+H163+J163+L163)*O163</f>
        <v>112</v>
      </c>
      <c r="Q163" s="68" t="n">
        <f aca="false">M163*O163</f>
        <v>162.68</v>
      </c>
      <c r="R163" s="68" t="n">
        <f aca="false">N163*O163</f>
        <v>1.12</v>
      </c>
    </row>
    <row r="164" customFormat="false" ht="15" hidden="false" customHeight="false" outlineLevel="0" collapsed="false">
      <c r="A164" s="47" t="n">
        <v>1</v>
      </c>
      <c r="B164" s="47" t="n">
        <v>10</v>
      </c>
      <c r="C164" s="70" t="s">
        <v>403</v>
      </c>
      <c r="D164" s="47" t="n">
        <v>5</v>
      </c>
      <c r="E164" s="67" t="n">
        <v>0.7</v>
      </c>
      <c r="F164" s="49" t="n">
        <v>16</v>
      </c>
      <c r="G164" s="67" t="n">
        <v>0.42</v>
      </c>
      <c r="H164" s="49" t="n">
        <v>1</v>
      </c>
      <c r="I164" s="20"/>
      <c r="J164" s="20"/>
      <c r="K164" s="20"/>
      <c r="L164" s="20"/>
      <c r="M164" s="34" t="n">
        <f aca="false">E164*F164+G164*H164+I164*J164+K164*L164</f>
        <v>11.62</v>
      </c>
      <c r="N164" s="34" t="n">
        <f aca="false">Исходные!$B$12-M164</f>
        <v>0.0800000000000001</v>
      </c>
      <c r="O164" s="49" t="n">
        <v>4</v>
      </c>
      <c r="P164" s="47" t="n">
        <f aca="false">(F164+H164+J164+L164)*O164</f>
        <v>68</v>
      </c>
      <c r="Q164" s="68" t="n">
        <f aca="false">M164*O164</f>
        <v>46.48</v>
      </c>
      <c r="R164" s="68" t="n">
        <f aca="false">N164*O164</f>
        <v>0.32</v>
      </c>
    </row>
    <row r="165" customFormat="false" ht="15" hidden="false" customHeight="false" outlineLevel="0" collapsed="false">
      <c r="A165" s="47" t="n">
        <v>1</v>
      </c>
      <c r="B165" s="47" t="n">
        <v>10</v>
      </c>
      <c r="C165" s="70" t="s">
        <v>403</v>
      </c>
      <c r="D165" s="47" t="n">
        <v>6</v>
      </c>
      <c r="E165" s="67" t="n">
        <v>1.33</v>
      </c>
      <c r="F165" s="49" t="n">
        <v>2</v>
      </c>
      <c r="G165" s="67" t="n">
        <v>0.7</v>
      </c>
      <c r="H165" s="49" t="n">
        <v>12</v>
      </c>
      <c r="I165" s="67" t="n">
        <v>0.52</v>
      </c>
      <c r="J165" s="49" t="n">
        <v>1</v>
      </c>
      <c r="K165" s="20"/>
      <c r="L165" s="20"/>
      <c r="M165" s="34" t="n">
        <f aca="false">E165*F165+G165*H165+I165*J165+K165*L165</f>
        <v>11.58</v>
      </c>
      <c r="N165" s="34" t="n">
        <f aca="false">Исходные!$B$12-M165</f>
        <v>0.120000000000001</v>
      </c>
      <c r="O165" s="49" t="n">
        <v>1</v>
      </c>
      <c r="P165" s="47" t="n">
        <f aca="false">(F165+H165+J165+L165)*O165</f>
        <v>15</v>
      </c>
      <c r="Q165" s="68" t="n">
        <f aca="false">M165*O165</f>
        <v>11.58</v>
      </c>
      <c r="R165" s="68" t="n">
        <f aca="false">N165*O165</f>
        <v>0.120000000000001</v>
      </c>
    </row>
    <row r="166" customFormat="false" ht="15" hidden="false" customHeight="false" outlineLevel="0" collapsed="false">
      <c r="A166" s="47" t="n">
        <v>1</v>
      </c>
      <c r="B166" s="47" t="n">
        <v>10</v>
      </c>
      <c r="C166" s="70" t="s">
        <v>403</v>
      </c>
      <c r="D166" s="47" t="n">
        <v>7</v>
      </c>
      <c r="E166" s="67" t="n">
        <v>1.6</v>
      </c>
      <c r="F166" s="49" t="n">
        <v>3</v>
      </c>
      <c r="G166" s="67" t="n">
        <v>1.56</v>
      </c>
      <c r="H166" s="49" t="n">
        <v>4</v>
      </c>
      <c r="I166" s="67" t="n">
        <v>0.52</v>
      </c>
      <c r="J166" s="49" t="n">
        <v>1</v>
      </c>
      <c r="K166" s="20"/>
      <c r="L166" s="20"/>
      <c r="M166" s="34" t="n">
        <f aca="false">E166*F166+G166*H166+I166*J166+K166*L166</f>
        <v>11.56</v>
      </c>
      <c r="N166" s="34" t="n">
        <f aca="false">Исходные!$B$12-M166</f>
        <v>0.139999999999999</v>
      </c>
      <c r="O166" s="49" t="n">
        <v>1</v>
      </c>
      <c r="P166" s="47" t="n">
        <f aca="false">(F166+H166+J166+L166)*O166</f>
        <v>8</v>
      </c>
      <c r="Q166" s="68" t="n">
        <f aca="false">M166*O166</f>
        <v>11.56</v>
      </c>
      <c r="R166" s="68" t="n">
        <f aca="false">N166*O166</f>
        <v>0.139999999999999</v>
      </c>
    </row>
    <row r="167" customFormat="false" ht="15" hidden="false" customHeight="false" outlineLevel="0" collapsed="false">
      <c r="A167" s="47" t="n">
        <v>1</v>
      </c>
      <c r="B167" s="47" t="n">
        <v>10</v>
      </c>
      <c r="C167" s="70" t="s">
        <v>403</v>
      </c>
      <c r="D167" s="47" t="n">
        <v>8</v>
      </c>
      <c r="E167" s="67" t="n">
        <v>0.52</v>
      </c>
      <c r="F167" s="49" t="n">
        <v>19</v>
      </c>
      <c r="G167" s="67" t="n">
        <v>0.42</v>
      </c>
      <c r="H167" s="49" t="n">
        <v>4</v>
      </c>
      <c r="I167" s="20"/>
      <c r="J167" s="20"/>
      <c r="K167" s="20"/>
      <c r="L167" s="20"/>
      <c r="M167" s="34" t="n">
        <f aca="false">E167*F167+G167*H167+I167*J167+K167*L167</f>
        <v>11.56</v>
      </c>
      <c r="N167" s="34" t="n">
        <f aca="false">Исходные!$B$12-M167</f>
        <v>0.139999999999999</v>
      </c>
      <c r="O167" s="49" t="n">
        <v>1</v>
      </c>
      <c r="P167" s="47" t="n">
        <f aca="false">(F167+H167+J167+L167)*O167</f>
        <v>23</v>
      </c>
      <c r="Q167" s="68" t="n">
        <f aca="false">M167*O167</f>
        <v>11.56</v>
      </c>
      <c r="R167" s="68" t="n">
        <f aca="false">N167*O167</f>
        <v>0.139999999999999</v>
      </c>
    </row>
    <row r="168" customFormat="false" ht="15" hidden="false" customHeight="false" outlineLevel="0" collapsed="false">
      <c r="A168" s="47" t="n">
        <v>1</v>
      </c>
      <c r="B168" s="47" t="n">
        <v>10</v>
      </c>
      <c r="C168" s="70" t="s">
        <v>403</v>
      </c>
      <c r="D168" s="47" t="n">
        <v>9</v>
      </c>
      <c r="E168" s="67" t="n">
        <v>0.52</v>
      </c>
      <c r="F168" s="49" t="n">
        <v>22</v>
      </c>
      <c r="G168" s="20"/>
      <c r="H168" s="20"/>
      <c r="I168" s="20"/>
      <c r="J168" s="20"/>
      <c r="K168" s="20"/>
      <c r="L168" s="20"/>
      <c r="M168" s="34" t="n">
        <f aca="false">E168*F168+G168*H168+I168*J168+K168*L168</f>
        <v>11.44</v>
      </c>
      <c r="N168" s="34" t="n">
        <f aca="false">Исходные!$B$12-M168</f>
        <v>0.259999999999998</v>
      </c>
      <c r="O168" s="49" t="n">
        <v>7</v>
      </c>
      <c r="P168" s="47" t="n">
        <f aca="false">(F168+H168+J168+L168)*O168</f>
        <v>154</v>
      </c>
      <c r="Q168" s="68" t="n">
        <f aca="false">M168*O168</f>
        <v>80.08</v>
      </c>
      <c r="R168" s="68" t="n">
        <f aca="false">N168*O168</f>
        <v>1.81999999999999</v>
      </c>
    </row>
    <row r="169" customFormat="false" ht="15" hidden="false" customHeight="false" outlineLevel="0" collapsed="false">
      <c r="A169" s="47" t="n">
        <v>1</v>
      </c>
      <c r="B169" s="47" t="n">
        <v>10</v>
      </c>
      <c r="C169" s="70" t="s">
        <v>403</v>
      </c>
      <c r="D169" s="47" t="n">
        <v>10</v>
      </c>
      <c r="E169" s="67" t="n">
        <v>1.56</v>
      </c>
      <c r="F169" s="49" t="n">
        <v>6</v>
      </c>
      <c r="G169" s="67" t="n">
        <v>1.33</v>
      </c>
      <c r="H169" s="49" t="n">
        <v>1</v>
      </c>
      <c r="I169" s="67" t="n">
        <v>0.7</v>
      </c>
      <c r="J169" s="49" t="n">
        <v>1</v>
      </c>
      <c r="K169" s="20"/>
      <c r="L169" s="20"/>
      <c r="M169" s="34" t="n">
        <f aca="false">E169*F169+G169*H169+I169*J169+K169*L169</f>
        <v>11.39</v>
      </c>
      <c r="N169" s="34" t="n">
        <f aca="false">Исходные!$B$12-M169</f>
        <v>0.310000000000001</v>
      </c>
      <c r="O169" s="49" t="n">
        <v>1</v>
      </c>
      <c r="P169" s="47" t="n">
        <f aca="false">(F169+H169+J169+L169)*O169</f>
        <v>8</v>
      </c>
      <c r="Q169" s="68" t="n">
        <f aca="false">M169*O169</f>
        <v>11.39</v>
      </c>
      <c r="R169" s="68" t="n">
        <f aca="false">N169*O169</f>
        <v>0.310000000000001</v>
      </c>
    </row>
    <row r="170" customFormat="false" ht="15" hidden="false" customHeight="false" outlineLevel="0" collapsed="false">
      <c r="A170" s="47" t="n">
        <v>1</v>
      </c>
      <c r="B170" s="47" t="n">
        <v>10</v>
      </c>
      <c r="C170" s="70" t="s">
        <v>403</v>
      </c>
      <c r="D170" s="47" t="n">
        <v>11</v>
      </c>
      <c r="E170" s="67" t="n">
        <v>1.33</v>
      </c>
      <c r="F170" s="49" t="n">
        <v>8</v>
      </c>
      <c r="G170" s="67" t="n">
        <v>0.7</v>
      </c>
      <c r="H170" s="49" t="n">
        <v>1</v>
      </c>
      <c r="I170" s="20"/>
      <c r="J170" s="20"/>
      <c r="K170" s="20"/>
      <c r="L170" s="20"/>
      <c r="M170" s="34" t="n">
        <f aca="false">E170*F170+G170*H170+I170*J170+K170*L170</f>
        <v>11.34</v>
      </c>
      <c r="N170" s="34" t="n">
        <f aca="false">Исходные!$B$12-M170</f>
        <v>0.359999999999999</v>
      </c>
      <c r="O170" s="49" t="n">
        <v>8</v>
      </c>
      <c r="P170" s="47" t="n">
        <f aca="false">(F170+H170+J170+L170)*O170</f>
        <v>72</v>
      </c>
      <c r="Q170" s="68" t="n">
        <f aca="false">M170*O170</f>
        <v>90.72</v>
      </c>
      <c r="R170" s="68" t="n">
        <f aca="false">N170*O170</f>
        <v>2.88</v>
      </c>
    </row>
    <row r="171" customFormat="false" ht="15" hidden="false" customHeight="false" outlineLevel="0" collapsed="false">
      <c r="A171" s="47" t="n">
        <v>1</v>
      </c>
      <c r="B171" s="47" t="n">
        <v>10</v>
      </c>
      <c r="C171" s="70" t="s">
        <v>403</v>
      </c>
      <c r="D171" s="47" t="n">
        <v>12</v>
      </c>
      <c r="E171" s="67" t="n">
        <v>0.7</v>
      </c>
      <c r="F171" s="49" t="n">
        <v>11</v>
      </c>
      <c r="G171" s="67" t="n">
        <v>0.52</v>
      </c>
      <c r="H171" s="49" t="n">
        <v>7</v>
      </c>
      <c r="I171" s="20"/>
      <c r="J171" s="20"/>
      <c r="K171" s="20"/>
      <c r="L171" s="20"/>
      <c r="M171" s="34" t="n">
        <f aca="false">E171*F171+G171*H171+I171*J171+K171*L171</f>
        <v>11.34</v>
      </c>
      <c r="N171" s="34" t="n">
        <f aca="false">Исходные!$B$12-M171</f>
        <v>0.359999999999999</v>
      </c>
      <c r="O171" s="49" t="n">
        <v>1</v>
      </c>
      <c r="P171" s="47" t="n">
        <f aca="false">(F171+H171+J171+L171)*O171</f>
        <v>18</v>
      </c>
      <c r="Q171" s="68" t="n">
        <f aca="false">M171*O171</f>
        <v>11.34</v>
      </c>
      <c r="R171" s="68" t="n">
        <f aca="false">N171*O171</f>
        <v>0.359999999999999</v>
      </c>
    </row>
    <row r="172" customFormat="false" ht="15" hidden="false" customHeight="false" outlineLevel="0" collapsed="false">
      <c r="A172" s="47" t="n">
        <v>1</v>
      </c>
      <c r="B172" s="47" t="n">
        <v>10</v>
      </c>
      <c r="C172" s="70" t="s">
        <v>403</v>
      </c>
      <c r="D172" s="47" t="n">
        <v>13</v>
      </c>
      <c r="E172" s="67" t="n">
        <v>0.42</v>
      </c>
      <c r="F172" s="49" t="n">
        <v>27</v>
      </c>
      <c r="G172" s="20"/>
      <c r="H172" s="20"/>
      <c r="I172" s="20"/>
      <c r="J172" s="20"/>
      <c r="K172" s="20"/>
      <c r="L172" s="20"/>
      <c r="M172" s="34" t="n">
        <f aca="false">E172*F172+G172*H172+I172*J172+K172*L172</f>
        <v>11.34</v>
      </c>
      <c r="N172" s="34" t="n">
        <f aca="false">Исходные!$B$12-M172</f>
        <v>0.359999999999999</v>
      </c>
      <c r="O172" s="49" t="n">
        <v>29</v>
      </c>
      <c r="P172" s="47" t="n">
        <f aca="false">(F172+H172+J172+L172)*O172</f>
        <v>783</v>
      </c>
      <c r="Q172" s="68" t="n">
        <f aca="false">M172*O172</f>
        <v>328.86</v>
      </c>
      <c r="R172" s="68" t="n">
        <f aca="false">N172*O172</f>
        <v>10.44</v>
      </c>
    </row>
    <row r="173" customFormat="false" ht="15" hidden="false" customHeight="false" outlineLevel="0" collapsed="false">
      <c r="A173" s="47" t="n">
        <v>1</v>
      </c>
      <c r="B173" s="47" t="n">
        <v>10</v>
      </c>
      <c r="C173" s="70" t="s">
        <v>403</v>
      </c>
      <c r="D173" s="47" t="n">
        <v>14</v>
      </c>
      <c r="E173" s="67" t="n">
        <v>0.42</v>
      </c>
      <c r="F173" s="49" t="n">
        <v>4</v>
      </c>
      <c r="G173" s="20"/>
      <c r="H173" s="20"/>
      <c r="I173" s="20"/>
      <c r="J173" s="20"/>
      <c r="K173" s="20"/>
      <c r="L173" s="20"/>
      <c r="M173" s="34" t="n">
        <f aca="false">E173*F173+G173*H173+I173*J173+K173*L173</f>
        <v>1.68</v>
      </c>
      <c r="N173" s="34" t="n">
        <f aca="false">Исходные!$B$12-M173</f>
        <v>10.02</v>
      </c>
      <c r="O173" s="49" t="n">
        <v>1</v>
      </c>
      <c r="P173" s="47" t="n">
        <f aca="false">(F173+H173+J173+L173)*O173</f>
        <v>4</v>
      </c>
      <c r="Q173" s="68" t="n">
        <f aca="false">M173*O173</f>
        <v>1.68</v>
      </c>
      <c r="R173" s="68" t="n">
        <f aca="false">N173*O173</f>
        <v>10.02</v>
      </c>
    </row>
    <row r="174" customFormat="false" ht="15" hidden="false" customHeight="false" outlineLevel="0" collapsed="false">
      <c r="A174" s="47" t="n">
        <v>1</v>
      </c>
      <c r="B174" s="47" t="n">
        <v>8</v>
      </c>
      <c r="C174" s="70" t="s">
        <v>403</v>
      </c>
      <c r="D174" s="47" t="n">
        <v>1</v>
      </c>
      <c r="E174" s="67" t="n">
        <v>0.75</v>
      </c>
      <c r="F174" s="49" t="n">
        <v>4</v>
      </c>
      <c r="G174" s="67" t="n">
        <v>0.58</v>
      </c>
      <c r="H174" s="49" t="n">
        <v>15</v>
      </c>
      <c r="I174" s="20"/>
      <c r="J174" s="20"/>
      <c r="K174" s="20"/>
      <c r="L174" s="20"/>
      <c r="M174" s="34" t="n">
        <f aca="false">E174*F174+G174*H174+I174*J174+K174*L174</f>
        <v>11.7</v>
      </c>
      <c r="N174" s="34" t="n">
        <f aca="false">Исходные!$B$12-M174</f>
        <v>0</v>
      </c>
      <c r="O174" s="49" t="n">
        <v>1</v>
      </c>
      <c r="P174" s="47" t="n">
        <f aca="false">(F174+H174+J174+L174)*O174</f>
        <v>19</v>
      </c>
      <c r="Q174" s="68" t="n">
        <f aca="false">M174*O174</f>
        <v>11.7</v>
      </c>
      <c r="R174" s="68" t="n">
        <f aca="false">N174*O174</f>
        <v>0</v>
      </c>
    </row>
    <row r="175" customFormat="false" ht="15" hidden="false" customHeight="false" outlineLevel="0" collapsed="false">
      <c r="A175" s="47" t="n">
        <v>1</v>
      </c>
      <c r="B175" s="47" t="n">
        <v>8</v>
      </c>
      <c r="C175" s="70" t="s">
        <v>403</v>
      </c>
      <c r="D175" s="47" t="n">
        <v>2</v>
      </c>
      <c r="E175" s="67" t="n">
        <v>1.24</v>
      </c>
      <c r="F175" s="49" t="n">
        <v>9</v>
      </c>
      <c r="G175" s="67" t="n">
        <v>0.53</v>
      </c>
      <c r="H175" s="49" t="n">
        <v>1</v>
      </c>
      <c r="I175" s="20"/>
      <c r="J175" s="20"/>
      <c r="K175" s="20"/>
      <c r="L175" s="20"/>
      <c r="M175" s="34" t="n">
        <f aca="false">E175*F175+G175*H175+I175*J175+K175*L175</f>
        <v>11.69</v>
      </c>
      <c r="N175" s="34" t="n">
        <f aca="false">Исходные!$B$12-M175</f>
        <v>0.00999999999999979</v>
      </c>
      <c r="O175" s="49" t="n">
        <v>67</v>
      </c>
      <c r="P175" s="47" t="n">
        <f aca="false">(F175+H175+J175+L175)*O175</f>
        <v>670</v>
      </c>
      <c r="Q175" s="68" t="n">
        <f aca="false">M175*O175</f>
        <v>783.23</v>
      </c>
      <c r="R175" s="68" t="n">
        <f aca="false">N175*O175</f>
        <v>0.669999999999986</v>
      </c>
    </row>
    <row r="176" customFormat="false" ht="15" hidden="false" customHeight="false" outlineLevel="0" collapsed="false">
      <c r="A176" s="47" t="n">
        <v>1</v>
      </c>
      <c r="B176" s="47" t="n">
        <v>8</v>
      </c>
      <c r="C176" s="70" t="s">
        <v>403</v>
      </c>
      <c r="D176" s="47" t="n">
        <v>3</v>
      </c>
      <c r="E176" s="67" t="n">
        <v>0.75</v>
      </c>
      <c r="F176" s="49" t="n">
        <v>15</v>
      </c>
      <c r="G176" s="67" t="n">
        <v>0.22</v>
      </c>
      <c r="H176" s="49" t="n">
        <v>2</v>
      </c>
      <c r="I176" s="20"/>
      <c r="J176" s="20"/>
      <c r="K176" s="20"/>
      <c r="L176" s="20"/>
      <c r="M176" s="34" t="n">
        <f aca="false">E176*F176+G176*H176+I176*J176+K176*L176</f>
        <v>11.69</v>
      </c>
      <c r="N176" s="34" t="n">
        <f aca="false">Исходные!$B$12-M176</f>
        <v>0.00999999999999979</v>
      </c>
      <c r="O176" s="49" t="n">
        <v>50</v>
      </c>
      <c r="P176" s="47" t="n">
        <f aca="false">(F176+H176+J176+L176)*O176</f>
        <v>850</v>
      </c>
      <c r="Q176" s="68" t="n">
        <f aca="false">M176*O176</f>
        <v>584.5</v>
      </c>
      <c r="R176" s="68" t="n">
        <f aca="false">N176*O176</f>
        <v>0.499999999999989</v>
      </c>
    </row>
    <row r="177" customFormat="false" ht="15" hidden="false" customHeight="false" outlineLevel="0" collapsed="false">
      <c r="A177" s="47" t="n">
        <v>1</v>
      </c>
      <c r="B177" s="47" t="n">
        <v>8</v>
      </c>
      <c r="C177" s="70" t="s">
        <v>403</v>
      </c>
      <c r="D177" s="47" t="n">
        <v>4</v>
      </c>
      <c r="E177" s="67" t="n">
        <v>1.96</v>
      </c>
      <c r="F177" s="49" t="n">
        <v>5</v>
      </c>
      <c r="G177" s="67" t="n">
        <v>1.44</v>
      </c>
      <c r="H177" s="49" t="n">
        <v>1</v>
      </c>
      <c r="I177" s="67" t="n">
        <v>0.22</v>
      </c>
      <c r="J177" s="49" t="n">
        <v>2</v>
      </c>
      <c r="K177" s="20"/>
      <c r="L177" s="20"/>
      <c r="M177" s="34" t="n">
        <f aca="false">E177*F177+G177*H177+I177*J177+K177*L177</f>
        <v>11.68</v>
      </c>
      <c r="N177" s="34" t="n">
        <f aca="false">Исходные!$B$12-M177</f>
        <v>0.0199999999999996</v>
      </c>
      <c r="O177" s="49" t="n">
        <v>44</v>
      </c>
      <c r="P177" s="47" t="n">
        <f aca="false">(F177+H177+J177+L177)*O177</f>
        <v>352</v>
      </c>
      <c r="Q177" s="68" t="n">
        <f aca="false">M177*O177</f>
        <v>513.92</v>
      </c>
      <c r="R177" s="68" t="n">
        <f aca="false">N177*O177</f>
        <v>0.879999999999981</v>
      </c>
    </row>
    <row r="178" customFormat="false" ht="15" hidden="false" customHeight="false" outlineLevel="0" collapsed="false">
      <c r="A178" s="47" t="n">
        <v>1</v>
      </c>
      <c r="B178" s="47" t="n">
        <v>8</v>
      </c>
      <c r="C178" s="70" t="s">
        <v>403</v>
      </c>
      <c r="D178" s="47" t="n">
        <v>5</v>
      </c>
      <c r="E178" s="67" t="n">
        <v>1.04</v>
      </c>
      <c r="F178" s="49" t="n">
        <v>11</v>
      </c>
      <c r="G178" s="67" t="n">
        <v>0.22</v>
      </c>
      <c r="H178" s="49" t="n">
        <v>1</v>
      </c>
      <c r="I178" s="20"/>
      <c r="J178" s="20"/>
      <c r="K178" s="20"/>
      <c r="L178" s="20"/>
      <c r="M178" s="34" t="n">
        <f aca="false">E178*F178+G178*H178+I178*J178+K178*L178</f>
        <v>11.66</v>
      </c>
      <c r="N178" s="34" t="n">
        <f aca="false">Исходные!$B$12-M178</f>
        <v>0.0399999999999974</v>
      </c>
      <c r="O178" s="49" t="n">
        <v>8</v>
      </c>
      <c r="P178" s="47" t="n">
        <f aca="false">(F178+H178+J178+L178)*O178</f>
        <v>96</v>
      </c>
      <c r="Q178" s="68" t="n">
        <f aca="false">M178*O178</f>
        <v>93.28</v>
      </c>
      <c r="R178" s="68" t="n">
        <f aca="false">N178*O178</f>
        <v>0.319999999999979</v>
      </c>
    </row>
    <row r="179" customFormat="false" ht="15" hidden="false" customHeight="false" outlineLevel="0" collapsed="false">
      <c r="A179" s="47" t="n">
        <v>1</v>
      </c>
      <c r="B179" s="47" t="n">
        <v>8</v>
      </c>
      <c r="C179" s="70" t="s">
        <v>403</v>
      </c>
      <c r="D179" s="47" t="n">
        <v>6</v>
      </c>
      <c r="E179" s="67" t="n">
        <v>0.53</v>
      </c>
      <c r="F179" s="49" t="n">
        <v>22</v>
      </c>
      <c r="G179" s="20"/>
      <c r="H179" s="20"/>
      <c r="I179" s="20"/>
      <c r="J179" s="20"/>
      <c r="K179" s="20"/>
      <c r="L179" s="20"/>
      <c r="M179" s="34" t="n">
        <f aca="false">E179*F179+G179*H179+I179*J179+K179*L179</f>
        <v>11.66</v>
      </c>
      <c r="N179" s="34" t="n">
        <f aca="false">Исходные!$B$12-M179</f>
        <v>0.0399999999999992</v>
      </c>
      <c r="O179" s="49" t="n">
        <v>11</v>
      </c>
      <c r="P179" s="47" t="n">
        <f aca="false">(F179+H179+J179+L179)*O179</f>
        <v>242</v>
      </c>
      <c r="Q179" s="68" t="n">
        <f aca="false">M179*O179</f>
        <v>128.26</v>
      </c>
      <c r="R179" s="68" t="n">
        <f aca="false">N179*O179</f>
        <v>0.439999999999991</v>
      </c>
    </row>
    <row r="180" customFormat="false" ht="15" hidden="false" customHeight="false" outlineLevel="0" collapsed="false">
      <c r="A180" s="47" t="n">
        <v>1</v>
      </c>
      <c r="B180" s="47" t="n">
        <v>8</v>
      </c>
      <c r="C180" s="70" t="s">
        <v>403</v>
      </c>
      <c r="D180" s="47" t="n">
        <v>7</v>
      </c>
      <c r="E180" s="67" t="n">
        <v>0.22</v>
      </c>
      <c r="F180" s="49" t="n">
        <v>53</v>
      </c>
      <c r="G180" s="20"/>
      <c r="H180" s="20"/>
      <c r="I180" s="20"/>
      <c r="J180" s="20"/>
      <c r="K180" s="20"/>
      <c r="L180" s="20"/>
      <c r="M180" s="34" t="n">
        <f aca="false">E180*F180+G180*H180+I180*J180+K180*L180</f>
        <v>11.66</v>
      </c>
      <c r="N180" s="34" t="n">
        <f aca="false">Исходные!$B$12-M180</f>
        <v>0.0399999999999992</v>
      </c>
      <c r="O180" s="49" t="n">
        <v>11</v>
      </c>
      <c r="P180" s="47" t="n">
        <f aca="false">(F180+H180+J180+L180)*O180</f>
        <v>583</v>
      </c>
      <c r="Q180" s="68" t="n">
        <f aca="false">M180*O180</f>
        <v>128.26</v>
      </c>
      <c r="R180" s="68" t="n">
        <f aca="false">N180*O180</f>
        <v>0.439999999999991</v>
      </c>
    </row>
    <row r="181" customFormat="false" ht="15" hidden="false" customHeight="false" outlineLevel="0" collapsed="false">
      <c r="A181" s="47" t="n">
        <v>1</v>
      </c>
      <c r="B181" s="47" t="n">
        <v>8</v>
      </c>
      <c r="C181" s="70" t="s">
        <v>403</v>
      </c>
      <c r="D181" s="47" t="n">
        <v>8</v>
      </c>
      <c r="E181" s="67" t="n">
        <v>1.96</v>
      </c>
      <c r="F181" s="49" t="n">
        <v>5</v>
      </c>
      <c r="G181" s="67" t="n">
        <v>1.24</v>
      </c>
      <c r="H181" s="49" t="n">
        <v>1</v>
      </c>
      <c r="I181" s="67" t="n">
        <v>0.58</v>
      </c>
      <c r="J181" s="49" t="n">
        <v>1</v>
      </c>
      <c r="K181" s="20"/>
      <c r="L181" s="20"/>
      <c r="M181" s="34" t="n">
        <f aca="false">E181*F181+G181*H181+I181*J181+K181*L181</f>
        <v>11.62</v>
      </c>
      <c r="N181" s="34" t="n">
        <f aca="false">Исходные!$B$12-M181</f>
        <v>0.0799999999999983</v>
      </c>
      <c r="O181" s="49" t="n">
        <v>64</v>
      </c>
      <c r="P181" s="47" t="n">
        <f aca="false">(F181+H181+J181+L181)*O181</f>
        <v>448</v>
      </c>
      <c r="Q181" s="68" t="n">
        <f aca="false">M181*O181</f>
        <v>743.68</v>
      </c>
      <c r="R181" s="68" t="n">
        <f aca="false">N181*O181</f>
        <v>5.11999999999989</v>
      </c>
    </row>
    <row r="182" customFormat="false" ht="15" hidden="false" customHeight="false" outlineLevel="0" collapsed="false">
      <c r="A182" s="47" t="n">
        <v>1</v>
      </c>
      <c r="B182" s="47" t="n">
        <v>8</v>
      </c>
      <c r="C182" s="70" t="s">
        <v>403</v>
      </c>
      <c r="D182" s="47" t="n">
        <v>9</v>
      </c>
      <c r="E182" s="67" t="n">
        <v>1.14</v>
      </c>
      <c r="F182" s="49" t="n">
        <v>10</v>
      </c>
      <c r="G182" s="67" t="n">
        <v>0.22</v>
      </c>
      <c r="H182" s="49" t="n">
        <v>1</v>
      </c>
      <c r="I182" s="20"/>
      <c r="J182" s="20"/>
      <c r="K182" s="20"/>
      <c r="L182" s="20"/>
      <c r="M182" s="34" t="n">
        <f aca="false">E182*F182+G182*H182+I182*J182+K182*L182</f>
        <v>11.62</v>
      </c>
      <c r="N182" s="34" t="n">
        <f aca="false">Исходные!$B$12-M182</f>
        <v>0.0800000000000001</v>
      </c>
      <c r="O182" s="49" t="n">
        <v>27</v>
      </c>
      <c r="P182" s="47" t="n">
        <f aca="false">(F182+H182+J182+L182)*O182</f>
        <v>297</v>
      </c>
      <c r="Q182" s="68" t="n">
        <f aca="false">M182*O182</f>
        <v>313.74</v>
      </c>
      <c r="R182" s="68" t="n">
        <f aca="false">N182*O182</f>
        <v>2.16</v>
      </c>
    </row>
    <row r="183" customFormat="false" ht="15" hidden="false" customHeight="false" outlineLevel="0" collapsed="false">
      <c r="A183" s="47" t="n">
        <v>1</v>
      </c>
      <c r="B183" s="47" t="n">
        <v>8</v>
      </c>
      <c r="C183" s="70" t="s">
        <v>403</v>
      </c>
      <c r="D183" s="47" t="n">
        <v>10</v>
      </c>
      <c r="E183" s="67" t="n">
        <v>0.58</v>
      </c>
      <c r="F183" s="49" t="n">
        <v>16</v>
      </c>
      <c r="G183" s="67" t="n">
        <v>0.53</v>
      </c>
      <c r="H183" s="49" t="n">
        <v>4</v>
      </c>
      <c r="I183" s="67" t="n">
        <v>0.22</v>
      </c>
      <c r="J183" s="49" t="n">
        <v>1</v>
      </c>
      <c r="K183" s="20"/>
      <c r="L183" s="20"/>
      <c r="M183" s="34" t="n">
        <f aca="false">E183*F183+G183*H183+I183*J183+K183*L183</f>
        <v>11.62</v>
      </c>
      <c r="N183" s="34" t="n">
        <f aca="false">Исходные!$B$12-M183</f>
        <v>0.0800000000000001</v>
      </c>
      <c r="O183" s="49" t="n">
        <v>1</v>
      </c>
      <c r="P183" s="47" t="n">
        <f aca="false">(F183+H183+J183+L183)*O183</f>
        <v>21</v>
      </c>
      <c r="Q183" s="68" t="n">
        <f aca="false">M183*O183</f>
        <v>11.62</v>
      </c>
      <c r="R183" s="68" t="n">
        <f aca="false">N183*O183</f>
        <v>0.0800000000000001</v>
      </c>
    </row>
    <row r="184" customFormat="false" ht="15" hidden="false" customHeight="false" outlineLevel="0" collapsed="false">
      <c r="A184" s="47" t="n">
        <v>1</v>
      </c>
      <c r="B184" s="47" t="n">
        <v>8</v>
      </c>
      <c r="C184" s="70" t="s">
        <v>403</v>
      </c>
      <c r="D184" s="47" t="n">
        <v>11</v>
      </c>
      <c r="E184" s="67" t="n">
        <v>1.16</v>
      </c>
      <c r="F184" s="49" t="n">
        <v>10</v>
      </c>
      <c r="G184" s="20"/>
      <c r="H184" s="20"/>
      <c r="I184" s="20"/>
      <c r="J184" s="20"/>
      <c r="K184" s="20"/>
      <c r="L184" s="20"/>
      <c r="M184" s="34" t="n">
        <f aca="false">E184*F184+G184*H184+I184*J184+K184*L184</f>
        <v>11.6</v>
      </c>
      <c r="N184" s="34" t="n">
        <f aca="false">Исходные!$B$12-M184</f>
        <v>0.0999999999999996</v>
      </c>
      <c r="O184" s="49" t="n">
        <v>1</v>
      </c>
      <c r="P184" s="47" t="n">
        <f aca="false">(F184+H184+J184+L184)*O184</f>
        <v>10</v>
      </c>
      <c r="Q184" s="68" t="n">
        <f aca="false">M184*O184</f>
        <v>11.6</v>
      </c>
      <c r="R184" s="68" t="n">
        <f aca="false">N184*O184</f>
        <v>0.0999999999999996</v>
      </c>
    </row>
    <row r="185" customFormat="false" ht="15" hidden="false" customHeight="false" outlineLevel="0" collapsed="false">
      <c r="A185" s="47" t="n">
        <v>1</v>
      </c>
      <c r="B185" s="47" t="n">
        <v>8</v>
      </c>
      <c r="C185" s="70" t="s">
        <v>403</v>
      </c>
      <c r="D185" s="47" t="n">
        <v>12</v>
      </c>
      <c r="E185" s="67" t="n">
        <v>0.58</v>
      </c>
      <c r="F185" s="49" t="n">
        <v>20</v>
      </c>
      <c r="G185" s="20"/>
      <c r="H185" s="20"/>
      <c r="I185" s="20"/>
      <c r="J185" s="20"/>
      <c r="K185" s="20"/>
      <c r="L185" s="20"/>
      <c r="M185" s="34" t="n">
        <f aca="false">E185*F185+G185*H185+I185*J185+K185*L185</f>
        <v>11.6</v>
      </c>
      <c r="N185" s="34" t="n">
        <f aca="false">Исходные!$B$12-M185</f>
        <v>0.0999999999999996</v>
      </c>
      <c r="O185" s="49" t="n">
        <v>17</v>
      </c>
      <c r="P185" s="47" t="n">
        <f aca="false">(F185+H185+J185+L185)*O185</f>
        <v>340</v>
      </c>
      <c r="Q185" s="68" t="n">
        <f aca="false">M185*O185</f>
        <v>197.2</v>
      </c>
      <c r="R185" s="68" t="n">
        <f aca="false">N185*O185</f>
        <v>1.69999999999999</v>
      </c>
    </row>
    <row r="186" customFormat="false" ht="15" hidden="false" customHeight="false" outlineLevel="0" collapsed="false">
      <c r="A186" s="47" t="n">
        <v>1</v>
      </c>
      <c r="B186" s="47" t="n">
        <v>8</v>
      </c>
      <c r="C186" s="70" t="s">
        <v>403</v>
      </c>
      <c r="D186" s="47" t="n">
        <v>13</v>
      </c>
      <c r="E186" s="67" t="n">
        <v>1.24</v>
      </c>
      <c r="F186" s="49" t="n">
        <v>5</v>
      </c>
      <c r="G186" s="67" t="n">
        <v>1.16</v>
      </c>
      <c r="H186" s="49" t="n">
        <v>4</v>
      </c>
      <c r="I186" s="67" t="n">
        <v>0.75</v>
      </c>
      <c r="J186" s="49" t="n">
        <v>1</v>
      </c>
      <c r="K186" s="20"/>
      <c r="L186" s="20"/>
      <c r="M186" s="34" t="n">
        <f aca="false">E186*F186+G186*H186+I186*J186+K186*L186</f>
        <v>11.59</v>
      </c>
      <c r="N186" s="34" t="n">
        <f aca="false">Исходные!$B$12-M186</f>
        <v>0.109999999999999</v>
      </c>
      <c r="O186" s="49" t="n">
        <v>1</v>
      </c>
      <c r="P186" s="47" t="n">
        <f aca="false">(F186+H186+J186+L186)*O186</f>
        <v>10</v>
      </c>
      <c r="Q186" s="68" t="n">
        <f aca="false">M186*O186</f>
        <v>11.59</v>
      </c>
      <c r="R186" s="68" t="n">
        <f aca="false">N186*O186</f>
        <v>0.109999999999999</v>
      </c>
    </row>
    <row r="187" customFormat="false" ht="15" hidden="false" customHeight="false" outlineLevel="0" collapsed="false">
      <c r="A187" s="47" t="n">
        <v>1</v>
      </c>
      <c r="B187" s="47" t="n">
        <v>8</v>
      </c>
      <c r="C187" s="70" t="s">
        <v>403</v>
      </c>
      <c r="D187" s="47" t="n">
        <v>14</v>
      </c>
      <c r="E187" s="67" t="n">
        <v>2.44</v>
      </c>
      <c r="F187" s="49" t="n">
        <v>4</v>
      </c>
      <c r="G187" s="67" t="n">
        <v>1.24</v>
      </c>
      <c r="H187" s="49" t="n">
        <v>1</v>
      </c>
      <c r="I187" s="67" t="n">
        <v>0.58</v>
      </c>
      <c r="J187" s="49" t="n">
        <v>1</v>
      </c>
      <c r="K187" s="20"/>
      <c r="L187" s="20"/>
      <c r="M187" s="34" t="n">
        <f aca="false">E187*F187+G187*H187+I187*J187+K187*L187</f>
        <v>11.58</v>
      </c>
      <c r="N187" s="34" t="n">
        <f aca="false">Исходные!$B$12-M187</f>
        <v>0.119999999999999</v>
      </c>
      <c r="O187" s="49" t="n">
        <v>150</v>
      </c>
      <c r="P187" s="47" t="n">
        <f aca="false">(F187+H187+J187+L187)*O187</f>
        <v>900</v>
      </c>
      <c r="Q187" s="68" t="n">
        <f aca="false">M187*O187</f>
        <v>1737</v>
      </c>
      <c r="R187" s="68" t="n">
        <f aca="false">N187*O187</f>
        <v>17.9999999999999</v>
      </c>
    </row>
    <row r="188" customFormat="false" ht="15" hidden="false" customHeight="false" outlineLevel="0" collapsed="false">
      <c r="A188" s="47" t="n">
        <v>1</v>
      </c>
      <c r="B188" s="47" t="n">
        <v>8</v>
      </c>
      <c r="C188" s="70" t="s">
        <v>403</v>
      </c>
      <c r="D188" s="47" t="n">
        <v>15</v>
      </c>
      <c r="E188" s="67" t="n">
        <v>2.06</v>
      </c>
      <c r="F188" s="49" t="n">
        <v>5</v>
      </c>
      <c r="G188" s="67" t="n">
        <v>1.28</v>
      </c>
      <c r="H188" s="49" t="n">
        <v>1</v>
      </c>
      <c r="I188" s="20"/>
      <c r="J188" s="20"/>
      <c r="K188" s="20"/>
      <c r="L188" s="20"/>
      <c r="M188" s="34" t="n">
        <f aca="false">E188*F188+G188*H188+I188*J188+K188*L188</f>
        <v>11.58</v>
      </c>
      <c r="N188" s="34" t="n">
        <f aca="false">Исходные!$B$12-M188</f>
        <v>0.119999999999999</v>
      </c>
      <c r="O188" s="49" t="n">
        <v>15</v>
      </c>
      <c r="P188" s="47" t="n">
        <f aca="false">(F188+H188+J188+L188)*O188</f>
        <v>90</v>
      </c>
      <c r="Q188" s="68" t="n">
        <f aca="false">M188*O188</f>
        <v>173.7</v>
      </c>
      <c r="R188" s="68" t="n">
        <f aca="false">N188*O188</f>
        <v>1.79999999999999</v>
      </c>
    </row>
    <row r="189" customFormat="false" ht="15" hidden="false" customHeight="false" outlineLevel="0" collapsed="false">
      <c r="A189" s="47" t="n">
        <v>1</v>
      </c>
      <c r="B189" s="47" t="n">
        <v>8</v>
      </c>
      <c r="C189" s="70" t="s">
        <v>403</v>
      </c>
      <c r="D189" s="47" t="n">
        <v>16</v>
      </c>
      <c r="E189" s="67" t="n">
        <v>1.96</v>
      </c>
      <c r="F189" s="49" t="n">
        <v>5</v>
      </c>
      <c r="G189" s="67" t="n">
        <v>1.76</v>
      </c>
      <c r="H189" s="49" t="n">
        <v>1</v>
      </c>
      <c r="I189" s="20"/>
      <c r="J189" s="20"/>
      <c r="K189" s="20"/>
      <c r="L189" s="20"/>
      <c r="M189" s="34" t="n">
        <f aca="false">E189*F189+G189*H189+I189*J189+K189*L189</f>
        <v>11.56</v>
      </c>
      <c r="N189" s="34" t="n">
        <f aca="false">Исходные!$B$12-M189</f>
        <v>0.139999999999999</v>
      </c>
      <c r="O189" s="49" t="n">
        <v>36</v>
      </c>
      <c r="P189" s="47" t="n">
        <f aca="false">(F189+H189+J189+L189)*O189</f>
        <v>216</v>
      </c>
      <c r="Q189" s="68" t="n">
        <f aca="false">M189*O189</f>
        <v>416.16</v>
      </c>
      <c r="R189" s="68" t="n">
        <f aca="false">N189*O189</f>
        <v>5.03999999999996</v>
      </c>
    </row>
    <row r="190" customFormat="false" ht="15" hidden="false" customHeight="false" outlineLevel="0" collapsed="false">
      <c r="A190" s="47" t="n">
        <v>1</v>
      </c>
      <c r="B190" s="47" t="n">
        <v>8</v>
      </c>
      <c r="C190" s="70" t="s">
        <v>403</v>
      </c>
      <c r="D190" s="47" t="n">
        <v>17</v>
      </c>
      <c r="E190" s="67" t="n">
        <v>1.16</v>
      </c>
      <c r="F190" s="49" t="n">
        <v>8</v>
      </c>
      <c r="G190" s="67" t="n">
        <v>1.14</v>
      </c>
      <c r="H190" s="49" t="n">
        <v>2</v>
      </c>
      <c r="I190" s="20"/>
      <c r="J190" s="20"/>
      <c r="K190" s="20"/>
      <c r="L190" s="20"/>
      <c r="M190" s="34" t="n">
        <f aca="false">E190*F190+G190*H190+I190*J190+K190*L190</f>
        <v>11.56</v>
      </c>
      <c r="N190" s="34" t="n">
        <f aca="false">Исходные!$B$12-M190</f>
        <v>0.140000000000001</v>
      </c>
      <c r="O190" s="49" t="n">
        <v>1</v>
      </c>
      <c r="P190" s="47" t="n">
        <f aca="false">(F190+H190+J190+L190)*O190</f>
        <v>10</v>
      </c>
      <c r="Q190" s="68" t="n">
        <f aca="false">M190*O190</f>
        <v>11.56</v>
      </c>
      <c r="R190" s="68" t="n">
        <f aca="false">N190*O190</f>
        <v>0.140000000000001</v>
      </c>
    </row>
    <row r="191" customFormat="false" ht="15" hidden="false" customHeight="false" outlineLevel="0" collapsed="false">
      <c r="A191" s="47" t="n">
        <v>1</v>
      </c>
      <c r="B191" s="47" t="n">
        <v>8</v>
      </c>
      <c r="C191" s="70" t="s">
        <v>403</v>
      </c>
      <c r="D191" s="47" t="n">
        <v>18</v>
      </c>
      <c r="E191" s="67" t="n">
        <v>0.53</v>
      </c>
      <c r="F191" s="49" t="n">
        <v>11</v>
      </c>
      <c r="G191" s="67" t="n">
        <v>0.22</v>
      </c>
      <c r="H191" s="49" t="n">
        <v>26</v>
      </c>
      <c r="I191" s="20"/>
      <c r="J191" s="20"/>
      <c r="K191" s="20"/>
      <c r="L191" s="20"/>
      <c r="M191" s="34" t="n">
        <f aca="false">E191*F191+G191*H191+I191*J191+K191*L191</f>
        <v>11.55</v>
      </c>
      <c r="N191" s="34" t="n">
        <f aca="false">Исходные!$B$12-M191</f>
        <v>0.149999999999999</v>
      </c>
      <c r="O191" s="49" t="n">
        <v>1</v>
      </c>
      <c r="P191" s="47" t="n">
        <f aca="false">(F191+H191+J191+L191)*O191</f>
        <v>37</v>
      </c>
      <c r="Q191" s="68" t="n">
        <f aca="false">M191*O191</f>
        <v>11.55</v>
      </c>
      <c r="R191" s="68" t="n">
        <f aca="false">N191*O191</f>
        <v>0.149999999999999</v>
      </c>
    </row>
    <row r="192" customFormat="false" ht="15" hidden="false" customHeight="false" outlineLevel="0" collapsed="false">
      <c r="A192" s="47" t="n">
        <v>1</v>
      </c>
      <c r="B192" s="47" t="n">
        <v>8</v>
      </c>
      <c r="C192" s="70" t="s">
        <v>403</v>
      </c>
      <c r="D192" s="47" t="n">
        <v>19</v>
      </c>
      <c r="E192" s="67" t="n">
        <v>2.06</v>
      </c>
      <c r="F192" s="49" t="n">
        <v>5</v>
      </c>
      <c r="G192" s="67" t="n">
        <v>1.24</v>
      </c>
      <c r="H192" s="49" t="n">
        <v>1</v>
      </c>
      <c r="I192" s="20"/>
      <c r="J192" s="20"/>
      <c r="K192" s="20"/>
      <c r="L192" s="20"/>
      <c r="M192" s="34" t="n">
        <f aca="false">E192*F192+G192*H192+I192*J192+K192*L192</f>
        <v>11.54</v>
      </c>
      <c r="N192" s="34" t="n">
        <f aca="false">Исходные!$B$12-M192</f>
        <v>0.159999999999998</v>
      </c>
      <c r="O192" s="49" t="n">
        <v>147</v>
      </c>
      <c r="P192" s="47" t="n">
        <f aca="false">(F192+H192+J192+L192)*O192</f>
        <v>882</v>
      </c>
      <c r="Q192" s="68" t="n">
        <f aca="false">M192*O192</f>
        <v>1696.38</v>
      </c>
      <c r="R192" s="68" t="n">
        <f aca="false">N192*O192</f>
        <v>23.5199999999998</v>
      </c>
    </row>
    <row r="193" customFormat="false" ht="15" hidden="false" customHeight="false" outlineLevel="0" collapsed="false">
      <c r="A193" s="47" t="n">
        <v>1</v>
      </c>
      <c r="B193" s="47" t="n">
        <v>8</v>
      </c>
      <c r="C193" s="70" t="s">
        <v>403</v>
      </c>
      <c r="D193" s="47" t="n">
        <v>20</v>
      </c>
      <c r="E193" s="67" t="n">
        <v>0.22</v>
      </c>
      <c r="F193" s="49" t="n">
        <v>14</v>
      </c>
      <c r="G193" s="20"/>
      <c r="H193" s="20"/>
      <c r="I193" s="20"/>
      <c r="J193" s="20"/>
      <c r="K193" s="20"/>
      <c r="L193" s="20"/>
      <c r="M193" s="34" t="n">
        <f aca="false">E193*F193+G193*H193+I193*J193+K193*L193</f>
        <v>3.08</v>
      </c>
      <c r="N193" s="34" t="n">
        <f aca="false">Исходные!$B$12-M193</f>
        <v>8.62</v>
      </c>
      <c r="O193" s="49" t="n">
        <v>1</v>
      </c>
      <c r="P193" s="47" t="n">
        <f aca="false">(F193+H193+J193+L193)*O193</f>
        <v>14</v>
      </c>
      <c r="Q193" s="68" t="n">
        <f aca="false">M193*O193</f>
        <v>3.08</v>
      </c>
      <c r="R193" s="68" t="n">
        <f aca="false">N193*O193</f>
        <v>8.62</v>
      </c>
    </row>
    <row r="194" customFormat="false" ht="15" hidden="false" customHeight="false" outlineLevel="0" collapsed="false">
      <c r="A194" s="47" t="n">
        <v>1</v>
      </c>
      <c r="B194" s="47" t="n">
        <v>6</v>
      </c>
      <c r="C194" s="70" t="s">
        <v>403</v>
      </c>
      <c r="D194" s="47" t="n">
        <v>1</v>
      </c>
      <c r="E194" s="67" t="n">
        <v>0.28</v>
      </c>
      <c r="F194" s="49" t="n">
        <v>41</v>
      </c>
      <c r="G194" s="20"/>
      <c r="H194" s="20"/>
      <c r="I194" s="20"/>
      <c r="J194" s="20"/>
      <c r="K194" s="20"/>
      <c r="L194" s="20"/>
      <c r="M194" s="34" t="n">
        <f aca="false">E194*F194+G194*H194+I194*J194+K194*L194</f>
        <v>11.48</v>
      </c>
      <c r="N194" s="34" t="n">
        <f aca="false">Исходные!$B$12-M194</f>
        <v>0.219999999999999</v>
      </c>
      <c r="O194" s="49" t="n">
        <v>2</v>
      </c>
      <c r="P194" s="47" t="n">
        <f aca="false">(F194+H194+J194+L194)*O194</f>
        <v>82</v>
      </c>
      <c r="Q194" s="68" t="n">
        <f aca="false">M194*O194</f>
        <v>22.96</v>
      </c>
      <c r="R194" s="68" t="n">
        <f aca="false">N194*O194</f>
        <v>0.439999999999998</v>
      </c>
    </row>
    <row r="195" customFormat="false" ht="15" hidden="false" customHeight="false" outlineLevel="0" collapsed="false">
      <c r="A195" s="47" t="n">
        <v>1</v>
      </c>
      <c r="B195" s="47" t="n">
        <v>6</v>
      </c>
      <c r="C195" s="70" t="s">
        <v>403</v>
      </c>
      <c r="D195" s="47" t="n">
        <v>2</v>
      </c>
      <c r="E195" s="67" t="n">
        <v>0.28</v>
      </c>
      <c r="F195" s="49" t="n">
        <v>29</v>
      </c>
      <c r="G195" s="20"/>
      <c r="H195" s="20"/>
      <c r="I195" s="20"/>
      <c r="J195" s="20"/>
      <c r="K195" s="20"/>
      <c r="L195" s="20"/>
      <c r="M195" s="34" t="n">
        <f aca="false">E195*F195+G195*H195+I195*J195+K195*L195</f>
        <v>8.12</v>
      </c>
      <c r="N195" s="34" t="n">
        <f aca="false">Исходные!$B$12-M195</f>
        <v>3.58</v>
      </c>
      <c r="O195" s="49" t="n">
        <v>1</v>
      </c>
      <c r="P195" s="47" t="n">
        <f aca="false">(F195+H195+J195+L195)*O195</f>
        <v>29</v>
      </c>
      <c r="Q195" s="68" t="n">
        <f aca="false">M195*O195</f>
        <v>8.12</v>
      </c>
      <c r="R195" s="68" t="n">
        <f aca="false">N195*O195</f>
        <v>3.58</v>
      </c>
    </row>
    <row r="196" customFormat="false" ht="15" hidden="false" customHeight="false" outlineLevel="0" collapsed="false">
      <c r="A196" s="47" t="n">
        <v>2</v>
      </c>
      <c r="B196" s="47" t="n">
        <v>32</v>
      </c>
      <c r="C196" s="70" t="s">
        <v>368</v>
      </c>
      <c r="D196" s="47" t="n">
        <v>1</v>
      </c>
      <c r="E196" s="67" t="n">
        <v>7.85</v>
      </c>
      <c r="F196" s="49" t="n">
        <v>1</v>
      </c>
      <c r="G196" s="67" t="n">
        <v>3.8</v>
      </c>
      <c r="H196" s="49" t="n">
        <v>1</v>
      </c>
      <c r="I196" s="20"/>
      <c r="J196" s="20"/>
      <c r="K196" s="20"/>
      <c r="L196" s="20"/>
      <c r="M196" s="34" t="n">
        <f aca="false">E196*F196+G196*H196+I196*J196+K196*L196</f>
        <v>11.65</v>
      </c>
      <c r="N196" s="34" t="n">
        <f aca="false">Исходные!$B$12-M196</f>
        <v>0.0500000000000007</v>
      </c>
      <c r="O196" s="49" t="n">
        <v>2</v>
      </c>
      <c r="P196" s="47" t="n">
        <f aca="false">(F196+H196+J196+L196)*O196</f>
        <v>4</v>
      </c>
      <c r="Q196" s="68" t="n">
        <f aca="false">M196*O196</f>
        <v>23.3</v>
      </c>
      <c r="R196" s="68" t="n">
        <f aca="false">N196*O196</f>
        <v>0.100000000000001</v>
      </c>
    </row>
    <row r="197" customFormat="false" ht="15" hidden="false" customHeight="false" outlineLevel="0" collapsed="false">
      <c r="A197" s="47" t="n">
        <v>2</v>
      </c>
      <c r="B197" s="47" t="n">
        <v>32</v>
      </c>
      <c r="C197" s="70" t="s">
        <v>368</v>
      </c>
      <c r="D197" s="47" t="n">
        <v>2</v>
      </c>
      <c r="E197" s="67" t="n">
        <v>2.85</v>
      </c>
      <c r="F197" s="49" t="n">
        <v>4</v>
      </c>
      <c r="G197" s="20"/>
      <c r="H197" s="20"/>
      <c r="I197" s="20"/>
      <c r="J197" s="20"/>
      <c r="K197" s="20"/>
      <c r="L197" s="20"/>
      <c r="M197" s="34" t="n">
        <f aca="false">E197*F197+G197*H197+I197*J197+K197*L197</f>
        <v>11.4</v>
      </c>
      <c r="N197" s="34" t="n">
        <f aca="false">Исходные!$B$12-M197</f>
        <v>0.299999999999999</v>
      </c>
      <c r="O197" s="49" t="n">
        <v>1</v>
      </c>
      <c r="P197" s="47" t="n">
        <f aca="false">(F197+H197+J197+L197)*O197</f>
        <v>4</v>
      </c>
      <c r="Q197" s="68" t="n">
        <f aca="false">M197*O197</f>
        <v>11.4</v>
      </c>
      <c r="R197" s="68" t="n">
        <f aca="false">N197*O197</f>
        <v>0.299999999999999</v>
      </c>
    </row>
    <row r="198" customFormat="false" ht="15" hidden="false" customHeight="false" outlineLevel="0" collapsed="false">
      <c r="A198" s="47" t="n">
        <v>2</v>
      </c>
      <c r="B198" s="47" t="n">
        <v>32</v>
      </c>
      <c r="C198" s="70" t="s">
        <v>368</v>
      </c>
      <c r="D198" s="47" t="n">
        <v>3</v>
      </c>
      <c r="E198" s="67" t="n">
        <v>7.5</v>
      </c>
      <c r="F198" s="49" t="n">
        <v>1</v>
      </c>
      <c r="G198" s="67" t="n">
        <v>3.8</v>
      </c>
      <c r="H198" s="49" t="n">
        <v>1</v>
      </c>
      <c r="I198" s="20"/>
      <c r="J198" s="20"/>
      <c r="K198" s="20"/>
      <c r="L198" s="20"/>
      <c r="M198" s="34" t="n">
        <f aca="false">E198*F198+G198*H198+I198*J198+K198*L198</f>
        <v>11.3</v>
      </c>
      <c r="N198" s="34" t="n">
        <f aca="false">Исходные!$B$12-M198</f>
        <v>0.399999999999999</v>
      </c>
      <c r="O198" s="49" t="n">
        <v>2</v>
      </c>
      <c r="P198" s="47" t="n">
        <f aca="false">(F198+H198+J198+L198)*O198</f>
        <v>4</v>
      </c>
      <c r="Q198" s="68" t="n">
        <f aca="false">M198*O198</f>
        <v>22.6</v>
      </c>
      <c r="R198" s="68" t="n">
        <f aca="false">N198*O198</f>
        <v>0.799999999999997</v>
      </c>
    </row>
    <row r="199" customFormat="false" ht="15" hidden="false" customHeight="false" outlineLevel="0" collapsed="false">
      <c r="A199" s="47" t="n">
        <v>2</v>
      </c>
      <c r="B199" s="47" t="n">
        <v>32</v>
      </c>
      <c r="C199" s="70" t="s">
        <v>368</v>
      </c>
      <c r="D199" s="47" t="n">
        <v>4</v>
      </c>
      <c r="E199" s="67" t="n">
        <v>3.7</v>
      </c>
      <c r="F199" s="49" t="n">
        <v>2</v>
      </c>
      <c r="G199" s="67" t="n">
        <v>3.6</v>
      </c>
      <c r="H199" s="49" t="n">
        <v>1</v>
      </c>
      <c r="I199" s="20"/>
      <c r="J199" s="20"/>
      <c r="K199" s="20"/>
      <c r="L199" s="20"/>
      <c r="M199" s="34" t="n">
        <f aca="false">E199*F199+G199*H199+I199*J199+K199*L199</f>
        <v>11</v>
      </c>
      <c r="N199" s="34" t="n">
        <f aca="false">Исходные!$B$12-M199</f>
        <v>0.699999999999999</v>
      </c>
      <c r="O199" s="49" t="n">
        <v>1</v>
      </c>
      <c r="P199" s="47" t="n">
        <f aca="false">(F199+H199+J199+L199)*O199</f>
        <v>3</v>
      </c>
      <c r="Q199" s="68" t="n">
        <f aca="false">M199*O199</f>
        <v>11</v>
      </c>
      <c r="R199" s="68" t="n">
        <f aca="false">N199*O199</f>
        <v>0.699999999999999</v>
      </c>
    </row>
    <row r="200" customFormat="false" ht="15" hidden="false" customHeight="false" outlineLevel="0" collapsed="false">
      <c r="A200" s="47" t="n">
        <v>2</v>
      </c>
      <c r="B200" s="47" t="n">
        <v>32</v>
      </c>
      <c r="C200" s="70" t="s">
        <v>368</v>
      </c>
      <c r="D200" s="47" t="n">
        <v>5</v>
      </c>
      <c r="E200" s="67" t="n">
        <v>3.6</v>
      </c>
      <c r="F200" s="49" t="n">
        <v>3</v>
      </c>
      <c r="G200" s="20"/>
      <c r="H200" s="20"/>
      <c r="I200" s="20"/>
      <c r="J200" s="20"/>
      <c r="K200" s="20"/>
      <c r="L200" s="20"/>
      <c r="M200" s="34" t="n">
        <f aca="false">E200*F200+G200*H200+I200*J200+K200*L200</f>
        <v>10.8</v>
      </c>
      <c r="N200" s="34" t="n">
        <f aca="false">Исходные!$B$12-M200</f>
        <v>0.899999999999999</v>
      </c>
      <c r="O200" s="49" t="n">
        <v>1</v>
      </c>
      <c r="P200" s="47" t="n">
        <f aca="false">(F200+H200+J200+L200)*O200</f>
        <v>3</v>
      </c>
      <c r="Q200" s="68" t="n">
        <f aca="false">M200*O200</f>
        <v>10.8</v>
      </c>
      <c r="R200" s="68" t="n">
        <f aca="false">N200*O200</f>
        <v>0.899999999999999</v>
      </c>
    </row>
    <row r="201" customFormat="false" ht="15" hidden="false" customHeight="false" outlineLevel="0" collapsed="false">
      <c r="A201" s="47" t="n">
        <v>2</v>
      </c>
      <c r="B201" s="47" t="n">
        <v>32</v>
      </c>
      <c r="C201" s="70" t="s">
        <v>368</v>
      </c>
      <c r="D201" s="47" t="n">
        <v>6</v>
      </c>
      <c r="E201" s="67" t="n">
        <v>3.6</v>
      </c>
      <c r="F201" s="49" t="n">
        <v>2</v>
      </c>
      <c r="G201" s="67" t="n">
        <v>3.4</v>
      </c>
      <c r="H201" s="49" t="n">
        <v>1</v>
      </c>
      <c r="I201" s="20"/>
      <c r="J201" s="20"/>
      <c r="K201" s="20"/>
      <c r="L201" s="20"/>
      <c r="M201" s="34" t="n">
        <f aca="false">E201*F201+G201*H201+I201*J201+K201*L201</f>
        <v>10.6</v>
      </c>
      <c r="N201" s="34" t="n">
        <f aca="false">Исходные!$B$12-M201</f>
        <v>1.1</v>
      </c>
      <c r="O201" s="49" t="n">
        <v>1</v>
      </c>
      <c r="P201" s="47" t="n">
        <f aca="false">(F201+H201+J201+L201)*O201</f>
        <v>3</v>
      </c>
      <c r="Q201" s="68" t="n">
        <f aca="false">M201*O201</f>
        <v>10.6</v>
      </c>
      <c r="R201" s="68" t="n">
        <f aca="false">N201*O201</f>
        <v>1.1</v>
      </c>
    </row>
    <row r="202" customFormat="false" ht="15" hidden="false" customHeight="false" outlineLevel="0" collapsed="false">
      <c r="A202" s="47" t="n">
        <v>2</v>
      </c>
      <c r="B202" s="47" t="n">
        <v>32</v>
      </c>
      <c r="C202" s="70" t="s">
        <v>368</v>
      </c>
      <c r="D202" s="47" t="n">
        <v>7</v>
      </c>
      <c r="E202" s="67" t="n">
        <v>2.05</v>
      </c>
      <c r="F202" s="49" t="n">
        <v>5</v>
      </c>
      <c r="G202" s="20"/>
      <c r="H202" s="20"/>
      <c r="I202" s="20"/>
      <c r="J202" s="20"/>
      <c r="K202" s="20"/>
      <c r="L202" s="20"/>
      <c r="M202" s="34" t="n">
        <f aca="false">E202*F202+G202*H202+I202*J202+K202*L202</f>
        <v>10.25</v>
      </c>
      <c r="N202" s="34" t="n">
        <f aca="false">Исходные!$B$12-M202</f>
        <v>1.45</v>
      </c>
      <c r="O202" s="49" t="n">
        <v>1</v>
      </c>
      <c r="P202" s="47" t="n">
        <f aca="false">(F202+H202+J202+L202)*O202</f>
        <v>5</v>
      </c>
      <c r="Q202" s="68" t="n">
        <f aca="false">M202*O202</f>
        <v>10.25</v>
      </c>
      <c r="R202" s="68" t="n">
        <f aca="false">N202*O202</f>
        <v>1.45</v>
      </c>
    </row>
    <row r="203" customFormat="false" ht="15" hidden="false" customHeight="false" outlineLevel="0" collapsed="false">
      <c r="A203" s="47" t="n">
        <v>2</v>
      </c>
      <c r="B203" s="47" t="n">
        <v>32</v>
      </c>
      <c r="C203" s="70" t="s">
        <v>368</v>
      </c>
      <c r="D203" s="47" t="n">
        <v>8</v>
      </c>
      <c r="E203" s="67" t="n">
        <v>3.4</v>
      </c>
      <c r="F203" s="49" t="n">
        <v>1</v>
      </c>
      <c r="G203" s="67" t="n">
        <v>3.3</v>
      </c>
      <c r="H203" s="49" t="n">
        <v>2</v>
      </c>
      <c r="I203" s="20"/>
      <c r="J203" s="20"/>
      <c r="K203" s="20"/>
      <c r="L203" s="20"/>
      <c r="M203" s="34" t="n">
        <f aca="false">E203*F203+G203*H203+I203*J203+K203*L203</f>
        <v>10</v>
      </c>
      <c r="N203" s="34" t="n">
        <f aca="false">Исходные!$B$12-M203</f>
        <v>1.7</v>
      </c>
      <c r="O203" s="49" t="n">
        <v>1</v>
      </c>
      <c r="P203" s="47" t="n">
        <f aca="false">(F203+H203+J203+L203)*O203</f>
        <v>3</v>
      </c>
      <c r="Q203" s="68" t="n">
        <f aca="false">M203*O203</f>
        <v>10</v>
      </c>
      <c r="R203" s="68" t="n">
        <f aca="false">N203*O203</f>
        <v>1.7</v>
      </c>
    </row>
    <row r="204" customFormat="false" ht="15" hidden="false" customHeight="false" outlineLevel="0" collapsed="false">
      <c r="A204" s="47" t="n">
        <v>2</v>
      </c>
      <c r="B204" s="47" t="n">
        <v>32</v>
      </c>
      <c r="C204" s="70" t="s">
        <v>368</v>
      </c>
      <c r="D204" s="47" t="n">
        <v>9</v>
      </c>
      <c r="E204" s="67" t="n">
        <v>2.05</v>
      </c>
      <c r="F204" s="49" t="n">
        <v>1</v>
      </c>
      <c r="G204" s="20"/>
      <c r="H204" s="20"/>
      <c r="I204" s="20"/>
      <c r="J204" s="20"/>
      <c r="K204" s="20"/>
      <c r="L204" s="20"/>
      <c r="M204" s="34" t="n">
        <f aca="false">E204*F204+G204*H204+I204*J204+K204*L204</f>
        <v>2.05</v>
      </c>
      <c r="N204" s="34" t="n">
        <f aca="false">Исходные!$B$12-M204</f>
        <v>9.65</v>
      </c>
      <c r="O204" s="49" t="n">
        <v>1</v>
      </c>
      <c r="P204" s="47" t="n">
        <f aca="false">(F204+H204+J204+L204)*O204</f>
        <v>1</v>
      </c>
      <c r="Q204" s="68" t="n">
        <f aca="false">M204*O204</f>
        <v>2.05</v>
      </c>
      <c r="R204" s="68" t="n">
        <f aca="false">N204*O204</f>
        <v>9.65</v>
      </c>
    </row>
    <row r="205" customFormat="false" ht="15" hidden="false" customHeight="false" outlineLevel="0" collapsed="false">
      <c r="A205" s="47" t="n">
        <v>2</v>
      </c>
      <c r="B205" s="47" t="n">
        <v>28</v>
      </c>
      <c r="C205" s="70" t="s">
        <v>368</v>
      </c>
      <c r="D205" s="47" t="n">
        <v>1</v>
      </c>
      <c r="E205" s="67" t="n">
        <v>11.7</v>
      </c>
      <c r="F205" s="49" t="n">
        <v>1</v>
      </c>
      <c r="G205" s="20"/>
      <c r="H205" s="20"/>
      <c r="I205" s="20"/>
      <c r="J205" s="20"/>
      <c r="K205" s="20"/>
      <c r="L205" s="20"/>
      <c r="M205" s="34" t="n">
        <f aca="false">E205*F205+G205*H205+I205*J205+K205*L205</f>
        <v>11.7</v>
      </c>
      <c r="N205" s="34" t="n">
        <f aca="false">Исходные!$B$12-M205</f>
        <v>0</v>
      </c>
      <c r="O205" s="49" t="n">
        <v>52</v>
      </c>
      <c r="P205" s="47" t="n">
        <f aca="false">(F205+H205+J205+L205)*O205</f>
        <v>52</v>
      </c>
      <c r="Q205" s="68" t="n">
        <f aca="false">M205*O205</f>
        <v>608.4</v>
      </c>
      <c r="R205" s="68" t="n">
        <f aca="false">N205*O205</f>
        <v>0</v>
      </c>
    </row>
    <row r="206" customFormat="false" ht="15" hidden="false" customHeight="false" outlineLevel="0" collapsed="false">
      <c r="A206" s="47" t="n">
        <v>2</v>
      </c>
      <c r="B206" s="47" t="n">
        <v>28</v>
      </c>
      <c r="C206" s="70" t="s">
        <v>368</v>
      </c>
      <c r="D206" s="47" t="n">
        <v>2</v>
      </c>
      <c r="E206" s="67" t="n">
        <v>6.2</v>
      </c>
      <c r="F206" s="49" t="n">
        <v>1</v>
      </c>
      <c r="G206" s="67" t="n">
        <v>5.5</v>
      </c>
      <c r="H206" s="49" t="n">
        <v>1</v>
      </c>
      <c r="I206" s="20"/>
      <c r="J206" s="20"/>
      <c r="K206" s="20"/>
      <c r="L206" s="20"/>
      <c r="M206" s="34" t="n">
        <f aca="false">E206*F206+G206*H206+I206*J206+K206*L206</f>
        <v>11.7</v>
      </c>
      <c r="N206" s="34" t="n">
        <f aca="false">Исходные!$B$12-M206</f>
        <v>0</v>
      </c>
      <c r="O206" s="49" t="n">
        <v>2</v>
      </c>
      <c r="P206" s="47" t="n">
        <f aca="false">(F206+H206+J206+L206)*O206</f>
        <v>4</v>
      </c>
      <c r="Q206" s="68" t="n">
        <f aca="false">M206*O206</f>
        <v>23.4</v>
      </c>
      <c r="R206" s="68" t="n">
        <f aca="false">N206*O206</f>
        <v>0</v>
      </c>
    </row>
    <row r="207" customFormat="false" ht="15" hidden="false" customHeight="false" outlineLevel="0" collapsed="false">
      <c r="A207" s="47" t="n">
        <v>2</v>
      </c>
      <c r="B207" s="47" t="n">
        <v>28</v>
      </c>
      <c r="C207" s="70" t="s">
        <v>368</v>
      </c>
      <c r="D207" s="47" t="n">
        <v>3</v>
      </c>
      <c r="E207" s="67" t="n">
        <v>4.3</v>
      </c>
      <c r="F207" s="49" t="n">
        <v>2</v>
      </c>
      <c r="G207" s="67" t="n">
        <v>3</v>
      </c>
      <c r="H207" s="49" t="n">
        <v>1</v>
      </c>
      <c r="I207" s="20"/>
      <c r="J207" s="20"/>
      <c r="K207" s="20"/>
      <c r="L207" s="20"/>
      <c r="M207" s="34" t="n">
        <f aca="false">E207*F207+G207*H207+I207*J207+K207*L207</f>
        <v>11.6</v>
      </c>
      <c r="N207" s="34" t="n">
        <f aca="false">Исходные!$B$12-M207</f>
        <v>0.0999999999999996</v>
      </c>
      <c r="O207" s="49" t="n">
        <v>1</v>
      </c>
      <c r="P207" s="47" t="n">
        <f aca="false">(F207+H207+J207+L207)*O207</f>
        <v>3</v>
      </c>
      <c r="Q207" s="68" t="n">
        <f aca="false">M207*O207</f>
        <v>11.6</v>
      </c>
      <c r="R207" s="68" t="n">
        <f aca="false">N207*O207</f>
        <v>0.0999999999999996</v>
      </c>
    </row>
    <row r="208" customFormat="false" ht="15" hidden="false" customHeight="false" outlineLevel="0" collapsed="false">
      <c r="A208" s="47" t="n">
        <v>2</v>
      </c>
      <c r="B208" s="47" t="n">
        <v>28</v>
      </c>
      <c r="C208" s="70" t="s">
        <v>368</v>
      </c>
      <c r="D208" s="47" t="n">
        <v>4</v>
      </c>
      <c r="E208" s="67" t="n">
        <v>4.7</v>
      </c>
      <c r="F208" s="49" t="n">
        <v>2</v>
      </c>
      <c r="G208" s="67" t="n">
        <v>2.1</v>
      </c>
      <c r="H208" s="49" t="n">
        <v>1</v>
      </c>
      <c r="I208" s="20"/>
      <c r="J208" s="20"/>
      <c r="K208" s="20"/>
      <c r="L208" s="20"/>
      <c r="M208" s="34" t="n">
        <f aca="false">E208*F208+G208*H208+I208*J208+K208*L208</f>
        <v>11.5</v>
      </c>
      <c r="N208" s="34" t="n">
        <f aca="false">Исходные!$B$12-M208</f>
        <v>0.199999999999999</v>
      </c>
      <c r="O208" s="49" t="n">
        <v>2</v>
      </c>
      <c r="P208" s="47" t="n">
        <f aca="false">(F208+H208+J208+L208)*O208</f>
        <v>6</v>
      </c>
      <c r="Q208" s="68" t="n">
        <f aca="false">M208*O208</f>
        <v>23</v>
      </c>
      <c r="R208" s="68" t="n">
        <f aca="false">N208*O208</f>
        <v>0.399999999999999</v>
      </c>
    </row>
    <row r="209" customFormat="false" ht="15" hidden="false" customHeight="false" outlineLevel="0" collapsed="false">
      <c r="A209" s="47" t="n">
        <v>2</v>
      </c>
      <c r="B209" s="47" t="n">
        <v>28</v>
      </c>
      <c r="C209" s="70" t="s">
        <v>368</v>
      </c>
      <c r="D209" s="47" t="n">
        <v>5</v>
      </c>
      <c r="E209" s="67" t="n">
        <v>3.8</v>
      </c>
      <c r="F209" s="49" t="n">
        <v>3</v>
      </c>
      <c r="G209" s="20"/>
      <c r="H209" s="20"/>
      <c r="I209" s="20"/>
      <c r="J209" s="20"/>
      <c r="K209" s="20"/>
      <c r="L209" s="20"/>
      <c r="M209" s="34" t="n">
        <f aca="false">E209*F209+G209*H209+I209*J209+K209*L209</f>
        <v>11.4</v>
      </c>
      <c r="N209" s="34" t="n">
        <f aca="false">Исходные!$B$12-M209</f>
        <v>0.300000000000001</v>
      </c>
      <c r="O209" s="49" t="n">
        <v>2</v>
      </c>
      <c r="P209" s="47" t="n">
        <f aca="false">(F209+H209+J209+L209)*O209</f>
        <v>6</v>
      </c>
      <c r="Q209" s="68" t="n">
        <f aca="false">M209*O209</f>
        <v>22.8</v>
      </c>
      <c r="R209" s="68" t="n">
        <f aca="false">N209*O209</f>
        <v>0.600000000000001</v>
      </c>
    </row>
    <row r="210" customFormat="false" ht="15" hidden="false" customHeight="false" outlineLevel="0" collapsed="false">
      <c r="A210" s="47" t="n">
        <v>2</v>
      </c>
      <c r="B210" s="47" t="n">
        <v>28</v>
      </c>
      <c r="C210" s="70" t="s">
        <v>368</v>
      </c>
      <c r="D210" s="47" t="n">
        <v>6</v>
      </c>
      <c r="E210" s="67" t="n">
        <v>3.8</v>
      </c>
      <c r="F210" s="49" t="n">
        <v>2</v>
      </c>
      <c r="G210" s="67" t="n">
        <v>3.7</v>
      </c>
      <c r="H210" s="49" t="n">
        <v>1</v>
      </c>
      <c r="I210" s="20"/>
      <c r="J210" s="20"/>
      <c r="K210" s="20"/>
      <c r="L210" s="20"/>
      <c r="M210" s="34" t="n">
        <f aca="false">E210*F210+G210*H210+I210*J210+K210*L210</f>
        <v>11.3</v>
      </c>
      <c r="N210" s="34" t="n">
        <f aca="false">Исходные!$B$12-M210</f>
        <v>0.399999999999999</v>
      </c>
      <c r="O210" s="49" t="n">
        <v>1</v>
      </c>
      <c r="P210" s="47" t="n">
        <f aca="false">(F210+H210+J210+L210)*O210</f>
        <v>3</v>
      </c>
      <c r="Q210" s="68" t="n">
        <f aca="false">M210*O210</f>
        <v>11.3</v>
      </c>
      <c r="R210" s="68" t="n">
        <f aca="false">N210*O210</f>
        <v>0.399999999999999</v>
      </c>
    </row>
    <row r="211" customFormat="false" ht="15" hidden="false" customHeight="false" outlineLevel="0" collapsed="false">
      <c r="A211" s="47" t="n">
        <v>2</v>
      </c>
      <c r="B211" s="47" t="n">
        <v>28</v>
      </c>
      <c r="C211" s="70" t="s">
        <v>368</v>
      </c>
      <c r="D211" s="47" t="n">
        <v>7</v>
      </c>
      <c r="E211" s="67" t="n">
        <v>3</v>
      </c>
      <c r="F211" s="49" t="n">
        <v>1</v>
      </c>
      <c r="G211" s="67" t="n">
        <v>2.05</v>
      </c>
      <c r="H211" s="49" t="n">
        <v>4</v>
      </c>
      <c r="I211" s="20"/>
      <c r="J211" s="20"/>
      <c r="K211" s="20"/>
      <c r="L211" s="20"/>
      <c r="M211" s="34" t="n">
        <f aca="false">E211*F211+G211*H211+I211*J211+K211*L211</f>
        <v>11.2</v>
      </c>
      <c r="N211" s="34" t="n">
        <f aca="false">Исходные!$B$12-M211</f>
        <v>0.5</v>
      </c>
      <c r="O211" s="49" t="n">
        <v>1</v>
      </c>
      <c r="P211" s="47" t="n">
        <f aca="false">(F211+H211+J211+L211)*O211</f>
        <v>5</v>
      </c>
      <c r="Q211" s="68" t="n">
        <f aca="false">M211*O211</f>
        <v>11.2</v>
      </c>
      <c r="R211" s="68" t="n">
        <f aca="false">N211*O211</f>
        <v>0.5</v>
      </c>
    </row>
    <row r="212" customFormat="false" ht="15" hidden="false" customHeight="false" outlineLevel="0" collapsed="false">
      <c r="A212" s="47" t="n">
        <v>2</v>
      </c>
      <c r="B212" s="47" t="n">
        <v>28</v>
      </c>
      <c r="C212" s="70" t="s">
        <v>368</v>
      </c>
      <c r="D212" s="47" t="n">
        <v>8</v>
      </c>
      <c r="E212" s="67" t="n">
        <v>3.7</v>
      </c>
      <c r="F212" s="49" t="n">
        <v>3</v>
      </c>
      <c r="G212" s="20"/>
      <c r="H212" s="20"/>
      <c r="I212" s="20"/>
      <c r="J212" s="20"/>
      <c r="K212" s="20"/>
      <c r="L212" s="20"/>
      <c r="M212" s="34" t="n">
        <f aca="false">E212*F212+G212*H212+I212*J212+K212*L212</f>
        <v>11.1</v>
      </c>
      <c r="N212" s="34" t="n">
        <f aca="false">Исходные!$B$12-M212</f>
        <v>0.599999999999998</v>
      </c>
      <c r="O212" s="49" t="n">
        <v>1</v>
      </c>
      <c r="P212" s="47" t="n">
        <f aca="false">(F212+H212+J212+L212)*O212</f>
        <v>3</v>
      </c>
      <c r="Q212" s="68" t="n">
        <f aca="false">M212*O212</f>
        <v>11.1</v>
      </c>
      <c r="R212" s="68" t="n">
        <f aca="false">N212*O212</f>
        <v>0.599999999999998</v>
      </c>
    </row>
    <row r="213" customFormat="false" ht="15" hidden="false" customHeight="false" outlineLevel="0" collapsed="false">
      <c r="A213" s="47" t="n">
        <v>2</v>
      </c>
      <c r="B213" s="47" t="n">
        <v>28</v>
      </c>
      <c r="C213" s="70" t="s">
        <v>368</v>
      </c>
      <c r="D213" s="47" t="n">
        <v>9</v>
      </c>
      <c r="E213" s="67" t="n">
        <v>3.7</v>
      </c>
      <c r="F213" s="49" t="n">
        <v>2</v>
      </c>
      <c r="G213" s="67" t="n">
        <v>3.6</v>
      </c>
      <c r="H213" s="49" t="n">
        <v>1</v>
      </c>
      <c r="I213" s="20"/>
      <c r="J213" s="20"/>
      <c r="K213" s="20"/>
      <c r="L213" s="20"/>
      <c r="M213" s="34" t="n">
        <f aca="false">E213*F213+G213*H213+I213*J213+K213*L213</f>
        <v>11</v>
      </c>
      <c r="N213" s="34" t="n">
        <f aca="false">Исходные!$B$12-M213</f>
        <v>0.699999999999999</v>
      </c>
      <c r="O213" s="49" t="n">
        <v>1</v>
      </c>
      <c r="P213" s="47" t="n">
        <f aca="false">(F213+H213+J213+L213)*O213</f>
        <v>3</v>
      </c>
      <c r="Q213" s="68" t="n">
        <f aca="false">M213*O213</f>
        <v>11</v>
      </c>
      <c r="R213" s="68" t="n">
        <f aca="false">N213*O213</f>
        <v>0.699999999999999</v>
      </c>
    </row>
    <row r="214" customFormat="false" ht="15" hidden="false" customHeight="false" outlineLevel="0" collapsed="false">
      <c r="A214" s="47" t="n">
        <v>2</v>
      </c>
      <c r="B214" s="47" t="n">
        <v>28</v>
      </c>
      <c r="C214" s="70" t="s">
        <v>368</v>
      </c>
      <c r="D214" s="47" t="n">
        <v>10</v>
      </c>
      <c r="E214" s="67" t="n">
        <v>8.8</v>
      </c>
      <c r="F214" s="49" t="n">
        <v>1</v>
      </c>
      <c r="G214" s="67" t="n">
        <v>2.1</v>
      </c>
      <c r="H214" s="49" t="n">
        <v>1</v>
      </c>
      <c r="I214" s="20"/>
      <c r="J214" s="20"/>
      <c r="K214" s="20"/>
      <c r="L214" s="20"/>
      <c r="M214" s="34" t="n">
        <f aca="false">E214*F214+G214*H214+I214*J214+K214*L214</f>
        <v>10.9</v>
      </c>
      <c r="N214" s="34" t="n">
        <f aca="false">Исходные!$B$12-M214</f>
        <v>0.799999999999999</v>
      </c>
      <c r="O214" s="49" t="n">
        <v>14</v>
      </c>
      <c r="P214" s="47" t="n">
        <f aca="false">(F214+H214+J214+L214)*O214</f>
        <v>28</v>
      </c>
      <c r="Q214" s="68" t="n">
        <f aca="false">M214*O214</f>
        <v>152.6</v>
      </c>
      <c r="R214" s="68" t="n">
        <f aca="false">N214*O214</f>
        <v>11.2</v>
      </c>
    </row>
    <row r="215" customFormat="false" ht="15" hidden="false" customHeight="false" outlineLevel="0" collapsed="false">
      <c r="A215" s="47" t="n">
        <v>2</v>
      </c>
      <c r="B215" s="47" t="n">
        <v>28</v>
      </c>
      <c r="C215" s="70" t="s">
        <v>368</v>
      </c>
      <c r="D215" s="47" t="n">
        <v>11</v>
      </c>
      <c r="E215" s="67" t="n">
        <v>8.8</v>
      </c>
      <c r="F215" s="49" t="n">
        <v>1</v>
      </c>
      <c r="G215" s="67" t="n">
        <v>2.05</v>
      </c>
      <c r="H215" s="49" t="n">
        <v>1</v>
      </c>
      <c r="I215" s="20"/>
      <c r="J215" s="20"/>
      <c r="K215" s="20"/>
      <c r="L215" s="20"/>
      <c r="M215" s="34" t="n">
        <f aca="false">E215*F215+G215*H215+I215*J215+K215*L215</f>
        <v>10.85</v>
      </c>
      <c r="N215" s="34" t="n">
        <f aca="false">Исходные!$B$12-M215</f>
        <v>0.849999999999998</v>
      </c>
      <c r="O215" s="49" t="n">
        <v>6</v>
      </c>
      <c r="P215" s="47" t="n">
        <f aca="false">(F215+H215+J215+L215)*O215</f>
        <v>12</v>
      </c>
      <c r="Q215" s="68" t="n">
        <f aca="false">M215*O215</f>
        <v>65.1</v>
      </c>
      <c r="R215" s="68" t="n">
        <f aca="false">N215*O215</f>
        <v>5.09999999999999</v>
      </c>
    </row>
    <row r="216" customFormat="false" ht="15" hidden="false" customHeight="false" outlineLevel="0" collapsed="false">
      <c r="A216" s="47" t="n">
        <v>2</v>
      </c>
      <c r="B216" s="47" t="n">
        <v>28</v>
      </c>
      <c r="C216" s="70" t="s">
        <v>368</v>
      </c>
      <c r="D216" s="47" t="n">
        <v>12</v>
      </c>
      <c r="E216" s="67" t="n">
        <v>3.6</v>
      </c>
      <c r="F216" s="49" t="n">
        <v>3</v>
      </c>
      <c r="G216" s="20"/>
      <c r="H216" s="20"/>
      <c r="I216" s="20"/>
      <c r="J216" s="20"/>
      <c r="K216" s="20"/>
      <c r="L216" s="20"/>
      <c r="M216" s="34" t="n">
        <f aca="false">E216*F216+G216*H216+I216*J216+K216*L216</f>
        <v>10.8</v>
      </c>
      <c r="N216" s="34" t="n">
        <f aca="false">Исходные!$B$12-M216</f>
        <v>0.899999999999999</v>
      </c>
      <c r="O216" s="49" t="n">
        <v>27</v>
      </c>
      <c r="P216" s="47" t="n">
        <f aca="false">(F216+H216+J216+L216)*O216</f>
        <v>81</v>
      </c>
      <c r="Q216" s="68" t="n">
        <f aca="false">M216*O216</f>
        <v>291.6</v>
      </c>
      <c r="R216" s="68" t="n">
        <f aca="false">N216*O216</f>
        <v>24.3</v>
      </c>
    </row>
    <row r="217" customFormat="false" ht="15" hidden="false" customHeight="false" outlineLevel="0" collapsed="false">
      <c r="A217" s="47" t="n">
        <v>2</v>
      </c>
      <c r="B217" s="47" t="n">
        <v>28</v>
      </c>
      <c r="C217" s="70" t="s">
        <v>368</v>
      </c>
      <c r="D217" s="47" t="n">
        <v>13</v>
      </c>
      <c r="E217" s="67" t="n">
        <v>10.5</v>
      </c>
      <c r="F217" s="49" t="n">
        <v>1</v>
      </c>
      <c r="G217" s="20"/>
      <c r="H217" s="20"/>
      <c r="I217" s="20"/>
      <c r="J217" s="20"/>
      <c r="K217" s="20"/>
      <c r="L217" s="20"/>
      <c r="M217" s="34" t="n">
        <f aca="false">E217*F217+G217*H217+I217*J217+K217*L217</f>
        <v>10.5</v>
      </c>
      <c r="N217" s="34" t="n">
        <f aca="false">Исходные!$B$12-M217</f>
        <v>1.2</v>
      </c>
      <c r="O217" s="49" t="n">
        <v>2</v>
      </c>
      <c r="P217" s="47" t="n">
        <f aca="false">(F217+H217+J217+L217)*O217</f>
        <v>2</v>
      </c>
      <c r="Q217" s="68" t="n">
        <f aca="false">M217*O217</f>
        <v>21</v>
      </c>
      <c r="R217" s="68" t="n">
        <f aca="false">N217*O217</f>
        <v>2.4</v>
      </c>
    </row>
    <row r="218" customFormat="false" ht="15" hidden="false" customHeight="false" outlineLevel="0" collapsed="false">
      <c r="A218" s="47" t="n">
        <v>2</v>
      </c>
      <c r="B218" s="47" t="n">
        <v>25</v>
      </c>
      <c r="C218" s="70" t="s">
        <v>368</v>
      </c>
      <c r="D218" s="47" t="n">
        <v>1</v>
      </c>
      <c r="E218" s="67" t="n">
        <v>11.7</v>
      </c>
      <c r="F218" s="49" t="n">
        <v>1</v>
      </c>
      <c r="G218" s="20"/>
      <c r="H218" s="20"/>
      <c r="I218" s="20"/>
      <c r="J218" s="20"/>
      <c r="K218" s="20"/>
      <c r="L218" s="20"/>
      <c r="M218" s="34" t="n">
        <f aca="false">E218*F218+G218*H218+I218*J218+K218*L218</f>
        <v>11.7</v>
      </c>
      <c r="N218" s="34" t="n">
        <f aca="false">Исходные!$B$12-M218</f>
        <v>0</v>
      </c>
      <c r="O218" s="49" t="n">
        <v>40</v>
      </c>
      <c r="P218" s="47" t="n">
        <f aca="false">(F218+H218+J218+L218)*O218</f>
        <v>40</v>
      </c>
      <c r="Q218" s="68" t="n">
        <f aca="false">M218*O218</f>
        <v>468</v>
      </c>
      <c r="R218" s="68" t="n">
        <f aca="false">N218*O218</f>
        <v>0</v>
      </c>
    </row>
    <row r="219" customFormat="false" ht="15" hidden="false" customHeight="false" outlineLevel="0" collapsed="false">
      <c r="A219" s="47" t="n">
        <v>2</v>
      </c>
      <c r="B219" s="47" t="n">
        <v>25</v>
      </c>
      <c r="C219" s="70" t="s">
        <v>368</v>
      </c>
      <c r="D219" s="47" t="n">
        <v>2</v>
      </c>
      <c r="E219" s="67" t="n">
        <v>4.3</v>
      </c>
      <c r="F219" s="49" t="n">
        <v>2</v>
      </c>
      <c r="G219" s="67" t="n">
        <v>3.065</v>
      </c>
      <c r="H219" s="49" t="n">
        <v>1</v>
      </c>
      <c r="I219" s="20"/>
      <c r="J219" s="20"/>
      <c r="K219" s="20"/>
      <c r="L219" s="20"/>
      <c r="M219" s="34" t="n">
        <f aca="false">E219*F219+G219*H219+I219*J219+K219*L219</f>
        <v>11.665</v>
      </c>
      <c r="N219" s="34" t="n">
        <f aca="false">Исходные!$B$12-M219</f>
        <v>0.0350000000000001</v>
      </c>
      <c r="O219" s="49" t="n">
        <v>1</v>
      </c>
      <c r="P219" s="47" t="n">
        <f aca="false">(F219+H219+J219+L219)*O219</f>
        <v>3</v>
      </c>
      <c r="Q219" s="68" t="n">
        <f aca="false">M219*O219</f>
        <v>11.665</v>
      </c>
      <c r="R219" s="68" t="n">
        <f aca="false">N219*O219</f>
        <v>0.0350000000000001</v>
      </c>
    </row>
    <row r="220" customFormat="false" ht="15" hidden="false" customHeight="false" outlineLevel="0" collapsed="false">
      <c r="A220" s="47" t="n">
        <v>2</v>
      </c>
      <c r="B220" s="47" t="n">
        <v>25</v>
      </c>
      <c r="C220" s="70" t="s">
        <v>368</v>
      </c>
      <c r="D220" s="47" t="n">
        <v>3</v>
      </c>
      <c r="E220" s="67" t="n">
        <v>7.85</v>
      </c>
      <c r="F220" s="49" t="n">
        <v>1</v>
      </c>
      <c r="G220" s="67" t="n">
        <v>3.8</v>
      </c>
      <c r="H220" s="49" t="n">
        <v>1</v>
      </c>
      <c r="I220" s="20"/>
      <c r="J220" s="20"/>
      <c r="K220" s="20"/>
      <c r="L220" s="20"/>
      <c r="M220" s="34" t="n">
        <f aca="false">E220*F220+G220*H220+I220*J220+K220*L220</f>
        <v>11.65</v>
      </c>
      <c r="N220" s="34" t="n">
        <f aca="false">Исходные!$B$12-M220</f>
        <v>0.0500000000000007</v>
      </c>
      <c r="O220" s="49" t="n">
        <v>4</v>
      </c>
      <c r="P220" s="47" t="n">
        <f aca="false">(F220+H220+J220+L220)*O220</f>
        <v>8</v>
      </c>
      <c r="Q220" s="68" t="n">
        <f aca="false">M220*O220</f>
        <v>46.6</v>
      </c>
      <c r="R220" s="68" t="n">
        <f aca="false">N220*O220</f>
        <v>0.200000000000003</v>
      </c>
    </row>
    <row r="221" customFormat="false" ht="15" hidden="false" customHeight="false" outlineLevel="0" collapsed="false">
      <c r="A221" s="47" t="n">
        <v>2</v>
      </c>
      <c r="B221" s="47" t="n">
        <v>25</v>
      </c>
      <c r="C221" s="70" t="s">
        <v>368</v>
      </c>
      <c r="D221" s="47" t="n">
        <v>4</v>
      </c>
      <c r="E221" s="67" t="n">
        <v>3.365</v>
      </c>
      <c r="F221" s="49" t="n">
        <v>2</v>
      </c>
      <c r="G221" s="67" t="n">
        <v>3.065</v>
      </c>
      <c r="H221" s="49" t="n">
        <v>1</v>
      </c>
      <c r="I221" s="67" t="n">
        <v>1.85</v>
      </c>
      <c r="J221" s="49" t="n">
        <v>1</v>
      </c>
      <c r="K221" s="20"/>
      <c r="L221" s="20"/>
      <c r="M221" s="34" t="n">
        <f aca="false">E221*F221+G221*H221+I221*J221+K221*L221</f>
        <v>11.645</v>
      </c>
      <c r="N221" s="34" t="n">
        <f aca="false">Исходные!$B$12-M221</f>
        <v>0.0549999999999997</v>
      </c>
      <c r="O221" s="49" t="n">
        <v>1</v>
      </c>
      <c r="P221" s="47" t="n">
        <f aca="false">(F221+H221+J221+L221)*O221</f>
        <v>4</v>
      </c>
      <c r="Q221" s="68" t="n">
        <f aca="false">M221*O221</f>
        <v>11.645</v>
      </c>
      <c r="R221" s="68" t="n">
        <f aca="false">N221*O221</f>
        <v>0.0549999999999997</v>
      </c>
    </row>
    <row r="222" customFormat="false" ht="15" hidden="false" customHeight="false" outlineLevel="0" collapsed="false">
      <c r="A222" s="47" t="n">
        <v>2</v>
      </c>
      <c r="B222" s="47" t="n">
        <v>25</v>
      </c>
      <c r="C222" s="70" t="s">
        <v>368</v>
      </c>
      <c r="D222" s="47" t="n">
        <v>5</v>
      </c>
      <c r="E222" s="67" t="n">
        <v>4.7</v>
      </c>
      <c r="F222" s="49" t="n">
        <v>2</v>
      </c>
      <c r="G222" s="67" t="n">
        <v>2.21</v>
      </c>
      <c r="H222" s="49" t="n">
        <v>1</v>
      </c>
      <c r="I222" s="20"/>
      <c r="J222" s="20"/>
      <c r="K222" s="20"/>
      <c r="L222" s="20"/>
      <c r="M222" s="34" t="n">
        <f aca="false">E222*F222+G222*H222+I222*J222+K222*L222</f>
        <v>11.61</v>
      </c>
      <c r="N222" s="34" t="n">
        <f aca="false">Исходные!$B$12-M222</f>
        <v>0.0899999999999999</v>
      </c>
      <c r="O222" s="49" t="n">
        <v>1</v>
      </c>
      <c r="P222" s="47" t="n">
        <f aca="false">(F222+H222+J222+L222)*O222</f>
        <v>3</v>
      </c>
      <c r="Q222" s="68" t="n">
        <f aca="false">M222*O222</f>
        <v>11.61</v>
      </c>
      <c r="R222" s="68" t="n">
        <f aca="false">N222*O222</f>
        <v>0.0899999999999999</v>
      </c>
    </row>
    <row r="223" customFormat="false" ht="15" hidden="false" customHeight="false" outlineLevel="0" collapsed="false">
      <c r="A223" s="47" t="n">
        <v>2</v>
      </c>
      <c r="B223" s="47" t="n">
        <v>25</v>
      </c>
      <c r="C223" s="70" t="s">
        <v>368</v>
      </c>
      <c r="D223" s="47" t="n">
        <v>6</v>
      </c>
      <c r="E223" s="67" t="n">
        <v>4.5</v>
      </c>
      <c r="F223" s="49" t="n">
        <v>2</v>
      </c>
      <c r="G223" s="67" t="n">
        <v>2.4</v>
      </c>
      <c r="H223" s="49" t="n">
        <v>1</v>
      </c>
      <c r="I223" s="67" t="n">
        <v>0.2</v>
      </c>
      <c r="J223" s="49" t="n">
        <v>1</v>
      </c>
      <c r="K223" s="20"/>
      <c r="L223" s="20"/>
      <c r="M223" s="34" t="n">
        <f aca="false">E223*F223+G223*H223+I223*J223+K223*L223</f>
        <v>11.6</v>
      </c>
      <c r="N223" s="34" t="n">
        <f aca="false">Исходные!$B$12-M223</f>
        <v>0.0999999999999996</v>
      </c>
      <c r="O223" s="49" t="n">
        <v>1</v>
      </c>
      <c r="P223" s="47" t="n">
        <f aca="false">(F223+H223+J223+L223)*O223</f>
        <v>4</v>
      </c>
      <c r="Q223" s="68" t="n">
        <f aca="false">M223*O223</f>
        <v>11.6</v>
      </c>
      <c r="R223" s="68" t="n">
        <f aca="false">N223*O223</f>
        <v>0.0999999999999996</v>
      </c>
    </row>
    <row r="224" customFormat="false" ht="15" hidden="false" customHeight="false" outlineLevel="0" collapsed="false">
      <c r="A224" s="47" t="n">
        <v>2</v>
      </c>
      <c r="B224" s="47" t="n">
        <v>25</v>
      </c>
      <c r="C224" s="70" t="s">
        <v>368</v>
      </c>
      <c r="D224" s="47" t="n">
        <v>7</v>
      </c>
      <c r="E224" s="67" t="n">
        <v>3.785</v>
      </c>
      <c r="F224" s="49" t="n">
        <v>3</v>
      </c>
      <c r="G224" s="67" t="n">
        <v>0.2</v>
      </c>
      <c r="H224" s="49" t="n">
        <v>1</v>
      </c>
      <c r="I224" s="20"/>
      <c r="J224" s="20"/>
      <c r="K224" s="20"/>
      <c r="L224" s="20"/>
      <c r="M224" s="34" t="n">
        <f aca="false">E224*F224+G224*H224+I224*J224+K224*L224</f>
        <v>11.555</v>
      </c>
      <c r="N224" s="34" t="n">
        <f aca="false">Исходные!$B$12-M224</f>
        <v>0.145</v>
      </c>
      <c r="O224" s="49" t="n">
        <v>1</v>
      </c>
      <c r="P224" s="47" t="n">
        <f aca="false">(F224+H224+J224+L224)*O224</f>
        <v>4</v>
      </c>
      <c r="Q224" s="68" t="n">
        <f aca="false">M224*O224</f>
        <v>11.555</v>
      </c>
      <c r="R224" s="68" t="n">
        <f aca="false">N224*O224</f>
        <v>0.145</v>
      </c>
    </row>
    <row r="225" customFormat="false" ht="15" hidden="false" customHeight="false" outlineLevel="0" collapsed="false">
      <c r="A225" s="47" t="n">
        <v>2</v>
      </c>
      <c r="B225" s="47" t="n">
        <v>25</v>
      </c>
      <c r="C225" s="70" t="s">
        <v>368</v>
      </c>
      <c r="D225" s="47" t="n">
        <v>8</v>
      </c>
      <c r="E225" s="67" t="n">
        <v>8.7</v>
      </c>
      <c r="F225" s="49" t="n">
        <v>1</v>
      </c>
      <c r="G225" s="67" t="n">
        <v>2.4</v>
      </c>
      <c r="H225" s="49" t="n">
        <v>1</v>
      </c>
      <c r="I225" s="67" t="n">
        <v>0.2</v>
      </c>
      <c r="J225" s="49" t="n">
        <v>2</v>
      </c>
      <c r="K225" s="20"/>
      <c r="L225" s="20"/>
      <c r="M225" s="34" t="n">
        <f aca="false">E225*F225+G225*H225+I225*J225+K225*L225</f>
        <v>11.5</v>
      </c>
      <c r="N225" s="34" t="n">
        <f aca="false">Исходные!$B$12-M225</f>
        <v>0.199999999999999</v>
      </c>
      <c r="O225" s="49" t="n">
        <v>1</v>
      </c>
      <c r="P225" s="47" t="n">
        <f aca="false">(F225+H225+J225+L225)*O225</f>
        <v>4</v>
      </c>
      <c r="Q225" s="68" t="n">
        <f aca="false">M225*O225</f>
        <v>11.5</v>
      </c>
      <c r="R225" s="68" t="n">
        <f aca="false">N225*O225</f>
        <v>0.199999999999999</v>
      </c>
    </row>
    <row r="226" customFormat="false" ht="15" hidden="false" customHeight="false" outlineLevel="0" collapsed="false">
      <c r="A226" s="47" t="n">
        <v>2</v>
      </c>
      <c r="B226" s="47" t="n">
        <v>25</v>
      </c>
      <c r="C226" s="70" t="s">
        <v>368</v>
      </c>
      <c r="D226" s="47" t="n">
        <v>9</v>
      </c>
      <c r="E226" s="67" t="n">
        <v>8.7</v>
      </c>
      <c r="F226" s="49" t="n">
        <v>1</v>
      </c>
      <c r="G226" s="67" t="n">
        <v>2.4</v>
      </c>
      <c r="H226" s="49" t="n">
        <v>1</v>
      </c>
      <c r="I226" s="20"/>
      <c r="J226" s="20"/>
      <c r="K226" s="20"/>
      <c r="L226" s="20"/>
      <c r="M226" s="34" t="n">
        <f aca="false">E226*F226+G226*H226+I226*J226+K226*L226</f>
        <v>11.1</v>
      </c>
      <c r="N226" s="34" t="n">
        <f aca="false">Исходные!$B$12-M226</f>
        <v>0.6</v>
      </c>
      <c r="O226" s="49" t="n">
        <v>2</v>
      </c>
      <c r="P226" s="47" t="n">
        <f aca="false">(F226+H226+J226+L226)*O226</f>
        <v>4</v>
      </c>
      <c r="Q226" s="68" t="n">
        <f aca="false">M226*O226</f>
        <v>22.2</v>
      </c>
      <c r="R226" s="68" t="n">
        <f aca="false">N226*O226</f>
        <v>1.2</v>
      </c>
    </row>
    <row r="227" customFormat="false" ht="15" hidden="false" customHeight="false" outlineLevel="0" collapsed="false">
      <c r="A227" s="47" t="n">
        <v>2</v>
      </c>
      <c r="B227" s="47" t="n">
        <v>25</v>
      </c>
      <c r="C227" s="70" t="s">
        <v>368</v>
      </c>
      <c r="D227" s="47" t="n">
        <v>10</v>
      </c>
      <c r="E227" s="67" t="n">
        <v>5.5</v>
      </c>
      <c r="F227" s="49" t="n">
        <v>2</v>
      </c>
      <c r="G227" s="20"/>
      <c r="H227" s="20"/>
      <c r="I227" s="20"/>
      <c r="J227" s="20"/>
      <c r="K227" s="20"/>
      <c r="L227" s="20"/>
      <c r="M227" s="34" t="n">
        <f aca="false">E227*F227+G227*H227+I227*J227+K227*L227</f>
        <v>11</v>
      </c>
      <c r="N227" s="34" t="n">
        <f aca="false">Исходные!$B$12-M227</f>
        <v>0.699999999999999</v>
      </c>
      <c r="O227" s="49" t="n">
        <v>2</v>
      </c>
      <c r="P227" s="47" t="n">
        <f aca="false">(F227+H227+J227+L227)*O227</f>
        <v>4</v>
      </c>
      <c r="Q227" s="68" t="n">
        <f aca="false">M227*O227</f>
        <v>22</v>
      </c>
      <c r="R227" s="68" t="n">
        <f aca="false">N227*O227</f>
        <v>1.4</v>
      </c>
    </row>
    <row r="228" customFormat="false" ht="15" hidden="false" customHeight="false" outlineLevel="0" collapsed="false">
      <c r="A228" s="47" t="n">
        <v>2</v>
      </c>
      <c r="B228" s="47" t="n">
        <v>25</v>
      </c>
      <c r="C228" s="70" t="s">
        <v>368</v>
      </c>
      <c r="D228" s="47" t="n">
        <v>11</v>
      </c>
      <c r="E228" s="67" t="n">
        <v>3.785</v>
      </c>
      <c r="F228" s="49" t="n">
        <v>1</v>
      </c>
      <c r="G228" s="67" t="n">
        <v>3.6</v>
      </c>
      <c r="H228" s="49" t="n">
        <v>2</v>
      </c>
      <c r="I228" s="20"/>
      <c r="J228" s="20"/>
      <c r="K228" s="20"/>
      <c r="L228" s="20"/>
      <c r="M228" s="34" t="n">
        <f aca="false">E228*F228+G228*H228+I228*J228+K228*L228</f>
        <v>10.985</v>
      </c>
      <c r="N228" s="34" t="n">
        <f aca="false">Исходные!$B$12-M228</f>
        <v>0.715</v>
      </c>
      <c r="O228" s="49" t="n">
        <v>1</v>
      </c>
      <c r="P228" s="47" t="n">
        <f aca="false">(F228+H228+J228+L228)*O228</f>
        <v>3</v>
      </c>
      <c r="Q228" s="68" t="n">
        <f aca="false">M228*O228</f>
        <v>10.985</v>
      </c>
      <c r="R228" s="68" t="n">
        <f aca="false">N228*O228</f>
        <v>0.715</v>
      </c>
    </row>
    <row r="229" customFormat="false" ht="15" hidden="false" customHeight="false" outlineLevel="0" collapsed="false">
      <c r="A229" s="47" t="n">
        <v>2</v>
      </c>
      <c r="B229" s="47" t="n">
        <v>25</v>
      </c>
      <c r="C229" s="70" t="s">
        <v>368</v>
      </c>
      <c r="D229" s="47" t="n">
        <v>12</v>
      </c>
      <c r="E229" s="67" t="n">
        <v>8.7</v>
      </c>
      <c r="F229" s="49" t="n">
        <v>1</v>
      </c>
      <c r="G229" s="67" t="n">
        <v>2.21</v>
      </c>
      <c r="H229" s="49" t="n">
        <v>1</v>
      </c>
      <c r="I229" s="20"/>
      <c r="J229" s="20"/>
      <c r="K229" s="20"/>
      <c r="L229" s="20"/>
      <c r="M229" s="34" t="n">
        <f aca="false">E229*F229+G229*H229+I229*J229+K229*L229</f>
        <v>10.91</v>
      </c>
      <c r="N229" s="34" t="n">
        <f aca="false">Исходные!$B$12-M229</f>
        <v>0.789999999999999</v>
      </c>
      <c r="O229" s="49" t="n">
        <v>3</v>
      </c>
      <c r="P229" s="47" t="n">
        <f aca="false">(F229+H229+J229+L229)*O229</f>
        <v>6</v>
      </c>
      <c r="Q229" s="68" t="n">
        <f aca="false">M229*O229</f>
        <v>32.73</v>
      </c>
      <c r="R229" s="68" t="n">
        <f aca="false">N229*O229</f>
        <v>2.37</v>
      </c>
    </row>
    <row r="230" customFormat="false" ht="15" hidden="false" customHeight="false" outlineLevel="0" collapsed="false">
      <c r="A230" s="47" t="n">
        <v>2</v>
      </c>
      <c r="B230" s="47" t="n">
        <v>25</v>
      </c>
      <c r="C230" s="70" t="s">
        <v>368</v>
      </c>
      <c r="D230" s="47" t="n">
        <v>13</v>
      </c>
      <c r="E230" s="67" t="n">
        <v>8.7</v>
      </c>
      <c r="F230" s="49" t="n">
        <v>1</v>
      </c>
      <c r="G230" s="67" t="n">
        <v>2.2</v>
      </c>
      <c r="H230" s="49" t="n">
        <v>1</v>
      </c>
      <c r="I230" s="20"/>
      <c r="J230" s="20"/>
      <c r="K230" s="20"/>
      <c r="L230" s="20"/>
      <c r="M230" s="34" t="n">
        <f aca="false">E230*F230+G230*H230+I230*J230+K230*L230</f>
        <v>10.9</v>
      </c>
      <c r="N230" s="34" t="n">
        <f aca="false">Исходные!$B$12-M230</f>
        <v>0.800000000000001</v>
      </c>
      <c r="O230" s="49" t="n">
        <v>6</v>
      </c>
      <c r="P230" s="47" t="n">
        <f aca="false">(F230+H230+J230+L230)*O230</f>
        <v>12</v>
      </c>
      <c r="Q230" s="68" t="n">
        <f aca="false">M230*O230</f>
        <v>65.4</v>
      </c>
      <c r="R230" s="68" t="n">
        <f aca="false">N230*O230</f>
        <v>4.8</v>
      </c>
    </row>
    <row r="231" customFormat="false" ht="15" hidden="false" customHeight="false" outlineLevel="0" collapsed="false">
      <c r="A231" s="47" t="n">
        <v>2</v>
      </c>
      <c r="B231" s="47" t="n">
        <v>25</v>
      </c>
      <c r="C231" s="70" t="s">
        <v>368</v>
      </c>
      <c r="D231" s="47" t="n">
        <v>14</v>
      </c>
      <c r="E231" s="67" t="n">
        <v>3.6</v>
      </c>
      <c r="F231" s="49" t="n">
        <v>3</v>
      </c>
      <c r="G231" s="20"/>
      <c r="H231" s="20"/>
      <c r="I231" s="20"/>
      <c r="J231" s="20"/>
      <c r="K231" s="20"/>
      <c r="L231" s="20"/>
      <c r="M231" s="34" t="n">
        <f aca="false">E231*F231+G231*H231+I231*J231+K231*L231</f>
        <v>10.8</v>
      </c>
      <c r="N231" s="34" t="n">
        <f aca="false">Исходные!$B$12-M231</f>
        <v>0.899999999999999</v>
      </c>
      <c r="O231" s="49" t="n">
        <v>19</v>
      </c>
      <c r="P231" s="47" t="n">
        <f aca="false">(F231+H231+J231+L231)*O231</f>
        <v>57</v>
      </c>
      <c r="Q231" s="68" t="n">
        <f aca="false">M231*O231</f>
        <v>205.2</v>
      </c>
      <c r="R231" s="68" t="n">
        <f aca="false">N231*O231</f>
        <v>17.1</v>
      </c>
    </row>
    <row r="232" customFormat="false" ht="15" hidden="false" customHeight="false" outlineLevel="0" collapsed="false">
      <c r="A232" s="47" t="n">
        <v>2</v>
      </c>
      <c r="B232" s="47" t="n">
        <v>25</v>
      </c>
      <c r="C232" s="70" t="s">
        <v>368</v>
      </c>
      <c r="D232" s="47" t="n">
        <v>15</v>
      </c>
      <c r="E232" s="67" t="n">
        <v>3.065</v>
      </c>
      <c r="F232" s="49" t="n">
        <v>2</v>
      </c>
      <c r="G232" s="67" t="n">
        <v>2.2</v>
      </c>
      <c r="H232" s="49" t="n">
        <v>2</v>
      </c>
      <c r="I232" s="20"/>
      <c r="J232" s="20"/>
      <c r="K232" s="20"/>
      <c r="L232" s="20"/>
      <c r="M232" s="34" t="n">
        <f aca="false">E232*F232+G232*H232+I232*J232+K232*L232</f>
        <v>10.53</v>
      </c>
      <c r="N232" s="34" t="n">
        <f aca="false">Исходные!$B$12-M232</f>
        <v>1.17</v>
      </c>
      <c r="O232" s="49" t="n">
        <v>1</v>
      </c>
      <c r="P232" s="47" t="n">
        <f aca="false">(F232+H232+J232+L232)*O232</f>
        <v>4</v>
      </c>
      <c r="Q232" s="68" t="n">
        <f aca="false">M232*O232</f>
        <v>10.53</v>
      </c>
      <c r="R232" s="68" t="n">
        <f aca="false">N232*O232</f>
        <v>1.17</v>
      </c>
    </row>
    <row r="233" customFormat="false" ht="15" hidden="false" customHeight="false" outlineLevel="0" collapsed="false">
      <c r="A233" s="47" t="n">
        <v>2</v>
      </c>
      <c r="B233" s="47" t="n">
        <v>25</v>
      </c>
      <c r="C233" s="70" t="s">
        <v>368</v>
      </c>
      <c r="D233" s="47" t="n">
        <v>16</v>
      </c>
      <c r="E233" s="67" t="n">
        <v>3.6</v>
      </c>
      <c r="F233" s="49" t="n">
        <v>1</v>
      </c>
      <c r="G233" s="67" t="n">
        <v>3.365</v>
      </c>
      <c r="H233" s="49" t="n">
        <v>2</v>
      </c>
      <c r="I233" s="20"/>
      <c r="J233" s="20"/>
      <c r="K233" s="20"/>
      <c r="L233" s="20"/>
      <c r="M233" s="34" t="n">
        <f aca="false">E233*F233+G233*H233+I233*J233+K233*L233</f>
        <v>10.33</v>
      </c>
      <c r="N233" s="34" t="n">
        <f aca="false">Исходные!$B$12-M233</f>
        <v>1.37</v>
      </c>
      <c r="O233" s="49" t="n">
        <v>1</v>
      </c>
      <c r="P233" s="47" t="n">
        <f aca="false">(F233+H233+J233+L233)*O233</f>
        <v>3</v>
      </c>
      <c r="Q233" s="68" t="n">
        <f aca="false">M233*O233</f>
        <v>10.33</v>
      </c>
      <c r="R233" s="68" t="n">
        <f aca="false">N233*O233</f>
        <v>1.37</v>
      </c>
    </row>
    <row r="234" customFormat="false" ht="15" hidden="false" customHeight="false" outlineLevel="0" collapsed="false">
      <c r="A234" s="47" t="n">
        <v>2</v>
      </c>
      <c r="B234" s="47" t="n">
        <v>25</v>
      </c>
      <c r="C234" s="70" t="s">
        <v>368</v>
      </c>
      <c r="D234" s="47" t="n">
        <v>17</v>
      </c>
      <c r="E234" s="67" t="n">
        <v>2.05</v>
      </c>
      <c r="F234" s="49" t="n">
        <v>5</v>
      </c>
      <c r="G234" s="20"/>
      <c r="H234" s="20"/>
      <c r="I234" s="20"/>
      <c r="J234" s="20"/>
      <c r="K234" s="20"/>
      <c r="L234" s="20"/>
      <c r="M234" s="34" t="n">
        <f aca="false">E234*F234+G234*H234+I234*J234+K234*L234</f>
        <v>10.25</v>
      </c>
      <c r="N234" s="34" t="n">
        <f aca="false">Исходные!$B$12-M234</f>
        <v>1.45</v>
      </c>
      <c r="O234" s="49" t="n">
        <v>1</v>
      </c>
      <c r="P234" s="47" t="n">
        <f aca="false">(F234+H234+J234+L234)*O234</f>
        <v>5</v>
      </c>
      <c r="Q234" s="68" t="n">
        <f aca="false">M234*O234</f>
        <v>10.25</v>
      </c>
      <c r="R234" s="68" t="n">
        <f aca="false">N234*O234</f>
        <v>1.45</v>
      </c>
    </row>
    <row r="235" customFormat="false" ht="15" hidden="false" customHeight="false" outlineLevel="0" collapsed="false">
      <c r="A235" s="47" t="n">
        <v>2</v>
      </c>
      <c r="B235" s="47" t="n">
        <v>25</v>
      </c>
      <c r="C235" s="70" t="s">
        <v>368</v>
      </c>
      <c r="D235" s="47" t="n">
        <v>18</v>
      </c>
      <c r="E235" s="67" t="n">
        <v>2.05</v>
      </c>
      <c r="F235" s="49" t="n">
        <v>3</v>
      </c>
      <c r="G235" s="67" t="n">
        <v>2</v>
      </c>
      <c r="H235" s="49" t="n">
        <v>2</v>
      </c>
      <c r="I235" s="20"/>
      <c r="J235" s="20"/>
      <c r="K235" s="20"/>
      <c r="L235" s="20"/>
      <c r="M235" s="34" t="n">
        <f aca="false">E235*F235+G235*H235+I235*J235+K235*L235</f>
        <v>10.15</v>
      </c>
      <c r="N235" s="34" t="n">
        <f aca="false">Исходные!$B$12-M235</f>
        <v>1.55</v>
      </c>
      <c r="O235" s="49" t="n">
        <v>1</v>
      </c>
      <c r="P235" s="47" t="n">
        <f aca="false">(F235+H235+J235+L235)*O235</f>
        <v>5</v>
      </c>
      <c r="Q235" s="68" t="n">
        <f aca="false">M235*O235</f>
        <v>10.15</v>
      </c>
      <c r="R235" s="68" t="n">
        <f aca="false">N235*O235</f>
        <v>1.55</v>
      </c>
    </row>
    <row r="236" customFormat="false" ht="15" hidden="false" customHeight="false" outlineLevel="0" collapsed="false">
      <c r="A236" s="47" t="n">
        <v>2</v>
      </c>
      <c r="B236" s="47" t="n">
        <v>25</v>
      </c>
      <c r="C236" s="70" t="s">
        <v>368</v>
      </c>
      <c r="D236" s="47" t="n">
        <v>19</v>
      </c>
      <c r="E236" s="67" t="n">
        <v>2</v>
      </c>
      <c r="F236" s="49" t="n">
        <v>5</v>
      </c>
      <c r="G236" s="20"/>
      <c r="H236" s="20"/>
      <c r="I236" s="20"/>
      <c r="J236" s="20"/>
      <c r="K236" s="20"/>
      <c r="L236" s="20"/>
      <c r="M236" s="34" t="n">
        <f aca="false">E236*F236+G236*H236+I236*J236+K236*L236</f>
        <v>10</v>
      </c>
      <c r="N236" s="34" t="n">
        <f aca="false">Исходные!$B$12-M236</f>
        <v>1.7</v>
      </c>
      <c r="O236" s="49" t="n">
        <v>1</v>
      </c>
      <c r="P236" s="47" t="n">
        <f aca="false">(F236+H236+J236+L236)*O236</f>
        <v>5</v>
      </c>
      <c r="Q236" s="68" t="n">
        <f aca="false">M236*O236</f>
        <v>10</v>
      </c>
      <c r="R236" s="68" t="n">
        <f aca="false">N236*O236</f>
        <v>1.7</v>
      </c>
    </row>
    <row r="237" customFormat="false" ht="15" hidden="false" customHeight="false" outlineLevel="0" collapsed="false">
      <c r="A237" s="47" t="n">
        <v>2</v>
      </c>
      <c r="B237" s="47" t="n">
        <v>25</v>
      </c>
      <c r="C237" s="70" t="s">
        <v>368</v>
      </c>
      <c r="D237" s="47" t="n">
        <v>20</v>
      </c>
      <c r="E237" s="67" t="n">
        <v>2</v>
      </c>
      <c r="F237" s="49" t="n">
        <v>1</v>
      </c>
      <c r="G237" s="67" t="n">
        <v>1.85</v>
      </c>
      <c r="H237" s="49" t="n">
        <v>1</v>
      </c>
      <c r="I237" s="20"/>
      <c r="J237" s="20"/>
      <c r="K237" s="20"/>
      <c r="L237" s="20"/>
      <c r="M237" s="34" t="n">
        <f aca="false">E237*F237+G237*H237+I237*J237+K237*L237</f>
        <v>3.85</v>
      </c>
      <c r="N237" s="34" t="n">
        <f aca="false">Исходные!$B$12-M237</f>
        <v>7.85</v>
      </c>
      <c r="O237" s="49" t="n">
        <v>1</v>
      </c>
      <c r="P237" s="47" t="n">
        <f aca="false">(F237+H237+J237+L237)*O237</f>
        <v>2</v>
      </c>
      <c r="Q237" s="68" t="n">
        <f aca="false">M237*O237</f>
        <v>3.85</v>
      </c>
      <c r="R237" s="68" t="n">
        <f aca="false">N237*O237</f>
        <v>7.85</v>
      </c>
    </row>
    <row r="238" customFormat="false" ht="15" hidden="false" customHeight="false" outlineLevel="0" collapsed="false">
      <c r="A238" s="47" t="n">
        <v>2</v>
      </c>
      <c r="B238" s="47" t="n">
        <v>22</v>
      </c>
      <c r="C238" s="70" t="s">
        <v>368</v>
      </c>
      <c r="D238" s="47" t="n">
        <v>1</v>
      </c>
      <c r="E238" s="67" t="n">
        <v>7.95</v>
      </c>
      <c r="F238" s="49" t="n">
        <v>1</v>
      </c>
      <c r="G238" s="67" t="n">
        <v>3.7</v>
      </c>
      <c r="H238" s="49" t="n">
        <v>1</v>
      </c>
      <c r="I238" s="20"/>
      <c r="J238" s="20"/>
      <c r="K238" s="20"/>
      <c r="L238" s="20"/>
      <c r="M238" s="34" t="n">
        <f aca="false">E238*F238+G238*H238+I238*J238+K238*L238</f>
        <v>11.65</v>
      </c>
      <c r="N238" s="34" t="n">
        <f aca="false">Исходные!$B$12-M238</f>
        <v>0.0499999999999989</v>
      </c>
      <c r="O238" s="49" t="n">
        <v>2</v>
      </c>
      <c r="P238" s="47" t="n">
        <f aca="false">(F238+H238+J238+L238)*O238</f>
        <v>4</v>
      </c>
      <c r="Q238" s="68" t="n">
        <f aca="false">M238*O238</f>
        <v>23.3</v>
      </c>
      <c r="R238" s="68" t="n">
        <f aca="false">N238*O238</f>
        <v>0.0999999999999979</v>
      </c>
    </row>
    <row r="239" customFormat="false" ht="15" hidden="false" customHeight="false" outlineLevel="0" collapsed="false">
      <c r="A239" s="47" t="n">
        <v>2</v>
      </c>
      <c r="B239" s="47" t="n">
        <v>22</v>
      </c>
      <c r="C239" s="70" t="s">
        <v>368</v>
      </c>
      <c r="D239" s="47" t="n">
        <v>2</v>
      </c>
      <c r="E239" s="67" t="n">
        <v>3.6</v>
      </c>
      <c r="F239" s="49" t="n">
        <v>2</v>
      </c>
      <c r="G239" s="67" t="n">
        <v>2.375</v>
      </c>
      <c r="H239" s="49" t="n">
        <v>1</v>
      </c>
      <c r="I239" s="67" t="n">
        <v>2.05</v>
      </c>
      <c r="J239" s="49" t="n">
        <v>1</v>
      </c>
      <c r="K239" s="20"/>
      <c r="L239" s="20"/>
      <c r="M239" s="34" t="n">
        <f aca="false">E239*F239+G239*H239+I239*J239+K239*L239</f>
        <v>11.625</v>
      </c>
      <c r="N239" s="34" t="n">
        <f aca="false">Исходные!$B$12-M239</f>
        <v>0.0749999999999993</v>
      </c>
      <c r="O239" s="49" t="n">
        <v>1</v>
      </c>
      <c r="P239" s="47" t="n">
        <f aca="false">(F239+H239+J239+L239)*O239</f>
        <v>4</v>
      </c>
      <c r="Q239" s="68" t="n">
        <f aca="false">M239*O239</f>
        <v>11.625</v>
      </c>
      <c r="R239" s="68" t="n">
        <f aca="false">N239*O239</f>
        <v>0.0749999999999993</v>
      </c>
    </row>
    <row r="240" customFormat="false" ht="15" hidden="false" customHeight="false" outlineLevel="0" collapsed="false">
      <c r="A240" s="47" t="n">
        <v>2</v>
      </c>
      <c r="B240" s="47" t="n">
        <v>22</v>
      </c>
      <c r="C240" s="70" t="s">
        <v>368</v>
      </c>
      <c r="D240" s="47" t="n">
        <v>3</v>
      </c>
      <c r="E240" s="67" t="n">
        <v>4.2</v>
      </c>
      <c r="F240" s="49" t="n">
        <v>2</v>
      </c>
      <c r="G240" s="67" t="n">
        <v>3.2</v>
      </c>
      <c r="H240" s="49" t="n">
        <v>1</v>
      </c>
      <c r="I240" s="20"/>
      <c r="J240" s="20"/>
      <c r="K240" s="20"/>
      <c r="L240" s="20"/>
      <c r="M240" s="34" t="n">
        <f aca="false">E240*F240+G240*H240+I240*J240+K240*L240</f>
        <v>11.6</v>
      </c>
      <c r="N240" s="34" t="n">
        <f aca="false">Исходные!$B$12-M240</f>
        <v>0.0999999999999979</v>
      </c>
      <c r="O240" s="49" t="n">
        <v>1</v>
      </c>
      <c r="P240" s="47" t="n">
        <f aca="false">(F240+H240+J240+L240)*O240</f>
        <v>3</v>
      </c>
      <c r="Q240" s="68" t="n">
        <f aca="false">M240*O240</f>
        <v>11.6</v>
      </c>
      <c r="R240" s="68" t="n">
        <f aca="false">N240*O240</f>
        <v>0.0999999999999979</v>
      </c>
    </row>
    <row r="241" customFormat="false" ht="15" hidden="false" customHeight="false" outlineLevel="0" collapsed="false">
      <c r="A241" s="47" t="n">
        <v>2</v>
      </c>
      <c r="B241" s="47" t="n">
        <v>22</v>
      </c>
      <c r="C241" s="70" t="s">
        <v>368</v>
      </c>
      <c r="D241" s="47" t="n">
        <v>4</v>
      </c>
      <c r="E241" s="67" t="n">
        <v>7.95</v>
      </c>
      <c r="F241" s="49" t="n">
        <v>1</v>
      </c>
      <c r="G241" s="67" t="n">
        <v>3.6</v>
      </c>
      <c r="H241" s="49" t="n">
        <v>1</v>
      </c>
      <c r="I241" s="20"/>
      <c r="J241" s="20"/>
      <c r="K241" s="20"/>
      <c r="L241" s="20"/>
      <c r="M241" s="34" t="n">
        <f aca="false">E241*F241+G241*H241+I241*J241+K241*L241</f>
        <v>11.55</v>
      </c>
      <c r="N241" s="34" t="n">
        <f aca="false">Исходные!$B$12-M241</f>
        <v>0.149999999999999</v>
      </c>
      <c r="O241" s="49" t="n">
        <v>2</v>
      </c>
      <c r="P241" s="47" t="n">
        <f aca="false">(F241+H241+J241+L241)*O241</f>
        <v>4</v>
      </c>
      <c r="Q241" s="68" t="n">
        <f aca="false">M241*O241</f>
        <v>23.1</v>
      </c>
      <c r="R241" s="68" t="n">
        <f aca="false">N241*O241</f>
        <v>0.299999999999997</v>
      </c>
    </row>
    <row r="242" customFormat="false" ht="15" hidden="false" customHeight="false" outlineLevel="0" collapsed="false">
      <c r="A242" s="47" t="n">
        <v>2</v>
      </c>
      <c r="B242" s="47" t="n">
        <v>22</v>
      </c>
      <c r="C242" s="70" t="s">
        <v>368</v>
      </c>
      <c r="D242" s="47" t="n">
        <v>5</v>
      </c>
      <c r="E242" s="67" t="n">
        <v>4.15</v>
      </c>
      <c r="F242" s="49" t="n">
        <v>2</v>
      </c>
      <c r="G242" s="67" t="n">
        <v>3.2</v>
      </c>
      <c r="H242" s="49" t="n">
        <v>1</v>
      </c>
      <c r="I242" s="20"/>
      <c r="J242" s="20"/>
      <c r="K242" s="20"/>
      <c r="L242" s="20"/>
      <c r="M242" s="34" t="n">
        <f aca="false">E242*F242+G242*H242+I242*J242+K242*L242</f>
        <v>11.5</v>
      </c>
      <c r="N242" s="34" t="n">
        <f aca="false">Исходные!$B$12-M242</f>
        <v>0.199999999999999</v>
      </c>
      <c r="O242" s="49" t="n">
        <v>3</v>
      </c>
      <c r="P242" s="47" t="n">
        <f aca="false">(F242+H242+J242+L242)*O242</f>
        <v>9</v>
      </c>
      <c r="Q242" s="68" t="n">
        <f aca="false">M242*O242</f>
        <v>34.5</v>
      </c>
      <c r="R242" s="68" t="n">
        <f aca="false">N242*O242</f>
        <v>0.599999999999998</v>
      </c>
    </row>
    <row r="243" customFormat="false" ht="15" hidden="false" customHeight="false" outlineLevel="0" collapsed="false">
      <c r="A243" s="47" t="n">
        <v>2</v>
      </c>
      <c r="B243" s="47" t="n">
        <v>22</v>
      </c>
      <c r="C243" s="70" t="s">
        <v>368</v>
      </c>
      <c r="D243" s="47" t="n">
        <v>6</v>
      </c>
      <c r="E243" s="67" t="n">
        <v>4.5</v>
      </c>
      <c r="F243" s="49" t="n">
        <v>2</v>
      </c>
      <c r="G243" s="67" t="n">
        <v>2.4</v>
      </c>
      <c r="H243" s="49" t="n">
        <v>1</v>
      </c>
      <c r="I243" s="20"/>
      <c r="J243" s="20"/>
      <c r="K243" s="20"/>
      <c r="L243" s="20"/>
      <c r="M243" s="34" t="n">
        <f aca="false">E243*F243+G243*H243+I243*J243+K243*L243</f>
        <v>11.4</v>
      </c>
      <c r="N243" s="34" t="n">
        <f aca="false">Исходные!$B$12-M243</f>
        <v>0.299999999999999</v>
      </c>
      <c r="O243" s="49" t="n">
        <v>1</v>
      </c>
      <c r="P243" s="47" t="n">
        <f aca="false">(F243+H243+J243+L243)*O243</f>
        <v>3</v>
      </c>
      <c r="Q243" s="68" t="n">
        <f aca="false">M243*O243</f>
        <v>11.4</v>
      </c>
      <c r="R243" s="68" t="n">
        <f aca="false">N243*O243</f>
        <v>0.299999999999999</v>
      </c>
    </row>
    <row r="244" customFormat="false" ht="15" hidden="false" customHeight="false" outlineLevel="0" collapsed="false">
      <c r="A244" s="47" t="n">
        <v>2</v>
      </c>
      <c r="B244" s="47" t="n">
        <v>22</v>
      </c>
      <c r="C244" s="70" t="s">
        <v>368</v>
      </c>
      <c r="D244" s="47" t="n">
        <v>7</v>
      </c>
      <c r="E244" s="67" t="n">
        <v>3.775</v>
      </c>
      <c r="F244" s="49" t="n">
        <v>3</v>
      </c>
      <c r="G244" s="20"/>
      <c r="H244" s="20"/>
      <c r="I244" s="20"/>
      <c r="J244" s="20"/>
      <c r="K244" s="20"/>
      <c r="L244" s="20"/>
      <c r="M244" s="34" t="n">
        <f aca="false">E244*F244+G244*H244+I244*J244+K244*L244</f>
        <v>11.325</v>
      </c>
      <c r="N244" s="34" t="n">
        <f aca="false">Исходные!$B$12-M244</f>
        <v>0.375</v>
      </c>
      <c r="O244" s="49" t="n">
        <v>1</v>
      </c>
      <c r="P244" s="47" t="n">
        <f aca="false">(F244+H244+J244+L244)*O244</f>
        <v>3</v>
      </c>
      <c r="Q244" s="68" t="n">
        <f aca="false">M244*O244</f>
        <v>11.325</v>
      </c>
      <c r="R244" s="68" t="n">
        <f aca="false">N244*O244</f>
        <v>0.375</v>
      </c>
    </row>
    <row r="245" customFormat="false" ht="15" hidden="false" customHeight="false" outlineLevel="0" collapsed="false">
      <c r="A245" s="47" t="n">
        <v>2</v>
      </c>
      <c r="B245" s="47" t="n">
        <v>22</v>
      </c>
      <c r="C245" s="70" t="s">
        <v>368</v>
      </c>
      <c r="D245" s="47" t="n">
        <v>8</v>
      </c>
      <c r="E245" s="67" t="n">
        <v>2.375</v>
      </c>
      <c r="F245" s="49" t="n">
        <v>1</v>
      </c>
      <c r="G245" s="67" t="n">
        <v>2.175</v>
      </c>
      <c r="H245" s="49" t="n">
        <v>4</v>
      </c>
      <c r="I245" s="20"/>
      <c r="J245" s="20"/>
      <c r="K245" s="20"/>
      <c r="L245" s="20"/>
      <c r="M245" s="34" t="n">
        <f aca="false">E245*F245+G245*H245+I245*J245+K245*L245</f>
        <v>11.075</v>
      </c>
      <c r="N245" s="34" t="n">
        <f aca="false">Исходные!$B$12-M245</f>
        <v>0.625</v>
      </c>
      <c r="O245" s="49" t="n">
        <v>1</v>
      </c>
      <c r="P245" s="47" t="n">
        <f aca="false">(F245+H245+J245+L245)*O245</f>
        <v>5</v>
      </c>
      <c r="Q245" s="68" t="n">
        <f aca="false">M245*O245</f>
        <v>11.075</v>
      </c>
      <c r="R245" s="68" t="n">
        <f aca="false">N245*O245</f>
        <v>0.625</v>
      </c>
    </row>
    <row r="246" customFormat="false" ht="15" hidden="false" customHeight="false" outlineLevel="0" collapsed="false">
      <c r="A246" s="47" t="n">
        <v>2</v>
      </c>
      <c r="B246" s="47" t="n">
        <v>22</v>
      </c>
      <c r="C246" s="70" t="s">
        <v>368</v>
      </c>
      <c r="D246" s="47" t="n">
        <v>9</v>
      </c>
      <c r="E246" s="67" t="n">
        <v>4.3</v>
      </c>
      <c r="F246" s="49" t="n">
        <v>2</v>
      </c>
      <c r="G246" s="67" t="n">
        <v>2.375</v>
      </c>
      <c r="H246" s="49" t="n">
        <v>1</v>
      </c>
      <c r="I246" s="20"/>
      <c r="J246" s="20"/>
      <c r="K246" s="20"/>
      <c r="L246" s="20"/>
      <c r="M246" s="34" t="n">
        <f aca="false">E246*F246+G246*H246+I246*J246+K246*L246</f>
        <v>10.975</v>
      </c>
      <c r="N246" s="34" t="n">
        <f aca="false">Исходные!$B$12-M246</f>
        <v>0.725</v>
      </c>
      <c r="O246" s="49" t="n">
        <v>1</v>
      </c>
      <c r="P246" s="47" t="n">
        <f aca="false">(F246+H246+J246+L246)*O246</f>
        <v>3</v>
      </c>
      <c r="Q246" s="68" t="n">
        <f aca="false">M246*O246</f>
        <v>10.975</v>
      </c>
      <c r="R246" s="68" t="n">
        <f aca="false">N246*O246</f>
        <v>0.725</v>
      </c>
    </row>
    <row r="247" customFormat="false" ht="15" hidden="false" customHeight="false" outlineLevel="0" collapsed="false">
      <c r="A247" s="47" t="n">
        <v>2</v>
      </c>
      <c r="B247" s="47" t="n">
        <v>22</v>
      </c>
      <c r="C247" s="70" t="s">
        <v>368</v>
      </c>
      <c r="D247" s="47" t="n">
        <v>10</v>
      </c>
      <c r="E247" s="67" t="n">
        <v>3.775</v>
      </c>
      <c r="F247" s="49" t="n">
        <v>1</v>
      </c>
      <c r="G247" s="67" t="n">
        <v>3.6</v>
      </c>
      <c r="H247" s="49" t="n">
        <v>2</v>
      </c>
      <c r="I247" s="20"/>
      <c r="J247" s="20"/>
      <c r="K247" s="20"/>
      <c r="L247" s="20"/>
      <c r="M247" s="34" t="n">
        <f aca="false">E247*F247+G247*H247+I247*J247+K247*L247</f>
        <v>10.975</v>
      </c>
      <c r="N247" s="34" t="n">
        <f aca="false">Исходные!$B$12-M247</f>
        <v>0.725</v>
      </c>
      <c r="O247" s="49" t="n">
        <v>1</v>
      </c>
      <c r="P247" s="47" t="n">
        <f aca="false">(F247+H247+J247+L247)*O247</f>
        <v>3</v>
      </c>
      <c r="Q247" s="68" t="n">
        <f aca="false">M247*O247</f>
        <v>10.975</v>
      </c>
      <c r="R247" s="68" t="n">
        <f aca="false">N247*O247</f>
        <v>0.725</v>
      </c>
    </row>
    <row r="248" customFormat="false" ht="15" hidden="false" customHeight="false" outlineLevel="0" collapsed="false">
      <c r="A248" s="47" t="n">
        <v>2</v>
      </c>
      <c r="B248" s="47" t="n">
        <v>22</v>
      </c>
      <c r="C248" s="70" t="s">
        <v>368</v>
      </c>
      <c r="D248" s="47" t="n">
        <v>11</v>
      </c>
      <c r="E248" s="67" t="n">
        <v>2.175</v>
      </c>
      <c r="F248" s="49" t="n">
        <v>5</v>
      </c>
      <c r="G248" s="20"/>
      <c r="H248" s="20"/>
      <c r="I248" s="20"/>
      <c r="J248" s="20"/>
      <c r="K248" s="20"/>
      <c r="L248" s="20"/>
      <c r="M248" s="34" t="n">
        <f aca="false">E248*F248+G248*H248+I248*J248+K248*L248</f>
        <v>10.875</v>
      </c>
      <c r="N248" s="34" t="n">
        <f aca="false">Исходные!$B$12-M248</f>
        <v>0.824999999999999</v>
      </c>
      <c r="O248" s="49" t="n">
        <v>2</v>
      </c>
      <c r="P248" s="47" t="n">
        <f aca="false">(F248+H248+J248+L248)*O248</f>
        <v>10</v>
      </c>
      <c r="Q248" s="68" t="n">
        <f aca="false">M248*O248</f>
        <v>21.75</v>
      </c>
      <c r="R248" s="68" t="n">
        <f aca="false">N248*O248</f>
        <v>1.65</v>
      </c>
    </row>
    <row r="249" customFormat="false" ht="15" hidden="false" customHeight="false" outlineLevel="0" collapsed="false">
      <c r="A249" s="47" t="n">
        <v>2</v>
      </c>
      <c r="B249" s="47" t="n">
        <v>22</v>
      </c>
      <c r="C249" s="70" t="s">
        <v>368</v>
      </c>
      <c r="D249" s="47" t="n">
        <v>12</v>
      </c>
      <c r="E249" s="67" t="n">
        <v>2.175</v>
      </c>
      <c r="F249" s="49" t="n">
        <v>2</v>
      </c>
      <c r="G249" s="67" t="n">
        <v>2.15</v>
      </c>
      <c r="H249" s="49" t="n">
        <v>3</v>
      </c>
      <c r="I249" s="20"/>
      <c r="J249" s="20"/>
      <c r="K249" s="20"/>
      <c r="L249" s="20"/>
      <c r="M249" s="34" t="n">
        <f aca="false">E249*F249+G249*H249+I249*J249+K249*L249</f>
        <v>10.8</v>
      </c>
      <c r="N249" s="34" t="n">
        <f aca="false">Исходные!$B$12-M249</f>
        <v>0.9</v>
      </c>
      <c r="O249" s="49" t="n">
        <v>1</v>
      </c>
      <c r="P249" s="47" t="n">
        <f aca="false">(F249+H249+J249+L249)*O249</f>
        <v>5</v>
      </c>
      <c r="Q249" s="68" t="n">
        <f aca="false">M249*O249</f>
        <v>10.8</v>
      </c>
      <c r="R249" s="68" t="n">
        <f aca="false">N249*O249</f>
        <v>0.9</v>
      </c>
    </row>
    <row r="250" customFormat="false" ht="15" hidden="false" customHeight="false" outlineLevel="0" collapsed="false">
      <c r="A250" s="47" t="n">
        <v>2</v>
      </c>
      <c r="B250" s="47" t="n">
        <v>22</v>
      </c>
      <c r="C250" s="70" t="s">
        <v>368</v>
      </c>
      <c r="D250" s="47" t="n">
        <v>13</v>
      </c>
      <c r="E250" s="67" t="n">
        <v>2.15</v>
      </c>
      <c r="F250" s="49" t="n">
        <v>5</v>
      </c>
      <c r="G250" s="20"/>
      <c r="H250" s="20"/>
      <c r="I250" s="20"/>
      <c r="J250" s="20"/>
      <c r="K250" s="20"/>
      <c r="L250" s="20"/>
      <c r="M250" s="34" t="n">
        <f aca="false">E250*F250+G250*H250+I250*J250+K250*L250</f>
        <v>10.75</v>
      </c>
      <c r="N250" s="34" t="n">
        <f aca="false">Исходные!$B$12-M250</f>
        <v>0.949999999999999</v>
      </c>
      <c r="O250" s="49" t="n">
        <v>2</v>
      </c>
      <c r="P250" s="47" t="n">
        <f aca="false">(F250+H250+J250+L250)*O250</f>
        <v>10</v>
      </c>
      <c r="Q250" s="68" t="n">
        <f aca="false">M250*O250</f>
        <v>21.5</v>
      </c>
      <c r="R250" s="68" t="n">
        <f aca="false">N250*O250</f>
        <v>1.9</v>
      </c>
    </row>
    <row r="251" customFormat="false" ht="15" hidden="false" customHeight="false" outlineLevel="0" collapsed="false">
      <c r="A251" s="47" t="n">
        <v>2</v>
      </c>
      <c r="B251" s="47" t="n">
        <v>22</v>
      </c>
      <c r="C251" s="70" t="s">
        <v>368</v>
      </c>
      <c r="D251" s="47" t="n">
        <v>14</v>
      </c>
      <c r="E251" s="67" t="n">
        <v>4.15</v>
      </c>
      <c r="F251" s="49" t="n">
        <v>2</v>
      </c>
      <c r="G251" s="67" t="n">
        <v>2.375</v>
      </c>
      <c r="H251" s="49" t="n">
        <v>1</v>
      </c>
      <c r="I251" s="20"/>
      <c r="J251" s="20"/>
      <c r="K251" s="20"/>
      <c r="L251" s="20"/>
      <c r="M251" s="34" t="n">
        <f aca="false">E251*F251+G251*H251+I251*J251+K251*L251</f>
        <v>10.675</v>
      </c>
      <c r="N251" s="34" t="n">
        <f aca="false">Исходные!$B$12-M251</f>
        <v>1.025</v>
      </c>
      <c r="O251" s="49" t="n">
        <v>1</v>
      </c>
      <c r="P251" s="47" t="n">
        <f aca="false">(F251+H251+J251+L251)*O251</f>
        <v>3</v>
      </c>
      <c r="Q251" s="68" t="n">
        <f aca="false">M251*O251</f>
        <v>10.675</v>
      </c>
      <c r="R251" s="68" t="n">
        <f aca="false">N251*O251</f>
        <v>1.025</v>
      </c>
    </row>
    <row r="252" customFormat="false" ht="15" hidden="false" customHeight="false" outlineLevel="0" collapsed="false">
      <c r="A252" s="47" t="n">
        <v>2</v>
      </c>
      <c r="B252" s="47" t="n">
        <v>22</v>
      </c>
      <c r="C252" s="70" t="s">
        <v>368</v>
      </c>
      <c r="D252" s="47" t="n">
        <v>15</v>
      </c>
      <c r="E252" s="67" t="n">
        <v>2.15</v>
      </c>
      <c r="F252" s="49" t="n">
        <v>3</v>
      </c>
      <c r="G252" s="67" t="n">
        <v>2.05</v>
      </c>
      <c r="H252" s="49" t="n">
        <v>1</v>
      </c>
      <c r="I252" s="20"/>
      <c r="J252" s="20"/>
      <c r="K252" s="20"/>
      <c r="L252" s="20"/>
      <c r="M252" s="34" t="n">
        <f aca="false">E252*F252+G252*H252+I252*J252+K252*L252</f>
        <v>8.5</v>
      </c>
      <c r="N252" s="34" t="n">
        <f aca="false">Исходные!$B$12-M252</f>
        <v>3.2</v>
      </c>
      <c r="O252" s="49" t="n">
        <v>1</v>
      </c>
      <c r="P252" s="47" t="n">
        <f aca="false">(F252+H252+J252+L252)*O252</f>
        <v>4</v>
      </c>
      <c r="Q252" s="68" t="n">
        <f aca="false">M252*O252</f>
        <v>8.5</v>
      </c>
      <c r="R252" s="68" t="n">
        <f aca="false">N252*O252</f>
        <v>3.2</v>
      </c>
    </row>
    <row r="253" customFormat="false" ht="15" hidden="false" customHeight="false" outlineLevel="0" collapsed="false">
      <c r="A253" s="47" t="n">
        <v>2</v>
      </c>
      <c r="B253" s="47" t="n">
        <v>20</v>
      </c>
      <c r="C253" s="70" t="s">
        <v>368</v>
      </c>
      <c r="D253" s="47" t="n">
        <v>1</v>
      </c>
      <c r="E253" s="67" t="n">
        <v>3.3</v>
      </c>
      <c r="F253" s="49" t="n">
        <v>1</v>
      </c>
      <c r="G253" s="67" t="n">
        <v>3.05</v>
      </c>
      <c r="H253" s="49" t="n">
        <v>2</v>
      </c>
      <c r="I253" s="67" t="n">
        <v>2.3</v>
      </c>
      <c r="J253" s="49" t="n">
        <v>1</v>
      </c>
      <c r="K253" s="20"/>
      <c r="L253" s="20"/>
      <c r="M253" s="34" t="n">
        <f aca="false">E253*F253+G253*H253+I253*J253+K253*L253</f>
        <v>11.7</v>
      </c>
      <c r="N253" s="34" t="n">
        <f aca="false">Исходные!$B$12-M253</f>
        <v>0</v>
      </c>
      <c r="O253" s="49" t="n">
        <v>1</v>
      </c>
      <c r="P253" s="47" t="n">
        <f aca="false">(F253+H253+J253+L253)*O253</f>
        <v>4</v>
      </c>
      <c r="Q253" s="68" t="n">
        <f aca="false">M253*O253</f>
        <v>11.7</v>
      </c>
      <c r="R253" s="68" t="n">
        <f aca="false">N253*O253</f>
        <v>0</v>
      </c>
    </row>
    <row r="254" customFormat="false" ht="15" hidden="false" customHeight="false" outlineLevel="0" collapsed="false">
      <c r="A254" s="47" t="n">
        <v>2</v>
      </c>
      <c r="B254" s="47" t="n">
        <v>20</v>
      </c>
      <c r="C254" s="70" t="s">
        <v>368</v>
      </c>
      <c r="D254" s="47" t="n">
        <v>2</v>
      </c>
      <c r="E254" s="67" t="n">
        <v>4.1</v>
      </c>
      <c r="F254" s="49" t="n">
        <v>1</v>
      </c>
      <c r="G254" s="67" t="n">
        <v>3.785</v>
      </c>
      <c r="H254" s="49" t="n">
        <v>2</v>
      </c>
      <c r="I254" s="20"/>
      <c r="J254" s="20"/>
      <c r="K254" s="20"/>
      <c r="L254" s="20"/>
      <c r="M254" s="34" t="n">
        <f aca="false">E254*F254+G254*H254+I254*J254+K254*L254</f>
        <v>11.67</v>
      </c>
      <c r="N254" s="34" t="n">
        <f aca="false">Исходные!$B$12-M254</f>
        <v>0.0299999999999994</v>
      </c>
      <c r="O254" s="49" t="n">
        <v>1</v>
      </c>
      <c r="P254" s="47" t="n">
        <f aca="false">(F254+H254+J254+L254)*O254</f>
        <v>3</v>
      </c>
      <c r="Q254" s="68" t="n">
        <f aca="false">M254*O254</f>
        <v>11.67</v>
      </c>
      <c r="R254" s="68" t="n">
        <f aca="false">N254*O254</f>
        <v>0.0299999999999994</v>
      </c>
    </row>
    <row r="255" customFormat="false" ht="15" hidden="false" customHeight="false" outlineLevel="0" collapsed="false">
      <c r="A255" s="47" t="n">
        <v>2</v>
      </c>
      <c r="B255" s="47" t="n">
        <v>20</v>
      </c>
      <c r="C255" s="70" t="s">
        <v>368</v>
      </c>
      <c r="D255" s="47" t="n">
        <v>3</v>
      </c>
      <c r="E255" s="67" t="n">
        <v>4.7</v>
      </c>
      <c r="F255" s="49" t="n">
        <v>1</v>
      </c>
      <c r="G255" s="67" t="n">
        <v>4.1</v>
      </c>
      <c r="H255" s="49" t="n">
        <v>1</v>
      </c>
      <c r="I255" s="67" t="n">
        <v>2.85</v>
      </c>
      <c r="J255" s="49" t="n">
        <v>1</v>
      </c>
      <c r="K255" s="20"/>
      <c r="L255" s="20"/>
      <c r="M255" s="34" t="n">
        <f aca="false">E255*F255+G255*H255+I255*J255+K255*L255</f>
        <v>11.65</v>
      </c>
      <c r="N255" s="34" t="n">
        <f aca="false">Исходные!$B$12-M255</f>
        <v>0.0499999999999989</v>
      </c>
      <c r="O255" s="49" t="n">
        <v>1</v>
      </c>
      <c r="P255" s="47" t="n">
        <f aca="false">(F255+H255+J255+L255)*O255</f>
        <v>3</v>
      </c>
      <c r="Q255" s="68" t="n">
        <f aca="false">M255*O255</f>
        <v>11.65</v>
      </c>
      <c r="R255" s="68" t="n">
        <f aca="false">N255*O255</f>
        <v>0.0499999999999989</v>
      </c>
    </row>
    <row r="256" customFormat="false" ht="15" hidden="false" customHeight="false" outlineLevel="0" collapsed="false">
      <c r="A256" s="47" t="n">
        <v>2</v>
      </c>
      <c r="B256" s="47" t="n">
        <v>20</v>
      </c>
      <c r="C256" s="70" t="s">
        <v>368</v>
      </c>
      <c r="D256" s="47" t="n">
        <v>4</v>
      </c>
      <c r="E256" s="67" t="n">
        <v>4.1</v>
      </c>
      <c r="F256" s="49" t="n">
        <v>2</v>
      </c>
      <c r="G256" s="67" t="n">
        <v>3.325</v>
      </c>
      <c r="H256" s="49" t="n">
        <v>1</v>
      </c>
      <c r="I256" s="20"/>
      <c r="J256" s="20"/>
      <c r="K256" s="20"/>
      <c r="L256" s="20"/>
      <c r="M256" s="34" t="n">
        <f aca="false">E256*F256+G256*H256+I256*J256+K256*L256</f>
        <v>11.525</v>
      </c>
      <c r="N256" s="34" t="n">
        <f aca="false">Исходные!$B$12-M256</f>
        <v>0.175000000000001</v>
      </c>
      <c r="O256" s="49" t="n">
        <v>1</v>
      </c>
      <c r="P256" s="47" t="n">
        <f aca="false">(F256+H256+J256+L256)*O256</f>
        <v>3</v>
      </c>
      <c r="Q256" s="68" t="n">
        <f aca="false">M256*O256</f>
        <v>11.525</v>
      </c>
      <c r="R256" s="68" t="n">
        <f aca="false">N256*O256</f>
        <v>0.175000000000001</v>
      </c>
    </row>
    <row r="257" customFormat="false" ht="15" hidden="false" customHeight="false" outlineLevel="0" collapsed="false">
      <c r="A257" s="47" t="n">
        <v>2</v>
      </c>
      <c r="B257" s="47" t="n">
        <v>20</v>
      </c>
      <c r="C257" s="70" t="s">
        <v>368</v>
      </c>
      <c r="D257" s="47" t="n">
        <v>5</v>
      </c>
      <c r="E257" s="67" t="n">
        <v>3.05</v>
      </c>
      <c r="F257" s="49" t="n">
        <v>2</v>
      </c>
      <c r="G257" s="67" t="n">
        <v>3</v>
      </c>
      <c r="H257" s="49" t="n">
        <v>1</v>
      </c>
      <c r="I257" s="67" t="n">
        <v>2.3</v>
      </c>
      <c r="J257" s="49" t="n">
        <v>1</v>
      </c>
      <c r="K257" s="20"/>
      <c r="L257" s="20"/>
      <c r="M257" s="34" t="n">
        <f aca="false">E257*F257+G257*H257+I257*J257+K257*L257</f>
        <v>11.4</v>
      </c>
      <c r="N257" s="34" t="n">
        <f aca="false">Исходные!$B$12-M257</f>
        <v>0.300000000000001</v>
      </c>
      <c r="O257" s="49" t="n">
        <v>1</v>
      </c>
      <c r="P257" s="47" t="n">
        <f aca="false">(F257+H257+J257+L257)*O257</f>
        <v>4</v>
      </c>
      <c r="Q257" s="68" t="n">
        <f aca="false">M257*O257</f>
        <v>11.4</v>
      </c>
      <c r="R257" s="68" t="n">
        <f aca="false">N257*O257</f>
        <v>0.300000000000001</v>
      </c>
    </row>
    <row r="258" customFormat="false" ht="15" hidden="false" customHeight="false" outlineLevel="0" collapsed="false">
      <c r="A258" s="47" t="n">
        <v>2</v>
      </c>
      <c r="B258" s="47" t="n">
        <v>20</v>
      </c>
      <c r="C258" s="70" t="s">
        <v>368</v>
      </c>
      <c r="D258" s="47" t="n">
        <v>6</v>
      </c>
      <c r="E258" s="67" t="n">
        <v>3.785</v>
      </c>
      <c r="F258" s="49" t="n">
        <v>2</v>
      </c>
      <c r="G258" s="67" t="n">
        <v>3.78</v>
      </c>
      <c r="H258" s="49" t="n">
        <v>1</v>
      </c>
      <c r="I258" s="20"/>
      <c r="J258" s="20"/>
      <c r="K258" s="20"/>
      <c r="L258" s="20"/>
      <c r="M258" s="34" t="n">
        <f aca="false">E258*F258+G258*H258+I258*J258+K258*L258</f>
        <v>11.35</v>
      </c>
      <c r="N258" s="34" t="n">
        <f aca="false">Исходные!$B$12-M258</f>
        <v>0.35</v>
      </c>
      <c r="O258" s="49" t="n">
        <v>1</v>
      </c>
      <c r="P258" s="47" t="n">
        <f aca="false">(F258+H258+J258+L258)*O258</f>
        <v>3</v>
      </c>
      <c r="Q258" s="68" t="n">
        <f aca="false">M258*O258</f>
        <v>11.35</v>
      </c>
      <c r="R258" s="68" t="n">
        <f aca="false">N258*O258</f>
        <v>0.35</v>
      </c>
    </row>
    <row r="259" customFormat="false" ht="15" hidden="false" customHeight="false" outlineLevel="0" collapsed="false">
      <c r="A259" s="47" t="n">
        <v>2</v>
      </c>
      <c r="B259" s="47" t="n">
        <v>20</v>
      </c>
      <c r="C259" s="70" t="s">
        <v>368</v>
      </c>
      <c r="D259" s="47" t="n">
        <v>7</v>
      </c>
      <c r="E259" s="67" t="n">
        <v>3.78</v>
      </c>
      <c r="F259" s="49" t="n">
        <v>3</v>
      </c>
      <c r="G259" s="20"/>
      <c r="H259" s="20"/>
      <c r="I259" s="20"/>
      <c r="J259" s="20"/>
      <c r="K259" s="20"/>
      <c r="L259" s="20"/>
      <c r="M259" s="34" t="n">
        <f aca="false">E259*F259+G259*H259+I259*J259+K259*L259</f>
        <v>11.34</v>
      </c>
      <c r="N259" s="34" t="n">
        <f aca="false">Исходные!$B$12-M259</f>
        <v>0.359999999999999</v>
      </c>
      <c r="O259" s="49" t="n">
        <v>1</v>
      </c>
      <c r="P259" s="47" t="n">
        <f aca="false">(F259+H259+J259+L259)*O259</f>
        <v>3</v>
      </c>
      <c r="Q259" s="68" t="n">
        <f aca="false">M259*O259</f>
        <v>11.34</v>
      </c>
      <c r="R259" s="68" t="n">
        <f aca="false">N259*O259</f>
        <v>0.359999999999999</v>
      </c>
    </row>
    <row r="260" customFormat="false" ht="15" hidden="false" customHeight="false" outlineLevel="0" collapsed="false">
      <c r="A260" s="47" t="n">
        <v>2</v>
      </c>
      <c r="B260" s="47" t="n">
        <v>20</v>
      </c>
      <c r="C260" s="70" t="s">
        <v>368</v>
      </c>
      <c r="D260" s="47" t="n">
        <v>8</v>
      </c>
      <c r="E260" s="67" t="n">
        <v>3.6</v>
      </c>
      <c r="F260" s="49" t="n">
        <v>3</v>
      </c>
      <c r="G260" s="20"/>
      <c r="H260" s="20"/>
      <c r="I260" s="20"/>
      <c r="J260" s="20"/>
      <c r="K260" s="20"/>
      <c r="L260" s="20"/>
      <c r="M260" s="34" t="n">
        <f aca="false">E260*F260+G260*H260+I260*J260+K260*L260</f>
        <v>10.8</v>
      </c>
      <c r="N260" s="34" t="n">
        <f aca="false">Исходные!$B$12-M260</f>
        <v>0.899999999999999</v>
      </c>
      <c r="O260" s="49" t="n">
        <v>54</v>
      </c>
      <c r="P260" s="47" t="n">
        <f aca="false">(F260+H260+J260+L260)*O260</f>
        <v>162</v>
      </c>
      <c r="Q260" s="68" t="n">
        <f aca="false">M260*O260</f>
        <v>583.2</v>
      </c>
      <c r="R260" s="68" t="n">
        <f aca="false">N260*O260</f>
        <v>48.5999999999999</v>
      </c>
    </row>
    <row r="261" customFormat="false" ht="15" hidden="false" customHeight="false" outlineLevel="0" collapsed="false">
      <c r="A261" s="47" t="n">
        <v>2</v>
      </c>
      <c r="B261" s="47" t="n">
        <v>20</v>
      </c>
      <c r="C261" s="70" t="s">
        <v>368</v>
      </c>
      <c r="D261" s="47" t="n">
        <v>9</v>
      </c>
      <c r="E261" s="67" t="n">
        <v>3.6</v>
      </c>
      <c r="F261" s="49" t="n">
        <v>2</v>
      </c>
      <c r="G261" s="67" t="n">
        <v>3.325</v>
      </c>
      <c r="H261" s="49" t="n">
        <v>1</v>
      </c>
      <c r="I261" s="20"/>
      <c r="J261" s="20"/>
      <c r="K261" s="20"/>
      <c r="L261" s="20"/>
      <c r="M261" s="34" t="n">
        <f aca="false">E261*F261+G261*H261+I261*J261+K261*L261</f>
        <v>10.525</v>
      </c>
      <c r="N261" s="34" t="n">
        <f aca="false">Исходные!$B$12-M261</f>
        <v>1.175</v>
      </c>
      <c r="O261" s="49" t="n">
        <v>1</v>
      </c>
      <c r="P261" s="47" t="n">
        <f aca="false">(F261+H261+J261+L261)*O261</f>
        <v>3</v>
      </c>
      <c r="Q261" s="68" t="n">
        <f aca="false">M261*O261</f>
        <v>10.525</v>
      </c>
      <c r="R261" s="68" t="n">
        <f aca="false">N261*O261</f>
        <v>1.175</v>
      </c>
    </row>
    <row r="262" customFormat="false" ht="15" hidden="false" customHeight="false" outlineLevel="0" collapsed="false">
      <c r="A262" s="47" t="n">
        <v>2</v>
      </c>
      <c r="B262" s="47" t="n">
        <v>20</v>
      </c>
      <c r="C262" s="70" t="s">
        <v>368</v>
      </c>
      <c r="D262" s="47" t="n">
        <v>10</v>
      </c>
      <c r="E262" s="67" t="n">
        <v>3.325</v>
      </c>
      <c r="F262" s="49" t="n">
        <v>2</v>
      </c>
      <c r="G262" s="67" t="n">
        <v>3.3</v>
      </c>
      <c r="H262" s="49" t="n">
        <v>1</v>
      </c>
      <c r="I262" s="20"/>
      <c r="J262" s="20"/>
      <c r="K262" s="20"/>
      <c r="L262" s="20"/>
      <c r="M262" s="34" t="n">
        <f aca="false">E262*F262+G262*H262+I262*J262+K262*L262</f>
        <v>9.95</v>
      </c>
      <c r="N262" s="34" t="n">
        <f aca="false">Исходные!$B$12-M262</f>
        <v>1.75</v>
      </c>
      <c r="O262" s="49" t="n">
        <v>1</v>
      </c>
      <c r="P262" s="47" t="n">
        <f aca="false">(F262+H262+J262+L262)*O262</f>
        <v>3</v>
      </c>
      <c r="Q262" s="68" t="n">
        <f aca="false">M262*O262</f>
        <v>9.95</v>
      </c>
      <c r="R262" s="68" t="n">
        <f aca="false">N262*O262</f>
        <v>1.75</v>
      </c>
    </row>
    <row r="263" customFormat="false" ht="15" hidden="false" customHeight="false" outlineLevel="0" collapsed="false">
      <c r="A263" s="47" t="n">
        <v>2</v>
      </c>
      <c r="B263" s="47" t="n">
        <v>20</v>
      </c>
      <c r="C263" s="70" t="s">
        <v>368</v>
      </c>
      <c r="D263" s="47" t="n">
        <v>11</v>
      </c>
      <c r="E263" s="67" t="n">
        <v>3</v>
      </c>
      <c r="F263" s="49" t="n">
        <v>3</v>
      </c>
      <c r="G263" s="20"/>
      <c r="H263" s="20"/>
      <c r="I263" s="20"/>
      <c r="J263" s="20"/>
      <c r="K263" s="20"/>
      <c r="L263" s="20"/>
      <c r="M263" s="34" t="n">
        <f aca="false">E263*F263+G263*H263+I263*J263+K263*L263</f>
        <v>9</v>
      </c>
      <c r="N263" s="34" t="n">
        <f aca="false">Исходные!$B$12-M263</f>
        <v>2.7</v>
      </c>
      <c r="O263" s="49" t="n">
        <v>3</v>
      </c>
      <c r="P263" s="47" t="n">
        <f aca="false">(F263+H263+J263+L263)*O263</f>
        <v>9</v>
      </c>
      <c r="Q263" s="68" t="n">
        <f aca="false">M263*O263</f>
        <v>27</v>
      </c>
      <c r="R263" s="68" t="n">
        <f aca="false">N263*O263</f>
        <v>8.1</v>
      </c>
    </row>
    <row r="264" customFormat="false" ht="15" hidden="false" customHeight="false" outlineLevel="0" collapsed="false">
      <c r="A264" s="47" t="n">
        <v>2</v>
      </c>
      <c r="B264" s="47" t="n">
        <v>20</v>
      </c>
      <c r="C264" s="70" t="s">
        <v>368</v>
      </c>
      <c r="D264" s="47" t="n">
        <v>12</v>
      </c>
      <c r="E264" s="67" t="n">
        <v>2.85</v>
      </c>
      <c r="F264" s="49" t="n">
        <v>1</v>
      </c>
      <c r="G264" s="20"/>
      <c r="H264" s="20"/>
      <c r="I264" s="20"/>
      <c r="J264" s="20"/>
      <c r="K264" s="20"/>
      <c r="L264" s="20"/>
      <c r="M264" s="34" t="n">
        <f aca="false">E264*F264+G264*H264+I264*J264+K264*L264</f>
        <v>2.85</v>
      </c>
      <c r="N264" s="34" t="n">
        <f aca="false">Исходные!$B$12-M264</f>
        <v>8.85</v>
      </c>
      <c r="O264" s="49" t="n">
        <v>1</v>
      </c>
      <c r="P264" s="47" t="n">
        <f aca="false">(F264+H264+J264+L264)*O264</f>
        <v>1</v>
      </c>
      <c r="Q264" s="68" t="n">
        <f aca="false">M264*O264</f>
        <v>2.85</v>
      </c>
      <c r="R264" s="68" t="n">
        <f aca="false">N264*O264</f>
        <v>8.85</v>
      </c>
    </row>
    <row r="265" customFormat="false" ht="15" hidden="false" customHeight="false" outlineLevel="0" collapsed="false">
      <c r="A265" s="47" t="n">
        <v>2</v>
      </c>
      <c r="B265" s="47" t="n">
        <v>18</v>
      </c>
      <c r="C265" s="70" t="s">
        <v>368</v>
      </c>
      <c r="D265" s="47" t="n">
        <v>1</v>
      </c>
      <c r="E265" s="67" t="n">
        <v>11.7</v>
      </c>
      <c r="F265" s="49" t="n">
        <v>1</v>
      </c>
      <c r="G265" s="20"/>
      <c r="H265" s="20"/>
      <c r="I265" s="20"/>
      <c r="J265" s="20"/>
      <c r="K265" s="20"/>
      <c r="L265" s="20"/>
      <c r="M265" s="34" t="n">
        <f aca="false">E265*F265+G265*H265+I265*J265+K265*L265</f>
        <v>11.7</v>
      </c>
      <c r="N265" s="34" t="n">
        <f aca="false">Исходные!$B$12-M265</f>
        <v>0</v>
      </c>
      <c r="O265" s="49" t="n">
        <v>26</v>
      </c>
      <c r="P265" s="47" t="n">
        <f aca="false">(F265+H265+J265+L265)*O265</f>
        <v>26</v>
      </c>
      <c r="Q265" s="68" t="n">
        <f aca="false">M265*O265</f>
        <v>304.2</v>
      </c>
      <c r="R265" s="68" t="n">
        <f aca="false">N265*O265</f>
        <v>0</v>
      </c>
    </row>
    <row r="266" customFormat="false" ht="15" hidden="false" customHeight="false" outlineLevel="0" collapsed="false">
      <c r="A266" s="47" t="n">
        <v>2</v>
      </c>
      <c r="B266" s="47" t="n">
        <v>18</v>
      </c>
      <c r="C266" s="70" t="s">
        <v>368</v>
      </c>
      <c r="D266" s="47" t="n">
        <v>2</v>
      </c>
      <c r="E266" s="67" t="n">
        <v>6.109</v>
      </c>
      <c r="F266" s="49" t="n">
        <v>1</v>
      </c>
      <c r="G266" s="67" t="n">
        <v>3.744</v>
      </c>
      <c r="H266" s="49" t="n">
        <v>1</v>
      </c>
      <c r="I266" s="67" t="n">
        <v>1.7</v>
      </c>
      <c r="J266" s="49" t="n">
        <v>1</v>
      </c>
      <c r="K266" s="20"/>
      <c r="L266" s="20"/>
      <c r="M266" s="34" t="n">
        <f aca="false">E266*F266+G266*H266+I266*J266+K266*L266</f>
        <v>11.553</v>
      </c>
      <c r="N266" s="34" t="n">
        <f aca="false">Исходные!$B$12-M266</f>
        <v>0.147</v>
      </c>
      <c r="O266" s="49" t="n">
        <v>1</v>
      </c>
      <c r="P266" s="47" t="n">
        <f aca="false">(F266+H266+J266+L266)*O266</f>
        <v>3</v>
      </c>
      <c r="Q266" s="68" t="n">
        <f aca="false">M266*O266</f>
        <v>11.553</v>
      </c>
      <c r="R266" s="68" t="n">
        <f aca="false">N266*O266</f>
        <v>0.147</v>
      </c>
    </row>
    <row r="267" customFormat="false" ht="15" hidden="false" customHeight="false" outlineLevel="0" collapsed="false">
      <c r="A267" s="47" t="n">
        <v>2</v>
      </c>
      <c r="B267" s="47" t="n">
        <v>18</v>
      </c>
      <c r="C267" s="70" t="s">
        <v>368</v>
      </c>
      <c r="D267" s="47" t="n">
        <v>3</v>
      </c>
      <c r="E267" s="67" t="n">
        <v>6.109</v>
      </c>
      <c r="F267" s="49" t="n">
        <v>1</v>
      </c>
      <c r="G267" s="67" t="n">
        <v>3</v>
      </c>
      <c r="H267" s="49" t="n">
        <v>1</v>
      </c>
      <c r="I267" s="67" t="n">
        <v>2.388</v>
      </c>
      <c r="J267" s="49" t="n">
        <v>1</v>
      </c>
      <c r="K267" s="20"/>
      <c r="L267" s="20"/>
      <c r="M267" s="34" t="n">
        <f aca="false">E267*F267+G267*H267+I267*J267+K267*L267</f>
        <v>11.497</v>
      </c>
      <c r="N267" s="34" t="n">
        <f aca="false">Исходные!$B$12-M267</f>
        <v>0.202999999999999</v>
      </c>
      <c r="O267" s="49" t="n">
        <v>1</v>
      </c>
      <c r="P267" s="47" t="n">
        <f aca="false">(F267+H267+J267+L267)*O267</f>
        <v>3</v>
      </c>
      <c r="Q267" s="68" t="n">
        <f aca="false">M267*O267</f>
        <v>11.497</v>
      </c>
      <c r="R267" s="68" t="n">
        <f aca="false">N267*O267</f>
        <v>0.202999999999999</v>
      </c>
    </row>
    <row r="268" customFormat="false" ht="15" hidden="false" customHeight="false" outlineLevel="0" collapsed="false">
      <c r="A268" s="47" t="n">
        <v>2</v>
      </c>
      <c r="B268" s="47" t="n">
        <v>18</v>
      </c>
      <c r="C268" s="70" t="s">
        <v>368</v>
      </c>
      <c r="D268" s="47" t="n">
        <v>4</v>
      </c>
      <c r="E268" s="67" t="n">
        <v>8.944</v>
      </c>
      <c r="F268" s="49" t="n">
        <v>1</v>
      </c>
      <c r="G268" s="67" t="n">
        <v>1.2</v>
      </c>
      <c r="H268" s="49" t="n">
        <v>2</v>
      </c>
      <c r="I268" s="20"/>
      <c r="J268" s="20"/>
      <c r="K268" s="20"/>
      <c r="L268" s="20"/>
      <c r="M268" s="34" t="n">
        <f aca="false">E268*F268+G268*H268+I268*J268+K268*L268</f>
        <v>11.344</v>
      </c>
      <c r="N268" s="34" t="n">
        <f aca="false">Исходные!$B$12-M268</f>
        <v>0.355999999999998</v>
      </c>
      <c r="O268" s="49" t="n">
        <v>3</v>
      </c>
      <c r="P268" s="47" t="n">
        <f aca="false">(F268+H268+J268+L268)*O268</f>
        <v>9</v>
      </c>
      <c r="Q268" s="68" t="n">
        <f aca="false">M268*O268</f>
        <v>34.032</v>
      </c>
      <c r="R268" s="68" t="n">
        <f aca="false">N268*O268</f>
        <v>1.06799999999999</v>
      </c>
    </row>
    <row r="269" customFormat="false" ht="15" hidden="false" customHeight="false" outlineLevel="0" collapsed="false">
      <c r="A269" s="47" t="n">
        <v>2</v>
      </c>
      <c r="B269" s="47" t="n">
        <v>18</v>
      </c>
      <c r="C269" s="70" t="s">
        <v>368</v>
      </c>
      <c r="D269" s="47" t="n">
        <v>5</v>
      </c>
      <c r="E269" s="67" t="n">
        <v>8.944</v>
      </c>
      <c r="F269" s="49" t="n">
        <v>1</v>
      </c>
      <c r="G269" s="67" t="n">
        <v>2.388</v>
      </c>
      <c r="H269" s="49" t="n">
        <v>1</v>
      </c>
      <c r="I269" s="20"/>
      <c r="J269" s="20"/>
      <c r="K269" s="20"/>
      <c r="L269" s="20"/>
      <c r="M269" s="34" t="n">
        <f aca="false">E269*F269+G269*H269+I269*J269+K269*L269</f>
        <v>11.332</v>
      </c>
      <c r="N269" s="34" t="n">
        <f aca="false">Исходные!$B$12-M269</f>
        <v>0.367999999999999</v>
      </c>
      <c r="O269" s="49" t="n">
        <v>7</v>
      </c>
      <c r="P269" s="47" t="n">
        <f aca="false">(F269+H269+J269+L269)*O269</f>
        <v>14</v>
      </c>
      <c r="Q269" s="68" t="n">
        <f aca="false">M269*O269</f>
        <v>79.324</v>
      </c>
      <c r="R269" s="68" t="n">
        <f aca="false">N269*O269</f>
        <v>2.57599999999999</v>
      </c>
    </row>
    <row r="270" customFormat="false" ht="15" hidden="false" customHeight="false" outlineLevel="0" collapsed="false">
      <c r="A270" s="47" t="n">
        <v>2</v>
      </c>
      <c r="B270" s="47" t="n">
        <v>18</v>
      </c>
      <c r="C270" s="70" t="s">
        <v>368</v>
      </c>
      <c r="D270" s="47" t="n">
        <v>6</v>
      </c>
      <c r="E270" s="67" t="n">
        <v>6.109</v>
      </c>
      <c r="F270" s="49" t="n">
        <v>1</v>
      </c>
      <c r="G270" s="67" t="n">
        <v>4.95</v>
      </c>
      <c r="H270" s="49" t="n">
        <v>1</v>
      </c>
      <c r="I270" s="20"/>
      <c r="J270" s="20"/>
      <c r="K270" s="20"/>
      <c r="L270" s="20"/>
      <c r="M270" s="34" t="n">
        <f aca="false">E270*F270+G270*H270+I270*J270+K270*L270</f>
        <v>11.059</v>
      </c>
      <c r="N270" s="34" t="n">
        <f aca="false">Исходные!$B$12-M270</f>
        <v>0.640999999999998</v>
      </c>
      <c r="O270" s="49" t="n">
        <v>2</v>
      </c>
      <c r="P270" s="47" t="n">
        <f aca="false">(F270+H270+J270+L270)*O270</f>
        <v>4</v>
      </c>
      <c r="Q270" s="68" t="n">
        <f aca="false">M270*O270</f>
        <v>22.118</v>
      </c>
      <c r="R270" s="68" t="n">
        <f aca="false">N270*O270</f>
        <v>1.282</v>
      </c>
    </row>
    <row r="271" customFormat="false" ht="15" hidden="false" customHeight="false" outlineLevel="0" collapsed="false">
      <c r="A271" s="47" t="n">
        <v>2</v>
      </c>
      <c r="B271" s="47" t="n">
        <v>18</v>
      </c>
      <c r="C271" s="70" t="s">
        <v>368</v>
      </c>
      <c r="D271" s="47" t="n">
        <v>7</v>
      </c>
      <c r="E271" s="67" t="n">
        <v>6.109</v>
      </c>
      <c r="F271" s="49" t="n">
        <v>1</v>
      </c>
      <c r="G271" s="67" t="n">
        <v>3.744</v>
      </c>
      <c r="H271" s="49" t="n">
        <v>1</v>
      </c>
      <c r="I271" s="67" t="n">
        <v>1.2</v>
      </c>
      <c r="J271" s="49" t="n">
        <v>1</v>
      </c>
      <c r="K271" s="20"/>
      <c r="L271" s="20"/>
      <c r="M271" s="34" t="n">
        <f aca="false">E271*F271+G271*H271+I271*J271+K271*L271</f>
        <v>11.053</v>
      </c>
      <c r="N271" s="34" t="n">
        <f aca="false">Исходные!$B$12-M271</f>
        <v>0.647</v>
      </c>
      <c r="O271" s="49" t="n">
        <v>31</v>
      </c>
      <c r="P271" s="47" t="n">
        <f aca="false">(F271+H271+J271+L271)*O271</f>
        <v>93</v>
      </c>
      <c r="Q271" s="68" t="n">
        <f aca="false">M271*O271</f>
        <v>342.643</v>
      </c>
      <c r="R271" s="68" t="n">
        <f aca="false">N271*O271</f>
        <v>20.057</v>
      </c>
    </row>
    <row r="272" customFormat="false" ht="15" hidden="false" customHeight="false" outlineLevel="0" collapsed="false">
      <c r="A272" s="47" t="n">
        <v>2</v>
      </c>
      <c r="B272" s="47" t="n">
        <v>18</v>
      </c>
      <c r="C272" s="70" t="s">
        <v>368</v>
      </c>
      <c r="D272" s="47" t="n">
        <v>8</v>
      </c>
      <c r="E272" s="67" t="n">
        <v>6.109</v>
      </c>
      <c r="F272" s="49" t="n">
        <v>1</v>
      </c>
      <c r="G272" s="67" t="n">
        <v>4.8</v>
      </c>
      <c r="H272" s="49" t="n">
        <v>1</v>
      </c>
      <c r="I272" s="20"/>
      <c r="J272" s="20"/>
      <c r="K272" s="20"/>
      <c r="L272" s="20"/>
      <c r="M272" s="34" t="n">
        <f aca="false">E272*F272+G272*H272+I272*J272+K272*L272</f>
        <v>10.909</v>
      </c>
      <c r="N272" s="34" t="n">
        <f aca="false">Исходные!$B$12-M272</f>
        <v>0.791</v>
      </c>
      <c r="O272" s="49" t="n">
        <v>1</v>
      </c>
      <c r="P272" s="47" t="n">
        <f aca="false">(F272+H272+J272+L272)*O272</f>
        <v>2</v>
      </c>
      <c r="Q272" s="68" t="n">
        <f aca="false">M272*O272</f>
        <v>10.909</v>
      </c>
      <c r="R272" s="68" t="n">
        <f aca="false">N272*O272</f>
        <v>0.791</v>
      </c>
    </row>
    <row r="273" customFormat="false" ht="15" hidden="false" customHeight="false" outlineLevel="0" collapsed="false">
      <c r="A273" s="47" t="n">
        <v>2</v>
      </c>
      <c r="B273" s="47" t="n">
        <v>18</v>
      </c>
      <c r="C273" s="70" t="s">
        <v>368</v>
      </c>
      <c r="D273" s="47" t="n">
        <v>9</v>
      </c>
      <c r="E273" s="67" t="n">
        <v>1.2</v>
      </c>
      <c r="F273" s="49" t="n">
        <v>5</v>
      </c>
      <c r="G273" s="20"/>
      <c r="H273" s="20"/>
      <c r="I273" s="20"/>
      <c r="J273" s="20"/>
      <c r="K273" s="20"/>
      <c r="L273" s="20"/>
      <c r="M273" s="34" t="n">
        <f aca="false">E273*F273+G273*H273+I273*J273+K273*L273</f>
        <v>6</v>
      </c>
      <c r="N273" s="34" t="n">
        <f aca="false">Исходные!$B$12-M273</f>
        <v>5.7</v>
      </c>
      <c r="O273" s="49" t="n">
        <v>1</v>
      </c>
      <c r="P273" s="47" t="n">
        <f aca="false">(F273+H273+J273+L273)*O273</f>
        <v>5</v>
      </c>
      <c r="Q273" s="68" t="n">
        <f aca="false">M273*O273</f>
        <v>6</v>
      </c>
      <c r="R273" s="68" t="n">
        <f aca="false">N273*O273</f>
        <v>5.7</v>
      </c>
    </row>
    <row r="274" customFormat="false" ht="15" hidden="false" customHeight="false" outlineLevel="0" collapsed="false">
      <c r="A274" s="47" t="n">
        <v>2</v>
      </c>
      <c r="B274" s="47" t="n">
        <v>16</v>
      </c>
      <c r="C274" s="70" t="s">
        <v>368</v>
      </c>
      <c r="D274" s="47" t="n">
        <v>1</v>
      </c>
      <c r="E274" s="67" t="n">
        <v>11.7</v>
      </c>
      <c r="F274" s="49" t="n">
        <v>1</v>
      </c>
      <c r="G274" s="20"/>
      <c r="H274" s="20"/>
      <c r="I274" s="20"/>
      <c r="J274" s="20"/>
      <c r="K274" s="20"/>
      <c r="L274" s="20"/>
      <c r="M274" s="34" t="n">
        <f aca="false">E274*F274+G274*H274+I274*J274+K274*L274</f>
        <v>11.7</v>
      </c>
      <c r="N274" s="34" t="n">
        <f aca="false">Исходные!$B$12-M274</f>
        <v>0</v>
      </c>
      <c r="O274" s="49" t="n">
        <v>26</v>
      </c>
      <c r="P274" s="47" t="n">
        <f aca="false">(F274+H274+J274+L274)*O274</f>
        <v>26</v>
      </c>
      <c r="Q274" s="68" t="n">
        <f aca="false">M274*O274</f>
        <v>304.2</v>
      </c>
      <c r="R274" s="68" t="n">
        <f aca="false">N274*O274</f>
        <v>0</v>
      </c>
    </row>
    <row r="275" customFormat="false" ht="15" hidden="false" customHeight="false" outlineLevel="0" collapsed="false">
      <c r="A275" s="47" t="n">
        <v>2</v>
      </c>
      <c r="B275" s="47" t="n">
        <v>16</v>
      </c>
      <c r="C275" s="70" t="s">
        <v>368</v>
      </c>
      <c r="D275" s="47" t="n">
        <v>2</v>
      </c>
      <c r="E275" s="67" t="n">
        <v>9.45</v>
      </c>
      <c r="F275" s="49" t="n">
        <v>1</v>
      </c>
      <c r="G275" s="67" t="n">
        <v>2.25</v>
      </c>
      <c r="H275" s="49" t="n">
        <v>1</v>
      </c>
      <c r="I275" s="20"/>
      <c r="J275" s="20"/>
      <c r="K275" s="20"/>
      <c r="L275" s="20"/>
      <c r="M275" s="34" t="n">
        <f aca="false">E275*F275+G275*H275+I275*J275+K275*L275</f>
        <v>11.7</v>
      </c>
      <c r="N275" s="34" t="n">
        <f aca="false">Исходные!$B$12-M275</f>
        <v>0</v>
      </c>
      <c r="O275" s="49" t="n">
        <v>2</v>
      </c>
      <c r="P275" s="47" t="n">
        <f aca="false">(F275+H275+J275+L275)*O275</f>
        <v>4</v>
      </c>
      <c r="Q275" s="68" t="n">
        <f aca="false">M275*O275</f>
        <v>23.4</v>
      </c>
      <c r="R275" s="68" t="n">
        <f aca="false">N275*O275</f>
        <v>0</v>
      </c>
    </row>
    <row r="276" customFormat="false" ht="15" hidden="false" customHeight="false" outlineLevel="0" collapsed="false">
      <c r="A276" s="47" t="n">
        <v>2</v>
      </c>
      <c r="B276" s="47" t="n">
        <v>16</v>
      </c>
      <c r="C276" s="70" t="s">
        <v>368</v>
      </c>
      <c r="D276" s="47" t="n">
        <v>3</v>
      </c>
      <c r="E276" s="67" t="n">
        <v>1.95</v>
      </c>
      <c r="F276" s="49" t="n">
        <v>6</v>
      </c>
      <c r="G276" s="20"/>
      <c r="H276" s="20"/>
      <c r="I276" s="20"/>
      <c r="J276" s="20"/>
      <c r="K276" s="20"/>
      <c r="L276" s="20"/>
      <c r="M276" s="34" t="n">
        <f aca="false">E276*F276+G276*H276+I276*J276+K276*L276</f>
        <v>11.7</v>
      </c>
      <c r="N276" s="34" t="n">
        <f aca="false">Исходные!$B$12-M276</f>
        <v>0</v>
      </c>
      <c r="O276" s="49" t="n">
        <v>1</v>
      </c>
      <c r="P276" s="47" t="n">
        <f aca="false">(F276+H276+J276+L276)*O276</f>
        <v>6</v>
      </c>
      <c r="Q276" s="68" t="n">
        <f aca="false">M276*O276</f>
        <v>11.7</v>
      </c>
      <c r="R276" s="68" t="n">
        <f aca="false">N276*O276</f>
        <v>0</v>
      </c>
    </row>
    <row r="277" customFormat="false" ht="15" hidden="false" customHeight="false" outlineLevel="0" collapsed="false">
      <c r="A277" s="47" t="n">
        <v>2</v>
      </c>
      <c r="B277" s="47" t="n">
        <v>16</v>
      </c>
      <c r="C277" s="70" t="s">
        <v>368</v>
      </c>
      <c r="D277" s="47" t="n">
        <v>4</v>
      </c>
      <c r="E277" s="67" t="n">
        <v>6.5</v>
      </c>
      <c r="F277" s="49" t="n">
        <v>1</v>
      </c>
      <c r="G277" s="67" t="n">
        <v>3.728</v>
      </c>
      <c r="H277" s="49" t="n">
        <v>1</v>
      </c>
      <c r="I277" s="67" t="n">
        <v>1.45</v>
      </c>
      <c r="J277" s="49" t="n">
        <v>1</v>
      </c>
      <c r="K277" s="20"/>
      <c r="L277" s="20"/>
      <c r="M277" s="34" t="n">
        <f aca="false">E277*F277+G277*H277+I277*J277+K277*L277</f>
        <v>11.678</v>
      </c>
      <c r="N277" s="34" t="n">
        <f aca="false">Исходные!$B$12-M277</f>
        <v>0.0220000000000002</v>
      </c>
      <c r="O277" s="49" t="n">
        <v>4</v>
      </c>
      <c r="P277" s="47" t="n">
        <f aca="false">(F277+H277+J277+L277)*O277</f>
        <v>12</v>
      </c>
      <c r="Q277" s="68" t="n">
        <f aca="false">M277*O277</f>
        <v>46.712</v>
      </c>
      <c r="R277" s="68" t="n">
        <f aca="false">N277*O277</f>
        <v>0.088000000000001</v>
      </c>
    </row>
    <row r="278" customFormat="false" ht="15" hidden="false" customHeight="false" outlineLevel="0" collapsed="false">
      <c r="A278" s="47" t="n">
        <v>2</v>
      </c>
      <c r="B278" s="47" t="n">
        <v>16</v>
      </c>
      <c r="C278" s="70" t="s">
        <v>368</v>
      </c>
      <c r="D278" s="47" t="n">
        <v>5</v>
      </c>
      <c r="E278" s="67" t="n">
        <v>3.6</v>
      </c>
      <c r="F278" s="49" t="n">
        <v>2</v>
      </c>
      <c r="G278" s="67" t="n">
        <v>3</v>
      </c>
      <c r="H278" s="49" t="n">
        <v>1</v>
      </c>
      <c r="I278" s="67" t="n">
        <v>1.45</v>
      </c>
      <c r="J278" s="49" t="n">
        <v>1</v>
      </c>
      <c r="K278" s="20"/>
      <c r="L278" s="20"/>
      <c r="M278" s="34" t="n">
        <f aca="false">E278*F278+G278*H278+I278*J278+K278*L278</f>
        <v>11.65</v>
      </c>
      <c r="N278" s="34" t="n">
        <f aca="false">Исходные!$B$12-M278</f>
        <v>0.0500000000000007</v>
      </c>
      <c r="O278" s="49" t="n">
        <v>1</v>
      </c>
      <c r="P278" s="47" t="n">
        <f aca="false">(F278+H278+J278+L278)*O278</f>
        <v>4</v>
      </c>
      <c r="Q278" s="68" t="n">
        <f aca="false">M278*O278</f>
        <v>11.65</v>
      </c>
      <c r="R278" s="68" t="n">
        <f aca="false">N278*O278</f>
        <v>0.0500000000000007</v>
      </c>
    </row>
    <row r="279" customFormat="false" ht="15" hidden="false" customHeight="false" outlineLevel="0" collapsed="false">
      <c r="A279" s="47" t="n">
        <v>2</v>
      </c>
      <c r="B279" s="47" t="n">
        <v>16</v>
      </c>
      <c r="C279" s="70" t="s">
        <v>368</v>
      </c>
      <c r="D279" s="47" t="n">
        <v>6</v>
      </c>
      <c r="E279" s="67" t="n">
        <v>2.9</v>
      </c>
      <c r="F279" s="49" t="n">
        <v>4</v>
      </c>
      <c r="G279" s="20"/>
      <c r="H279" s="20"/>
      <c r="I279" s="20"/>
      <c r="J279" s="20"/>
      <c r="K279" s="20"/>
      <c r="L279" s="20"/>
      <c r="M279" s="34" t="n">
        <f aca="false">E279*F279+G279*H279+I279*J279+K279*L279</f>
        <v>11.6</v>
      </c>
      <c r="N279" s="34" t="n">
        <f aca="false">Исходные!$B$12-M279</f>
        <v>0.0999999999999996</v>
      </c>
      <c r="O279" s="49" t="n">
        <v>2</v>
      </c>
      <c r="P279" s="47" t="n">
        <f aca="false">(F279+H279+J279+L279)*O279</f>
        <v>8</v>
      </c>
      <c r="Q279" s="68" t="n">
        <f aca="false">M279*O279</f>
        <v>23.2</v>
      </c>
      <c r="R279" s="68" t="n">
        <f aca="false">N279*O279</f>
        <v>0.199999999999999</v>
      </c>
    </row>
    <row r="280" customFormat="false" ht="15" hidden="false" customHeight="false" outlineLevel="0" collapsed="false">
      <c r="A280" s="47" t="n">
        <v>2</v>
      </c>
      <c r="B280" s="47" t="n">
        <v>16</v>
      </c>
      <c r="C280" s="70" t="s">
        <v>368</v>
      </c>
      <c r="D280" s="47" t="n">
        <v>7</v>
      </c>
      <c r="E280" s="67" t="n">
        <v>2.05</v>
      </c>
      <c r="F280" s="49" t="n">
        <v>3</v>
      </c>
      <c r="G280" s="67" t="n">
        <v>1.95</v>
      </c>
      <c r="H280" s="49" t="n">
        <v>2</v>
      </c>
      <c r="I280" s="67" t="n">
        <v>1.45</v>
      </c>
      <c r="J280" s="49" t="n">
        <v>1</v>
      </c>
      <c r="K280" s="20"/>
      <c r="L280" s="20"/>
      <c r="M280" s="34" t="n">
        <f aca="false">E280*F280+G280*H280+I280*J280+K280*L280</f>
        <v>11.5</v>
      </c>
      <c r="N280" s="34" t="n">
        <f aca="false">Исходные!$B$12-M280</f>
        <v>0.200000000000001</v>
      </c>
      <c r="O280" s="49" t="n">
        <v>1</v>
      </c>
      <c r="P280" s="47" t="n">
        <f aca="false">(F280+H280+J280+L280)*O280</f>
        <v>6</v>
      </c>
      <c r="Q280" s="68" t="n">
        <f aca="false">M280*O280</f>
        <v>11.5</v>
      </c>
      <c r="R280" s="68" t="n">
        <f aca="false">N280*O280</f>
        <v>0.200000000000001</v>
      </c>
    </row>
    <row r="281" customFormat="false" ht="15" hidden="false" customHeight="false" outlineLevel="0" collapsed="false">
      <c r="A281" s="47" t="n">
        <v>2</v>
      </c>
      <c r="B281" s="47" t="n">
        <v>16</v>
      </c>
      <c r="C281" s="70" t="s">
        <v>368</v>
      </c>
      <c r="D281" s="47" t="n">
        <v>8</v>
      </c>
      <c r="E281" s="67" t="n">
        <v>3</v>
      </c>
      <c r="F281" s="49" t="n">
        <v>3</v>
      </c>
      <c r="G281" s="67" t="n">
        <v>2.356</v>
      </c>
      <c r="H281" s="49" t="n">
        <v>1</v>
      </c>
      <c r="I281" s="20"/>
      <c r="J281" s="20"/>
      <c r="K281" s="20"/>
      <c r="L281" s="20"/>
      <c r="M281" s="34" t="n">
        <f aca="false">E281*F281+G281*H281+I281*J281+K281*L281</f>
        <v>11.356</v>
      </c>
      <c r="N281" s="34" t="n">
        <f aca="false">Исходные!$B$12-M281</f>
        <v>0.343999999999999</v>
      </c>
      <c r="O281" s="49" t="n">
        <v>1</v>
      </c>
      <c r="P281" s="47" t="n">
        <f aca="false">(F281+H281+J281+L281)*O281</f>
        <v>4</v>
      </c>
      <c r="Q281" s="68" t="n">
        <f aca="false">M281*O281</f>
        <v>11.356</v>
      </c>
      <c r="R281" s="68" t="n">
        <f aca="false">N281*O281</f>
        <v>0.343999999999999</v>
      </c>
    </row>
    <row r="282" customFormat="false" ht="15" hidden="false" customHeight="false" outlineLevel="0" collapsed="false">
      <c r="A282" s="47" t="n">
        <v>2</v>
      </c>
      <c r="B282" s="47" t="n">
        <v>16</v>
      </c>
      <c r="C282" s="70" t="s">
        <v>368</v>
      </c>
      <c r="D282" s="47" t="n">
        <v>9</v>
      </c>
      <c r="E282" s="67" t="n">
        <v>8.928</v>
      </c>
      <c r="F282" s="49" t="n">
        <v>1</v>
      </c>
      <c r="G282" s="67" t="n">
        <v>2.356</v>
      </c>
      <c r="H282" s="49" t="n">
        <v>1</v>
      </c>
      <c r="I282" s="20"/>
      <c r="J282" s="20"/>
      <c r="K282" s="20"/>
      <c r="L282" s="20"/>
      <c r="M282" s="34" t="n">
        <f aca="false">E282*F282+G282*H282+I282*J282+K282*L282</f>
        <v>11.284</v>
      </c>
      <c r="N282" s="34" t="n">
        <f aca="false">Исходные!$B$12-M282</f>
        <v>0.415999999999999</v>
      </c>
      <c r="O282" s="49" t="n">
        <v>7</v>
      </c>
      <c r="P282" s="47" t="n">
        <f aca="false">(F282+H282+J282+L282)*O282</f>
        <v>14</v>
      </c>
      <c r="Q282" s="68" t="n">
        <f aca="false">M282*O282</f>
        <v>78.988</v>
      </c>
      <c r="R282" s="68" t="n">
        <f aca="false">N282*O282</f>
        <v>2.91199999999999</v>
      </c>
    </row>
    <row r="283" customFormat="false" ht="15" hidden="false" customHeight="false" outlineLevel="0" collapsed="false">
      <c r="A283" s="47" t="n">
        <v>2</v>
      </c>
      <c r="B283" s="47" t="n">
        <v>16</v>
      </c>
      <c r="C283" s="70" t="s">
        <v>368</v>
      </c>
      <c r="D283" s="47" t="n">
        <v>10</v>
      </c>
      <c r="E283" s="67" t="n">
        <v>2.25</v>
      </c>
      <c r="F283" s="49" t="n">
        <v>5</v>
      </c>
      <c r="G283" s="20"/>
      <c r="H283" s="20"/>
      <c r="I283" s="20"/>
      <c r="J283" s="20"/>
      <c r="K283" s="20"/>
      <c r="L283" s="20"/>
      <c r="M283" s="34" t="n">
        <f aca="false">E283*F283+G283*H283+I283*J283+K283*L283</f>
        <v>11.25</v>
      </c>
      <c r="N283" s="34" t="n">
        <f aca="false">Исходные!$B$12-M283</f>
        <v>0.449999999999999</v>
      </c>
      <c r="O283" s="49" t="n">
        <v>11</v>
      </c>
      <c r="P283" s="47" t="n">
        <f aca="false">(F283+H283+J283+L283)*O283</f>
        <v>55</v>
      </c>
      <c r="Q283" s="68" t="n">
        <f aca="false">M283*O283</f>
        <v>123.75</v>
      </c>
      <c r="R283" s="68" t="n">
        <f aca="false">N283*O283</f>
        <v>4.94999999999999</v>
      </c>
    </row>
    <row r="284" customFormat="false" ht="15" hidden="false" customHeight="false" outlineLevel="0" collapsed="false">
      <c r="A284" s="47" t="n">
        <v>2</v>
      </c>
      <c r="B284" s="47" t="n">
        <v>16</v>
      </c>
      <c r="C284" s="70" t="s">
        <v>368</v>
      </c>
      <c r="D284" s="47" t="n">
        <v>11</v>
      </c>
      <c r="E284" s="67" t="n">
        <v>8.928</v>
      </c>
      <c r="F284" s="49" t="n">
        <v>1</v>
      </c>
      <c r="G284" s="67" t="n">
        <v>2.3</v>
      </c>
      <c r="H284" s="49" t="n">
        <v>1</v>
      </c>
      <c r="I284" s="20"/>
      <c r="J284" s="20"/>
      <c r="K284" s="20"/>
      <c r="L284" s="20"/>
      <c r="M284" s="34" t="n">
        <f aca="false">E284*F284+G284*H284+I284*J284+K284*L284</f>
        <v>11.228</v>
      </c>
      <c r="N284" s="34" t="n">
        <f aca="false">Исходные!$B$12-M284</f>
        <v>0.471999999999998</v>
      </c>
      <c r="O284" s="49" t="n">
        <v>2</v>
      </c>
      <c r="P284" s="47" t="n">
        <f aca="false">(F284+H284+J284+L284)*O284</f>
        <v>4</v>
      </c>
      <c r="Q284" s="68" t="n">
        <f aca="false">M284*O284</f>
        <v>22.456</v>
      </c>
      <c r="R284" s="68" t="n">
        <f aca="false">N284*O284</f>
        <v>0.943999999999996</v>
      </c>
    </row>
    <row r="285" customFormat="false" ht="15" hidden="false" customHeight="false" outlineLevel="0" collapsed="false">
      <c r="A285" s="47" t="n">
        <v>2</v>
      </c>
      <c r="B285" s="47" t="n">
        <v>16</v>
      </c>
      <c r="C285" s="70" t="s">
        <v>368</v>
      </c>
      <c r="D285" s="47" t="n">
        <v>12</v>
      </c>
      <c r="E285" s="67" t="n">
        <v>3.728</v>
      </c>
      <c r="F285" s="49" t="n">
        <v>3</v>
      </c>
      <c r="G285" s="20"/>
      <c r="H285" s="20"/>
      <c r="I285" s="20"/>
      <c r="J285" s="20"/>
      <c r="K285" s="20"/>
      <c r="L285" s="20"/>
      <c r="M285" s="34" t="n">
        <f aca="false">E285*F285+G285*H285+I285*J285+K285*L285</f>
        <v>11.184</v>
      </c>
      <c r="N285" s="34" t="n">
        <f aca="false">Исходные!$B$12-M285</f>
        <v>0.515999999999998</v>
      </c>
      <c r="O285" s="49" t="n">
        <v>6</v>
      </c>
      <c r="P285" s="47" t="n">
        <f aca="false">(F285+H285+J285+L285)*O285</f>
        <v>18</v>
      </c>
      <c r="Q285" s="68" t="n">
        <f aca="false">M285*O285</f>
        <v>67.104</v>
      </c>
      <c r="R285" s="68" t="n">
        <f aca="false">N285*O285</f>
        <v>3.09599999999999</v>
      </c>
    </row>
    <row r="286" customFormat="false" ht="15" hidden="false" customHeight="false" outlineLevel="0" collapsed="false">
      <c r="A286" s="47" t="n">
        <v>2</v>
      </c>
      <c r="B286" s="47" t="n">
        <v>16</v>
      </c>
      <c r="C286" s="70" t="s">
        <v>368</v>
      </c>
      <c r="D286" s="47" t="n">
        <v>13</v>
      </c>
      <c r="E286" s="67" t="n">
        <v>8.928</v>
      </c>
      <c r="F286" s="49" t="n">
        <v>1</v>
      </c>
      <c r="G286" s="67" t="n">
        <v>2.25</v>
      </c>
      <c r="H286" s="49" t="n">
        <v>1</v>
      </c>
      <c r="I286" s="20"/>
      <c r="J286" s="20"/>
      <c r="K286" s="20"/>
      <c r="L286" s="20"/>
      <c r="M286" s="34" t="n">
        <f aca="false">E286*F286+G286*H286+I286*J286+K286*L286</f>
        <v>11.178</v>
      </c>
      <c r="N286" s="34" t="n">
        <f aca="false">Исходные!$B$12-M286</f>
        <v>0.521999999999999</v>
      </c>
      <c r="O286" s="49" t="n">
        <v>1</v>
      </c>
      <c r="P286" s="47" t="n">
        <f aca="false">(F286+H286+J286+L286)*O286</f>
        <v>2</v>
      </c>
      <c r="Q286" s="68" t="n">
        <f aca="false">M286*O286</f>
        <v>11.178</v>
      </c>
      <c r="R286" s="68" t="n">
        <f aca="false">N286*O286</f>
        <v>0.521999999999999</v>
      </c>
    </row>
    <row r="287" customFormat="false" ht="15" hidden="false" customHeight="false" outlineLevel="0" collapsed="false">
      <c r="A287" s="47" t="n">
        <v>2</v>
      </c>
      <c r="B287" s="47" t="n">
        <v>16</v>
      </c>
      <c r="C287" s="70" t="s">
        <v>368</v>
      </c>
      <c r="D287" s="47" t="n">
        <v>14</v>
      </c>
      <c r="E287" s="67" t="n">
        <v>2.25</v>
      </c>
      <c r="F287" s="49" t="n">
        <v>4</v>
      </c>
      <c r="G287" s="67" t="n">
        <v>2.05</v>
      </c>
      <c r="H287" s="49" t="n">
        <v>1</v>
      </c>
      <c r="I287" s="20"/>
      <c r="J287" s="20"/>
      <c r="K287" s="20"/>
      <c r="L287" s="20"/>
      <c r="M287" s="34" t="n">
        <f aca="false">E287*F287+G287*H287+I287*J287+K287*L287</f>
        <v>11.05</v>
      </c>
      <c r="N287" s="34" t="n">
        <f aca="false">Исходные!$B$12-M287</f>
        <v>0.649999999999999</v>
      </c>
      <c r="O287" s="49" t="n">
        <v>1</v>
      </c>
      <c r="P287" s="47" t="n">
        <f aca="false">(F287+H287+J287+L287)*O287</f>
        <v>5</v>
      </c>
      <c r="Q287" s="68" t="n">
        <f aca="false">M287*O287</f>
        <v>11.05</v>
      </c>
      <c r="R287" s="68" t="n">
        <f aca="false">N287*O287</f>
        <v>0.649999999999999</v>
      </c>
    </row>
    <row r="288" customFormat="false" ht="15" hidden="false" customHeight="false" outlineLevel="0" collapsed="false">
      <c r="A288" s="47" t="n">
        <v>2</v>
      </c>
      <c r="B288" s="47" t="n">
        <v>16</v>
      </c>
      <c r="C288" s="70" t="s">
        <v>368</v>
      </c>
      <c r="D288" s="47" t="n">
        <v>15</v>
      </c>
      <c r="E288" s="67" t="n">
        <v>2.9</v>
      </c>
      <c r="F288" s="49" t="n">
        <v>2</v>
      </c>
      <c r="G288" s="67" t="n">
        <v>2.25</v>
      </c>
      <c r="H288" s="49" t="n">
        <v>2</v>
      </c>
      <c r="I288" s="20"/>
      <c r="J288" s="20"/>
      <c r="K288" s="20"/>
      <c r="L288" s="20"/>
      <c r="M288" s="34" t="n">
        <f aca="false">E288*F288+G288*H288+I288*J288+K288*L288</f>
        <v>10.3</v>
      </c>
      <c r="N288" s="34" t="n">
        <f aca="false">Исходные!$B$12-M288</f>
        <v>1.4</v>
      </c>
      <c r="O288" s="49" t="n">
        <v>1</v>
      </c>
      <c r="P288" s="47" t="n">
        <f aca="false">(F288+H288+J288+L288)*O288</f>
        <v>4</v>
      </c>
      <c r="Q288" s="68" t="n">
        <f aca="false">M288*O288</f>
        <v>10.3</v>
      </c>
      <c r="R288" s="68" t="n">
        <f aca="false">N288*O288</f>
        <v>1.4</v>
      </c>
    </row>
    <row r="289" customFormat="false" ht="15" hidden="false" customHeight="false" outlineLevel="0" collapsed="false">
      <c r="A289" s="47" t="n">
        <v>2</v>
      </c>
      <c r="B289" s="47" t="n">
        <v>16</v>
      </c>
      <c r="C289" s="70" t="s">
        <v>368</v>
      </c>
      <c r="D289" s="47" t="n">
        <v>16</v>
      </c>
      <c r="E289" s="67" t="n">
        <v>1.85</v>
      </c>
      <c r="F289" s="49" t="n">
        <v>2</v>
      </c>
      <c r="G289" s="67" t="n">
        <v>1.45</v>
      </c>
      <c r="H289" s="49" t="n">
        <v>4</v>
      </c>
      <c r="I289" s="20"/>
      <c r="J289" s="20"/>
      <c r="K289" s="20"/>
      <c r="L289" s="20"/>
      <c r="M289" s="34" t="n">
        <f aca="false">E289*F289+G289*H289+I289*J289+K289*L289</f>
        <v>9.5</v>
      </c>
      <c r="N289" s="34" t="n">
        <f aca="false">Исходные!$B$12-M289</f>
        <v>2.2</v>
      </c>
      <c r="O289" s="49" t="n">
        <v>1</v>
      </c>
      <c r="P289" s="47" t="n">
        <f aca="false">(F289+H289+J289+L289)*O289</f>
        <v>6</v>
      </c>
      <c r="Q289" s="68" t="n">
        <f aca="false">M289*O289</f>
        <v>9.5</v>
      </c>
      <c r="R289" s="68" t="n">
        <f aca="false">N289*O289</f>
        <v>2.2</v>
      </c>
    </row>
    <row r="290" customFormat="false" ht="15" hidden="false" customHeight="false" outlineLevel="0" collapsed="false">
      <c r="A290" s="47" t="n">
        <v>2</v>
      </c>
      <c r="B290" s="47" t="n">
        <v>14</v>
      </c>
      <c r="C290" s="70" t="s">
        <v>368</v>
      </c>
      <c r="D290" s="47" t="n">
        <v>1</v>
      </c>
      <c r="E290" s="67" t="n">
        <v>11.7</v>
      </c>
      <c r="F290" s="49" t="n">
        <v>1</v>
      </c>
      <c r="G290" s="20"/>
      <c r="H290" s="20"/>
      <c r="I290" s="20"/>
      <c r="J290" s="20"/>
      <c r="K290" s="20"/>
      <c r="L290" s="20"/>
      <c r="M290" s="34" t="n">
        <f aca="false">E290*F290+G290*H290+I290*J290+K290*L290</f>
        <v>11.7</v>
      </c>
      <c r="N290" s="34" t="n">
        <f aca="false">Исходные!$B$12-M290</f>
        <v>0</v>
      </c>
      <c r="O290" s="49" t="n">
        <v>6</v>
      </c>
      <c r="P290" s="47" t="n">
        <f aca="false">(F290+H290+J290+L290)*O290</f>
        <v>6</v>
      </c>
      <c r="Q290" s="68" t="n">
        <f aca="false">M290*O290</f>
        <v>70.2</v>
      </c>
      <c r="R290" s="68" t="n">
        <f aca="false">N290*O290</f>
        <v>0</v>
      </c>
    </row>
    <row r="291" customFormat="false" ht="15" hidden="false" customHeight="false" outlineLevel="0" collapsed="false">
      <c r="A291" s="47" t="n">
        <v>2</v>
      </c>
      <c r="B291" s="47" t="n">
        <v>14</v>
      </c>
      <c r="C291" s="70" t="s">
        <v>368</v>
      </c>
      <c r="D291" s="47" t="n">
        <v>2</v>
      </c>
      <c r="E291" s="67" t="n">
        <v>4</v>
      </c>
      <c r="F291" s="49" t="n">
        <v>2</v>
      </c>
      <c r="G291" s="67" t="n">
        <v>3.7</v>
      </c>
      <c r="H291" s="49" t="n">
        <v>1</v>
      </c>
      <c r="I291" s="20"/>
      <c r="J291" s="20"/>
      <c r="K291" s="20"/>
      <c r="L291" s="20"/>
      <c r="M291" s="34" t="n">
        <f aca="false">E291*F291+G291*H291+I291*J291+K291*L291</f>
        <v>11.7</v>
      </c>
      <c r="N291" s="34" t="n">
        <f aca="false">Исходные!$B$12-M291</f>
        <v>0</v>
      </c>
      <c r="O291" s="49" t="n">
        <v>1</v>
      </c>
      <c r="P291" s="47" t="n">
        <f aca="false">(F291+H291+J291+L291)*O291</f>
        <v>3</v>
      </c>
      <c r="Q291" s="68" t="n">
        <f aca="false">M291*O291</f>
        <v>11.7</v>
      </c>
      <c r="R291" s="68" t="n">
        <f aca="false">N291*O291</f>
        <v>0</v>
      </c>
    </row>
    <row r="292" customFormat="false" ht="15" hidden="false" customHeight="false" outlineLevel="0" collapsed="false">
      <c r="A292" s="47" t="n">
        <v>2</v>
      </c>
      <c r="B292" s="47" t="n">
        <v>14</v>
      </c>
      <c r="C292" s="70" t="s">
        <v>368</v>
      </c>
      <c r="D292" s="47" t="n">
        <v>3</v>
      </c>
      <c r="E292" s="67" t="n">
        <v>1.95</v>
      </c>
      <c r="F292" s="49" t="n">
        <v>6</v>
      </c>
      <c r="G292" s="20"/>
      <c r="H292" s="20"/>
      <c r="I292" s="20"/>
      <c r="J292" s="20"/>
      <c r="K292" s="20"/>
      <c r="L292" s="20"/>
      <c r="M292" s="34" t="n">
        <f aca="false">E292*F292+G292*H292+I292*J292+K292*L292</f>
        <v>11.7</v>
      </c>
      <c r="N292" s="34" t="n">
        <f aca="false">Исходные!$B$12-M292</f>
        <v>0</v>
      </c>
      <c r="O292" s="49" t="n">
        <v>11</v>
      </c>
      <c r="P292" s="47" t="n">
        <f aca="false">(F292+H292+J292+L292)*O292</f>
        <v>66</v>
      </c>
      <c r="Q292" s="68" t="n">
        <f aca="false">M292*O292</f>
        <v>128.7</v>
      </c>
      <c r="R292" s="68" t="n">
        <f aca="false">N292*O292</f>
        <v>0</v>
      </c>
    </row>
    <row r="293" customFormat="false" ht="15" hidden="false" customHeight="false" outlineLevel="0" collapsed="false">
      <c r="A293" s="47" t="n">
        <v>2</v>
      </c>
      <c r="B293" s="47" t="n">
        <v>14</v>
      </c>
      <c r="C293" s="70" t="s">
        <v>368</v>
      </c>
      <c r="D293" s="47" t="n">
        <v>4</v>
      </c>
      <c r="E293" s="67" t="n">
        <v>3.515</v>
      </c>
      <c r="F293" s="49" t="n">
        <v>2</v>
      </c>
      <c r="G293" s="67" t="n">
        <v>3.4</v>
      </c>
      <c r="H293" s="49" t="n">
        <v>1</v>
      </c>
      <c r="I293" s="67" t="n">
        <v>1.25</v>
      </c>
      <c r="J293" s="49" t="n">
        <v>1</v>
      </c>
      <c r="K293" s="20"/>
      <c r="L293" s="20"/>
      <c r="M293" s="34" t="n">
        <f aca="false">E293*F293+G293*H293+I293*J293+K293*L293</f>
        <v>11.68</v>
      </c>
      <c r="N293" s="34" t="n">
        <f aca="false">Исходные!$B$12-M293</f>
        <v>0.0199999999999996</v>
      </c>
      <c r="O293" s="49" t="n">
        <v>1</v>
      </c>
      <c r="P293" s="47" t="n">
        <f aca="false">(F293+H293+J293+L293)*O293</f>
        <v>4</v>
      </c>
      <c r="Q293" s="68" t="n">
        <f aca="false">M293*O293</f>
        <v>11.68</v>
      </c>
      <c r="R293" s="68" t="n">
        <f aca="false">N293*O293</f>
        <v>0.0199999999999996</v>
      </c>
    </row>
    <row r="294" customFormat="false" ht="15" hidden="false" customHeight="false" outlineLevel="0" collapsed="false">
      <c r="A294" s="47" t="n">
        <v>2</v>
      </c>
      <c r="B294" s="47" t="n">
        <v>14</v>
      </c>
      <c r="C294" s="70" t="s">
        <v>368</v>
      </c>
      <c r="D294" s="47" t="n">
        <v>5</v>
      </c>
      <c r="E294" s="67" t="n">
        <v>3.4</v>
      </c>
      <c r="F294" s="49" t="n">
        <v>1</v>
      </c>
      <c r="G294" s="67" t="n">
        <v>2.85</v>
      </c>
      <c r="H294" s="49" t="n">
        <v>1</v>
      </c>
      <c r="I294" s="67" t="n">
        <v>2.7</v>
      </c>
      <c r="J294" s="49" t="n">
        <v>2</v>
      </c>
      <c r="K294" s="20"/>
      <c r="L294" s="20"/>
      <c r="M294" s="34" t="n">
        <f aca="false">E294*F294+G294*H294+I294*J294+K294*L294</f>
        <v>11.65</v>
      </c>
      <c r="N294" s="34" t="n">
        <f aca="false">Исходные!$B$12-M294</f>
        <v>0.0499999999999989</v>
      </c>
      <c r="O294" s="49" t="n">
        <v>1</v>
      </c>
      <c r="P294" s="47" t="n">
        <f aca="false">(F294+H294+J294+L294)*O294</f>
        <v>4</v>
      </c>
      <c r="Q294" s="68" t="n">
        <f aca="false">M294*O294</f>
        <v>11.65</v>
      </c>
      <c r="R294" s="68" t="n">
        <f aca="false">N294*O294</f>
        <v>0.0499999999999989</v>
      </c>
    </row>
    <row r="295" customFormat="false" ht="15" hidden="false" customHeight="false" outlineLevel="0" collapsed="false">
      <c r="A295" s="47" t="n">
        <v>2</v>
      </c>
      <c r="B295" s="47" t="n">
        <v>14</v>
      </c>
      <c r="C295" s="70" t="s">
        <v>368</v>
      </c>
      <c r="D295" s="47" t="n">
        <v>6</v>
      </c>
      <c r="E295" s="67" t="n">
        <v>1.45</v>
      </c>
      <c r="F295" s="49" t="n">
        <v>8</v>
      </c>
      <c r="G295" s="20"/>
      <c r="H295" s="20"/>
      <c r="I295" s="20"/>
      <c r="J295" s="20"/>
      <c r="K295" s="20"/>
      <c r="L295" s="20"/>
      <c r="M295" s="34" t="n">
        <f aca="false">E295*F295+G295*H295+I295*J295+K295*L295</f>
        <v>11.6</v>
      </c>
      <c r="N295" s="34" t="n">
        <f aca="false">Исходные!$B$12-M295</f>
        <v>0.0999999999999996</v>
      </c>
      <c r="O295" s="49" t="n">
        <v>14</v>
      </c>
      <c r="P295" s="47" t="n">
        <f aca="false">(F295+H295+J295+L295)*O295</f>
        <v>112</v>
      </c>
      <c r="Q295" s="68" t="n">
        <f aca="false">M295*O295</f>
        <v>162.4</v>
      </c>
      <c r="R295" s="68" t="n">
        <f aca="false">N295*O295</f>
        <v>1.4</v>
      </c>
    </row>
    <row r="296" customFormat="false" ht="15" hidden="false" customHeight="false" outlineLevel="0" collapsed="false">
      <c r="A296" s="47" t="n">
        <v>2</v>
      </c>
      <c r="B296" s="47" t="n">
        <v>14</v>
      </c>
      <c r="C296" s="70" t="s">
        <v>368</v>
      </c>
      <c r="D296" s="47" t="n">
        <v>7</v>
      </c>
      <c r="E296" s="67" t="n">
        <v>3.9</v>
      </c>
      <c r="F296" s="49" t="n">
        <v>2</v>
      </c>
      <c r="G296" s="67" t="n">
        <v>3.712</v>
      </c>
      <c r="H296" s="49" t="n">
        <v>1</v>
      </c>
      <c r="I296" s="20"/>
      <c r="J296" s="20"/>
      <c r="K296" s="20"/>
      <c r="L296" s="20"/>
      <c r="M296" s="34" t="n">
        <f aca="false">E296*F296+G296*H296+I296*J296+K296*L296</f>
        <v>11.512</v>
      </c>
      <c r="N296" s="34" t="n">
        <f aca="false">Исходные!$B$12-M296</f>
        <v>0.187999999999999</v>
      </c>
      <c r="O296" s="49" t="n">
        <v>1</v>
      </c>
      <c r="P296" s="47" t="n">
        <f aca="false">(F296+H296+J296+L296)*O296</f>
        <v>3</v>
      </c>
      <c r="Q296" s="68" t="n">
        <f aca="false">M296*O296</f>
        <v>11.512</v>
      </c>
      <c r="R296" s="68" t="n">
        <f aca="false">N296*O296</f>
        <v>0.187999999999999</v>
      </c>
    </row>
    <row r="297" customFormat="false" ht="15" hidden="false" customHeight="false" outlineLevel="0" collapsed="false">
      <c r="A297" s="47" t="n">
        <v>2</v>
      </c>
      <c r="B297" s="47" t="n">
        <v>14</v>
      </c>
      <c r="C297" s="70" t="s">
        <v>368</v>
      </c>
      <c r="D297" s="47" t="n">
        <v>8</v>
      </c>
      <c r="E297" s="67" t="n">
        <v>9.1</v>
      </c>
      <c r="F297" s="49" t="n">
        <v>1</v>
      </c>
      <c r="G297" s="67" t="n">
        <v>2.4</v>
      </c>
      <c r="H297" s="49" t="n">
        <v>1</v>
      </c>
      <c r="I297" s="20"/>
      <c r="J297" s="20"/>
      <c r="K297" s="20"/>
      <c r="L297" s="20"/>
      <c r="M297" s="34" t="n">
        <f aca="false">E297*F297+G297*H297+I297*J297+K297*L297</f>
        <v>11.5</v>
      </c>
      <c r="N297" s="34" t="n">
        <f aca="false">Исходные!$B$12-M297</f>
        <v>0.199999999999999</v>
      </c>
      <c r="O297" s="49" t="n">
        <v>2</v>
      </c>
      <c r="P297" s="47" t="n">
        <f aca="false">(F297+H297+J297+L297)*O297</f>
        <v>4</v>
      </c>
      <c r="Q297" s="68" t="n">
        <f aca="false">M297*O297</f>
        <v>23</v>
      </c>
      <c r="R297" s="68" t="n">
        <f aca="false">N297*O297</f>
        <v>0.399999999999999</v>
      </c>
    </row>
    <row r="298" customFormat="false" ht="15" hidden="false" customHeight="false" outlineLevel="0" collapsed="false">
      <c r="A298" s="47" t="n">
        <v>2</v>
      </c>
      <c r="B298" s="47" t="n">
        <v>14</v>
      </c>
      <c r="C298" s="70" t="s">
        <v>368</v>
      </c>
      <c r="D298" s="47" t="n">
        <v>9</v>
      </c>
      <c r="E298" s="67" t="n">
        <v>9.355</v>
      </c>
      <c r="F298" s="49" t="n">
        <v>1</v>
      </c>
      <c r="G298" s="67" t="n">
        <v>1.95</v>
      </c>
      <c r="H298" s="49" t="n">
        <v>1</v>
      </c>
      <c r="I298" s="20"/>
      <c r="J298" s="20"/>
      <c r="K298" s="20"/>
      <c r="L298" s="20"/>
      <c r="M298" s="34" t="n">
        <f aca="false">E298*F298+G298*H298+I298*J298+K298*L298</f>
        <v>11.305</v>
      </c>
      <c r="N298" s="34" t="n">
        <f aca="false">Исходные!$B$12-M298</f>
        <v>0.395</v>
      </c>
      <c r="O298" s="49" t="n">
        <v>2</v>
      </c>
      <c r="P298" s="47" t="n">
        <f aca="false">(F298+H298+J298+L298)*O298</f>
        <v>4</v>
      </c>
      <c r="Q298" s="68" t="n">
        <f aca="false">M298*O298</f>
        <v>22.61</v>
      </c>
      <c r="R298" s="68" t="n">
        <f aca="false">N298*O298</f>
        <v>0.789999999999999</v>
      </c>
    </row>
    <row r="299" customFormat="false" ht="15" hidden="false" customHeight="false" outlineLevel="0" collapsed="false">
      <c r="A299" s="47" t="n">
        <v>2</v>
      </c>
      <c r="B299" s="47" t="n">
        <v>14</v>
      </c>
      <c r="C299" s="70" t="s">
        <v>368</v>
      </c>
      <c r="D299" s="47" t="n">
        <v>10</v>
      </c>
      <c r="E299" s="67" t="n">
        <v>4.2</v>
      </c>
      <c r="F299" s="49" t="n">
        <v>2</v>
      </c>
      <c r="G299" s="67" t="n">
        <v>2.85</v>
      </c>
      <c r="H299" s="49" t="n">
        <v>1</v>
      </c>
      <c r="I299" s="20"/>
      <c r="J299" s="20"/>
      <c r="K299" s="20"/>
      <c r="L299" s="20"/>
      <c r="M299" s="34" t="n">
        <f aca="false">E299*F299+G299*H299+I299*J299+K299*L299</f>
        <v>11.25</v>
      </c>
      <c r="N299" s="34" t="n">
        <f aca="false">Исходные!$B$12-M299</f>
        <v>0.449999999999999</v>
      </c>
      <c r="O299" s="49" t="n">
        <v>1</v>
      </c>
      <c r="P299" s="47" t="n">
        <f aca="false">(F299+H299+J299+L299)*O299</f>
        <v>3</v>
      </c>
      <c r="Q299" s="68" t="n">
        <f aca="false">M299*O299</f>
        <v>11.25</v>
      </c>
      <c r="R299" s="68" t="n">
        <f aca="false">N299*O299</f>
        <v>0.449999999999999</v>
      </c>
    </row>
    <row r="300" customFormat="false" ht="15" hidden="false" customHeight="false" outlineLevel="0" collapsed="false">
      <c r="A300" s="47" t="n">
        <v>2</v>
      </c>
      <c r="B300" s="47" t="n">
        <v>14</v>
      </c>
      <c r="C300" s="70" t="s">
        <v>368</v>
      </c>
      <c r="D300" s="47" t="n">
        <v>11</v>
      </c>
      <c r="E300" s="67" t="n">
        <v>1.25</v>
      </c>
      <c r="F300" s="49" t="n">
        <v>9</v>
      </c>
      <c r="G300" s="20"/>
      <c r="H300" s="20"/>
      <c r="I300" s="20"/>
      <c r="J300" s="20"/>
      <c r="K300" s="20"/>
      <c r="L300" s="20"/>
      <c r="M300" s="34" t="n">
        <f aca="false">E300*F300+G300*H300+I300*J300+K300*L300</f>
        <v>11.25</v>
      </c>
      <c r="N300" s="34" t="n">
        <f aca="false">Исходные!$B$12-M300</f>
        <v>0.449999999999999</v>
      </c>
      <c r="O300" s="49" t="n">
        <v>3</v>
      </c>
      <c r="P300" s="47" t="n">
        <f aca="false">(F300+H300+J300+L300)*O300</f>
        <v>27</v>
      </c>
      <c r="Q300" s="68" t="n">
        <f aca="false">M300*O300</f>
        <v>33.75</v>
      </c>
      <c r="R300" s="68" t="n">
        <f aca="false">N300*O300</f>
        <v>1.35</v>
      </c>
    </row>
    <row r="301" customFormat="false" ht="15" hidden="false" customHeight="false" outlineLevel="0" collapsed="false">
      <c r="A301" s="47" t="n">
        <v>2</v>
      </c>
      <c r="B301" s="47" t="n">
        <v>14</v>
      </c>
      <c r="C301" s="70" t="s">
        <v>368</v>
      </c>
      <c r="D301" s="47" t="n">
        <v>12</v>
      </c>
      <c r="E301" s="67" t="n">
        <v>1.45</v>
      </c>
      <c r="F301" s="49" t="n">
        <v>6</v>
      </c>
      <c r="G301" s="67" t="n">
        <v>1.25</v>
      </c>
      <c r="H301" s="49" t="n">
        <v>2</v>
      </c>
      <c r="I301" s="20"/>
      <c r="J301" s="20"/>
      <c r="K301" s="20"/>
      <c r="L301" s="20"/>
      <c r="M301" s="34" t="n">
        <f aca="false">E301*F301+G301*H301+I301*J301+K301*L301</f>
        <v>11.2</v>
      </c>
      <c r="N301" s="34" t="n">
        <f aca="false">Исходные!$B$12-M301</f>
        <v>0.5</v>
      </c>
      <c r="O301" s="49" t="n">
        <v>1</v>
      </c>
      <c r="P301" s="47" t="n">
        <f aca="false">(F301+H301+J301+L301)*O301</f>
        <v>8</v>
      </c>
      <c r="Q301" s="68" t="n">
        <f aca="false">M301*O301</f>
        <v>11.2</v>
      </c>
      <c r="R301" s="68" t="n">
        <f aca="false">N301*O301</f>
        <v>0.5</v>
      </c>
    </row>
    <row r="302" customFormat="false" ht="15" hidden="false" customHeight="false" outlineLevel="0" collapsed="false">
      <c r="A302" s="47" t="n">
        <v>2</v>
      </c>
      <c r="B302" s="47" t="n">
        <v>14</v>
      </c>
      <c r="C302" s="70" t="s">
        <v>368</v>
      </c>
      <c r="D302" s="47" t="n">
        <v>13</v>
      </c>
      <c r="E302" s="67" t="n">
        <v>3.712</v>
      </c>
      <c r="F302" s="49" t="n">
        <v>3</v>
      </c>
      <c r="G302" s="20"/>
      <c r="H302" s="20"/>
      <c r="I302" s="20"/>
      <c r="J302" s="20"/>
      <c r="K302" s="20"/>
      <c r="L302" s="20"/>
      <c r="M302" s="34" t="n">
        <f aca="false">E302*F302+G302*H302+I302*J302+K302*L302</f>
        <v>11.136</v>
      </c>
      <c r="N302" s="34" t="n">
        <f aca="false">Исходные!$B$12-M302</f>
        <v>0.563999999999998</v>
      </c>
      <c r="O302" s="49" t="n">
        <v>2</v>
      </c>
      <c r="P302" s="47" t="n">
        <f aca="false">(F302+H302+J302+L302)*O302</f>
        <v>6</v>
      </c>
      <c r="Q302" s="68" t="n">
        <f aca="false">M302*O302</f>
        <v>22.272</v>
      </c>
      <c r="R302" s="68" t="n">
        <f aca="false">N302*O302</f>
        <v>1.128</v>
      </c>
    </row>
    <row r="303" customFormat="false" ht="15" hidden="false" customHeight="false" outlineLevel="0" collapsed="false">
      <c r="A303" s="47" t="n">
        <v>2</v>
      </c>
      <c r="B303" s="47" t="n">
        <v>14</v>
      </c>
      <c r="C303" s="70" t="s">
        <v>368</v>
      </c>
      <c r="D303" s="47" t="n">
        <v>14</v>
      </c>
      <c r="E303" s="67" t="n">
        <v>3.712</v>
      </c>
      <c r="F303" s="49" t="n">
        <v>1</v>
      </c>
      <c r="G303" s="67" t="n">
        <v>3.7</v>
      </c>
      <c r="H303" s="49" t="n">
        <v>2</v>
      </c>
      <c r="I303" s="20"/>
      <c r="J303" s="20"/>
      <c r="K303" s="20"/>
      <c r="L303" s="20"/>
      <c r="M303" s="34" t="n">
        <f aca="false">E303*F303+G303*H303+I303*J303+K303*L303</f>
        <v>11.112</v>
      </c>
      <c r="N303" s="34" t="n">
        <f aca="false">Исходные!$B$12-M303</f>
        <v>0.587999999999999</v>
      </c>
      <c r="O303" s="49" t="n">
        <v>1</v>
      </c>
      <c r="P303" s="47" t="n">
        <f aca="false">(F303+H303+J303+L303)*O303</f>
        <v>3</v>
      </c>
      <c r="Q303" s="68" t="n">
        <f aca="false">M303*O303</f>
        <v>11.112</v>
      </c>
      <c r="R303" s="68" t="n">
        <f aca="false">N303*O303</f>
        <v>0.587999999999999</v>
      </c>
    </row>
    <row r="304" customFormat="false" ht="15" hidden="false" customHeight="false" outlineLevel="0" collapsed="false">
      <c r="A304" s="47" t="n">
        <v>2</v>
      </c>
      <c r="B304" s="47" t="n">
        <v>14</v>
      </c>
      <c r="C304" s="70" t="s">
        <v>368</v>
      </c>
      <c r="D304" s="47" t="n">
        <v>15</v>
      </c>
      <c r="E304" s="67" t="n">
        <v>3.7</v>
      </c>
      <c r="F304" s="49" t="n">
        <v>3</v>
      </c>
      <c r="G304" s="20"/>
      <c r="H304" s="20"/>
      <c r="I304" s="20"/>
      <c r="J304" s="20"/>
      <c r="K304" s="20"/>
      <c r="L304" s="20"/>
      <c r="M304" s="34" t="n">
        <f aca="false">E304*F304+G304*H304+I304*J304+K304*L304</f>
        <v>11.1</v>
      </c>
      <c r="N304" s="34" t="n">
        <f aca="false">Исходные!$B$12-M304</f>
        <v>0.599999999999998</v>
      </c>
      <c r="O304" s="49" t="n">
        <v>1</v>
      </c>
      <c r="P304" s="47" t="n">
        <f aca="false">(F304+H304+J304+L304)*O304</f>
        <v>3</v>
      </c>
      <c r="Q304" s="68" t="n">
        <f aca="false">M304*O304</f>
        <v>11.1</v>
      </c>
      <c r="R304" s="68" t="n">
        <f aca="false">N304*O304</f>
        <v>0.599999999999998</v>
      </c>
    </row>
    <row r="305" customFormat="false" ht="15" hidden="false" customHeight="false" outlineLevel="0" collapsed="false">
      <c r="A305" s="47" t="n">
        <v>2</v>
      </c>
      <c r="B305" s="47" t="n">
        <v>14</v>
      </c>
      <c r="C305" s="70" t="s">
        <v>368</v>
      </c>
      <c r="D305" s="47" t="n">
        <v>16</v>
      </c>
      <c r="E305" s="67" t="n">
        <v>9.1</v>
      </c>
      <c r="F305" s="49" t="n">
        <v>1</v>
      </c>
      <c r="G305" s="67" t="n">
        <v>1.95</v>
      </c>
      <c r="H305" s="49" t="n">
        <v>1</v>
      </c>
      <c r="I305" s="20"/>
      <c r="J305" s="20"/>
      <c r="K305" s="20"/>
      <c r="L305" s="20"/>
      <c r="M305" s="34" t="n">
        <f aca="false">E305*F305+G305*H305+I305*J305+K305*L305</f>
        <v>11.05</v>
      </c>
      <c r="N305" s="34" t="n">
        <f aca="false">Исходные!$B$12-M305</f>
        <v>0.65</v>
      </c>
      <c r="O305" s="49" t="n">
        <v>2</v>
      </c>
      <c r="P305" s="47" t="n">
        <f aca="false">(F305+H305+J305+L305)*O305</f>
        <v>4</v>
      </c>
      <c r="Q305" s="68" t="n">
        <f aca="false">M305*O305</f>
        <v>22.1</v>
      </c>
      <c r="R305" s="68" t="n">
        <f aca="false">N305*O305</f>
        <v>1.3</v>
      </c>
    </row>
    <row r="306" customFormat="false" ht="15" hidden="false" customHeight="false" outlineLevel="0" collapsed="false">
      <c r="A306" s="47" t="n">
        <v>2</v>
      </c>
      <c r="B306" s="47" t="n">
        <v>14</v>
      </c>
      <c r="C306" s="70" t="s">
        <v>368</v>
      </c>
      <c r="D306" s="47" t="n">
        <v>17</v>
      </c>
      <c r="E306" s="67" t="n">
        <v>1.25</v>
      </c>
      <c r="F306" s="49" t="n">
        <v>2</v>
      </c>
      <c r="G306" s="67" t="n">
        <v>1.2</v>
      </c>
      <c r="H306" s="49" t="n">
        <v>7</v>
      </c>
      <c r="I306" s="20"/>
      <c r="J306" s="20"/>
      <c r="K306" s="20"/>
      <c r="L306" s="20"/>
      <c r="M306" s="34" t="n">
        <f aca="false">E306*F306+G306*H306+I306*J306+K306*L306</f>
        <v>10.9</v>
      </c>
      <c r="N306" s="34" t="n">
        <f aca="false">Исходные!$B$12-M306</f>
        <v>0.799999999999999</v>
      </c>
      <c r="O306" s="49" t="n">
        <v>1</v>
      </c>
      <c r="P306" s="47" t="n">
        <f aca="false">(F306+H306+J306+L306)*O306</f>
        <v>9</v>
      </c>
      <c r="Q306" s="68" t="n">
        <f aca="false">M306*O306</f>
        <v>10.9</v>
      </c>
      <c r="R306" s="68" t="n">
        <f aca="false">N306*O306</f>
        <v>0.799999999999999</v>
      </c>
    </row>
    <row r="307" customFormat="false" ht="15" hidden="false" customHeight="false" outlineLevel="0" collapsed="false">
      <c r="A307" s="47" t="n">
        <v>2</v>
      </c>
      <c r="B307" s="47" t="n">
        <v>14</v>
      </c>
      <c r="C307" s="70" t="s">
        <v>368</v>
      </c>
      <c r="D307" s="47" t="n">
        <v>18</v>
      </c>
      <c r="E307" s="67" t="n">
        <v>1.2</v>
      </c>
      <c r="F307" s="49" t="n">
        <v>9</v>
      </c>
      <c r="G307" s="20"/>
      <c r="H307" s="20"/>
      <c r="I307" s="20"/>
      <c r="J307" s="20"/>
      <c r="K307" s="20"/>
      <c r="L307" s="20"/>
      <c r="M307" s="34" t="n">
        <f aca="false">E307*F307+G307*H307+I307*J307+K307*L307</f>
        <v>10.8</v>
      </c>
      <c r="N307" s="34" t="n">
        <f aca="false">Исходные!$B$12-M307</f>
        <v>0.9</v>
      </c>
      <c r="O307" s="49" t="n">
        <v>1</v>
      </c>
      <c r="P307" s="47" t="n">
        <f aca="false">(F307+H307+J307+L307)*O307</f>
        <v>9</v>
      </c>
      <c r="Q307" s="68" t="n">
        <f aca="false">M307*O307</f>
        <v>10.8</v>
      </c>
      <c r="R307" s="68" t="n">
        <f aca="false">N307*O307</f>
        <v>0.9</v>
      </c>
    </row>
    <row r="308" customFormat="false" ht="15" hidden="false" customHeight="false" outlineLevel="0" collapsed="false">
      <c r="A308" s="47" t="n">
        <v>2</v>
      </c>
      <c r="B308" s="47" t="n">
        <v>14</v>
      </c>
      <c r="C308" s="70" t="s">
        <v>368</v>
      </c>
      <c r="D308" s="47" t="n">
        <v>19</v>
      </c>
      <c r="E308" s="67" t="n">
        <v>1.95</v>
      </c>
      <c r="F308" s="49" t="n">
        <v>4</v>
      </c>
      <c r="G308" s="67" t="n">
        <v>1.45</v>
      </c>
      <c r="H308" s="49" t="n">
        <v>2</v>
      </c>
      <c r="I308" s="20"/>
      <c r="J308" s="20"/>
      <c r="K308" s="20"/>
      <c r="L308" s="20"/>
      <c r="M308" s="34" t="n">
        <f aca="false">E308*F308+G308*H308+I308*J308+K308*L308</f>
        <v>10.7</v>
      </c>
      <c r="N308" s="34" t="n">
        <f aca="false">Исходные!$B$12-M308</f>
        <v>1</v>
      </c>
      <c r="O308" s="49" t="n">
        <v>1</v>
      </c>
      <c r="P308" s="47" t="n">
        <f aca="false">(F308+H308+J308+L308)*O308</f>
        <v>6</v>
      </c>
      <c r="Q308" s="68" t="n">
        <f aca="false">M308*O308</f>
        <v>10.7</v>
      </c>
      <c r="R308" s="68" t="n">
        <f aca="false">N308*O308</f>
        <v>1</v>
      </c>
    </row>
    <row r="309" customFormat="false" ht="15" hidden="false" customHeight="false" outlineLevel="0" collapsed="false">
      <c r="A309" s="47" t="n">
        <v>2</v>
      </c>
      <c r="B309" s="47" t="n">
        <v>14</v>
      </c>
      <c r="C309" s="70" t="s">
        <v>368</v>
      </c>
      <c r="D309" s="47" t="n">
        <v>20</v>
      </c>
      <c r="E309" s="67" t="n">
        <v>1.2</v>
      </c>
      <c r="F309" s="49" t="n">
        <v>2</v>
      </c>
      <c r="G309" s="20"/>
      <c r="H309" s="20"/>
      <c r="I309" s="20"/>
      <c r="J309" s="20"/>
      <c r="K309" s="20"/>
      <c r="L309" s="20"/>
      <c r="M309" s="34" t="n">
        <f aca="false">E309*F309+G309*H309+I309*J309+K309*L309</f>
        <v>2.4</v>
      </c>
      <c r="N309" s="34" t="n">
        <f aca="false">Исходные!$B$12-M309</f>
        <v>9.3</v>
      </c>
      <c r="O309" s="49" t="n">
        <v>1</v>
      </c>
      <c r="P309" s="47" t="n">
        <f aca="false">(F309+H309+J309+L309)*O309</f>
        <v>2</v>
      </c>
      <c r="Q309" s="68" t="n">
        <f aca="false">M309*O309</f>
        <v>2.4</v>
      </c>
      <c r="R309" s="68" t="n">
        <f aca="false">N309*O309</f>
        <v>9.3</v>
      </c>
    </row>
    <row r="310" customFormat="false" ht="15" hidden="false" customHeight="false" outlineLevel="0" collapsed="false">
      <c r="A310" s="47" t="n">
        <v>2</v>
      </c>
      <c r="B310" s="47" t="n">
        <v>12</v>
      </c>
      <c r="C310" s="70" t="s">
        <v>368</v>
      </c>
      <c r="D310" s="47" t="n">
        <v>1</v>
      </c>
      <c r="E310" s="67" t="n">
        <v>11.7</v>
      </c>
      <c r="F310" s="49" t="n">
        <v>1</v>
      </c>
      <c r="G310" s="20"/>
      <c r="H310" s="20"/>
      <c r="I310" s="20"/>
      <c r="J310" s="20"/>
      <c r="K310" s="20"/>
      <c r="L310" s="20"/>
      <c r="M310" s="34" t="n">
        <f aca="false">E310*F310+G310*H310+I310*J310+K310*L310</f>
        <v>11.7</v>
      </c>
      <c r="N310" s="34" t="n">
        <f aca="false">Исходные!$B$12-M310</f>
        <v>0</v>
      </c>
      <c r="O310" s="49" t="n">
        <v>8</v>
      </c>
      <c r="P310" s="47" t="n">
        <f aca="false">(F310+H310+J310+L310)*O310</f>
        <v>8</v>
      </c>
      <c r="Q310" s="68" t="n">
        <f aca="false">M310*O310</f>
        <v>93.6</v>
      </c>
      <c r="R310" s="68" t="n">
        <f aca="false">N310*O310</f>
        <v>0</v>
      </c>
    </row>
    <row r="311" customFormat="false" ht="15" hidden="false" customHeight="false" outlineLevel="0" collapsed="false">
      <c r="A311" s="47" t="n">
        <v>2</v>
      </c>
      <c r="B311" s="47" t="n">
        <v>12</v>
      </c>
      <c r="C311" s="70" t="s">
        <v>368</v>
      </c>
      <c r="D311" s="47" t="n">
        <v>2</v>
      </c>
      <c r="E311" s="67" t="n">
        <v>1.95</v>
      </c>
      <c r="F311" s="49" t="n">
        <v>6</v>
      </c>
      <c r="G311" s="20"/>
      <c r="H311" s="20"/>
      <c r="I311" s="20"/>
      <c r="J311" s="20"/>
      <c r="K311" s="20"/>
      <c r="L311" s="20"/>
      <c r="M311" s="34" t="n">
        <f aca="false">E311*F311+G311*H311+I311*J311+K311*L311</f>
        <v>11.7</v>
      </c>
      <c r="N311" s="34" t="n">
        <f aca="false">Исходные!$B$12-M311</f>
        <v>0</v>
      </c>
      <c r="O311" s="49" t="n">
        <v>2</v>
      </c>
      <c r="P311" s="47" t="n">
        <f aca="false">(F311+H311+J311+L311)*O311</f>
        <v>12</v>
      </c>
      <c r="Q311" s="68" t="n">
        <f aca="false">M311*O311</f>
        <v>23.4</v>
      </c>
      <c r="R311" s="68" t="n">
        <f aca="false">N311*O311</f>
        <v>0</v>
      </c>
    </row>
    <row r="312" customFormat="false" ht="15" hidden="false" customHeight="false" outlineLevel="0" collapsed="false">
      <c r="A312" s="47" t="n">
        <v>2</v>
      </c>
      <c r="B312" s="47" t="n">
        <v>12</v>
      </c>
      <c r="C312" s="70" t="s">
        <v>368</v>
      </c>
      <c r="D312" s="47" t="n">
        <v>3</v>
      </c>
      <c r="E312" s="67" t="n">
        <v>1.4</v>
      </c>
      <c r="F312" s="49" t="n">
        <v>3</v>
      </c>
      <c r="G312" s="67" t="n">
        <v>1.25</v>
      </c>
      <c r="H312" s="49" t="n">
        <v>6</v>
      </c>
      <c r="I312" s="20"/>
      <c r="J312" s="20"/>
      <c r="K312" s="20"/>
      <c r="L312" s="20"/>
      <c r="M312" s="34" t="n">
        <f aca="false">E312*F312+G312*H312+I312*J312+K312*L312</f>
        <v>11.7</v>
      </c>
      <c r="N312" s="34" t="n">
        <f aca="false">Исходные!$B$12-M312</f>
        <v>0</v>
      </c>
      <c r="O312" s="49" t="n">
        <v>1</v>
      </c>
      <c r="P312" s="47" t="n">
        <f aca="false">(F312+H312+J312+L312)*O312</f>
        <v>9</v>
      </c>
      <c r="Q312" s="68" t="n">
        <f aca="false">M312*O312</f>
        <v>11.7</v>
      </c>
      <c r="R312" s="68" t="n">
        <f aca="false">N312*O312</f>
        <v>0</v>
      </c>
    </row>
    <row r="313" customFormat="false" ht="15" hidden="false" customHeight="false" outlineLevel="0" collapsed="false">
      <c r="A313" s="47" t="n">
        <v>2</v>
      </c>
      <c r="B313" s="47" t="n">
        <v>12</v>
      </c>
      <c r="C313" s="70" t="s">
        <v>368</v>
      </c>
      <c r="D313" s="47" t="n">
        <v>4</v>
      </c>
      <c r="E313" s="67" t="n">
        <v>2.05</v>
      </c>
      <c r="F313" s="49" t="n">
        <v>5</v>
      </c>
      <c r="G313" s="67" t="n">
        <v>1.4</v>
      </c>
      <c r="H313" s="49" t="n">
        <v>1</v>
      </c>
      <c r="I313" s="20"/>
      <c r="J313" s="20"/>
      <c r="K313" s="20"/>
      <c r="L313" s="20"/>
      <c r="M313" s="34" t="n">
        <f aca="false">E313*F313+G313*H313+I313*J313+K313*L313</f>
        <v>11.65</v>
      </c>
      <c r="N313" s="34" t="n">
        <f aca="false">Исходные!$B$12-M313</f>
        <v>0.0499999999999989</v>
      </c>
      <c r="O313" s="49" t="n">
        <v>1</v>
      </c>
      <c r="P313" s="47" t="n">
        <f aca="false">(F313+H313+J313+L313)*O313</f>
        <v>6</v>
      </c>
      <c r="Q313" s="68" t="n">
        <f aca="false">M313*O313</f>
        <v>11.65</v>
      </c>
      <c r="R313" s="68" t="n">
        <f aca="false">N313*O313</f>
        <v>0.0499999999999989</v>
      </c>
    </row>
    <row r="314" customFormat="false" ht="15" hidden="false" customHeight="false" outlineLevel="0" collapsed="false">
      <c r="A314" s="47" t="n">
        <v>2</v>
      </c>
      <c r="B314" s="47" t="n">
        <v>12</v>
      </c>
      <c r="C314" s="70" t="s">
        <v>368</v>
      </c>
      <c r="D314" s="47" t="n">
        <v>5</v>
      </c>
      <c r="E314" s="67" t="n">
        <v>3.4</v>
      </c>
      <c r="F314" s="49" t="n">
        <v>3</v>
      </c>
      <c r="G314" s="67" t="n">
        <v>1.4</v>
      </c>
      <c r="H314" s="49" t="n">
        <v>1</v>
      </c>
      <c r="I314" s="20"/>
      <c r="J314" s="20"/>
      <c r="K314" s="20"/>
      <c r="L314" s="20"/>
      <c r="M314" s="34" t="n">
        <f aca="false">E314*F314+G314*H314+I314*J314+K314*L314</f>
        <v>11.6</v>
      </c>
      <c r="N314" s="34" t="n">
        <f aca="false">Исходные!$B$12-M314</f>
        <v>0.0999999999999996</v>
      </c>
      <c r="O314" s="49" t="n">
        <v>1</v>
      </c>
      <c r="P314" s="47" t="n">
        <f aca="false">(F314+H314+J314+L314)*O314</f>
        <v>4</v>
      </c>
      <c r="Q314" s="68" t="n">
        <f aca="false">M314*O314</f>
        <v>11.6</v>
      </c>
      <c r="R314" s="68" t="n">
        <f aca="false">N314*O314</f>
        <v>0.0999999999999996</v>
      </c>
    </row>
    <row r="315" customFormat="false" ht="15" hidden="false" customHeight="false" outlineLevel="0" collapsed="false">
      <c r="A315" s="47" t="n">
        <v>2</v>
      </c>
      <c r="B315" s="47" t="n">
        <v>12</v>
      </c>
      <c r="C315" s="70" t="s">
        <v>368</v>
      </c>
      <c r="D315" s="47" t="n">
        <v>6</v>
      </c>
      <c r="E315" s="67" t="n">
        <v>2.4</v>
      </c>
      <c r="F315" s="49" t="n">
        <v>1</v>
      </c>
      <c r="G315" s="67" t="n">
        <v>2.3</v>
      </c>
      <c r="H315" s="49" t="n">
        <v>4</v>
      </c>
      <c r="I315" s="20"/>
      <c r="J315" s="20"/>
      <c r="K315" s="20"/>
      <c r="L315" s="20"/>
      <c r="M315" s="34" t="n">
        <f aca="false">E315*F315+G315*H315+I315*J315+K315*L315</f>
        <v>11.6</v>
      </c>
      <c r="N315" s="34" t="n">
        <f aca="false">Исходные!$B$12-M315</f>
        <v>0.0999999999999996</v>
      </c>
      <c r="O315" s="49" t="n">
        <v>1</v>
      </c>
      <c r="P315" s="47" t="n">
        <f aca="false">(F315+H315+J315+L315)*O315</f>
        <v>5</v>
      </c>
      <c r="Q315" s="68" t="n">
        <f aca="false">M315*O315</f>
        <v>11.6</v>
      </c>
      <c r="R315" s="68" t="n">
        <f aca="false">N315*O315</f>
        <v>0.0999999999999996</v>
      </c>
    </row>
    <row r="316" customFormat="false" ht="15" hidden="false" customHeight="false" outlineLevel="0" collapsed="false">
      <c r="A316" s="47" t="n">
        <v>2</v>
      </c>
      <c r="B316" s="47" t="n">
        <v>12</v>
      </c>
      <c r="C316" s="70" t="s">
        <v>368</v>
      </c>
      <c r="D316" s="47" t="n">
        <v>7</v>
      </c>
      <c r="E316" s="67" t="n">
        <v>1.95</v>
      </c>
      <c r="F316" s="49" t="n">
        <v>1</v>
      </c>
      <c r="G316" s="67" t="n">
        <v>1.4</v>
      </c>
      <c r="H316" s="49" t="n">
        <v>6</v>
      </c>
      <c r="I316" s="67" t="n">
        <v>1.25</v>
      </c>
      <c r="J316" s="49" t="n">
        <v>1</v>
      </c>
      <c r="K316" s="20"/>
      <c r="L316" s="20"/>
      <c r="M316" s="34" t="n">
        <f aca="false">E316*F316+G316*H316+I316*J316+K316*L316</f>
        <v>11.6</v>
      </c>
      <c r="N316" s="34" t="n">
        <f aca="false">Исходные!$B$12-M316</f>
        <v>0.100000000000001</v>
      </c>
      <c r="O316" s="49" t="n">
        <v>1</v>
      </c>
      <c r="P316" s="47" t="n">
        <f aca="false">(F316+H316+J316+L316)*O316</f>
        <v>8</v>
      </c>
      <c r="Q316" s="68" t="n">
        <f aca="false">M316*O316</f>
        <v>11.6</v>
      </c>
      <c r="R316" s="68" t="n">
        <f aca="false">N316*O316</f>
        <v>0.100000000000001</v>
      </c>
    </row>
    <row r="317" customFormat="false" ht="15" hidden="false" customHeight="false" outlineLevel="0" collapsed="false">
      <c r="A317" s="47" t="n">
        <v>2</v>
      </c>
      <c r="B317" s="47" t="n">
        <v>12</v>
      </c>
      <c r="C317" s="70" t="s">
        <v>368</v>
      </c>
      <c r="D317" s="47" t="n">
        <v>8</v>
      </c>
      <c r="E317" s="67" t="n">
        <v>2.05</v>
      </c>
      <c r="F317" s="49" t="n">
        <v>4</v>
      </c>
      <c r="G317" s="67" t="n">
        <v>1.95</v>
      </c>
      <c r="H317" s="49" t="n">
        <v>1</v>
      </c>
      <c r="I317" s="67" t="n">
        <v>1.4</v>
      </c>
      <c r="J317" s="49" t="n">
        <v>1</v>
      </c>
      <c r="K317" s="20"/>
      <c r="L317" s="20"/>
      <c r="M317" s="34" t="n">
        <f aca="false">E317*F317+G317*H317+I317*J317+K317*L317</f>
        <v>11.55</v>
      </c>
      <c r="N317" s="34" t="n">
        <f aca="false">Исходные!$B$12-M317</f>
        <v>0.15</v>
      </c>
      <c r="O317" s="49" t="n">
        <v>1</v>
      </c>
      <c r="P317" s="47" t="n">
        <f aca="false">(F317+H317+J317+L317)*O317</f>
        <v>6</v>
      </c>
      <c r="Q317" s="68" t="n">
        <f aca="false">M317*O317</f>
        <v>11.55</v>
      </c>
      <c r="R317" s="68" t="n">
        <f aca="false">N317*O317</f>
        <v>0.15</v>
      </c>
    </row>
    <row r="318" customFormat="false" ht="15" hidden="false" customHeight="false" outlineLevel="0" collapsed="false">
      <c r="A318" s="47" t="n">
        <v>2</v>
      </c>
      <c r="B318" s="47" t="n">
        <v>12</v>
      </c>
      <c r="C318" s="70" t="s">
        <v>368</v>
      </c>
      <c r="D318" s="47" t="n">
        <v>9</v>
      </c>
      <c r="E318" s="67" t="n">
        <v>3.8</v>
      </c>
      <c r="F318" s="49" t="n">
        <v>3</v>
      </c>
      <c r="G318" s="20"/>
      <c r="H318" s="20"/>
      <c r="I318" s="20"/>
      <c r="J318" s="20"/>
      <c r="K318" s="20"/>
      <c r="L318" s="20"/>
      <c r="M318" s="34" t="n">
        <f aca="false">E318*F318+G318*H318+I318*J318+K318*L318</f>
        <v>11.4</v>
      </c>
      <c r="N318" s="34" t="n">
        <f aca="false">Исходные!$B$12-M318</f>
        <v>0.300000000000001</v>
      </c>
      <c r="O318" s="49" t="n">
        <v>2</v>
      </c>
      <c r="P318" s="47" t="n">
        <f aca="false">(F318+H318+J318+L318)*O318</f>
        <v>6</v>
      </c>
      <c r="Q318" s="68" t="n">
        <f aca="false">M318*O318</f>
        <v>22.8</v>
      </c>
      <c r="R318" s="68" t="n">
        <f aca="false">N318*O318</f>
        <v>0.600000000000001</v>
      </c>
    </row>
    <row r="319" customFormat="false" ht="15" hidden="false" customHeight="false" outlineLevel="0" collapsed="false">
      <c r="A319" s="47" t="n">
        <v>2</v>
      </c>
      <c r="B319" s="47" t="n">
        <v>12</v>
      </c>
      <c r="C319" s="70" t="s">
        <v>368</v>
      </c>
      <c r="D319" s="47" t="n">
        <v>10</v>
      </c>
      <c r="E319" s="67" t="n">
        <v>1.25</v>
      </c>
      <c r="F319" s="49" t="n">
        <v>9</v>
      </c>
      <c r="G319" s="20"/>
      <c r="H319" s="20"/>
      <c r="I319" s="20"/>
      <c r="J319" s="20"/>
      <c r="K319" s="20"/>
      <c r="L319" s="20"/>
      <c r="M319" s="34" t="n">
        <f aca="false">E319*F319+G319*H319+I319*J319+K319*L319</f>
        <v>11.25</v>
      </c>
      <c r="N319" s="34" t="n">
        <f aca="false">Исходные!$B$12-M319</f>
        <v>0.449999999999999</v>
      </c>
      <c r="O319" s="49" t="n">
        <v>5</v>
      </c>
      <c r="P319" s="47" t="n">
        <f aca="false">(F319+H319+J319+L319)*O319</f>
        <v>45</v>
      </c>
      <c r="Q319" s="68" t="n">
        <f aca="false">M319*O319</f>
        <v>56.25</v>
      </c>
      <c r="R319" s="68" t="n">
        <f aca="false">N319*O319</f>
        <v>2.25</v>
      </c>
    </row>
    <row r="320" customFormat="false" ht="15" hidden="false" customHeight="false" outlineLevel="0" collapsed="false">
      <c r="A320" s="47" t="n">
        <v>2</v>
      </c>
      <c r="B320" s="47" t="n">
        <v>12</v>
      </c>
      <c r="C320" s="70" t="s">
        <v>368</v>
      </c>
      <c r="D320" s="47" t="n">
        <v>11</v>
      </c>
      <c r="E320" s="67" t="n">
        <v>3.8</v>
      </c>
      <c r="F320" s="49" t="n">
        <v>2</v>
      </c>
      <c r="G320" s="67" t="n">
        <v>3.6</v>
      </c>
      <c r="H320" s="49" t="n">
        <v>1</v>
      </c>
      <c r="I320" s="20"/>
      <c r="J320" s="20"/>
      <c r="K320" s="20"/>
      <c r="L320" s="20"/>
      <c r="M320" s="34" t="n">
        <f aca="false">E320*F320+G320*H320+I320*J320+K320*L320</f>
        <v>11.2</v>
      </c>
      <c r="N320" s="34" t="n">
        <f aca="false">Исходные!$B$12-M320</f>
        <v>0.5</v>
      </c>
      <c r="O320" s="49" t="n">
        <v>1</v>
      </c>
      <c r="P320" s="47" t="n">
        <f aca="false">(F320+H320+J320+L320)*O320</f>
        <v>3</v>
      </c>
      <c r="Q320" s="68" t="n">
        <f aca="false">M320*O320</f>
        <v>11.2</v>
      </c>
      <c r="R320" s="68" t="n">
        <f aca="false">N320*O320</f>
        <v>0.5</v>
      </c>
    </row>
    <row r="321" customFormat="false" ht="15" hidden="false" customHeight="false" outlineLevel="0" collapsed="false">
      <c r="A321" s="47" t="n">
        <v>2</v>
      </c>
      <c r="B321" s="47" t="n">
        <v>12</v>
      </c>
      <c r="C321" s="70" t="s">
        <v>368</v>
      </c>
      <c r="D321" s="47" t="n">
        <v>12</v>
      </c>
      <c r="E321" s="67" t="n">
        <v>1.25</v>
      </c>
      <c r="F321" s="49" t="n">
        <v>6</v>
      </c>
      <c r="G321" s="67" t="n">
        <v>1.2</v>
      </c>
      <c r="H321" s="49" t="n">
        <v>3</v>
      </c>
      <c r="I321" s="20"/>
      <c r="J321" s="20"/>
      <c r="K321" s="20"/>
      <c r="L321" s="20"/>
      <c r="M321" s="34" t="n">
        <f aca="false">E321*F321+G321*H321+I321*J321+K321*L321</f>
        <v>11.1</v>
      </c>
      <c r="N321" s="34" t="n">
        <f aca="false">Исходные!$B$12-M321</f>
        <v>0.6</v>
      </c>
      <c r="O321" s="49" t="n">
        <v>1</v>
      </c>
      <c r="P321" s="47" t="n">
        <f aca="false">(F321+H321+J321+L321)*O321</f>
        <v>9</v>
      </c>
      <c r="Q321" s="68" t="n">
        <f aca="false">M321*O321</f>
        <v>11.1</v>
      </c>
      <c r="R321" s="68" t="n">
        <f aca="false">N321*O321</f>
        <v>0.6</v>
      </c>
    </row>
    <row r="322" customFormat="false" ht="15" hidden="false" customHeight="false" outlineLevel="0" collapsed="false">
      <c r="A322" s="47" t="n">
        <v>2</v>
      </c>
      <c r="B322" s="47" t="n">
        <v>12</v>
      </c>
      <c r="C322" s="70" t="s">
        <v>368</v>
      </c>
      <c r="D322" s="47" t="n">
        <v>13</v>
      </c>
      <c r="E322" s="67" t="n">
        <v>5.5</v>
      </c>
      <c r="F322" s="49" t="n">
        <v>2</v>
      </c>
      <c r="G322" s="20"/>
      <c r="H322" s="20"/>
      <c r="I322" s="20"/>
      <c r="J322" s="20"/>
      <c r="K322" s="20"/>
      <c r="L322" s="20"/>
      <c r="M322" s="34" t="n">
        <f aca="false">E322*F322+G322*H322+I322*J322+K322*L322</f>
        <v>11</v>
      </c>
      <c r="N322" s="34" t="n">
        <f aca="false">Исходные!$B$12-M322</f>
        <v>0.699999999999999</v>
      </c>
      <c r="O322" s="49" t="n">
        <v>1</v>
      </c>
      <c r="P322" s="47" t="n">
        <f aca="false">(F322+H322+J322+L322)*O322</f>
        <v>2</v>
      </c>
      <c r="Q322" s="68" t="n">
        <f aca="false">M322*O322</f>
        <v>11</v>
      </c>
      <c r="R322" s="68" t="n">
        <f aca="false">N322*O322</f>
        <v>0.699999999999999</v>
      </c>
    </row>
    <row r="323" customFormat="false" ht="15" hidden="false" customHeight="false" outlineLevel="0" collapsed="false">
      <c r="A323" s="47" t="n">
        <v>2</v>
      </c>
      <c r="B323" s="47" t="n">
        <v>12</v>
      </c>
      <c r="C323" s="70" t="s">
        <v>368</v>
      </c>
      <c r="D323" s="47" t="n">
        <v>14</v>
      </c>
      <c r="E323" s="67" t="n">
        <v>2.2</v>
      </c>
      <c r="F323" s="49" t="n">
        <v>5</v>
      </c>
      <c r="G323" s="20"/>
      <c r="H323" s="20"/>
      <c r="I323" s="20"/>
      <c r="J323" s="20"/>
      <c r="K323" s="20"/>
      <c r="L323" s="20"/>
      <c r="M323" s="34" t="n">
        <f aca="false">E323*F323+G323*H323+I323*J323+K323*L323</f>
        <v>11</v>
      </c>
      <c r="N323" s="34" t="n">
        <f aca="false">Исходные!$B$12-M323</f>
        <v>0.699999999999999</v>
      </c>
      <c r="O323" s="49" t="n">
        <v>2</v>
      </c>
      <c r="P323" s="47" t="n">
        <f aca="false">(F323+H323+J323+L323)*O323</f>
        <v>10</v>
      </c>
      <c r="Q323" s="68" t="n">
        <f aca="false">M323*O323</f>
        <v>22</v>
      </c>
      <c r="R323" s="68" t="n">
        <f aca="false">N323*O323</f>
        <v>1.4</v>
      </c>
    </row>
    <row r="324" customFormat="false" ht="15" hidden="false" customHeight="false" outlineLevel="0" collapsed="false">
      <c r="A324" s="47" t="n">
        <v>2</v>
      </c>
      <c r="B324" s="47" t="n">
        <v>12</v>
      </c>
      <c r="C324" s="70" t="s">
        <v>368</v>
      </c>
      <c r="D324" s="47" t="n">
        <v>15</v>
      </c>
      <c r="E324" s="67" t="n">
        <v>5.496</v>
      </c>
      <c r="F324" s="49" t="n">
        <v>2</v>
      </c>
      <c r="G324" s="20"/>
      <c r="H324" s="20"/>
      <c r="I324" s="20"/>
      <c r="J324" s="20"/>
      <c r="K324" s="20"/>
      <c r="L324" s="20"/>
      <c r="M324" s="34" t="n">
        <f aca="false">E324*F324+G324*H324+I324*J324+K324*L324</f>
        <v>10.992</v>
      </c>
      <c r="N324" s="34" t="n">
        <f aca="false">Исходные!$B$12-M324</f>
        <v>0.707999999999998</v>
      </c>
      <c r="O324" s="49" t="n">
        <v>4</v>
      </c>
      <c r="P324" s="47" t="n">
        <f aca="false">(F324+H324+J324+L324)*O324</f>
        <v>8</v>
      </c>
      <c r="Q324" s="68" t="n">
        <f aca="false">M324*O324</f>
        <v>43.968</v>
      </c>
      <c r="R324" s="68" t="n">
        <f aca="false">N324*O324</f>
        <v>2.83199999999999</v>
      </c>
    </row>
    <row r="325" customFormat="false" ht="15" hidden="false" customHeight="false" outlineLevel="0" collapsed="false">
      <c r="A325" s="47" t="n">
        <v>2</v>
      </c>
      <c r="B325" s="47" t="n">
        <v>12</v>
      </c>
      <c r="C325" s="70" t="s">
        <v>368</v>
      </c>
      <c r="D325" s="47" t="n">
        <v>16</v>
      </c>
      <c r="E325" s="67" t="n">
        <v>3.6</v>
      </c>
      <c r="F325" s="49" t="n">
        <v>3</v>
      </c>
      <c r="G325" s="20"/>
      <c r="H325" s="20"/>
      <c r="I325" s="20"/>
      <c r="J325" s="20"/>
      <c r="K325" s="20"/>
      <c r="L325" s="20"/>
      <c r="M325" s="34" t="n">
        <f aca="false">E325*F325+G325*H325+I325*J325+K325*L325</f>
        <v>10.8</v>
      </c>
      <c r="N325" s="34" t="n">
        <f aca="false">Исходные!$B$12-M325</f>
        <v>0.899999999999999</v>
      </c>
      <c r="O325" s="49" t="n">
        <v>1</v>
      </c>
      <c r="P325" s="47" t="n">
        <f aca="false">(F325+H325+J325+L325)*O325</f>
        <v>3</v>
      </c>
      <c r="Q325" s="68" t="n">
        <f aca="false">M325*O325</f>
        <v>10.8</v>
      </c>
      <c r="R325" s="68" t="n">
        <f aca="false">N325*O325</f>
        <v>0.899999999999999</v>
      </c>
    </row>
    <row r="326" customFormat="false" ht="15" hidden="false" customHeight="false" outlineLevel="0" collapsed="false">
      <c r="A326" s="47" t="n">
        <v>2</v>
      </c>
      <c r="B326" s="47" t="n">
        <v>12</v>
      </c>
      <c r="C326" s="70" t="s">
        <v>368</v>
      </c>
      <c r="D326" s="47" t="n">
        <v>17</v>
      </c>
      <c r="E326" s="67" t="n">
        <v>3.4</v>
      </c>
      <c r="F326" s="49" t="n">
        <v>1</v>
      </c>
      <c r="G326" s="67" t="n">
        <v>2.4</v>
      </c>
      <c r="H326" s="49" t="n">
        <v>3</v>
      </c>
      <c r="I326" s="20"/>
      <c r="J326" s="20"/>
      <c r="K326" s="20"/>
      <c r="L326" s="20"/>
      <c r="M326" s="34" t="n">
        <f aca="false">E326*F326+G326*H326+I326*J326+K326*L326</f>
        <v>10.6</v>
      </c>
      <c r="N326" s="34" t="n">
        <f aca="false">Исходные!$B$12-M326</f>
        <v>1.1</v>
      </c>
      <c r="O326" s="49" t="n">
        <v>1</v>
      </c>
      <c r="P326" s="47" t="n">
        <f aca="false">(F326+H326+J326+L326)*O326</f>
        <v>4</v>
      </c>
      <c r="Q326" s="68" t="n">
        <f aca="false">M326*O326</f>
        <v>10.6</v>
      </c>
      <c r="R326" s="68" t="n">
        <f aca="false">N326*O326</f>
        <v>1.1</v>
      </c>
    </row>
    <row r="327" customFormat="false" ht="15" hidden="false" customHeight="false" outlineLevel="0" collapsed="false">
      <c r="A327" s="47" t="n">
        <v>2</v>
      </c>
      <c r="B327" s="47" t="n">
        <v>12</v>
      </c>
      <c r="C327" s="70" t="s">
        <v>368</v>
      </c>
      <c r="D327" s="47" t="n">
        <v>18</v>
      </c>
      <c r="E327" s="67" t="n">
        <v>2.2</v>
      </c>
      <c r="F327" s="49" t="n">
        <v>2</v>
      </c>
      <c r="G327" s="67" t="n">
        <v>2.05</v>
      </c>
      <c r="H327" s="49" t="n">
        <v>3</v>
      </c>
      <c r="I327" s="20"/>
      <c r="J327" s="20"/>
      <c r="K327" s="20"/>
      <c r="L327" s="20"/>
      <c r="M327" s="34" t="n">
        <f aca="false">E327*F327+G327*H327+I327*J327+K327*L327</f>
        <v>10.55</v>
      </c>
      <c r="N327" s="34" t="n">
        <f aca="false">Исходные!$B$12-M327</f>
        <v>1.15</v>
      </c>
      <c r="O327" s="49" t="n">
        <v>1</v>
      </c>
      <c r="P327" s="47" t="n">
        <f aca="false">(F327+H327+J327+L327)*O327</f>
        <v>5</v>
      </c>
      <c r="Q327" s="68" t="n">
        <f aca="false">M327*O327</f>
        <v>10.55</v>
      </c>
      <c r="R327" s="68" t="n">
        <f aca="false">N327*O327</f>
        <v>1.15</v>
      </c>
    </row>
    <row r="328" customFormat="false" ht="15" hidden="false" customHeight="false" outlineLevel="0" collapsed="false">
      <c r="A328" s="47" t="n">
        <v>2</v>
      </c>
      <c r="B328" s="47" t="n">
        <v>12</v>
      </c>
      <c r="C328" s="70" t="s">
        <v>368</v>
      </c>
      <c r="D328" s="47" t="n">
        <v>19</v>
      </c>
      <c r="E328" s="67" t="n">
        <v>1.2</v>
      </c>
      <c r="F328" s="49" t="n">
        <v>3</v>
      </c>
      <c r="G328" s="20"/>
      <c r="H328" s="20"/>
      <c r="I328" s="20"/>
      <c r="J328" s="20"/>
      <c r="K328" s="20"/>
      <c r="L328" s="20"/>
      <c r="M328" s="34" t="n">
        <f aca="false">E328*F328+G328*H328+I328*J328+K328*L328</f>
        <v>3.6</v>
      </c>
      <c r="N328" s="34" t="n">
        <f aca="false">Исходные!$B$12-M328</f>
        <v>8.1</v>
      </c>
      <c r="O328" s="49" t="n">
        <v>1</v>
      </c>
      <c r="P328" s="47" t="n">
        <f aca="false">(F328+H328+J328+L328)*O328</f>
        <v>3</v>
      </c>
      <c r="Q328" s="68" t="n">
        <f aca="false">M328*O328</f>
        <v>3.6</v>
      </c>
      <c r="R328" s="68" t="n">
        <f aca="false">N328*O328</f>
        <v>8.1</v>
      </c>
    </row>
    <row r="329" customFormat="false" ht="15" hidden="false" customHeight="false" outlineLevel="0" collapsed="false">
      <c r="A329" s="47" t="n">
        <v>2</v>
      </c>
      <c r="B329" s="47" t="n">
        <v>10</v>
      </c>
      <c r="C329" s="70" t="s">
        <v>368</v>
      </c>
      <c r="D329" s="47" t="n">
        <v>1</v>
      </c>
      <c r="E329" s="67" t="n">
        <v>11.7</v>
      </c>
      <c r="F329" s="49" t="n">
        <v>1</v>
      </c>
      <c r="G329" s="20"/>
      <c r="H329" s="20"/>
      <c r="I329" s="20"/>
      <c r="J329" s="20"/>
      <c r="K329" s="20"/>
      <c r="L329" s="20"/>
      <c r="M329" s="34" t="n">
        <f aca="false">E329*F329+G329*H329+I329*J329+K329*L329</f>
        <v>11.7</v>
      </c>
      <c r="N329" s="34" t="n">
        <f aca="false">Исходные!$B$12-M329</f>
        <v>0</v>
      </c>
      <c r="O329" s="49" t="n">
        <v>616</v>
      </c>
      <c r="P329" s="47" t="n">
        <f aca="false">(F329+H329+J329+L329)*O329</f>
        <v>616</v>
      </c>
      <c r="Q329" s="68" t="n">
        <f aca="false">M329*O329</f>
        <v>7207.2</v>
      </c>
      <c r="R329" s="68" t="n">
        <f aca="false">N329*O329</f>
        <v>0</v>
      </c>
    </row>
    <row r="330" customFormat="false" ht="15" hidden="false" customHeight="false" outlineLevel="0" collapsed="false">
      <c r="A330" s="47" t="n">
        <v>2</v>
      </c>
      <c r="B330" s="47" t="n">
        <v>10</v>
      </c>
      <c r="C330" s="70" t="s">
        <v>368</v>
      </c>
      <c r="D330" s="47" t="n">
        <v>2</v>
      </c>
      <c r="E330" s="67" t="n">
        <v>9.18</v>
      </c>
      <c r="F330" s="49" t="n">
        <v>1</v>
      </c>
      <c r="G330" s="67" t="n">
        <v>1.95</v>
      </c>
      <c r="H330" s="49" t="n">
        <v>1</v>
      </c>
      <c r="I330" s="67" t="n">
        <v>0.57</v>
      </c>
      <c r="J330" s="49" t="n">
        <v>1</v>
      </c>
      <c r="K330" s="20"/>
      <c r="L330" s="20"/>
      <c r="M330" s="34" t="n">
        <f aca="false">E330*F330+G330*H330+I330*J330+K330*L330</f>
        <v>11.7</v>
      </c>
      <c r="N330" s="34" t="n">
        <f aca="false">Исходные!$B$12-M330</f>
        <v>0</v>
      </c>
      <c r="O330" s="49" t="n">
        <v>6</v>
      </c>
      <c r="P330" s="47" t="n">
        <f aca="false">(F330+H330+J330+L330)*O330</f>
        <v>18</v>
      </c>
      <c r="Q330" s="68" t="n">
        <f aca="false">M330*O330</f>
        <v>70.2</v>
      </c>
      <c r="R330" s="68" t="n">
        <f aca="false">N330*O330</f>
        <v>0</v>
      </c>
    </row>
    <row r="331" customFormat="false" ht="15" hidden="false" customHeight="false" outlineLevel="0" collapsed="false">
      <c r="A331" s="47" t="n">
        <v>2</v>
      </c>
      <c r="B331" s="47" t="n">
        <v>10</v>
      </c>
      <c r="C331" s="70" t="s">
        <v>368</v>
      </c>
      <c r="D331" s="47" t="n">
        <v>3</v>
      </c>
      <c r="E331" s="67" t="n">
        <v>3.78</v>
      </c>
      <c r="F331" s="49" t="n">
        <v>2</v>
      </c>
      <c r="G331" s="67" t="n">
        <v>3</v>
      </c>
      <c r="H331" s="49" t="n">
        <v>1</v>
      </c>
      <c r="I331" s="67" t="n">
        <v>0.57</v>
      </c>
      <c r="J331" s="49" t="n">
        <v>2</v>
      </c>
      <c r="K331" s="20"/>
      <c r="L331" s="20"/>
      <c r="M331" s="34" t="n">
        <f aca="false">E331*F331+G331*H331+I331*J331+K331*L331</f>
        <v>11.7</v>
      </c>
      <c r="N331" s="34" t="n">
        <f aca="false">Исходные!$B$12-M331</f>
        <v>0</v>
      </c>
      <c r="O331" s="49" t="n">
        <v>1</v>
      </c>
      <c r="P331" s="47" t="n">
        <f aca="false">(F331+H331+J331+L331)*O331</f>
        <v>5</v>
      </c>
      <c r="Q331" s="68" t="n">
        <f aca="false">M331*O331</f>
        <v>11.7</v>
      </c>
      <c r="R331" s="68" t="n">
        <f aca="false">N331*O331</f>
        <v>0</v>
      </c>
    </row>
    <row r="332" customFormat="false" ht="15" hidden="false" customHeight="false" outlineLevel="0" collapsed="false">
      <c r="A332" s="47" t="n">
        <v>2</v>
      </c>
      <c r="B332" s="47" t="n">
        <v>10</v>
      </c>
      <c r="C332" s="70" t="s">
        <v>368</v>
      </c>
      <c r="D332" s="47" t="n">
        <v>4</v>
      </c>
      <c r="E332" s="67" t="n">
        <v>3</v>
      </c>
      <c r="F332" s="49" t="n">
        <v>2</v>
      </c>
      <c r="G332" s="67" t="n">
        <v>2.6</v>
      </c>
      <c r="H332" s="49" t="n">
        <v>2</v>
      </c>
      <c r="I332" s="67" t="n">
        <v>0.48</v>
      </c>
      <c r="J332" s="49" t="n">
        <v>1</v>
      </c>
      <c r="K332" s="20"/>
      <c r="L332" s="20"/>
      <c r="M332" s="34" t="n">
        <f aca="false">E332*F332+G332*H332+I332*J332+K332*L332</f>
        <v>11.68</v>
      </c>
      <c r="N332" s="34" t="n">
        <f aca="false">Исходные!$B$12-M332</f>
        <v>0.0199999999999996</v>
      </c>
      <c r="O332" s="49" t="n">
        <v>1</v>
      </c>
      <c r="P332" s="47" t="n">
        <f aca="false">(F332+H332+J332+L332)*O332</f>
        <v>5</v>
      </c>
      <c r="Q332" s="68" t="n">
        <f aca="false">M332*O332</f>
        <v>11.68</v>
      </c>
      <c r="R332" s="68" t="n">
        <f aca="false">N332*O332</f>
        <v>0.0199999999999996</v>
      </c>
    </row>
    <row r="333" customFormat="false" ht="15" hidden="false" customHeight="false" outlineLevel="0" collapsed="false">
      <c r="A333" s="47" t="n">
        <v>2</v>
      </c>
      <c r="B333" s="47" t="n">
        <v>10</v>
      </c>
      <c r="C333" s="70" t="s">
        <v>368</v>
      </c>
      <c r="D333" s="47" t="n">
        <v>5</v>
      </c>
      <c r="E333" s="67" t="n">
        <v>1.4</v>
      </c>
      <c r="F333" s="49" t="n">
        <v>8</v>
      </c>
      <c r="G333" s="67" t="n">
        <v>0.48</v>
      </c>
      <c r="H333" s="49" t="n">
        <v>1</v>
      </c>
      <c r="I333" s="20"/>
      <c r="J333" s="20"/>
      <c r="K333" s="20"/>
      <c r="L333" s="20"/>
      <c r="M333" s="34" t="n">
        <f aca="false">E333*F333+G333*H333+I333*J333+K333*L333</f>
        <v>11.68</v>
      </c>
      <c r="N333" s="34" t="n">
        <f aca="false">Исходные!$B$12-M333</f>
        <v>0.0199999999999996</v>
      </c>
      <c r="O333" s="49" t="n">
        <v>3</v>
      </c>
      <c r="P333" s="47" t="n">
        <f aca="false">(F333+H333+J333+L333)*O333</f>
        <v>27</v>
      </c>
      <c r="Q333" s="68" t="n">
        <f aca="false">M333*O333</f>
        <v>35.04</v>
      </c>
      <c r="R333" s="68" t="n">
        <f aca="false">N333*O333</f>
        <v>0.0599999999999987</v>
      </c>
    </row>
    <row r="334" customFormat="false" ht="15" hidden="false" customHeight="false" outlineLevel="0" collapsed="false">
      <c r="A334" s="47" t="n">
        <v>2</v>
      </c>
      <c r="B334" s="47" t="n">
        <v>10</v>
      </c>
      <c r="C334" s="70" t="s">
        <v>368</v>
      </c>
      <c r="D334" s="47" t="n">
        <v>6</v>
      </c>
      <c r="E334" s="67" t="n">
        <v>7.17</v>
      </c>
      <c r="F334" s="49" t="n">
        <v>1</v>
      </c>
      <c r="G334" s="67" t="n">
        <v>4.5</v>
      </c>
      <c r="H334" s="49" t="n">
        <v>1</v>
      </c>
      <c r="I334" s="20"/>
      <c r="J334" s="20"/>
      <c r="K334" s="20"/>
      <c r="L334" s="20"/>
      <c r="M334" s="34" t="n">
        <f aca="false">E334*F334+G334*H334+I334*J334+K334*L334</f>
        <v>11.67</v>
      </c>
      <c r="N334" s="34" t="n">
        <f aca="false">Исходные!$B$12-M334</f>
        <v>0.0299999999999994</v>
      </c>
      <c r="O334" s="49" t="n">
        <v>26</v>
      </c>
      <c r="P334" s="47" t="n">
        <f aca="false">(F334+H334+J334+L334)*O334</f>
        <v>52</v>
      </c>
      <c r="Q334" s="68" t="n">
        <f aca="false">M334*O334</f>
        <v>303.42</v>
      </c>
      <c r="R334" s="68" t="n">
        <f aca="false">N334*O334</f>
        <v>0.779999999999983</v>
      </c>
    </row>
    <row r="335" customFormat="false" ht="15" hidden="false" customHeight="false" outlineLevel="0" collapsed="false">
      <c r="A335" s="47" t="n">
        <v>2</v>
      </c>
      <c r="B335" s="47" t="n">
        <v>10</v>
      </c>
      <c r="C335" s="70" t="s">
        <v>368</v>
      </c>
      <c r="D335" s="47" t="n">
        <v>7</v>
      </c>
      <c r="E335" s="67" t="n">
        <v>9.18</v>
      </c>
      <c r="F335" s="49" t="n">
        <v>1</v>
      </c>
      <c r="G335" s="67" t="n">
        <v>2</v>
      </c>
      <c r="H335" s="49" t="n">
        <v>1</v>
      </c>
      <c r="I335" s="67" t="n">
        <v>0.48</v>
      </c>
      <c r="J335" s="49" t="n">
        <v>1</v>
      </c>
      <c r="K335" s="20"/>
      <c r="L335" s="20"/>
      <c r="M335" s="34" t="n">
        <f aca="false">E335*F335+G335*H335+I335*J335+K335*L335</f>
        <v>11.66</v>
      </c>
      <c r="N335" s="34" t="n">
        <f aca="false">Исходные!$B$12-M335</f>
        <v>0.0399999999999992</v>
      </c>
      <c r="O335" s="49" t="n">
        <v>4</v>
      </c>
      <c r="P335" s="47" t="n">
        <f aca="false">(F335+H335+J335+L335)*O335</f>
        <v>12</v>
      </c>
      <c r="Q335" s="68" t="n">
        <f aca="false">M335*O335</f>
        <v>46.64</v>
      </c>
      <c r="R335" s="68" t="n">
        <f aca="false">N335*O335</f>
        <v>0.159999999999997</v>
      </c>
    </row>
    <row r="336" customFormat="false" ht="15" hidden="false" customHeight="false" outlineLevel="0" collapsed="false">
      <c r="A336" s="47" t="n">
        <v>2</v>
      </c>
      <c r="B336" s="47" t="n">
        <v>10</v>
      </c>
      <c r="C336" s="70" t="s">
        <v>368</v>
      </c>
      <c r="D336" s="47" t="n">
        <v>8</v>
      </c>
      <c r="E336" s="67" t="n">
        <v>4.72</v>
      </c>
      <c r="F336" s="49" t="n">
        <v>2</v>
      </c>
      <c r="G336" s="67" t="n">
        <v>2.2</v>
      </c>
      <c r="H336" s="49" t="n">
        <v>1</v>
      </c>
      <c r="I336" s="20"/>
      <c r="J336" s="20"/>
      <c r="K336" s="20"/>
      <c r="L336" s="20"/>
      <c r="M336" s="34" t="n">
        <f aca="false">E336*F336+G336*H336+I336*J336+K336*L336</f>
        <v>11.64</v>
      </c>
      <c r="N336" s="34" t="n">
        <f aca="false">Исходные!$B$12-M336</f>
        <v>0.0599999999999987</v>
      </c>
      <c r="O336" s="49" t="n">
        <v>26</v>
      </c>
      <c r="P336" s="47" t="n">
        <f aca="false">(F336+H336+J336+L336)*O336</f>
        <v>78</v>
      </c>
      <c r="Q336" s="68" t="n">
        <f aca="false">M336*O336</f>
        <v>302.64</v>
      </c>
      <c r="R336" s="68" t="n">
        <f aca="false">N336*O336</f>
        <v>1.55999999999997</v>
      </c>
    </row>
    <row r="337" customFormat="false" ht="15" hidden="false" customHeight="false" outlineLevel="0" collapsed="false">
      <c r="A337" s="47" t="n">
        <v>2</v>
      </c>
      <c r="B337" s="47" t="n">
        <v>10</v>
      </c>
      <c r="C337" s="70" t="s">
        <v>368</v>
      </c>
      <c r="D337" s="47" t="n">
        <v>9</v>
      </c>
      <c r="E337" s="67" t="n">
        <v>4.32</v>
      </c>
      <c r="F337" s="49" t="n">
        <v>2</v>
      </c>
      <c r="G337" s="67" t="n">
        <v>3</v>
      </c>
      <c r="H337" s="49" t="n">
        <v>1</v>
      </c>
      <c r="I337" s="20"/>
      <c r="J337" s="20"/>
      <c r="K337" s="20"/>
      <c r="L337" s="20"/>
      <c r="M337" s="34" t="n">
        <f aca="false">E337*F337+G337*H337+I337*J337+K337*L337</f>
        <v>11.64</v>
      </c>
      <c r="N337" s="34" t="n">
        <f aca="false">Исходные!$B$12-M337</f>
        <v>0.0599999999999987</v>
      </c>
      <c r="O337" s="49" t="n">
        <v>16</v>
      </c>
      <c r="P337" s="47" t="n">
        <f aca="false">(F337+H337+J337+L337)*O337</f>
        <v>48</v>
      </c>
      <c r="Q337" s="68" t="n">
        <f aca="false">M337*O337</f>
        <v>186.24</v>
      </c>
      <c r="R337" s="68" t="n">
        <f aca="false">N337*O337</f>
        <v>0.95999999999998</v>
      </c>
    </row>
    <row r="338" customFormat="false" ht="15" hidden="false" customHeight="false" outlineLevel="0" collapsed="false">
      <c r="A338" s="47" t="n">
        <v>2</v>
      </c>
      <c r="B338" s="47" t="n">
        <v>10</v>
      </c>
      <c r="C338" s="70" t="s">
        <v>368</v>
      </c>
      <c r="D338" s="47" t="n">
        <v>10</v>
      </c>
      <c r="E338" s="67" t="n">
        <v>5.98</v>
      </c>
      <c r="F338" s="49" t="n">
        <v>1</v>
      </c>
      <c r="G338" s="67" t="n">
        <v>5.05</v>
      </c>
      <c r="H338" s="49" t="n">
        <v>1</v>
      </c>
      <c r="I338" s="67" t="n">
        <v>0.6</v>
      </c>
      <c r="J338" s="49" t="n">
        <v>1</v>
      </c>
      <c r="K338" s="20"/>
      <c r="L338" s="20"/>
      <c r="M338" s="34" t="n">
        <f aca="false">E338*F338+G338*H338+I338*J338+K338*L338</f>
        <v>11.63</v>
      </c>
      <c r="N338" s="34" t="n">
        <f aca="false">Исходные!$B$12-M338</f>
        <v>0.0699999999999985</v>
      </c>
      <c r="O338" s="49" t="n">
        <v>6</v>
      </c>
      <c r="P338" s="47" t="n">
        <f aca="false">(F338+H338+J338+L338)*O338</f>
        <v>18</v>
      </c>
      <c r="Q338" s="68" t="n">
        <f aca="false">M338*O338</f>
        <v>69.78</v>
      </c>
      <c r="R338" s="68" t="n">
        <f aca="false">N338*O338</f>
        <v>0.419999999999991</v>
      </c>
    </row>
    <row r="339" customFormat="false" ht="15" hidden="false" customHeight="false" outlineLevel="0" collapsed="false">
      <c r="A339" s="47" t="n">
        <v>2</v>
      </c>
      <c r="B339" s="47" t="n">
        <v>10</v>
      </c>
      <c r="C339" s="70" t="s">
        <v>368</v>
      </c>
      <c r="D339" s="47" t="n">
        <v>11</v>
      </c>
      <c r="E339" s="67" t="n">
        <v>11.02</v>
      </c>
      <c r="F339" s="49" t="n">
        <v>1</v>
      </c>
      <c r="G339" s="67" t="n">
        <v>0.6</v>
      </c>
      <c r="H339" s="49" t="n">
        <v>1</v>
      </c>
      <c r="I339" s="20"/>
      <c r="J339" s="20"/>
      <c r="K339" s="20"/>
      <c r="L339" s="20"/>
      <c r="M339" s="34" t="n">
        <f aca="false">E339*F339+G339*H339+I339*J339+K339*L339</f>
        <v>11.62</v>
      </c>
      <c r="N339" s="34" t="n">
        <f aca="false">Исходные!$B$12-M339</f>
        <v>0.0800000000000001</v>
      </c>
      <c r="O339" s="49" t="n">
        <v>66</v>
      </c>
      <c r="P339" s="47" t="n">
        <f aca="false">(F339+H339+J339+L339)*O339</f>
        <v>132</v>
      </c>
      <c r="Q339" s="68" t="n">
        <f aca="false">M339*O339</f>
        <v>766.92</v>
      </c>
      <c r="R339" s="68" t="n">
        <f aca="false">N339*O339</f>
        <v>5.28000000000001</v>
      </c>
    </row>
    <row r="340" customFormat="false" ht="15" hidden="false" customHeight="false" outlineLevel="0" collapsed="false">
      <c r="A340" s="47" t="n">
        <v>2</v>
      </c>
      <c r="B340" s="47" t="n">
        <v>10</v>
      </c>
      <c r="C340" s="70" t="s">
        <v>368</v>
      </c>
      <c r="D340" s="47" t="n">
        <v>12</v>
      </c>
      <c r="E340" s="67" t="n">
        <v>4.5</v>
      </c>
      <c r="F340" s="49" t="n">
        <v>2</v>
      </c>
      <c r="G340" s="67" t="n">
        <v>2.6</v>
      </c>
      <c r="H340" s="49" t="n">
        <v>1</v>
      </c>
      <c r="I340" s="20"/>
      <c r="J340" s="20"/>
      <c r="K340" s="20"/>
      <c r="L340" s="20"/>
      <c r="M340" s="34" t="n">
        <f aca="false">E340*F340+G340*H340+I340*J340+K340*L340</f>
        <v>11.6</v>
      </c>
      <c r="N340" s="34" t="n">
        <f aca="false">Исходные!$B$12-M340</f>
        <v>0.0999999999999996</v>
      </c>
      <c r="O340" s="49" t="n">
        <v>8</v>
      </c>
      <c r="P340" s="47" t="n">
        <f aca="false">(F340+H340+J340+L340)*O340</f>
        <v>24</v>
      </c>
      <c r="Q340" s="68" t="n">
        <f aca="false">M340*O340</f>
        <v>92.8</v>
      </c>
      <c r="R340" s="68" t="n">
        <f aca="false">N340*O340</f>
        <v>0.799999999999997</v>
      </c>
    </row>
    <row r="341" customFormat="false" ht="15" hidden="false" customHeight="false" outlineLevel="0" collapsed="false">
      <c r="A341" s="47" t="n">
        <v>2</v>
      </c>
      <c r="B341" s="47" t="n">
        <v>10</v>
      </c>
      <c r="C341" s="70" t="s">
        <v>368</v>
      </c>
      <c r="D341" s="47" t="n">
        <v>13</v>
      </c>
      <c r="E341" s="67" t="n">
        <v>4.3</v>
      </c>
      <c r="F341" s="49" t="n">
        <v>2</v>
      </c>
      <c r="G341" s="67" t="n">
        <v>3</v>
      </c>
      <c r="H341" s="49" t="n">
        <v>1</v>
      </c>
      <c r="I341" s="20"/>
      <c r="J341" s="20"/>
      <c r="K341" s="20"/>
      <c r="L341" s="20"/>
      <c r="M341" s="34" t="n">
        <f aca="false">E341*F341+G341*H341+I341*J341+K341*L341</f>
        <v>11.6</v>
      </c>
      <c r="N341" s="34" t="n">
        <f aca="false">Исходные!$B$12-M341</f>
        <v>0.0999999999999996</v>
      </c>
      <c r="O341" s="49" t="n">
        <v>17</v>
      </c>
      <c r="P341" s="47" t="n">
        <f aca="false">(F341+H341+J341+L341)*O341</f>
        <v>51</v>
      </c>
      <c r="Q341" s="68" t="n">
        <f aca="false">M341*O341</f>
        <v>197.2</v>
      </c>
      <c r="R341" s="68" t="n">
        <f aca="false">N341*O341</f>
        <v>1.69999999999999</v>
      </c>
    </row>
    <row r="342" customFormat="false" ht="15" hidden="false" customHeight="false" outlineLevel="0" collapsed="false">
      <c r="A342" s="47" t="n">
        <v>2</v>
      </c>
      <c r="B342" s="47" t="n">
        <v>10</v>
      </c>
      <c r="C342" s="70" t="s">
        <v>368</v>
      </c>
      <c r="D342" s="47" t="n">
        <v>14</v>
      </c>
      <c r="E342" s="67" t="n">
        <v>3</v>
      </c>
      <c r="F342" s="49" t="n">
        <v>3</v>
      </c>
      <c r="G342" s="67" t="n">
        <v>2.6</v>
      </c>
      <c r="H342" s="49" t="n">
        <v>1</v>
      </c>
      <c r="I342" s="20"/>
      <c r="J342" s="20"/>
      <c r="K342" s="20"/>
      <c r="L342" s="20"/>
      <c r="M342" s="34" t="n">
        <f aca="false">E342*F342+G342*H342+I342*J342+K342*L342</f>
        <v>11.6</v>
      </c>
      <c r="N342" s="34" t="n">
        <f aca="false">Исходные!$B$12-M342</f>
        <v>0.0999999999999996</v>
      </c>
      <c r="O342" s="49" t="n">
        <v>6</v>
      </c>
      <c r="P342" s="47" t="n">
        <f aca="false">(F342+H342+J342+L342)*O342</f>
        <v>24</v>
      </c>
      <c r="Q342" s="68" t="n">
        <f aca="false">M342*O342</f>
        <v>69.6</v>
      </c>
      <c r="R342" s="68" t="n">
        <f aca="false">N342*O342</f>
        <v>0.599999999999998</v>
      </c>
    </row>
    <row r="343" customFormat="false" ht="15" hidden="false" customHeight="false" outlineLevel="0" collapsed="false">
      <c r="A343" s="47" t="n">
        <v>2</v>
      </c>
      <c r="B343" s="47" t="n">
        <v>10</v>
      </c>
      <c r="C343" s="70" t="s">
        <v>368</v>
      </c>
      <c r="D343" s="47" t="n">
        <v>15</v>
      </c>
      <c r="E343" s="67" t="n">
        <v>2.6</v>
      </c>
      <c r="F343" s="49" t="n">
        <v>4</v>
      </c>
      <c r="G343" s="67" t="n">
        <v>1.2</v>
      </c>
      <c r="H343" s="49" t="n">
        <v>1</v>
      </c>
      <c r="I343" s="20"/>
      <c r="J343" s="20"/>
      <c r="K343" s="20"/>
      <c r="L343" s="20"/>
      <c r="M343" s="34" t="n">
        <f aca="false">E343*F343+G343*H343+I343*J343+K343*L343</f>
        <v>11.6</v>
      </c>
      <c r="N343" s="34" t="n">
        <f aca="false">Исходные!$B$12-M343</f>
        <v>0.0999999999999996</v>
      </c>
      <c r="O343" s="49" t="n">
        <v>2</v>
      </c>
      <c r="P343" s="47" t="n">
        <f aca="false">(F343+H343+J343+L343)*O343</f>
        <v>10</v>
      </c>
      <c r="Q343" s="68" t="n">
        <f aca="false">M343*O343</f>
        <v>23.2</v>
      </c>
      <c r="R343" s="68" t="n">
        <f aca="false">N343*O343</f>
        <v>0.199999999999999</v>
      </c>
    </row>
    <row r="344" customFormat="false" ht="15" hidden="false" customHeight="false" outlineLevel="0" collapsed="false">
      <c r="A344" s="47" t="n">
        <v>2</v>
      </c>
      <c r="B344" s="47" t="n">
        <v>10</v>
      </c>
      <c r="C344" s="70" t="s">
        <v>368</v>
      </c>
      <c r="D344" s="47" t="n">
        <v>16</v>
      </c>
      <c r="E344" s="67" t="n">
        <v>1.4</v>
      </c>
      <c r="F344" s="49" t="n">
        <v>4</v>
      </c>
      <c r="G344" s="67" t="n">
        <v>1.2</v>
      </c>
      <c r="H344" s="49" t="n">
        <v>5</v>
      </c>
      <c r="I344" s="20"/>
      <c r="J344" s="20"/>
      <c r="K344" s="20"/>
      <c r="L344" s="20"/>
      <c r="M344" s="34" t="n">
        <f aca="false">E344*F344+G344*H344+I344*J344+K344*L344</f>
        <v>11.6</v>
      </c>
      <c r="N344" s="34" t="n">
        <f aca="false">Исходные!$B$12-M344</f>
        <v>0.0999999999999996</v>
      </c>
      <c r="O344" s="49" t="n">
        <v>1</v>
      </c>
      <c r="P344" s="47" t="n">
        <f aca="false">(F344+H344+J344+L344)*O344</f>
        <v>9</v>
      </c>
      <c r="Q344" s="68" t="n">
        <f aca="false">M344*O344</f>
        <v>11.6</v>
      </c>
      <c r="R344" s="68" t="n">
        <f aca="false">N344*O344</f>
        <v>0.0999999999999996</v>
      </c>
    </row>
    <row r="345" customFormat="false" ht="15" hidden="false" customHeight="false" outlineLevel="0" collapsed="false">
      <c r="A345" s="47" t="n">
        <v>2</v>
      </c>
      <c r="B345" s="47" t="n">
        <v>10</v>
      </c>
      <c r="C345" s="70" t="s">
        <v>368</v>
      </c>
      <c r="D345" s="47" t="n">
        <v>17</v>
      </c>
      <c r="E345" s="67" t="n">
        <v>7.97</v>
      </c>
      <c r="F345" s="49" t="n">
        <v>1</v>
      </c>
      <c r="G345" s="67" t="n">
        <v>3.625</v>
      </c>
      <c r="H345" s="49" t="n">
        <v>1</v>
      </c>
      <c r="I345" s="20"/>
      <c r="J345" s="20"/>
      <c r="K345" s="20"/>
      <c r="L345" s="20"/>
      <c r="M345" s="34" t="n">
        <f aca="false">E345*F345+G345*H345+I345*J345+K345*L345</f>
        <v>11.595</v>
      </c>
      <c r="N345" s="34" t="n">
        <f aca="false">Исходные!$B$12-M345</f>
        <v>0.105</v>
      </c>
      <c r="O345" s="49" t="n">
        <v>20</v>
      </c>
      <c r="P345" s="47" t="n">
        <f aca="false">(F345+H345+J345+L345)*O345</f>
        <v>40</v>
      </c>
      <c r="Q345" s="68" t="n">
        <f aca="false">M345*O345</f>
        <v>231.9</v>
      </c>
      <c r="R345" s="68" t="n">
        <f aca="false">N345*O345</f>
        <v>2.10000000000001</v>
      </c>
    </row>
    <row r="346" customFormat="false" ht="15" hidden="false" customHeight="false" outlineLevel="0" collapsed="false">
      <c r="A346" s="47" t="n">
        <v>2</v>
      </c>
      <c r="B346" s="47" t="n">
        <v>10</v>
      </c>
      <c r="C346" s="70" t="s">
        <v>368</v>
      </c>
      <c r="D346" s="47" t="n">
        <v>18</v>
      </c>
      <c r="E346" s="67" t="n">
        <v>11.02</v>
      </c>
      <c r="F346" s="49" t="n">
        <v>1</v>
      </c>
      <c r="G346" s="67" t="n">
        <v>0.57</v>
      </c>
      <c r="H346" s="49" t="n">
        <v>1</v>
      </c>
      <c r="I346" s="20"/>
      <c r="J346" s="20"/>
      <c r="K346" s="20"/>
      <c r="L346" s="20"/>
      <c r="M346" s="34" t="n">
        <f aca="false">E346*F346+G346*H346+I346*J346+K346*L346</f>
        <v>11.59</v>
      </c>
      <c r="N346" s="34" t="n">
        <f aca="false">Исходные!$B$12-M346</f>
        <v>0.109999999999999</v>
      </c>
      <c r="O346" s="49" t="n">
        <v>14</v>
      </c>
      <c r="P346" s="47" t="n">
        <f aca="false">(F346+H346+J346+L346)*O346</f>
        <v>28</v>
      </c>
      <c r="Q346" s="68" t="n">
        <f aca="false">M346*O346</f>
        <v>162.26</v>
      </c>
      <c r="R346" s="68" t="n">
        <f aca="false">N346*O346</f>
        <v>1.53999999999999</v>
      </c>
    </row>
    <row r="347" customFormat="false" ht="15" hidden="false" customHeight="false" outlineLevel="0" collapsed="false">
      <c r="A347" s="47" t="n">
        <v>2</v>
      </c>
      <c r="B347" s="47" t="n">
        <v>10</v>
      </c>
      <c r="C347" s="70" t="s">
        <v>368</v>
      </c>
      <c r="D347" s="47" t="n">
        <v>19</v>
      </c>
      <c r="E347" s="67" t="n">
        <v>5.05</v>
      </c>
      <c r="F347" s="49" t="n">
        <v>2</v>
      </c>
      <c r="G347" s="67" t="n">
        <v>1.45</v>
      </c>
      <c r="H347" s="49" t="n">
        <v>1</v>
      </c>
      <c r="I347" s="20"/>
      <c r="J347" s="20"/>
      <c r="K347" s="20"/>
      <c r="L347" s="20"/>
      <c r="M347" s="34" t="n">
        <f aca="false">E347*F347+G347*H347+I347*J347+K347*L347</f>
        <v>11.55</v>
      </c>
      <c r="N347" s="34" t="n">
        <f aca="false">Исходные!$B$12-M347</f>
        <v>0.15</v>
      </c>
      <c r="O347" s="49" t="n">
        <v>6</v>
      </c>
      <c r="P347" s="47" t="n">
        <f aca="false">(F347+H347+J347+L347)*O347</f>
        <v>18</v>
      </c>
      <c r="Q347" s="68" t="n">
        <f aca="false">M347*O347</f>
        <v>69.3</v>
      </c>
      <c r="R347" s="68" t="n">
        <f aca="false">N347*O347</f>
        <v>0.900000000000002</v>
      </c>
    </row>
    <row r="348" customFormat="false" ht="15" hidden="false" customHeight="false" outlineLevel="0" collapsed="false">
      <c r="A348" s="47" t="n">
        <v>2</v>
      </c>
      <c r="B348" s="47" t="n">
        <v>10</v>
      </c>
      <c r="C348" s="70" t="s">
        <v>368</v>
      </c>
      <c r="D348" s="47" t="n">
        <v>20</v>
      </c>
      <c r="E348" s="67" t="n">
        <v>7.97</v>
      </c>
      <c r="F348" s="49" t="n">
        <v>1</v>
      </c>
      <c r="G348" s="67" t="n">
        <v>3</v>
      </c>
      <c r="H348" s="49" t="n">
        <v>1</v>
      </c>
      <c r="I348" s="67" t="n">
        <v>0.57</v>
      </c>
      <c r="J348" s="49" t="n">
        <v>1</v>
      </c>
      <c r="K348" s="20"/>
      <c r="L348" s="20"/>
      <c r="M348" s="34" t="n">
        <f aca="false">E348*F348+G348*H348+I348*J348+K348*L348</f>
        <v>11.54</v>
      </c>
      <c r="N348" s="34" t="n">
        <f aca="false">Исходные!$B$12-M348</f>
        <v>0.16</v>
      </c>
      <c r="O348" s="49" t="n">
        <v>8</v>
      </c>
      <c r="P348" s="47" t="n">
        <f aca="false">(F348+H348+J348+L348)*O348</f>
        <v>24</v>
      </c>
      <c r="Q348" s="68" t="n">
        <f aca="false">M348*O348</f>
        <v>92.32</v>
      </c>
      <c r="R348" s="68" t="n">
        <f aca="false">N348*O348</f>
        <v>1.28</v>
      </c>
    </row>
    <row r="349" customFormat="false" ht="15" hidden="false" customHeight="false" outlineLevel="0" collapsed="false">
      <c r="A349" s="47" t="n">
        <v>2</v>
      </c>
      <c r="B349" s="47" t="n">
        <v>10</v>
      </c>
      <c r="C349" s="70" t="s">
        <v>368</v>
      </c>
      <c r="D349" s="47" t="n">
        <v>21</v>
      </c>
      <c r="E349" s="67" t="n">
        <v>7.95</v>
      </c>
      <c r="F349" s="49" t="n">
        <v>1</v>
      </c>
      <c r="G349" s="67" t="n">
        <v>3</v>
      </c>
      <c r="H349" s="49" t="n">
        <v>1</v>
      </c>
      <c r="I349" s="67" t="n">
        <v>0.57</v>
      </c>
      <c r="J349" s="49" t="n">
        <v>1</v>
      </c>
      <c r="K349" s="20"/>
      <c r="L349" s="20"/>
      <c r="M349" s="34" t="n">
        <f aca="false">E349*F349+G349*H349+I349*J349+K349*L349</f>
        <v>11.52</v>
      </c>
      <c r="N349" s="34" t="n">
        <f aca="false">Исходные!$B$12-M349</f>
        <v>0.18</v>
      </c>
      <c r="O349" s="49" t="n">
        <v>18</v>
      </c>
      <c r="P349" s="47" t="n">
        <f aca="false">(F349+H349+J349+L349)*O349</f>
        <v>54</v>
      </c>
      <c r="Q349" s="68" t="n">
        <f aca="false">M349*O349</f>
        <v>207.36</v>
      </c>
      <c r="R349" s="68" t="n">
        <f aca="false">N349*O349</f>
        <v>3.24</v>
      </c>
    </row>
    <row r="350" customFormat="false" ht="15" hidden="false" customHeight="false" outlineLevel="0" collapsed="false">
      <c r="A350" s="47" t="n">
        <v>2</v>
      </c>
      <c r="B350" s="47" t="n">
        <v>10</v>
      </c>
      <c r="C350" s="70" t="s">
        <v>368</v>
      </c>
      <c r="D350" s="47" t="n">
        <v>22</v>
      </c>
      <c r="E350" s="67" t="n">
        <v>9.3</v>
      </c>
      <c r="F350" s="49" t="n">
        <v>1</v>
      </c>
      <c r="G350" s="67" t="n">
        <v>2.2</v>
      </c>
      <c r="H350" s="49" t="n">
        <v>1</v>
      </c>
      <c r="I350" s="20"/>
      <c r="J350" s="20"/>
      <c r="K350" s="20"/>
      <c r="L350" s="20"/>
      <c r="M350" s="34" t="n">
        <f aca="false">E350*F350+G350*H350+I350*J350+K350*L350</f>
        <v>11.5</v>
      </c>
      <c r="N350" s="34" t="n">
        <f aca="false">Исходные!$B$12-M350</f>
        <v>0.199999999999999</v>
      </c>
      <c r="O350" s="49" t="n">
        <v>71</v>
      </c>
      <c r="P350" s="47" t="n">
        <f aca="false">(F350+H350+J350+L350)*O350</f>
        <v>142</v>
      </c>
      <c r="Q350" s="68" t="n">
        <f aca="false">M350*O350</f>
        <v>816.5</v>
      </c>
      <c r="R350" s="68" t="n">
        <f aca="false">N350*O350</f>
        <v>14.2</v>
      </c>
    </row>
    <row r="351" customFormat="false" ht="15" hidden="false" customHeight="false" outlineLevel="0" collapsed="false">
      <c r="A351" s="47" t="n">
        <v>2</v>
      </c>
      <c r="B351" s="47" t="n">
        <v>10</v>
      </c>
      <c r="C351" s="70" t="s">
        <v>368</v>
      </c>
      <c r="D351" s="47" t="n">
        <v>23</v>
      </c>
      <c r="E351" s="67" t="n">
        <v>5.05</v>
      </c>
      <c r="F351" s="49" t="n">
        <v>2</v>
      </c>
      <c r="G351" s="67" t="n">
        <v>1.4</v>
      </c>
      <c r="H351" s="49" t="n">
        <v>1</v>
      </c>
      <c r="I351" s="20"/>
      <c r="J351" s="20"/>
      <c r="K351" s="20"/>
      <c r="L351" s="20"/>
      <c r="M351" s="34" t="n">
        <f aca="false">E351*F351+G351*H351+I351*J351+K351*L351</f>
        <v>11.5</v>
      </c>
      <c r="N351" s="34" t="n">
        <f aca="false">Исходные!$B$12-M351</f>
        <v>0.199999999999999</v>
      </c>
      <c r="O351" s="49" t="n">
        <v>2</v>
      </c>
      <c r="P351" s="47" t="n">
        <f aca="false">(F351+H351+J351+L351)*O351</f>
        <v>6</v>
      </c>
      <c r="Q351" s="68" t="n">
        <f aca="false">M351*O351</f>
        <v>23</v>
      </c>
      <c r="R351" s="68" t="n">
        <f aca="false">N351*O351</f>
        <v>0.399999999999999</v>
      </c>
    </row>
    <row r="352" customFormat="false" ht="15" hidden="false" customHeight="false" outlineLevel="0" collapsed="false">
      <c r="A352" s="47" t="n">
        <v>2</v>
      </c>
      <c r="B352" s="47" t="n">
        <v>10</v>
      </c>
      <c r="C352" s="70" t="s">
        <v>368</v>
      </c>
      <c r="D352" s="47" t="n">
        <v>24</v>
      </c>
      <c r="E352" s="67" t="n">
        <v>1.19</v>
      </c>
      <c r="F352" s="49" t="n">
        <v>2</v>
      </c>
      <c r="G352" s="67" t="n">
        <v>0.57</v>
      </c>
      <c r="H352" s="49" t="n">
        <v>16</v>
      </c>
      <c r="I352" s="20"/>
      <c r="J352" s="20"/>
      <c r="K352" s="20"/>
      <c r="L352" s="20"/>
      <c r="M352" s="34" t="n">
        <f aca="false">E352*F352+G352*H352+I352*J352+K352*L352</f>
        <v>11.5</v>
      </c>
      <c r="N352" s="34" t="n">
        <f aca="false">Исходные!$B$12-M352</f>
        <v>0.199999999999999</v>
      </c>
      <c r="O352" s="49" t="n">
        <v>1</v>
      </c>
      <c r="P352" s="47" t="n">
        <f aca="false">(F352+H352+J352+L352)*O352</f>
        <v>18</v>
      </c>
      <c r="Q352" s="68" t="n">
        <f aca="false">M352*O352</f>
        <v>11.5</v>
      </c>
      <c r="R352" s="68" t="n">
        <f aca="false">N352*O352</f>
        <v>0.199999999999999</v>
      </c>
    </row>
    <row r="353" customFormat="false" ht="15" hidden="false" customHeight="false" outlineLevel="0" collapsed="false">
      <c r="A353" s="47" t="n">
        <v>2</v>
      </c>
      <c r="B353" s="47" t="n">
        <v>10</v>
      </c>
      <c r="C353" s="70" t="s">
        <v>368</v>
      </c>
      <c r="D353" s="47" t="n">
        <v>25</v>
      </c>
      <c r="E353" s="67" t="n">
        <v>7.71</v>
      </c>
      <c r="F353" s="49" t="n">
        <v>1</v>
      </c>
      <c r="G353" s="67" t="n">
        <v>3.78</v>
      </c>
      <c r="H353" s="49" t="n">
        <v>1</v>
      </c>
      <c r="I353" s="20"/>
      <c r="J353" s="20"/>
      <c r="K353" s="20"/>
      <c r="L353" s="20"/>
      <c r="M353" s="34" t="n">
        <f aca="false">E353*F353+G353*H353+I353*J353+K353*L353</f>
        <v>11.49</v>
      </c>
      <c r="N353" s="34" t="n">
        <f aca="false">Исходные!$B$12-M353</f>
        <v>0.209999999999999</v>
      </c>
      <c r="O353" s="49" t="n">
        <v>4</v>
      </c>
      <c r="P353" s="47" t="n">
        <f aca="false">(F353+H353+J353+L353)*O353</f>
        <v>8</v>
      </c>
      <c r="Q353" s="68" t="n">
        <f aca="false">M353*O353</f>
        <v>45.96</v>
      </c>
      <c r="R353" s="68" t="n">
        <f aca="false">N353*O353</f>
        <v>0.839999999999996</v>
      </c>
    </row>
    <row r="354" customFormat="false" ht="15" hidden="false" customHeight="false" outlineLevel="0" collapsed="false">
      <c r="A354" s="47" t="n">
        <v>2</v>
      </c>
      <c r="B354" s="47" t="n">
        <v>10</v>
      </c>
      <c r="C354" s="70" t="s">
        <v>368</v>
      </c>
      <c r="D354" s="47" t="n">
        <v>26</v>
      </c>
      <c r="E354" s="67" t="n">
        <v>10.9</v>
      </c>
      <c r="F354" s="49" t="n">
        <v>1</v>
      </c>
      <c r="G354" s="67" t="n">
        <v>0.57</v>
      </c>
      <c r="H354" s="49" t="n">
        <v>1</v>
      </c>
      <c r="I354" s="20"/>
      <c r="J354" s="20"/>
      <c r="K354" s="20"/>
      <c r="L354" s="20"/>
      <c r="M354" s="34" t="n">
        <f aca="false">E354*F354+G354*H354+I354*J354+K354*L354</f>
        <v>11.47</v>
      </c>
      <c r="N354" s="34" t="n">
        <f aca="false">Исходные!$B$12-M354</f>
        <v>0.229999999999999</v>
      </c>
      <c r="O354" s="49" t="n">
        <v>2</v>
      </c>
      <c r="P354" s="47" t="n">
        <f aca="false">(F354+H354+J354+L354)*O354</f>
        <v>4</v>
      </c>
      <c r="Q354" s="68" t="n">
        <f aca="false">M354*O354</f>
        <v>22.94</v>
      </c>
      <c r="R354" s="68" t="n">
        <f aca="false">N354*O354</f>
        <v>0.459999999999997</v>
      </c>
    </row>
    <row r="355" customFormat="false" ht="15" hidden="false" customHeight="false" outlineLevel="0" collapsed="false">
      <c r="A355" s="47" t="n">
        <v>2</v>
      </c>
      <c r="B355" s="47" t="n">
        <v>10</v>
      </c>
      <c r="C355" s="70" t="s">
        <v>368</v>
      </c>
      <c r="D355" s="47" t="n">
        <v>27</v>
      </c>
      <c r="E355" s="67" t="n">
        <v>0.57</v>
      </c>
      <c r="F355" s="49" t="n">
        <v>20</v>
      </c>
      <c r="G355" s="20"/>
      <c r="H355" s="20"/>
      <c r="I355" s="20"/>
      <c r="J355" s="20"/>
      <c r="K355" s="20"/>
      <c r="L355" s="20"/>
      <c r="M355" s="34" t="n">
        <f aca="false">E355*F355+G355*H355+I355*J355+K355*L355</f>
        <v>11.4</v>
      </c>
      <c r="N355" s="34" t="n">
        <f aca="false">Исходные!$B$12-M355</f>
        <v>0.300000000000001</v>
      </c>
      <c r="O355" s="49" t="n">
        <v>77</v>
      </c>
      <c r="P355" s="47" t="n">
        <f aca="false">(F355+H355+J355+L355)*O355</f>
        <v>1540</v>
      </c>
      <c r="Q355" s="68" t="n">
        <f aca="false">M355*O355</f>
        <v>877.8</v>
      </c>
      <c r="R355" s="68" t="n">
        <f aca="false">N355*O355</f>
        <v>23.1000000000001</v>
      </c>
    </row>
    <row r="356" customFormat="false" ht="15" hidden="false" customHeight="false" outlineLevel="0" collapsed="false">
      <c r="A356" s="47" t="n">
        <v>2</v>
      </c>
      <c r="B356" s="47" t="n">
        <v>10</v>
      </c>
      <c r="C356" s="70" t="s">
        <v>368</v>
      </c>
      <c r="D356" s="47" t="n">
        <v>28</v>
      </c>
      <c r="E356" s="67" t="n">
        <v>1.2</v>
      </c>
      <c r="F356" s="49" t="n">
        <v>9</v>
      </c>
      <c r="G356" s="67" t="n">
        <v>0.57</v>
      </c>
      <c r="H356" s="49" t="n">
        <v>1</v>
      </c>
      <c r="I356" s="20"/>
      <c r="J356" s="20"/>
      <c r="K356" s="20"/>
      <c r="L356" s="20"/>
      <c r="M356" s="34" t="n">
        <f aca="false">E356*F356+G356*H356+I356*J356+K356*L356</f>
        <v>11.37</v>
      </c>
      <c r="N356" s="34" t="n">
        <f aca="false">Исходные!$B$12-M356</f>
        <v>0.33</v>
      </c>
      <c r="O356" s="49" t="n">
        <v>17</v>
      </c>
      <c r="P356" s="47" t="n">
        <f aca="false">(F356+H356+J356+L356)*O356</f>
        <v>170</v>
      </c>
      <c r="Q356" s="68" t="n">
        <f aca="false">M356*O356</f>
        <v>193.29</v>
      </c>
      <c r="R356" s="68" t="n">
        <f aca="false">N356*O356</f>
        <v>5.61</v>
      </c>
    </row>
    <row r="357" customFormat="false" ht="15" hidden="false" customHeight="false" outlineLevel="0" collapsed="false">
      <c r="A357" s="47" t="n">
        <v>2</v>
      </c>
      <c r="B357" s="47" t="n">
        <v>10</v>
      </c>
      <c r="C357" s="70" t="s">
        <v>368</v>
      </c>
      <c r="D357" s="47" t="n">
        <v>29</v>
      </c>
      <c r="E357" s="67" t="n">
        <v>10.77</v>
      </c>
      <c r="F357" s="49" t="n">
        <v>1</v>
      </c>
      <c r="G357" s="67" t="n">
        <v>0.57</v>
      </c>
      <c r="H357" s="49" t="n">
        <v>1</v>
      </c>
      <c r="I357" s="20"/>
      <c r="J357" s="20"/>
      <c r="K357" s="20"/>
      <c r="L357" s="20"/>
      <c r="M357" s="34" t="n">
        <f aca="false">E357*F357+G357*H357+I357*J357+K357*L357</f>
        <v>11.34</v>
      </c>
      <c r="N357" s="34" t="n">
        <f aca="false">Исходные!$B$12-M357</f>
        <v>0.359999999999999</v>
      </c>
      <c r="O357" s="49" t="n">
        <v>2</v>
      </c>
      <c r="P357" s="47" t="n">
        <f aca="false">(F357+H357+J357+L357)*O357</f>
        <v>4</v>
      </c>
      <c r="Q357" s="68" t="n">
        <f aca="false">M357*O357</f>
        <v>22.68</v>
      </c>
      <c r="R357" s="68" t="n">
        <f aca="false">N357*O357</f>
        <v>0.719999999999999</v>
      </c>
    </row>
    <row r="358" customFormat="false" ht="15" hidden="false" customHeight="false" outlineLevel="0" collapsed="false">
      <c r="A358" s="47" t="n">
        <v>2</v>
      </c>
      <c r="B358" s="47" t="n">
        <v>10</v>
      </c>
      <c r="C358" s="70" t="s">
        <v>368</v>
      </c>
      <c r="D358" s="47" t="n">
        <v>30</v>
      </c>
      <c r="E358" s="67" t="n">
        <v>3.78</v>
      </c>
      <c r="F358" s="49" t="n">
        <v>3</v>
      </c>
      <c r="G358" s="20"/>
      <c r="H358" s="20"/>
      <c r="I358" s="20"/>
      <c r="J358" s="20"/>
      <c r="K358" s="20"/>
      <c r="L358" s="20"/>
      <c r="M358" s="34" t="n">
        <f aca="false">E358*F358+G358*H358+I358*J358+K358*L358</f>
        <v>11.34</v>
      </c>
      <c r="N358" s="34" t="n">
        <f aca="false">Исходные!$B$12-M358</f>
        <v>0.359999999999999</v>
      </c>
      <c r="O358" s="49" t="n">
        <v>4</v>
      </c>
      <c r="P358" s="47" t="n">
        <f aca="false">(F358+H358+J358+L358)*O358</f>
        <v>12</v>
      </c>
      <c r="Q358" s="68" t="n">
        <f aca="false">M358*O358</f>
        <v>45.36</v>
      </c>
      <c r="R358" s="68" t="n">
        <f aca="false">N358*O358</f>
        <v>1.44</v>
      </c>
    </row>
    <row r="359" customFormat="false" ht="15" hidden="false" customHeight="false" outlineLevel="0" collapsed="false">
      <c r="A359" s="47" t="n">
        <v>2</v>
      </c>
      <c r="B359" s="47" t="n">
        <v>10</v>
      </c>
      <c r="C359" s="70" t="s">
        <v>368</v>
      </c>
      <c r="D359" s="47" t="n">
        <v>31</v>
      </c>
      <c r="E359" s="67" t="n">
        <v>1.2</v>
      </c>
      <c r="F359" s="49" t="n">
        <v>6</v>
      </c>
      <c r="G359" s="67" t="n">
        <v>1.19</v>
      </c>
      <c r="H359" s="49" t="n">
        <v>3</v>
      </c>
      <c r="I359" s="67" t="n">
        <v>0.57</v>
      </c>
      <c r="J359" s="49" t="n">
        <v>1</v>
      </c>
      <c r="K359" s="20"/>
      <c r="L359" s="20"/>
      <c r="M359" s="34" t="n">
        <f aca="false">E359*F359+G359*H359+I359*J359+K359*L359</f>
        <v>11.34</v>
      </c>
      <c r="N359" s="34" t="n">
        <f aca="false">Исходные!$B$12-M359</f>
        <v>0.359999999999999</v>
      </c>
      <c r="O359" s="49" t="n">
        <v>1</v>
      </c>
      <c r="P359" s="47" t="n">
        <f aca="false">(F359+H359+J359+L359)*O359</f>
        <v>10</v>
      </c>
      <c r="Q359" s="68" t="n">
        <f aca="false">M359*O359</f>
        <v>11.34</v>
      </c>
      <c r="R359" s="68" t="n">
        <f aca="false">N359*O359</f>
        <v>0.359999999999999</v>
      </c>
    </row>
    <row r="360" customFormat="false" ht="15" hidden="false" customHeight="false" outlineLevel="0" collapsed="false">
      <c r="A360" s="47" t="n">
        <v>2</v>
      </c>
      <c r="B360" s="47" t="n">
        <v>10</v>
      </c>
      <c r="C360" s="70" t="s">
        <v>368</v>
      </c>
      <c r="D360" s="47" t="n">
        <v>32</v>
      </c>
      <c r="E360" s="67" t="n">
        <v>9.3</v>
      </c>
      <c r="F360" s="49" t="n">
        <v>1</v>
      </c>
      <c r="G360" s="67" t="n">
        <v>2</v>
      </c>
      <c r="H360" s="49" t="n">
        <v>1</v>
      </c>
      <c r="I360" s="20"/>
      <c r="J360" s="20"/>
      <c r="K360" s="20"/>
      <c r="L360" s="20"/>
      <c r="M360" s="34" t="n">
        <f aca="false">E360*F360+G360*H360+I360*J360+K360*L360</f>
        <v>11.3</v>
      </c>
      <c r="N360" s="34" t="n">
        <f aca="false">Исходные!$B$12-M360</f>
        <v>0.399999999999999</v>
      </c>
      <c r="O360" s="49" t="n">
        <v>11</v>
      </c>
      <c r="P360" s="47" t="n">
        <f aca="false">(F360+H360+J360+L360)*O360</f>
        <v>22</v>
      </c>
      <c r="Q360" s="68" t="n">
        <f aca="false">M360*O360</f>
        <v>124.3</v>
      </c>
      <c r="R360" s="68" t="n">
        <f aca="false">N360*O360</f>
        <v>4.39999999999998</v>
      </c>
    </row>
    <row r="361" customFormat="false" ht="15" hidden="false" customHeight="false" outlineLevel="0" collapsed="false">
      <c r="A361" s="47" t="n">
        <v>2</v>
      </c>
      <c r="B361" s="47" t="n">
        <v>10</v>
      </c>
      <c r="C361" s="70" t="s">
        <v>368</v>
      </c>
      <c r="D361" s="47" t="n">
        <v>33</v>
      </c>
      <c r="E361" s="67" t="n">
        <v>4.15</v>
      </c>
      <c r="F361" s="49" t="n">
        <v>2</v>
      </c>
      <c r="G361" s="67" t="n">
        <v>3</v>
      </c>
      <c r="H361" s="49" t="n">
        <v>1</v>
      </c>
      <c r="I361" s="20"/>
      <c r="J361" s="20"/>
      <c r="K361" s="20"/>
      <c r="L361" s="20"/>
      <c r="M361" s="34" t="n">
        <f aca="false">E361*F361+G361*H361+I361*J361+K361*L361</f>
        <v>11.3</v>
      </c>
      <c r="N361" s="34" t="n">
        <f aca="false">Исходные!$B$12-M361</f>
        <v>0.399999999999999</v>
      </c>
      <c r="O361" s="49" t="n">
        <v>18</v>
      </c>
      <c r="P361" s="47" t="n">
        <f aca="false">(F361+H361+J361+L361)*O361</f>
        <v>54</v>
      </c>
      <c r="Q361" s="68" t="n">
        <f aca="false">M361*O361</f>
        <v>203.4</v>
      </c>
      <c r="R361" s="68" t="n">
        <f aca="false">N361*O361</f>
        <v>7.19999999999997</v>
      </c>
    </row>
    <row r="362" customFormat="false" ht="15" hidden="false" customHeight="false" outlineLevel="0" collapsed="false">
      <c r="A362" s="47" t="n">
        <v>2</v>
      </c>
      <c r="B362" s="47" t="n">
        <v>10</v>
      </c>
      <c r="C362" s="70" t="s">
        <v>368</v>
      </c>
      <c r="D362" s="47" t="n">
        <v>34</v>
      </c>
      <c r="E362" s="67" t="n">
        <v>1.19</v>
      </c>
      <c r="F362" s="49" t="n">
        <v>9</v>
      </c>
      <c r="G362" s="67" t="n">
        <v>0.57</v>
      </c>
      <c r="H362" s="49" t="n">
        <v>1</v>
      </c>
      <c r="I362" s="20"/>
      <c r="J362" s="20"/>
      <c r="K362" s="20"/>
      <c r="L362" s="20"/>
      <c r="M362" s="34" t="n">
        <f aca="false">E362*F362+G362*H362+I362*J362+K362*L362</f>
        <v>11.28</v>
      </c>
      <c r="N362" s="34" t="n">
        <f aca="false">Исходные!$B$12-M362</f>
        <v>0.42</v>
      </c>
      <c r="O362" s="49" t="n">
        <v>19</v>
      </c>
      <c r="P362" s="47" t="n">
        <f aca="false">(F362+H362+J362+L362)*O362</f>
        <v>190</v>
      </c>
      <c r="Q362" s="68" t="n">
        <f aca="false">M362*O362</f>
        <v>214.32</v>
      </c>
      <c r="R362" s="68" t="n">
        <f aca="false">N362*O362</f>
        <v>7.98</v>
      </c>
    </row>
    <row r="363" customFormat="false" ht="15" hidden="false" customHeight="false" outlineLevel="0" collapsed="false">
      <c r="A363" s="47" t="n">
        <v>2</v>
      </c>
      <c r="B363" s="47" t="n">
        <v>10</v>
      </c>
      <c r="C363" s="70" t="s">
        <v>368</v>
      </c>
      <c r="D363" s="47" t="n">
        <v>35</v>
      </c>
      <c r="E363" s="67" t="n">
        <v>9.18</v>
      </c>
      <c r="F363" s="49" t="n">
        <v>1</v>
      </c>
      <c r="G363" s="67" t="n">
        <v>2</v>
      </c>
      <c r="H363" s="49" t="n">
        <v>1</v>
      </c>
      <c r="I363" s="20"/>
      <c r="J363" s="20"/>
      <c r="K363" s="20"/>
      <c r="L363" s="20"/>
      <c r="M363" s="34" t="n">
        <f aca="false">E363*F363+G363*H363+I363*J363+K363*L363</f>
        <v>11.18</v>
      </c>
      <c r="N363" s="34" t="n">
        <f aca="false">Исходные!$B$12-M363</f>
        <v>0.52</v>
      </c>
      <c r="O363" s="49" t="n">
        <v>10</v>
      </c>
      <c r="P363" s="47" t="n">
        <f aca="false">(F363+H363+J363+L363)*O363</f>
        <v>20</v>
      </c>
      <c r="Q363" s="68" t="n">
        <f aca="false">M363*O363</f>
        <v>111.8</v>
      </c>
      <c r="R363" s="68" t="n">
        <f aca="false">N363*O363</f>
        <v>5.2</v>
      </c>
    </row>
    <row r="364" customFormat="false" ht="15" hidden="false" customHeight="false" outlineLevel="0" collapsed="false">
      <c r="A364" s="47" t="n">
        <v>2</v>
      </c>
      <c r="B364" s="47" t="n">
        <v>10</v>
      </c>
      <c r="C364" s="70" t="s">
        <v>368</v>
      </c>
      <c r="D364" s="47" t="n">
        <v>36</v>
      </c>
      <c r="E364" s="67" t="n">
        <v>9.18</v>
      </c>
      <c r="F364" s="49" t="n">
        <v>1</v>
      </c>
      <c r="G364" s="67" t="n">
        <v>1.4</v>
      </c>
      <c r="H364" s="49" t="n">
        <v>1</v>
      </c>
      <c r="I364" s="67" t="n">
        <v>0.57</v>
      </c>
      <c r="J364" s="49" t="n">
        <v>1</v>
      </c>
      <c r="K364" s="20"/>
      <c r="L364" s="20"/>
      <c r="M364" s="34" t="n">
        <f aca="false">E364*F364+G364*H364+I364*J364+K364*L364</f>
        <v>11.15</v>
      </c>
      <c r="N364" s="34" t="n">
        <f aca="false">Исходные!$B$12-M364</f>
        <v>0.549999999999999</v>
      </c>
      <c r="O364" s="49" t="n">
        <v>32</v>
      </c>
      <c r="P364" s="47" t="n">
        <f aca="false">(F364+H364+J364+L364)*O364</f>
        <v>96</v>
      </c>
      <c r="Q364" s="68" t="n">
        <f aca="false">M364*O364</f>
        <v>356.8</v>
      </c>
      <c r="R364" s="68" t="n">
        <f aca="false">N364*O364</f>
        <v>17.6</v>
      </c>
    </row>
    <row r="365" customFormat="false" ht="15" hidden="false" customHeight="false" outlineLevel="0" collapsed="false">
      <c r="A365" s="47" t="n">
        <v>2</v>
      </c>
      <c r="B365" s="47" t="n">
        <v>10</v>
      </c>
      <c r="C365" s="70" t="s">
        <v>368</v>
      </c>
      <c r="D365" s="47" t="n">
        <v>37</v>
      </c>
      <c r="E365" s="67" t="n">
        <v>0.57</v>
      </c>
      <c r="F365" s="49" t="n">
        <v>3</v>
      </c>
      <c r="G365" s="20"/>
      <c r="H365" s="20"/>
      <c r="I365" s="20"/>
      <c r="J365" s="20"/>
      <c r="K365" s="20"/>
      <c r="L365" s="20"/>
      <c r="M365" s="34" t="n">
        <f aca="false">E365*F365+G365*H365+I365*J365+K365*L365</f>
        <v>1.71</v>
      </c>
      <c r="N365" s="34" t="n">
        <f aca="false">Исходные!$B$12-M365</f>
        <v>9.99</v>
      </c>
      <c r="O365" s="49" t="n">
        <v>1</v>
      </c>
      <c r="P365" s="47" t="n">
        <f aca="false">(F365+H365+J365+L365)*O365</f>
        <v>3</v>
      </c>
      <c r="Q365" s="68" t="n">
        <f aca="false">M365*O365</f>
        <v>1.71</v>
      </c>
      <c r="R365" s="68" t="n">
        <f aca="false">N365*O365</f>
        <v>9.99</v>
      </c>
    </row>
    <row r="366" customFormat="false" ht="15" hidden="false" customHeight="false" outlineLevel="0" collapsed="false">
      <c r="A366" s="47" t="n">
        <v>2</v>
      </c>
      <c r="B366" s="47" t="n">
        <v>16</v>
      </c>
      <c r="C366" s="70" t="s">
        <v>403</v>
      </c>
      <c r="D366" s="47" t="n">
        <v>1</v>
      </c>
      <c r="E366" s="67" t="n">
        <v>0.42</v>
      </c>
      <c r="F366" s="49" t="n">
        <v>2</v>
      </c>
      <c r="G366" s="20"/>
      <c r="H366" s="20"/>
      <c r="I366" s="20"/>
      <c r="J366" s="20"/>
      <c r="K366" s="20"/>
      <c r="L366" s="20"/>
      <c r="M366" s="34" t="n">
        <f aca="false">E366*F366+G366*H366+I366*J366+K366*L366</f>
        <v>0.84</v>
      </c>
      <c r="N366" s="34" t="n">
        <f aca="false">Исходные!$B$12-M366</f>
        <v>10.86</v>
      </c>
      <c r="O366" s="49" t="n">
        <v>1</v>
      </c>
      <c r="P366" s="47" t="n">
        <f aca="false">(F366+H366+J366+L366)*O366</f>
        <v>2</v>
      </c>
      <c r="Q366" s="68" t="n">
        <f aca="false">M366*O366</f>
        <v>0.84</v>
      </c>
      <c r="R366" s="68" t="n">
        <f aca="false">N366*O366</f>
        <v>10.86</v>
      </c>
    </row>
    <row r="367" customFormat="false" ht="15" hidden="false" customHeight="false" outlineLevel="0" collapsed="false">
      <c r="A367" s="47" t="n">
        <v>2</v>
      </c>
      <c r="B367" s="47" t="n">
        <v>10</v>
      </c>
      <c r="C367" s="70" t="s">
        <v>403</v>
      </c>
      <c r="D367" s="47" t="n">
        <v>1</v>
      </c>
      <c r="E367" s="67" t="n">
        <v>2.06</v>
      </c>
      <c r="F367" s="49" t="n">
        <v>1</v>
      </c>
      <c r="G367" s="67" t="n">
        <v>1.6</v>
      </c>
      <c r="H367" s="49" t="n">
        <v>6</v>
      </c>
      <c r="I367" s="20"/>
      <c r="J367" s="20"/>
      <c r="K367" s="20"/>
      <c r="L367" s="20"/>
      <c r="M367" s="34" t="n">
        <f aca="false">E367*F367+G367*H367+I367*J367+K367*L367</f>
        <v>11.66</v>
      </c>
      <c r="N367" s="34" t="n">
        <f aca="false">Исходные!$B$12-M367</f>
        <v>0.0399999999999974</v>
      </c>
      <c r="O367" s="49" t="n">
        <v>1</v>
      </c>
      <c r="P367" s="47" t="n">
        <f aca="false">(F367+H367+J367+L367)*O367</f>
        <v>7</v>
      </c>
      <c r="Q367" s="68" t="n">
        <f aca="false">M367*O367</f>
        <v>11.66</v>
      </c>
      <c r="R367" s="68" t="n">
        <f aca="false">N367*O367</f>
        <v>0.0399999999999974</v>
      </c>
    </row>
    <row r="368" customFormat="false" ht="15" hidden="false" customHeight="false" outlineLevel="0" collapsed="false">
      <c r="A368" s="47" t="n">
        <v>2</v>
      </c>
      <c r="B368" s="47" t="n">
        <v>10</v>
      </c>
      <c r="C368" s="70" t="s">
        <v>403</v>
      </c>
      <c r="D368" s="47" t="n">
        <v>2</v>
      </c>
      <c r="E368" s="67" t="n">
        <v>2.06</v>
      </c>
      <c r="F368" s="49" t="n">
        <v>5</v>
      </c>
      <c r="G368" s="67" t="n">
        <v>1.33</v>
      </c>
      <c r="H368" s="49" t="n">
        <v>1</v>
      </c>
      <c r="I368" s="20"/>
      <c r="J368" s="20"/>
      <c r="K368" s="20"/>
      <c r="L368" s="20"/>
      <c r="M368" s="34" t="n">
        <f aca="false">E368*F368+G368*H368+I368*J368+K368*L368</f>
        <v>11.63</v>
      </c>
      <c r="N368" s="34" t="n">
        <f aca="false">Исходные!$B$12-M368</f>
        <v>0.0699999999999985</v>
      </c>
      <c r="O368" s="49" t="n">
        <v>144</v>
      </c>
      <c r="P368" s="47" t="n">
        <f aca="false">(F368+H368+J368+L368)*O368</f>
        <v>864</v>
      </c>
      <c r="Q368" s="68" t="n">
        <f aca="false">M368*O368</f>
        <v>1674.72</v>
      </c>
      <c r="R368" s="68" t="n">
        <f aca="false">N368*O368</f>
        <v>10.0799999999998</v>
      </c>
    </row>
    <row r="369" customFormat="false" ht="15" hidden="false" customHeight="false" outlineLevel="0" collapsed="false">
      <c r="A369" s="47" t="n">
        <v>2</v>
      </c>
      <c r="B369" s="47" t="n">
        <v>10</v>
      </c>
      <c r="C369" s="70" t="s">
        <v>403</v>
      </c>
      <c r="D369" s="47" t="n">
        <v>3</v>
      </c>
      <c r="E369" s="67" t="n">
        <v>1.6</v>
      </c>
      <c r="F369" s="49" t="n">
        <v>7</v>
      </c>
      <c r="G369" s="67" t="n">
        <v>0.42</v>
      </c>
      <c r="H369" s="49" t="n">
        <v>1</v>
      </c>
      <c r="I369" s="20"/>
      <c r="J369" s="20"/>
      <c r="K369" s="20"/>
      <c r="L369" s="20"/>
      <c r="M369" s="34" t="n">
        <f aca="false">E369*F369+G369*H369+I369*J369+K369*L369</f>
        <v>11.62</v>
      </c>
      <c r="N369" s="34" t="n">
        <f aca="false">Исходные!$B$12-M369</f>
        <v>0.0799999999999983</v>
      </c>
      <c r="O369" s="49" t="n">
        <v>49</v>
      </c>
      <c r="P369" s="47" t="n">
        <f aca="false">(F369+H369+J369+L369)*O369</f>
        <v>392</v>
      </c>
      <c r="Q369" s="68" t="n">
        <f aca="false">M369*O369</f>
        <v>569.38</v>
      </c>
      <c r="R369" s="68" t="n">
        <f aca="false">N369*O369</f>
        <v>3.91999999999992</v>
      </c>
    </row>
    <row r="370" customFormat="false" ht="15" hidden="false" customHeight="false" outlineLevel="0" collapsed="false">
      <c r="A370" s="47" t="n">
        <v>2</v>
      </c>
      <c r="B370" s="47" t="n">
        <v>10</v>
      </c>
      <c r="C370" s="70" t="s">
        <v>403</v>
      </c>
      <c r="D370" s="47" t="n">
        <v>4</v>
      </c>
      <c r="E370" s="67" t="n">
        <v>0.7</v>
      </c>
      <c r="F370" s="49" t="n">
        <v>16</v>
      </c>
      <c r="G370" s="67" t="n">
        <v>0.42</v>
      </c>
      <c r="H370" s="49" t="n">
        <v>1</v>
      </c>
      <c r="I370" s="20"/>
      <c r="J370" s="20"/>
      <c r="K370" s="20"/>
      <c r="L370" s="20"/>
      <c r="M370" s="34" t="n">
        <f aca="false">E370*F370+G370*H370+I370*J370+K370*L370</f>
        <v>11.62</v>
      </c>
      <c r="N370" s="34" t="n">
        <f aca="false">Исходные!$B$12-M370</f>
        <v>0.0800000000000001</v>
      </c>
      <c r="O370" s="49" t="n">
        <v>7</v>
      </c>
      <c r="P370" s="47" t="n">
        <f aca="false">(F370+H370+J370+L370)*O370</f>
        <v>119</v>
      </c>
      <c r="Q370" s="68" t="n">
        <f aca="false">M370*O370</f>
        <v>81.34</v>
      </c>
      <c r="R370" s="68" t="n">
        <f aca="false">N370*O370</f>
        <v>0.560000000000001</v>
      </c>
    </row>
    <row r="371" customFormat="false" ht="15" hidden="false" customHeight="false" outlineLevel="0" collapsed="false">
      <c r="A371" s="47" t="n">
        <v>2</v>
      </c>
      <c r="B371" s="47" t="n">
        <v>10</v>
      </c>
      <c r="C371" s="70" t="s">
        <v>403</v>
      </c>
      <c r="D371" s="47" t="n">
        <v>5</v>
      </c>
      <c r="E371" s="67" t="n">
        <v>0.7</v>
      </c>
      <c r="F371" s="49" t="n">
        <v>3</v>
      </c>
      <c r="G371" s="67" t="n">
        <v>0.52</v>
      </c>
      <c r="H371" s="49" t="n">
        <v>18</v>
      </c>
      <c r="I371" s="20"/>
      <c r="J371" s="20"/>
      <c r="K371" s="20"/>
      <c r="L371" s="20"/>
      <c r="M371" s="34" t="n">
        <f aca="false">E371*F371+G371*H371+I371*J371+K371*L371</f>
        <v>11.46</v>
      </c>
      <c r="N371" s="34" t="n">
        <f aca="false">Исходные!$B$12-M371</f>
        <v>0.24</v>
      </c>
      <c r="O371" s="49" t="n">
        <v>1</v>
      </c>
      <c r="P371" s="47" t="n">
        <f aca="false">(F371+H371+J371+L371)*O371</f>
        <v>21</v>
      </c>
      <c r="Q371" s="68" t="n">
        <f aca="false">M371*O371</f>
        <v>11.46</v>
      </c>
      <c r="R371" s="68" t="n">
        <f aca="false">N371*O371</f>
        <v>0.24</v>
      </c>
    </row>
    <row r="372" customFormat="false" ht="15" hidden="false" customHeight="false" outlineLevel="0" collapsed="false">
      <c r="A372" s="47" t="n">
        <v>2</v>
      </c>
      <c r="B372" s="47" t="n">
        <v>10</v>
      </c>
      <c r="C372" s="70" t="s">
        <v>403</v>
      </c>
      <c r="D372" s="47" t="n">
        <v>6</v>
      </c>
      <c r="E372" s="67" t="n">
        <v>0.52</v>
      </c>
      <c r="F372" s="49" t="n">
        <v>22</v>
      </c>
      <c r="G372" s="20"/>
      <c r="H372" s="20"/>
      <c r="I372" s="20"/>
      <c r="J372" s="20"/>
      <c r="K372" s="20"/>
      <c r="L372" s="20"/>
      <c r="M372" s="34" t="n">
        <f aca="false">E372*F372+G372*H372+I372*J372+K372*L372</f>
        <v>11.44</v>
      </c>
      <c r="N372" s="34" t="n">
        <f aca="false">Исходные!$B$12-M372</f>
        <v>0.259999999999998</v>
      </c>
      <c r="O372" s="49" t="n">
        <v>7</v>
      </c>
      <c r="P372" s="47" t="n">
        <f aca="false">(F372+H372+J372+L372)*O372</f>
        <v>154</v>
      </c>
      <c r="Q372" s="68" t="n">
        <f aca="false">M372*O372</f>
        <v>80.08</v>
      </c>
      <c r="R372" s="68" t="n">
        <f aca="false">N372*O372</f>
        <v>1.81999999999999</v>
      </c>
    </row>
    <row r="373" customFormat="false" ht="15" hidden="false" customHeight="false" outlineLevel="0" collapsed="false">
      <c r="A373" s="47" t="n">
        <v>2</v>
      </c>
      <c r="B373" s="47" t="n">
        <v>10</v>
      </c>
      <c r="C373" s="70" t="s">
        <v>403</v>
      </c>
      <c r="D373" s="47" t="n">
        <v>7</v>
      </c>
      <c r="E373" s="67" t="n">
        <v>1.33</v>
      </c>
      <c r="F373" s="49" t="n">
        <v>8</v>
      </c>
      <c r="G373" s="67" t="n">
        <v>0.7</v>
      </c>
      <c r="H373" s="49" t="n">
        <v>1</v>
      </c>
      <c r="I373" s="20"/>
      <c r="J373" s="20"/>
      <c r="K373" s="20"/>
      <c r="L373" s="20"/>
      <c r="M373" s="34" t="n">
        <f aca="false">E373*F373+G373*H373+I373*J373+K373*L373</f>
        <v>11.34</v>
      </c>
      <c r="N373" s="34" t="n">
        <f aca="false">Исходные!$B$12-M373</f>
        <v>0.359999999999999</v>
      </c>
      <c r="O373" s="49" t="n">
        <v>4</v>
      </c>
      <c r="P373" s="47" t="n">
        <f aca="false">(F373+H373+J373+L373)*O373</f>
        <v>36</v>
      </c>
      <c r="Q373" s="68" t="n">
        <f aca="false">M373*O373</f>
        <v>45.36</v>
      </c>
      <c r="R373" s="68" t="n">
        <f aca="false">N373*O373</f>
        <v>1.44</v>
      </c>
    </row>
    <row r="374" customFormat="false" ht="15" hidden="false" customHeight="false" outlineLevel="0" collapsed="false">
      <c r="A374" s="47" t="n">
        <v>2</v>
      </c>
      <c r="B374" s="47" t="n">
        <v>10</v>
      </c>
      <c r="C374" s="70" t="s">
        <v>403</v>
      </c>
      <c r="D374" s="47" t="n">
        <v>8</v>
      </c>
      <c r="E374" s="67" t="n">
        <v>0.42</v>
      </c>
      <c r="F374" s="49" t="n">
        <v>27</v>
      </c>
      <c r="G374" s="20"/>
      <c r="H374" s="20"/>
      <c r="I374" s="20"/>
      <c r="J374" s="20"/>
      <c r="K374" s="20"/>
      <c r="L374" s="20"/>
      <c r="M374" s="34" t="n">
        <f aca="false">E374*F374+G374*H374+I374*J374+K374*L374</f>
        <v>11.34</v>
      </c>
      <c r="N374" s="34" t="n">
        <f aca="false">Исходные!$B$12-M374</f>
        <v>0.359999999999999</v>
      </c>
      <c r="O374" s="49" t="n">
        <v>28</v>
      </c>
      <c r="P374" s="47" t="n">
        <f aca="false">(F374+H374+J374+L374)*O374</f>
        <v>756</v>
      </c>
      <c r="Q374" s="68" t="n">
        <f aca="false">M374*O374</f>
        <v>317.52</v>
      </c>
      <c r="R374" s="68" t="n">
        <f aca="false">N374*O374</f>
        <v>10.08</v>
      </c>
    </row>
    <row r="375" customFormat="false" ht="15" hidden="false" customHeight="false" outlineLevel="0" collapsed="false">
      <c r="A375" s="47" t="n">
        <v>2</v>
      </c>
      <c r="B375" s="47" t="n">
        <v>10</v>
      </c>
      <c r="C375" s="70" t="s">
        <v>403</v>
      </c>
      <c r="D375" s="47" t="n">
        <v>9</v>
      </c>
      <c r="E375" s="67" t="n">
        <v>0.52</v>
      </c>
      <c r="F375" s="49" t="n">
        <v>4</v>
      </c>
      <c r="G375" s="67" t="n">
        <v>0.42</v>
      </c>
      <c r="H375" s="49" t="n">
        <v>22</v>
      </c>
      <c r="I375" s="20"/>
      <c r="J375" s="20"/>
      <c r="K375" s="20"/>
      <c r="L375" s="20"/>
      <c r="M375" s="34" t="n">
        <f aca="false">E375*F375+G375*H375+I375*J375+K375*L375</f>
        <v>11.32</v>
      </c>
      <c r="N375" s="34" t="n">
        <f aca="false">Исходные!$B$12-M375</f>
        <v>0.379999999999999</v>
      </c>
      <c r="O375" s="49" t="n">
        <v>1</v>
      </c>
      <c r="P375" s="47" t="n">
        <f aca="false">(F375+H375+J375+L375)*O375</f>
        <v>26</v>
      </c>
      <c r="Q375" s="68" t="n">
        <f aca="false">M375*O375</f>
        <v>11.32</v>
      </c>
      <c r="R375" s="68" t="n">
        <f aca="false">N375*O375</f>
        <v>0.379999999999999</v>
      </c>
    </row>
    <row r="376" customFormat="false" ht="15" hidden="false" customHeight="false" outlineLevel="0" collapsed="false">
      <c r="A376" s="47" t="n">
        <v>2</v>
      </c>
      <c r="B376" s="47" t="n">
        <v>10</v>
      </c>
      <c r="C376" s="70" t="s">
        <v>403</v>
      </c>
      <c r="D376" s="47" t="n">
        <v>10</v>
      </c>
      <c r="E376" s="67" t="n">
        <v>0.42</v>
      </c>
      <c r="F376" s="49" t="n">
        <v>13</v>
      </c>
      <c r="G376" s="20"/>
      <c r="H376" s="20"/>
      <c r="I376" s="20"/>
      <c r="J376" s="20"/>
      <c r="K376" s="20"/>
      <c r="L376" s="20"/>
      <c r="M376" s="34" t="n">
        <f aca="false">E376*F376+G376*H376+I376*J376+K376*L376</f>
        <v>5.46</v>
      </c>
      <c r="N376" s="34" t="n">
        <f aca="false">Исходные!$B$12-M376</f>
        <v>6.24</v>
      </c>
      <c r="O376" s="49" t="n">
        <v>1</v>
      </c>
      <c r="P376" s="47" t="n">
        <f aca="false">(F376+H376+J376+L376)*O376</f>
        <v>13</v>
      </c>
      <c r="Q376" s="68" t="n">
        <f aca="false">M376*O376</f>
        <v>5.46</v>
      </c>
      <c r="R376" s="68" t="n">
        <f aca="false">N376*O376</f>
        <v>6.24</v>
      </c>
    </row>
    <row r="377" customFormat="false" ht="15" hidden="false" customHeight="false" outlineLevel="0" collapsed="false">
      <c r="A377" s="47" t="n">
        <v>2</v>
      </c>
      <c r="B377" s="47" t="n">
        <v>8</v>
      </c>
      <c r="C377" s="70" t="s">
        <v>403</v>
      </c>
      <c r="D377" s="47" t="n">
        <v>1</v>
      </c>
      <c r="E377" s="67" t="n">
        <v>1.24</v>
      </c>
      <c r="F377" s="49" t="n">
        <v>9</v>
      </c>
      <c r="G377" s="67" t="n">
        <v>0.53</v>
      </c>
      <c r="H377" s="49" t="n">
        <v>1</v>
      </c>
      <c r="I377" s="20"/>
      <c r="J377" s="20"/>
      <c r="K377" s="20"/>
      <c r="L377" s="20"/>
      <c r="M377" s="34" t="n">
        <f aca="false">E377*F377+G377*H377+I377*J377+K377*L377</f>
        <v>11.69</v>
      </c>
      <c r="N377" s="34" t="n">
        <f aca="false">Исходные!$B$12-M377</f>
        <v>0.00999999999999979</v>
      </c>
      <c r="O377" s="49" t="n">
        <v>87</v>
      </c>
      <c r="P377" s="47" t="n">
        <f aca="false">(F377+H377+J377+L377)*O377</f>
        <v>870</v>
      </c>
      <c r="Q377" s="68" t="n">
        <f aca="false">M377*O377</f>
        <v>1017.03</v>
      </c>
      <c r="R377" s="68" t="n">
        <f aca="false">N377*O377</f>
        <v>0.869999999999982</v>
      </c>
    </row>
    <row r="378" customFormat="false" ht="15" hidden="false" customHeight="false" outlineLevel="0" collapsed="false">
      <c r="A378" s="47" t="n">
        <v>2</v>
      </c>
      <c r="B378" s="47" t="n">
        <v>8</v>
      </c>
      <c r="C378" s="70" t="s">
        <v>403</v>
      </c>
      <c r="D378" s="47" t="n">
        <v>2</v>
      </c>
      <c r="E378" s="67" t="n">
        <v>0.75</v>
      </c>
      <c r="F378" s="49" t="n">
        <v>15</v>
      </c>
      <c r="G378" s="67" t="n">
        <v>0.22</v>
      </c>
      <c r="H378" s="49" t="n">
        <v>2</v>
      </c>
      <c r="I378" s="20"/>
      <c r="J378" s="20"/>
      <c r="K378" s="20"/>
      <c r="L378" s="20"/>
      <c r="M378" s="34" t="n">
        <f aca="false">E378*F378+G378*H378+I378*J378+K378*L378</f>
        <v>11.69</v>
      </c>
      <c r="N378" s="34" t="n">
        <f aca="false">Исходные!$B$12-M378</f>
        <v>0.00999999999999979</v>
      </c>
      <c r="O378" s="49" t="n">
        <v>48</v>
      </c>
      <c r="P378" s="47" t="n">
        <f aca="false">(F378+H378+J378+L378)*O378</f>
        <v>816</v>
      </c>
      <c r="Q378" s="68" t="n">
        <f aca="false">M378*O378</f>
        <v>561.12</v>
      </c>
      <c r="R378" s="68" t="n">
        <f aca="false">N378*O378</f>
        <v>0.47999999999999</v>
      </c>
    </row>
    <row r="379" customFormat="false" ht="15" hidden="false" customHeight="false" outlineLevel="0" collapsed="false">
      <c r="A379" s="47" t="n">
        <v>2</v>
      </c>
      <c r="B379" s="47" t="n">
        <v>8</v>
      </c>
      <c r="C379" s="70" t="s">
        <v>403</v>
      </c>
      <c r="D379" s="47" t="n">
        <v>3</v>
      </c>
      <c r="E379" s="67" t="n">
        <v>1.04</v>
      </c>
      <c r="F379" s="49" t="n">
        <v>10</v>
      </c>
      <c r="G379" s="67" t="n">
        <v>0.75</v>
      </c>
      <c r="H379" s="49" t="n">
        <v>1</v>
      </c>
      <c r="I379" s="67" t="n">
        <v>0.53</v>
      </c>
      <c r="J379" s="49" t="n">
        <v>1</v>
      </c>
      <c r="K379" s="20"/>
      <c r="L379" s="20"/>
      <c r="M379" s="34" t="n">
        <f aca="false">E379*F379+G379*H379+I379*J379+K379*L379</f>
        <v>11.68</v>
      </c>
      <c r="N379" s="34" t="n">
        <f aca="false">Исходные!$B$12-M379</f>
        <v>0.0199999999999996</v>
      </c>
      <c r="O379" s="49" t="n">
        <v>1</v>
      </c>
      <c r="P379" s="47" t="n">
        <f aca="false">(F379+H379+J379+L379)*O379</f>
        <v>12</v>
      </c>
      <c r="Q379" s="68" t="n">
        <f aca="false">M379*O379</f>
        <v>11.68</v>
      </c>
      <c r="R379" s="68" t="n">
        <f aca="false">N379*O379</f>
        <v>0.0199999999999996</v>
      </c>
    </row>
    <row r="380" customFormat="false" ht="15" hidden="false" customHeight="false" outlineLevel="0" collapsed="false">
      <c r="A380" s="47" t="n">
        <v>2</v>
      </c>
      <c r="B380" s="47" t="n">
        <v>8</v>
      </c>
      <c r="C380" s="70" t="s">
        <v>403</v>
      </c>
      <c r="D380" s="47" t="n">
        <v>4</v>
      </c>
      <c r="E380" s="67" t="n">
        <v>1.04</v>
      </c>
      <c r="F380" s="49" t="n">
        <v>11</v>
      </c>
      <c r="G380" s="67" t="n">
        <v>0.22</v>
      </c>
      <c r="H380" s="49" t="n">
        <v>1</v>
      </c>
      <c r="I380" s="20"/>
      <c r="J380" s="20"/>
      <c r="K380" s="20"/>
      <c r="L380" s="20"/>
      <c r="M380" s="34" t="n">
        <f aca="false">E380*F380+G380*H380+I380*J380+K380*L380</f>
        <v>11.66</v>
      </c>
      <c r="N380" s="34" t="n">
        <f aca="false">Исходные!$B$12-M380</f>
        <v>0.0399999999999974</v>
      </c>
      <c r="O380" s="49" t="n">
        <v>9</v>
      </c>
      <c r="P380" s="47" t="n">
        <f aca="false">(F380+H380+J380+L380)*O380</f>
        <v>108</v>
      </c>
      <c r="Q380" s="68" t="n">
        <f aca="false">M380*O380</f>
        <v>104.94</v>
      </c>
      <c r="R380" s="68" t="n">
        <f aca="false">N380*O380</f>
        <v>0.359999999999976</v>
      </c>
    </row>
    <row r="381" customFormat="false" ht="15" hidden="false" customHeight="false" outlineLevel="0" collapsed="false">
      <c r="A381" s="47" t="n">
        <v>2</v>
      </c>
      <c r="B381" s="47" t="n">
        <v>8</v>
      </c>
      <c r="C381" s="70" t="s">
        <v>403</v>
      </c>
      <c r="D381" s="47" t="n">
        <v>5</v>
      </c>
      <c r="E381" s="67" t="n">
        <v>0.53</v>
      </c>
      <c r="F381" s="49" t="n">
        <v>22</v>
      </c>
      <c r="G381" s="20"/>
      <c r="H381" s="20"/>
      <c r="I381" s="20"/>
      <c r="J381" s="20"/>
      <c r="K381" s="20"/>
      <c r="L381" s="20"/>
      <c r="M381" s="34" t="n">
        <f aca="false">E381*F381+G381*H381+I381*J381+K381*L381</f>
        <v>11.66</v>
      </c>
      <c r="N381" s="34" t="n">
        <f aca="false">Исходные!$B$12-M381</f>
        <v>0.0399999999999992</v>
      </c>
      <c r="O381" s="49" t="n">
        <v>6</v>
      </c>
      <c r="P381" s="47" t="n">
        <f aca="false">(F381+H381+J381+L381)*O381</f>
        <v>132</v>
      </c>
      <c r="Q381" s="68" t="n">
        <f aca="false">M381*O381</f>
        <v>69.96</v>
      </c>
      <c r="R381" s="68" t="n">
        <f aca="false">N381*O381</f>
        <v>0.239999999999995</v>
      </c>
    </row>
    <row r="382" customFormat="false" ht="15" hidden="false" customHeight="false" outlineLevel="0" collapsed="false">
      <c r="A382" s="47" t="n">
        <v>2</v>
      </c>
      <c r="B382" s="47" t="n">
        <v>8</v>
      </c>
      <c r="C382" s="70" t="s">
        <v>403</v>
      </c>
      <c r="D382" s="47" t="n">
        <v>6</v>
      </c>
      <c r="E382" s="67" t="n">
        <v>0.22</v>
      </c>
      <c r="F382" s="49" t="n">
        <v>53</v>
      </c>
      <c r="G382" s="20"/>
      <c r="H382" s="20"/>
      <c r="I382" s="20"/>
      <c r="J382" s="20"/>
      <c r="K382" s="20"/>
      <c r="L382" s="20"/>
      <c r="M382" s="34" t="n">
        <f aca="false">E382*F382+G382*H382+I382*J382+K382*L382</f>
        <v>11.66</v>
      </c>
      <c r="N382" s="34" t="n">
        <f aca="false">Исходные!$B$12-M382</f>
        <v>0.0399999999999992</v>
      </c>
      <c r="O382" s="49" t="n">
        <v>9</v>
      </c>
      <c r="P382" s="47" t="n">
        <f aca="false">(F382+H382+J382+L382)*O382</f>
        <v>477</v>
      </c>
      <c r="Q382" s="68" t="n">
        <f aca="false">M382*O382</f>
        <v>104.94</v>
      </c>
      <c r="R382" s="68" t="n">
        <f aca="false">N382*O382</f>
        <v>0.359999999999992</v>
      </c>
    </row>
    <row r="383" customFormat="false" ht="15" hidden="false" customHeight="false" outlineLevel="0" collapsed="false">
      <c r="A383" s="47" t="n">
        <v>2</v>
      </c>
      <c r="B383" s="47" t="n">
        <v>8</v>
      </c>
      <c r="C383" s="70" t="s">
        <v>403</v>
      </c>
      <c r="D383" s="47" t="n">
        <v>7</v>
      </c>
      <c r="E383" s="67" t="n">
        <v>1.24</v>
      </c>
      <c r="F383" s="49" t="n">
        <v>3</v>
      </c>
      <c r="G383" s="67" t="n">
        <v>1.16</v>
      </c>
      <c r="H383" s="49" t="n">
        <v>6</v>
      </c>
      <c r="I383" s="67" t="n">
        <v>0.75</v>
      </c>
      <c r="J383" s="49" t="n">
        <v>1</v>
      </c>
      <c r="K383" s="67" t="n">
        <v>0.22</v>
      </c>
      <c r="L383" s="49" t="n">
        <v>1</v>
      </c>
      <c r="M383" s="34" t="n">
        <f aca="false">E383*F383+G383*H383+I383*J383+K383*L383</f>
        <v>11.65</v>
      </c>
      <c r="N383" s="34" t="n">
        <f aca="false">Исходные!$B$12-M383</f>
        <v>0.0499999999999989</v>
      </c>
      <c r="O383" s="49" t="n">
        <v>1</v>
      </c>
      <c r="P383" s="47" t="n">
        <f aca="false">(F383+H383+J383+L383)*O383</f>
        <v>11</v>
      </c>
      <c r="Q383" s="68" t="n">
        <f aca="false">M383*O383</f>
        <v>11.65</v>
      </c>
      <c r="R383" s="68" t="n">
        <f aca="false">N383*O383</f>
        <v>0.0499999999999989</v>
      </c>
    </row>
    <row r="384" customFormat="false" ht="15" hidden="false" customHeight="false" outlineLevel="0" collapsed="false">
      <c r="A384" s="47" t="n">
        <v>2</v>
      </c>
      <c r="B384" s="47" t="n">
        <v>8</v>
      </c>
      <c r="C384" s="70" t="s">
        <v>403</v>
      </c>
      <c r="D384" s="47" t="n">
        <v>8</v>
      </c>
      <c r="E384" s="67" t="n">
        <v>2.44</v>
      </c>
      <c r="F384" s="49" t="n">
        <v>4</v>
      </c>
      <c r="G384" s="67" t="n">
        <v>1.44</v>
      </c>
      <c r="H384" s="49" t="n">
        <v>1</v>
      </c>
      <c r="I384" s="67" t="n">
        <v>0.22</v>
      </c>
      <c r="J384" s="49" t="n">
        <v>2</v>
      </c>
      <c r="K384" s="20"/>
      <c r="L384" s="20"/>
      <c r="M384" s="34" t="n">
        <f aca="false">E384*F384+G384*H384+I384*J384+K384*L384</f>
        <v>11.64</v>
      </c>
      <c r="N384" s="34" t="n">
        <f aca="false">Исходные!$B$12-M384</f>
        <v>0.0600000000000005</v>
      </c>
      <c r="O384" s="49" t="n">
        <v>44</v>
      </c>
      <c r="P384" s="47" t="n">
        <f aca="false">(F384+H384+J384+L384)*O384</f>
        <v>308</v>
      </c>
      <c r="Q384" s="68" t="n">
        <f aca="false">M384*O384</f>
        <v>512.16</v>
      </c>
      <c r="R384" s="68" t="n">
        <f aca="false">N384*O384</f>
        <v>2.64000000000002</v>
      </c>
    </row>
    <row r="385" customFormat="false" ht="15" hidden="false" customHeight="false" outlineLevel="0" collapsed="false">
      <c r="A385" s="47" t="n">
        <v>2</v>
      </c>
      <c r="B385" s="47" t="n">
        <v>8</v>
      </c>
      <c r="C385" s="70" t="s">
        <v>403</v>
      </c>
      <c r="D385" s="47" t="n">
        <v>9</v>
      </c>
      <c r="E385" s="67" t="n">
        <v>1.14</v>
      </c>
      <c r="F385" s="49" t="n">
        <v>8</v>
      </c>
      <c r="G385" s="67" t="n">
        <v>1.04</v>
      </c>
      <c r="H385" s="49" t="n">
        <v>2</v>
      </c>
      <c r="I385" s="67" t="n">
        <v>0.22</v>
      </c>
      <c r="J385" s="49" t="n">
        <v>2</v>
      </c>
      <c r="K385" s="20"/>
      <c r="L385" s="20"/>
      <c r="M385" s="34" t="n">
        <f aca="false">E385*F385+G385*H385+I385*J385+K385*L385</f>
        <v>11.64</v>
      </c>
      <c r="N385" s="34" t="n">
        <f aca="false">Исходные!$B$12-M385</f>
        <v>0.0600000000000005</v>
      </c>
      <c r="O385" s="49" t="n">
        <v>1</v>
      </c>
      <c r="P385" s="47" t="n">
        <f aca="false">(F385+H385+J385+L385)*O385</f>
        <v>12</v>
      </c>
      <c r="Q385" s="68" t="n">
        <f aca="false">M385*O385</f>
        <v>11.64</v>
      </c>
      <c r="R385" s="68" t="n">
        <f aca="false">N385*O385</f>
        <v>0.0600000000000005</v>
      </c>
    </row>
    <row r="386" customFormat="false" ht="15" hidden="false" customHeight="false" outlineLevel="0" collapsed="false">
      <c r="A386" s="47" t="n">
        <v>2</v>
      </c>
      <c r="B386" s="47" t="n">
        <v>8</v>
      </c>
      <c r="C386" s="70" t="s">
        <v>403</v>
      </c>
      <c r="D386" s="47" t="n">
        <v>10</v>
      </c>
      <c r="E386" s="67" t="n">
        <v>1.14</v>
      </c>
      <c r="F386" s="49" t="n">
        <v>10</v>
      </c>
      <c r="G386" s="67" t="n">
        <v>0.22</v>
      </c>
      <c r="H386" s="49" t="n">
        <v>1</v>
      </c>
      <c r="I386" s="20"/>
      <c r="J386" s="20"/>
      <c r="K386" s="20"/>
      <c r="L386" s="20"/>
      <c r="M386" s="34" t="n">
        <f aca="false">E386*F386+G386*H386+I386*J386+K386*L386</f>
        <v>11.62</v>
      </c>
      <c r="N386" s="34" t="n">
        <f aca="false">Исходные!$B$12-M386</f>
        <v>0.0800000000000001</v>
      </c>
      <c r="O386" s="49" t="n">
        <v>26</v>
      </c>
      <c r="P386" s="47" t="n">
        <f aca="false">(F386+H386+J386+L386)*O386</f>
        <v>286</v>
      </c>
      <c r="Q386" s="68" t="n">
        <f aca="false">M386*O386</f>
        <v>302.12</v>
      </c>
      <c r="R386" s="68" t="n">
        <f aca="false">N386*O386</f>
        <v>2.08</v>
      </c>
    </row>
    <row r="387" customFormat="false" ht="15" hidden="false" customHeight="false" outlineLevel="0" collapsed="false">
      <c r="A387" s="47" t="n">
        <v>2</v>
      </c>
      <c r="B387" s="47" t="n">
        <v>8</v>
      </c>
      <c r="C387" s="70" t="s">
        <v>403</v>
      </c>
      <c r="D387" s="47" t="n">
        <v>11</v>
      </c>
      <c r="E387" s="67" t="n">
        <v>0.75</v>
      </c>
      <c r="F387" s="49" t="n">
        <v>9</v>
      </c>
      <c r="G387" s="67" t="n">
        <v>0.58</v>
      </c>
      <c r="H387" s="49" t="n">
        <v>8</v>
      </c>
      <c r="I387" s="67" t="n">
        <v>0.22</v>
      </c>
      <c r="J387" s="49" t="n">
        <v>1</v>
      </c>
      <c r="K387" s="20"/>
      <c r="L387" s="20"/>
      <c r="M387" s="34" t="n">
        <f aca="false">E387*F387+G387*H387+I387*J387+K387*L387</f>
        <v>11.61</v>
      </c>
      <c r="N387" s="34" t="n">
        <f aca="false">Исходные!$B$12-M387</f>
        <v>0.0899999999999981</v>
      </c>
      <c r="O387" s="49" t="n">
        <v>1</v>
      </c>
      <c r="P387" s="47" t="n">
        <f aca="false">(F387+H387+J387+L387)*O387</f>
        <v>18</v>
      </c>
      <c r="Q387" s="68" t="n">
        <f aca="false">M387*O387</f>
        <v>11.61</v>
      </c>
      <c r="R387" s="68" t="n">
        <f aca="false">N387*O387</f>
        <v>0.0899999999999981</v>
      </c>
    </row>
    <row r="388" customFormat="false" ht="15" hidden="false" customHeight="false" outlineLevel="0" collapsed="false">
      <c r="A388" s="47" t="n">
        <v>2</v>
      </c>
      <c r="B388" s="47" t="n">
        <v>8</v>
      </c>
      <c r="C388" s="70" t="s">
        <v>403</v>
      </c>
      <c r="D388" s="47" t="n">
        <v>12</v>
      </c>
      <c r="E388" s="67" t="n">
        <v>1.16</v>
      </c>
      <c r="F388" s="49" t="n">
        <v>10</v>
      </c>
      <c r="G388" s="20"/>
      <c r="H388" s="20"/>
      <c r="I388" s="20"/>
      <c r="J388" s="20"/>
      <c r="K388" s="20"/>
      <c r="L388" s="20"/>
      <c r="M388" s="34" t="n">
        <f aca="false">E388*F388+G388*H388+I388*J388+K388*L388</f>
        <v>11.6</v>
      </c>
      <c r="N388" s="34" t="n">
        <f aca="false">Исходные!$B$12-M388</f>
        <v>0.0999999999999996</v>
      </c>
      <c r="O388" s="49" t="n">
        <v>1</v>
      </c>
      <c r="P388" s="47" t="n">
        <f aca="false">(F388+H388+J388+L388)*O388</f>
        <v>10</v>
      </c>
      <c r="Q388" s="68" t="n">
        <f aca="false">M388*O388</f>
        <v>11.6</v>
      </c>
      <c r="R388" s="68" t="n">
        <f aca="false">N388*O388</f>
        <v>0.0999999999999996</v>
      </c>
    </row>
    <row r="389" customFormat="false" ht="15" hidden="false" customHeight="false" outlineLevel="0" collapsed="false">
      <c r="A389" s="47" t="n">
        <v>2</v>
      </c>
      <c r="B389" s="47" t="n">
        <v>8</v>
      </c>
      <c r="C389" s="70" t="s">
        <v>403</v>
      </c>
      <c r="D389" s="47" t="n">
        <v>13</v>
      </c>
      <c r="E389" s="67" t="n">
        <v>0.58</v>
      </c>
      <c r="F389" s="49" t="n">
        <v>20</v>
      </c>
      <c r="G389" s="20"/>
      <c r="H389" s="20"/>
      <c r="I389" s="20"/>
      <c r="J389" s="20"/>
      <c r="K389" s="20"/>
      <c r="L389" s="20"/>
      <c r="M389" s="34" t="n">
        <f aca="false">E389*F389+G389*H389+I389*J389+K389*L389</f>
        <v>11.6</v>
      </c>
      <c r="N389" s="34" t="n">
        <f aca="false">Исходные!$B$12-M389</f>
        <v>0.0999999999999996</v>
      </c>
      <c r="O389" s="49" t="n">
        <v>26</v>
      </c>
      <c r="P389" s="47" t="n">
        <f aca="false">(F389+H389+J389+L389)*O389</f>
        <v>520</v>
      </c>
      <c r="Q389" s="68" t="n">
        <f aca="false">M389*O389</f>
        <v>301.6</v>
      </c>
      <c r="R389" s="68" t="n">
        <f aca="false">N389*O389</f>
        <v>2.59999999999999</v>
      </c>
    </row>
    <row r="390" customFormat="false" ht="15" hidden="false" customHeight="false" outlineLevel="0" collapsed="false">
      <c r="A390" s="47" t="n">
        <v>2</v>
      </c>
      <c r="B390" s="47" t="n">
        <v>8</v>
      </c>
      <c r="C390" s="70" t="s">
        <v>403</v>
      </c>
      <c r="D390" s="47" t="n">
        <v>14</v>
      </c>
      <c r="E390" s="67" t="n">
        <v>2.44</v>
      </c>
      <c r="F390" s="49" t="n">
        <v>4</v>
      </c>
      <c r="G390" s="67" t="n">
        <v>1.24</v>
      </c>
      <c r="H390" s="49" t="n">
        <v>1</v>
      </c>
      <c r="I390" s="67" t="n">
        <v>0.58</v>
      </c>
      <c r="J390" s="49" t="n">
        <v>1</v>
      </c>
      <c r="K390" s="20"/>
      <c r="L390" s="20"/>
      <c r="M390" s="34" t="n">
        <f aca="false">E390*F390+G390*H390+I390*J390+K390*L390</f>
        <v>11.58</v>
      </c>
      <c r="N390" s="34" t="n">
        <f aca="false">Исходные!$B$12-M390</f>
        <v>0.119999999999999</v>
      </c>
      <c r="O390" s="49" t="n">
        <v>48</v>
      </c>
      <c r="P390" s="47" t="n">
        <f aca="false">(F390+H390+J390+L390)*O390</f>
        <v>288</v>
      </c>
      <c r="Q390" s="68" t="n">
        <f aca="false">M390*O390</f>
        <v>555.84</v>
      </c>
      <c r="R390" s="68" t="n">
        <f aca="false">N390*O390</f>
        <v>5.75999999999996</v>
      </c>
    </row>
    <row r="391" customFormat="false" ht="15" hidden="false" customHeight="false" outlineLevel="0" collapsed="false">
      <c r="A391" s="47" t="n">
        <v>2</v>
      </c>
      <c r="B391" s="47" t="n">
        <v>8</v>
      </c>
      <c r="C391" s="70" t="s">
        <v>403</v>
      </c>
      <c r="D391" s="47" t="n">
        <v>15</v>
      </c>
      <c r="E391" s="67" t="n">
        <v>2.06</v>
      </c>
      <c r="F391" s="49" t="n">
        <v>5</v>
      </c>
      <c r="G391" s="67" t="n">
        <v>1.28</v>
      </c>
      <c r="H391" s="49" t="n">
        <v>1</v>
      </c>
      <c r="I391" s="20"/>
      <c r="J391" s="20"/>
      <c r="K391" s="20"/>
      <c r="L391" s="20"/>
      <c r="M391" s="34" t="n">
        <f aca="false">E391*F391+G391*H391+I391*J391+K391*L391</f>
        <v>11.58</v>
      </c>
      <c r="N391" s="34" t="n">
        <f aca="false">Исходные!$B$12-M391</f>
        <v>0.119999999999999</v>
      </c>
      <c r="O391" s="49" t="n">
        <v>14</v>
      </c>
      <c r="P391" s="47" t="n">
        <f aca="false">(F391+H391+J391+L391)*O391</f>
        <v>84</v>
      </c>
      <c r="Q391" s="68" t="n">
        <f aca="false">M391*O391</f>
        <v>162.12</v>
      </c>
      <c r="R391" s="68" t="n">
        <f aca="false">N391*O391</f>
        <v>1.67999999999999</v>
      </c>
    </row>
    <row r="392" customFormat="false" ht="15" hidden="false" customHeight="false" outlineLevel="0" collapsed="false">
      <c r="A392" s="47" t="n">
        <v>2</v>
      </c>
      <c r="B392" s="47" t="n">
        <v>8</v>
      </c>
      <c r="C392" s="70" t="s">
        <v>403</v>
      </c>
      <c r="D392" s="47" t="n">
        <v>16</v>
      </c>
      <c r="E392" s="67" t="n">
        <v>1.96</v>
      </c>
      <c r="F392" s="49" t="n">
        <v>5</v>
      </c>
      <c r="G392" s="67" t="n">
        <v>1.56</v>
      </c>
      <c r="H392" s="49" t="n">
        <v>1</v>
      </c>
      <c r="I392" s="67" t="n">
        <v>0.22</v>
      </c>
      <c r="J392" s="49" t="n">
        <v>1</v>
      </c>
      <c r="K392" s="20"/>
      <c r="L392" s="20"/>
      <c r="M392" s="34" t="n">
        <f aca="false">E392*F392+G392*H392+I392*J392+K392*L392</f>
        <v>11.58</v>
      </c>
      <c r="N392" s="34" t="n">
        <f aca="false">Исходные!$B$12-M392</f>
        <v>0.119999999999997</v>
      </c>
      <c r="O392" s="49" t="n">
        <v>48</v>
      </c>
      <c r="P392" s="47" t="n">
        <f aca="false">(F392+H392+J392+L392)*O392</f>
        <v>336</v>
      </c>
      <c r="Q392" s="68" t="n">
        <f aca="false">M392*O392</f>
        <v>555.84</v>
      </c>
      <c r="R392" s="68" t="n">
        <f aca="false">N392*O392</f>
        <v>5.75999999999988</v>
      </c>
    </row>
    <row r="393" customFormat="false" ht="15" hidden="false" customHeight="false" outlineLevel="0" collapsed="false">
      <c r="A393" s="47" t="n">
        <v>2</v>
      </c>
      <c r="B393" s="47" t="n">
        <v>8</v>
      </c>
      <c r="C393" s="70" t="s">
        <v>403</v>
      </c>
      <c r="D393" s="47" t="n">
        <v>17</v>
      </c>
      <c r="E393" s="67" t="n">
        <v>0.58</v>
      </c>
      <c r="F393" s="49" t="n">
        <v>9</v>
      </c>
      <c r="G393" s="67" t="n">
        <v>0.53</v>
      </c>
      <c r="H393" s="49" t="n">
        <v>12</v>
      </c>
      <c r="I393" s="20"/>
      <c r="J393" s="20"/>
      <c r="K393" s="20"/>
      <c r="L393" s="20"/>
      <c r="M393" s="34" t="n">
        <f aca="false">E393*F393+G393*H393+I393*J393+K393*L393</f>
        <v>11.58</v>
      </c>
      <c r="N393" s="34" t="n">
        <f aca="false">Исходные!$B$12-M393</f>
        <v>0.119999999999999</v>
      </c>
      <c r="O393" s="49" t="n">
        <v>1</v>
      </c>
      <c r="P393" s="47" t="n">
        <f aca="false">(F393+H393+J393+L393)*O393</f>
        <v>21</v>
      </c>
      <c r="Q393" s="68" t="n">
        <f aca="false">M393*O393</f>
        <v>11.58</v>
      </c>
      <c r="R393" s="68" t="n">
        <f aca="false">N393*O393</f>
        <v>0.119999999999999</v>
      </c>
    </row>
    <row r="394" customFormat="false" ht="15" hidden="false" customHeight="false" outlineLevel="0" collapsed="false">
      <c r="A394" s="47" t="n">
        <v>2</v>
      </c>
      <c r="B394" s="47" t="n">
        <v>8</v>
      </c>
      <c r="C394" s="70" t="s">
        <v>403</v>
      </c>
      <c r="D394" s="47" t="n">
        <v>18</v>
      </c>
      <c r="E394" s="67" t="n">
        <v>1.96</v>
      </c>
      <c r="F394" s="49" t="n">
        <v>5</v>
      </c>
      <c r="G394" s="67" t="n">
        <v>1.76</v>
      </c>
      <c r="H394" s="49" t="n">
        <v>1</v>
      </c>
      <c r="I394" s="20"/>
      <c r="J394" s="20"/>
      <c r="K394" s="20"/>
      <c r="L394" s="20"/>
      <c r="M394" s="34" t="n">
        <f aca="false">E394*F394+G394*H394+I394*J394+K394*L394</f>
        <v>11.56</v>
      </c>
      <c r="N394" s="34" t="n">
        <f aca="false">Исходные!$B$12-M394</f>
        <v>0.139999999999999</v>
      </c>
      <c r="O394" s="49" t="n">
        <v>80</v>
      </c>
      <c r="P394" s="47" t="n">
        <f aca="false">(F394+H394+J394+L394)*O394</f>
        <v>480</v>
      </c>
      <c r="Q394" s="68" t="n">
        <f aca="false">M394*O394</f>
        <v>924.8</v>
      </c>
      <c r="R394" s="68" t="n">
        <f aca="false">N394*O394</f>
        <v>11.1999999999999</v>
      </c>
    </row>
    <row r="395" customFormat="false" ht="15" hidden="false" customHeight="false" outlineLevel="0" collapsed="false">
      <c r="A395" s="47" t="n">
        <v>2</v>
      </c>
      <c r="B395" s="47" t="n">
        <v>8</v>
      </c>
      <c r="C395" s="70" t="s">
        <v>403</v>
      </c>
      <c r="D395" s="47" t="n">
        <v>19</v>
      </c>
      <c r="E395" s="67" t="n">
        <v>2.06</v>
      </c>
      <c r="F395" s="49" t="n">
        <v>5</v>
      </c>
      <c r="G395" s="67" t="n">
        <v>1.24</v>
      </c>
      <c r="H395" s="49" t="n">
        <v>1</v>
      </c>
      <c r="I395" s="20"/>
      <c r="J395" s="20"/>
      <c r="K395" s="20"/>
      <c r="L395" s="20"/>
      <c r="M395" s="34" t="n">
        <f aca="false">E395*F395+G395*H395+I395*J395+K395*L395</f>
        <v>11.54</v>
      </c>
      <c r="N395" s="34" t="n">
        <f aca="false">Исходные!$B$12-M395</f>
        <v>0.159999999999998</v>
      </c>
      <c r="O395" s="49" t="n">
        <v>135</v>
      </c>
      <c r="P395" s="47" t="n">
        <f aca="false">(F395+H395+J395+L395)*O395</f>
        <v>810</v>
      </c>
      <c r="Q395" s="68" t="n">
        <f aca="false">M395*O395</f>
        <v>1557.9</v>
      </c>
      <c r="R395" s="68" t="n">
        <f aca="false">N395*O395</f>
        <v>21.5999999999998</v>
      </c>
    </row>
    <row r="396" customFormat="false" ht="15" hidden="false" customHeight="false" outlineLevel="0" collapsed="false">
      <c r="A396" s="47" t="n">
        <v>2</v>
      </c>
      <c r="B396" s="47" t="n">
        <v>8</v>
      </c>
      <c r="C396" s="70" t="s">
        <v>403</v>
      </c>
      <c r="D396" s="47" t="n">
        <v>20</v>
      </c>
      <c r="E396" s="67" t="n">
        <v>2.44</v>
      </c>
      <c r="F396" s="49" t="n">
        <v>4</v>
      </c>
      <c r="G396" s="67" t="n">
        <v>1.56</v>
      </c>
      <c r="H396" s="49" t="n">
        <v>1</v>
      </c>
      <c r="I396" s="67" t="n">
        <v>0.22</v>
      </c>
      <c r="J396" s="49" t="n">
        <v>1</v>
      </c>
      <c r="K396" s="20"/>
      <c r="L396" s="20"/>
      <c r="M396" s="34" t="n">
        <f aca="false">E396*F396+G396*H396+I396*J396+K396*L396</f>
        <v>11.54</v>
      </c>
      <c r="N396" s="34" t="n">
        <f aca="false">Исходные!$B$12-M396</f>
        <v>0.159999999999998</v>
      </c>
      <c r="O396" s="49" t="n">
        <v>48</v>
      </c>
      <c r="P396" s="47" t="n">
        <f aca="false">(F396+H396+J396+L396)*O396</f>
        <v>288</v>
      </c>
      <c r="Q396" s="68" t="n">
        <f aca="false">M396*O396</f>
        <v>553.92</v>
      </c>
      <c r="R396" s="68" t="n">
        <f aca="false">N396*O396</f>
        <v>7.67999999999992</v>
      </c>
    </row>
    <row r="397" customFormat="false" ht="15" hidden="false" customHeight="false" outlineLevel="0" collapsed="false">
      <c r="A397" s="47" t="n">
        <v>2</v>
      </c>
      <c r="B397" s="47" t="n">
        <v>8</v>
      </c>
      <c r="C397" s="70" t="s">
        <v>403</v>
      </c>
      <c r="D397" s="47" t="n">
        <v>21</v>
      </c>
      <c r="E397" s="67" t="n">
        <v>1.16</v>
      </c>
      <c r="F397" s="49" t="n">
        <v>6</v>
      </c>
      <c r="G397" s="67" t="n">
        <v>1.14</v>
      </c>
      <c r="H397" s="49" t="n">
        <v>4</v>
      </c>
      <c r="I397" s="20"/>
      <c r="J397" s="20"/>
      <c r="K397" s="20"/>
      <c r="L397" s="20"/>
      <c r="M397" s="34" t="n">
        <f aca="false">E397*F397+G397*H397+I397*J397+K397*L397</f>
        <v>11.52</v>
      </c>
      <c r="N397" s="34" t="n">
        <f aca="false">Исходные!$B$12-M397</f>
        <v>0.18</v>
      </c>
      <c r="O397" s="49" t="n">
        <v>1</v>
      </c>
      <c r="P397" s="47" t="n">
        <f aca="false">(F397+H397+J397+L397)*O397</f>
        <v>10</v>
      </c>
      <c r="Q397" s="68" t="n">
        <f aca="false">M397*O397</f>
        <v>11.52</v>
      </c>
      <c r="R397" s="68" t="n">
        <f aca="false">N397*O397</f>
        <v>0.18</v>
      </c>
    </row>
    <row r="398" customFormat="false" ht="15" hidden="false" customHeight="false" outlineLevel="0" collapsed="false">
      <c r="A398" s="47" t="n">
        <v>2</v>
      </c>
      <c r="B398" s="47" t="n">
        <v>8</v>
      </c>
      <c r="C398" s="70" t="s">
        <v>403</v>
      </c>
      <c r="D398" s="47" t="n">
        <v>22</v>
      </c>
      <c r="E398" s="67" t="n">
        <v>0.53</v>
      </c>
      <c r="F398" s="49" t="n">
        <v>8</v>
      </c>
      <c r="G398" s="67" t="n">
        <v>0.22</v>
      </c>
      <c r="H398" s="49" t="n">
        <v>33</v>
      </c>
      <c r="I398" s="20"/>
      <c r="J398" s="20"/>
      <c r="K398" s="20"/>
      <c r="L398" s="20"/>
      <c r="M398" s="34" t="n">
        <f aca="false">E398*F398+G398*H398+I398*J398+K398*L398</f>
        <v>11.5</v>
      </c>
      <c r="N398" s="34" t="n">
        <f aca="false">Исходные!$B$12-M398</f>
        <v>0.199999999999999</v>
      </c>
      <c r="O398" s="49" t="n">
        <v>1</v>
      </c>
      <c r="P398" s="47" t="n">
        <f aca="false">(F398+H398+J398+L398)*O398</f>
        <v>41</v>
      </c>
      <c r="Q398" s="68" t="n">
        <f aca="false">M398*O398</f>
        <v>11.5</v>
      </c>
      <c r="R398" s="68" t="n">
        <f aca="false">N398*O398</f>
        <v>0.199999999999999</v>
      </c>
    </row>
    <row r="399" customFormat="false" ht="15" hidden="false" customHeight="false" outlineLevel="0" collapsed="false">
      <c r="A399" s="47" t="n">
        <v>2</v>
      </c>
      <c r="B399" s="47" t="n">
        <v>8</v>
      </c>
      <c r="C399" s="70" t="s">
        <v>403</v>
      </c>
      <c r="D399" s="47" t="n">
        <v>23</v>
      </c>
      <c r="E399" s="67" t="n">
        <v>0.22</v>
      </c>
      <c r="F399" s="49" t="n">
        <v>18</v>
      </c>
      <c r="G399" s="20"/>
      <c r="H399" s="20"/>
      <c r="I399" s="20"/>
      <c r="J399" s="20"/>
      <c r="K399" s="20"/>
      <c r="L399" s="20"/>
      <c r="M399" s="34" t="n">
        <f aca="false">E399*F399+G399*H399+I399*J399+K399*L399</f>
        <v>3.96</v>
      </c>
      <c r="N399" s="34" t="n">
        <f aca="false">Исходные!$B$12-M399</f>
        <v>7.74</v>
      </c>
      <c r="O399" s="49" t="n">
        <v>1</v>
      </c>
      <c r="P399" s="47" t="n">
        <f aca="false">(F399+H399+J399+L399)*O399</f>
        <v>18</v>
      </c>
      <c r="Q399" s="68" t="n">
        <f aca="false">M399*O399</f>
        <v>3.96</v>
      </c>
      <c r="R399" s="68" t="n">
        <f aca="false">N399*O399</f>
        <v>7.74</v>
      </c>
    </row>
    <row r="400" customFormat="false" ht="15" hidden="false" customHeight="false" outlineLevel="0" collapsed="false">
      <c r="A400" s="47" t="n">
        <v>2</v>
      </c>
      <c r="B400" s="47" t="n">
        <v>6</v>
      </c>
      <c r="C400" s="70" t="s">
        <v>403</v>
      </c>
      <c r="D400" s="47" t="n">
        <v>1</v>
      </c>
      <c r="E400" s="67" t="n">
        <v>0.28</v>
      </c>
      <c r="F400" s="49" t="n">
        <v>41</v>
      </c>
      <c r="G400" s="20"/>
      <c r="H400" s="20"/>
      <c r="I400" s="20"/>
      <c r="J400" s="20"/>
      <c r="K400" s="20"/>
      <c r="L400" s="20"/>
      <c r="M400" s="34" t="n">
        <f aca="false">E400*F400+G400*H400+I400*J400+K400*L400</f>
        <v>11.48</v>
      </c>
      <c r="N400" s="34" t="n">
        <f aca="false">Исходные!$B$12-M400</f>
        <v>0.219999999999999</v>
      </c>
      <c r="O400" s="49" t="n">
        <v>2</v>
      </c>
      <c r="P400" s="47" t="n">
        <f aca="false">(F400+H400+J400+L400)*O400</f>
        <v>82</v>
      </c>
      <c r="Q400" s="68" t="n">
        <f aca="false">M400*O400</f>
        <v>22.96</v>
      </c>
      <c r="R400" s="68" t="n">
        <f aca="false">N400*O400</f>
        <v>0.439999999999998</v>
      </c>
    </row>
    <row r="401" customFormat="false" ht="15" hidden="false" customHeight="false" outlineLevel="0" collapsed="false">
      <c r="A401" s="47" t="n">
        <v>2</v>
      </c>
      <c r="B401" s="47" t="n">
        <v>6</v>
      </c>
      <c r="C401" s="70" t="s">
        <v>403</v>
      </c>
      <c r="D401" s="47" t="n">
        <v>2</v>
      </c>
      <c r="E401" s="67" t="n">
        <v>0.28</v>
      </c>
      <c r="F401" s="49" t="n">
        <v>22</v>
      </c>
      <c r="G401" s="20"/>
      <c r="H401" s="20"/>
      <c r="I401" s="20"/>
      <c r="J401" s="20"/>
      <c r="K401" s="20"/>
      <c r="L401" s="20"/>
      <c r="M401" s="34" t="n">
        <f aca="false">E401*F401+G401*H401+I401*J401+K401*L401</f>
        <v>6.16</v>
      </c>
      <c r="N401" s="34" t="n">
        <f aca="false">Исходные!$B$12-M401</f>
        <v>5.54</v>
      </c>
      <c r="O401" s="49" t="n">
        <v>1</v>
      </c>
      <c r="P401" s="47" t="n">
        <f aca="false">(F401+H401+J401+L401)*O401</f>
        <v>22</v>
      </c>
      <c r="Q401" s="68" t="n">
        <f aca="false">M401*O401</f>
        <v>6.16</v>
      </c>
      <c r="R401" s="68" t="n">
        <f aca="false">N401*O401</f>
        <v>5.54</v>
      </c>
    </row>
    <row r="403" customFormat="false" ht="15" hidden="false" customHeight="false" outlineLevel="0" collapsed="false">
      <c r="A403" s="27" t="s">
        <v>1381</v>
      </c>
    </row>
    <row r="404" customFormat="false" ht="42" hidden="false" customHeight="true" outlineLevel="0" collapsed="false">
      <c r="A404" s="5" t="s">
        <v>1368</v>
      </c>
      <c r="B404" s="5" t="s">
        <v>346</v>
      </c>
      <c r="C404" s="5" t="s">
        <v>347</v>
      </c>
      <c r="D404" s="5" t="s">
        <v>1382</v>
      </c>
      <c r="E404" s="5" t="s">
        <v>1383</v>
      </c>
      <c r="F404" s="5" t="s">
        <v>1384</v>
      </c>
      <c r="G404" s="5" t="s">
        <v>12</v>
      </c>
      <c r="H404" s="5" t="s">
        <v>1385</v>
      </c>
      <c r="I404" s="5" t="s">
        <v>274</v>
      </c>
      <c r="J404" s="5" t="s">
        <v>13</v>
      </c>
      <c r="K404" s="5" t="s">
        <v>1386</v>
      </c>
      <c r="L404" s="5" t="s">
        <v>1387</v>
      </c>
      <c r="M404" s="5" t="s">
        <v>14</v>
      </c>
    </row>
    <row r="405" customFormat="false" ht="15" hidden="false" customHeight="false" outlineLevel="0" collapsed="false">
      <c r="A405" s="47" t="n">
        <v>1</v>
      </c>
      <c r="B405" s="47" t="n">
        <v>32</v>
      </c>
      <c r="C405" s="70" t="s">
        <v>368</v>
      </c>
      <c r="D405" s="68" t="n">
        <f aca="false">SUMIFS(Ведомость!$N$5:$N$846,Ведомость!$W$5:$W$846,A405,Ведомость!$H$5:$H$846,B405,Ведомость!$I$5:$I$846,C405)</f>
        <v>421.9</v>
      </c>
      <c r="E405" s="68" t="n">
        <f aca="false">SUMIFS('Раскрой 11,7м'!$Q$5:$Q$401,'Раскрой 11,7м'!$A$5:$A$401,A405,'Раскрой 11,7м'!$B$5:$B$401,B405,'Раскрой 11,7м'!$C$5:$C$401,C405)</f>
        <v>421.9</v>
      </c>
      <c r="F405" s="68" t="n">
        <f aca="false">ROUND(D405-E405,2)</f>
        <v>0</v>
      </c>
      <c r="G405" s="79" t="n">
        <f aca="false">SUMIFS('Раскрой 11,7м'!$O$5:$O$401,'Раскрой 11,7м'!$A$5:$A$401,A405,'Раскрой 11,7м'!$B$5:$B$401,B405,'Раскрой 11,7м'!$C$5:$C$401,C405)</f>
        <v>44</v>
      </c>
      <c r="H405" s="74" t="n">
        <f aca="false">G405*Исходные!$B$12</f>
        <v>514.8</v>
      </c>
      <c r="I405" s="34" t="n">
        <f aca="false">IFERROR(INDEX(Исходные!$B$18:$B$30,MATCH(B405,Исходные!$A$18:$A$30,0)),0)</f>
        <v>6.313</v>
      </c>
      <c r="J405" s="21" t="n">
        <f aca="false">H405*I405</f>
        <v>3249.9324</v>
      </c>
      <c r="K405" s="74" t="n">
        <f aca="false">SUMIFS(Ведомость!$P$5:$P$846,Ведомость!$W$5:$W$846,A405,Ведомость!$H$5:$H$846,B405,Ведомость!$I$5:$I$846,C405)</f>
        <v>2663.4547</v>
      </c>
      <c r="L405" s="74" t="n">
        <f aca="false">J405-K405</f>
        <v>586.4777</v>
      </c>
      <c r="M405" s="80" t="n">
        <f aca="false">IF(J405&gt;0,L405/J405,0)</f>
        <v>0.18045843045843</v>
      </c>
    </row>
    <row r="406" customFormat="false" ht="15" hidden="false" customHeight="false" outlineLevel="0" collapsed="false">
      <c r="A406" s="47" t="n">
        <v>1</v>
      </c>
      <c r="B406" s="47" t="n">
        <v>28</v>
      </c>
      <c r="C406" s="70" t="s">
        <v>368</v>
      </c>
      <c r="D406" s="68" t="n">
        <f aca="false">SUMIFS(Ведомость!$N$5:$N$846,Ведомость!$W$5:$W$846,A406,Ведомость!$H$5:$H$846,B406,Ведомость!$I$5:$I$846,C406)</f>
        <v>1370.1</v>
      </c>
      <c r="E406" s="68" t="n">
        <f aca="false">SUMIFS('Раскрой 11,7м'!$Q$5:$Q$401,'Раскрой 11,7м'!$A$5:$A$401,A406,'Раскрой 11,7м'!$B$5:$B$401,B406,'Раскрой 11,7м'!$C$5:$C$401,C406)</f>
        <v>1370.1</v>
      </c>
      <c r="F406" s="68" t="n">
        <f aca="false">ROUND(D406-E406,2)</f>
        <v>0</v>
      </c>
      <c r="G406" s="79" t="n">
        <f aca="false">SUMIFS('Раскрой 11,7м'!$O$5:$O$401,'Раскрой 11,7м'!$A$5:$A$401,A406,'Раскрой 11,7м'!$B$5:$B$401,B406,'Раскрой 11,7м'!$C$5:$C$401,C406)</f>
        <v>132</v>
      </c>
      <c r="H406" s="74" t="n">
        <f aca="false">G406*Исходные!$B$12</f>
        <v>1544.4</v>
      </c>
      <c r="I406" s="34" t="n">
        <f aca="false">IFERROR(INDEX(Исходные!$B$18:$B$30,MATCH(B406,Исходные!$A$18:$A$30,0)),0)</f>
        <v>4.834</v>
      </c>
      <c r="J406" s="21" t="n">
        <f aca="false">H406*I406</f>
        <v>7465.6296</v>
      </c>
      <c r="K406" s="74" t="n">
        <f aca="false">SUMIFS(Ведомость!$P$5:$P$846,Ведомость!$W$5:$W$846,A406,Ведомость!$H$5:$H$846,B406,Ведомость!$I$5:$I$846,C406)</f>
        <v>6623.0634</v>
      </c>
      <c r="L406" s="74" t="n">
        <f aca="false">J406-K406</f>
        <v>842.566199999999</v>
      </c>
      <c r="M406" s="80" t="n">
        <f aca="false">IF(J406&gt;0,L406/J406,0)</f>
        <v>0.112859362859363</v>
      </c>
    </row>
    <row r="407" customFormat="false" ht="15" hidden="false" customHeight="false" outlineLevel="0" collapsed="false">
      <c r="A407" s="47" t="n">
        <v>1</v>
      </c>
      <c r="B407" s="47" t="n">
        <v>25</v>
      </c>
      <c r="C407" s="70" t="s">
        <v>368</v>
      </c>
      <c r="D407" s="68" t="n">
        <f aca="false">SUMIFS(Ведомость!$N$5:$N$846,Ведомость!$W$5:$W$846,A407,Ведомость!$H$5:$H$846,B407,Ведомость!$I$5:$I$846,C407)</f>
        <v>921.98</v>
      </c>
      <c r="E407" s="68" t="n">
        <f aca="false">SUMIFS('Раскрой 11,7м'!$Q$5:$Q$401,'Раскрой 11,7м'!$A$5:$A$401,A407,'Раскрой 11,7м'!$B$5:$B$401,B407,'Раскрой 11,7м'!$C$5:$C$401,C407)</f>
        <v>921.98</v>
      </c>
      <c r="F407" s="68" t="n">
        <f aca="false">ROUND(D407-E407,2)</f>
        <v>0</v>
      </c>
      <c r="G407" s="79" t="n">
        <f aca="false">SUMIFS('Раскрой 11,7м'!$O$5:$O$401,'Раскрой 11,7м'!$A$5:$A$401,A407,'Раскрой 11,7м'!$B$5:$B$401,B407,'Раскрой 11,7м'!$C$5:$C$401,C407)</f>
        <v>82</v>
      </c>
      <c r="H407" s="74" t="n">
        <f aca="false">G407*Исходные!$B$12</f>
        <v>959.4</v>
      </c>
      <c r="I407" s="34" t="n">
        <f aca="false">IFERROR(INDEX(Исходные!$B$18:$B$30,MATCH(B407,Исходные!$A$18:$A$30,0)),0)</f>
        <v>3.853</v>
      </c>
      <c r="J407" s="21" t="n">
        <f aca="false">H407*I407</f>
        <v>3696.5682</v>
      </c>
      <c r="K407" s="74" t="n">
        <f aca="false">SUMIFS(Ведомость!$P$5:$P$846,Ведомость!$W$5:$W$846,A407,Ведомость!$H$5:$H$846,B407,Ведомость!$I$5:$I$846,C407)</f>
        <v>3552.38894</v>
      </c>
      <c r="L407" s="74" t="n">
        <f aca="false">J407-K407</f>
        <v>144.17926</v>
      </c>
      <c r="M407" s="80" t="n">
        <f aca="false">IF(J407&gt;0,L407/J407,0)</f>
        <v>0.0390035438815926</v>
      </c>
    </row>
    <row r="408" customFormat="false" ht="15" hidden="false" customHeight="false" outlineLevel="0" collapsed="false">
      <c r="A408" s="47" t="n">
        <v>1</v>
      </c>
      <c r="B408" s="47" t="n">
        <v>22</v>
      </c>
      <c r="C408" s="70" t="s">
        <v>368</v>
      </c>
      <c r="D408" s="68" t="n">
        <f aca="false">SUMIFS(Ведомость!$N$5:$N$846,Ведомость!$W$5:$W$846,A408,Ведомость!$H$5:$H$846,B408,Ведомость!$I$5:$I$846,C408)</f>
        <v>373.1</v>
      </c>
      <c r="E408" s="68" t="n">
        <f aca="false">SUMIFS('Раскрой 11,7м'!$Q$5:$Q$401,'Раскрой 11,7м'!$A$5:$A$401,A408,'Раскрой 11,7м'!$B$5:$B$401,B408,'Раскрой 11,7м'!$C$5:$C$401,C408)</f>
        <v>373.1</v>
      </c>
      <c r="F408" s="68" t="n">
        <f aca="false">ROUND(D408-E408,2)</f>
        <v>0</v>
      </c>
      <c r="G408" s="79" t="n">
        <f aca="false">SUMIFS('Раскрой 11,7м'!$O$5:$O$401,'Раскрой 11,7м'!$A$5:$A$401,A408,'Раскрой 11,7м'!$B$5:$B$401,B408,'Раскрой 11,7м'!$C$5:$C$401,C408)</f>
        <v>35</v>
      </c>
      <c r="H408" s="74" t="n">
        <f aca="false">G408*Исходные!$B$12</f>
        <v>409.5</v>
      </c>
      <c r="I408" s="34" t="n">
        <f aca="false">IFERROR(INDEX(Исходные!$B$18:$B$30,MATCH(B408,Исходные!$A$18:$A$30,0)),0)</f>
        <v>2.984</v>
      </c>
      <c r="J408" s="21" t="n">
        <f aca="false">H408*I408</f>
        <v>1221.948</v>
      </c>
      <c r="K408" s="74" t="n">
        <f aca="false">SUMIFS(Ведомость!$P$5:$P$846,Ведомость!$W$5:$W$846,A408,Ведомость!$H$5:$H$846,B408,Ведомость!$I$5:$I$846,C408)</f>
        <v>1113.3304</v>
      </c>
      <c r="L408" s="74" t="n">
        <f aca="false">J408-K408</f>
        <v>108.6176</v>
      </c>
      <c r="M408" s="80" t="n">
        <f aca="false">IF(J408&gt;0,L408/J408,0)</f>
        <v>0.0888888888888889</v>
      </c>
    </row>
    <row r="409" customFormat="false" ht="15" hidden="false" customHeight="false" outlineLevel="0" collapsed="false">
      <c r="A409" s="47" t="n">
        <v>1</v>
      </c>
      <c r="B409" s="47" t="n">
        <v>20</v>
      </c>
      <c r="C409" s="70" t="s">
        <v>368</v>
      </c>
      <c r="D409" s="68" t="n">
        <f aca="false">SUMIFS(Ведомость!$N$5:$N$846,Ведомость!$W$5:$W$846,A409,Ведомость!$H$5:$H$846,B409,Ведомость!$I$5:$I$846,C409)</f>
        <v>785.84</v>
      </c>
      <c r="E409" s="68" t="n">
        <f aca="false">SUMIFS('Раскрой 11,7м'!$Q$5:$Q$401,'Раскрой 11,7м'!$A$5:$A$401,A409,'Раскрой 11,7м'!$B$5:$B$401,B409,'Раскрой 11,7м'!$C$5:$C$401,C409)</f>
        <v>785.84</v>
      </c>
      <c r="F409" s="68" t="n">
        <f aca="false">ROUND(D409-E409,2)</f>
        <v>0</v>
      </c>
      <c r="G409" s="79" t="n">
        <f aca="false">SUMIFS('Раскрой 11,7м'!$O$5:$O$401,'Раскрой 11,7м'!$A$5:$A$401,A409,'Раскрой 11,7м'!$B$5:$B$401,B409,'Раскрой 11,7м'!$C$5:$C$401,C409)</f>
        <v>87</v>
      </c>
      <c r="H409" s="74" t="n">
        <f aca="false">G409*Исходные!$B$12</f>
        <v>1017.9</v>
      </c>
      <c r="I409" s="34" t="n">
        <f aca="false">IFERROR(INDEX(Исходные!$B$18:$B$30,MATCH(B409,Исходные!$A$18:$A$30,0)),0)</f>
        <v>2.466</v>
      </c>
      <c r="J409" s="21" t="n">
        <f aca="false">H409*I409</f>
        <v>2510.1414</v>
      </c>
      <c r="K409" s="74" t="n">
        <f aca="false">SUMIFS(Ведомость!$P$5:$P$846,Ведомость!$W$5:$W$846,A409,Ведомость!$H$5:$H$846,B409,Ведомость!$I$5:$I$846,C409)</f>
        <v>1937.88144</v>
      </c>
      <c r="L409" s="74" t="n">
        <f aca="false">J409-K409</f>
        <v>572.25996</v>
      </c>
      <c r="M409" s="80" t="n">
        <f aca="false">IF(J409&gt;0,L409/J409,0)</f>
        <v>0.227979172806759</v>
      </c>
    </row>
    <row r="410" customFormat="false" ht="15" hidden="false" customHeight="false" outlineLevel="0" collapsed="false">
      <c r="A410" s="47" t="n">
        <v>1</v>
      </c>
      <c r="B410" s="47" t="n">
        <v>18</v>
      </c>
      <c r="C410" s="70" t="s">
        <v>368</v>
      </c>
      <c r="D410" s="68" t="n">
        <f aca="false">SUMIFS(Ведомость!$N$5:$N$846,Ведомость!$W$5:$W$846,A410,Ведомость!$H$5:$H$846,B410,Ведомость!$I$5:$I$846,C410)</f>
        <v>827.668</v>
      </c>
      <c r="E410" s="68" t="n">
        <f aca="false">SUMIFS('Раскрой 11,7м'!$Q$5:$Q$401,'Раскрой 11,7м'!$A$5:$A$401,A410,'Раскрой 11,7м'!$B$5:$B$401,B410,'Раскрой 11,7м'!$C$5:$C$401,C410)</f>
        <v>827.668</v>
      </c>
      <c r="F410" s="68" t="n">
        <f aca="false">ROUND(D410-E410,2)</f>
        <v>0</v>
      </c>
      <c r="G410" s="79" t="n">
        <f aca="false">SUMIFS('Раскрой 11,7м'!$O$5:$O$401,'Раскрой 11,7м'!$A$5:$A$401,A410,'Раскрой 11,7м'!$B$5:$B$401,B410,'Раскрой 11,7м'!$C$5:$C$401,C410)</f>
        <v>73</v>
      </c>
      <c r="H410" s="74" t="n">
        <f aca="false">G410*Исходные!$B$12</f>
        <v>854.1</v>
      </c>
      <c r="I410" s="34" t="n">
        <f aca="false">IFERROR(INDEX(Исходные!$B$18:$B$30,MATCH(B410,Исходные!$A$18:$A$30,0)),0)</f>
        <v>1.998</v>
      </c>
      <c r="J410" s="21" t="n">
        <f aca="false">H410*I410</f>
        <v>1706.4918</v>
      </c>
      <c r="K410" s="74" t="n">
        <f aca="false">SUMIFS(Ведомость!$P$5:$P$846,Ведомость!$W$5:$W$846,A410,Ведомость!$H$5:$H$846,B410,Ведомость!$I$5:$I$846,C410)</f>
        <v>1653.680664</v>
      </c>
      <c r="L410" s="74" t="n">
        <f aca="false">J410-K410</f>
        <v>52.8111359999998</v>
      </c>
      <c r="M410" s="80" t="n">
        <f aca="false">IF(J410&gt;0,L410/J410,0)</f>
        <v>0.0309471958787026</v>
      </c>
    </row>
    <row r="411" customFormat="false" ht="15" hidden="false" customHeight="false" outlineLevel="0" collapsed="false">
      <c r="A411" s="47" t="n">
        <v>1</v>
      </c>
      <c r="B411" s="47" t="n">
        <v>16</v>
      </c>
      <c r="C411" s="70" t="s">
        <v>368</v>
      </c>
      <c r="D411" s="68" t="n">
        <f aca="false">SUMIFS(Ведомость!$N$5:$N$846,Ведомость!$W$5:$W$846,A411,Ведомость!$H$5:$H$846,B411,Ведомость!$I$5:$I$846,C411)</f>
        <v>975.028</v>
      </c>
      <c r="E411" s="68" t="n">
        <f aca="false">SUMIFS('Раскрой 11,7м'!$Q$5:$Q$401,'Раскрой 11,7м'!$A$5:$A$401,A411,'Раскрой 11,7м'!$B$5:$B$401,B411,'Раскрой 11,7м'!$C$5:$C$401,C411)</f>
        <v>975.028</v>
      </c>
      <c r="F411" s="68" t="n">
        <f aca="false">ROUND(D411-E411,2)</f>
        <v>0</v>
      </c>
      <c r="G411" s="79" t="n">
        <f aca="false">SUMIFS('Раскрой 11,7м'!$O$5:$O$401,'Раскрой 11,7м'!$A$5:$A$401,A411,'Раскрой 11,7м'!$B$5:$B$401,B411,'Раскрой 11,7м'!$C$5:$C$401,C411)</f>
        <v>85</v>
      </c>
      <c r="H411" s="74" t="n">
        <f aca="false">G411*Исходные!$B$12</f>
        <v>994.5</v>
      </c>
      <c r="I411" s="34" t="n">
        <f aca="false">IFERROR(INDEX(Исходные!$B$18:$B$30,MATCH(B411,Исходные!$A$18:$A$30,0)),0)</f>
        <v>1.578</v>
      </c>
      <c r="J411" s="21" t="n">
        <f aca="false">H411*I411</f>
        <v>1569.321</v>
      </c>
      <c r="K411" s="74" t="n">
        <f aca="false">SUMIFS(Ведомость!$P$5:$P$846,Ведомость!$W$5:$W$846,A411,Ведомость!$H$5:$H$846,B411,Ведомость!$I$5:$I$846,C411)</f>
        <v>1538.594184</v>
      </c>
      <c r="L411" s="74" t="n">
        <f aca="false">J411-K411</f>
        <v>30.7268159999999</v>
      </c>
      <c r="M411" s="80" t="n">
        <f aca="false">IF(J411&gt;0,L411/J411,0)</f>
        <v>0.0195796882855706</v>
      </c>
    </row>
    <row r="412" customFormat="false" ht="15" hidden="false" customHeight="false" outlineLevel="0" collapsed="false">
      <c r="A412" s="47" t="n">
        <v>1</v>
      </c>
      <c r="B412" s="47" t="n">
        <v>14</v>
      </c>
      <c r="C412" s="70" t="s">
        <v>368</v>
      </c>
      <c r="D412" s="68" t="n">
        <f aca="false">SUMIFS(Ведомость!$N$5:$N$846,Ведомость!$W$5:$W$846,A412,Ведомость!$H$5:$H$846,B412,Ведомость!$I$5:$I$846,C412)</f>
        <v>240.46</v>
      </c>
      <c r="E412" s="68" t="n">
        <f aca="false">SUMIFS('Раскрой 11,7м'!$Q$5:$Q$401,'Раскрой 11,7м'!$A$5:$A$401,A412,'Раскрой 11,7м'!$B$5:$B$401,B412,'Раскрой 11,7м'!$C$5:$C$401,C412)</f>
        <v>240.46</v>
      </c>
      <c r="F412" s="68" t="n">
        <f aca="false">ROUND(D412-E412,2)</f>
        <v>0</v>
      </c>
      <c r="G412" s="79" t="n">
        <f aca="false">SUMIFS('Раскрой 11,7м'!$O$5:$O$401,'Раскрой 11,7м'!$A$5:$A$401,A412,'Раскрой 11,7м'!$B$5:$B$401,B412,'Раскрой 11,7м'!$C$5:$C$401,C412)</f>
        <v>21</v>
      </c>
      <c r="H412" s="74" t="n">
        <f aca="false">G412*Исходные!$B$12</f>
        <v>245.7</v>
      </c>
      <c r="I412" s="34" t="n">
        <f aca="false">IFERROR(INDEX(Исходные!$B$18:$B$30,MATCH(B412,Исходные!$A$18:$A$30,0)),0)</f>
        <v>1.208</v>
      </c>
      <c r="J412" s="21" t="n">
        <f aca="false">H412*I412</f>
        <v>296.8056</v>
      </c>
      <c r="K412" s="74" t="n">
        <f aca="false">SUMIFS(Ведомость!$P$5:$P$846,Ведомость!$W$5:$W$846,A412,Ведомость!$H$5:$H$846,B412,Ведомость!$I$5:$I$846,C412)</f>
        <v>290.47568</v>
      </c>
      <c r="L412" s="74" t="n">
        <f aca="false">J412-K412</f>
        <v>6.32992000000002</v>
      </c>
      <c r="M412" s="80" t="n">
        <f aca="false">IF(J412&gt;0,L412/J412,0)</f>
        <v>0.0213268213268214</v>
      </c>
    </row>
    <row r="413" customFormat="false" ht="15" hidden="false" customHeight="false" outlineLevel="0" collapsed="false">
      <c r="A413" s="47" t="n">
        <v>1</v>
      </c>
      <c r="B413" s="47" t="n">
        <v>12</v>
      </c>
      <c r="C413" s="70" t="s">
        <v>368</v>
      </c>
      <c r="D413" s="68" t="n">
        <f aca="false">SUMIFS(Ведомость!$N$5:$N$846,Ведомость!$W$5:$W$846,A413,Ведомость!$H$5:$H$846,B413,Ведомость!$I$5:$I$846,C413)</f>
        <v>242.184</v>
      </c>
      <c r="E413" s="68" t="n">
        <f aca="false">SUMIFS('Раскрой 11,7м'!$Q$5:$Q$401,'Раскрой 11,7м'!$A$5:$A$401,A413,'Раскрой 11,7м'!$B$5:$B$401,B413,'Раскрой 11,7м'!$C$5:$C$401,C413)</f>
        <v>242.184</v>
      </c>
      <c r="F413" s="68" t="n">
        <f aca="false">ROUND(D413-E413,2)</f>
        <v>0</v>
      </c>
      <c r="G413" s="79" t="n">
        <f aca="false">SUMIFS('Раскрой 11,7м'!$O$5:$O$401,'Раскрой 11,7м'!$A$5:$A$401,A413,'Раскрой 11,7м'!$B$5:$B$401,B413,'Раскрой 11,7м'!$C$5:$C$401,C413)</f>
        <v>22</v>
      </c>
      <c r="H413" s="74" t="n">
        <f aca="false">G413*Исходные!$B$12</f>
        <v>257.4</v>
      </c>
      <c r="I413" s="34" t="n">
        <f aca="false">IFERROR(INDEX(Исходные!$B$18:$B$30,MATCH(B413,Исходные!$A$18:$A$30,0)),0)</f>
        <v>0.888</v>
      </c>
      <c r="J413" s="21" t="n">
        <f aca="false">H413*I413</f>
        <v>228.5712</v>
      </c>
      <c r="K413" s="74" t="n">
        <f aca="false">SUMIFS(Ведомость!$P$5:$P$846,Ведомость!$W$5:$W$846,A413,Ведомость!$H$5:$H$846,B413,Ведомость!$I$5:$I$846,C413)</f>
        <v>215.059392</v>
      </c>
      <c r="L413" s="74" t="n">
        <f aca="false">J413-K413</f>
        <v>13.511808</v>
      </c>
      <c r="M413" s="80" t="n">
        <f aca="false">IF(J413&gt;0,L413/J413,0)</f>
        <v>0.059114219114219</v>
      </c>
    </row>
    <row r="414" customFormat="false" ht="15" hidden="false" customHeight="false" outlineLevel="0" collapsed="false">
      <c r="A414" s="47" t="n">
        <v>1</v>
      </c>
      <c r="B414" s="47" t="n">
        <v>10</v>
      </c>
      <c r="C414" s="70" t="s">
        <v>368</v>
      </c>
      <c r="D414" s="68" t="n">
        <f aca="false">SUMIFS(Ведомость!$N$5:$N$846,Ведомость!$W$5:$W$846,A414,Ведомость!$H$5:$H$846,B414,Ведомость!$I$5:$I$846,C414)</f>
        <v>13242.18</v>
      </c>
      <c r="E414" s="68" t="n">
        <f aca="false">SUMIFS('Раскрой 11,7м'!$Q$5:$Q$401,'Раскрой 11,7м'!$A$5:$A$401,A414,'Раскрой 11,7м'!$B$5:$B$401,B414,'Раскрой 11,7м'!$C$5:$C$401,C414)</f>
        <v>13242.18</v>
      </c>
      <c r="F414" s="68" t="n">
        <f aca="false">ROUND(D414-E414,2)</f>
        <v>0</v>
      </c>
      <c r="G414" s="79" t="n">
        <f aca="false">SUMIFS('Раскрой 11,7м'!$O$5:$O$401,'Раскрой 11,7м'!$A$5:$A$401,A414,'Раскрой 11,7м'!$B$5:$B$401,B414,'Раскрой 11,7м'!$C$5:$C$401,C414)</f>
        <v>1141</v>
      </c>
      <c r="H414" s="74" t="n">
        <f aca="false">G414*Исходные!$B$12</f>
        <v>13349.7</v>
      </c>
      <c r="I414" s="34" t="n">
        <f aca="false">IFERROR(INDEX(Исходные!$B$18:$B$30,MATCH(B414,Исходные!$A$18:$A$30,0)),0)</f>
        <v>0.617</v>
      </c>
      <c r="J414" s="21" t="n">
        <f aca="false">H414*I414</f>
        <v>8236.7649</v>
      </c>
      <c r="K414" s="74" t="n">
        <f aca="false">SUMIFS(Ведомость!$P$5:$P$846,Ведомость!$W$5:$W$846,A414,Ведомость!$H$5:$H$846,B414,Ведомость!$I$5:$I$846,C414)</f>
        <v>8170.42506</v>
      </c>
      <c r="L414" s="74" t="n">
        <f aca="false">J414-K414</f>
        <v>66.3398400000006</v>
      </c>
      <c r="M414" s="80" t="n">
        <f aca="false">IF(J414&gt;0,L414/J414,0)</f>
        <v>0.00805411357558604</v>
      </c>
    </row>
    <row r="415" customFormat="false" ht="15" hidden="false" customHeight="false" outlineLevel="0" collapsed="false">
      <c r="A415" s="47" t="n">
        <v>1</v>
      </c>
      <c r="B415" s="47" t="n">
        <v>8</v>
      </c>
      <c r="C415" s="70" t="s">
        <v>368</v>
      </c>
      <c r="D415" s="68" t="n">
        <f aca="false">SUMIFS(Ведомость!$N$5:$N$846,Ведомость!$W$5:$W$846,A415,Ведомость!$H$5:$H$846,B415,Ведомость!$I$5:$I$846,C415)</f>
        <v>0</v>
      </c>
      <c r="E415" s="68" t="n">
        <f aca="false">SUMIFS('Раскрой 11,7м'!$Q$5:$Q$401,'Раскрой 11,7м'!$A$5:$A$401,A415,'Раскрой 11,7м'!$B$5:$B$401,B415,'Раскрой 11,7м'!$C$5:$C$401,C415)</f>
        <v>0</v>
      </c>
      <c r="F415" s="68" t="n">
        <f aca="false">ROUND(D415-E415,2)</f>
        <v>0</v>
      </c>
      <c r="G415" s="79" t="n">
        <f aca="false">SUMIFS('Раскрой 11,7м'!$O$5:$O$401,'Раскрой 11,7м'!$A$5:$A$401,A415,'Раскрой 11,7м'!$B$5:$B$401,B415,'Раскрой 11,7м'!$C$5:$C$401,C415)</f>
        <v>0</v>
      </c>
      <c r="H415" s="74" t="n">
        <f aca="false">G415*Исходные!$B$12</f>
        <v>0</v>
      </c>
      <c r="I415" s="34" t="n">
        <f aca="false">IFERROR(INDEX(Исходные!$B$18:$B$30,MATCH(B415,Исходные!$A$18:$A$30,0)),0)</f>
        <v>0.395</v>
      </c>
      <c r="J415" s="21" t="n">
        <f aca="false">H415*I415</f>
        <v>0</v>
      </c>
      <c r="K415" s="74" t="n">
        <f aca="false">SUMIFS(Ведомость!$P$5:$P$846,Ведомость!$W$5:$W$846,A415,Ведомость!$H$5:$H$846,B415,Ведомость!$I$5:$I$846,C415)</f>
        <v>0</v>
      </c>
      <c r="L415" s="74" t="n">
        <f aca="false">J415-K415</f>
        <v>0</v>
      </c>
      <c r="M415" s="80" t="n">
        <f aca="false">IF(J415&gt;0,L415/J415,0)</f>
        <v>0</v>
      </c>
    </row>
    <row r="416" customFormat="false" ht="15" hidden="false" customHeight="false" outlineLevel="0" collapsed="false">
      <c r="A416" s="47" t="n">
        <v>1</v>
      </c>
      <c r="B416" s="47" t="n">
        <v>16</v>
      </c>
      <c r="C416" s="70" t="s">
        <v>403</v>
      </c>
      <c r="D416" s="68" t="n">
        <f aca="false">SUMIFS(Ведомость!$N$5:$N$846,Ведомость!$W$5:$W$846,A416,Ведомость!$H$5:$H$846,B416,Ведомость!$I$5:$I$846,C416)</f>
        <v>0.84</v>
      </c>
      <c r="E416" s="68" t="n">
        <f aca="false">SUMIFS('Раскрой 11,7м'!$Q$5:$Q$401,'Раскрой 11,7м'!$A$5:$A$401,A416,'Раскрой 11,7м'!$B$5:$B$401,B416,'Раскрой 11,7м'!$C$5:$C$401,C416)</f>
        <v>0.84</v>
      </c>
      <c r="F416" s="68" t="n">
        <f aca="false">ROUND(D416-E416,2)</f>
        <v>0</v>
      </c>
      <c r="G416" s="79" t="n">
        <f aca="false">SUMIFS('Раскрой 11,7м'!$O$5:$O$401,'Раскрой 11,7м'!$A$5:$A$401,A416,'Раскрой 11,7м'!$B$5:$B$401,B416,'Раскрой 11,7м'!$C$5:$C$401,C416)</f>
        <v>1</v>
      </c>
      <c r="H416" s="74" t="n">
        <f aca="false">G416*Исходные!$B$12</f>
        <v>11.7</v>
      </c>
      <c r="I416" s="34" t="n">
        <f aca="false">IFERROR(INDEX(Исходные!$B$18:$B$30,MATCH(B416,Исходные!$A$18:$A$30,0)),0)</f>
        <v>1.578</v>
      </c>
      <c r="J416" s="21" t="n">
        <f aca="false">H416*I416</f>
        <v>18.4626</v>
      </c>
      <c r="K416" s="74" t="n">
        <f aca="false">SUMIFS(Ведомость!$P$5:$P$846,Ведомость!$W$5:$W$846,A416,Ведомость!$H$5:$H$846,B416,Ведомость!$I$5:$I$846,C416)</f>
        <v>1.32552</v>
      </c>
      <c r="L416" s="74" t="n">
        <f aca="false">J416-K416</f>
        <v>17.13708</v>
      </c>
      <c r="M416" s="80" t="n">
        <f aca="false">IF(J416&gt;0,L416/J416,0)</f>
        <v>0.928205128205128</v>
      </c>
    </row>
    <row r="417" customFormat="false" ht="15" hidden="false" customHeight="false" outlineLevel="0" collapsed="false">
      <c r="A417" s="47" t="n">
        <v>1</v>
      </c>
      <c r="B417" s="47" t="n">
        <v>12</v>
      </c>
      <c r="C417" s="70" t="s">
        <v>403</v>
      </c>
      <c r="D417" s="68" t="n">
        <f aca="false">SUMIFS(Ведомость!$N$5:$N$846,Ведомость!$W$5:$W$846,A417,Ведомость!$H$5:$H$846,B417,Ведомость!$I$5:$I$846,C417)</f>
        <v>0</v>
      </c>
      <c r="E417" s="68" t="n">
        <f aca="false">SUMIFS('Раскрой 11,7м'!$Q$5:$Q$401,'Раскрой 11,7м'!$A$5:$A$401,A417,'Раскрой 11,7м'!$B$5:$B$401,B417,'Раскрой 11,7м'!$C$5:$C$401,C417)</f>
        <v>0</v>
      </c>
      <c r="F417" s="68" t="n">
        <f aca="false">ROUND(D417-E417,2)</f>
        <v>0</v>
      </c>
      <c r="G417" s="79" t="n">
        <f aca="false">SUMIFS('Раскрой 11,7м'!$O$5:$O$401,'Раскрой 11,7м'!$A$5:$A$401,A417,'Раскрой 11,7м'!$B$5:$B$401,B417,'Раскрой 11,7м'!$C$5:$C$401,C417)</f>
        <v>0</v>
      </c>
      <c r="H417" s="74" t="n">
        <f aca="false">G417*Исходные!$B$12</f>
        <v>0</v>
      </c>
      <c r="I417" s="34" t="n">
        <f aca="false">IFERROR(INDEX(Исходные!$B$18:$B$30,MATCH(B417,Исходные!$A$18:$A$30,0)),0)</f>
        <v>0.888</v>
      </c>
      <c r="J417" s="21" t="n">
        <f aca="false">H417*I417</f>
        <v>0</v>
      </c>
      <c r="K417" s="74" t="n">
        <f aca="false">SUMIFS(Ведомость!$P$5:$P$846,Ведомость!$W$5:$W$846,A417,Ведомость!$H$5:$H$846,B417,Ведомость!$I$5:$I$846,C417)</f>
        <v>0</v>
      </c>
      <c r="L417" s="74" t="n">
        <f aca="false">J417-K417</f>
        <v>0</v>
      </c>
      <c r="M417" s="80" t="n">
        <f aca="false">IF(J417&gt;0,L417/J417,0)</f>
        <v>0</v>
      </c>
    </row>
    <row r="418" customFormat="false" ht="15" hidden="false" customHeight="false" outlineLevel="0" collapsed="false">
      <c r="A418" s="47" t="n">
        <v>1</v>
      </c>
      <c r="B418" s="47" t="n">
        <v>10</v>
      </c>
      <c r="C418" s="70" t="s">
        <v>403</v>
      </c>
      <c r="D418" s="68" t="n">
        <f aca="false">SUMIFS(Ведомость!$N$5:$N$846,Ведомость!$W$5:$W$846,A418,Ведомость!$H$5:$H$846,B418,Ведомость!$I$5:$I$846,C418)</f>
        <v>2896.24</v>
      </c>
      <c r="E418" s="68" t="n">
        <f aca="false">SUMIFS('Раскрой 11,7м'!$Q$5:$Q$401,'Раскрой 11,7м'!$A$5:$A$401,A418,'Раскрой 11,7м'!$B$5:$B$401,B418,'Раскрой 11,7м'!$C$5:$C$401,C418)</f>
        <v>2896.24</v>
      </c>
      <c r="F418" s="68" t="n">
        <f aca="false">ROUND(D418-E418,2)</f>
        <v>0</v>
      </c>
      <c r="G418" s="79" t="n">
        <f aca="false">SUMIFS('Раскрой 11,7м'!$O$5:$O$401,'Раскрой 11,7м'!$A$5:$A$401,A418,'Раскрой 11,7м'!$B$5:$B$401,B418,'Раскрой 11,7м'!$C$5:$C$401,C418)</f>
        <v>251</v>
      </c>
      <c r="H418" s="74" t="n">
        <f aca="false">G418*Исходные!$B$12</f>
        <v>2936.7</v>
      </c>
      <c r="I418" s="34" t="n">
        <f aca="false">IFERROR(INDEX(Исходные!$B$18:$B$30,MATCH(B418,Исходные!$A$18:$A$30,0)),0)</f>
        <v>0.617</v>
      </c>
      <c r="J418" s="21" t="n">
        <f aca="false">H418*I418</f>
        <v>1811.9439</v>
      </c>
      <c r="K418" s="74" t="n">
        <f aca="false">SUMIFS(Ведомость!$P$5:$P$846,Ведомость!$W$5:$W$846,A418,Ведомость!$H$5:$H$846,B418,Ведомость!$I$5:$I$846,C418)</f>
        <v>1786.98008</v>
      </c>
      <c r="L418" s="74" t="n">
        <f aca="false">J418-K418</f>
        <v>24.9638199999997</v>
      </c>
      <c r="M418" s="80" t="n">
        <f aca="false">IF(J418&gt;0,L418/J418,0)</f>
        <v>0.0137773691558551</v>
      </c>
    </row>
    <row r="419" customFormat="false" ht="15" hidden="false" customHeight="false" outlineLevel="0" collapsed="false">
      <c r="A419" s="47" t="n">
        <v>1</v>
      </c>
      <c r="B419" s="47" t="n">
        <v>8</v>
      </c>
      <c r="C419" s="70" t="s">
        <v>403</v>
      </c>
      <c r="D419" s="68" t="n">
        <f aca="false">SUMIFS(Ведомость!$N$5:$N$846,Ведомость!$W$5:$W$846,A419,Ведомость!$H$5:$H$846,B419,Ведомость!$I$5:$I$846,C419)</f>
        <v>7582.01</v>
      </c>
      <c r="E419" s="68" t="n">
        <f aca="false">SUMIFS('Раскрой 11,7м'!$Q$5:$Q$401,'Раскрой 11,7м'!$A$5:$A$401,A419,'Раскрой 11,7м'!$B$5:$B$401,B419,'Раскрой 11,7м'!$C$5:$C$401,C419)</f>
        <v>7582.01</v>
      </c>
      <c r="F419" s="68" t="n">
        <f aca="false">ROUND(D419-E419,2)</f>
        <v>0</v>
      </c>
      <c r="G419" s="79" t="n">
        <f aca="false">SUMIFS('Раскрой 11,7м'!$O$5:$O$401,'Раскрой 11,7м'!$A$5:$A$401,A419,'Раскрой 11,7м'!$B$5:$B$401,B419,'Раскрой 11,7м'!$C$5:$C$401,C419)</f>
        <v>654</v>
      </c>
      <c r="H419" s="74" t="n">
        <f aca="false">G419*Исходные!$B$12</f>
        <v>7651.8</v>
      </c>
      <c r="I419" s="34" t="n">
        <f aca="false">IFERROR(INDEX(Исходные!$B$18:$B$30,MATCH(B419,Исходные!$A$18:$A$30,0)),0)</f>
        <v>0.395</v>
      </c>
      <c r="J419" s="21" t="n">
        <f aca="false">H419*I419</f>
        <v>3022.461</v>
      </c>
      <c r="K419" s="74" t="n">
        <f aca="false">SUMIFS(Ведомость!$P$5:$P$846,Ведомость!$W$5:$W$846,A419,Ведомость!$H$5:$H$846,B419,Ведомость!$I$5:$I$846,C419)</f>
        <v>2994.89395</v>
      </c>
      <c r="L419" s="74" t="n">
        <f aca="false">J419-K419</f>
        <v>27.5670499999997</v>
      </c>
      <c r="M419" s="80" t="n">
        <f aca="false">IF(J419&gt;0,L419/J419,0)</f>
        <v>0.00912072976293149</v>
      </c>
    </row>
    <row r="420" customFormat="false" ht="15" hidden="false" customHeight="false" outlineLevel="0" collapsed="false">
      <c r="A420" s="47" t="n">
        <v>1</v>
      </c>
      <c r="B420" s="47" t="n">
        <v>6</v>
      </c>
      <c r="C420" s="70" t="s">
        <v>403</v>
      </c>
      <c r="D420" s="68" t="n">
        <f aca="false">SUMIFS(Ведомость!$N$5:$N$846,Ведомость!$W$5:$W$846,A420,Ведомость!$H$5:$H$846,B420,Ведомость!$I$5:$I$846,C420)</f>
        <v>31.08</v>
      </c>
      <c r="E420" s="68" t="n">
        <f aca="false">SUMIFS('Раскрой 11,7м'!$Q$5:$Q$401,'Раскрой 11,7м'!$A$5:$A$401,A420,'Раскрой 11,7м'!$B$5:$B$401,B420,'Раскрой 11,7м'!$C$5:$C$401,C420)</f>
        <v>31.08</v>
      </c>
      <c r="F420" s="68" t="n">
        <f aca="false">ROUND(D420-E420,2)</f>
        <v>0</v>
      </c>
      <c r="G420" s="79" t="n">
        <f aca="false">SUMIFS('Раскрой 11,7м'!$O$5:$O$401,'Раскрой 11,7м'!$A$5:$A$401,A420,'Раскрой 11,7м'!$B$5:$B$401,B420,'Раскрой 11,7м'!$C$5:$C$401,C420)</f>
        <v>3</v>
      </c>
      <c r="H420" s="74" t="n">
        <f aca="false">G420*Исходные!$B$12</f>
        <v>35.1</v>
      </c>
      <c r="I420" s="34" t="n">
        <f aca="false">IFERROR(INDEX(Исходные!$B$18:$B$30,MATCH(B420,Исходные!$A$18:$A$30,0)),0)</f>
        <v>0.222</v>
      </c>
      <c r="J420" s="21" t="n">
        <f aca="false">H420*I420</f>
        <v>7.7922</v>
      </c>
      <c r="K420" s="74" t="n">
        <f aca="false">SUMIFS(Ведомость!$P$5:$P$846,Ведомость!$W$5:$W$846,A420,Ведомость!$H$5:$H$846,B420,Ведомость!$I$5:$I$846,C420)</f>
        <v>6.89976</v>
      </c>
      <c r="L420" s="74" t="n">
        <f aca="false">J420-K420</f>
        <v>0.892439999999998</v>
      </c>
      <c r="M420" s="80" t="n">
        <f aca="false">IF(J420&gt;0,L420/J420,0)</f>
        <v>0.114529914529914</v>
      </c>
    </row>
    <row r="421" customFormat="false" ht="15" hidden="false" customHeight="false" outlineLevel="0" collapsed="false">
      <c r="A421" s="47" t="n">
        <v>1</v>
      </c>
      <c r="B421" s="47" t="n">
        <v>5</v>
      </c>
      <c r="C421" s="70" t="s">
        <v>976</v>
      </c>
      <c r="D421" s="68" t="n">
        <f aca="false">SUMIFS(Ведомость!$N$5:$N$846,Ведомость!$W$5:$W$846,A421,Ведомость!$H$5:$H$846,B421,Ведомость!$I$5:$I$846,C421)</f>
        <v>280</v>
      </c>
      <c r="E421" s="68" t="n">
        <f aca="false">D421</f>
        <v>280</v>
      </c>
      <c r="F421" s="68" t="n">
        <f aca="false">ROUND(D421-E421,2)</f>
        <v>0</v>
      </c>
      <c r="G421" s="79" t="n">
        <v>0</v>
      </c>
      <c r="H421" s="74" t="n">
        <f aca="false">G421*Исходные!$B$12</f>
        <v>0</v>
      </c>
      <c r="I421" s="34" t="n">
        <f aca="false">IFERROR(INDEX(Исходные!$B$18:$B$30,MATCH(B421,Исходные!$A$18:$A$30,0)),0)</f>
        <v>0.154</v>
      </c>
      <c r="J421" s="21" t="n">
        <f aca="false">K421</f>
        <v>43.12</v>
      </c>
      <c r="K421" s="74" t="n">
        <f aca="false">SUMIFS(Ведомость!$P$5:$P$846,Ведомость!$W$5:$W$846,A421,Ведомость!$H$5:$H$846,B421,Ведомость!$I$5:$I$846,C421)</f>
        <v>43.12</v>
      </c>
      <c r="L421" s="74" t="n">
        <f aca="false">J421-K421</f>
        <v>0</v>
      </c>
      <c r="M421" s="80" t="n">
        <f aca="false">IF(J421&gt;0,L421/J421,0)</f>
        <v>0</v>
      </c>
      <c r="N421" s="22" t="s">
        <v>1388</v>
      </c>
    </row>
    <row r="422" customFormat="false" ht="15" hidden="false" customHeight="false" outlineLevel="0" collapsed="false">
      <c r="C422" s="4" t="s">
        <v>195</v>
      </c>
      <c r="D422" s="78" t="n">
        <f aca="false">SUM(D405:D421)</f>
        <v>30190.61</v>
      </c>
      <c r="E422" s="78" t="n">
        <f aca="false">SUM(E405:E421)</f>
        <v>30190.61</v>
      </c>
      <c r="F422" s="78" t="n">
        <f aca="false">SUM(F405:F421)</f>
        <v>0</v>
      </c>
      <c r="G422" s="43" t="n">
        <f aca="false">SUM(G405:G421)</f>
        <v>2631</v>
      </c>
      <c r="H422" s="78" t="n">
        <f aca="false">SUM(H405:H421)</f>
        <v>30782.7</v>
      </c>
      <c r="J422" s="78" t="n">
        <f aca="false">SUM(J405:J421)</f>
        <v>35085.9538</v>
      </c>
      <c r="K422" s="78" t="n">
        <f aca="false">SUM(K405:K421)</f>
        <v>32591.57317</v>
      </c>
      <c r="L422" s="78" t="n">
        <f aca="false">SUM(L405:L421)</f>
        <v>2494.38063</v>
      </c>
      <c r="M422" s="81" t="n">
        <f aca="false">IF(J422&gt;0,L422/J422,0)</f>
        <v>0.0710934251415448</v>
      </c>
    </row>
    <row r="424" customFormat="false" ht="15" hidden="false" customHeight="false" outlineLevel="0" collapsed="false">
      <c r="A424" s="27" t="s">
        <v>1389</v>
      </c>
    </row>
    <row r="425" customFormat="false" ht="42" hidden="false" customHeight="true" outlineLevel="0" collapsed="false">
      <c r="A425" s="5" t="s">
        <v>1368</v>
      </c>
      <c r="B425" s="5" t="s">
        <v>346</v>
      </c>
      <c r="C425" s="5" t="s">
        <v>347</v>
      </c>
      <c r="D425" s="5" t="s">
        <v>1382</v>
      </c>
      <c r="E425" s="5" t="s">
        <v>1383</v>
      </c>
      <c r="F425" s="5" t="s">
        <v>1384</v>
      </c>
      <c r="G425" s="5" t="s">
        <v>12</v>
      </c>
      <c r="H425" s="5" t="s">
        <v>1385</v>
      </c>
      <c r="I425" s="5" t="s">
        <v>274</v>
      </c>
      <c r="J425" s="5" t="s">
        <v>13</v>
      </c>
      <c r="K425" s="5" t="s">
        <v>1386</v>
      </c>
      <c r="L425" s="5" t="s">
        <v>1387</v>
      </c>
      <c r="M425" s="5" t="s">
        <v>14</v>
      </c>
    </row>
    <row r="426" customFormat="false" ht="15" hidden="false" customHeight="false" outlineLevel="0" collapsed="false">
      <c r="A426" s="47" t="n">
        <v>2</v>
      </c>
      <c r="B426" s="47" t="n">
        <v>32</v>
      </c>
      <c r="C426" s="70" t="s">
        <v>368</v>
      </c>
      <c r="D426" s="68" t="n">
        <f aca="false">SUMIFS(Ведомость!$N$5:$N$846,Ведомость!$W$5:$W$846,A426,Ведомость!$H$5:$H$846,B426,Ведомость!$I$5:$I$846,C426)</f>
        <v>112</v>
      </c>
      <c r="E426" s="68" t="n">
        <f aca="false">SUMIFS('Раскрой 11,7м'!$Q$5:$Q$401,'Раскрой 11,7м'!$A$5:$A$401,A426,'Раскрой 11,7м'!$B$5:$B$401,B426,'Раскрой 11,7м'!$C$5:$C$401,C426)</f>
        <v>112</v>
      </c>
      <c r="F426" s="68" t="n">
        <f aca="false">ROUND(D426-E426,2)</f>
        <v>0</v>
      </c>
      <c r="G426" s="79" t="n">
        <f aca="false">SUMIFS('Раскрой 11,7м'!$O$5:$O$401,'Раскрой 11,7м'!$A$5:$A$401,A426,'Раскрой 11,7м'!$B$5:$B$401,B426,'Раскрой 11,7м'!$C$5:$C$401,C426)</f>
        <v>11</v>
      </c>
      <c r="H426" s="74" t="n">
        <f aca="false">G426*Исходные!$B$12</f>
        <v>128.7</v>
      </c>
      <c r="I426" s="34" t="n">
        <f aca="false">IFERROR(INDEX(Исходные!$B$18:$B$30,MATCH(B426,Исходные!$A$18:$A$30,0)),0)</f>
        <v>6.313</v>
      </c>
      <c r="J426" s="21" t="n">
        <f aca="false">H426*I426</f>
        <v>812.4831</v>
      </c>
      <c r="K426" s="74" t="n">
        <f aca="false">SUMIFS(Ведомость!$P$5:$P$846,Ведомость!$W$5:$W$846,A426,Ведомость!$H$5:$H$846,B426,Ведомость!$I$5:$I$846,C426)</f>
        <v>707.056</v>
      </c>
      <c r="L426" s="74" t="n">
        <f aca="false">J426-K426</f>
        <v>105.4271</v>
      </c>
      <c r="M426" s="80" t="n">
        <f aca="false">IF(J426&gt;0,L426/J426,0)</f>
        <v>0.12975912975913</v>
      </c>
    </row>
    <row r="427" customFormat="false" ht="15" hidden="false" customHeight="false" outlineLevel="0" collapsed="false">
      <c r="A427" s="47" t="n">
        <v>2</v>
      </c>
      <c r="B427" s="47" t="n">
        <v>28</v>
      </c>
      <c r="C427" s="70" t="s">
        <v>368</v>
      </c>
      <c r="D427" s="68" t="n">
        <f aca="false">SUMIFS(Ведомость!$N$5:$N$846,Ведомость!$W$5:$W$846,A427,Ведомость!$H$5:$H$846,B427,Ведомость!$I$5:$I$846,C427)</f>
        <v>1264.1</v>
      </c>
      <c r="E427" s="68" t="n">
        <f aca="false">SUMIFS('Раскрой 11,7м'!$Q$5:$Q$401,'Раскрой 11,7м'!$A$5:$A$401,A427,'Раскрой 11,7м'!$B$5:$B$401,B427,'Раскрой 11,7м'!$C$5:$C$401,C427)</f>
        <v>1264.1</v>
      </c>
      <c r="F427" s="68" t="n">
        <f aca="false">ROUND(D427-E427,2)</f>
        <v>0</v>
      </c>
      <c r="G427" s="79" t="n">
        <f aca="false">SUMIFS('Раскрой 11,7м'!$O$5:$O$401,'Раскрой 11,7м'!$A$5:$A$401,A427,'Раскрой 11,7м'!$B$5:$B$401,B427,'Раскрой 11,7м'!$C$5:$C$401,C427)</f>
        <v>112</v>
      </c>
      <c r="H427" s="74" t="n">
        <f aca="false">G427*Исходные!$B$12</f>
        <v>1310.4</v>
      </c>
      <c r="I427" s="34" t="n">
        <f aca="false">IFERROR(INDEX(Исходные!$B$18:$B$30,MATCH(B427,Исходные!$A$18:$A$30,0)),0)</f>
        <v>4.834</v>
      </c>
      <c r="J427" s="21" t="n">
        <f aca="false">H427*I427</f>
        <v>6334.4736</v>
      </c>
      <c r="K427" s="74" t="n">
        <f aca="false">SUMIFS(Ведомость!$P$5:$P$846,Ведомость!$W$5:$W$846,A427,Ведомость!$H$5:$H$846,B427,Ведомость!$I$5:$I$846,C427)</f>
        <v>6110.6594</v>
      </c>
      <c r="L427" s="74" t="n">
        <f aca="false">J427-K427</f>
        <v>223.814199999999</v>
      </c>
      <c r="M427" s="80" t="n">
        <f aca="false">IF(J427&gt;0,L427/J427,0)</f>
        <v>0.0353327228327227</v>
      </c>
    </row>
    <row r="428" customFormat="false" ht="15" hidden="false" customHeight="false" outlineLevel="0" collapsed="false">
      <c r="A428" s="47" t="n">
        <v>2</v>
      </c>
      <c r="B428" s="47" t="n">
        <v>25</v>
      </c>
      <c r="C428" s="70" t="s">
        <v>368</v>
      </c>
      <c r="D428" s="68" t="n">
        <f aca="false">SUMIFS(Ведомость!$N$5:$N$846,Ведомость!$W$5:$W$846,A428,Ведомость!$H$5:$H$846,B428,Ведомость!$I$5:$I$846,C428)</f>
        <v>997.8</v>
      </c>
      <c r="E428" s="68" t="n">
        <f aca="false">SUMIFS('Раскрой 11,7м'!$Q$5:$Q$401,'Раскрой 11,7м'!$A$5:$A$401,A428,'Раскрой 11,7м'!$B$5:$B$401,B428,'Раскрой 11,7м'!$C$5:$C$401,C428)</f>
        <v>997.8</v>
      </c>
      <c r="F428" s="68" t="n">
        <f aca="false">ROUND(D428-E428,2)</f>
        <v>0</v>
      </c>
      <c r="G428" s="79" t="n">
        <f aca="false">SUMIFS('Раскрой 11,7м'!$O$5:$O$401,'Раскрой 11,7м'!$A$5:$A$401,A428,'Раскрой 11,7м'!$B$5:$B$401,B428,'Раскрой 11,7м'!$C$5:$C$401,C428)</f>
        <v>89</v>
      </c>
      <c r="H428" s="74" t="n">
        <f aca="false">G428*Исходные!$B$12</f>
        <v>1041.3</v>
      </c>
      <c r="I428" s="34" t="n">
        <f aca="false">IFERROR(INDEX(Исходные!$B$18:$B$30,MATCH(B428,Исходные!$A$18:$A$30,0)),0)</f>
        <v>3.853</v>
      </c>
      <c r="J428" s="21" t="n">
        <f aca="false">H428*I428</f>
        <v>4012.1289</v>
      </c>
      <c r="K428" s="74" t="n">
        <f aca="false">SUMIFS(Ведомость!$P$5:$P$846,Ведомость!$W$5:$W$846,A428,Ведомость!$H$5:$H$846,B428,Ведомость!$I$5:$I$846,C428)</f>
        <v>3844.5234</v>
      </c>
      <c r="L428" s="74" t="n">
        <f aca="false">J428-K428</f>
        <v>167.6055</v>
      </c>
      <c r="M428" s="80" t="n">
        <f aca="false">IF(J428&gt;0,L428/J428,0)</f>
        <v>0.0417747046960529</v>
      </c>
    </row>
    <row r="429" customFormat="false" ht="15" hidden="false" customHeight="false" outlineLevel="0" collapsed="false">
      <c r="A429" s="47" t="n">
        <v>2</v>
      </c>
      <c r="B429" s="47" t="n">
        <v>22</v>
      </c>
      <c r="C429" s="70" t="s">
        <v>368</v>
      </c>
      <c r="D429" s="68" t="n">
        <f aca="false">SUMIFS(Ведомость!$N$5:$N$846,Ведомость!$W$5:$W$846,A429,Ведомость!$H$5:$H$846,B429,Ведомость!$I$5:$I$846,C429)</f>
        <v>233.1</v>
      </c>
      <c r="E429" s="68" t="n">
        <f aca="false">SUMIFS('Раскрой 11,7м'!$Q$5:$Q$401,'Раскрой 11,7м'!$A$5:$A$401,A429,'Раскрой 11,7м'!$B$5:$B$401,B429,'Раскрой 11,7м'!$C$5:$C$401,C429)</f>
        <v>233.1</v>
      </c>
      <c r="F429" s="68" t="n">
        <f aca="false">ROUND(D429-E429,2)</f>
        <v>0</v>
      </c>
      <c r="G429" s="79" t="n">
        <f aca="false">SUMIFS('Раскрой 11,7м'!$O$5:$O$401,'Раскрой 11,7м'!$A$5:$A$401,A429,'Раскрой 11,7м'!$B$5:$B$401,B429,'Раскрой 11,7м'!$C$5:$C$401,C429)</f>
        <v>21</v>
      </c>
      <c r="H429" s="74" t="n">
        <f aca="false">G429*Исходные!$B$12</f>
        <v>245.7</v>
      </c>
      <c r="I429" s="34" t="n">
        <f aca="false">IFERROR(INDEX(Исходные!$B$18:$B$30,MATCH(B429,Исходные!$A$18:$A$30,0)),0)</f>
        <v>2.984</v>
      </c>
      <c r="J429" s="21" t="n">
        <f aca="false">H429*I429</f>
        <v>733.1688</v>
      </c>
      <c r="K429" s="74" t="n">
        <f aca="false">SUMIFS(Ведомость!$P$5:$P$846,Ведомость!$W$5:$W$846,A429,Ведомость!$H$5:$H$846,B429,Ведомость!$I$5:$I$846,C429)</f>
        <v>695.5704</v>
      </c>
      <c r="L429" s="74" t="n">
        <f aca="false">J429-K429</f>
        <v>37.5984</v>
      </c>
      <c r="M429" s="80" t="n">
        <f aca="false">IF(J429&gt;0,L429/J429,0)</f>
        <v>0.0512820512820512</v>
      </c>
    </row>
    <row r="430" customFormat="false" ht="15" hidden="false" customHeight="false" outlineLevel="0" collapsed="false">
      <c r="A430" s="47" t="n">
        <v>2</v>
      </c>
      <c r="B430" s="47" t="n">
        <v>20</v>
      </c>
      <c r="C430" s="70" t="s">
        <v>368</v>
      </c>
      <c r="D430" s="68" t="n">
        <f aca="false">SUMIFS(Ведомость!$N$5:$N$846,Ведомость!$W$5:$W$846,A430,Ведомость!$H$5:$H$846,B430,Ведомость!$I$5:$I$846,C430)</f>
        <v>714.16</v>
      </c>
      <c r="E430" s="68" t="n">
        <f aca="false">SUMIFS('Раскрой 11,7м'!$Q$5:$Q$401,'Раскрой 11,7м'!$A$5:$A$401,A430,'Раскрой 11,7м'!$B$5:$B$401,B430,'Раскрой 11,7м'!$C$5:$C$401,C430)</f>
        <v>714.16</v>
      </c>
      <c r="F430" s="68" t="n">
        <f aca="false">ROUND(D430-E430,2)</f>
        <v>0</v>
      </c>
      <c r="G430" s="79" t="n">
        <f aca="false">SUMIFS('Раскрой 11,7м'!$O$5:$O$401,'Раскрой 11,7м'!$A$5:$A$401,A430,'Раскрой 11,7м'!$B$5:$B$401,B430,'Раскрой 11,7м'!$C$5:$C$401,C430)</f>
        <v>67</v>
      </c>
      <c r="H430" s="74" t="n">
        <f aca="false">G430*Исходные!$B$12</f>
        <v>783.9</v>
      </c>
      <c r="I430" s="34" t="n">
        <f aca="false">IFERROR(INDEX(Исходные!$B$18:$B$30,MATCH(B430,Исходные!$A$18:$A$30,0)),0)</f>
        <v>2.466</v>
      </c>
      <c r="J430" s="21" t="n">
        <f aca="false">H430*I430</f>
        <v>1933.0974</v>
      </c>
      <c r="K430" s="74" t="n">
        <f aca="false">SUMIFS(Ведомость!$P$5:$P$846,Ведомость!$W$5:$W$846,A430,Ведомость!$H$5:$H$846,B430,Ведомость!$I$5:$I$846,C430)</f>
        <v>1761.11856</v>
      </c>
      <c r="L430" s="74" t="n">
        <f aca="false">J430-K430</f>
        <v>171.97884</v>
      </c>
      <c r="M430" s="80" t="n">
        <f aca="false">IF(J430&gt;0,L430/J430,0)</f>
        <v>0.0889654292639367</v>
      </c>
    </row>
    <row r="431" customFormat="false" ht="15" hidden="false" customHeight="false" outlineLevel="0" collapsed="false">
      <c r="A431" s="47" t="n">
        <v>2</v>
      </c>
      <c r="B431" s="47" t="n">
        <v>18</v>
      </c>
      <c r="C431" s="70" t="s">
        <v>368</v>
      </c>
      <c r="D431" s="68" t="n">
        <f aca="false">SUMIFS(Ведомость!$N$5:$N$846,Ведомость!$W$5:$W$846,A431,Ведомость!$H$5:$H$846,B431,Ведомость!$I$5:$I$846,C431)</f>
        <v>822.276</v>
      </c>
      <c r="E431" s="68" t="n">
        <f aca="false">SUMIFS('Раскрой 11,7м'!$Q$5:$Q$401,'Раскрой 11,7м'!$A$5:$A$401,A431,'Раскрой 11,7м'!$B$5:$B$401,B431,'Раскрой 11,7м'!$C$5:$C$401,C431)</f>
        <v>822.276</v>
      </c>
      <c r="F431" s="68" t="n">
        <f aca="false">ROUND(D431-E431,2)</f>
        <v>0</v>
      </c>
      <c r="G431" s="79" t="n">
        <f aca="false">SUMIFS('Раскрой 11,7м'!$O$5:$O$401,'Раскрой 11,7м'!$A$5:$A$401,A431,'Раскрой 11,7м'!$B$5:$B$401,B431,'Раскрой 11,7м'!$C$5:$C$401,C431)</f>
        <v>73</v>
      </c>
      <c r="H431" s="74" t="n">
        <f aca="false">G431*Исходные!$B$12</f>
        <v>854.1</v>
      </c>
      <c r="I431" s="34" t="n">
        <f aca="false">IFERROR(INDEX(Исходные!$B$18:$B$30,MATCH(B431,Исходные!$A$18:$A$30,0)),0)</f>
        <v>1.998</v>
      </c>
      <c r="J431" s="21" t="n">
        <f aca="false">H431*I431</f>
        <v>1706.4918</v>
      </c>
      <c r="K431" s="74" t="n">
        <f aca="false">SUMIFS(Ведомость!$P$5:$P$846,Ведомость!$W$5:$W$846,A431,Ведомость!$H$5:$H$846,B431,Ведомость!$I$5:$I$846,C431)</f>
        <v>1642.907448</v>
      </c>
      <c r="L431" s="74" t="n">
        <f aca="false">J431-K431</f>
        <v>63.5843519999996</v>
      </c>
      <c r="M431" s="80" t="n">
        <f aca="false">IF(J431&gt;0,L431/J431,0)</f>
        <v>0.0372602739726025</v>
      </c>
    </row>
    <row r="432" customFormat="false" ht="15" hidden="false" customHeight="false" outlineLevel="0" collapsed="false">
      <c r="A432" s="47" t="n">
        <v>2</v>
      </c>
      <c r="B432" s="47" t="n">
        <v>16</v>
      </c>
      <c r="C432" s="70" t="s">
        <v>368</v>
      </c>
      <c r="D432" s="68" t="n">
        <f aca="false">SUMIFS(Ведомость!$N$5:$N$846,Ведомость!$W$5:$W$846,A432,Ведомость!$H$5:$H$846,B432,Ведомость!$I$5:$I$846,C432)</f>
        <v>778.044</v>
      </c>
      <c r="E432" s="68" t="n">
        <f aca="false">SUMIFS('Раскрой 11,7м'!$Q$5:$Q$401,'Раскрой 11,7м'!$A$5:$A$401,A432,'Раскрой 11,7м'!$B$5:$B$401,B432,'Раскрой 11,7м'!$C$5:$C$401,C432)</f>
        <v>778.044</v>
      </c>
      <c r="F432" s="68" t="n">
        <f aca="false">ROUND(D432-E432,2)</f>
        <v>0</v>
      </c>
      <c r="G432" s="79" t="n">
        <f aca="false">SUMIFS('Раскрой 11,7м'!$O$5:$O$401,'Раскрой 11,7м'!$A$5:$A$401,A432,'Раскрой 11,7м'!$B$5:$B$401,B432,'Раскрой 11,7м'!$C$5:$C$401,C432)</f>
        <v>68</v>
      </c>
      <c r="H432" s="74" t="n">
        <f aca="false">G432*Исходные!$B$12</f>
        <v>795.6</v>
      </c>
      <c r="I432" s="34" t="n">
        <f aca="false">IFERROR(INDEX(Исходные!$B$18:$B$30,MATCH(B432,Исходные!$A$18:$A$30,0)),0)</f>
        <v>1.578</v>
      </c>
      <c r="J432" s="21" t="n">
        <f aca="false">H432*I432</f>
        <v>1255.4568</v>
      </c>
      <c r="K432" s="74" t="n">
        <f aca="false">SUMIFS(Ведомость!$P$5:$P$846,Ведомость!$W$5:$W$846,A432,Ведомость!$H$5:$H$846,B432,Ведомость!$I$5:$I$846,C432)</f>
        <v>1227.753432</v>
      </c>
      <c r="L432" s="74" t="n">
        <f aca="false">J432-K432</f>
        <v>27.7033679999997</v>
      </c>
      <c r="M432" s="80" t="n">
        <f aca="false">IF(J432&gt;0,L432/J432,0)</f>
        <v>0.0220663650075413</v>
      </c>
    </row>
    <row r="433" customFormat="false" ht="15" hidden="false" customHeight="false" outlineLevel="0" collapsed="false">
      <c r="A433" s="47" t="n">
        <v>2</v>
      </c>
      <c r="B433" s="47" t="n">
        <v>14</v>
      </c>
      <c r="C433" s="70" t="s">
        <v>368</v>
      </c>
      <c r="D433" s="68" t="n">
        <f aca="false">SUMIFS(Ведомость!$N$5:$N$846,Ведомость!$W$5:$W$846,A433,Ведомость!$H$5:$H$846,B433,Ведомость!$I$5:$I$846,C433)</f>
        <v>611.036</v>
      </c>
      <c r="E433" s="68" t="n">
        <f aca="false">SUMIFS('Раскрой 11,7м'!$Q$5:$Q$401,'Раскрой 11,7м'!$A$5:$A$401,A433,'Раскрой 11,7м'!$B$5:$B$401,B433,'Раскрой 11,7м'!$C$5:$C$401,C433)</f>
        <v>611.036</v>
      </c>
      <c r="F433" s="68" t="n">
        <f aca="false">ROUND(D433-E433,2)</f>
        <v>0</v>
      </c>
      <c r="G433" s="79" t="n">
        <f aca="false">SUMIFS('Раскрой 11,7м'!$O$5:$O$401,'Раскрой 11,7м'!$A$5:$A$401,A433,'Раскрой 11,7м'!$B$5:$B$401,B433,'Раскрой 11,7м'!$C$5:$C$401,C433)</f>
        <v>54</v>
      </c>
      <c r="H433" s="74" t="n">
        <f aca="false">G433*Исходные!$B$12</f>
        <v>631.8</v>
      </c>
      <c r="I433" s="34" t="n">
        <f aca="false">IFERROR(INDEX(Исходные!$B$18:$B$30,MATCH(B433,Исходные!$A$18:$A$30,0)),0)</f>
        <v>1.208</v>
      </c>
      <c r="J433" s="21" t="n">
        <f aca="false">H433*I433</f>
        <v>763.2144</v>
      </c>
      <c r="K433" s="74" t="n">
        <f aca="false">SUMIFS(Ведомость!$P$5:$P$846,Ведомость!$W$5:$W$846,A433,Ведомость!$H$5:$H$846,B433,Ведомость!$I$5:$I$846,C433)</f>
        <v>738.131488</v>
      </c>
      <c r="L433" s="74" t="n">
        <f aca="false">J433-K433</f>
        <v>25.082912</v>
      </c>
      <c r="M433" s="80" t="n">
        <f aca="false">IF(J433&gt;0,L433/J433,0)</f>
        <v>0.0328648306426084</v>
      </c>
    </row>
    <row r="434" customFormat="false" ht="15" hidden="false" customHeight="false" outlineLevel="0" collapsed="false">
      <c r="A434" s="47" t="n">
        <v>2</v>
      </c>
      <c r="B434" s="47" t="n">
        <v>12</v>
      </c>
      <c r="C434" s="70" t="s">
        <v>368</v>
      </c>
      <c r="D434" s="68" t="n">
        <f aca="false">SUMIFS(Ведомость!$N$5:$N$846,Ведомость!$W$5:$W$846,A434,Ведомость!$H$5:$H$846,B434,Ведомость!$I$5:$I$846,C434)</f>
        <v>400.568</v>
      </c>
      <c r="E434" s="68" t="n">
        <f aca="false">SUMIFS('Раскрой 11,7м'!$Q$5:$Q$401,'Раскрой 11,7м'!$A$5:$A$401,A434,'Раскрой 11,7м'!$B$5:$B$401,B434,'Раскрой 11,7м'!$C$5:$C$401,C434)</f>
        <v>400.568</v>
      </c>
      <c r="F434" s="68" t="n">
        <f aca="false">ROUND(D434-E434,2)</f>
        <v>0</v>
      </c>
      <c r="G434" s="79" t="n">
        <f aca="false">SUMIFS('Раскрой 11,7м'!$O$5:$O$401,'Раскрой 11,7м'!$A$5:$A$401,A434,'Раскрой 11,7м'!$B$5:$B$401,B434,'Раскрой 11,7м'!$C$5:$C$401,C434)</f>
        <v>36</v>
      </c>
      <c r="H434" s="74" t="n">
        <f aca="false">G434*Исходные!$B$12</f>
        <v>421.2</v>
      </c>
      <c r="I434" s="34" t="n">
        <f aca="false">IFERROR(INDEX(Исходные!$B$18:$B$30,MATCH(B434,Исходные!$A$18:$A$30,0)),0)</f>
        <v>0.888</v>
      </c>
      <c r="J434" s="21" t="n">
        <f aca="false">H434*I434</f>
        <v>374.0256</v>
      </c>
      <c r="K434" s="74" t="n">
        <f aca="false">SUMIFS(Ведомость!$P$5:$P$846,Ведомость!$W$5:$W$846,A434,Ведомость!$H$5:$H$846,B434,Ведомость!$I$5:$I$846,C434)</f>
        <v>355.704384</v>
      </c>
      <c r="L434" s="74" t="n">
        <f aca="false">J434-K434</f>
        <v>18.321216</v>
      </c>
      <c r="M434" s="80" t="n">
        <f aca="false">IF(J434&gt;0,L434/J434,0)</f>
        <v>0.0489838556505223</v>
      </c>
    </row>
    <row r="435" customFormat="false" ht="15" hidden="false" customHeight="false" outlineLevel="0" collapsed="false">
      <c r="A435" s="47" t="n">
        <v>2</v>
      </c>
      <c r="B435" s="47" t="n">
        <v>10</v>
      </c>
      <c r="C435" s="70" t="s">
        <v>368</v>
      </c>
      <c r="D435" s="68" t="n">
        <f aca="false">SUMIFS(Ведомость!$N$5:$N$846,Ведомость!$W$5:$W$846,A435,Ведомость!$H$5:$H$846,B435,Ведомость!$I$5:$I$846,C435)</f>
        <v>13251.7</v>
      </c>
      <c r="E435" s="68" t="n">
        <f aca="false">SUMIFS('Раскрой 11,7м'!$Q$5:$Q$401,'Раскрой 11,7м'!$A$5:$A$401,A435,'Раскрой 11,7м'!$B$5:$B$401,B435,'Раскрой 11,7м'!$C$5:$C$401,C435)</f>
        <v>13251.7</v>
      </c>
      <c r="F435" s="68" t="n">
        <f aca="false">ROUND(D435-E435,2)</f>
        <v>0</v>
      </c>
      <c r="G435" s="79" t="n">
        <f aca="false">SUMIFS('Раскрой 11,7м'!$O$5:$O$401,'Раскрой 11,7м'!$A$5:$A$401,A435,'Раскрой 11,7м'!$B$5:$B$401,B435,'Раскрой 11,7м'!$C$5:$C$401,C435)</f>
        <v>1143</v>
      </c>
      <c r="H435" s="74" t="n">
        <f aca="false">G435*Исходные!$B$12</f>
        <v>13373.1</v>
      </c>
      <c r="I435" s="34" t="n">
        <f aca="false">IFERROR(INDEX(Исходные!$B$18:$B$30,MATCH(B435,Исходные!$A$18:$A$30,0)),0)</f>
        <v>0.617</v>
      </c>
      <c r="J435" s="21" t="n">
        <f aca="false">H435*I435</f>
        <v>8251.2027</v>
      </c>
      <c r="K435" s="74" t="n">
        <f aca="false">SUMIFS(Ведомость!$P$5:$P$846,Ведомость!$W$5:$W$846,A435,Ведомость!$H$5:$H$846,B435,Ведомость!$I$5:$I$846,C435)</f>
        <v>8176.2989</v>
      </c>
      <c r="L435" s="74" t="n">
        <f aca="false">J435-K435</f>
        <v>74.9038000000001</v>
      </c>
      <c r="M435" s="80" t="n">
        <f aca="false">IF(J435&gt;0,L435/J435,0)</f>
        <v>0.00907792508842378</v>
      </c>
    </row>
    <row r="436" customFormat="false" ht="15" hidden="false" customHeight="false" outlineLevel="0" collapsed="false">
      <c r="A436" s="47" t="n">
        <v>2</v>
      </c>
      <c r="B436" s="47" t="n">
        <v>8</v>
      </c>
      <c r="C436" s="70" t="s">
        <v>368</v>
      </c>
      <c r="D436" s="68" t="n">
        <f aca="false">SUMIFS(Ведомость!$N$5:$N$846,Ведомость!$W$5:$W$846,A436,Ведомость!$H$5:$H$846,B436,Ведомость!$I$5:$I$846,C436)</f>
        <v>0</v>
      </c>
      <c r="E436" s="68" t="n">
        <f aca="false">SUMIFS('Раскрой 11,7м'!$Q$5:$Q$401,'Раскрой 11,7м'!$A$5:$A$401,A436,'Раскрой 11,7м'!$B$5:$B$401,B436,'Раскрой 11,7м'!$C$5:$C$401,C436)</f>
        <v>0</v>
      </c>
      <c r="F436" s="68" t="n">
        <f aca="false">ROUND(D436-E436,2)</f>
        <v>0</v>
      </c>
      <c r="G436" s="79" t="n">
        <f aca="false">SUMIFS('Раскрой 11,7м'!$O$5:$O$401,'Раскрой 11,7м'!$A$5:$A$401,A436,'Раскрой 11,7м'!$B$5:$B$401,B436,'Раскрой 11,7м'!$C$5:$C$401,C436)</f>
        <v>0</v>
      </c>
      <c r="H436" s="74" t="n">
        <f aca="false">G436*Исходные!$B$12</f>
        <v>0</v>
      </c>
      <c r="I436" s="34" t="n">
        <f aca="false">IFERROR(INDEX(Исходные!$B$18:$B$30,MATCH(B436,Исходные!$A$18:$A$30,0)),0)</f>
        <v>0.395</v>
      </c>
      <c r="J436" s="21" t="n">
        <f aca="false">H436*I436</f>
        <v>0</v>
      </c>
      <c r="K436" s="74" t="n">
        <f aca="false">SUMIFS(Ведомость!$P$5:$P$846,Ведомость!$W$5:$W$846,A436,Ведомость!$H$5:$H$846,B436,Ведомость!$I$5:$I$846,C436)</f>
        <v>0</v>
      </c>
      <c r="L436" s="74" t="n">
        <f aca="false">J436-K436</f>
        <v>0</v>
      </c>
      <c r="M436" s="80" t="n">
        <f aca="false">IF(J436&gt;0,L436/J436,0)</f>
        <v>0</v>
      </c>
    </row>
    <row r="437" customFormat="false" ht="15" hidden="false" customHeight="false" outlineLevel="0" collapsed="false">
      <c r="A437" s="47" t="n">
        <v>2</v>
      </c>
      <c r="B437" s="47" t="n">
        <v>16</v>
      </c>
      <c r="C437" s="70" t="s">
        <v>403</v>
      </c>
      <c r="D437" s="68" t="n">
        <f aca="false">SUMIFS(Ведомость!$N$5:$N$846,Ведомость!$W$5:$W$846,A437,Ведомость!$H$5:$H$846,B437,Ведомость!$I$5:$I$846,C437)</f>
        <v>0.84</v>
      </c>
      <c r="E437" s="68" t="n">
        <f aca="false">SUMIFS('Раскрой 11,7м'!$Q$5:$Q$401,'Раскрой 11,7м'!$A$5:$A$401,A437,'Раскрой 11,7м'!$B$5:$B$401,B437,'Раскрой 11,7м'!$C$5:$C$401,C437)</f>
        <v>0.84</v>
      </c>
      <c r="F437" s="68" t="n">
        <f aca="false">ROUND(D437-E437,2)</f>
        <v>0</v>
      </c>
      <c r="G437" s="79" t="n">
        <f aca="false">SUMIFS('Раскрой 11,7м'!$O$5:$O$401,'Раскрой 11,7м'!$A$5:$A$401,A437,'Раскрой 11,7м'!$B$5:$B$401,B437,'Раскрой 11,7м'!$C$5:$C$401,C437)</f>
        <v>1</v>
      </c>
      <c r="H437" s="74" t="n">
        <f aca="false">G437*Исходные!$B$12</f>
        <v>11.7</v>
      </c>
      <c r="I437" s="34" t="n">
        <f aca="false">IFERROR(INDEX(Исходные!$B$18:$B$30,MATCH(B437,Исходные!$A$18:$A$30,0)),0)</f>
        <v>1.578</v>
      </c>
      <c r="J437" s="21" t="n">
        <f aca="false">H437*I437</f>
        <v>18.4626</v>
      </c>
      <c r="K437" s="74" t="n">
        <f aca="false">SUMIFS(Ведомость!$P$5:$P$846,Ведомость!$W$5:$W$846,A437,Ведомость!$H$5:$H$846,B437,Ведомость!$I$5:$I$846,C437)</f>
        <v>1.32552</v>
      </c>
      <c r="L437" s="74" t="n">
        <f aca="false">J437-K437</f>
        <v>17.13708</v>
      </c>
      <c r="M437" s="80" t="n">
        <f aca="false">IF(J437&gt;0,L437/J437,0)</f>
        <v>0.928205128205128</v>
      </c>
    </row>
    <row r="438" customFormat="false" ht="15" hidden="false" customHeight="false" outlineLevel="0" collapsed="false">
      <c r="A438" s="47" t="n">
        <v>2</v>
      </c>
      <c r="B438" s="47" t="n">
        <v>12</v>
      </c>
      <c r="C438" s="70" t="s">
        <v>403</v>
      </c>
      <c r="D438" s="68" t="n">
        <f aca="false">SUMIFS(Ведомость!$N$5:$N$846,Ведомость!$W$5:$W$846,A438,Ведомость!$H$5:$H$846,B438,Ведомость!$I$5:$I$846,C438)</f>
        <v>0</v>
      </c>
      <c r="E438" s="68" t="n">
        <f aca="false">SUMIFS('Раскрой 11,7м'!$Q$5:$Q$401,'Раскрой 11,7м'!$A$5:$A$401,A438,'Раскрой 11,7м'!$B$5:$B$401,B438,'Раскрой 11,7м'!$C$5:$C$401,C438)</f>
        <v>0</v>
      </c>
      <c r="F438" s="68" t="n">
        <f aca="false">ROUND(D438-E438,2)</f>
        <v>0</v>
      </c>
      <c r="G438" s="79" t="n">
        <f aca="false">SUMIFS('Раскрой 11,7м'!$O$5:$O$401,'Раскрой 11,7м'!$A$5:$A$401,A438,'Раскрой 11,7м'!$B$5:$B$401,B438,'Раскрой 11,7м'!$C$5:$C$401,C438)</f>
        <v>0</v>
      </c>
      <c r="H438" s="74" t="n">
        <f aca="false">G438*Исходные!$B$12</f>
        <v>0</v>
      </c>
      <c r="I438" s="34" t="n">
        <f aca="false">IFERROR(INDEX(Исходные!$B$18:$B$30,MATCH(B438,Исходные!$A$18:$A$30,0)),0)</f>
        <v>0.888</v>
      </c>
      <c r="J438" s="21" t="n">
        <f aca="false">H438*I438</f>
        <v>0</v>
      </c>
      <c r="K438" s="74" t="n">
        <f aca="false">SUMIFS(Ведомость!$P$5:$P$846,Ведомость!$W$5:$W$846,A438,Ведомость!$H$5:$H$846,B438,Ведомость!$I$5:$I$846,C438)</f>
        <v>0</v>
      </c>
      <c r="L438" s="74" t="n">
        <f aca="false">J438-K438</f>
        <v>0</v>
      </c>
      <c r="M438" s="80" t="n">
        <f aca="false">IF(J438&gt;0,L438/J438,0)</f>
        <v>0</v>
      </c>
    </row>
    <row r="439" customFormat="false" ht="15" hidden="false" customHeight="false" outlineLevel="0" collapsed="false">
      <c r="A439" s="47" t="n">
        <v>2</v>
      </c>
      <c r="B439" s="47" t="n">
        <v>10</v>
      </c>
      <c r="C439" s="70" t="s">
        <v>403</v>
      </c>
      <c r="D439" s="68" t="n">
        <f aca="false">SUMIFS(Ведомость!$N$5:$N$846,Ведомость!$W$5:$W$846,A439,Ведомость!$H$5:$H$846,B439,Ведомость!$I$5:$I$846,C439)</f>
        <v>2808.3</v>
      </c>
      <c r="E439" s="68" t="n">
        <f aca="false">SUMIFS('Раскрой 11,7м'!$Q$5:$Q$401,'Раскрой 11,7м'!$A$5:$A$401,A439,'Раскрой 11,7м'!$B$5:$B$401,B439,'Раскрой 11,7м'!$C$5:$C$401,C439)</f>
        <v>2808.3</v>
      </c>
      <c r="F439" s="68" t="n">
        <f aca="false">ROUND(D439-E439,2)</f>
        <v>0</v>
      </c>
      <c r="G439" s="79" t="n">
        <f aca="false">SUMIFS('Раскрой 11,7м'!$O$5:$O$401,'Раскрой 11,7м'!$A$5:$A$401,A439,'Раскрой 11,7м'!$B$5:$B$401,B439,'Раскрой 11,7м'!$C$5:$C$401,C439)</f>
        <v>243</v>
      </c>
      <c r="H439" s="74" t="n">
        <f aca="false">G439*Исходные!$B$12</f>
        <v>2843.1</v>
      </c>
      <c r="I439" s="34" t="n">
        <f aca="false">IFERROR(INDEX(Исходные!$B$18:$B$30,MATCH(B439,Исходные!$A$18:$A$30,0)),0)</f>
        <v>0.617</v>
      </c>
      <c r="J439" s="21" t="n">
        <f aca="false">H439*I439</f>
        <v>1754.1927</v>
      </c>
      <c r="K439" s="74" t="n">
        <f aca="false">SUMIFS(Ведомость!$P$5:$P$846,Ведомость!$W$5:$W$846,A439,Ведомость!$H$5:$H$846,B439,Ведомость!$I$5:$I$846,C439)</f>
        <v>1732.7211</v>
      </c>
      <c r="L439" s="74" t="n">
        <f aca="false">J439-K439</f>
        <v>21.4715999999999</v>
      </c>
      <c r="M439" s="80" t="n">
        <f aca="false">IF(J439&gt;0,L439/J439,0)</f>
        <v>0.0122401603883085</v>
      </c>
    </row>
    <row r="440" customFormat="false" ht="15" hidden="false" customHeight="false" outlineLevel="0" collapsed="false">
      <c r="A440" s="47" t="n">
        <v>2</v>
      </c>
      <c r="B440" s="47" t="n">
        <v>8</v>
      </c>
      <c r="C440" s="70" t="s">
        <v>403</v>
      </c>
      <c r="D440" s="68" t="n">
        <f aca="false">SUMIFS(Ведомость!$N$5:$N$846,Ведомость!$W$5:$W$846,A440,Ведомость!$H$5:$H$846,B440,Ведомость!$I$5:$I$846,C440)</f>
        <v>7381.03</v>
      </c>
      <c r="E440" s="68" t="n">
        <f aca="false">SUMIFS('Раскрой 11,7м'!$Q$5:$Q$401,'Раскрой 11,7м'!$A$5:$A$401,A440,'Раскрой 11,7м'!$B$5:$B$401,B440,'Раскрой 11,7м'!$C$5:$C$401,C440)</f>
        <v>7381.03</v>
      </c>
      <c r="F440" s="68" t="n">
        <f aca="false">ROUND(D440-E440,2)</f>
        <v>0</v>
      </c>
      <c r="G440" s="79" t="n">
        <f aca="false">SUMIFS('Раскрой 11,7м'!$O$5:$O$401,'Раскрой 11,7м'!$A$5:$A$401,A440,'Раскрой 11,7м'!$B$5:$B$401,B440,'Раскрой 11,7м'!$C$5:$C$401,C440)</f>
        <v>637</v>
      </c>
      <c r="H440" s="74" t="n">
        <f aca="false">G440*Исходные!$B$12</f>
        <v>7452.9</v>
      </c>
      <c r="I440" s="34" t="n">
        <f aca="false">IFERROR(INDEX(Исходные!$B$18:$B$30,MATCH(B440,Исходные!$A$18:$A$30,0)),0)</f>
        <v>0.395</v>
      </c>
      <c r="J440" s="21" t="n">
        <f aca="false">H440*I440</f>
        <v>2943.8955</v>
      </c>
      <c r="K440" s="74" t="n">
        <f aca="false">SUMIFS(Ведомость!$P$5:$P$846,Ведомость!$W$5:$W$846,A440,Ведомость!$H$5:$H$846,B440,Ведомость!$I$5:$I$846,C440)</f>
        <v>2915.50685</v>
      </c>
      <c r="L440" s="74" t="n">
        <f aca="false">J440-K440</f>
        <v>28.3886499999999</v>
      </c>
      <c r="M440" s="80" t="n">
        <f aca="false">IF(J440&gt;0,L440/J440,0)</f>
        <v>0.00964322612674257</v>
      </c>
    </row>
    <row r="441" customFormat="false" ht="15" hidden="false" customHeight="false" outlineLevel="0" collapsed="false">
      <c r="A441" s="47" t="n">
        <v>2</v>
      </c>
      <c r="B441" s="47" t="n">
        <v>6</v>
      </c>
      <c r="C441" s="70" t="s">
        <v>403</v>
      </c>
      <c r="D441" s="68" t="n">
        <f aca="false">SUMIFS(Ведомость!$N$5:$N$846,Ведомость!$W$5:$W$846,A441,Ведомость!$H$5:$H$846,B441,Ведомость!$I$5:$I$846,C441)</f>
        <v>29.12</v>
      </c>
      <c r="E441" s="68" t="n">
        <f aca="false">SUMIFS('Раскрой 11,7м'!$Q$5:$Q$401,'Раскрой 11,7м'!$A$5:$A$401,A441,'Раскрой 11,7м'!$B$5:$B$401,B441,'Раскрой 11,7м'!$C$5:$C$401,C441)</f>
        <v>29.12</v>
      </c>
      <c r="F441" s="68" t="n">
        <f aca="false">ROUND(D441-E441,2)</f>
        <v>0</v>
      </c>
      <c r="G441" s="79" t="n">
        <f aca="false">SUMIFS('Раскрой 11,7м'!$O$5:$O$401,'Раскрой 11,7м'!$A$5:$A$401,A441,'Раскрой 11,7м'!$B$5:$B$401,B441,'Раскрой 11,7м'!$C$5:$C$401,C441)</f>
        <v>3</v>
      </c>
      <c r="H441" s="74" t="n">
        <f aca="false">G441*Исходные!$B$12</f>
        <v>35.1</v>
      </c>
      <c r="I441" s="34" t="n">
        <f aca="false">IFERROR(INDEX(Исходные!$B$18:$B$30,MATCH(B441,Исходные!$A$18:$A$30,0)),0)</f>
        <v>0.222</v>
      </c>
      <c r="J441" s="21" t="n">
        <f aca="false">H441*I441</f>
        <v>7.7922</v>
      </c>
      <c r="K441" s="74" t="n">
        <f aca="false">SUMIFS(Ведомость!$P$5:$P$846,Ведомость!$W$5:$W$846,A441,Ведомость!$H$5:$H$846,B441,Ведомость!$I$5:$I$846,C441)</f>
        <v>6.46464</v>
      </c>
      <c r="L441" s="74" t="n">
        <f aca="false">J441-K441</f>
        <v>1.32756</v>
      </c>
      <c r="M441" s="80" t="n">
        <f aca="false">IF(J441&gt;0,L441/J441,0)</f>
        <v>0.17037037037037</v>
      </c>
    </row>
    <row r="442" customFormat="false" ht="15" hidden="false" customHeight="false" outlineLevel="0" collapsed="false">
      <c r="A442" s="47" t="n">
        <v>2</v>
      </c>
      <c r="B442" s="47" t="n">
        <v>5</v>
      </c>
      <c r="C442" s="70" t="s">
        <v>976</v>
      </c>
      <c r="D442" s="68" t="n">
        <f aca="false">SUMIFS(Ведомость!$N$5:$N$846,Ведомость!$W$5:$W$846,A442,Ведомость!$H$5:$H$846,B442,Ведомость!$I$5:$I$846,C442)</f>
        <v>255.2</v>
      </c>
      <c r="E442" s="68" t="n">
        <f aca="false">D442</f>
        <v>255.2</v>
      </c>
      <c r="F442" s="68" t="n">
        <f aca="false">ROUND(D442-E442,2)</f>
        <v>0</v>
      </c>
      <c r="G442" s="79" t="n">
        <v>0</v>
      </c>
      <c r="H442" s="74" t="n">
        <f aca="false">G442*Исходные!$B$12</f>
        <v>0</v>
      </c>
      <c r="I442" s="34" t="n">
        <f aca="false">IFERROR(INDEX(Исходные!$B$18:$B$30,MATCH(B442,Исходные!$A$18:$A$30,0)),0)</f>
        <v>0.154</v>
      </c>
      <c r="J442" s="21" t="n">
        <f aca="false">K442</f>
        <v>39.3008</v>
      </c>
      <c r="K442" s="74" t="n">
        <f aca="false">SUMIFS(Ведомость!$P$5:$P$846,Ведомость!$W$5:$W$846,A442,Ведомость!$H$5:$H$846,B442,Ведомость!$I$5:$I$846,C442)</f>
        <v>39.3008</v>
      </c>
      <c r="L442" s="74" t="n">
        <f aca="false">J442-K442</f>
        <v>0</v>
      </c>
      <c r="M442" s="80" t="n">
        <f aca="false">IF(J442&gt;0,L442/J442,0)</f>
        <v>0</v>
      </c>
      <c r="N442" s="22" t="s">
        <v>1388</v>
      </c>
    </row>
    <row r="443" customFormat="false" ht="15" hidden="false" customHeight="false" outlineLevel="0" collapsed="false">
      <c r="C443" s="4" t="s">
        <v>195</v>
      </c>
      <c r="D443" s="78" t="n">
        <f aca="false">SUM(D426:D442)</f>
        <v>29659.274</v>
      </c>
      <c r="E443" s="78" t="n">
        <f aca="false">SUM(E426:E442)</f>
        <v>29659.274</v>
      </c>
      <c r="F443" s="78" t="n">
        <f aca="false">SUM(F426:F442)</f>
        <v>0</v>
      </c>
      <c r="G443" s="43" t="n">
        <f aca="false">SUM(G426:G442)</f>
        <v>2558</v>
      </c>
      <c r="H443" s="78" t="n">
        <f aca="false">SUM(H426:H442)</f>
        <v>29928.6</v>
      </c>
      <c r="J443" s="78" t="n">
        <f aca="false">SUM(J426:J442)</f>
        <v>30939.3869</v>
      </c>
      <c r="K443" s="78" t="n">
        <f aca="false">SUM(K426:K442)</f>
        <v>29955.042322</v>
      </c>
      <c r="L443" s="78" t="n">
        <f aca="false">SUM(L426:L442)</f>
        <v>984.344577999998</v>
      </c>
      <c r="M443" s="81" t="n">
        <f aca="false">IF(J443&gt;0,L443/J443,0)</f>
        <v>0.0318152580457242</v>
      </c>
    </row>
    <row r="445" customFormat="false" ht="15" hidden="false" customHeight="false" outlineLevel="0" collapsed="false">
      <c r="A445" s="27" t="s">
        <v>1390</v>
      </c>
    </row>
    <row r="446" customFormat="false" ht="54" hidden="false" customHeight="true" outlineLevel="0" collapsed="false">
      <c r="A446" s="5"/>
      <c r="B446" s="5" t="s">
        <v>346</v>
      </c>
      <c r="C446" s="5" t="s">
        <v>347</v>
      </c>
      <c r="D446" s="5" t="s">
        <v>1391</v>
      </c>
      <c r="E446" s="5" t="s">
        <v>13</v>
      </c>
      <c r="F446" s="5" t="s">
        <v>1386</v>
      </c>
      <c r="G446" s="5" t="s">
        <v>1387</v>
      </c>
      <c r="H446" s="5" t="s">
        <v>14</v>
      </c>
      <c r="I446" s="5" t="s">
        <v>1392</v>
      </c>
      <c r="J446" s="5" t="s">
        <v>1393</v>
      </c>
    </row>
    <row r="447" customFormat="false" ht="15" hidden="false" customHeight="false" outlineLevel="0" collapsed="false">
      <c r="A447" s="20"/>
      <c r="B447" s="47" t="n">
        <v>32</v>
      </c>
      <c r="C447" s="70" t="s">
        <v>368</v>
      </c>
      <c r="D447" s="79" t="n">
        <f aca="false">G405+G426</f>
        <v>55</v>
      </c>
      <c r="E447" s="21" t="n">
        <f aca="false">J405+J426</f>
        <v>4062.4155</v>
      </c>
      <c r="F447" s="74" t="n">
        <f aca="false">K405+K426</f>
        <v>3370.5107</v>
      </c>
      <c r="G447" s="74" t="n">
        <f aca="false">E447-F447</f>
        <v>691.9048</v>
      </c>
      <c r="H447" s="80" t="n">
        <f aca="false">IF(E447&gt;0,G447/E447,0)</f>
        <v>0.17031857031857</v>
      </c>
      <c r="I447" s="49" t="n">
        <v>48</v>
      </c>
      <c r="J447" s="48" t="n">
        <f aca="false">IF(I447="","",D447-I447)</f>
        <v>7</v>
      </c>
    </row>
    <row r="448" customFormat="false" ht="15" hidden="false" customHeight="false" outlineLevel="0" collapsed="false">
      <c r="A448" s="20"/>
      <c r="B448" s="47" t="n">
        <v>28</v>
      </c>
      <c r="C448" s="70" t="s">
        <v>368</v>
      </c>
      <c r="D448" s="79" t="n">
        <f aca="false">G406+G427</f>
        <v>244</v>
      </c>
      <c r="E448" s="21" t="n">
        <f aca="false">J406+J427</f>
        <v>13800.1032</v>
      </c>
      <c r="F448" s="74" t="n">
        <f aca="false">K406+K427</f>
        <v>12733.7228</v>
      </c>
      <c r="G448" s="74" t="n">
        <f aca="false">E448-F448</f>
        <v>1066.3804</v>
      </c>
      <c r="H448" s="80" t="n">
        <f aca="false">IF(E448&gt;0,G448/E448,0)</f>
        <v>0.0772733641586099</v>
      </c>
      <c r="I448" s="49" t="n">
        <v>231</v>
      </c>
      <c r="J448" s="48" t="n">
        <f aca="false">IF(I448="","",D448-I448)</f>
        <v>13</v>
      </c>
    </row>
    <row r="449" customFormat="false" ht="15" hidden="false" customHeight="false" outlineLevel="0" collapsed="false">
      <c r="A449" s="20"/>
      <c r="B449" s="47" t="n">
        <v>25</v>
      </c>
      <c r="C449" s="70" t="s">
        <v>368</v>
      </c>
      <c r="D449" s="79" t="n">
        <f aca="false">G407+G428</f>
        <v>171</v>
      </c>
      <c r="E449" s="21" t="n">
        <f aca="false">J407+J428</f>
        <v>7708.6971</v>
      </c>
      <c r="F449" s="74" t="n">
        <f aca="false">K407+K428</f>
        <v>7396.91234</v>
      </c>
      <c r="G449" s="74" t="n">
        <f aca="false">E449-F449</f>
        <v>311.78476</v>
      </c>
      <c r="H449" s="80" t="n">
        <f aca="false">IF(E449&gt;0,G449/E449,0)</f>
        <v>0.0404458439546158</v>
      </c>
      <c r="I449" s="49" t="n">
        <v>169</v>
      </c>
      <c r="J449" s="48" t="n">
        <f aca="false">IF(I449="","",D449-I449)</f>
        <v>2</v>
      </c>
    </row>
    <row r="450" customFormat="false" ht="15" hidden="false" customHeight="false" outlineLevel="0" collapsed="false">
      <c r="A450" s="20"/>
      <c r="B450" s="47" t="n">
        <v>22</v>
      </c>
      <c r="C450" s="70" t="s">
        <v>368</v>
      </c>
      <c r="D450" s="79" t="n">
        <f aca="false">G408+G429</f>
        <v>56</v>
      </c>
      <c r="E450" s="21" t="n">
        <f aca="false">J408+J429</f>
        <v>1955.1168</v>
      </c>
      <c r="F450" s="74" t="n">
        <f aca="false">K408+K429</f>
        <v>1808.9008</v>
      </c>
      <c r="G450" s="74" t="n">
        <f aca="false">E450-F450</f>
        <v>146.216</v>
      </c>
      <c r="H450" s="80" t="n">
        <f aca="false">IF(E450&gt;0,G450/E450,0)</f>
        <v>0.0747863247863249</v>
      </c>
      <c r="I450" s="49" t="n">
        <v>55</v>
      </c>
      <c r="J450" s="48" t="n">
        <f aca="false">IF(I450="","",D450-I450)</f>
        <v>1</v>
      </c>
    </row>
    <row r="451" customFormat="false" ht="15" hidden="false" customHeight="false" outlineLevel="0" collapsed="false">
      <c r="A451" s="20"/>
      <c r="B451" s="47" t="n">
        <v>20</v>
      </c>
      <c r="C451" s="70" t="s">
        <v>368</v>
      </c>
      <c r="D451" s="79" t="n">
        <f aca="false">G409+G430</f>
        <v>154</v>
      </c>
      <c r="E451" s="21" t="n">
        <f aca="false">J409+J430</f>
        <v>4443.2388</v>
      </c>
      <c r="F451" s="74" t="n">
        <f aca="false">K409+K430</f>
        <v>3699</v>
      </c>
      <c r="G451" s="74" t="n">
        <f aca="false">E451-F451</f>
        <v>744.2388</v>
      </c>
      <c r="H451" s="80" t="n">
        <f aca="false">IF(E451&gt;0,G451/E451,0)</f>
        <v>0.167499167499168</v>
      </c>
      <c r="I451" s="49" t="n">
        <v>132</v>
      </c>
      <c r="J451" s="48" t="n">
        <f aca="false">IF(I451="","",D451-I451)</f>
        <v>22</v>
      </c>
    </row>
    <row r="452" customFormat="false" ht="15" hidden="false" customHeight="false" outlineLevel="0" collapsed="false">
      <c r="A452" s="20"/>
      <c r="B452" s="47" t="n">
        <v>18</v>
      </c>
      <c r="C452" s="70" t="s">
        <v>368</v>
      </c>
      <c r="D452" s="79" t="n">
        <f aca="false">G410+G431</f>
        <v>146</v>
      </c>
      <c r="E452" s="21" t="n">
        <f aca="false">J410+J431</f>
        <v>3412.9836</v>
      </c>
      <c r="F452" s="74" t="n">
        <f aca="false">K410+K431</f>
        <v>3296.588112</v>
      </c>
      <c r="G452" s="74" t="n">
        <f aca="false">E452-F452</f>
        <v>116.395487999999</v>
      </c>
      <c r="H452" s="80" t="n">
        <f aca="false">IF(E452&gt;0,G452/E452,0)</f>
        <v>0.0341037349256525</v>
      </c>
      <c r="I452" s="49" t="n">
        <v>146</v>
      </c>
      <c r="J452" s="48" t="n">
        <f aca="false">IF(I452="","",D452-I452)</f>
        <v>0</v>
      </c>
    </row>
    <row r="453" customFormat="false" ht="15" hidden="false" customHeight="false" outlineLevel="0" collapsed="false">
      <c r="A453" s="20"/>
      <c r="B453" s="47" t="n">
        <v>16</v>
      </c>
      <c r="C453" s="70" t="s">
        <v>368</v>
      </c>
      <c r="D453" s="79" t="n">
        <f aca="false">G411+G432</f>
        <v>153</v>
      </c>
      <c r="E453" s="21" t="n">
        <f aca="false">J411+J432</f>
        <v>2824.7778</v>
      </c>
      <c r="F453" s="74" t="n">
        <f aca="false">K411+K432</f>
        <v>2766.347616</v>
      </c>
      <c r="G453" s="74" t="n">
        <f aca="false">E453-F453</f>
        <v>58.4301839999998</v>
      </c>
      <c r="H453" s="80" t="n">
        <f aca="false">IF(E453&gt;0,G453/E453,0)</f>
        <v>0.0206848779397798</v>
      </c>
      <c r="I453" s="49" t="n">
        <v>153</v>
      </c>
      <c r="J453" s="48" t="n">
        <f aca="false">IF(I453="","",D453-I453)</f>
        <v>0</v>
      </c>
    </row>
    <row r="454" customFormat="false" ht="15" hidden="false" customHeight="false" outlineLevel="0" collapsed="false">
      <c r="A454" s="20"/>
      <c r="B454" s="47" t="n">
        <v>14</v>
      </c>
      <c r="C454" s="70" t="s">
        <v>368</v>
      </c>
      <c r="D454" s="79" t="n">
        <f aca="false">G412+G433</f>
        <v>75</v>
      </c>
      <c r="E454" s="21" t="n">
        <f aca="false">J412+J433</f>
        <v>1060.02</v>
      </c>
      <c r="F454" s="74" t="n">
        <f aca="false">K412+K433</f>
        <v>1028.607168</v>
      </c>
      <c r="G454" s="74" t="n">
        <f aca="false">E454-F454</f>
        <v>31.412832</v>
      </c>
      <c r="H454" s="80" t="n">
        <f aca="false">IF(E454&gt;0,G454/E454,0)</f>
        <v>0.029634188034188</v>
      </c>
      <c r="I454" s="49" t="n">
        <v>75</v>
      </c>
      <c r="J454" s="48" t="n">
        <f aca="false">IF(I454="","",D454-I454)</f>
        <v>0</v>
      </c>
    </row>
    <row r="455" customFormat="false" ht="15" hidden="false" customHeight="false" outlineLevel="0" collapsed="false">
      <c r="A455" s="20"/>
      <c r="B455" s="47" t="n">
        <v>12</v>
      </c>
      <c r="C455" s="70" t="s">
        <v>368</v>
      </c>
      <c r="D455" s="79" t="n">
        <f aca="false">G413+G434</f>
        <v>58</v>
      </c>
      <c r="E455" s="21" t="n">
        <f aca="false">J413+J434</f>
        <v>602.5968</v>
      </c>
      <c r="F455" s="74" t="n">
        <f aca="false">K413+K434</f>
        <v>570.763776</v>
      </c>
      <c r="G455" s="74" t="n">
        <f aca="false">E455-F455</f>
        <v>31.833024</v>
      </c>
      <c r="H455" s="80" t="n">
        <f aca="false">IF(E455&gt;0,G455/E455,0)</f>
        <v>0.052826407309166</v>
      </c>
      <c r="I455" s="49" t="n">
        <v>57</v>
      </c>
      <c r="J455" s="48" t="n">
        <f aca="false">IF(I455="","",D455-I455)</f>
        <v>1</v>
      </c>
    </row>
    <row r="456" customFormat="false" ht="15" hidden="false" customHeight="false" outlineLevel="0" collapsed="false">
      <c r="A456" s="20"/>
      <c r="B456" s="47" t="n">
        <v>10</v>
      </c>
      <c r="C456" s="70" t="s">
        <v>368</v>
      </c>
      <c r="D456" s="79" t="n">
        <f aca="false">G414+G435</f>
        <v>2284</v>
      </c>
      <c r="E456" s="21" t="n">
        <f aca="false">J414+J435</f>
        <v>16487.9676</v>
      </c>
      <c r="F456" s="74" t="n">
        <f aca="false">K414+K435</f>
        <v>16346.72396</v>
      </c>
      <c r="G456" s="74" t="n">
        <f aca="false">E456-F456</f>
        <v>141.243640000001</v>
      </c>
      <c r="H456" s="80" t="n">
        <f aca="false">IF(E456&gt;0,G456/E456,0)</f>
        <v>0.00856646758573207</v>
      </c>
      <c r="I456" s="49" t="n">
        <v>2283</v>
      </c>
      <c r="J456" s="48" t="n">
        <f aca="false">IF(I456="","",D456-I456)</f>
        <v>1</v>
      </c>
    </row>
    <row r="457" customFormat="false" ht="15" hidden="false" customHeight="false" outlineLevel="0" collapsed="false">
      <c r="A457" s="20"/>
      <c r="B457" s="47" t="n">
        <v>8</v>
      </c>
      <c r="C457" s="70" t="s">
        <v>368</v>
      </c>
      <c r="D457" s="79" t="n">
        <f aca="false">G415+G436</f>
        <v>0</v>
      </c>
      <c r="E457" s="21" t="n">
        <f aca="false">J415+J436</f>
        <v>0</v>
      </c>
      <c r="F457" s="74" t="n">
        <f aca="false">K415+K436</f>
        <v>0</v>
      </c>
      <c r="G457" s="74" t="n">
        <f aca="false">E457-F457</f>
        <v>0</v>
      </c>
      <c r="H457" s="80" t="n">
        <f aca="false">IF(E457&gt;0,G457/E457,0)</f>
        <v>0</v>
      </c>
      <c r="I457" s="49"/>
      <c r="J457" s="48"/>
    </row>
    <row r="458" customFormat="false" ht="15" hidden="false" customHeight="false" outlineLevel="0" collapsed="false">
      <c r="A458" s="20"/>
      <c r="B458" s="47" t="n">
        <v>16</v>
      </c>
      <c r="C458" s="70" t="s">
        <v>403</v>
      </c>
      <c r="D458" s="79" t="n">
        <f aca="false">G416+G437</f>
        <v>2</v>
      </c>
      <c r="E458" s="21" t="n">
        <f aca="false">J416+J437</f>
        <v>36.9252</v>
      </c>
      <c r="F458" s="74" t="n">
        <f aca="false">K416+K437</f>
        <v>2.65104</v>
      </c>
      <c r="G458" s="74" t="n">
        <f aca="false">E458-F458</f>
        <v>34.27416</v>
      </c>
      <c r="H458" s="80" t="n">
        <f aca="false">IF(E458&gt;0,G458/E458,0)</f>
        <v>0.928205128205128</v>
      </c>
      <c r="I458" s="49" t="n">
        <v>1</v>
      </c>
      <c r="J458" s="48" t="n">
        <f aca="false">IF(I458="","",D458-I458)</f>
        <v>1</v>
      </c>
    </row>
    <row r="459" customFormat="false" ht="15" hidden="false" customHeight="false" outlineLevel="0" collapsed="false">
      <c r="A459" s="20"/>
      <c r="B459" s="47" t="n">
        <v>12</v>
      </c>
      <c r="C459" s="70" t="s">
        <v>403</v>
      </c>
      <c r="D459" s="79" t="n">
        <f aca="false">G417+G438</f>
        <v>0</v>
      </c>
      <c r="E459" s="21" t="n">
        <f aca="false">J417+J438</f>
        <v>0</v>
      </c>
      <c r="F459" s="74" t="n">
        <f aca="false">K417+K438</f>
        <v>0</v>
      </c>
      <c r="G459" s="74" t="n">
        <f aca="false">E459-F459</f>
        <v>0</v>
      </c>
      <c r="H459" s="80" t="n">
        <f aca="false">IF(E459&gt;0,G459/E459,0)</f>
        <v>0</v>
      </c>
      <c r="I459" s="49"/>
      <c r="J459" s="48"/>
    </row>
    <row r="460" customFormat="false" ht="15" hidden="false" customHeight="false" outlineLevel="0" collapsed="false">
      <c r="A460" s="20"/>
      <c r="B460" s="47" t="n">
        <v>10</v>
      </c>
      <c r="C460" s="70" t="s">
        <v>403</v>
      </c>
      <c r="D460" s="79" t="n">
        <f aca="false">G418+G439</f>
        <v>494</v>
      </c>
      <c r="E460" s="21" t="n">
        <f aca="false">J418+J439</f>
        <v>3566.1366</v>
      </c>
      <c r="F460" s="74" t="n">
        <f aca="false">K418+K439</f>
        <v>3519.70118</v>
      </c>
      <c r="G460" s="74" t="n">
        <f aca="false">E460-F460</f>
        <v>46.4354199999998</v>
      </c>
      <c r="H460" s="80" t="n">
        <f aca="false">IF(E460&gt;0,G460/E460,0)</f>
        <v>0.0130212118066369</v>
      </c>
      <c r="I460" s="49" t="n">
        <v>493</v>
      </c>
      <c r="J460" s="48" t="n">
        <f aca="false">IF(I460="","",D460-I460)</f>
        <v>1</v>
      </c>
    </row>
    <row r="461" customFormat="false" ht="15" hidden="false" customHeight="false" outlineLevel="0" collapsed="false">
      <c r="A461" s="20"/>
      <c r="B461" s="47" t="n">
        <v>8</v>
      </c>
      <c r="C461" s="70" t="s">
        <v>403</v>
      </c>
      <c r="D461" s="79" t="n">
        <f aca="false">G419+G440</f>
        <v>1291</v>
      </c>
      <c r="E461" s="21" t="n">
        <f aca="false">J419+J440</f>
        <v>5966.3565</v>
      </c>
      <c r="F461" s="74" t="n">
        <f aca="false">K419+K440</f>
        <v>5910.4008</v>
      </c>
      <c r="G461" s="74" t="n">
        <f aca="false">E461-F461</f>
        <v>55.9556999999995</v>
      </c>
      <c r="H461" s="80" t="n">
        <f aca="false">IF(E461&gt;0,G461/E461,0)</f>
        <v>0.00937853780611325</v>
      </c>
      <c r="I461" s="49" t="n">
        <v>1290</v>
      </c>
      <c r="J461" s="48" t="n">
        <f aca="false">IF(I461="","",D461-I461)</f>
        <v>1</v>
      </c>
    </row>
    <row r="462" customFormat="false" ht="15" hidden="false" customHeight="false" outlineLevel="0" collapsed="false">
      <c r="A462" s="20"/>
      <c r="B462" s="47" t="n">
        <v>6</v>
      </c>
      <c r="C462" s="70" t="s">
        <v>403</v>
      </c>
      <c r="D462" s="79" t="n">
        <f aca="false">G420+G441</f>
        <v>6</v>
      </c>
      <c r="E462" s="21" t="n">
        <f aca="false">J420+J441</f>
        <v>15.5844</v>
      </c>
      <c r="F462" s="74" t="n">
        <f aca="false">K420+K441</f>
        <v>13.3644</v>
      </c>
      <c r="G462" s="74" t="n">
        <f aca="false">E462-F462</f>
        <v>2.22</v>
      </c>
      <c r="H462" s="80" t="n">
        <f aca="false">IF(E462&gt;0,G462/E462,0)</f>
        <v>0.142450142450142</v>
      </c>
      <c r="I462" s="49" t="n">
        <v>6</v>
      </c>
      <c r="J462" s="48" t="n">
        <f aca="false">IF(I462="","",D462-I462)</f>
        <v>0</v>
      </c>
    </row>
    <row r="463" customFormat="false" ht="15" hidden="false" customHeight="false" outlineLevel="0" collapsed="false">
      <c r="A463" s="20"/>
      <c r="B463" s="47" t="n">
        <v>5</v>
      </c>
      <c r="C463" s="70" t="s">
        <v>976</v>
      </c>
      <c r="D463" s="79" t="n">
        <f aca="false">G421+G442</f>
        <v>0</v>
      </c>
      <c r="E463" s="21" t="n">
        <f aca="false">J421+J442</f>
        <v>82.4208</v>
      </c>
      <c r="F463" s="74" t="n">
        <f aca="false">K421+K442</f>
        <v>82.4208</v>
      </c>
      <c r="G463" s="74" t="n">
        <f aca="false">E463-F463</f>
        <v>0</v>
      </c>
      <c r="H463" s="80" t="n">
        <f aca="false">IF(E463&gt;0,G463/E463,0)</f>
        <v>0</v>
      </c>
      <c r="I463" s="49"/>
      <c r="J463" s="48"/>
    </row>
    <row r="464" customFormat="false" ht="15" hidden="false" customHeight="false" outlineLevel="0" collapsed="false">
      <c r="C464" s="4" t="s">
        <v>195</v>
      </c>
      <c r="D464" s="43" t="n">
        <f aca="false">SUM(D447:D463)</f>
        <v>5189</v>
      </c>
      <c r="E464" s="78" t="n">
        <f aca="false">SUM(E447:E463)</f>
        <v>66025.3407</v>
      </c>
      <c r="F464" s="78" t="n">
        <f aca="false">SUM(F447:F463)</f>
        <v>62546.615492</v>
      </c>
      <c r="G464" s="78" t="n">
        <f aca="false">SUM(G447:G463)</f>
        <v>3478.725208</v>
      </c>
      <c r="H464" s="81" t="n">
        <f aca="false">IF(E464&gt;0,G464/E464,0)</f>
        <v>0.0526877282437105</v>
      </c>
      <c r="I464" s="43" t="n">
        <f aca="false">SUM(I447:I463)</f>
        <v>5139</v>
      </c>
      <c r="J464" s="43" t="n">
        <f aca="false">SUM(J447:J463)</f>
        <v>50</v>
      </c>
    </row>
    <row r="466" customFormat="false" ht="15" hidden="false" customHeight="true" outlineLevel="0" collapsed="false">
      <c r="A466" s="82" t="s">
        <v>1394</v>
      </c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</row>
    <row r="467" customFormat="false" ht="30" hidden="false" customHeight="true" outlineLevel="0" collapsed="false">
      <c r="A467" s="83" t="s">
        <v>1395</v>
      </c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</row>
    <row r="468" customFormat="false" ht="30" hidden="false" customHeight="true" outlineLevel="0" collapsed="false">
      <c r="A468" s="83" t="s">
        <v>1396</v>
      </c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</row>
    <row r="469" customFormat="false" ht="30" hidden="false" customHeight="true" outlineLevel="0" collapsed="false">
      <c r="A469" s="83" t="s">
        <v>1397</v>
      </c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</row>
  </sheetData>
  <mergeCells count="4">
    <mergeCell ref="A466:R466"/>
    <mergeCell ref="A467:R467"/>
    <mergeCell ref="A468:R468"/>
    <mergeCell ref="A469:R4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52" t="s">
        <v>1398</v>
      </c>
    </row>
    <row r="3" customFormat="false" ht="15" hidden="false" customHeight="true" outlineLevel="0" collapsed="false">
      <c r="A3" s="2" t="s">
        <v>1399</v>
      </c>
      <c r="B3" s="2"/>
    </row>
    <row r="4" customFormat="false" ht="23.85" hidden="false" customHeight="false" outlineLevel="0" collapsed="false">
      <c r="A4" s="84" t="s">
        <v>1400</v>
      </c>
      <c r="B4" s="20" t="s">
        <v>1401</v>
      </c>
    </row>
    <row r="5" customFormat="false" ht="15" hidden="false" customHeight="false" outlineLevel="0" collapsed="false">
      <c r="A5" s="84" t="s">
        <v>1402</v>
      </c>
      <c r="B5" s="20" t="s">
        <v>1403</v>
      </c>
    </row>
    <row r="6" customFormat="false" ht="23.85" hidden="false" customHeight="false" outlineLevel="0" collapsed="false">
      <c r="A6" s="84" t="s">
        <v>1404</v>
      </c>
      <c r="B6" s="20" t="s">
        <v>1405</v>
      </c>
    </row>
    <row r="7" customFormat="false" ht="15" hidden="false" customHeight="false" outlineLevel="0" collapsed="false">
      <c r="A7" s="84" t="s">
        <v>1406</v>
      </c>
      <c r="B7" s="20" t="s">
        <v>1407</v>
      </c>
    </row>
    <row r="8" customFormat="false" ht="15" hidden="false" customHeight="false" outlineLevel="0" collapsed="false">
      <c r="A8" s="84" t="s">
        <v>1408</v>
      </c>
      <c r="B8" s="20" t="s">
        <v>1409</v>
      </c>
    </row>
    <row r="9" customFormat="false" ht="15" hidden="false" customHeight="false" outlineLevel="0" collapsed="false">
      <c r="A9" s="84" t="s">
        <v>1410</v>
      </c>
      <c r="B9" s="20" t="s">
        <v>1411</v>
      </c>
    </row>
    <row r="10" customFormat="false" ht="15" hidden="false" customHeight="false" outlineLevel="0" collapsed="false">
      <c r="A10" s="84" t="s">
        <v>1412</v>
      </c>
      <c r="B10" s="20" t="s">
        <v>1413</v>
      </c>
    </row>
    <row r="11" customFormat="false" ht="15" hidden="false" customHeight="false" outlineLevel="0" collapsed="false">
      <c r="A11" s="84" t="s">
        <v>1414</v>
      </c>
      <c r="B11" s="20" t="s">
        <v>1415</v>
      </c>
    </row>
    <row r="12" customFormat="false" ht="23.85" hidden="false" customHeight="false" outlineLevel="0" collapsed="false">
      <c r="A12" s="84" t="s">
        <v>1416</v>
      </c>
      <c r="B12" s="20" t="s">
        <v>1417</v>
      </c>
    </row>
    <row r="13" customFormat="false" ht="15" hidden="false" customHeight="false" outlineLevel="0" collapsed="false">
      <c r="A13" s="84" t="s">
        <v>1418</v>
      </c>
      <c r="B13" s="20" t="s">
        <v>1419</v>
      </c>
    </row>
    <row r="14" customFormat="false" ht="15" hidden="false" customHeight="false" outlineLevel="0" collapsed="false">
      <c r="A14" s="84" t="s">
        <v>1420</v>
      </c>
      <c r="B14" s="20" t="s">
        <v>1421</v>
      </c>
    </row>
    <row r="15" customFormat="false" ht="15" hidden="false" customHeight="false" outlineLevel="0" collapsed="false">
      <c r="A15" s="84" t="s">
        <v>1422</v>
      </c>
      <c r="B15" s="20" t="s">
        <v>1423</v>
      </c>
    </row>
    <row r="17" customFormat="false" ht="15" hidden="false" customHeight="true" outlineLevel="0" collapsed="false">
      <c r="A17" s="2" t="s">
        <v>1424</v>
      </c>
      <c r="B17" s="2"/>
    </row>
    <row r="18" customFormat="false" ht="15" hidden="false" customHeight="false" outlineLevel="0" collapsed="false">
      <c r="A18" s="20" t="s">
        <v>1425</v>
      </c>
      <c r="B18" s="20" t="s">
        <v>1426</v>
      </c>
    </row>
    <row r="19" customFormat="false" ht="15" hidden="false" customHeight="false" outlineLevel="0" collapsed="false">
      <c r="A19" s="20" t="s">
        <v>1427</v>
      </c>
      <c r="B19" s="20" t="s">
        <v>1428</v>
      </c>
    </row>
    <row r="20" customFormat="false" ht="15" hidden="false" customHeight="false" outlineLevel="0" collapsed="false">
      <c r="A20" s="20" t="s">
        <v>1429</v>
      </c>
      <c r="B20" s="20" t="s">
        <v>1430</v>
      </c>
    </row>
    <row r="21" customFormat="false" ht="15" hidden="false" customHeight="false" outlineLevel="0" collapsed="false">
      <c r="A21" s="20" t="s">
        <v>1431</v>
      </c>
      <c r="B21" s="20" t="s">
        <v>1432</v>
      </c>
    </row>
    <row r="22" customFormat="false" ht="15" hidden="false" customHeight="false" outlineLevel="0" collapsed="false">
      <c r="A22" s="20" t="s">
        <v>1433</v>
      </c>
      <c r="B22" s="20" t="s">
        <v>1434</v>
      </c>
    </row>
    <row r="23" customFormat="false" ht="15" hidden="false" customHeight="false" outlineLevel="0" collapsed="false">
      <c r="A23" s="20" t="s">
        <v>1435</v>
      </c>
      <c r="B23" s="20" t="s">
        <v>1436</v>
      </c>
    </row>
    <row r="24" customFormat="false" ht="15" hidden="false" customHeight="false" outlineLevel="0" collapsed="false">
      <c r="A24" s="20" t="s">
        <v>1437</v>
      </c>
      <c r="B24" s="20" t="s">
        <v>1438</v>
      </c>
    </row>
    <row r="25" customFormat="false" ht="15" hidden="false" customHeight="false" outlineLevel="0" collapsed="false">
      <c r="A25" s="20" t="s">
        <v>1439</v>
      </c>
      <c r="B25" s="20" t="s">
        <v>1440</v>
      </c>
    </row>
    <row r="26" customFormat="false" ht="15" hidden="false" customHeight="false" outlineLevel="0" collapsed="false">
      <c r="A26" s="20" t="s">
        <v>1441</v>
      </c>
      <c r="B26" s="20" t="s">
        <v>1442</v>
      </c>
    </row>
    <row r="27" customFormat="false" ht="15" hidden="false" customHeight="false" outlineLevel="0" collapsed="false">
      <c r="A27" s="20" t="s">
        <v>1443</v>
      </c>
      <c r="B27" s="20" t="s">
        <v>1444</v>
      </c>
    </row>
    <row r="28" customFormat="false" ht="15" hidden="false" customHeight="false" outlineLevel="0" collapsed="false">
      <c r="A28" s="20" t="s">
        <v>1445</v>
      </c>
      <c r="B28" s="20" t="s">
        <v>1446</v>
      </c>
    </row>
    <row r="29" customFormat="false" ht="15" hidden="false" customHeight="false" outlineLevel="0" collapsed="false">
      <c r="A29" s="20" t="s">
        <v>1447</v>
      </c>
      <c r="B29" s="20" t="s">
        <v>1448</v>
      </c>
    </row>
    <row r="30" customFormat="false" ht="15" hidden="false" customHeight="false" outlineLevel="0" collapsed="false">
      <c r="A30" s="20" t="s">
        <v>1449</v>
      </c>
      <c r="B30" s="20" t="s">
        <v>1450</v>
      </c>
    </row>
    <row r="31" customFormat="false" ht="15" hidden="false" customHeight="false" outlineLevel="0" collapsed="false">
      <c r="A31" s="20" t="s">
        <v>1451</v>
      </c>
      <c r="B31" s="20" t="s">
        <v>1452</v>
      </c>
    </row>
    <row r="32" customFormat="false" ht="15" hidden="false" customHeight="false" outlineLevel="0" collapsed="false">
      <c r="A32" s="20" t="s">
        <v>1453</v>
      </c>
      <c r="B32" s="20" t="s">
        <v>1454</v>
      </c>
    </row>
    <row r="33" customFormat="false" ht="15" hidden="false" customHeight="false" outlineLevel="0" collapsed="false">
      <c r="A33" s="20" t="s">
        <v>1455</v>
      </c>
      <c r="B33" s="20" t="s">
        <v>1456</v>
      </c>
    </row>
    <row r="34" customFormat="false" ht="15" hidden="false" customHeight="false" outlineLevel="0" collapsed="false">
      <c r="A34" s="20" t="s">
        <v>1457</v>
      </c>
      <c r="B34" s="20" t="s">
        <v>1458</v>
      </c>
    </row>
    <row r="36" customFormat="false" ht="15" hidden="false" customHeight="true" outlineLevel="0" collapsed="false">
      <c r="A36" s="2" t="s">
        <v>1459</v>
      </c>
      <c r="B36" s="2"/>
    </row>
    <row r="37" customFormat="false" ht="23.85" hidden="false" customHeight="false" outlineLevel="0" collapsed="false">
      <c r="A37" s="84" t="s">
        <v>1460</v>
      </c>
      <c r="B37" s="20" t="s">
        <v>1461</v>
      </c>
    </row>
    <row r="38" customFormat="false" ht="23.85" hidden="false" customHeight="false" outlineLevel="0" collapsed="false">
      <c r="A38" s="84" t="s">
        <v>1462</v>
      </c>
      <c r="B38" s="20" t="s">
        <v>1463</v>
      </c>
    </row>
    <row r="39" customFormat="false" ht="23.85" hidden="false" customHeight="false" outlineLevel="0" collapsed="false">
      <c r="A39" s="84" t="s">
        <v>1464</v>
      </c>
      <c r="B39" s="20" t="s">
        <v>1465</v>
      </c>
    </row>
    <row r="40" customFormat="false" ht="35.05" hidden="false" customHeight="false" outlineLevel="0" collapsed="false">
      <c r="A40" s="84" t="s">
        <v>1466</v>
      </c>
      <c r="B40" s="20" t="s">
        <v>1467</v>
      </c>
    </row>
    <row r="41" customFormat="false" ht="23.85" hidden="false" customHeight="false" outlineLevel="0" collapsed="false">
      <c r="A41" s="84" t="s">
        <v>1468</v>
      </c>
      <c r="B41" s="20" t="s">
        <v>1469</v>
      </c>
    </row>
    <row r="42" customFormat="false" ht="15" hidden="false" customHeight="false" outlineLevel="0" collapsed="false">
      <c r="A42" s="84" t="s">
        <v>1470</v>
      </c>
      <c r="B42" s="20" t="s">
        <v>1471</v>
      </c>
    </row>
    <row r="43" customFormat="false" ht="23.85" hidden="false" customHeight="false" outlineLevel="0" collapsed="false">
      <c r="A43" s="84" t="s">
        <v>1472</v>
      </c>
      <c r="B43" s="20" t="s">
        <v>1473</v>
      </c>
    </row>
    <row r="44" customFormat="false" ht="15" hidden="false" customHeight="false" outlineLevel="0" collapsed="false">
      <c r="A44" s="84" t="s">
        <v>1474</v>
      </c>
      <c r="B44" s="20" t="s">
        <v>1475</v>
      </c>
    </row>
    <row r="45" customFormat="false" ht="15" hidden="false" customHeight="false" outlineLevel="0" collapsed="false">
      <c r="A45" s="84" t="s">
        <v>1476</v>
      </c>
      <c r="B45" s="20" t="s">
        <v>1477</v>
      </c>
    </row>
    <row r="46" customFormat="false" ht="15" hidden="false" customHeight="false" outlineLevel="0" collapsed="false">
      <c r="A46" s="84" t="s">
        <v>1478</v>
      </c>
      <c r="B46" s="20" t="s">
        <v>1479</v>
      </c>
    </row>
    <row r="47" customFormat="false" ht="23.85" hidden="false" customHeight="false" outlineLevel="0" collapsed="false">
      <c r="A47" s="84" t="s">
        <v>1480</v>
      </c>
      <c r="B47" s="20" t="s">
        <v>1481</v>
      </c>
    </row>
    <row r="48" customFormat="false" ht="35.05" hidden="false" customHeight="false" outlineLevel="0" collapsed="false">
      <c r="A48" s="84" t="s">
        <v>1482</v>
      </c>
      <c r="B48" s="20" t="s">
        <v>1483</v>
      </c>
    </row>
    <row r="49" customFormat="false" ht="23.85" hidden="false" customHeight="false" outlineLevel="0" collapsed="false">
      <c r="A49" s="84" t="s">
        <v>1484</v>
      </c>
      <c r="B49" s="20" t="s">
        <v>1485</v>
      </c>
    </row>
    <row r="50" customFormat="false" ht="23.85" hidden="false" customHeight="false" outlineLevel="0" collapsed="false">
      <c r="A50" s="84" t="s">
        <v>1486</v>
      </c>
      <c r="B50" s="20" t="s">
        <v>1487</v>
      </c>
    </row>
    <row r="51" customFormat="false" ht="23.85" hidden="false" customHeight="false" outlineLevel="0" collapsed="false">
      <c r="A51" s="84" t="s">
        <v>1488</v>
      </c>
      <c r="B51" s="20" t="s">
        <v>1489</v>
      </c>
    </row>
    <row r="52" customFormat="false" ht="15" hidden="false" customHeight="false" outlineLevel="0" collapsed="false">
      <c r="A52" s="84" t="s">
        <v>1490</v>
      </c>
      <c r="B52" s="20" t="s">
        <v>1491</v>
      </c>
    </row>
    <row r="53" customFormat="false" ht="23.85" hidden="false" customHeight="false" outlineLevel="0" collapsed="false">
      <c r="A53" s="84" t="s">
        <v>1492</v>
      </c>
      <c r="B53" s="20" t="s">
        <v>1493</v>
      </c>
    </row>
    <row r="54" customFormat="false" ht="15" hidden="false" customHeight="false" outlineLevel="0" collapsed="false">
      <c r="A54" s="84" t="s">
        <v>1494</v>
      </c>
      <c r="B54" s="20" t="s">
        <v>1495</v>
      </c>
    </row>
    <row r="55" customFormat="false" ht="23.85" hidden="false" customHeight="false" outlineLevel="0" collapsed="false">
      <c r="A55" s="84" t="s">
        <v>1496</v>
      </c>
      <c r="B55" s="20" t="s">
        <v>1497</v>
      </c>
    </row>
    <row r="56" customFormat="false" ht="23.85" hidden="false" customHeight="false" outlineLevel="0" collapsed="false">
      <c r="A56" s="84" t="s">
        <v>1498</v>
      </c>
      <c r="B56" s="20" t="s">
        <v>1499</v>
      </c>
    </row>
    <row r="57" customFormat="false" ht="15" hidden="false" customHeight="false" outlineLevel="0" collapsed="false">
      <c r="A57" s="84" t="s">
        <v>1500</v>
      </c>
      <c r="B57" s="20" t="s">
        <v>1501</v>
      </c>
    </row>
    <row r="58" customFormat="false" ht="23.85" hidden="false" customHeight="false" outlineLevel="0" collapsed="false">
      <c r="A58" s="84" t="s">
        <v>1502</v>
      </c>
      <c r="B58" s="20" t="s">
        <v>1503</v>
      </c>
    </row>
    <row r="59" customFormat="false" ht="15" hidden="false" customHeight="false" outlineLevel="0" collapsed="false">
      <c r="A59" s="84" t="s">
        <v>1504</v>
      </c>
      <c r="B59" s="20" t="s">
        <v>1505</v>
      </c>
    </row>
    <row r="60" customFormat="false" ht="15" hidden="false" customHeight="false" outlineLevel="0" collapsed="false">
      <c r="A60" s="84" t="s">
        <v>1506</v>
      </c>
      <c r="B60" s="20" t="s">
        <v>1507</v>
      </c>
    </row>
    <row r="61" customFormat="false" ht="15" hidden="false" customHeight="false" outlineLevel="0" collapsed="false">
      <c r="A61" s="84" t="s">
        <v>1508</v>
      </c>
      <c r="B61" s="20" t="s">
        <v>1509</v>
      </c>
    </row>
    <row r="63" customFormat="false" ht="15" hidden="false" customHeight="true" outlineLevel="0" collapsed="false">
      <c r="A63" s="2" t="s">
        <v>1510</v>
      </c>
      <c r="B63" s="2"/>
    </row>
    <row r="64" customFormat="false" ht="23.85" hidden="false" customHeight="false" outlineLevel="0" collapsed="false">
      <c r="A64" s="84" t="s">
        <v>1511</v>
      </c>
      <c r="B64" s="20" t="s">
        <v>1512</v>
      </c>
    </row>
    <row r="65" customFormat="false" ht="15" hidden="false" customHeight="false" outlineLevel="0" collapsed="false">
      <c r="A65" s="84" t="s">
        <v>1513</v>
      </c>
      <c r="B65" s="20" t="s">
        <v>1514</v>
      </c>
    </row>
    <row r="66" customFormat="false" ht="23.85" hidden="false" customHeight="false" outlineLevel="0" collapsed="false">
      <c r="A66" s="84" t="s">
        <v>1515</v>
      </c>
      <c r="B66" s="20" t="s">
        <v>1516</v>
      </c>
    </row>
    <row r="67" customFormat="false" ht="15" hidden="false" customHeight="false" outlineLevel="0" collapsed="false">
      <c r="A67" s="84" t="s">
        <v>1517</v>
      </c>
      <c r="B67" s="20" t="s">
        <v>1518</v>
      </c>
    </row>
    <row r="68" customFormat="false" ht="23.85" hidden="false" customHeight="false" outlineLevel="0" collapsed="false">
      <c r="A68" s="84" t="s">
        <v>1519</v>
      </c>
      <c r="B68" s="20" t="s">
        <v>1520</v>
      </c>
    </row>
    <row r="69" customFormat="false" ht="23.85" hidden="false" customHeight="false" outlineLevel="0" collapsed="false">
      <c r="A69" s="84" t="s">
        <v>1521</v>
      </c>
      <c r="B69" s="20" t="s">
        <v>1522</v>
      </c>
    </row>
    <row r="70" customFormat="false" ht="23.85" hidden="false" customHeight="false" outlineLevel="0" collapsed="false">
      <c r="A70" s="84" t="s">
        <v>1523</v>
      </c>
      <c r="B70" s="20" t="s">
        <v>1524</v>
      </c>
    </row>
    <row r="71" customFormat="false" ht="23.85" hidden="false" customHeight="false" outlineLevel="0" collapsed="false">
      <c r="A71" s="84" t="s">
        <v>1525</v>
      </c>
      <c r="B71" s="20" t="s">
        <v>1526</v>
      </c>
    </row>
    <row r="72" customFormat="false" ht="23.85" hidden="false" customHeight="false" outlineLevel="0" collapsed="false">
      <c r="A72" s="84" t="s">
        <v>1527</v>
      </c>
      <c r="B72" s="20" t="s">
        <v>1528</v>
      </c>
    </row>
    <row r="73" customFormat="false" ht="15" hidden="false" customHeight="false" outlineLevel="0" collapsed="false">
      <c r="A73" s="84" t="s">
        <v>1529</v>
      </c>
      <c r="B73" s="20" t="s">
        <v>1530</v>
      </c>
    </row>
    <row r="74" customFormat="false" ht="35.05" hidden="false" customHeight="false" outlineLevel="0" collapsed="false">
      <c r="A74" s="84" t="s">
        <v>1531</v>
      </c>
      <c r="B74" s="20" t="s">
        <v>1532</v>
      </c>
    </row>
    <row r="75" customFormat="false" ht="15" hidden="false" customHeight="false" outlineLevel="0" collapsed="false">
      <c r="A75" s="84" t="s">
        <v>1533</v>
      </c>
      <c r="B75" s="20" t="s">
        <v>1534</v>
      </c>
    </row>
    <row r="76" customFormat="false" ht="15" hidden="false" customHeight="false" outlineLevel="0" collapsed="false">
      <c r="A76" s="84" t="s">
        <v>1535</v>
      </c>
      <c r="B76" s="20" t="s">
        <v>1536</v>
      </c>
    </row>
    <row r="78" customFormat="false" ht="15" hidden="false" customHeight="true" outlineLevel="0" collapsed="false">
      <c r="A78" s="2" t="s">
        <v>1537</v>
      </c>
      <c r="B78" s="2"/>
    </row>
    <row r="79" customFormat="false" ht="15" hidden="false" customHeight="false" outlineLevel="0" collapsed="false">
      <c r="A79" s="84" t="s">
        <v>1538</v>
      </c>
      <c r="B79" s="20" t="s">
        <v>1539</v>
      </c>
    </row>
    <row r="80" customFormat="false" ht="15" hidden="false" customHeight="false" outlineLevel="0" collapsed="false">
      <c r="A80" s="84" t="s">
        <v>1540</v>
      </c>
      <c r="B80" s="20" t="s">
        <v>1541</v>
      </c>
    </row>
    <row r="81" customFormat="false" ht="23.85" hidden="false" customHeight="false" outlineLevel="0" collapsed="false">
      <c r="A81" s="84" t="s">
        <v>1542</v>
      </c>
      <c r="B81" s="20" t="s">
        <v>1543</v>
      </c>
    </row>
    <row r="82" customFormat="false" ht="23.85" hidden="false" customHeight="false" outlineLevel="0" collapsed="false">
      <c r="A82" s="84" t="s">
        <v>1544</v>
      </c>
      <c r="B82" s="20" t="s">
        <v>1545</v>
      </c>
    </row>
    <row r="84" customFormat="false" ht="15" hidden="false" customHeight="true" outlineLevel="0" collapsed="false">
      <c r="A84" s="2" t="s">
        <v>1546</v>
      </c>
      <c r="B84" s="2"/>
    </row>
    <row r="85" customFormat="false" ht="23.85" hidden="false" customHeight="false" outlineLevel="0" collapsed="false">
      <c r="A85" s="84" t="s">
        <v>1547</v>
      </c>
      <c r="B85" s="20" t="s">
        <v>1548</v>
      </c>
    </row>
    <row r="86" customFormat="false" ht="15" hidden="false" customHeight="false" outlineLevel="0" collapsed="false">
      <c r="A86" s="84" t="s">
        <v>1549</v>
      </c>
      <c r="B86" s="20" t="s">
        <v>1550</v>
      </c>
    </row>
    <row r="87" customFormat="false" ht="15" hidden="false" customHeight="false" outlineLevel="0" collapsed="false">
      <c r="A87" s="84" t="s">
        <v>1551</v>
      </c>
      <c r="B87" s="20" t="s">
        <v>1552</v>
      </c>
    </row>
    <row r="88" customFormat="false" ht="15" hidden="false" customHeight="false" outlineLevel="0" collapsed="false">
      <c r="A88" s="84" t="s">
        <v>1553</v>
      </c>
      <c r="B88" s="20" t="s">
        <v>1554</v>
      </c>
    </row>
    <row r="89" customFormat="false" ht="15" hidden="false" customHeight="false" outlineLevel="0" collapsed="false">
      <c r="A89" s="84" t="s">
        <v>1555</v>
      </c>
      <c r="B89" s="20" t="s">
        <v>1556</v>
      </c>
    </row>
    <row r="90" customFormat="false" ht="15" hidden="false" customHeight="false" outlineLevel="0" collapsed="false">
      <c r="A90" s="84" t="s">
        <v>1557</v>
      </c>
      <c r="B90" s="20" t="s">
        <v>1558</v>
      </c>
    </row>
    <row r="92" customFormat="false" ht="15" hidden="false" customHeight="true" outlineLevel="0" collapsed="false">
      <c r="A92" s="2" t="s">
        <v>1559</v>
      </c>
      <c r="B92" s="2"/>
    </row>
    <row r="93" customFormat="false" ht="15" hidden="false" customHeight="false" outlineLevel="0" collapsed="false">
      <c r="A93" s="84" t="s">
        <v>1560</v>
      </c>
      <c r="B93" s="85" t="n">
        <f aca="false">Ведомость!P847</f>
        <v>32591.57317</v>
      </c>
    </row>
    <row r="94" customFormat="false" ht="15" hidden="false" customHeight="false" outlineLevel="0" collapsed="false">
      <c r="A94" s="84" t="s">
        <v>1561</v>
      </c>
      <c r="B94" s="85" t="n">
        <f aca="false">Ведомость!P848</f>
        <v>29955.042322</v>
      </c>
    </row>
    <row r="95" customFormat="false" ht="15" hidden="false" customHeight="false" outlineLevel="0" collapsed="false">
      <c r="A95" s="84" t="s">
        <v>1562</v>
      </c>
      <c r="B95" s="85" t="n">
        <f aca="false">Ведомость!P849</f>
        <v>62546.615492</v>
      </c>
    </row>
    <row r="96" customFormat="false" ht="15" hidden="false" customHeight="false" outlineLevel="0" collapsed="false">
      <c r="A96" s="84" t="s">
        <v>1563</v>
      </c>
      <c r="B96" s="86" t="n">
        <f aca="false">ABS('По осям'!AI28)+ABS('По осям'!AI74)+ABS(потребность!I25)+ABS('Сверка ПТО'!H47)+ABS('Раскрой 11,7м'!F422)+ABS('Раскрой 11,7м'!F443)</f>
        <v>0</v>
      </c>
    </row>
    <row r="98" customFormat="false" ht="15" hidden="false" customHeight="false" outlineLevel="0" collapsed="false">
      <c r="A98" s="84" t="s">
        <v>1564</v>
      </c>
      <c r="B98" s="20" t="s">
        <v>1565</v>
      </c>
    </row>
    <row r="100" customFormat="false" ht="15" hidden="false" customHeight="true" outlineLevel="0" collapsed="false">
      <c r="A100" s="2" t="s">
        <v>1566</v>
      </c>
      <c r="B100" s="2"/>
    </row>
    <row r="101" customFormat="false" ht="15" hidden="false" customHeight="false" outlineLevel="0" collapsed="false">
      <c r="A101" s="4" t="s">
        <v>1567</v>
      </c>
      <c r="B101" s="4" t="s">
        <v>1568</v>
      </c>
    </row>
    <row r="102" customFormat="false" ht="15" hidden="false" customHeight="false" outlineLevel="0" collapsed="false">
      <c r="A102" s="20" t="s">
        <v>1569</v>
      </c>
      <c r="B102" s="20" t="s">
        <v>1570</v>
      </c>
    </row>
    <row r="103" customFormat="false" ht="15" hidden="false" customHeight="false" outlineLevel="0" collapsed="false">
      <c r="A103" s="20" t="s">
        <v>1569</v>
      </c>
      <c r="B103" s="20" t="s">
        <v>1571</v>
      </c>
    </row>
    <row r="104" customFormat="false" ht="15" hidden="false" customHeight="false" outlineLevel="0" collapsed="false">
      <c r="A104" s="20" t="s">
        <v>1569</v>
      </c>
      <c r="B104" s="20" t="s">
        <v>1570</v>
      </c>
    </row>
    <row r="105" customFormat="false" ht="15" hidden="false" customHeight="false" outlineLevel="0" collapsed="false">
      <c r="A105" s="20" t="s">
        <v>1572</v>
      </c>
      <c r="B105" s="20" t="s">
        <v>1570</v>
      </c>
    </row>
    <row r="106" customFormat="false" ht="15" hidden="false" customHeight="false" outlineLevel="0" collapsed="false">
      <c r="A106" s="20" t="s">
        <v>1572</v>
      </c>
      <c r="B106" s="20" t="s">
        <v>1571</v>
      </c>
    </row>
    <row r="107" customFormat="false" ht="15" hidden="false" customHeight="false" outlineLevel="0" collapsed="false">
      <c r="A107" s="20" t="s">
        <v>1572</v>
      </c>
      <c r="B107" s="20" t="s">
        <v>1570</v>
      </c>
    </row>
    <row r="108" customFormat="false" ht="15" hidden="false" customHeight="false" outlineLevel="0" collapsed="false">
      <c r="A108" s="20" t="s">
        <v>1573</v>
      </c>
      <c r="B108" s="20" t="s">
        <v>1570</v>
      </c>
    </row>
    <row r="109" customFormat="false" ht="15" hidden="false" customHeight="false" outlineLevel="0" collapsed="false">
      <c r="A109" s="20" t="s">
        <v>1573</v>
      </c>
      <c r="B109" s="20" t="s">
        <v>1571</v>
      </c>
    </row>
    <row r="110" customFormat="false" ht="15" hidden="false" customHeight="false" outlineLevel="0" collapsed="false">
      <c r="A110" s="20" t="s">
        <v>1573</v>
      </c>
      <c r="B110" s="20" t="s">
        <v>1570</v>
      </c>
    </row>
    <row r="111" customFormat="false" ht="15" hidden="false" customHeight="false" outlineLevel="0" collapsed="false">
      <c r="A111" s="20" t="s">
        <v>1574</v>
      </c>
      <c r="B111" s="20" t="s">
        <v>1570</v>
      </c>
    </row>
    <row r="112" customFormat="false" ht="15" hidden="false" customHeight="false" outlineLevel="0" collapsed="false">
      <c r="A112" s="20" t="s">
        <v>1574</v>
      </c>
      <c r="B112" s="20" t="s">
        <v>1571</v>
      </c>
    </row>
    <row r="113" customFormat="false" ht="15" hidden="false" customHeight="false" outlineLevel="0" collapsed="false">
      <c r="A113" s="20" t="s">
        <v>1575</v>
      </c>
      <c r="B113" s="20" t="s">
        <v>1576</v>
      </c>
    </row>
    <row r="114" customFormat="false" ht="15" hidden="false" customHeight="false" outlineLevel="0" collapsed="false">
      <c r="A114" s="20" t="s">
        <v>1575</v>
      </c>
      <c r="B114" s="20" t="s">
        <v>1571</v>
      </c>
    </row>
    <row r="115" customFormat="false" ht="15" hidden="false" customHeight="false" outlineLevel="0" collapsed="false">
      <c r="A115" s="20" t="s">
        <v>1575</v>
      </c>
      <c r="B115" s="20" t="s">
        <v>1570</v>
      </c>
    </row>
    <row r="116" customFormat="false" ht="15" hidden="false" customHeight="false" outlineLevel="0" collapsed="false">
      <c r="A116" s="20" t="s">
        <v>1575</v>
      </c>
      <c r="B116" s="20" t="s">
        <v>1577</v>
      </c>
    </row>
    <row r="117" customFormat="false" ht="15" hidden="false" customHeight="false" outlineLevel="0" collapsed="false">
      <c r="A117" s="20" t="s">
        <v>1578</v>
      </c>
      <c r="B117" s="20" t="s">
        <v>1576</v>
      </c>
    </row>
    <row r="118" customFormat="false" ht="15" hidden="false" customHeight="false" outlineLevel="0" collapsed="false">
      <c r="A118" s="20" t="s">
        <v>1578</v>
      </c>
      <c r="B118" s="20" t="s">
        <v>1571</v>
      </c>
    </row>
    <row r="119" customFormat="false" ht="15" hidden="false" customHeight="false" outlineLevel="0" collapsed="false">
      <c r="A119" s="20" t="s">
        <v>1578</v>
      </c>
      <c r="B119" s="20" t="s">
        <v>1570</v>
      </c>
    </row>
    <row r="120" customFormat="false" ht="15" hidden="false" customHeight="false" outlineLevel="0" collapsed="false">
      <c r="A120" s="20" t="s">
        <v>1578</v>
      </c>
      <c r="B120" s="20" t="s">
        <v>1577</v>
      </c>
    </row>
    <row r="121" customFormat="false" ht="15" hidden="false" customHeight="false" outlineLevel="0" collapsed="false">
      <c r="A121" s="20" t="s">
        <v>1579</v>
      </c>
      <c r="B121" s="20" t="s">
        <v>1576</v>
      </c>
    </row>
    <row r="122" customFormat="false" ht="15" hidden="false" customHeight="false" outlineLevel="0" collapsed="false">
      <c r="A122" s="20" t="s">
        <v>1579</v>
      </c>
      <c r="B122" s="20" t="s">
        <v>1571</v>
      </c>
    </row>
    <row r="123" customFormat="false" ht="15" hidden="false" customHeight="false" outlineLevel="0" collapsed="false">
      <c r="A123" s="20" t="s">
        <v>1580</v>
      </c>
      <c r="B123" s="20" t="s">
        <v>1581</v>
      </c>
    </row>
    <row r="124" customFormat="false" ht="15" hidden="false" customHeight="false" outlineLevel="0" collapsed="false">
      <c r="A124" s="20" t="s">
        <v>1582</v>
      </c>
      <c r="B124" s="20" t="s">
        <v>1577</v>
      </c>
    </row>
    <row r="125" customFormat="false" ht="15" hidden="false" customHeight="false" outlineLevel="0" collapsed="false">
      <c r="A125" s="20" t="s">
        <v>1583</v>
      </c>
      <c r="B125" s="20" t="s">
        <v>1584</v>
      </c>
    </row>
    <row r="126" customFormat="false" ht="15" hidden="false" customHeight="false" outlineLevel="0" collapsed="false">
      <c r="A126" s="20" t="s">
        <v>1585</v>
      </c>
      <c r="B126" s="20" t="s">
        <v>1586</v>
      </c>
    </row>
    <row r="127" customFormat="false" ht="15" hidden="false" customHeight="false" outlineLevel="0" collapsed="false">
      <c r="A127" s="20" t="s">
        <v>1587</v>
      </c>
      <c r="B127" s="20" t="s">
        <v>1588</v>
      </c>
    </row>
    <row r="128" customFormat="false" ht="15" hidden="false" customHeight="false" outlineLevel="0" collapsed="false">
      <c r="A128" s="20" t="s">
        <v>1589</v>
      </c>
      <c r="B128" s="20" t="s">
        <v>1584</v>
      </c>
    </row>
    <row r="129" customFormat="false" ht="15" hidden="false" customHeight="false" outlineLevel="0" collapsed="false">
      <c r="A129" s="20" t="s">
        <v>1590</v>
      </c>
      <c r="B129" s="20" t="s">
        <v>1591</v>
      </c>
    </row>
    <row r="130" customFormat="false" ht="15" hidden="false" customHeight="false" outlineLevel="0" collapsed="false">
      <c r="A130" s="20" t="s">
        <v>1592</v>
      </c>
      <c r="B130" s="20" t="s">
        <v>1593</v>
      </c>
    </row>
    <row r="131" customFormat="false" ht="15" hidden="false" customHeight="false" outlineLevel="0" collapsed="false">
      <c r="A131" s="20" t="s">
        <v>1594</v>
      </c>
      <c r="B131" s="20" t="s">
        <v>1595</v>
      </c>
    </row>
    <row r="132" customFormat="false" ht="15" hidden="false" customHeight="false" outlineLevel="0" collapsed="false">
      <c r="A132" s="20" t="s">
        <v>1594</v>
      </c>
      <c r="B132" s="20" t="s">
        <v>1596</v>
      </c>
    </row>
    <row r="133" customFormat="false" ht="15" hidden="false" customHeight="false" outlineLevel="0" collapsed="false">
      <c r="A133" s="20" t="s">
        <v>1594</v>
      </c>
      <c r="B133" s="20" t="s">
        <v>1595</v>
      </c>
    </row>
    <row r="134" customFormat="false" ht="15" hidden="false" customHeight="false" outlineLevel="0" collapsed="false">
      <c r="A134" s="20" t="s">
        <v>1597</v>
      </c>
      <c r="B134" s="20" t="s">
        <v>1595</v>
      </c>
    </row>
    <row r="135" customFormat="false" ht="15" hidden="false" customHeight="false" outlineLevel="0" collapsed="false">
      <c r="A135" s="20" t="s">
        <v>1597</v>
      </c>
      <c r="B135" s="20" t="s">
        <v>1596</v>
      </c>
    </row>
    <row r="136" customFormat="false" ht="15" hidden="false" customHeight="false" outlineLevel="0" collapsed="false">
      <c r="A136" s="20" t="s">
        <v>1597</v>
      </c>
      <c r="B136" s="20" t="s">
        <v>1595</v>
      </c>
    </row>
    <row r="137" customFormat="false" ht="15" hidden="false" customHeight="false" outlineLevel="0" collapsed="false">
      <c r="A137" s="20" t="s">
        <v>1598</v>
      </c>
      <c r="B137" s="20" t="s">
        <v>1595</v>
      </c>
    </row>
    <row r="138" customFormat="false" ht="15" hidden="false" customHeight="false" outlineLevel="0" collapsed="false">
      <c r="A138" s="20" t="s">
        <v>1598</v>
      </c>
      <c r="B138" s="20" t="s">
        <v>1599</v>
      </c>
    </row>
    <row r="139" customFormat="false" ht="15" hidden="false" customHeight="false" outlineLevel="0" collapsed="false">
      <c r="A139" s="20" t="s">
        <v>1598</v>
      </c>
      <c r="B139" s="20" t="s">
        <v>1595</v>
      </c>
    </row>
    <row r="140" customFormat="false" ht="15" hidden="false" customHeight="false" outlineLevel="0" collapsed="false">
      <c r="A140" s="20" t="s">
        <v>1600</v>
      </c>
      <c r="B140" s="20" t="s">
        <v>1595</v>
      </c>
    </row>
    <row r="141" customFormat="false" ht="15" hidden="false" customHeight="false" outlineLevel="0" collapsed="false">
      <c r="A141" s="20" t="s">
        <v>1600</v>
      </c>
      <c r="B141" s="20" t="s">
        <v>1601</v>
      </c>
    </row>
    <row r="142" customFormat="false" ht="15" hidden="false" customHeight="false" outlineLevel="0" collapsed="false">
      <c r="A142" s="20" t="s">
        <v>1600</v>
      </c>
      <c r="B142" s="20" t="s">
        <v>1601</v>
      </c>
    </row>
    <row r="143" customFormat="false" ht="15" hidden="false" customHeight="false" outlineLevel="0" collapsed="false">
      <c r="A143" s="20" t="s">
        <v>1600</v>
      </c>
      <c r="B143" s="20" t="s">
        <v>1595</v>
      </c>
    </row>
    <row r="144" customFormat="false" ht="15" hidden="false" customHeight="false" outlineLevel="0" collapsed="false">
      <c r="A144" s="20" t="s">
        <v>1600</v>
      </c>
      <c r="B144" s="20" t="s">
        <v>1595</v>
      </c>
    </row>
    <row r="146" customFormat="false" ht="15" hidden="false" customHeight="true" outlineLevel="0" collapsed="false">
      <c r="A146" s="2" t="s">
        <v>1602</v>
      </c>
      <c r="B146" s="2"/>
    </row>
    <row r="147" customFormat="false" ht="15" hidden="false" customHeight="false" outlineLevel="0" collapsed="false">
      <c r="A147" s="4" t="s">
        <v>1567</v>
      </c>
      <c r="B147" s="4" t="s">
        <v>1568</v>
      </c>
    </row>
    <row r="148" customFormat="false" ht="15" hidden="false" customHeight="false" outlineLevel="0" collapsed="false">
      <c r="A148" s="20" t="s">
        <v>1569</v>
      </c>
      <c r="B148" s="20" t="s">
        <v>1570</v>
      </c>
    </row>
    <row r="149" customFormat="false" ht="15" hidden="false" customHeight="false" outlineLevel="0" collapsed="false">
      <c r="A149" s="20" t="s">
        <v>1569</v>
      </c>
      <c r="B149" s="20" t="s">
        <v>1571</v>
      </c>
    </row>
    <row r="150" customFormat="false" ht="15" hidden="false" customHeight="false" outlineLevel="0" collapsed="false">
      <c r="A150" s="20" t="s">
        <v>1569</v>
      </c>
      <c r="B150" s="20" t="s">
        <v>1570</v>
      </c>
    </row>
    <row r="151" customFormat="false" ht="15" hidden="false" customHeight="false" outlineLevel="0" collapsed="false">
      <c r="A151" s="20" t="s">
        <v>1572</v>
      </c>
      <c r="B151" s="20" t="s">
        <v>1570</v>
      </c>
    </row>
    <row r="152" customFormat="false" ht="15" hidden="false" customHeight="false" outlineLevel="0" collapsed="false">
      <c r="A152" s="20" t="s">
        <v>1572</v>
      </c>
      <c r="B152" s="20" t="s">
        <v>1571</v>
      </c>
    </row>
    <row r="153" customFormat="false" ht="15" hidden="false" customHeight="false" outlineLevel="0" collapsed="false">
      <c r="A153" s="20" t="s">
        <v>1572</v>
      </c>
      <c r="B153" s="20" t="s">
        <v>1570</v>
      </c>
    </row>
    <row r="154" customFormat="false" ht="15" hidden="false" customHeight="false" outlineLevel="0" collapsed="false">
      <c r="A154" s="20" t="s">
        <v>1573</v>
      </c>
      <c r="B154" s="20" t="s">
        <v>1570</v>
      </c>
    </row>
    <row r="155" customFormat="false" ht="15" hidden="false" customHeight="false" outlineLevel="0" collapsed="false">
      <c r="A155" s="20" t="s">
        <v>1573</v>
      </c>
      <c r="B155" s="20" t="s">
        <v>1571</v>
      </c>
    </row>
    <row r="156" customFormat="false" ht="15" hidden="false" customHeight="false" outlineLevel="0" collapsed="false">
      <c r="A156" s="20" t="s">
        <v>1573</v>
      </c>
      <c r="B156" s="20" t="s">
        <v>1570</v>
      </c>
    </row>
    <row r="157" customFormat="false" ht="15" hidden="false" customHeight="false" outlineLevel="0" collapsed="false">
      <c r="A157" s="20" t="s">
        <v>1574</v>
      </c>
      <c r="B157" s="20" t="s">
        <v>1570</v>
      </c>
    </row>
    <row r="158" customFormat="false" ht="15" hidden="false" customHeight="false" outlineLevel="0" collapsed="false">
      <c r="A158" s="20" t="s">
        <v>1574</v>
      </c>
      <c r="B158" s="20" t="s">
        <v>1571</v>
      </c>
    </row>
    <row r="159" customFormat="false" ht="15" hidden="false" customHeight="false" outlineLevel="0" collapsed="false">
      <c r="A159" s="20" t="s">
        <v>1575</v>
      </c>
      <c r="B159" s="20" t="s">
        <v>1576</v>
      </c>
    </row>
    <row r="160" customFormat="false" ht="15" hidden="false" customHeight="false" outlineLevel="0" collapsed="false">
      <c r="A160" s="20" t="s">
        <v>1575</v>
      </c>
      <c r="B160" s="20" t="s">
        <v>1571</v>
      </c>
    </row>
    <row r="161" customFormat="false" ht="15" hidden="false" customHeight="false" outlineLevel="0" collapsed="false">
      <c r="A161" s="20" t="s">
        <v>1575</v>
      </c>
      <c r="B161" s="20" t="s">
        <v>1570</v>
      </c>
    </row>
    <row r="162" customFormat="false" ht="15" hidden="false" customHeight="false" outlineLevel="0" collapsed="false">
      <c r="A162" s="20" t="s">
        <v>1575</v>
      </c>
      <c r="B162" s="20" t="s">
        <v>1577</v>
      </c>
    </row>
    <row r="163" customFormat="false" ht="15" hidden="false" customHeight="false" outlineLevel="0" collapsed="false">
      <c r="A163" s="20" t="s">
        <v>1578</v>
      </c>
      <c r="B163" s="20" t="s">
        <v>1576</v>
      </c>
    </row>
    <row r="164" customFormat="false" ht="15" hidden="false" customHeight="false" outlineLevel="0" collapsed="false">
      <c r="A164" s="20" t="s">
        <v>1578</v>
      </c>
      <c r="B164" s="20" t="s">
        <v>1571</v>
      </c>
    </row>
    <row r="165" customFormat="false" ht="15" hidden="false" customHeight="false" outlineLevel="0" collapsed="false">
      <c r="A165" s="20" t="s">
        <v>1578</v>
      </c>
      <c r="B165" s="20" t="s">
        <v>1570</v>
      </c>
    </row>
    <row r="166" customFormat="false" ht="15" hidden="false" customHeight="false" outlineLevel="0" collapsed="false">
      <c r="A166" s="20" t="s">
        <v>1578</v>
      </c>
      <c r="B166" s="20" t="s">
        <v>1577</v>
      </c>
    </row>
    <row r="167" customFormat="false" ht="15" hidden="false" customHeight="false" outlineLevel="0" collapsed="false">
      <c r="A167" s="20" t="s">
        <v>1579</v>
      </c>
      <c r="B167" s="20" t="s">
        <v>1576</v>
      </c>
    </row>
    <row r="168" customFormat="false" ht="15" hidden="false" customHeight="false" outlineLevel="0" collapsed="false">
      <c r="A168" s="20" t="s">
        <v>1579</v>
      </c>
      <c r="B168" s="20" t="s">
        <v>1571</v>
      </c>
    </row>
    <row r="169" customFormat="false" ht="15" hidden="false" customHeight="false" outlineLevel="0" collapsed="false">
      <c r="A169" s="20" t="s">
        <v>1580</v>
      </c>
      <c r="B169" s="20" t="s">
        <v>1581</v>
      </c>
    </row>
    <row r="170" customFormat="false" ht="15" hidden="false" customHeight="false" outlineLevel="0" collapsed="false">
      <c r="A170" s="20" t="s">
        <v>1582</v>
      </c>
      <c r="B170" s="20" t="s">
        <v>1577</v>
      </c>
    </row>
    <row r="171" customFormat="false" ht="15" hidden="false" customHeight="false" outlineLevel="0" collapsed="false">
      <c r="A171" s="20" t="s">
        <v>1583</v>
      </c>
      <c r="B171" s="20" t="s">
        <v>1584</v>
      </c>
    </row>
    <row r="172" customFormat="false" ht="15" hidden="false" customHeight="false" outlineLevel="0" collapsed="false">
      <c r="A172" s="20" t="s">
        <v>1585</v>
      </c>
      <c r="B172" s="20" t="s">
        <v>1586</v>
      </c>
    </row>
    <row r="173" customFormat="false" ht="15" hidden="false" customHeight="false" outlineLevel="0" collapsed="false">
      <c r="A173" s="20" t="s">
        <v>1587</v>
      </c>
      <c r="B173" s="20" t="s">
        <v>1588</v>
      </c>
    </row>
    <row r="174" customFormat="false" ht="15" hidden="false" customHeight="false" outlineLevel="0" collapsed="false">
      <c r="A174" s="20" t="s">
        <v>1589</v>
      </c>
      <c r="B174" s="20" t="s">
        <v>1584</v>
      </c>
    </row>
    <row r="175" customFormat="false" ht="15" hidden="false" customHeight="false" outlineLevel="0" collapsed="false">
      <c r="A175" s="20" t="s">
        <v>1590</v>
      </c>
      <c r="B175" s="20" t="s">
        <v>1591</v>
      </c>
    </row>
    <row r="176" customFormat="false" ht="15" hidden="false" customHeight="false" outlineLevel="0" collapsed="false">
      <c r="A176" s="20" t="s">
        <v>1592</v>
      </c>
      <c r="B176" s="20" t="s">
        <v>1593</v>
      </c>
    </row>
    <row r="177" customFormat="false" ht="15" hidden="false" customHeight="false" outlineLevel="0" collapsed="false">
      <c r="A177" s="20" t="s">
        <v>1603</v>
      </c>
      <c r="B177" s="20" t="s">
        <v>1604</v>
      </c>
    </row>
    <row r="178" customFormat="false" ht="15" hidden="false" customHeight="false" outlineLevel="0" collapsed="false">
      <c r="A178" s="20" t="s">
        <v>1594</v>
      </c>
      <c r="B178" s="20" t="s">
        <v>1595</v>
      </c>
    </row>
    <row r="179" customFormat="false" ht="15" hidden="false" customHeight="false" outlineLevel="0" collapsed="false">
      <c r="A179" s="20" t="s">
        <v>1594</v>
      </c>
      <c r="B179" s="20" t="s">
        <v>1596</v>
      </c>
    </row>
    <row r="180" customFormat="false" ht="15" hidden="false" customHeight="false" outlineLevel="0" collapsed="false">
      <c r="A180" s="20" t="s">
        <v>1594</v>
      </c>
      <c r="B180" s="20" t="s">
        <v>1595</v>
      </c>
    </row>
    <row r="181" customFormat="false" ht="15" hidden="false" customHeight="false" outlineLevel="0" collapsed="false">
      <c r="A181" s="20" t="s">
        <v>1597</v>
      </c>
      <c r="B181" s="20" t="s">
        <v>1595</v>
      </c>
    </row>
    <row r="182" customFormat="false" ht="15" hidden="false" customHeight="false" outlineLevel="0" collapsed="false">
      <c r="A182" s="20" t="s">
        <v>1597</v>
      </c>
      <c r="B182" s="20" t="s">
        <v>1596</v>
      </c>
    </row>
    <row r="183" customFormat="false" ht="15" hidden="false" customHeight="false" outlineLevel="0" collapsed="false">
      <c r="A183" s="20" t="s">
        <v>1597</v>
      </c>
      <c r="B183" s="20" t="s">
        <v>1595</v>
      </c>
    </row>
    <row r="184" customFormat="false" ht="15" hidden="false" customHeight="false" outlineLevel="0" collapsed="false">
      <c r="A184" s="20" t="s">
        <v>1598</v>
      </c>
      <c r="B184" s="20" t="s">
        <v>1595</v>
      </c>
    </row>
    <row r="185" customFormat="false" ht="15" hidden="false" customHeight="false" outlineLevel="0" collapsed="false">
      <c r="A185" s="20" t="s">
        <v>1598</v>
      </c>
      <c r="B185" s="20" t="s">
        <v>1599</v>
      </c>
    </row>
    <row r="186" customFormat="false" ht="15" hidden="false" customHeight="false" outlineLevel="0" collapsed="false">
      <c r="A186" s="20" t="s">
        <v>1598</v>
      </c>
      <c r="B186" s="20" t="s">
        <v>1595</v>
      </c>
    </row>
    <row r="187" customFormat="false" ht="15" hidden="false" customHeight="false" outlineLevel="0" collapsed="false">
      <c r="A187" s="20" t="s">
        <v>1600</v>
      </c>
      <c r="B187" s="20" t="s">
        <v>1595</v>
      </c>
    </row>
    <row r="188" customFormat="false" ht="15" hidden="false" customHeight="false" outlineLevel="0" collapsed="false">
      <c r="A188" s="20" t="s">
        <v>1600</v>
      </c>
      <c r="B188" s="20" t="s">
        <v>1601</v>
      </c>
    </row>
    <row r="189" customFormat="false" ht="15" hidden="false" customHeight="false" outlineLevel="0" collapsed="false">
      <c r="A189" s="20" t="s">
        <v>1600</v>
      </c>
      <c r="B189" s="20" t="s">
        <v>1601</v>
      </c>
    </row>
    <row r="190" customFormat="false" ht="15" hidden="false" customHeight="false" outlineLevel="0" collapsed="false">
      <c r="A190" s="20" t="s">
        <v>1600</v>
      </c>
      <c r="B190" s="20" t="s">
        <v>1595</v>
      </c>
    </row>
    <row r="191" customFormat="false" ht="15" hidden="false" customHeight="false" outlineLevel="0" collapsed="false">
      <c r="A191" s="20" t="s">
        <v>1600</v>
      </c>
      <c r="B191" s="20" t="s">
        <v>1595</v>
      </c>
    </row>
  </sheetData>
  <mergeCells count="9">
    <mergeCell ref="A3:B3"/>
    <mergeCell ref="A17:B17"/>
    <mergeCell ref="A36:B36"/>
    <mergeCell ref="A63:B63"/>
    <mergeCell ref="A78:B78"/>
    <mergeCell ref="A84:B84"/>
    <mergeCell ref="A92:B92"/>
    <mergeCell ref="A100:B100"/>
    <mergeCell ref="A146:B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2026-10-07T04:24:31Z</dcterms:created>
  <dc:creator>openpyxl</dc:creator>
  <dc:description/>
  <dc:language>en-US</dc:language>
  <cp:lastModifiedBy/>
  <dcterms:modified xsi:type="dcterms:W3CDTF">2026-10-07T04:24:32Z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