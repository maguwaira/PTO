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1 этаж" sheetId="2" state="visible" r:id="rId4"/>
    <sheet name="Исходные" sheetId="3" state="visible" r:id="rId5"/>
    <sheet name="Ведомость" sheetId="4" state="visible" r:id="rId6"/>
    <sheet name="Раскрой 11,7м" sheetId="5" state="visible" r:id="rId7"/>
    <sheet name="Проверки" sheetId="6" state="visible" r:id="rId8"/>
  </sheets>
  <definedNames>
    <definedName function="false" hidden="false" localSheetId="1" name="_xlnm.Print_Titles" vbProcedure="false">'1 этаж'!$4:$6</definedName>
    <definedName function="false" hidden="false" localSheetId="3" name="_xlnm.Print_Titles" vbProcedure="false">Ведомость!$4:$4</definedName>
    <definedName function="false" hidden="true" localSheetId="3" name="_xlnm._FilterDatabase" vbProcedure="false">Ведомость!$A$4:$V$212</definedName>
    <definedName function="false" hidden="false" localSheetId="4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8" authorId="0">
      <text>
        <r>
          <rPr>
            <sz val="10"/>
            <rFont val="Arial"/>
            <family val="2"/>
          </rPr>
          <t xml:space="preserve">Дм: (колонна 600×600 + полки 700×400 + ребро ×400) × (4,0 − 0,12 плита). Сечения 1-1 АС-34…41.</t>
        </r>
      </text>
    </comment>
    <comment ref="G28" authorId="0">
      <text>
        <r>
          <rPr>
            <sz val="10"/>
            <rFont val="Arial"/>
            <family val="2"/>
          </rPr>
          <t xml:space="preserve">Рёбра балок ниже плиты: 1-1/2-2 — 137,85 м (чистые пролёты) × 0,3 × 0,18; 5-5 — 6,05 × 0,3 × 0,28; 4-4 — 11,71 × 0,2 × 0,18; 3-3 (эркеры) — 35,75 × 0,25 × 0,18.</t>
        </r>
      </text>
    </comment>
    <comment ref="G32" authorId="0">
      <text>
        <r>
          <rPr>
            <sz val="10"/>
            <rFont val="Arial"/>
            <family val="2"/>
          </rPr>
          <t xml:space="preserve">Анкерные шайбы «Аш-…» на концах балок (узел «1» АС-57) и ригелей (Б-Б АС-31): марка в проекте не указана — не считались. Требуется уточнение.</t>
        </r>
      </text>
    </comment>
    <comment ref="J28" authorId="0">
      <text>
        <r>
          <rPr>
            <sz val="10"/>
            <rFont val="Arial"/>
            <family val="2"/>
          </rPr>
          <t xml:space="preserve">Площадь плиты по контуру АС-47 за вычетом проёмов лестницы/лифта = 542.03 м² × 0,12 м. Ригели рам не входят.</t>
        </r>
      </text>
    </comment>
  </commentList>
</comments>
</file>

<file path=xl/sharedStrings.xml><?xml version="1.0" encoding="utf-8"?>
<sst xmlns="http://schemas.openxmlformats.org/spreadsheetml/2006/main" count="3134" uniqueCount="754">
  <si>
    <t xml:space="preserve">Блок 14, ул. Токомбаева</t>
  </si>
  <si>
    <t xml:space="preserve">Арматура</t>
  </si>
  <si>
    <t xml:space="preserve">Диаметр</t>
  </si>
  <si>
    <t xml:space="preserve">Ед. изм.</t>
  </si>
  <si>
    <t xml:space="preserve">1 этаж</t>
  </si>
  <si>
    <t xml:space="preserve">Итого</t>
  </si>
  <si>
    <t xml:space="preserve">Заказ (раскрой под прутки 11,7 м)</t>
  </si>
  <si>
    <t xml:space="preserve">Колонны, диафрагмы</t>
  </si>
  <si>
    <t xml:space="preserve">Плита перекрытия, балки</t>
  </si>
  <si>
    <t xml:space="preserve">Лестницы (ЛВ-1)</t>
  </si>
  <si>
    <t xml:space="preserve">Сетки-гребёнки С-1</t>
  </si>
  <si>
    <t xml:space="preserve">Прутков 11,7 м, шт</t>
  </si>
  <si>
    <t xml:space="preserve">Масса заказа,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</si>
  <si>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</si>
  <si>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</si>
  <si>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</si>
  <si>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</si>
  <si>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</si>
  <si>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</si>
  <si>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</si>
  <si>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</si>
  <si>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</si>
  <si>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</si>
  <si>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</si>
  <si>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</si>
  <si>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</si>
  <si>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</si>
  <si>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</si>
  <si>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</si>
  <si>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</si>
  <si>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Итого:</t>
  </si>
  <si>
    <t xml:space="preserve">т</t>
  </si>
  <si>
    <t xml:space="preserve">Контроль: итог = «1 этаж» и «Ведомость»</t>
  </si>
  <si>
    <t xml:space="preserve">← должно быть 0</t>
  </si>
  <si>
    <t xml:space="preserve">Бетон</t>
  </si>
  <si>
    <t xml:space="preserve">Марка</t>
  </si>
  <si>
    <t xml:space="preserve">В25</t>
  </si>
  <si>
    <t xml:space="preserve">м3</t>
  </si>
  <si>
    <t xml:space="preserve">Прочие материалы</t>
  </si>
  <si>
    <t xml:space="preserve">Наименование</t>
  </si>
  <si>
    <t xml:space="preserve">Анкерная шайба АШ-1 (14)</t>
  </si>
  <si>
    <t xml:space="preserve">шт.</t>
  </si>
  <si>
    <t xml:space="preserve">не считались</t>
  </si>
  <si>
    <t xml:space="preserve">Анкерная шайба АШ-2 (16)</t>
  </si>
  <si>
    <t xml:space="preserve">Анкерная шайба АШ-3 (18)</t>
  </si>
  <si>
    <t xml:space="preserve">Анкерная шайба АШ-4 (20)</t>
  </si>
  <si>
    <t xml:space="preserve">Анкерная шайба АШ-5 (22)</t>
  </si>
  <si>
    <t xml:space="preserve">Анкерная шайба АШ-6 (25)</t>
  </si>
  <si>
    <t xml:space="preserve">Анкерная шайба АШ-7 (28)</t>
  </si>
  <si>
    <t xml:space="preserve">Анкерная шайба АШ-8 (32)</t>
  </si>
  <si>
    <t xml:space="preserve">Ванночка d32 (стыков ванной сваркой)</t>
  </si>
  <si>
    <t xml:space="preserve">Ванночка d28 (стыков ванной сваркой)</t>
  </si>
  <si>
    <t xml:space="preserve">Ванночка d25 (стыков ванной сваркой)</t>
  </si>
  <si>
    <t xml:space="preserve">Ванночка d22 (стыков ванной сваркой)</t>
  </si>
  <si>
    <t xml:space="preserve">Ванночка d20 (стыков ванной сваркой)</t>
  </si>
  <si>
    <t xml:space="preserve">Примечания:</t>
  </si>
  <si>
    <t xml:space="preserve">1. Проектный расход — без запаса (К(зап)=1,00, лист «Исходные»). Заказ — по раскрою под прутки 11,7 м (лист «Раскрой 11,7м»).</t>
  </si>
  <si>
    <t xml:space="preserve">2. Лестница ЛВ-1 — листов армирования в предоставленном PDF нет, колонка пустая. Ригели рам не входят (в задании не запрошены).</t>
  </si>
  <si>
    <t xml:space="preserve">3. Сомнительные места и принятые допущения — лист «Проверки».</t>
  </si>
  <si>
    <t xml:space="preserve">Блок 14, ул. Токомбаева — 1 этаж: подсчёт арматуры по элементам (м.п. → кг)</t>
  </si>
  <si>
    <t xml:space="preserve">м.п. в каждой ячейке = SUMIFS из листа «Ведомость» по Ø, классу и колонке; кг/м — «Исходные»; Всего = м.п. × кг/м × К(зап)</t>
  </si>
  <si>
    <t xml:space="preserve">К(зап) арматура</t>
  </si>
  <si>
    <t xml:space="preserve">К(зап) бетон</t>
  </si>
  <si>
    <t xml:space="preserve">Диафрагмы</t>
  </si>
  <si>
    <t xml:space="preserve">Балки плиты</t>
  </si>
  <si>
    <t xml:space="preserve">Перекрытие +3.950</t>
  </si>
  <si>
    <t xml:space="preserve">Лестничный марш</t>
  </si>
  <si>
    <t xml:space="preserve">Сетки-гребёнки</t>
  </si>
  <si>
    <t xml:space="preserve">Ригели, балки, плита</t>
  </si>
  <si>
    <t xml:space="preserve">Лестницы</t>
  </si>
  <si>
    <t xml:space="preserve">Сетки С-1</t>
  </si>
  <si>
    <t xml:space="preserve">На отметке -0.050…+3.950</t>
  </si>
  <si>
    <t xml:space="preserve">По оси А / 4</t>
  </si>
  <si>
    <t xml:space="preserve">По оси А / 2</t>
  </si>
  <si>
    <t xml:space="preserve">По оси Г / 2</t>
  </si>
  <si>
    <t xml:space="preserve">По оси Г / 3</t>
  </si>
  <si>
    <t xml:space="preserve">По оси Г / 4</t>
  </si>
  <si>
    <t xml:space="preserve">Основная</t>
  </si>
  <si>
    <t xml:space="preserve">Хомуты</t>
  </si>
  <si>
    <t xml:space="preserve">Допник</t>
  </si>
  <si>
    <t xml:space="preserve">Шпильки, фиксаторы</t>
  </si>
  <si>
    <t xml:space="preserve">Отверстия</t>
  </si>
  <si>
    <t xml:space="preserve">Край</t>
  </si>
  <si>
    <t xml:space="preserve">ЛВ-1</t>
  </si>
  <si>
    <t xml:space="preserve">С-1</t>
  </si>
  <si>
    <t xml:space="preserve">Масса ед. кг</t>
  </si>
  <si>
    <t xml:space="preserve">Всего</t>
  </si>
  <si>
    <t xml:space="preserve">(1 этаж)</t>
  </si>
  <si>
    <t xml:space="preserve">Дм-1</t>
  </si>
  <si>
    <t xml:space="preserve">Дм-2</t>
  </si>
  <si>
    <t xml:space="preserve">Дм-3</t>
  </si>
  <si>
    <t xml:space="preserve">Дм-4</t>
  </si>
  <si>
    <t xml:space="preserve">Дм-5</t>
  </si>
  <si>
    <t xml:space="preserve">сеч.1-1…5-5</t>
  </si>
  <si>
    <t xml:space="preserve">поз.10–13</t>
  </si>
  <si>
    <t xml:space="preserve">Ø18 L=1200</t>
  </si>
  <si>
    <t xml:space="preserve">сетка Ø10/200 низ+верх</t>
  </si>
  <si>
    <t xml:space="preserve">ш.800</t>
  </si>
  <si>
    <t xml:space="preserve">—</t>
  </si>
  <si>
    <t xml:space="preserve">Низ</t>
  </si>
  <si>
    <t xml:space="preserve">Верх</t>
  </si>
  <si>
    <t xml:space="preserve">сеч.6-6</t>
  </si>
  <si>
    <t xml:space="preserve">нет чертежей</t>
  </si>
  <si>
    <t xml:space="preserve">240 шт</t>
  </si>
  <si>
    <t xml:space="preserve">(м.п.)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</si>
  <si>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</si>
  <si>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</si>
  <si>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</si>
  <si>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</si>
  <si>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22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</si>
  <si>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</si>
  <si>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</si>
  <si>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</si>
  <si>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14 А500С, L=м.п.</t>
  </si>
  <si>
    <t xml:space="preserve">Диаметр 12 А500С, L=м.п.</t>
  </si>
  <si>
    <t xml:space="preserve">Диаметр 10 А500С, L=м.п.</t>
  </si>
  <si>
    <t xml:space="preserve">Диаметр 8 А500С, L=м.п.</t>
  </si>
  <si>
    <t xml:space="preserve">Диаметр 12 А240, L=м.п.</t>
  </si>
  <si>
    <t xml:space="preserve">Диаметр 10 А240, L=м.п.</t>
  </si>
  <si>
    <t xml:space="preserve">Диаметр 8 А240, L=м.п.</t>
  </si>
  <si>
    <t xml:space="preserve">Диаметр 6 А240, L=м.п.</t>
  </si>
  <si>
    <t xml:space="preserve">Масса по элементу, кг</t>
  </si>
  <si>
    <t xml:space="preserve">Итого (кг):</t>
  </si>
  <si>
    <t xml:space="preserve">Итого (т):</t>
  </si>
  <si>
    <t xml:space="preserve">Контроль: Всего = итог «Ведомости» × К(зап)</t>
  </si>
  <si>
    <t xml:space="preserve">Бетон, (м3)</t>
  </si>
  <si>
    <t xml:space="preserve">Бетон В25, м3</t>
  </si>
  <si>
    <t xml:space="preserve">Удельный расход, кг/м³ (проверочный)</t>
  </si>
  <si>
    <t xml:space="preserve">Прочие материалы, (шт.)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</si>
  <si>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</si>
  <si>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</si>
  <si>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</si>
  <si>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</si>
  <si>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</si>
  <si>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</si>
  <si>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</si>
  <si>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</si>
  <si>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</si>
  <si>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</si>
  <si>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</si>
  <si>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</si>
  <si>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</si>
  <si>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Ванная сварка по проекту — «в инвентарных формах» (АС-32): число = кол-во стыков; Дм — 1 стык на каждый вертикальный стержень Ø≥20 на этаж; балки Ø25 длиной &gt;11,7 м — стыки прутков.</t>
  </si>
  <si>
    <t xml:space="preserve">Отверстия: отдельного армирования нет — проёмы лестницы/лифта обрамлены балками 2-2, 4-4, 5-5 (учтены в «Балки плиты»).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</si>
  <si>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</si>
  <si>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</si>
  <si>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</si>
  <si>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</si>
  <si>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</si>
  <si>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Этаж/отметка</t>
  </si>
  <si>
    <t xml:space="preserve">1 этаж: диафрагмы от -0.050 до +3.950; плита перекрытия на отм. +3.950 (над 1 этажом)</t>
  </si>
  <si>
    <t xml:space="preserve">Конструкции</t>
  </si>
  <si>
    <t xml:space="preserve">Диафрагмы Дм-1…Дм-5; плита перекрытия +3.950 (сетки, доп. стержни, край, балки плиты); сетки-гребёнки С-1; лестница ЛВ-1 (чертежей нет)</t>
  </si>
  <si>
    <t xml:space="preserve">Цель расчёта</t>
  </si>
  <si>
    <t xml:space="preserve">Чистый проектный расход + раскрой под прутки 11,7 м для заказа</t>
  </si>
  <si>
    <t xml:space="preserve">В25 (прим. АС-19, АС-34, АС-55)</t>
  </si>
  <si>
    <t xml:space="preserve">А500С, А240 по ГОСТ 34028-2016</t>
  </si>
  <si>
    <t xml:space="preserve">Параметры заказа (синим — вводимые значения)</t>
  </si>
  <si>
    <t xml:space="preserve">Длина стандартного прутка, м</t>
  </si>
  <si>
    <t xml:space="preserve">в образце 1,07; по заданию запас не добавляется (1,00). Умножает массы на листах «1 этаж» и «потребность»</t>
  </si>
  <si>
    <t xml:space="preserve">в образце 1,07; принято 1,00</t>
  </si>
  <si>
    <t xml:space="preserve">Теоретическая масса 1 м.п. (ГОСТ 34028-2016)</t>
  </si>
  <si>
    <t xml:space="preserve">Ø, мм</t>
  </si>
  <si>
    <t xml:space="preserve">кг/м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</si>
  <si>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</si>
  <si>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</si>
  <si>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</si>
  <si>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</si>
  <si>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</si>
  <si>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Дм)</t>
  </si>
  <si>
    <t xml:space="preserve">нахлёст с электродуговой сваркой однофланговыми швами Lшва=8d (АС-34 прим.1) → +8d к длине</t>
  </si>
  <si>
    <t xml:space="preserve">Выпуски вертикалей Дм</t>
  </si>
  <si>
    <t xml:space="preserve">перепуск 800 и 500 мм над перекрытием (АС-34 прим.3) → длина стержня на этаж = высота этажа 4,0 м</t>
  </si>
  <si>
    <t xml:space="preserve">Защитный слой</t>
  </si>
  <si>
    <t xml:space="preserve">сетки плиты — 20 мм до оси (сеч. АС-55); торцы стержней — 25 мм (по L=1950 доп. стержней полки 2000 мм)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</si>
  <si>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</si>
  <si>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</si>
  <si>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</si>
  <si>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</si>
  <si>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</si>
  <si>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</si>
  <si>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</si>
  <si>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</si>
  <si>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</si>
  <si>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</si>
  <si>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1–5</t>
  </si>
  <si>
    <t xml:space="preserve">сверка колонн/ригелей, узлы; ригели НЕ считались</t>
  </si>
  <si>
    <t xml:space="preserve">АС-28</t>
  </si>
  <si>
    <t xml:space="preserve">Сечения колонн 1-1…4-4, ведомость деталей</t>
  </si>
  <si>
    <t xml:space="preserve">хомуты колонн</t>
  </si>
  <si>
    <t xml:space="preserve">АС-29</t>
  </si>
  <si>
    <t xml:space="preserve">Узлы «1», «2», расстановка хомутов ригелей</t>
  </si>
  <si>
    <t xml:space="preserve">С-1 «попарно шаг 90», высота узла 630</t>
  </si>
  <si>
    <t xml:space="preserve">АС-30</t>
  </si>
  <si>
    <t xml:space="preserve">Узлы «3»,«4»,«5»; сетка-гребёнка С-1</t>
  </si>
  <si>
    <t xml:space="preserve">геометрия С-1 (7Ø10, 570 мм)</t>
  </si>
  <si>
    <t xml:space="preserve">АС-31</t>
  </si>
  <si>
    <t xml:space="preserve">Узлы «6»,«7»</t>
  </si>
  <si>
    <t xml:space="preserve">С-1 в узлах, узел ригель–диафрагма</t>
  </si>
  <si>
    <t xml:space="preserve">АС-32</t>
  </si>
  <si>
    <t xml:space="preserve">Схема расстановки хомутов колонн</t>
  </si>
  <si>
    <t xml:space="preserve">шаг хомутов колонн Дм (100×12 у опор)</t>
  </si>
  <si>
    <t xml:space="preserve">17–25</t>
  </si>
  <si>
    <t xml:space="preserve">АС-34…АС-42</t>
  </si>
  <si>
    <t xml:space="preserve">Дм-1…Дм-5: развертки, сечения, ведомость деталей</t>
  </si>
  <si>
    <t xml:space="preserve">вся арматура диафрагм</t>
  </si>
  <si>
    <t xml:space="preserve">АС-47</t>
  </si>
  <si>
    <t xml:space="preserve">План перекрытия на отм. 3.950</t>
  </si>
  <si>
    <t xml:space="preserve">контур плиты, проёмы, балки, доп. Ø20 L=3000</t>
  </si>
  <si>
    <t xml:space="preserve">АС-50</t>
  </si>
  <si>
    <t xml:space="preserve">Нижняя сетка перекрытия 3.950÷14.750</t>
  </si>
  <si>
    <t xml:space="preserve">осн. сетка, доп. нижние зоны</t>
  </si>
  <si>
    <t xml:space="preserve">АС-51</t>
  </si>
  <si>
    <t xml:space="preserve">Верхняя сетка перекрытия 3.950÷14.750</t>
  </si>
  <si>
    <t xml:space="preserve">доп. верхние зоны, Ø12</t>
  </si>
  <si>
    <t xml:space="preserve">АС-55</t>
  </si>
  <si>
    <t xml:space="preserve">Сечения 1-1…6-6, фрагмент армирования, примечания</t>
  </si>
  <si>
    <t xml:space="preserve">балки, край плиты, фиксаторы, шпильки</t>
  </si>
  <si>
    <t xml:space="preserve">АС-56</t>
  </si>
  <si>
    <t xml:space="preserve">Узлы «А»,«Б»,«В»</t>
  </si>
  <si>
    <t xml:space="preserve">угловые Ø18 L=1200, хомуты у ригелей</t>
  </si>
  <si>
    <t xml:space="preserve">АС-57</t>
  </si>
  <si>
    <t xml:space="preserve">Схема армирования балки, узлы «1»,«2»,«Г»,«Д»</t>
  </si>
  <si>
    <t xml:space="preserve">шаг хомутов, анкеровка, стыки 1/3 L</t>
  </si>
  <si>
    <t xml:space="preserve">АС-58</t>
  </si>
  <si>
    <t xml:space="preserve">Деталь стыка сетки, усиление отверстий, ведомость деталей</t>
  </si>
  <si>
    <t xml:space="preserve">нахлёсты, хомуты балок, пешки</t>
  </si>
  <si>
    <t xml:space="preserve">26–28, 30, 33, 34</t>
  </si>
  <si>
    <t xml:space="preserve">АС-43, 45, 46, 48, 52, 54</t>
  </si>
  <si>
    <t xml:space="preserve">Перекрытия -0.050, 7.550…21.750</t>
  </si>
  <si>
    <t xml:space="preserve">сверка (не 1 этаж)</t>
  </si>
  <si>
    <t xml:space="preserve">АС-59</t>
  </si>
  <si>
    <t xml:space="preserve">Схема усиления стен 1 этажа</t>
  </si>
  <si>
    <t xml:space="preserve">лестница видна, ЛВ-1 не детализирована</t>
  </si>
  <si>
    <t xml:space="preserve">АС-18</t>
  </si>
  <si>
    <t xml:space="preserve">Другой объект (адм. здание, ул. Турусбекова–Пушкина)</t>
  </si>
  <si>
    <t xml:space="preserve">НЕ относится к Блоку 14 — не использован</t>
  </si>
  <si>
    <t xml:space="preserve">Рабочая ведомость подсчёта арматуры — Блок 14, 1 этаж (Дм-1…Дм-5, плита +3.950, С-1, ЛВ-1)</t>
  </si>
  <si>
    <t xml:space="preserve">Общая длина = Кол-во элементов × Стержней в 1 элементе × Длина 1 шт.;  Масса = Общая длина × кг/м (кг/м — из листа «Исходные»). Синим — исходные данные из чертежей.</t>
  </si>
  <si>
    <t xml:space="preserve">№</t>
  </si>
  <si>
    <t xml:space="preserve">Конструкция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</si>
  <si>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</si>
  <si>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</si>
  <si>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</si>
  <si>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</si>
  <si>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</si>
  <si>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Класс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</si>
  <si>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</si>
  <si>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</si>
  <si>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</si>
  <si>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</si>
  <si>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Общая длина, м</t>
  </si>
  <si>
    <t xml:space="preserve">Масса, кг</t>
  </si>
  <si>
    <t xml:space="preserve">Основание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</si>
  <si>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</si>
  <si>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</si>
  <si>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</si>
  <si>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</si>
  <si>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Колонка листа «1 этаж»</t>
  </si>
  <si>
    <t xml:space="preserve">1. ДИАФРАГМЫ Дм-1…Дм-5, отм. -0.050…+3.950 (вертикали — сечения 1-1 «Подвал, 1 этаж»; горизонтали и доп. стержни — развертки)</t>
  </si>
  <si>
    <t xml:space="preserve">1 этаж (отм. -0.050…+3.950)</t>
  </si>
  <si>
    <t xml:space="preserve">А/4</t>
  </si>
  <si>
    <t xml:space="preserve">1</t>
  </si>
  <si>
    <t xml:space="preserve">Вертикальные: колонна, угловые</t>
  </si>
  <si>
    <t xml:space="preserve">А500С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</si>
  <si>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</si>
  <si>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</si>
  <si>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</si>
  <si>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</si>
  <si>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</si>
  <si>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</si>
  <si>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</si>
  <si>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</si>
  <si>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</si>
  <si>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</si>
  <si>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</si>
  <si>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</si>
  <si>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</si>
  <si>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</si>
  <si>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</si>
  <si>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</si>
  <si>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</si>
  <si>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</si>
  <si>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</si>
  <si>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</si>
  <si>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</si>
  <si>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</si>
  <si>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</si>
  <si>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</si>
  <si>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</si>
  <si>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</si>
  <si>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</si>
  <si>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</si>
  <si>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</si>
  <si>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</si>
  <si>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</si>
  <si>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</si>
  <si>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</si>
  <si>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А240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</si>
  <si>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</si>
  <si>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</si>
  <si>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</si>
  <si>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</si>
  <si>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</si>
  <si>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</si>
  <si>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</si>
  <si>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</si>
  <si>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</si>
  <si>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</si>
  <si>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</si>
  <si>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</si>
  <si>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</si>
  <si>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</si>
  <si>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</si>
  <si>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</si>
  <si>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</si>
  <si>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</si>
  <si>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</si>
  <si>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</si>
  <si>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</si>
  <si>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</si>
  <si>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</si>
  <si>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</si>
  <si>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</si>
  <si>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</si>
  <si>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</si>
  <si>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</si>
  <si>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</si>
  <si>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</si>
  <si>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</si>
  <si>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</si>
  <si>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</si>
  <si>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</si>
  <si>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</si>
  <si>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</si>
  <si>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</si>
  <si>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</si>
  <si>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</si>
  <si>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</si>
  <si>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</si>
  <si>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</si>
  <si>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</si>
  <si>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</si>
  <si>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</si>
  <si>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</si>
  <si>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</si>
  <si>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</si>
  <si>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</si>
  <si>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</si>
  <si>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</si>
  <si>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</si>
  <si>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</si>
  <si>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</si>
  <si>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</si>
  <si>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</si>
  <si>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</si>
  <si>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</si>
  <si>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</si>
  <si>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</si>
  <si>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</si>
  <si>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</si>
  <si>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</si>
  <si>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</si>
  <si>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</si>
  <si>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</si>
  <si>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</si>
  <si>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</si>
  <si>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</si>
  <si>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</si>
  <si>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</si>
  <si>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</si>
  <si>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</si>
  <si>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</si>
  <si>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</si>
  <si>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</si>
  <si>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</si>
  <si>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</si>
  <si>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</si>
  <si>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</si>
  <si>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</si>
  <si>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</si>
  <si>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</si>
  <si>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</si>
  <si>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</si>
  <si>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2. ПЛИТА ПЕРЕКРЫТИЯ на отм. +3.950: основные сетки, доп. нижние/верхние зоны, край, фиксаторы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</si>
  <si>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</si>
  <si>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</si>
  <si>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</si>
  <si>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</si>
  <si>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</si>
  <si>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</si>
  <si>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по геометрии чертежа</t>
  </si>
  <si>
    <t xml:space="preserve">Плита</t>
  </si>
  <si>
    <t xml:space="preserve">П-сетка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</si>
  <si>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</si>
  <si>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</si>
  <si>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</si>
  <si>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по проекту (стыковка прутков 11,7 м)</t>
  </si>
  <si>
    <t xml:space="preserve">Чистая длина 27.350 м; кусков 3; стыков 2; Lнахл=2×0.40=0.8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</si>
  <si>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</si>
  <si>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</si>
  <si>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</si>
  <si>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</si>
  <si>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</si>
  <si>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</si>
  <si>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</si>
  <si>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</si>
  <si>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</si>
  <si>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</si>
  <si>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</si>
  <si>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</si>
  <si>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</si>
  <si>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</si>
  <si>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</si>
  <si>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</si>
  <si>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</si>
  <si>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</si>
  <si>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</si>
  <si>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</si>
  <si>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</si>
  <si>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</si>
  <si>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</si>
  <si>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</si>
  <si>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</si>
  <si>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</si>
  <si>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</si>
  <si>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</si>
  <si>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</si>
  <si>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</si>
  <si>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</si>
  <si>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</si>
  <si>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</si>
  <si>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</si>
  <si>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</si>
  <si>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</si>
  <si>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</si>
  <si>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</si>
  <si>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</si>
  <si>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</si>
  <si>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</si>
  <si>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</si>
  <si>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</si>
  <si>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</si>
  <si>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П-доп-низ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</si>
  <si>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</si>
  <si>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</si>
  <si>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</si>
  <si>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</si>
  <si>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</si>
  <si>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</si>
  <si>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</si>
  <si>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П-доп-верх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</si>
  <si>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</si>
  <si>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</si>
  <si>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</si>
  <si>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</si>
  <si>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</si>
  <si>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</si>
  <si>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</si>
  <si>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</si>
  <si>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</si>
  <si>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</si>
  <si>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</si>
  <si>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</si>
  <si>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</si>
  <si>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</si>
  <si>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</si>
  <si>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</si>
  <si>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</si>
  <si>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</si>
  <si>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</si>
  <si>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</si>
  <si>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</si>
  <si>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</si>
  <si>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П-край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</si>
  <si>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</si>
  <si>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</si>
  <si>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</si>
  <si>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</si>
  <si>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</si>
  <si>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</si>
  <si>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</si>
  <si>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</si>
  <si>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</si>
  <si>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</si>
  <si>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</si>
  <si>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</si>
  <si>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</si>
  <si>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</si>
  <si>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</si>
  <si>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</si>
  <si>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</si>
  <si>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</si>
  <si>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</si>
  <si>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</si>
  <si>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</si>
  <si>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3. БАЛКИ МОНОЛИТНОЙ ПЛИТЫ +3.950 (сеч. 1-1…5-5; ригели рам НЕ включены)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</si>
  <si>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</si>
  <si>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</si>
  <si>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</si>
  <si>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</si>
  <si>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</si>
  <si>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Стыки ванной сваркой без нахлёста: 1 на стержень (всего 4).</t>
  </si>
  <si>
    <t xml:space="preserve">Б-основная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</si>
  <si>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</si>
  <si>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</si>
  <si>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</si>
  <si>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</si>
  <si>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</si>
  <si>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</si>
  <si>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</si>
  <si>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</si>
  <si>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Стыки ванной сваркой без нахлёста: 2 на стержень (всего 8).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</si>
  <si>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</si>
  <si>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</si>
  <si>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</si>
  <si>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</si>
  <si>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</si>
  <si>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</si>
  <si>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</si>
  <si>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</si>
  <si>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</si>
  <si>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</si>
  <si>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</si>
  <si>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</si>
  <si>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</si>
  <si>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</si>
  <si>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</si>
  <si>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</si>
  <si>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</si>
  <si>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</si>
  <si>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</si>
  <si>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</si>
  <si>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</si>
  <si>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</si>
  <si>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</si>
  <si>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</si>
  <si>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</si>
  <si>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</si>
  <si>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</si>
  <si>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</si>
  <si>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</si>
  <si>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</si>
  <si>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</si>
  <si>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</si>
  <si>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</si>
  <si>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</si>
  <si>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</si>
  <si>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</si>
  <si>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Б×11, Г×8 по 2 шт.; В×1 по 4 шт.)</t>
  </si>
  <si>
    <t xml:space="preserve">АС-56 узлы «Б»,«В»; АС-57 узел «Г»</t>
  </si>
  <si>
    <t xml:space="preserve">принято (уточнить)</t>
  </si>
  <si>
    <t xml:space="preserve">Б-допник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</si>
  <si>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</si>
  <si>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</si>
  <si>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</si>
  <si>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100/200</t>
  </si>
  <si>
    <t xml:space="preserve">АС-55 сеч.1-1; АС-57 «Шаг хомутов»; АС-56/57 узел «Д»; АС-58 ведомость</t>
  </si>
  <si>
    <t xml:space="preserve">Б-хомуты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</si>
  <si>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</si>
  <si>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</si>
  <si>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</si>
  <si>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</si>
  <si>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</si>
  <si>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</si>
  <si>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12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</si>
  <si>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</si>
  <si>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</si>
  <si>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</si>
  <si>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</si>
  <si>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</si>
  <si>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</si>
  <si>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</si>
  <si>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</si>
  <si>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</si>
  <si>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</si>
  <si>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4. СЕТКИ-ГРЕБЁНКИ С-1 в узлах колонна–ригель на отм. +3.950</t>
  </si>
  <si>
    <t xml:space="preserve">узлы колонна–ригель, отм. +3.950 (20 узлов)</t>
  </si>
  <si>
    <t xml:space="preserve">С-1: 7Ø10 (1 гребень + 6 зубьев по 570 мм); 20 узлов × 6 ярусов (шаг 90) × 2 (попарно) = 240 сеток</t>
  </si>
  <si>
    <t xml:space="preserve">АС-30 «Сетка гребенка С-1»; АС-29/30/31 узлы «2»,«5»,«6»,«7»</t>
  </si>
  <si>
    <t xml:space="preserve">5. ЛЕСТНИЦА ЛВ-1</t>
  </si>
  <si>
    <t xml:space="preserve">Лестница ЛВ-1</t>
  </si>
  <si>
    <t xml:space="preserve">ЧЕРТЕЖИ ЛВ-1 В ПРЕДОСТАВЛЕННОМ PDF ОТСУТСТВУЮТ — подсчёт не выполнен</t>
  </si>
  <si>
    <t xml:space="preserve">нет листа</t>
  </si>
  <si>
    <t xml:space="preserve">ТРЕБУЕТСЯ ЛИСТ</t>
  </si>
  <si>
    <t xml:space="preserve">ИТОГО по ведомости</t>
  </si>
  <si>
    <t xml:space="preserve">Раскрой арматуры под стандартные прутки 11,7 м (алгоритм «лучший подходящий по убыванию», отдельно по каждому Ø и классу)</t>
  </si>
  <si>
    <t xml:space="preserve">Детали: стержни ≤11,7 м — целиком; длиннее 11,7 м — делятся на прутки 11,7 + «хвост» (для Ø10–14 с нахлёстами 400/500/560 мм, для Ø≥20 — встык ванной сваркой). Раскрой не смешивается с проектной массой.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</si>
  <si>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</si>
  <si>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</si>
  <si>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</si>
  <si>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</si>
  <si>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</si>
  <si>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</si>
  <si>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</si>
  <si>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</si>
  <si>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</si>
  <si>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</si>
  <si>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</si>
  <si>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</si>
  <si>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по диаметрам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</si>
  <si>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</si>
  <si>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</si>
  <si>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</si>
  <si>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</si>
  <si>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</si>
  <si>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Отход, кг</t>
  </si>
  <si>
    <t xml:space="preserve">ИТОГО</t>
  </si>
  <si>
    <t xml:space="preserve">Примечания к раскрою:</t>
  </si>
  <si>
    <t xml:space="preserve">1. Вертикали диафрагм Ø32/Ø28 (L=4,0 м): из прутка 11,7 м выходит 2 детали + остаток 3,7 м (31,6 %). Остаток 3,7 м пригоден для вертикалей 2–5 этажей (L=3,6 м) — при заказе на несколько этажей отход ≈ 0,1 м. Альтернатива — заказ прутков 12,0 м (3 × 4,0 м без отхода).</t>
  </si>
  <si>
    <t xml:space="preserve">2. Стыки балок Ø25 (ванная сварка) по проекту рекомендуются на 1/3 пролёта (АС-57) — при нарезке прутков 11,7 м проверить, чтобы стык не попал в зону у опоры; при необходимости сдвинуть длину «хвоста».</t>
  </si>
  <si>
    <t xml:space="preserve">3. Стыки сеток вразбежку (АС-58): не более 50 % стержней в одном сечении, смещение ≥1,5·lн.</t>
  </si>
  <si>
    <t xml:space="preserve">Проверки, чек-листы и сомнительные места</t>
  </si>
  <si>
    <t xml:space="preserve">ПРОВЕРКА НА ДВОЙНОЙ УЧЁТ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</si>
  <si>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</si>
  <si>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</si>
  <si>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(поз.1, 5, 2/3, хомуты 10/11) учтены ТОЛЬКО в Дм. Если колонны считаются отдельно по рамам (АС-20…27) — исключить строки «колонна» из Дм. ⚠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</si>
  <si>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</si>
  <si>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</si>
  <si>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</si>
  <si>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</si>
  <si>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</si>
  <si>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балками непрерывно (по проекту); продольные стержни и хомуты балок — отдельные строки. Ригели рам не считались вообще.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</si>
  <si>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</si>
  <si>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</si>
  <si>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</si>
  <si>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</si>
  <si>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</si>
  <si>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</si>
  <si>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</si>
  <si>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</si>
  <si>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</si>
  <si>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</si>
  <si>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</si>
  <si>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</si>
  <si>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</si>
  <si>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</si>
  <si>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</si>
  <si>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</si>
  <si>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</si>
  <si>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</si>
  <si>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</si>
  <si>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</si>
  <si>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</si>
  <si>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</si>
  <si>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</si>
  <si>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</si>
  <si>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</si>
  <si>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</si>
  <si>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</si>
  <si>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</si>
  <si>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</si>
  <si>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</si>
  <si>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</si>
  <si>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</si>
  <si>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Б, В, Г)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</si>
  <si>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</si>
  <si>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</si>
  <si>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</si>
  <si>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</si>
  <si>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</si>
  <si>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</si>
  <si>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</si>
  <si>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</si>
  <si>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☒ лестница ЛВ-1</t>
  </si>
  <si>
    <t xml:space="preserve">Не обнаружено в предоставленных чертежах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</si>
  <si>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</si>
  <si>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</si>
  <si>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/ ТРЕБУЕТ ПРОВЕРКИ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</si>
  <si>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</si>
  <si>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</si>
  <si>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</si>
  <si>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</si>
  <si>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</si>
  <si>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1 013 кг вместо 591 кг.</t>
  </si>
  <si>
    <t xml:space="preserve">4. Количество С-1</t>
  </si>
  <si>
    <t xml:space="preserve">«установить попарно шаг 90» в узле высотой 630 (зона 500 мм между верхними и нижними стержнями ригеля) → 6 ярусов × 2 = 12 шт/узел; на чертеже узла условно показано 5 линий (→10 шт).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</si>
  <si>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</si>
  <si>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</si>
  <si>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</si>
  <si>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</si>
  <si>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</si>
  <si>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</si>
  <si>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Б, В, Г)</t>
  </si>
  <si>
    <t xml:space="preserve">Узлы обозначены на плане выборочно; принято по всем аналогичным местам: Б — 11, Г — 8 (по 2 стержня), В — 1 (4 стержня) = 42 шт.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</si>
  <si>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</si>
  <si>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</si>
  <si>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</si>
  <si>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</si>
  <si>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</si>
  <si>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</si>
  <si>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</t>
  </si>
  <si>
    <t xml:space="preserve">Листов КЖ лестницы в PDF нет (на АС-59 лестница показана только в плане). Подсчёт не выполнен — нужен лист с ЛВ-1 и ведомостью.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</si>
  <si>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</si>
  <si>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</si>
  <si>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</si>
  <si>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</si>
  <si>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</si>
  <si>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</si>
  <si>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</si>
  <si>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</si>
  <si>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34–42; плита — АС-47, 50, 51, 55–58; С-1 — АС-29–31. ЛВ-1 — листов нет.</t>
  </si>
  <si>
    <t xml:space="preserve">Стержни «4 подписано, а их 8»?</t>
  </si>
  <si>
    <t xml:space="preserve">Да — проверено по каждому сечению Дм, симметричные добавлены (п.1 сомнительных мест).</t>
  </si>
  <si>
    <t xml:space="preserve">Оба направления, верх и низ сетки?</t>
  </si>
  <si>
    <t xml:space="preserve">Да — 4 группы строк (низ X, низ Y, верх X, верх Y).</t>
  </si>
  <si>
    <t xml:space="preserve">Доп. сетки?</t>
  </si>
  <si>
    <t xml:space="preserve">Да — 21 зона по АС-50/51 + 4 доп. Ø20 по АС-47.</t>
  </si>
  <si>
    <t xml:space="preserve">Нахлёсты только где нужны?</t>
  </si>
  <si>
    <t xml:space="preserve">Да — Ø10/Ø14 &gt;11,7 м; Ø≥20 встык; Ø18 Дм — 8d.</t>
  </si>
  <si>
    <t xml:space="preserve">Повторяющиеся элементы?</t>
  </si>
  <si>
    <t xml:space="preserve">Дм-1…5 по 1 шт.; узлов С-1 — 20.</t>
  </si>
  <si>
    <t xml:space="preserve">Перевод м → кг?</t>
  </si>
  <si>
    <t xml:space="preserve">Формулой «Общая длина × кг/м» по таблице ГОСТ 34028 (лист «Исходные»); контроль на листах «1 этаж» и «потребность» (разница с ведомостью = 0).</t>
  </si>
  <si>
    <t xml:space="preserve">СРАВНЕНИЕ СО СПЕЦИФИКАЦИЕЙ (п.28)</t>
  </si>
  <si>
    <t xml:space="preserve">Мой расчёт, кг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</si>
  <si>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</si>
  <si>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</si>
  <si>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(по пролётам)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</si>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</sst>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0.0"/>
    <numFmt numFmtId="170" formatCode="0.00"/>
    <numFmt numFmtId="171" formatCode="0"/>
    <numFmt numFmtId="172" formatCode="0;\-0;&quot;&quot;"/>
    <numFmt numFmtId="173" formatCode="0.0;\-0.0;&quot;&quot;"/>
    <numFmt numFmtId="174" formatCode="0.00;\-0.00;&quot;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6" min="5" style="0" width="13"/>
    <col collapsed="false" customWidth="true" hidden="false" outlineLevel="0" max="9" min="7" style="0" width="12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  <c r="D3" s="4"/>
      <c r="E3" s="4"/>
      <c r="F3" s="4"/>
      <c r="G3" s="4" t="s">
        <v>5</v>
      </c>
      <c r="H3" s="4" t="s">
        <v>6</v>
      </c>
      <c r="I3" s="4"/>
      <c r="J3" s="4"/>
    </row>
    <row r="4" customFormat="false" ht="48" hidden="false" customHeight="true" outlineLevel="0" collapsed="false">
      <c r="A4" s="4"/>
      <c r="B4" s="4"/>
      <c r="C4" s="4" t="s">
        <v>7</v>
      </c>
      <c r="D4" s="4" t="s">
        <v>8</v>
      </c>
      <c r="E4" s="4" t="s">
        <v>9</v>
      </c>
      <c r="F4" s="4" t="s">
        <v>10</v>
      </c>
      <c r="G4" s="4"/>
      <c r="H4" s="4" t="s">
        <v>11</v>
      </c>
      <c r="I4" s="4" t="s">
        <v>12</v>
      </c>
      <c r="J4" s="4" t="s">
        <v>13</v>
      </c>
    </row>
    <row r="5" customFormat="false" ht="15" hidden="false" customHeight="false" outlineLevel="0" collapsed="false">
      <c r="A5" s="5" t="s">
        <v>14</v>
      </c>
      <c r="B5" s="6" t="s">
        <v>15</v>
      </c>
      <c r="C5" s="7" t="n">
        <f aca="false">'1 этаж'!W8</f>
        <v>505.04</v>
      </c>
      <c r="D5" s="7" t="n">
        <f aca="false">'1 этаж'!Z8</f>
        <v>0</v>
      </c>
      <c r="E5" s="7" t="n">
        <f aca="false">'1 этаж'!AC8</f>
        <v>0</v>
      </c>
      <c r="F5" s="7" t="n">
        <f aca="false">'1 этаж'!AF8</f>
        <v>0</v>
      </c>
      <c r="G5" s="8" t="n">
        <f aca="false">SUM(C5:F5)</f>
        <v>505.04</v>
      </c>
      <c r="H5" s="9" t="n">
        <f aca="false">'Раскрой 11,7м'!F117</f>
        <v>10</v>
      </c>
      <c r="I5" s="7" t="n">
        <f aca="false">'Раскрой 11,7м'!I117</f>
        <v>738.621</v>
      </c>
      <c r="J5" s="10" t="n">
        <f aca="false">'Раскрой 11,7м'!L117</f>
        <v>0.316239316239316</v>
      </c>
    </row>
    <row r="6" customFormat="false" ht="15" hidden="false" customHeight="false" outlineLevel="0" collapsed="false">
      <c r="A6" s="5" t="s">
        <v>16</v>
      </c>
      <c r="B6" s="6" t="s">
        <v>15</v>
      </c>
      <c r="C6" s="7" t="n">
        <f aca="false">'1 этаж'!W9</f>
        <v>2010.944</v>
      </c>
      <c r="D6" s="7" t="n">
        <f aca="false">'1 этаж'!Z9</f>
        <v>0</v>
      </c>
      <c r="E6" s="7" t="n">
        <f aca="false">'1 этаж'!AC9</f>
        <v>0</v>
      </c>
      <c r="F6" s="7" t="n">
        <f aca="false">'1 этаж'!AF9</f>
        <v>0</v>
      </c>
      <c r="G6" s="8" t="n">
        <f aca="false">SUM(C6:F6)</f>
        <v>2010.944</v>
      </c>
      <c r="H6" s="9" t="n">
        <f aca="false">'Раскрой 11,7м'!F118</f>
        <v>52</v>
      </c>
      <c r="I6" s="7" t="n">
        <f aca="false">'Раскрой 11,7м'!I118</f>
        <v>2941.0056</v>
      </c>
      <c r="J6" s="10" t="n">
        <f aca="false">'Раскрой 11,7м'!L118</f>
        <v>0.316239316239316</v>
      </c>
    </row>
    <row r="7" customFormat="false" ht="15" hidden="false" customHeight="false" outlineLevel="0" collapsed="false">
      <c r="A7" s="5" t="s">
        <v>17</v>
      </c>
      <c r="B7" s="6" t="s">
        <v>15</v>
      </c>
      <c r="C7" s="7" t="n">
        <f aca="false">'1 этаж'!W10</f>
        <v>554.832</v>
      </c>
      <c r="D7" s="7" t="n">
        <f aca="false">'1 этаж'!Z10</f>
        <v>2448.1962</v>
      </c>
      <c r="E7" s="7" t="n">
        <f aca="false">'1 этаж'!AC10</f>
        <v>0</v>
      </c>
      <c r="F7" s="7" t="n">
        <f aca="false">'1 этаж'!AF10</f>
        <v>0</v>
      </c>
      <c r="G7" s="8" t="n">
        <f aca="false">SUM(C7:F7)</f>
        <v>3003.0282</v>
      </c>
      <c r="H7" s="9" t="n">
        <f aca="false">'Раскрой 11,7м'!F119</f>
        <v>72</v>
      </c>
      <c r="I7" s="7" t="n">
        <f aca="false">'Раскрой 11,7м'!I119</f>
        <v>3245.7672</v>
      </c>
      <c r="J7" s="10" t="n">
        <f aca="false">'Раскрой 11,7м'!L119</f>
        <v>0.0747863247863248</v>
      </c>
    </row>
    <row r="8" customFormat="false" ht="15" hidden="false" customHeight="false" outlineLevel="0" collapsed="false">
      <c r="A8" s="5" t="s">
        <v>18</v>
      </c>
      <c r="B8" s="6" t="s">
        <v>15</v>
      </c>
      <c r="C8" s="7" t="n">
        <f aca="false">'1 этаж'!W11</f>
        <v>468.488</v>
      </c>
      <c r="D8" s="7" t="n">
        <f aca="false">'1 этаж'!Z11</f>
        <v>473.8592</v>
      </c>
      <c r="E8" s="7" t="n">
        <f aca="false">'1 этаж'!AC11</f>
        <v>0</v>
      </c>
      <c r="F8" s="7" t="n">
        <f aca="false">'1 этаж'!AF11</f>
        <v>0</v>
      </c>
      <c r="G8" s="8" t="n">
        <f aca="false">SUM(C8:F8)</f>
        <v>942.3472</v>
      </c>
      <c r="H8" s="9" t="n">
        <f aca="false">'Раскрой 11,7м'!F120</f>
        <v>30</v>
      </c>
      <c r="I8" s="7" t="n">
        <f aca="false">'Раскрой 11,7м'!I120</f>
        <v>1047.384</v>
      </c>
      <c r="J8" s="10" t="n">
        <f aca="false">'Раскрой 11,7м'!L120</f>
        <v>0.1002849002849</v>
      </c>
    </row>
    <row r="9" customFormat="false" ht="15" hidden="false" customHeight="false" outlineLevel="0" collapsed="false">
      <c r="A9" s="5" t="s">
        <v>19</v>
      </c>
      <c r="B9" s="6" t="s">
        <v>15</v>
      </c>
      <c r="C9" s="7" t="n">
        <f aca="false">'1 этаж'!W12</f>
        <v>549.1782</v>
      </c>
      <c r="D9" s="7" t="n">
        <f aca="false">'1 этаж'!Z12</f>
        <v>170.25264</v>
      </c>
      <c r="E9" s="7" t="n">
        <f aca="false">'1 этаж'!AC12</f>
        <v>0</v>
      </c>
      <c r="F9" s="7" t="n">
        <f aca="false">'1 этаж'!AF12</f>
        <v>0</v>
      </c>
      <c r="G9" s="8" t="n">
        <f aca="false">SUM(C9:F9)</f>
        <v>719.43084</v>
      </c>
      <c r="H9" s="9" t="n">
        <f aca="false">'Раскрой 11,7м'!F121</f>
        <v>27</v>
      </c>
      <c r="I9" s="7" t="n">
        <f aca="false">'Раскрой 11,7м'!I121</f>
        <v>779.0094</v>
      </c>
      <c r="J9" s="10" t="n">
        <f aca="false">'Раскрой 11,7м'!L121</f>
        <v>0.0764798987021208</v>
      </c>
    </row>
    <row r="10" customFormat="false" ht="15" hidden="false" customHeight="false" outlineLevel="0" collapsed="false">
      <c r="A10" s="5" t="s">
        <v>20</v>
      </c>
      <c r="B10" s="6" t="s">
        <v>15</v>
      </c>
      <c r="C10" s="7" t="n">
        <f aca="false">'1 этаж'!W13</f>
        <v>280.99872</v>
      </c>
      <c r="D10" s="7" t="n">
        <f aca="false">'1 этаж'!Z13</f>
        <v>100.6992</v>
      </c>
      <c r="E10" s="7" t="n">
        <f aca="false">'1 этаж'!AC13</f>
        <v>0</v>
      </c>
      <c r="F10" s="7" t="n">
        <f aca="false">'1 этаж'!AF13</f>
        <v>0</v>
      </c>
      <c r="G10" s="8" t="n">
        <f aca="false">SUM(C10:F10)</f>
        <v>381.69792</v>
      </c>
      <c r="H10" s="9" t="n">
        <f aca="false">'Раскрой 11,7м'!F122</f>
        <v>17</v>
      </c>
      <c r="I10" s="7" t="n">
        <f aca="false">'Раскрой 11,7м'!I122</f>
        <v>397.4022</v>
      </c>
      <c r="J10" s="10" t="n">
        <f aca="false">'Раскрой 11,7м'!L122</f>
        <v>0.0395173453996982</v>
      </c>
    </row>
    <row r="11" customFormat="false" ht="15" hidden="false" customHeight="false" outlineLevel="0" collapsed="false">
      <c r="A11" s="5" t="s">
        <v>21</v>
      </c>
      <c r="B11" s="6" t="s">
        <v>15</v>
      </c>
      <c r="C11" s="7" t="n">
        <f aca="false">'1 этаж'!W14</f>
        <v>693.3732</v>
      </c>
      <c r="D11" s="7" t="n">
        <f aca="false">'1 этаж'!Z14</f>
        <v>0</v>
      </c>
      <c r="E11" s="7" t="n">
        <f aca="false">'1 этаж'!AC14</f>
        <v>0</v>
      </c>
      <c r="F11" s="7" t="n">
        <f aca="false">'1 этаж'!AF14</f>
        <v>0</v>
      </c>
      <c r="G11" s="8" t="n">
        <f aca="false">SUM(C11:F11)</f>
        <v>693.3732</v>
      </c>
      <c r="H11" s="9" t="n">
        <f aca="false">'Раскрой 11,7м'!F123</f>
        <v>39</v>
      </c>
      <c r="I11" s="7" t="n">
        <f aca="false">'Раскрой 11,7м'!I123</f>
        <v>720.0414</v>
      </c>
      <c r="J11" s="10" t="n">
        <f aca="false">'Раскрой 11,7м'!L123</f>
        <v>0.037037037037037</v>
      </c>
    </row>
    <row r="12" customFormat="false" ht="15" hidden="false" customHeight="false" outlineLevel="0" collapsed="false">
      <c r="A12" s="5" t="s">
        <v>22</v>
      </c>
      <c r="B12" s="6" t="s">
        <v>15</v>
      </c>
      <c r="C12" s="7" t="n">
        <f aca="false">'1 этаж'!W15</f>
        <v>73.5672</v>
      </c>
      <c r="D12" s="7" t="n">
        <f aca="false">'1 этаж'!Z15</f>
        <v>116.04048</v>
      </c>
      <c r="E12" s="7" t="n">
        <f aca="false">'1 этаж'!AC15</f>
        <v>0</v>
      </c>
      <c r="F12" s="7" t="n">
        <f aca="false">'1 этаж'!AF15</f>
        <v>0</v>
      </c>
      <c r="G12" s="8" t="n">
        <f aca="false">SUM(C12:F12)</f>
        <v>189.60768</v>
      </c>
      <c r="H12" s="9" t="n">
        <f aca="false">'Раскрой 11,7м'!F124</f>
        <v>14</v>
      </c>
      <c r="I12" s="7" t="n">
        <f aca="false">'Раскрой 11,7м'!I124</f>
        <v>197.8704</v>
      </c>
      <c r="J12" s="10" t="n">
        <f aca="false">'Раскрой 11,7м'!L124</f>
        <v>0.0417582417582416</v>
      </c>
    </row>
    <row r="13" customFormat="false" ht="15" hidden="false" customHeight="false" outlineLevel="0" collapsed="false">
      <c r="A13" s="5" t="s">
        <v>23</v>
      </c>
      <c r="B13" s="6" t="s">
        <v>15</v>
      </c>
      <c r="C13" s="7" t="n">
        <f aca="false">'1 этаж'!W16</f>
        <v>0</v>
      </c>
      <c r="D13" s="7" t="n">
        <f aca="false">'1 этаж'!Z16</f>
        <v>38.3616</v>
      </c>
      <c r="E13" s="7" t="n">
        <f aca="false">'1 этаж'!AC16</f>
        <v>0</v>
      </c>
      <c r="F13" s="7" t="n">
        <f aca="false">'1 этаж'!AF16</f>
        <v>0</v>
      </c>
      <c r="G13" s="8" t="n">
        <f aca="false">SUM(C13:F13)</f>
        <v>38.3616</v>
      </c>
      <c r="H13" s="9" t="n">
        <f aca="false">'Раскрой 11,7м'!F125</f>
        <v>4</v>
      </c>
      <c r="I13" s="7" t="n">
        <f aca="false">'Раскрой 11,7м'!I125</f>
        <v>41.5584</v>
      </c>
      <c r="J13" s="10" t="n">
        <f aca="false">'Раскрой 11,7м'!L125</f>
        <v>0.076923076923077</v>
      </c>
    </row>
    <row r="14" customFormat="false" ht="15" hidden="false" customHeight="false" outlineLevel="0" collapsed="false">
      <c r="A14" s="5" t="s">
        <v>24</v>
      </c>
      <c r="B14" s="6" t="s">
        <v>15</v>
      </c>
      <c r="C14" s="7" t="n">
        <f aca="false">'1 этаж'!W17</f>
        <v>7.5891</v>
      </c>
      <c r="D14" s="7" t="n">
        <f aca="false">'1 этаж'!Z17</f>
        <v>7425.63202</v>
      </c>
      <c r="E14" s="7" t="n">
        <f aca="false">'1 этаж'!AC17</f>
        <v>0</v>
      </c>
      <c r="F14" s="7" t="n">
        <f aca="false">'1 этаж'!AF17</f>
        <v>590.8392</v>
      </c>
      <c r="G14" s="8" t="n">
        <f aca="false">SUM(C14:F14)</f>
        <v>8024.06032</v>
      </c>
      <c r="H14" s="9" t="n">
        <f aca="false">'Раскрой 11,7м'!F126</f>
        <v>1121</v>
      </c>
      <c r="I14" s="7" t="n">
        <f aca="false">'Раскрой 11,7м'!I126</f>
        <v>8092.3869</v>
      </c>
      <c r="J14" s="10" t="n">
        <f aca="false">'Раскрой 11,7м'!L126</f>
        <v>0.00844331602583163</v>
      </c>
    </row>
    <row r="15" customFormat="false" ht="15" hidden="false" customHeight="false" outlineLevel="0" collapsed="false">
      <c r="A15" s="5" t="s">
        <v>25</v>
      </c>
      <c r="B15" s="6" t="s">
        <v>15</v>
      </c>
      <c r="C15" s="7" t="n">
        <f aca="false">'1 этаж'!W18</f>
        <v>0</v>
      </c>
      <c r="D15" s="7" t="n">
        <f aca="false">'1 этаж'!Z18</f>
        <v>0</v>
      </c>
      <c r="E15" s="7" t="n">
        <f aca="false">'1 этаж'!AC18</f>
        <v>0</v>
      </c>
      <c r="F15" s="7" t="n">
        <f aca="false">'1 этаж'!AF18</f>
        <v>0</v>
      </c>
      <c r="G15" s="8" t="n">
        <f aca="false">SUM(C15:F15)</f>
        <v>0</v>
      </c>
      <c r="H15" s="9" t="n">
        <f aca="false">'Раскрой 11,7м'!F127</f>
        <v>0</v>
      </c>
      <c r="I15" s="7" t="n">
        <f aca="false">'Раскрой 11,7м'!I127</f>
        <v>0</v>
      </c>
      <c r="J15" s="10" t="n">
        <f aca="false">'Раскрой 11,7м'!L127</f>
        <v>0</v>
      </c>
    </row>
    <row r="16" customFormat="false" ht="15" hidden="false" customHeight="false" outlineLevel="0" collapsed="false">
      <c r="A16" s="5" t="s">
        <v>26</v>
      </c>
      <c r="B16" s="6" t="s">
        <v>15</v>
      </c>
      <c r="C16" s="7" t="n">
        <f aca="false">'1 этаж'!W19</f>
        <v>0</v>
      </c>
      <c r="D16" s="7" t="n">
        <f aca="false">'1 этаж'!Z19</f>
        <v>0</v>
      </c>
      <c r="E16" s="7" t="n">
        <f aca="false">'1 этаж'!AC19</f>
        <v>0</v>
      </c>
      <c r="F16" s="7" t="n">
        <f aca="false">'1 этаж'!AF19</f>
        <v>0</v>
      </c>
      <c r="G16" s="8" t="n">
        <f aca="false">SUM(C16:F16)</f>
        <v>0</v>
      </c>
      <c r="H16" s="9" t="n">
        <f aca="false">'Раскрой 11,7м'!F128</f>
        <v>0</v>
      </c>
      <c r="I16" s="7" t="n">
        <f aca="false">'Раскрой 11,7м'!I128</f>
        <v>0</v>
      </c>
      <c r="J16" s="10" t="n">
        <f aca="false">'Раскрой 11,7м'!L128</f>
        <v>0</v>
      </c>
    </row>
    <row r="17" customFormat="false" ht="15" hidden="false" customHeight="false" outlineLevel="0" collapsed="false">
      <c r="A17" s="5" t="s">
        <v>27</v>
      </c>
      <c r="B17" s="6" t="s">
        <v>15</v>
      </c>
      <c r="C17" s="7" t="n">
        <f aca="false">'1 этаж'!W20</f>
        <v>325.07262</v>
      </c>
      <c r="D17" s="7" t="n">
        <f aca="false">'1 этаж'!Z20</f>
        <v>270.88768</v>
      </c>
      <c r="E17" s="7" t="n">
        <f aca="false">'1 этаж'!AC20</f>
        <v>0</v>
      </c>
      <c r="F17" s="7" t="n">
        <f aca="false">'1 этаж'!AF20</f>
        <v>0</v>
      </c>
      <c r="G17" s="8" t="n">
        <f aca="false">SUM(C17:F17)</f>
        <v>595.9603</v>
      </c>
      <c r="H17" s="9" t="n">
        <f aca="false">'Раскрой 11,7м'!F129</f>
        <v>85</v>
      </c>
      <c r="I17" s="7" t="n">
        <f aca="false">'Раскрой 11,7м'!I129</f>
        <v>613.6065</v>
      </c>
      <c r="J17" s="10" t="n">
        <f aca="false">'Раскрой 11,7м'!L129</f>
        <v>0.0287581699346404</v>
      </c>
    </row>
    <row r="18" customFormat="false" ht="15" hidden="false" customHeight="false" outlineLevel="0" collapsed="false">
      <c r="A18" s="5" t="s">
        <v>28</v>
      </c>
      <c r="B18" s="6" t="s">
        <v>15</v>
      </c>
      <c r="C18" s="7" t="n">
        <f aca="false">'1 этаж'!W21</f>
        <v>376.7826</v>
      </c>
      <c r="D18" s="7" t="n">
        <f aca="false">'1 этаж'!Z21</f>
        <v>731.8797</v>
      </c>
      <c r="E18" s="7" t="n">
        <f aca="false">'1 этаж'!AC21</f>
        <v>0</v>
      </c>
      <c r="F18" s="7" t="n">
        <f aca="false">'1 этаж'!AF21</f>
        <v>0</v>
      </c>
      <c r="G18" s="8" t="n">
        <f aca="false">SUM(C18:F18)</f>
        <v>1108.6623</v>
      </c>
      <c r="H18" s="9" t="n">
        <f aca="false">'Раскрой 11,7м'!F130</f>
        <v>241</v>
      </c>
      <c r="I18" s="7" t="n">
        <f aca="false">'Раскрой 11,7м'!I130</f>
        <v>1113.7815</v>
      </c>
      <c r="J18" s="10" t="n">
        <f aca="false">'Раскрой 11,7м'!L130</f>
        <v>0.00459623364187688</v>
      </c>
    </row>
    <row r="19" customFormat="false" ht="15" hidden="false" customHeight="false" outlineLevel="0" collapsed="false">
      <c r="A19" s="5" t="s">
        <v>29</v>
      </c>
      <c r="B19" s="6" t="s">
        <v>15</v>
      </c>
      <c r="C19" s="7" t="n">
        <f aca="false">'1 этаж'!W22</f>
        <v>0</v>
      </c>
      <c r="D19" s="7" t="n">
        <f aca="false">'1 этаж'!Z22</f>
        <v>0</v>
      </c>
      <c r="E19" s="7" t="n">
        <f aca="false">'1 этаж'!AC22</f>
        <v>0</v>
      </c>
      <c r="F19" s="7" t="n">
        <f aca="false">'1 этаж'!AF22</f>
        <v>0</v>
      </c>
      <c r="G19" s="8" t="n">
        <f aca="false">SUM(C19:F19)</f>
        <v>0</v>
      </c>
      <c r="H19" s="9" t="n">
        <f aca="false">'Раскрой 11,7м'!F131</f>
        <v>0</v>
      </c>
      <c r="I19" s="7" t="n">
        <f aca="false">'Раскрой 11,7м'!I131</f>
        <v>0</v>
      </c>
      <c r="J19" s="10" t="n">
        <f aca="false">'Раскрой 11,7м'!L131</f>
        <v>0</v>
      </c>
    </row>
    <row r="20" customFormat="false" ht="15" hidden="false" customHeight="false" outlineLevel="0" collapsed="false">
      <c r="A20" s="11" t="s">
        <v>30</v>
      </c>
      <c r="B20" s="12" t="s">
        <v>15</v>
      </c>
      <c r="C20" s="8" t="n">
        <f aca="false">SUM(C5:C19)</f>
        <v>5845.86564</v>
      </c>
      <c r="D20" s="8" t="n">
        <f aca="false">SUM(D5:D19)</f>
        <v>11775.80872</v>
      </c>
      <c r="E20" s="8" t="n">
        <f aca="false">SUM(E5:E19)</f>
        <v>0</v>
      </c>
      <c r="F20" s="8" t="n">
        <f aca="false">SUM(F5:F19)</f>
        <v>590.8392</v>
      </c>
      <c r="G20" s="8" t="n">
        <f aca="false">SUM(G5:G19)</f>
        <v>18212.51356</v>
      </c>
      <c r="H20" s="13" t="n">
        <f aca="false">SUM(H5:H19)</f>
        <v>1712</v>
      </c>
      <c r="I20" s="8" t="n">
        <f aca="false">SUM(I5:I19)</f>
        <v>19928.4345</v>
      </c>
      <c r="J20" s="10" t="n">
        <f aca="false">'Раскрой 11,7м'!L132</f>
        <v>0.0861041513321079</v>
      </c>
    </row>
    <row r="21" customFormat="false" ht="15" hidden="false" customHeight="false" outlineLevel="0" collapsed="false">
      <c r="A21" s="11" t="s">
        <v>30</v>
      </c>
      <c r="B21" s="12" t="s">
        <v>31</v>
      </c>
      <c r="C21" s="14" t="n">
        <f aca="false">C20/1000</f>
        <v>5.84586564</v>
      </c>
      <c r="D21" s="14" t="n">
        <f aca="false">D20/1000</f>
        <v>11.77580872</v>
      </c>
      <c r="E21" s="14" t="n">
        <f aca="false">E20/1000</f>
        <v>0</v>
      </c>
      <c r="F21" s="14" t="n">
        <f aca="false">F20/1000</f>
        <v>0.5908392</v>
      </c>
      <c r="G21" s="14" t="n">
        <f aca="false">G20/1000</f>
        <v>18.21251356</v>
      </c>
      <c r="I21" s="14" t="n">
        <f aca="false">I20/1000</f>
        <v>19.9284345</v>
      </c>
    </row>
    <row r="22" customFormat="false" ht="15" hidden="false" customHeight="false" outlineLevel="0" collapsed="false">
      <c r="A22" s="15" t="s">
        <v>32</v>
      </c>
      <c r="G22" s="16" t="n">
        <f aca="false">ROUND(G20-'1 этаж'!T23,1)</f>
        <v>0</v>
      </c>
      <c r="H22" s="17" t="s">
        <v>33</v>
      </c>
    </row>
    <row r="24" customFormat="false" ht="15" hidden="false" customHeight="false" outlineLevel="0" collapsed="false">
      <c r="A24" s="3" t="s">
        <v>34</v>
      </c>
      <c r="B24" s="3"/>
      <c r="C24" s="3"/>
      <c r="D24" s="3"/>
      <c r="E24" s="3"/>
      <c r="F24" s="3"/>
      <c r="G24" s="3"/>
    </row>
    <row r="25" customFormat="false" ht="15" hidden="false" customHeight="true" outlineLevel="0" collapsed="false">
      <c r="A25" s="4" t="s">
        <v>35</v>
      </c>
      <c r="B25" s="4" t="s">
        <v>3</v>
      </c>
      <c r="C25" s="4" t="s">
        <v>4</v>
      </c>
      <c r="D25" s="4"/>
      <c r="E25" s="4"/>
      <c r="F25" s="4"/>
      <c r="G25" s="4" t="s">
        <v>5</v>
      </c>
    </row>
    <row r="26" customFormat="false" ht="48" hidden="false" customHeight="true" outlineLevel="0" collapsed="false">
      <c r="A26" s="4"/>
      <c r="B26" s="4"/>
      <c r="C26" s="4" t="s">
        <v>7</v>
      </c>
      <c r="D26" s="4" t="s">
        <v>8</v>
      </c>
      <c r="E26" s="4" t="s">
        <v>9</v>
      </c>
      <c r="F26" s="4" t="s">
        <v>10</v>
      </c>
      <c r="G26" s="4"/>
    </row>
    <row r="27" customFormat="false" ht="15" hidden="false" customHeight="false" outlineLevel="0" collapsed="false">
      <c r="A27" s="5" t="s">
        <v>36</v>
      </c>
      <c r="B27" s="6" t="s">
        <v>37</v>
      </c>
      <c r="C27" s="18" t="n">
        <f aca="false">'1 этаж'!W28</f>
        <v>22.9696</v>
      </c>
      <c r="D27" s="18" t="n">
        <f aca="false">'1 этаж'!Z28</f>
        <v>75.02601</v>
      </c>
      <c r="E27" s="18" t="n">
        <f aca="false">'1 этаж'!AC28</f>
        <v>0</v>
      </c>
      <c r="F27" s="18" t="n">
        <f aca="false">'1 этаж'!AF28</f>
        <v>0</v>
      </c>
      <c r="G27" s="19" t="n">
        <f aca="false">SUM(C27:F27)</f>
        <v>97.99561</v>
      </c>
    </row>
    <row r="28" customFormat="false" ht="15" hidden="false" customHeight="false" outlineLevel="0" collapsed="false">
      <c r="A28" s="11" t="s">
        <v>30</v>
      </c>
      <c r="B28" s="12" t="s">
        <v>37</v>
      </c>
      <c r="C28" s="19" t="n">
        <f aca="false">SUM(C27:C27)</f>
        <v>22.9696</v>
      </c>
      <c r="D28" s="19" t="n">
        <f aca="false">SUM(D27:D27)</f>
        <v>75.02601</v>
      </c>
      <c r="E28" s="19" t="n">
        <f aca="false">SUM(E27:E27)</f>
        <v>0</v>
      </c>
      <c r="F28" s="19" t="n">
        <f aca="false">SUM(F27:F27)</f>
        <v>0</v>
      </c>
      <c r="G28" s="19" t="n">
        <f aca="false">SUM(G27:G27)</f>
        <v>97.99561</v>
      </c>
    </row>
    <row r="30" customFormat="false" ht="15" hidden="false" customHeight="false" outlineLevel="0" collapsed="false">
      <c r="A30" s="3" t="s">
        <v>38</v>
      </c>
      <c r="B30" s="3"/>
      <c r="C30" s="3"/>
      <c r="D30" s="3"/>
      <c r="E30" s="3"/>
      <c r="F30" s="3"/>
      <c r="G30" s="3"/>
    </row>
    <row r="31" customFormat="false" ht="15" hidden="false" customHeight="true" outlineLevel="0" collapsed="false">
      <c r="A31" s="4" t="s">
        <v>39</v>
      </c>
      <c r="B31" s="4" t="s">
        <v>3</v>
      </c>
      <c r="C31" s="4" t="s">
        <v>4</v>
      </c>
      <c r="D31" s="4"/>
      <c r="E31" s="4"/>
      <c r="F31" s="4"/>
      <c r="G31" s="4" t="s">
        <v>5</v>
      </c>
    </row>
    <row r="32" customFormat="false" ht="48" hidden="false" customHeight="true" outlineLevel="0" collapsed="false">
      <c r="A32" s="4"/>
      <c r="B32" s="4"/>
      <c r="C32" s="4" t="s">
        <v>7</v>
      </c>
      <c r="D32" s="4" t="s">
        <v>8</v>
      </c>
      <c r="E32" s="4" t="s">
        <v>9</v>
      </c>
      <c r="F32" s="4" t="s">
        <v>10</v>
      </c>
      <c r="G32" s="4"/>
    </row>
    <row r="33" customFormat="false" ht="15" hidden="false" customHeight="false" outlineLevel="0" collapsed="false">
      <c r="A33" s="5" t="s">
        <v>40</v>
      </c>
      <c r="B33" s="6" t="s">
        <v>41</v>
      </c>
      <c r="C33" s="20"/>
      <c r="D33" s="20"/>
      <c r="E33" s="20"/>
      <c r="F33" s="20"/>
      <c r="G33" s="6" t="s">
        <v>42</v>
      </c>
    </row>
    <row r="34" customFormat="false" ht="15" hidden="false" customHeight="false" outlineLevel="0" collapsed="false">
      <c r="A34" s="5" t="s">
        <v>43</v>
      </c>
      <c r="B34" s="6" t="s">
        <v>41</v>
      </c>
      <c r="C34" s="20"/>
      <c r="D34" s="20"/>
      <c r="E34" s="20"/>
      <c r="F34" s="20"/>
      <c r="G34" s="6"/>
    </row>
    <row r="35" customFormat="false" ht="15" hidden="false" customHeight="false" outlineLevel="0" collapsed="false">
      <c r="A35" s="5" t="s">
        <v>44</v>
      </c>
      <c r="B35" s="6" t="s">
        <v>41</v>
      </c>
      <c r="C35" s="20"/>
      <c r="D35" s="20"/>
      <c r="E35" s="20"/>
      <c r="F35" s="20"/>
      <c r="G35" s="6"/>
    </row>
    <row r="36" customFormat="false" ht="15" hidden="false" customHeight="false" outlineLevel="0" collapsed="false">
      <c r="A36" s="5" t="s">
        <v>45</v>
      </c>
      <c r="B36" s="6" t="s">
        <v>41</v>
      </c>
      <c r="C36" s="20"/>
      <c r="D36" s="20"/>
      <c r="E36" s="20"/>
      <c r="F36" s="20"/>
      <c r="G36" s="6"/>
    </row>
    <row r="37" customFormat="false" ht="15" hidden="false" customHeight="false" outlineLevel="0" collapsed="false">
      <c r="A37" s="5" t="s">
        <v>46</v>
      </c>
      <c r="B37" s="6" t="s">
        <v>41</v>
      </c>
      <c r="C37" s="20"/>
      <c r="D37" s="20"/>
      <c r="E37" s="20"/>
      <c r="F37" s="20"/>
      <c r="G37" s="6"/>
    </row>
    <row r="38" customFormat="false" ht="15" hidden="false" customHeight="false" outlineLevel="0" collapsed="false">
      <c r="A38" s="5" t="s">
        <v>47</v>
      </c>
      <c r="B38" s="6" t="s">
        <v>41</v>
      </c>
      <c r="C38" s="20"/>
      <c r="D38" s="20"/>
      <c r="E38" s="20"/>
      <c r="F38" s="20"/>
      <c r="G38" s="6"/>
    </row>
    <row r="39" customFormat="false" ht="15" hidden="false" customHeight="false" outlineLevel="0" collapsed="false">
      <c r="A39" s="5" t="s">
        <v>48</v>
      </c>
      <c r="B39" s="6" t="s">
        <v>41</v>
      </c>
      <c r="C39" s="20"/>
      <c r="D39" s="20"/>
      <c r="E39" s="20"/>
      <c r="F39" s="20"/>
      <c r="G39" s="6"/>
    </row>
    <row r="40" customFormat="false" ht="15" hidden="false" customHeight="false" outlineLevel="0" collapsed="false">
      <c r="A40" s="5" t="s">
        <v>49</v>
      </c>
      <c r="B40" s="6" t="s">
        <v>41</v>
      </c>
      <c r="C40" s="20"/>
      <c r="D40" s="20"/>
      <c r="E40" s="20"/>
      <c r="F40" s="20"/>
      <c r="G40" s="6"/>
    </row>
    <row r="41" customFormat="false" ht="15" hidden="false" customHeight="false" outlineLevel="0" collapsed="false">
      <c r="A41" s="5" t="s">
        <v>50</v>
      </c>
      <c r="B41" s="6" t="s">
        <v>41</v>
      </c>
      <c r="C41" s="21" t="n">
        <f aca="false">'1 этаж'!U40</f>
        <v>20</v>
      </c>
      <c r="D41" s="21" t="n">
        <f aca="false">'1 этаж'!X40</f>
        <v>0</v>
      </c>
      <c r="E41" s="21" t="n">
        <f aca="false">'1 этаж'!AA40</f>
        <v>0</v>
      </c>
      <c r="F41" s="21" t="n">
        <f aca="false">'1 этаж'!AD40</f>
        <v>0</v>
      </c>
      <c r="G41" s="22" t="n">
        <f aca="false">SUM(C41:F41)</f>
        <v>20</v>
      </c>
    </row>
    <row r="42" customFormat="false" ht="15" hidden="false" customHeight="false" outlineLevel="0" collapsed="false">
      <c r="A42" s="5" t="s">
        <v>51</v>
      </c>
      <c r="B42" s="6" t="s">
        <v>41</v>
      </c>
      <c r="C42" s="21" t="n">
        <f aca="false">'1 этаж'!U41</f>
        <v>104</v>
      </c>
      <c r="D42" s="21" t="n">
        <f aca="false">'1 этаж'!X41</f>
        <v>0</v>
      </c>
      <c r="E42" s="21" t="n">
        <f aca="false">'1 этаж'!AA41</f>
        <v>0</v>
      </c>
      <c r="F42" s="21" t="n">
        <f aca="false">'1 этаж'!AD41</f>
        <v>0</v>
      </c>
      <c r="G42" s="22" t="n">
        <f aca="false">SUM(C42:F42)</f>
        <v>104</v>
      </c>
    </row>
    <row r="43" customFormat="false" ht="15" hidden="false" customHeight="false" outlineLevel="0" collapsed="false">
      <c r="A43" s="5" t="s">
        <v>52</v>
      </c>
      <c r="B43" s="6" t="s">
        <v>41</v>
      </c>
      <c r="C43" s="21" t="n">
        <f aca="false">'1 этаж'!U42</f>
        <v>36</v>
      </c>
      <c r="D43" s="21" t="n">
        <f aca="false">'1 этаж'!X42</f>
        <v>40</v>
      </c>
      <c r="E43" s="21" t="n">
        <f aca="false">'1 этаж'!AA42</f>
        <v>0</v>
      </c>
      <c r="F43" s="21" t="n">
        <f aca="false">'1 этаж'!AD42</f>
        <v>0</v>
      </c>
      <c r="G43" s="22" t="n">
        <f aca="false">SUM(C43:F43)</f>
        <v>76</v>
      </c>
    </row>
    <row r="44" customFormat="false" ht="15" hidden="false" customHeight="false" outlineLevel="0" collapsed="false">
      <c r="A44" s="5" t="s">
        <v>53</v>
      </c>
      <c r="B44" s="6" t="s">
        <v>41</v>
      </c>
      <c r="C44" s="21" t="n">
        <f aca="false">'1 этаж'!U43</f>
        <v>36</v>
      </c>
      <c r="D44" s="21" t="n">
        <f aca="false">'1 этаж'!X43</f>
        <v>0</v>
      </c>
      <c r="E44" s="21" t="n">
        <f aca="false">'1 этаж'!AA43</f>
        <v>0</v>
      </c>
      <c r="F44" s="21" t="n">
        <f aca="false">'1 этаж'!AD43</f>
        <v>0</v>
      </c>
      <c r="G44" s="22" t="n">
        <f aca="false">SUM(C44:F44)</f>
        <v>36</v>
      </c>
    </row>
    <row r="45" customFormat="false" ht="15" hidden="false" customHeight="false" outlineLevel="0" collapsed="false">
      <c r="A45" s="5" t="s">
        <v>54</v>
      </c>
      <c r="B45" s="6" t="s">
        <v>41</v>
      </c>
      <c r="C45" s="21" t="n">
        <f aca="false">'1 этаж'!U44</f>
        <v>46</v>
      </c>
      <c r="D45" s="21" t="n">
        <f aca="false">'1 этаж'!X44</f>
        <v>0</v>
      </c>
      <c r="E45" s="21" t="n">
        <f aca="false">'1 этаж'!AA44</f>
        <v>0</v>
      </c>
      <c r="F45" s="21" t="n">
        <f aca="false">'1 этаж'!AD44</f>
        <v>0</v>
      </c>
      <c r="G45" s="22" t="n">
        <f aca="false">SUM(C45:F45)</f>
        <v>46</v>
      </c>
    </row>
    <row r="47" customFormat="false" ht="15" hidden="false" customHeight="false" outlineLevel="0" collapsed="false">
      <c r="A47" s="23" t="s">
        <v>55</v>
      </c>
    </row>
    <row r="48" customFormat="false" ht="15" hidden="false" customHeight="false" outlineLevel="0" collapsed="false">
      <c r="A48" s="24" t="s">
        <v>56</v>
      </c>
    </row>
    <row r="49" customFormat="false" ht="15" hidden="false" customHeight="false" outlineLevel="0" collapsed="false">
      <c r="A49" s="24" t="s">
        <v>57</v>
      </c>
    </row>
    <row r="50" customFormat="false" ht="15" hidden="false" customHeight="false" outlineLevel="0" collapsed="false">
      <c r="A50" s="24" t="s">
        <v>58</v>
      </c>
    </row>
  </sheetData>
  <mergeCells count="13">
    <mergeCell ref="A3:A4"/>
    <mergeCell ref="B3:B4"/>
    <mergeCell ref="C3:F3"/>
    <mergeCell ref="G3:G4"/>
    <mergeCell ref="H3:J3"/>
    <mergeCell ref="A25:A26"/>
    <mergeCell ref="B25:B26"/>
    <mergeCell ref="C25:F25"/>
    <mergeCell ref="G25:G26"/>
    <mergeCell ref="A31:A32"/>
    <mergeCell ref="B31:B32"/>
    <mergeCell ref="C31:F31"/>
    <mergeCell ref="G31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4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7" min="2" style="0" width="10.51"/>
    <col collapsed="false" customWidth="true" hidden="false" outlineLevel="0" max="32" min="18" style="0" width="9.51"/>
  </cols>
  <sheetData>
    <row r="1" customFormat="false" ht="17.35" hidden="false" customHeight="false" outlineLevel="0" collapsed="false">
      <c r="A1" s="25" t="s">
        <v>59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</row>
    <row r="2" customFormat="false" ht="23.85" hidden="false" customHeight="false" outlineLevel="0" collapsed="false">
      <c r="A2" s="24" t="s">
        <v>60</v>
      </c>
      <c r="U2" s="4" t="s">
        <v>61</v>
      </c>
      <c r="V2" s="26" t="n">
        <f aca="false">Исходные!$B$13</f>
        <v>1</v>
      </c>
      <c r="X2" s="4" t="s">
        <v>62</v>
      </c>
      <c r="Y2" s="26" t="n">
        <f aca="false">Исходные!$B$14</f>
        <v>1</v>
      </c>
    </row>
    <row r="4" customFormat="false" ht="23.85" hidden="false" customHeight="true" outlineLevel="0" collapsed="false">
      <c r="A4" s="3"/>
      <c r="B4" s="27" t="s">
        <v>63</v>
      </c>
      <c r="C4" s="27"/>
      <c r="D4" s="27"/>
      <c r="E4" s="27"/>
      <c r="F4" s="27"/>
      <c r="G4" s="27" t="s">
        <v>64</v>
      </c>
      <c r="H4" s="27"/>
      <c r="I4" s="27"/>
      <c r="J4" s="27" t="s">
        <v>65</v>
      </c>
      <c r="K4" s="27"/>
      <c r="L4" s="27"/>
      <c r="M4" s="27"/>
      <c r="N4" s="27"/>
      <c r="O4" s="27"/>
      <c r="P4" s="27" t="s">
        <v>66</v>
      </c>
      <c r="Q4" s="27" t="s">
        <v>67</v>
      </c>
      <c r="R4" s="3"/>
      <c r="S4" s="3"/>
      <c r="T4" s="3"/>
      <c r="U4" s="28" t="s">
        <v>7</v>
      </c>
      <c r="V4" s="28"/>
      <c r="W4" s="28"/>
      <c r="X4" s="28" t="s">
        <v>68</v>
      </c>
      <c r="Y4" s="28"/>
      <c r="Z4" s="28"/>
      <c r="AA4" s="28" t="s">
        <v>69</v>
      </c>
      <c r="AB4" s="28"/>
      <c r="AC4" s="28"/>
      <c r="AD4" s="28" t="s">
        <v>70</v>
      </c>
      <c r="AE4" s="28"/>
      <c r="AF4" s="28"/>
    </row>
    <row r="5" customFormat="false" ht="30" hidden="false" customHeight="true" outlineLevel="0" collapsed="false">
      <c r="A5" s="4" t="s">
        <v>71</v>
      </c>
      <c r="B5" s="4" t="s">
        <v>72</v>
      </c>
      <c r="C5" s="4" t="s">
        <v>73</v>
      </c>
      <c r="D5" s="4" t="s">
        <v>74</v>
      </c>
      <c r="E5" s="4" t="s">
        <v>75</v>
      </c>
      <c r="F5" s="4" t="s">
        <v>76</v>
      </c>
      <c r="G5" s="4" t="s">
        <v>77</v>
      </c>
      <c r="H5" s="4" t="s">
        <v>78</v>
      </c>
      <c r="I5" s="4" t="s">
        <v>79</v>
      </c>
      <c r="J5" s="4" t="s">
        <v>77</v>
      </c>
      <c r="K5" s="4" t="s">
        <v>80</v>
      </c>
      <c r="L5" s="4" t="s">
        <v>81</v>
      </c>
      <c r="M5" s="4" t="s">
        <v>79</v>
      </c>
      <c r="N5" s="4"/>
      <c r="O5" s="4" t="s">
        <v>82</v>
      </c>
      <c r="P5" s="4" t="s">
        <v>83</v>
      </c>
      <c r="Q5" s="4" t="s">
        <v>84</v>
      </c>
      <c r="R5" s="4" t="s">
        <v>30</v>
      </c>
      <c r="S5" s="4" t="s">
        <v>85</v>
      </c>
      <c r="T5" s="4" t="s">
        <v>86</v>
      </c>
      <c r="U5" s="4" t="s">
        <v>30</v>
      </c>
      <c r="V5" s="4" t="s">
        <v>85</v>
      </c>
      <c r="W5" s="4" t="s">
        <v>86</v>
      </c>
      <c r="X5" s="4" t="s">
        <v>30</v>
      </c>
      <c r="Y5" s="4" t="s">
        <v>85</v>
      </c>
      <c r="Z5" s="4" t="s">
        <v>86</v>
      </c>
      <c r="AA5" s="4" t="s">
        <v>30</v>
      </c>
      <c r="AB5" s="4" t="s">
        <v>85</v>
      </c>
      <c r="AC5" s="4" t="s">
        <v>86</v>
      </c>
      <c r="AD5" s="4" t="s">
        <v>30</v>
      </c>
      <c r="AE5" s="4" t="s">
        <v>85</v>
      </c>
      <c r="AF5" s="4" t="s">
        <v>86</v>
      </c>
    </row>
    <row r="6" customFormat="false" ht="30" hidden="false" customHeight="true" outlineLevel="0" collapsed="false">
      <c r="A6" s="4" t="s">
        <v>87</v>
      </c>
      <c r="B6" s="4" t="s">
        <v>88</v>
      </c>
      <c r="C6" s="4" t="s">
        <v>89</v>
      </c>
      <c r="D6" s="4" t="s">
        <v>90</v>
      </c>
      <c r="E6" s="4" t="s">
        <v>91</v>
      </c>
      <c r="F6" s="4" t="s">
        <v>92</v>
      </c>
      <c r="G6" s="4" t="s">
        <v>93</v>
      </c>
      <c r="H6" s="4" t="s">
        <v>94</v>
      </c>
      <c r="I6" s="4" t="s">
        <v>95</v>
      </c>
      <c r="J6" s="4" t="s">
        <v>96</v>
      </c>
      <c r="K6" s="4" t="s">
        <v>97</v>
      </c>
      <c r="L6" s="4" t="s">
        <v>98</v>
      </c>
      <c r="M6" s="4" t="s">
        <v>99</v>
      </c>
      <c r="N6" s="4" t="s">
        <v>100</v>
      </c>
      <c r="O6" s="4" t="s">
        <v>101</v>
      </c>
      <c r="P6" s="4" t="s">
        <v>102</v>
      </c>
      <c r="Q6" s="4" t="s">
        <v>103</v>
      </c>
      <c r="R6" s="4" t="s">
        <v>104</v>
      </c>
      <c r="S6" s="4"/>
      <c r="T6" s="4" t="s">
        <v>15</v>
      </c>
      <c r="U6" s="4" t="s">
        <v>104</v>
      </c>
      <c r="V6" s="4"/>
      <c r="W6" s="4" t="s">
        <v>15</v>
      </c>
      <c r="X6" s="4" t="s">
        <v>104</v>
      </c>
      <c r="Y6" s="4"/>
      <c r="Z6" s="4" t="s">
        <v>15</v>
      </c>
      <c r="AA6" s="4" t="s">
        <v>104</v>
      </c>
      <c r="AB6" s="4"/>
      <c r="AC6" s="4" t="s">
        <v>15</v>
      </c>
      <c r="AD6" s="4" t="s">
        <v>104</v>
      </c>
      <c r="AE6" s="4"/>
      <c r="AF6" s="4" t="s">
        <v>15</v>
      </c>
    </row>
    <row r="7" customFormat="false" ht="15" hidden="false" customHeight="false" outlineLevel="0" collapsed="false">
      <c r="A7" s="3" t="s">
        <v>105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</row>
    <row r="8" customFormat="false" ht="15" hidden="false" customHeight="false" outlineLevel="0" collapsed="false">
      <c r="A8" s="5" t="s">
        <v>106</v>
      </c>
      <c r="B8" s="29" t="n">
        <f aca="false">SUMIFS(Ведомость!$N$5:$N$212,Ведомость!$H$5:$H$212,32,Ведомость!$I$5:$I$212,"А500С",Ведомость!$V$5:$V$212,"Дм-1")</f>
        <v>16</v>
      </c>
      <c r="C8" s="29" t="n">
        <f aca="false">SUMIFS(Ведомость!$N$5:$N$212,Ведомость!$H$5:$H$212,32,Ведомость!$I$5:$I$212,"А500С",Ведомость!$V$5:$V$212,"Дм-2")</f>
        <v>16</v>
      </c>
      <c r="D8" s="29" t="n">
        <f aca="false">SUMIFS(Ведомость!$N$5:$N$212,Ведомость!$H$5:$H$212,32,Ведомость!$I$5:$I$212,"А500С",Ведомость!$V$5:$V$212,"Дм-3")</f>
        <v>16</v>
      </c>
      <c r="E8" s="29" t="n">
        <f aca="false">SUMIFS(Ведомость!$N$5:$N$212,Ведомость!$H$5:$H$212,32,Ведомость!$I$5:$I$212,"А500С",Ведомость!$V$5:$V$212,"Дм-4")</f>
        <v>16</v>
      </c>
      <c r="F8" s="29" t="n">
        <f aca="false">SUMIFS(Ведомость!$N$5:$N$212,Ведомость!$H$5:$H$212,32,Ведомость!$I$5:$I$212,"А500С",Ведомость!$V$5:$V$212,"Дм-5")</f>
        <v>16</v>
      </c>
      <c r="G8" s="29" t="n">
        <f aca="false">SUMIFS(Ведомость!$N$5:$N$212,Ведомость!$H$5:$H$212,32,Ведомость!$I$5:$I$212,"А500С",Ведомость!$V$5:$V$212,"Б-основная")</f>
        <v>0</v>
      </c>
      <c r="H8" s="29" t="n">
        <f aca="false">SUMIFS(Ведомость!$N$5:$N$212,Ведомость!$H$5:$H$212,32,Ведомость!$I$5:$I$212,"А500С",Ведомость!$V$5:$V$212,"Б-хомуты")</f>
        <v>0</v>
      </c>
      <c r="I8" s="29" t="n">
        <f aca="false">SUMIFS(Ведомость!$N$5:$N$212,Ведомость!$H$5:$H$212,32,Ведомость!$I$5:$I$212,"А500С",Ведомость!$V$5:$V$212,"Б-допник")</f>
        <v>0</v>
      </c>
      <c r="J8" s="29" t="n">
        <f aca="false">SUMIFS(Ведомость!$N$5:$N$212,Ведомость!$H$5:$H$212,32,Ведомость!$I$5:$I$212,"А500С",Ведомость!$V$5:$V$212,"П-сетка")</f>
        <v>0</v>
      </c>
      <c r="K8" s="29" t="n">
        <f aca="false">SUMIFS(Ведомость!$N$5:$N$212,Ведомость!$H$5:$H$212,32,Ведомость!$I$5:$I$212,"А500С",Ведомость!$V$5:$V$212,"П-фикс")</f>
        <v>0</v>
      </c>
      <c r="L8" s="29" t="n">
        <f aca="false">SUMIFS(Ведомость!$N$5:$N$212,Ведомость!$H$5:$H$212,32,Ведомость!$I$5:$I$212,"А500С",Ведомость!$V$5:$V$212,"П-отв")</f>
        <v>0</v>
      </c>
      <c r="M8" s="29" t="n">
        <f aca="false">SUMIFS(Ведомость!$N$5:$N$212,Ведомость!$H$5:$H$212,32,Ведомость!$I$5:$I$212,"А500С",Ведомость!$V$5:$V$212,"П-доп-низ")</f>
        <v>0</v>
      </c>
      <c r="N8" s="29" t="n">
        <f aca="false">SUMIFS(Ведомость!$N$5:$N$212,Ведомость!$H$5:$H$212,32,Ведомость!$I$5:$I$212,"А500С",Ведомость!$V$5:$V$212,"П-доп-верх")</f>
        <v>0</v>
      </c>
      <c r="O8" s="29" t="n">
        <f aca="false">SUMIFS(Ведомость!$N$5:$N$212,Ведомость!$H$5:$H$212,32,Ведомость!$I$5:$I$212,"А500С",Ведомость!$V$5:$V$212,"П-край")</f>
        <v>0</v>
      </c>
      <c r="P8" s="29" t="n">
        <f aca="false">SUMIFS(Ведомость!$N$5:$N$212,Ведомость!$H$5:$H$212,32,Ведомость!$I$5:$I$212,"А500С",Ведомость!$V$5:$V$212,"ЛВ-1")</f>
        <v>0</v>
      </c>
      <c r="Q8" s="29" t="n">
        <f aca="false">SUMIFS(Ведомость!$N$5:$N$212,Ведомость!$H$5:$H$212,32,Ведомость!$I$5:$I$212,"А500С",Ведомость!$V$5:$V$212,"С-1")</f>
        <v>0</v>
      </c>
      <c r="R8" s="30" t="n">
        <f aca="false">SUM(B8:Q8)</f>
        <v>80</v>
      </c>
      <c r="S8" s="31" t="n">
        <f aca="false">IFERROR(INDEX(Исходные!$B$18:$B$29,MATCH(32,Исходные!$A$18:$A$29,0)),0)</f>
        <v>6.313</v>
      </c>
      <c r="T8" s="30" t="n">
        <f aca="false">R8*S8*$V$2</f>
        <v>505.04</v>
      </c>
      <c r="U8" s="32" t="n">
        <f aca="false">SUM(B8:F8)</f>
        <v>80</v>
      </c>
      <c r="V8" s="33" t="n">
        <f aca="false">S8</f>
        <v>6.313</v>
      </c>
      <c r="W8" s="34" t="n">
        <f aca="false">U8*V8*$V$2</f>
        <v>505.04</v>
      </c>
      <c r="X8" s="32" t="n">
        <f aca="false">SUM(G8:O8)</f>
        <v>0</v>
      </c>
      <c r="Y8" s="33" t="n">
        <f aca="false">S8</f>
        <v>6.313</v>
      </c>
      <c r="Z8" s="34" t="n">
        <f aca="false">X8*Y8*$V$2</f>
        <v>0</v>
      </c>
      <c r="AA8" s="32" t="n">
        <f aca="false">SUM(P8:P8)</f>
        <v>0</v>
      </c>
      <c r="AB8" s="33" t="n">
        <f aca="false">S8</f>
        <v>6.313</v>
      </c>
      <c r="AC8" s="34" t="n">
        <f aca="false">AA8*AB8*$V$2</f>
        <v>0</v>
      </c>
      <c r="AD8" s="32" t="n">
        <f aca="false">SUM(Q8:Q8)</f>
        <v>0</v>
      </c>
      <c r="AE8" s="33" t="n">
        <f aca="false">S8</f>
        <v>6.313</v>
      </c>
      <c r="AF8" s="34" t="n">
        <f aca="false">AD8*AE8*$V$2</f>
        <v>0</v>
      </c>
    </row>
    <row r="9" customFormat="false" ht="15" hidden="false" customHeight="false" outlineLevel="0" collapsed="false">
      <c r="A9" s="5" t="s">
        <v>107</v>
      </c>
      <c r="B9" s="29" t="n">
        <f aca="false">SUMIFS(Ведомость!$N$5:$N$212,Ведомость!$H$5:$H$212,28,Ведомость!$I$5:$I$212,"А500С",Ведомость!$V$5:$V$212,"Дм-1")</f>
        <v>128</v>
      </c>
      <c r="C9" s="29" t="n">
        <f aca="false">SUMIFS(Ведомость!$N$5:$N$212,Ведомость!$H$5:$H$212,28,Ведомость!$I$5:$I$212,"А500С",Ведомость!$V$5:$V$212,"Дм-2")</f>
        <v>88</v>
      </c>
      <c r="D9" s="29" t="n">
        <f aca="false">SUMIFS(Ведомость!$N$5:$N$212,Ведомость!$H$5:$H$212,28,Ведомость!$I$5:$I$212,"А500С",Ведомость!$V$5:$V$212,"Дм-3")</f>
        <v>88</v>
      </c>
      <c r="E9" s="29" t="n">
        <f aca="false">SUMIFS(Ведомость!$N$5:$N$212,Ведомость!$H$5:$H$212,28,Ведомость!$I$5:$I$212,"А500С",Ведомость!$V$5:$V$212,"Дм-4")</f>
        <v>56</v>
      </c>
      <c r="F9" s="29" t="n">
        <f aca="false">SUMIFS(Ведомость!$N$5:$N$212,Ведомость!$H$5:$H$212,28,Ведомость!$I$5:$I$212,"А500С",Ведомость!$V$5:$V$212,"Дм-5")</f>
        <v>56</v>
      </c>
      <c r="G9" s="29" t="n">
        <f aca="false">SUMIFS(Ведомость!$N$5:$N$212,Ведомость!$H$5:$H$212,28,Ведомость!$I$5:$I$212,"А500С",Ведомость!$V$5:$V$212,"Б-основная")</f>
        <v>0</v>
      </c>
      <c r="H9" s="29" t="n">
        <f aca="false">SUMIFS(Ведомость!$N$5:$N$212,Ведомость!$H$5:$H$212,28,Ведомость!$I$5:$I$212,"А500С",Ведомость!$V$5:$V$212,"Б-хомуты")</f>
        <v>0</v>
      </c>
      <c r="I9" s="29" t="n">
        <f aca="false">SUMIFS(Ведомость!$N$5:$N$212,Ведомость!$H$5:$H$212,28,Ведомость!$I$5:$I$212,"А500С",Ведомость!$V$5:$V$212,"Б-допник")</f>
        <v>0</v>
      </c>
      <c r="J9" s="29" t="n">
        <f aca="false">SUMIFS(Ведомость!$N$5:$N$212,Ведомость!$H$5:$H$212,28,Ведомость!$I$5:$I$212,"А500С",Ведомость!$V$5:$V$212,"П-сетка")</f>
        <v>0</v>
      </c>
      <c r="K9" s="29" t="n">
        <f aca="false">SUMIFS(Ведомость!$N$5:$N$212,Ведомость!$H$5:$H$212,28,Ведомость!$I$5:$I$212,"А500С",Ведомость!$V$5:$V$212,"П-фикс")</f>
        <v>0</v>
      </c>
      <c r="L9" s="29" t="n">
        <f aca="false">SUMIFS(Ведомость!$N$5:$N$212,Ведомость!$H$5:$H$212,28,Ведомость!$I$5:$I$212,"А500С",Ведомость!$V$5:$V$212,"П-отв")</f>
        <v>0</v>
      </c>
      <c r="M9" s="29" t="n">
        <f aca="false">SUMIFS(Ведомость!$N$5:$N$212,Ведомость!$H$5:$H$212,28,Ведомость!$I$5:$I$212,"А500С",Ведомость!$V$5:$V$212,"П-доп-низ")</f>
        <v>0</v>
      </c>
      <c r="N9" s="29" t="n">
        <f aca="false">SUMIFS(Ведомость!$N$5:$N$212,Ведомость!$H$5:$H$212,28,Ведомость!$I$5:$I$212,"А500С",Ведомость!$V$5:$V$212,"П-доп-верх")</f>
        <v>0</v>
      </c>
      <c r="O9" s="29" t="n">
        <f aca="false">SUMIFS(Ведомость!$N$5:$N$212,Ведомость!$H$5:$H$212,28,Ведомость!$I$5:$I$212,"А500С",Ведомость!$V$5:$V$212,"П-край")</f>
        <v>0</v>
      </c>
      <c r="P9" s="29" t="n">
        <f aca="false">SUMIFS(Ведомость!$N$5:$N$212,Ведомость!$H$5:$H$212,28,Ведомость!$I$5:$I$212,"А500С",Ведомость!$V$5:$V$212,"ЛВ-1")</f>
        <v>0</v>
      </c>
      <c r="Q9" s="29" t="n">
        <f aca="false">SUMIFS(Ведомость!$N$5:$N$212,Ведомость!$H$5:$H$212,28,Ведомость!$I$5:$I$212,"А500С",Ведомость!$V$5:$V$212,"С-1")</f>
        <v>0</v>
      </c>
      <c r="R9" s="30" t="n">
        <f aca="false">SUM(B9:Q9)</f>
        <v>416</v>
      </c>
      <c r="S9" s="31" t="n">
        <f aca="false">IFERROR(INDEX(Исходные!$B$18:$B$29,MATCH(28,Исходные!$A$18:$A$29,0)),0)</f>
        <v>4.834</v>
      </c>
      <c r="T9" s="30" t="n">
        <f aca="false">R9*S9*$V$2</f>
        <v>2010.944</v>
      </c>
      <c r="U9" s="32" t="n">
        <f aca="false">SUM(B9:F9)</f>
        <v>416</v>
      </c>
      <c r="V9" s="33" t="n">
        <f aca="false">S9</f>
        <v>4.834</v>
      </c>
      <c r="W9" s="34" t="n">
        <f aca="false">U9*V9*$V$2</f>
        <v>2010.944</v>
      </c>
      <c r="X9" s="32" t="n">
        <f aca="false">SUM(G9:O9)</f>
        <v>0</v>
      </c>
      <c r="Y9" s="33" t="n">
        <f aca="false">S9</f>
        <v>4.834</v>
      </c>
      <c r="Z9" s="34" t="n">
        <f aca="false">X9*Y9*$V$2</f>
        <v>0</v>
      </c>
      <c r="AA9" s="32" t="n">
        <f aca="false">SUM(P9:P9)</f>
        <v>0</v>
      </c>
      <c r="AB9" s="33" t="n">
        <f aca="false">S9</f>
        <v>4.834</v>
      </c>
      <c r="AC9" s="34" t="n">
        <f aca="false">AA9*AB9*$V$2</f>
        <v>0</v>
      </c>
      <c r="AD9" s="32" t="n">
        <f aca="false">SUM(Q9:Q9)</f>
        <v>0</v>
      </c>
      <c r="AE9" s="33" t="n">
        <f aca="false">S9</f>
        <v>4.834</v>
      </c>
      <c r="AF9" s="34" t="n">
        <f aca="false">AD9*AE9*$V$2</f>
        <v>0</v>
      </c>
    </row>
    <row r="10" customFormat="false" ht="15" hidden="false" customHeight="false" outlineLevel="0" collapsed="false">
      <c r="A10" s="5" t="s">
        <v>108</v>
      </c>
      <c r="B10" s="29" t="n">
        <f aca="false">SUMIFS(Ведомость!$N$5:$N$212,Ведомость!$H$5:$H$212,25,Ведомость!$I$5:$I$212,"А500С",Ведомость!$V$5:$V$212,"Дм-1")</f>
        <v>32</v>
      </c>
      <c r="C10" s="29" t="n">
        <f aca="false">SUMIFS(Ведомость!$N$5:$N$212,Ведомость!$H$5:$H$212,25,Ведомость!$I$5:$I$212,"А500С",Ведомость!$V$5:$V$212,"Дм-2")</f>
        <v>32</v>
      </c>
      <c r="D10" s="29" t="n">
        <f aca="false">SUMIFS(Ведомость!$N$5:$N$212,Ведомость!$H$5:$H$212,25,Ведомость!$I$5:$I$212,"А500С",Ведомость!$V$5:$V$212,"Дм-3")</f>
        <v>40</v>
      </c>
      <c r="E10" s="29" t="n">
        <f aca="false">SUMIFS(Ведомость!$N$5:$N$212,Ведомость!$H$5:$H$212,25,Ведомость!$I$5:$I$212,"А500С",Ведомость!$V$5:$V$212,"Дм-4")</f>
        <v>0</v>
      </c>
      <c r="F10" s="29" t="n">
        <f aca="false">SUMIFS(Ведомость!$N$5:$N$212,Ведомость!$H$5:$H$212,25,Ведомость!$I$5:$I$212,"А500С",Ведомость!$V$5:$V$212,"Дм-5")</f>
        <v>40</v>
      </c>
      <c r="G10" s="29" t="n">
        <f aca="false">SUMIFS(Ведомость!$N$5:$N$212,Ведомость!$H$5:$H$212,25,Ведомость!$I$5:$I$212,"А500С",Ведомость!$V$5:$V$212,"Б-основная")</f>
        <v>635.4</v>
      </c>
      <c r="H10" s="29" t="n">
        <f aca="false">SUMIFS(Ведомость!$N$5:$N$212,Ведомость!$H$5:$H$212,25,Ведомость!$I$5:$I$212,"А500С",Ведомость!$V$5:$V$212,"Б-хомуты")</f>
        <v>0</v>
      </c>
      <c r="I10" s="29" t="n">
        <f aca="false">SUMIFS(Ведомость!$N$5:$N$212,Ведомость!$H$5:$H$212,25,Ведомость!$I$5:$I$212,"А500С",Ведомость!$V$5:$V$212,"Б-допник")</f>
        <v>0</v>
      </c>
      <c r="J10" s="29" t="n">
        <f aca="false">SUMIFS(Ведомость!$N$5:$N$212,Ведомость!$H$5:$H$212,25,Ведомость!$I$5:$I$212,"А500С",Ведомость!$V$5:$V$212,"П-сетка")</f>
        <v>0</v>
      </c>
      <c r="K10" s="29" t="n">
        <f aca="false">SUMIFS(Ведомость!$N$5:$N$212,Ведомость!$H$5:$H$212,25,Ведомость!$I$5:$I$212,"А500С",Ведомость!$V$5:$V$212,"П-фикс")</f>
        <v>0</v>
      </c>
      <c r="L10" s="29" t="n">
        <f aca="false">SUMIFS(Ведомость!$N$5:$N$212,Ведомость!$H$5:$H$212,25,Ведомость!$I$5:$I$212,"А500С",Ведомость!$V$5:$V$212,"П-отв")</f>
        <v>0</v>
      </c>
      <c r="M10" s="29" t="n">
        <f aca="false">SUMIFS(Ведомость!$N$5:$N$212,Ведомость!$H$5:$H$212,25,Ведомость!$I$5:$I$212,"А500С",Ведомость!$V$5:$V$212,"П-доп-низ")</f>
        <v>0</v>
      </c>
      <c r="N10" s="29" t="n">
        <f aca="false">SUMIFS(Ведомость!$N$5:$N$212,Ведомость!$H$5:$H$212,25,Ведомость!$I$5:$I$212,"А500С",Ведомость!$V$5:$V$212,"П-доп-верх")</f>
        <v>0</v>
      </c>
      <c r="O10" s="29" t="n">
        <f aca="false">SUMIFS(Ведомость!$N$5:$N$212,Ведомость!$H$5:$H$212,25,Ведомость!$I$5:$I$212,"А500С",Ведомость!$V$5:$V$212,"П-край")</f>
        <v>0</v>
      </c>
      <c r="P10" s="29" t="n">
        <f aca="false">SUMIFS(Ведомость!$N$5:$N$212,Ведомость!$H$5:$H$212,25,Ведомость!$I$5:$I$212,"А500С",Ведомость!$V$5:$V$212,"ЛВ-1")</f>
        <v>0</v>
      </c>
      <c r="Q10" s="29" t="n">
        <f aca="false">SUMIFS(Ведомость!$N$5:$N$212,Ведомость!$H$5:$H$212,25,Ведомость!$I$5:$I$212,"А500С",Ведомость!$V$5:$V$212,"С-1")</f>
        <v>0</v>
      </c>
      <c r="R10" s="30" t="n">
        <f aca="false">SUM(B10:Q10)</f>
        <v>779.4</v>
      </c>
      <c r="S10" s="31" t="n">
        <f aca="false">IFERROR(INDEX(Исходные!$B$18:$B$29,MATCH(25,Исходные!$A$18:$A$29,0)),0)</f>
        <v>3.853</v>
      </c>
      <c r="T10" s="30" t="n">
        <f aca="false">R10*S10*$V$2</f>
        <v>3003.0282</v>
      </c>
      <c r="U10" s="32" t="n">
        <f aca="false">SUM(B10:F10)</f>
        <v>144</v>
      </c>
      <c r="V10" s="33" t="n">
        <f aca="false">S10</f>
        <v>3.853</v>
      </c>
      <c r="W10" s="34" t="n">
        <f aca="false">U10*V10*$V$2</f>
        <v>554.832</v>
      </c>
      <c r="X10" s="32" t="n">
        <f aca="false">SUM(G10:O10)</f>
        <v>635.4</v>
      </c>
      <c r="Y10" s="33" t="n">
        <f aca="false">S10</f>
        <v>3.853</v>
      </c>
      <c r="Z10" s="34" t="n">
        <f aca="false">X10*Y10*$V$2</f>
        <v>2448.1962</v>
      </c>
      <c r="AA10" s="32" t="n">
        <f aca="false">SUM(P10:P10)</f>
        <v>0</v>
      </c>
      <c r="AB10" s="33" t="n">
        <f aca="false">S10</f>
        <v>3.853</v>
      </c>
      <c r="AC10" s="34" t="n">
        <f aca="false">AA10*AB10*$V$2</f>
        <v>0</v>
      </c>
      <c r="AD10" s="32" t="n">
        <f aca="false">SUM(Q10:Q10)</f>
        <v>0</v>
      </c>
      <c r="AE10" s="33" t="n">
        <f aca="false">S10</f>
        <v>3.853</v>
      </c>
      <c r="AF10" s="34" t="n">
        <f aca="false">AD10*AE10*$V$2</f>
        <v>0</v>
      </c>
    </row>
    <row r="11" customFormat="false" ht="15" hidden="false" customHeight="false" outlineLevel="0" collapsed="false">
      <c r="A11" s="5" t="s">
        <v>109</v>
      </c>
      <c r="B11" s="29" t="n">
        <f aca="false">SUMIFS(Ведомость!$N$5:$N$212,Ведомость!$H$5:$H$212,22,Ведомость!$I$5:$I$212,"А500С",Ведомость!$V$5:$V$212,"Дм-1")</f>
        <v>0</v>
      </c>
      <c r="C11" s="29" t="n">
        <f aca="false">SUMIFS(Ведомость!$N$5:$N$212,Ведомость!$H$5:$H$212,22,Ведомость!$I$5:$I$212,"А500С",Ведомость!$V$5:$V$212,"Дм-2")</f>
        <v>64</v>
      </c>
      <c r="D11" s="29" t="n">
        <f aca="false">SUMIFS(Ведомость!$N$5:$N$212,Ведомость!$H$5:$H$212,22,Ведомость!$I$5:$I$212,"А500С",Ведомость!$V$5:$V$212,"Дм-3")</f>
        <v>69</v>
      </c>
      <c r="E11" s="29" t="n">
        <f aca="false">SUMIFS(Ведомость!$N$5:$N$212,Ведомость!$H$5:$H$212,22,Ведомость!$I$5:$I$212,"А500С",Ведомость!$V$5:$V$212,"Дм-4")</f>
        <v>0</v>
      </c>
      <c r="F11" s="29" t="n">
        <f aca="false">SUMIFS(Ведомость!$N$5:$N$212,Ведомость!$H$5:$H$212,22,Ведомость!$I$5:$I$212,"А500С",Ведомость!$V$5:$V$212,"Дм-5")</f>
        <v>24</v>
      </c>
      <c r="G11" s="29" t="n">
        <f aca="false">SUMIFS(Ведомость!$N$5:$N$212,Ведомость!$H$5:$H$212,22,Ведомость!$I$5:$I$212,"А500С",Ведомость!$V$5:$V$212,"Б-основная")</f>
        <v>158.8</v>
      </c>
      <c r="H11" s="29" t="n">
        <f aca="false">SUMIFS(Ведомость!$N$5:$N$212,Ведомость!$H$5:$H$212,22,Ведомость!$I$5:$I$212,"А500С",Ведомость!$V$5:$V$212,"Б-хомуты")</f>
        <v>0</v>
      </c>
      <c r="I11" s="29" t="n">
        <f aca="false">SUMIFS(Ведомость!$N$5:$N$212,Ведомость!$H$5:$H$212,22,Ведомость!$I$5:$I$212,"А500С",Ведомость!$V$5:$V$212,"Б-допник")</f>
        <v>0</v>
      </c>
      <c r="J11" s="29" t="n">
        <f aca="false">SUMIFS(Ведомость!$N$5:$N$212,Ведомость!$H$5:$H$212,22,Ведомость!$I$5:$I$212,"А500С",Ведомость!$V$5:$V$212,"П-сетка")</f>
        <v>0</v>
      </c>
      <c r="K11" s="29" t="n">
        <f aca="false">SUMIFS(Ведомость!$N$5:$N$212,Ведомость!$H$5:$H$212,22,Ведомость!$I$5:$I$212,"А500С",Ведомость!$V$5:$V$212,"П-фикс")</f>
        <v>0</v>
      </c>
      <c r="L11" s="29" t="n">
        <f aca="false">SUMIFS(Ведомость!$N$5:$N$212,Ведомость!$H$5:$H$212,22,Ведомость!$I$5:$I$212,"А500С",Ведомость!$V$5:$V$212,"П-отв")</f>
        <v>0</v>
      </c>
      <c r="M11" s="29" t="n">
        <f aca="false">SUMIFS(Ведомость!$N$5:$N$212,Ведомость!$H$5:$H$212,22,Ведомость!$I$5:$I$212,"А500С",Ведомость!$V$5:$V$212,"П-доп-низ")</f>
        <v>0</v>
      </c>
      <c r="N11" s="29" t="n">
        <f aca="false">SUMIFS(Ведомость!$N$5:$N$212,Ведомость!$H$5:$H$212,22,Ведомость!$I$5:$I$212,"А500С",Ведомость!$V$5:$V$212,"П-доп-верх")</f>
        <v>0</v>
      </c>
      <c r="O11" s="29" t="n">
        <f aca="false">SUMIFS(Ведомость!$N$5:$N$212,Ведомость!$H$5:$H$212,22,Ведомость!$I$5:$I$212,"А500С",Ведомость!$V$5:$V$212,"П-край")</f>
        <v>0</v>
      </c>
      <c r="P11" s="29" t="n">
        <f aca="false">SUMIFS(Ведомость!$N$5:$N$212,Ведомость!$H$5:$H$212,22,Ведомость!$I$5:$I$212,"А500С",Ведомость!$V$5:$V$212,"ЛВ-1")</f>
        <v>0</v>
      </c>
      <c r="Q11" s="29" t="n">
        <f aca="false">SUMIFS(Ведомость!$N$5:$N$212,Ведомость!$H$5:$H$212,22,Ведомость!$I$5:$I$212,"А500С",Ведомость!$V$5:$V$212,"С-1")</f>
        <v>0</v>
      </c>
      <c r="R11" s="30" t="n">
        <f aca="false">SUM(B11:Q11)</f>
        <v>315.8</v>
      </c>
      <c r="S11" s="31" t="n">
        <f aca="false">IFERROR(INDEX(Исходные!$B$18:$B$29,MATCH(22,Исходные!$A$18:$A$29,0)),0)</f>
        <v>2.984</v>
      </c>
      <c r="T11" s="30" t="n">
        <f aca="false">R11*S11*$V$2</f>
        <v>942.3472</v>
      </c>
      <c r="U11" s="32" t="n">
        <f aca="false">SUM(B11:F11)</f>
        <v>157</v>
      </c>
      <c r="V11" s="33" t="n">
        <f aca="false">S11</f>
        <v>2.984</v>
      </c>
      <c r="W11" s="34" t="n">
        <f aca="false">U11*V11*$V$2</f>
        <v>468.488</v>
      </c>
      <c r="X11" s="32" t="n">
        <f aca="false">SUM(G11:O11)</f>
        <v>158.8</v>
      </c>
      <c r="Y11" s="33" t="n">
        <f aca="false">S11</f>
        <v>2.984</v>
      </c>
      <c r="Z11" s="34" t="n">
        <f aca="false">X11*Y11*$V$2</f>
        <v>473.8592</v>
      </c>
      <c r="AA11" s="32" t="n">
        <f aca="false">SUM(P11:P11)</f>
        <v>0</v>
      </c>
      <c r="AB11" s="33" t="n">
        <f aca="false">S11</f>
        <v>2.984</v>
      </c>
      <c r="AC11" s="34" t="n">
        <f aca="false">AA11*AB11*$V$2</f>
        <v>0</v>
      </c>
      <c r="AD11" s="32" t="n">
        <f aca="false">SUM(Q11:Q11)</f>
        <v>0</v>
      </c>
      <c r="AE11" s="33" t="n">
        <f aca="false">S11</f>
        <v>2.984</v>
      </c>
      <c r="AF11" s="34" t="n">
        <f aca="false">AD11*AE11*$V$2</f>
        <v>0</v>
      </c>
    </row>
    <row r="12" customFormat="false" ht="15" hidden="false" customHeight="false" outlineLevel="0" collapsed="false">
      <c r="A12" s="5" t="s">
        <v>110</v>
      </c>
      <c r="B12" s="29" t="n">
        <f aca="false">SUMIFS(Ведомость!$N$5:$N$212,Ведомость!$H$5:$H$212,20,Ведомость!$I$5:$I$212,"А500С",Ведомость!$V$5:$V$212,"Дм-1")</f>
        <v>90.7</v>
      </c>
      <c r="C12" s="29" t="n">
        <f aca="false">SUMIFS(Ведомость!$N$5:$N$212,Ведомость!$H$5:$H$212,20,Ведомость!$I$5:$I$212,"А500С",Ведомость!$V$5:$V$212,"Дм-2")</f>
        <v>28</v>
      </c>
      <c r="D12" s="29" t="n">
        <f aca="false">SUMIFS(Ведомость!$N$5:$N$212,Ведомость!$H$5:$H$212,20,Ведомость!$I$5:$I$212,"А500С",Ведомость!$V$5:$V$212,"Дм-3")</f>
        <v>32</v>
      </c>
      <c r="E12" s="29" t="n">
        <f aca="false">SUMIFS(Ведомость!$N$5:$N$212,Ведомость!$H$5:$H$212,20,Ведомость!$I$5:$I$212,"А500С",Ведомость!$V$5:$V$212,"Дм-4")</f>
        <v>40</v>
      </c>
      <c r="F12" s="29" t="n">
        <f aca="false">SUMIFS(Ведомость!$N$5:$N$212,Ведомость!$H$5:$H$212,20,Ведомость!$I$5:$I$212,"А500С",Ведомость!$V$5:$V$212,"Дм-5")</f>
        <v>32</v>
      </c>
      <c r="G12" s="29" t="n">
        <f aca="false">SUMIFS(Ведомость!$N$5:$N$212,Ведомость!$H$5:$H$212,20,Ведомость!$I$5:$I$212,"А500С",Ведомость!$V$5:$V$212,"Б-основная")</f>
        <v>57.04</v>
      </c>
      <c r="H12" s="29" t="n">
        <f aca="false">SUMIFS(Ведомость!$N$5:$N$212,Ведомость!$H$5:$H$212,20,Ведомость!$I$5:$I$212,"А500С",Ведомость!$V$5:$V$212,"Б-хомуты")</f>
        <v>0</v>
      </c>
      <c r="I12" s="29" t="n">
        <f aca="false">SUMIFS(Ведомость!$N$5:$N$212,Ведомость!$H$5:$H$212,20,Ведомость!$I$5:$I$212,"А500С",Ведомость!$V$5:$V$212,"Б-допник")</f>
        <v>0</v>
      </c>
      <c r="J12" s="29" t="n">
        <f aca="false">SUMIFS(Ведомость!$N$5:$N$212,Ведомость!$H$5:$H$212,20,Ведомость!$I$5:$I$212,"А500С",Ведомость!$V$5:$V$212,"П-сетка")</f>
        <v>0</v>
      </c>
      <c r="K12" s="29" t="n">
        <f aca="false">SUMIFS(Ведомость!$N$5:$N$212,Ведомость!$H$5:$H$212,20,Ведомость!$I$5:$I$212,"А500С",Ведомость!$V$5:$V$212,"П-фикс")</f>
        <v>0</v>
      </c>
      <c r="L12" s="29" t="n">
        <f aca="false">SUMIFS(Ведомость!$N$5:$N$212,Ведомость!$H$5:$H$212,20,Ведомость!$I$5:$I$212,"А500С",Ведомость!$V$5:$V$212,"П-отв")</f>
        <v>0</v>
      </c>
      <c r="M12" s="29" t="n">
        <f aca="false">SUMIFS(Ведомость!$N$5:$N$212,Ведомость!$H$5:$H$212,20,Ведомость!$I$5:$I$212,"А500С",Ведомость!$V$5:$V$212,"П-доп-низ")</f>
        <v>0</v>
      </c>
      <c r="N12" s="29" t="n">
        <f aca="false">SUMIFS(Ведомость!$N$5:$N$212,Ведомость!$H$5:$H$212,20,Ведомость!$I$5:$I$212,"А500С",Ведомость!$V$5:$V$212,"П-доп-верх")</f>
        <v>12</v>
      </c>
      <c r="O12" s="29" t="n">
        <f aca="false">SUMIFS(Ведомость!$N$5:$N$212,Ведомость!$H$5:$H$212,20,Ведомость!$I$5:$I$212,"А500С",Ведомость!$V$5:$V$212,"П-край")</f>
        <v>0</v>
      </c>
      <c r="P12" s="29" t="n">
        <f aca="false">SUMIFS(Ведомость!$N$5:$N$212,Ведомость!$H$5:$H$212,20,Ведомость!$I$5:$I$212,"А500С",Ведомость!$V$5:$V$212,"ЛВ-1")</f>
        <v>0</v>
      </c>
      <c r="Q12" s="29" t="n">
        <f aca="false">SUMIFS(Ведомость!$N$5:$N$212,Ведомость!$H$5:$H$212,20,Ведомость!$I$5:$I$212,"А500С",Ведомость!$V$5:$V$212,"С-1")</f>
        <v>0</v>
      </c>
      <c r="R12" s="30" t="n">
        <f aca="false">SUM(B12:Q12)</f>
        <v>291.74</v>
      </c>
      <c r="S12" s="31" t="n">
        <f aca="false">IFERROR(INDEX(Исходные!$B$18:$B$29,MATCH(20,Исходные!$A$18:$A$29,0)),0)</f>
        <v>2.466</v>
      </c>
      <c r="T12" s="30" t="n">
        <f aca="false">R12*S12*$V$2</f>
        <v>719.43084</v>
      </c>
      <c r="U12" s="32" t="n">
        <f aca="false">SUM(B12:F12)</f>
        <v>222.7</v>
      </c>
      <c r="V12" s="33" t="n">
        <f aca="false">S12</f>
        <v>2.466</v>
      </c>
      <c r="W12" s="34" t="n">
        <f aca="false">U12*V12*$V$2</f>
        <v>549.1782</v>
      </c>
      <c r="X12" s="32" t="n">
        <f aca="false">SUM(G12:O12)</f>
        <v>69.04</v>
      </c>
      <c r="Y12" s="33" t="n">
        <f aca="false">S12</f>
        <v>2.466</v>
      </c>
      <c r="Z12" s="34" t="n">
        <f aca="false">X12*Y12*$V$2</f>
        <v>170.25264</v>
      </c>
      <c r="AA12" s="32" t="n">
        <f aca="false">SUM(P12:P12)</f>
        <v>0</v>
      </c>
      <c r="AB12" s="33" t="n">
        <f aca="false">S12</f>
        <v>2.466</v>
      </c>
      <c r="AC12" s="34" t="n">
        <f aca="false">AA12*AB12*$V$2</f>
        <v>0</v>
      </c>
      <c r="AD12" s="32" t="n">
        <f aca="false">SUM(Q12:Q12)</f>
        <v>0</v>
      </c>
      <c r="AE12" s="33" t="n">
        <f aca="false">S12</f>
        <v>2.466</v>
      </c>
      <c r="AF12" s="34" t="n">
        <f aca="false">AD12*AE12*$V$2</f>
        <v>0</v>
      </c>
    </row>
    <row r="13" customFormat="false" ht="15" hidden="false" customHeight="false" outlineLevel="0" collapsed="false">
      <c r="A13" s="5" t="s">
        <v>111</v>
      </c>
      <c r="B13" s="29" t="n">
        <f aca="false">SUMIFS(Ведомость!$N$5:$N$212,Ведомость!$H$5:$H$212,18,Ведомость!$I$5:$I$212,"А500С",Ведомость!$V$5:$V$212,"Дм-1")</f>
        <v>107.496</v>
      </c>
      <c r="C13" s="29" t="n">
        <f aca="false">SUMIFS(Ведомость!$N$5:$N$212,Ведомость!$H$5:$H$212,18,Ведомость!$I$5:$I$212,"А500С",Ведомость!$V$5:$V$212,"Дм-2")</f>
        <v>0</v>
      </c>
      <c r="D13" s="29" t="n">
        <f aca="false">SUMIFS(Ведомость!$N$5:$N$212,Ведомость!$H$5:$H$212,18,Ведомость!$I$5:$I$212,"А500С",Ведомость!$V$5:$V$212,"Дм-3")</f>
        <v>18.644</v>
      </c>
      <c r="E13" s="29" t="n">
        <f aca="false">SUMIFS(Ведомость!$N$5:$N$212,Ведомость!$H$5:$H$212,18,Ведомость!$I$5:$I$212,"А500С",Ведомость!$V$5:$V$212,"Дм-4")</f>
        <v>14.5</v>
      </c>
      <c r="F13" s="29" t="n">
        <f aca="false">SUMIFS(Ведомость!$N$5:$N$212,Ведомость!$H$5:$H$212,18,Ведомость!$I$5:$I$212,"А500С",Ведомость!$V$5:$V$212,"Дм-5")</f>
        <v>0</v>
      </c>
      <c r="G13" s="29" t="n">
        <f aca="false">SUMIFS(Ведомость!$N$5:$N$212,Ведомость!$H$5:$H$212,18,Ведомость!$I$5:$I$212,"А500С",Ведомость!$V$5:$V$212,"Б-основная")</f>
        <v>0</v>
      </c>
      <c r="H13" s="29" t="n">
        <f aca="false">SUMIFS(Ведомость!$N$5:$N$212,Ведомость!$H$5:$H$212,18,Ведомость!$I$5:$I$212,"А500С",Ведомость!$V$5:$V$212,"Б-хомуты")</f>
        <v>0</v>
      </c>
      <c r="I13" s="29" t="n">
        <f aca="false">SUMIFS(Ведомость!$N$5:$N$212,Ведомость!$H$5:$H$212,18,Ведомость!$I$5:$I$212,"А500С",Ведомость!$V$5:$V$212,"Б-допник")</f>
        <v>50.4</v>
      </c>
      <c r="J13" s="29" t="n">
        <f aca="false">SUMIFS(Ведомость!$N$5:$N$212,Ведомость!$H$5:$H$212,18,Ведомость!$I$5:$I$212,"А500С",Ведомость!$V$5:$V$212,"П-сетка")</f>
        <v>0</v>
      </c>
      <c r="K13" s="29" t="n">
        <f aca="false">SUMIFS(Ведомость!$N$5:$N$212,Ведомость!$H$5:$H$212,18,Ведомость!$I$5:$I$212,"А500С",Ведомость!$V$5:$V$212,"П-фикс")</f>
        <v>0</v>
      </c>
      <c r="L13" s="29" t="n">
        <f aca="false">SUMIFS(Ведомость!$N$5:$N$212,Ведомость!$H$5:$H$212,18,Ведомость!$I$5:$I$212,"А500С",Ведомость!$V$5:$V$212,"П-отв")</f>
        <v>0</v>
      </c>
      <c r="M13" s="29" t="n">
        <f aca="false">SUMIFS(Ведомость!$N$5:$N$212,Ведомость!$H$5:$H$212,18,Ведомость!$I$5:$I$212,"А500С",Ведомость!$V$5:$V$212,"П-доп-низ")</f>
        <v>0</v>
      </c>
      <c r="N13" s="29" t="n">
        <f aca="false">SUMIFS(Ведомость!$N$5:$N$212,Ведомость!$H$5:$H$212,18,Ведомость!$I$5:$I$212,"А500С",Ведомость!$V$5:$V$212,"П-доп-верх")</f>
        <v>0</v>
      </c>
      <c r="O13" s="29" t="n">
        <f aca="false">SUMIFS(Ведомость!$N$5:$N$212,Ведомость!$H$5:$H$212,18,Ведомость!$I$5:$I$212,"А500С",Ведомость!$V$5:$V$212,"П-край")</f>
        <v>0</v>
      </c>
      <c r="P13" s="29" t="n">
        <f aca="false">SUMIFS(Ведомость!$N$5:$N$212,Ведомость!$H$5:$H$212,18,Ведомость!$I$5:$I$212,"А500С",Ведомость!$V$5:$V$212,"ЛВ-1")</f>
        <v>0</v>
      </c>
      <c r="Q13" s="29" t="n">
        <f aca="false">SUMIFS(Ведомость!$N$5:$N$212,Ведомость!$H$5:$H$212,18,Ведомость!$I$5:$I$212,"А500С",Ведомость!$V$5:$V$212,"С-1")</f>
        <v>0</v>
      </c>
      <c r="R13" s="30" t="n">
        <f aca="false">SUM(B13:Q13)</f>
        <v>191.04</v>
      </c>
      <c r="S13" s="31" t="n">
        <f aca="false">IFERROR(INDEX(Исходные!$B$18:$B$29,MATCH(18,Исходные!$A$18:$A$29,0)),0)</f>
        <v>1.998</v>
      </c>
      <c r="T13" s="30" t="n">
        <f aca="false">R13*S13*$V$2</f>
        <v>381.69792</v>
      </c>
      <c r="U13" s="32" t="n">
        <f aca="false">SUM(B13:F13)</f>
        <v>140.64</v>
      </c>
      <c r="V13" s="33" t="n">
        <f aca="false">S13</f>
        <v>1.998</v>
      </c>
      <c r="W13" s="34" t="n">
        <f aca="false">U13*V13*$V$2</f>
        <v>280.99872</v>
      </c>
      <c r="X13" s="32" t="n">
        <f aca="false">SUM(G13:O13)</f>
        <v>50.4</v>
      </c>
      <c r="Y13" s="33" t="n">
        <f aca="false">S13</f>
        <v>1.998</v>
      </c>
      <c r="Z13" s="34" t="n">
        <f aca="false">X13*Y13*$V$2</f>
        <v>100.6992</v>
      </c>
      <c r="AA13" s="32" t="n">
        <f aca="false">SUM(P13:P13)</f>
        <v>0</v>
      </c>
      <c r="AB13" s="33" t="n">
        <f aca="false">S13</f>
        <v>1.998</v>
      </c>
      <c r="AC13" s="34" t="n">
        <f aca="false">AA13*AB13*$V$2</f>
        <v>0</v>
      </c>
      <c r="AD13" s="32" t="n">
        <f aca="false">SUM(Q13:Q13)</f>
        <v>0</v>
      </c>
      <c r="AE13" s="33" t="n">
        <f aca="false">S13</f>
        <v>1.998</v>
      </c>
      <c r="AF13" s="34" t="n">
        <f aca="false">AD13*AE13*$V$2</f>
        <v>0</v>
      </c>
    </row>
    <row r="14" customFormat="false" ht="15" hidden="false" customHeight="false" outlineLevel="0" collapsed="false">
      <c r="A14" s="5" t="s">
        <v>112</v>
      </c>
      <c r="B14" s="29" t="n">
        <f aca="false">SUMIFS(Ведомость!$N$5:$N$212,Ведомость!$H$5:$H$212,16,Ведомость!$I$5:$I$212,"А500С",Ведомость!$V$5:$V$212,"Дм-1")</f>
        <v>81</v>
      </c>
      <c r="C14" s="29" t="n">
        <f aca="false">SUMIFS(Ведомость!$N$5:$N$212,Ведомость!$H$5:$H$212,16,Ведомость!$I$5:$I$212,"А500С",Ведомость!$V$5:$V$212,"Дм-2")</f>
        <v>126</v>
      </c>
      <c r="D14" s="29" t="n">
        <f aca="false">SUMIFS(Ведомость!$N$5:$N$212,Ведомость!$H$5:$H$212,16,Ведомость!$I$5:$I$212,"А500С",Ведомость!$V$5:$V$212,"Дм-3")</f>
        <v>83</v>
      </c>
      <c r="E14" s="29" t="n">
        <f aca="false">SUMIFS(Ведомость!$N$5:$N$212,Ведомость!$H$5:$H$212,16,Ведомость!$I$5:$I$212,"А500С",Ведомость!$V$5:$V$212,"Дм-4")</f>
        <v>52.2</v>
      </c>
      <c r="F14" s="29" t="n">
        <f aca="false">SUMIFS(Ведомость!$N$5:$N$212,Ведомость!$H$5:$H$212,16,Ведомость!$I$5:$I$212,"А500С",Ведомость!$V$5:$V$212,"Дм-5")</f>
        <v>97.2</v>
      </c>
      <c r="G14" s="29" t="n">
        <f aca="false">SUMIFS(Ведомость!$N$5:$N$212,Ведомость!$H$5:$H$212,16,Ведомость!$I$5:$I$212,"А500С",Ведомость!$V$5:$V$212,"Б-основная")</f>
        <v>0</v>
      </c>
      <c r="H14" s="29" t="n">
        <f aca="false">SUMIFS(Ведомость!$N$5:$N$212,Ведомость!$H$5:$H$212,16,Ведомость!$I$5:$I$212,"А500С",Ведомость!$V$5:$V$212,"Б-хомуты")</f>
        <v>0</v>
      </c>
      <c r="I14" s="29" t="n">
        <f aca="false">SUMIFS(Ведомость!$N$5:$N$212,Ведомость!$H$5:$H$212,16,Ведомость!$I$5:$I$212,"А500С",Ведомость!$V$5:$V$212,"Б-допник")</f>
        <v>0</v>
      </c>
      <c r="J14" s="29" t="n">
        <f aca="false">SUMIFS(Ведомость!$N$5:$N$212,Ведомость!$H$5:$H$212,16,Ведомость!$I$5:$I$212,"А500С",Ведомость!$V$5:$V$212,"П-сетка")</f>
        <v>0</v>
      </c>
      <c r="K14" s="29" t="n">
        <f aca="false">SUMIFS(Ведомость!$N$5:$N$212,Ведомость!$H$5:$H$212,16,Ведомость!$I$5:$I$212,"А500С",Ведомость!$V$5:$V$212,"П-фикс")</f>
        <v>0</v>
      </c>
      <c r="L14" s="29" t="n">
        <f aca="false">SUMIFS(Ведомость!$N$5:$N$212,Ведомость!$H$5:$H$212,16,Ведомость!$I$5:$I$212,"А500С",Ведомость!$V$5:$V$212,"П-отв")</f>
        <v>0</v>
      </c>
      <c r="M14" s="29" t="n">
        <f aca="false">SUMIFS(Ведомость!$N$5:$N$212,Ведомость!$H$5:$H$212,16,Ведомость!$I$5:$I$212,"А500С",Ведомость!$V$5:$V$212,"П-доп-низ")</f>
        <v>0</v>
      </c>
      <c r="N14" s="29" t="n">
        <f aca="false">SUMIFS(Ведомость!$N$5:$N$212,Ведомость!$H$5:$H$212,16,Ведомость!$I$5:$I$212,"А500С",Ведомость!$V$5:$V$212,"П-доп-верх")</f>
        <v>0</v>
      </c>
      <c r="O14" s="29" t="n">
        <f aca="false">SUMIFS(Ведомость!$N$5:$N$212,Ведомость!$H$5:$H$212,16,Ведомость!$I$5:$I$212,"А500С",Ведомость!$V$5:$V$212,"П-край")</f>
        <v>0</v>
      </c>
      <c r="P14" s="29" t="n">
        <f aca="false">SUMIFS(Ведомость!$N$5:$N$212,Ведомость!$H$5:$H$212,16,Ведомость!$I$5:$I$212,"А500С",Ведомость!$V$5:$V$212,"ЛВ-1")</f>
        <v>0</v>
      </c>
      <c r="Q14" s="29" t="n">
        <f aca="false">SUMIFS(Ведомость!$N$5:$N$212,Ведомость!$H$5:$H$212,16,Ведомость!$I$5:$I$212,"А500С",Ведомость!$V$5:$V$212,"С-1")</f>
        <v>0</v>
      </c>
      <c r="R14" s="30" t="n">
        <f aca="false">SUM(B14:Q14)</f>
        <v>439.4</v>
      </c>
      <c r="S14" s="31" t="n">
        <f aca="false">IFERROR(INDEX(Исходные!$B$18:$B$29,MATCH(16,Исходные!$A$18:$A$29,0)),0)</f>
        <v>1.578</v>
      </c>
      <c r="T14" s="30" t="n">
        <f aca="false">R14*S14*$V$2</f>
        <v>693.3732</v>
      </c>
      <c r="U14" s="32" t="n">
        <f aca="false">SUM(B14:F14)</f>
        <v>439.4</v>
      </c>
      <c r="V14" s="33" t="n">
        <f aca="false">S14</f>
        <v>1.578</v>
      </c>
      <c r="W14" s="34" t="n">
        <f aca="false">U14*V14*$V$2</f>
        <v>693.3732</v>
      </c>
      <c r="X14" s="32" t="n">
        <f aca="false">SUM(G14:O14)</f>
        <v>0</v>
      </c>
      <c r="Y14" s="33" t="n">
        <f aca="false">S14</f>
        <v>1.578</v>
      </c>
      <c r="Z14" s="34" t="n">
        <f aca="false">X14*Y14*$V$2</f>
        <v>0</v>
      </c>
      <c r="AA14" s="32" t="n">
        <f aca="false">SUM(P14:P14)</f>
        <v>0</v>
      </c>
      <c r="AB14" s="33" t="n">
        <f aca="false">S14</f>
        <v>1.578</v>
      </c>
      <c r="AC14" s="34" t="n">
        <f aca="false">AA14*AB14*$V$2</f>
        <v>0</v>
      </c>
      <c r="AD14" s="32" t="n">
        <f aca="false">SUM(Q14:Q14)</f>
        <v>0</v>
      </c>
      <c r="AE14" s="33" t="n">
        <f aca="false">S14</f>
        <v>1.578</v>
      </c>
      <c r="AF14" s="34" t="n">
        <f aca="false">AD14*AE14*$V$2</f>
        <v>0</v>
      </c>
    </row>
    <row r="15" customFormat="false" ht="15" hidden="false" customHeight="false" outlineLevel="0" collapsed="false">
      <c r="A15" s="5" t="s">
        <v>113</v>
      </c>
      <c r="B15" s="29" t="n">
        <f aca="false">SUMIFS(Ведомость!$N$5:$N$212,Ведомость!$H$5:$H$212,14,Ведомость!$I$5:$I$212,"А500С",Ведомость!$V$5:$V$212,"Дм-1")</f>
        <v>0</v>
      </c>
      <c r="C15" s="29" t="n">
        <f aca="false">SUMIFS(Ведомость!$N$5:$N$212,Ведомость!$H$5:$H$212,14,Ведомость!$I$5:$I$212,"А500С",Ведомость!$V$5:$V$212,"Дм-2")</f>
        <v>0</v>
      </c>
      <c r="D15" s="29" t="n">
        <f aca="false">SUMIFS(Ведомость!$N$5:$N$212,Ведомость!$H$5:$H$212,14,Ведомость!$I$5:$I$212,"А500С",Ведомость!$V$5:$V$212,"Дм-3")</f>
        <v>52.2</v>
      </c>
      <c r="E15" s="29" t="n">
        <f aca="false">SUMIFS(Ведомость!$N$5:$N$212,Ведомость!$H$5:$H$212,14,Ведомость!$I$5:$I$212,"А500С",Ведомость!$V$5:$V$212,"Дм-4")</f>
        <v>0</v>
      </c>
      <c r="F15" s="29" t="n">
        <f aca="false">SUMIFS(Ведомость!$N$5:$N$212,Ведомость!$H$5:$H$212,14,Ведомость!$I$5:$I$212,"А500С",Ведомость!$V$5:$V$212,"Дм-5")</f>
        <v>8.7</v>
      </c>
      <c r="G15" s="29" t="n">
        <f aca="false">SUMIFS(Ведомость!$N$5:$N$212,Ведомость!$H$5:$H$212,14,Ведомость!$I$5:$I$212,"А500С",Ведомость!$V$5:$V$212,"Б-основная")</f>
        <v>0</v>
      </c>
      <c r="H15" s="29" t="n">
        <f aca="false">SUMIFS(Ведомость!$N$5:$N$212,Ведомость!$H$5:$H$212,14,Ведомость!$I$5:$I$212,"А500С",Ведомость!$V$5:$V$212,"Б-хомуты")</f>
        <v>0</v>
      </c>
      <c r="I15" s="29" t="n">
        <f aca="false">SUMIFS(Ведомость!$N$5:$N$212,Ведомость!$H$5:$H$212,14,Ведомость!$I$5:$I$212,"А500С",Ведомость!$V$5:$V$212,"Б-допник")</f>
        <v>0</v>
      </c>
      <c r="J15" s="29" t="n">
        <f aca="false">SUMIFS(Ведомость!$N$5:$N$212,Ведомость!$H$5:$H$212,14,Ведомость!$I$5:$I$212,"А500С",Ведомость!$V$5:$V$212,"П-сетка")</f>
        <v>0</v>
      </c>
      <c r="K15" s="29" t="n">
        <f aca="false">SUMIFS(Ведомость!$N$5:$N$212,Ведомость!$H$5:$H$212,14,Ведомость!$I$5:$I$212,"А500С",Ведомость!$V$5:$V$212,"П-фикс")</f>
        <v>0</v>
      </c>
      <c r="L15" s="29" t="n">
        <f aca="false">SUMIFS(Ведомость!$N$5:$N$212,Ведомость!$H$5:$H$212,14,Ведомость!$I$5:$I$212,"А500С",Ведомость!$V$5:$V$212,"П-отв")</f>
        <v>0</v>
      </c>
      <c r="M15" s="29" t="n">
        <f aca="false">SUMIFS(Ведомость!$N$5:$N$212,Ведомость!$H$5:$H$212,14,Ведомость!$I$5:$I$212,"А500С",Ведомость!$V$5:$V$212,"П-доп-низ")</f>
        <v>0</v>
      </c>
      <c r="N15" s="29" t="n">
        <f aca="false">SUMIFS(Ведомость!$N$5:$N$212,Ведомость!$H$5:$H$212,14,Ведомость!$I$5:$I$212,"А500С",Ведомость!$V$5:$V$212,"П-доп-верх")</f>
        <v>0</v>
      </c>
      <c r="O15" s="29" t="n">
        <f aca="false">SUMIFS(Ведомость!$N$5:$N$212,Ведомость!$H$5:$H$212,14,Ведомость!$I$5:$I$212,"А500С",Ведомость!$V$5:$V$212,"П-край")</f>
        <v>96.06</v>
      </c>
      <c r="P15" s="29" t="n">
        <f aca="false">SUMIFS(Ведомость!$N$5:$N$212,Ведомость!$H$5:$H$212,14,Ведомость!$I$5:$I$212,"А500С",Ведомость!$V$5:$V$212,"ЛВ-1")</f>
        <v>0</v>
      </c>
      <c r="Q15" s="29" t="n">
        <f aca="false">SUMIFS(Ведомость!$N$5:$N$212,Ведомость!$H$5:$H$212,14,Ведомость!$I$5:$I$212,"А500С",Ведомость!$V$5:$V$212,"С-1")</f>
        <v>0</v>
      </c>
      <c r="R15" s="30" t="n">
        <f aca="false">SUM(B15:Q15)</f>
        <v>156.96</v>
      </c>
      <c r="S15" s="31" t="n">
        <f aca="false">IFERROR(INDEX(Исходные!$B$18:$B$29,MATCH(14,Исходные!$A$18:$A$29,0)),0)</f>
        <v>1.208</v>
      </c>
      <c r="T15" s="30" t="n">
        <f aca="false">R15*S15*$V$2</f>
        <v>189.60768</v>
      </c>
      <c r="U15" s="32" t="n">
        <f aca="false">SUM(B15:F15)</f>
        <v>60.9</v>
      </c>
      <c r="V15" s="33" t="n">
        <f aca="false">S15</f>
        <v>1.208</v>
      </c>
      <c r="W15" s="34" t="n">
        <f aca="false">U15*V15*$V$2</f>
        <v>73.5672</v>
      </c>
      <c r="X15" s="32" t="n">
        <f aca="false">SUM(G15:O15)</f>
        <v>96.06</v>
      </c>
      <c r="Y15" s="33" t="n">
        <f aca="false">S15</f>
        <v>1.208</v>
      </c>
      <c r="Z15" s="34" t="n">
        <f aca="false">X15*Y15*$V$2</f>
        <v>116.04048</v>
      </c>
      <c r="AA15" s="32" t="n">
        <f aca="false">SUM(P15:P15)</f>
        <v>0</v>
      </c>
      <c r="AB15" s="33" t="n">
        <f aca="false">S15</f>
        <v>1.208</v>
      </c>
      <c r="AC15" s="34" t="n">
        <f aca="false">AA15*AB15*$V$2</f>
        <v>0</v>
      </c>
      <c r="AD15" s="32" t="n">
        <f aca="false">SUM(Q15:Q15)</f>
        <v>0</v>
      </c>
      <c r="AE15" s="33" t="n">
        <f aca="false">S15</f>
        <v>1.208</v>
      </c>
      <c r="AF15" s="34" t="n">
        <f aca="false">AD15*AE15*$V$2</f>
        <v>0</v>
      </c>
    </row>
    <row r="16" customFormat="false" ht="15" hidden="false" customHeight="false" outlineLevel="0" collapsed="false">
      <c r="A16" s="5" t="s">
        <v>114</v>
      </c>
      <c r="B16" s="29" t="n">
        <f aca="false">SUMIFS(Ведомость!$N$5:$N$212,Ведомость!$H$5:$H$212,12,Ведомость!$I$5:$I$212,"А500С",Ведомость!$V$5:$V$212,"Дм-1")</f>
        <v>0</v>
      </c>
      <c r="C16" s="29" t="n">
        <f aca="false">SUMIFS(Ведомость!$N$5:$N$212,Ведомость!$H$5:$H$212,12,Ведомость!$I$5:$I$212,"А500С",Ведомость!$V$5:$V$212,"Дм-2")</f>
        <v>0</v>
      </c>
      <c r="D16" s="29" t="n">
        <f aca="false">SUMIFS(Ведомость!$N$5:$N$212,Ведомость!$H$5:$H$212,12,Ведомость!$I$5:$I$212,"А500С",Ведомость!$V$5:$V$212,"Дм-3")</f>
        <v>0</v>
      </c>
      <c r="E16" s="29" t="n">
        <f aca="false">SUMIFS(Ведомость!$N$5:$N$212,Ведомость!$H$5:$H$212,12,Ведомость!$I$5:$I$212,"А500С",Ведомость!$V$5:$V$212,"Дм-4")</f>
        <v>0</v>
      </c>
      <c r="F16" s="29" t="n">
        <f aca="false">SUMIFS(Ведомость!$N$5:$N$212,Ведомость!$H$5:$H$212,12,Ведомость!$I$5:$I$212,"А500С",Ведомость!$V$5:$V$212,"Дм-5")</f>
        <v>0</v>
      </c>
      <c r="G16" s="29" t="n">
        <f aca="false">SUMIFS(Ведомость!$N$5:$N$212,Ведомость!$H$5:$H$212,12,Ведомость!$I$5:$I$212,"А500С",Ведомость!$V$5:$V$212,"Б-основная")</f>
        <v>0</v>
      </c>
      <c r="H16" s="29" t="n">
        <f aca="false">SUMIFS(Ведомость!$N$5:$N$212,Ведомость!$H$5:$H$212,12,Ведомость!$I$5:$I$212,"А500С",Ведомость!$V$5:$V$212,"Б-хомуты")</f>
        <v>0</v>
      </c>
      <c r="I16" s="29" t="n">
        <f aca="false">SUMIFS(Ведомость!$N$5:$N$212,Ведомость!$H$5:$H$212,12,Ведомость!$I$5:$I$212,"А500С",Ведомость!$V$5:$V$212,"Б-допник")</f>
        <v>0</v>
      </c>
      <c r="J16" s="29" t="n">
        <f aca="false">SUMIFS(Ведомость!$N$5:$N$212,Ведомость!$H$5:$H$212,12,Ведомость!$I$5:$I$212,"А500С",Ведомость!$V$5:$V$212,"П-сетка")</f>
        <v>0</v>
      </c>
      <c r="K16" s="29" t="n">
        <f aca="false">SUMIFS(Ведомость!$N$5:$N$212,Ведомость!$H$5:$H$212,12,Ведомость!$I$5:$I$212,"А500С",Ведомость!$V$5:$V$212,"П-фикс")</f>
        <v>0</v>
      </c>
      <c r="L16" s="29" t="n">
        <f aca="false">SUMIFS(Ведомость!$N$5:$N$212,Ведомость!$H$5:$H$212,12,Ведомость!$I$5:$I$212,"А500С",Ведомость!$V$5:$V$212,"П-отв")</f>
        <v>0</v>
      </c>
      <c r="M16" s="29" t="n">
        <f aca="false">SUMIFS(Ведомость!$N$5:$N$212,Ведомость!$H$5:$H$212,12,Ведомость!$I$5:$I$212,"А500С",Ведомость!$V$5:$V$212,"П-доп-низ")</f>
        <v>0</v>
      </c>
      <c r="N16" s="29" t="n">
        <f aca="false">SUMIFS(Ведомость!$N$5:$N$212,Ведомость!$H$5:$H$212,12,Ведомость!$I$5:$I$212,"А500С",Ведомость!$V$5:$V$212,"П-доп-верх")</f>
        <v>43.2</v>
      </c>
      <c r="O16" s="29" t="n">
        <f aca="false">SUMIFS(Ведомость!$N$5:$N$212,Ведомость!$H$5:$H$212,12,Ведомость!$I$5:$I$212,"А500С",Ведомость!$V$5:$V$212,"П-край")</f>
        <v>0</v>
      </c>
      <c r="P16" s="29" t="n">
        <f aca="false">SUMIFS(Ведомость!$N$5:$N$212,Ведомость!$H$5:$H$212,12,Ведомость!$I$5:$I$212,"А500С",Ведомость!$V$5:$V$212,"ЛВ-1")</f>
        <v>0</v>
      </c>
      <c r="Q16" s="29" t="n">
        <f aca="false">SUMIFS(Ведомость!$N$5:$N$212,Ведомость!$H$5:$H$212,12,Ведомость!$I$5:$I$212,"А500С",Ведомость!$V$5:$V$212,"С-1")</f>
        <v>0</v>
      </c>
      <c r="R16" s="30" t="n">
        <f aca="false">SUM(B16:Q16)</f>
        <v>43.2</v>
      </c>
      <c r="S16" s="31" t="n">
        <f aca="false">IFERROR(INDEX(Исходные!$B$18:$B$29,MATCH(12,Исходные!$A$18:$A$29,0)),0)</f>
        <v>0.888</v>
      </c>
      <c r="T16" s="30" t="n">
        <f aca="false">R16*S16*$V$2</f>
        <v>38.3616</v>
      </c>
      <c r="U16" s="32" t="n">
        <f aca="false">SUM(B16:F16)</f>
        <v>0</v>
      </c>
      <c r="V16" s="33" t="n">
        <f aca="false">S16</f>
        <v>0.888</v>
      </c>
      <c r="W16" s="34" t="n">
        <f aca="false">U16*V16*$V$2</f>
        <v>0</v>
      </c>
      <c r="X16" s="32" t="n">
        <f aca="false">SUM(G16:O16)</f>
        <v>43.2</v>
      </c>
      <c r="Y16" s="33" t="n">
        <f aca="false">S16</f>
        <v>0.888</v>
      </c>
      <c r="Z16" s="34" t="n">
        <f aca="false">X16*Y16*$V$2</f>
        <v>38.3616</v>
      </c>
      <c r="AA16" s="32" t="n">
        <f aca="false">SUM(P16:P16)</f>
        <v>0</v>
      </c>
      <c r="AB16" s="33" t="n">
        <f aca="false">S16</f>
        <v>0.888</v>
      </c>
      <c r="AC16" s="34" t="n">
        <f aca="false">AA16*AB16*$V$2</f>
        <v>0</v>
      </c>
      <c r="AD16" s="32" t="n">
        <f aca="false">SUM(Q16:Q16)</f>
        <v>0</v>
      </c>
      <c r="AE16" s="33" t="n">
        <f aca="false">S16</f>
        <v>0.888</v>
      </c>
      <c r="AF16" s="34" t="n">
        <f aca="false">AD16*AE16*$V$2</f>
        <v>0</v>
      </c>
    </row>
    <row r="17" customFormat="false" ht="15" hidden="false" customHeight="false" outlineLevel="0" collapsed="false">
      <c r="A17" s="5" t="s">
        <v>115</v>
      </c>
      <c r="B17" s="29" t="n">
        <f aca="false">SUMIFS(Ведомость!$N$5:$N$212,Ведомость!$H$5:$H$212,10,Ведомость!$I$5:$I$212,"А500С",Ведомость!$V$5:$V$212,"Дм-1")</f>
        <v>4.8</v>
      </c>
      <c r="C17" s="29" t="n">
        <f aca="false">SUMIFS(Ведомость!$N$5:$N$212,Ведомость!$H$5:$H$212,10,Ведомость!$I$5:$I$212,"А500С",Ведомость!$V$5:$V$212,"Дм-2")</f>
        <v>0</v>
      </c>
      <c r="D17" s="29" t="n">
        <f aca="false">SUMIFS(Ведомость!$N$5:$N$212,Ведомость!$H$5:$H$212,10,Ведомость!$I$5:$I$212,"А500С",Ведомость!$V$5:$V$212,"Дм-3")</f>
        <v>0</v>
      </c>
      <c r="E17" s="29" t="n">
        <f aca="false">SUMIFS(Ведомость!$N$5:$N$212,Ведомость!$H$5:$H$212,10,Ведомость!$I$5:$I$212,"А500С",Ведомость!$V$5:$V$212,"Дм-4")</f>
        <v>0</v>
      </c>
      <c r="F17" s="29" t="n">
        <f aca="false">SUMIFS(Ведомость!$N$5:$N$212,Ведомость!$H$5:$H$212,10,Ведомость!$I$5:$I$212,"А500С",Ведомость!$V$5:$V$212,"Дм-5")</f>
        <v>7.5</v>
      </c>
      <c r="G17" s="29" t="n">
        <f aca="false">SUMIFS(Ведомость!$N$5:$N$212,Ведомость!$H$5:$H$212,10,Ведомость!$I$5:$I$212,"А500С",Ведомость!$V$5:$V$212,"Б-основная")</f>
        <v>0</v>
      </c>
      <c r="H17" s="29" t="n">
        <f aca="false">SUMIFS(Ведомость!$N$5:$N$212,Ведомость!$H$5:$H$212,10,Ведомость!$I$5:$I$212,"А500С",Ведомость!$V$5:$V$212,"Б-хомуты")</f>
        <v>0</v>
      </c>
      <c r="I17" s="29" t="n">
        <f aca="false">SUMIFS(Ведомость!$N$5:$N$212,Ведомость!$H$5:$H$212,10,Ведомость!$I$5:$I$212,"А500С",Ведомость!$V$5:$V$212,"Б-допник")</f>
        <v>0</v>
      </c>
      <c r="J17" s="29" t="n">
        <f aca="false">SUMIFS(Ведомость!$N$5:$N$212,Ведомость!$H$5:$H$212,10,Ведомость!$I$5:$I$212,"А500С",Ведомость!$V$5:$V$212,"П-сетка")</f>
        <v>11113.06</v>
      </c>
      <c r="K17" s="29" t="n">
        <f aca="false">SUMIFS(Ведомость!$N$5:$N$212,Ведомость!$H$5:$H$212,10,Ведомость!$I$5:$I$212,"А500С",Ведомость!$V$5:$V$212,"П-фикс")</f>
        <v>0</v>
      </c>
      <c r="L17" s="29" t="n">
        <f aca="false">SUMIFS(Ведомость!$N$5:$N$212,Ведомость!$H$5:$H$212,10,Ведомость!$I$5:$I$212,"А500С",Ведомость!$V$5:$V$212,"П-отв")</f>
        <v>0</v>
      </c>
      <c r="M17" s="29" t="n">
        <f aca="false">SUMIFS(Ведомость!$N$5:$N$212,Ведомость!$H$5:$H$212,10,Ведомость!$I$5:$I$212,"А500С",Ведомость!$V$5:$V$212,"П-доп-низ")</f>
        <v>393</v>
      </c>
      <c r="N17" s="29" t="n">
        <f aca="false">SUMIFS(Ведомость!$N$5:$N$212,Ведомость!$H$5:$H$212,10,Ведомость!$I$5:$I$212,"А500С",Ведомость!$V$5:$V$212,"П-доп-верх")</f>
        <v>529</v>
      </c>
      <c r="O17" s="29" t="n">
        <f aca="false">SUMIFS(Ведомость!$N$5:$N$212,Ведомость!$H$5:$H$212,10,Ведомость!$I$5:$I$212,"А500С",Ведомость!$V$5:$V$212,"П-край")</f>
        <v>0</v>
      </c>
      <c r="P17" s="29" t="n">
        <f aca="false">SUMIFS(Ведомость!$N$5:$N$212,Ведомость!$H$5:$H$212,10,Ведомость!$I$5:$I$212,"А500С",Ведомость!$V$5:$V$212,"ЛВ-1")</f>
        <v>0</v>
      </c>
      <c r="Q17" s="29" t="n">
        <f aca="false">SUMIFS(Ведомость!$N$5:$N$212,Ведомость!$H$5:$H$212,10,Ведомость!$I$5:$I$212,"А500С",Ведомость!$V$5:$V$212,"С-1")</f>
        <v>957.6</v>
      </c>
      <c r="R17" s="30" t="n">
        <f aca="false">SUM(B17:Q17)</f>
        <v>13004.96</v>
      </c>
      <c r="S17" s="31" t="n">
        <f aca="false">IFERROR(INDEX(Исходные!$B$18:$B$29,MATCH(10,Исходные!$A$18:$A$29,0)),0)</f>
        <v>0.617</v>
      </c>
      <c r="T17" s="30" t="n">
        <f aca="false">R17*S17*$V$2</f>
        <v>8024.06032</v>
      </c>
      <c r="U17" s="32" t="n">
        <f aca="false">SUM(B17:F17)</f>
        <v>12.3</v>
      </c>
      <c r="V17" s="33" t="n">
        <f aca="false">S17</f>
        <v>0.617</v>
      </c>
      <c r="W17" s="34" t="n">
        <f aca="false">U17*V17*$V$2</f>
        <v>7.5891</v>
      </c>
      <c r="X17" s="32" t="n">
        <f aca="false">SUM(G17:O17)</f>
        <v>12035.06</v>
      </c>
      <c r="Y17" s="33" t="n">
        <f aca="false">S17</f>
        <v>0.617</v>
      </c>
      <c r="Z17" s="34" t="n">
        <f aca="false">X17*Y17*$V$2</f>
        <v>7425.63202</v>
      </c>
      <c r="AA17" s="32" t="n">
        <f aca="false">SUM(P17:P17)</f>
        <v>0</v>
      </c>
      <c r="AB17" s="33" t="n">
        <f aca="false">S17</f>
        <v>0.617</v>
      </c>
      <c r="AC17" s="34" t="n">
        <f aca="false">AA17*AB17*$V$2</f>
        <v>0</v>
      </c>
      <c r="AD17" s="32" t="n">
        <f aca="false">SUM(Q17:Q17)</f>
        <v>957.6</v>
      </c>
      <c r="AE17" s="33" t="n">
        <f aca="false">S17</f>
        <v>0.617</v>
      </c>
      <c r="AF17" s="34" t="n">
        <f aca="false">AD17*AE17*$V$2</f>
        <v>590.8392</v>
      </c>
    </row>
    <row r="18" customFormat="false" ht="15" hidden="false" customHeight="false" outlineLevel="0" collapsed="false">
      <c r="A18" s="5" t="s">
        <v>116</v>
      </c>
      <c r="B18" s="29" t="n">
        <f aca="false">SUMIFS(Ведомость!$N$5:$N$212,Ведомость!$H$5:$H$212,8,Ведомость!$I$5:$I$212,"А500С",Ведомость!$V$5:$V$212,"Дм-1")</f>
        <v>0</v>
      </c>
      <c r="C18" s="29" t="n">
        <f aca="false">SUMIFS(Ведомость!$N$5:$N$212,Ведомость!$H$5:$H$212,8,Ведомость!$I$5:$I$212,"А500С",Ведомость!$V$5:$V$212,"Дм-2")</f>
        <v>0</v>
      </c>
      <c r="D18" s="29" t="n">
        <f aca="false">SUMIFS(Ведомость!$N$5:$N$212,Ведомость!$H$5:$H$212,8,Ведомость!$I$5:$I$212,"А500С",Ведомость!$V$5:$V$212,"Дм-3")</f>
        <v>0</v>
      </c>
      <c r="E18" s="29" t="n">
        <f aca="false">SUMIFS(Ведомость!$N$5:$N$212,Ведомость!$H$5:$H$212,8,Ведомость!$I$5:$I$212,"А500С",Ведомость!$V$5:$V$212,"Дм-4")</f>
        <v>0</v>
      </c>
      <c r="F18" s="29" t="n">
        <f aca="false">SUMIFS(Ведомость!$N$5:$N$212,Ведомость!$H$5:$H$212,8,Ведомость!$I$5:$I$212,"А500С",Ведомость!$V$5:$V$212,"Дм-5")</f>
        <v>0</v>
      </c>
      <c r="G18" s="29" t="n">
        <f aca="false">SUMIFS(Ведомость!$N$5:$N$212,Ведомость!$H$5:$H$212,8,Ведомость!$I$5:$I$212,"А500С",Ведомость!$V$5:$V$212,"Б-основная")</f>
        <v>0</v>
      </c>
      <c r="H18" s="29" t="n">
        <f aca="false">SUMIFS(Ведомость!$N$5:$N$212,Ведомость!$H$5:$H$212,8,Ведомость!$I$5:$I$212,"А500С",Ведомость!$V$5:$V$212,"Б-хомуты")</f>
        <v>0</v>
      </c>
      <c r="I18" s="29" t="n">
        <f aca="false">SUMIFS(Ведомость!$N$5:$N$212,Ведомость!$H$5:$H$212,8,Ведомость!$I$5:$I$212,"А500С",Ведомость!$V$5:$V$212,"Б-допник")</f>
        <v>0</v>
      </c>
      <c r="J18" s="29" t="n">
        <f aca="false">SUMIFS(Ведомость!$N$5:$N$212,Ведомость!$H$5:$H$212,8,Ведомость!$I$5:$I$212,"А500С",Ведомость!$V$5:$V$212,"П-сетка")</f>
        <v>0</v>
      </c>
      <c r="K18" s="29" t="n">
        <f aca="false">SUMIFS(Ведомость!$N$5:$N$212,Ведомость!$H$5:$H$212,8,Ведомость!$I$5:$I$212,"А500С",Ведомость!$V$5:$V$212,"П-фикс")</f>
        <v>0</v>
      </c>
      <c r="L18" s="29" t="n">
        <f aca="false">SUMIFS(Ведомость!$N$5:$N$212,Ведомость!$H$5:$H$212,8,Ведомость!$I$5:$I$212,"А500С",Ведомость!$V$5:$V$212,"П-отв")</f>
        <v>0</v>
      </c>
      <c r="M18" s="29" t="n">
        <f aca="false">SUMIFS(Ведомость!$N$5:$N$212,Ведомость!$H$5:$H$212,8,Ведомость!$I$5:$I$212,"А500С",Ведомость!$V$5:$V$212,"П-доп-низ")</f>
        <v>0</v>
      </c>
      <c r="N18" s="29" t="n">
        <f aca="false">SUMIFS(Ведомость!$N$5:$N$212,Ведомость!$H$5:$H$212,8,Ведомость!$I$5:$I$212,"А500С",Ведомость!$V$5:$V$212,"П-доп-верх")</f>
        <v>0</v>
      </c>
      <c r="O18" s="29" t="n">
        <f aca="false">SUMIFS(Ведомость!$N$5:$N$212,Ведомость!$H$5:$H$212,8,Ведомость!$I$5:$I$212,"А500С",Ведомость!$V$5:$V$212,"П-край")</f>
        <v>0</v>
      </c>
      <c r="P18" s="29" t="n">
        <f aca="false">SUMIFS(Ведомость!$N$5:$N$212,Ведомость!$H$5:$H$212,8,Ведомость!$I$5:$I$212,"А500С",Ведомость!$V$5:$V$212,"ЛВ-1")</f>
        <v>0</v>
      </c>
      <c r="Q18" s="29" t="n">
        <f aca="false">SUMIFS(Ведомость!$N$5:$N$212,Ведомость!$H$5:$H$212,8,Ведомость!$I$5:$I$212,"А500С",Ведомость!$V$5:$V$212,"С-1")</f>
        <v>0</v>
      </c>
      <c r="R18" s="30" t="n">
        <f aca="false">SUM(B18:Q18)</f>
        <v>0</v>
      </c>
      <c r="S18" s="31" t="n">
        <f aca="false">IFERROR(INDEX(Исходные!$B$18:$B$29,MATCH(8,Исходные!$A$18:$A$29,0)),0)</f>
        <v>0.395</v>
      </c>
      <c r="T18" s="30" t="n">
        <f aca="false">R18*S18*$V$2</f>
        <v>0</v>
      </c>
      <c r="U18" s="32" t="n">
        <f aca="false">SUM(B18:F18)</f>
        <v>0</v>
      </c>
      <c r="V18" s="33" t="n">
        <f aca="false">S18</f>
        <v>0.395</v>
      </c>
      <c r="W18" s="34" t="n">
        <f aca="false">U18*V18*$V$2</f>
        <v>0</v>
      </c>
      <c r="X18" s="32" t="n">
        <f aca="false">SUM(G18:O18)</f>
        <v>0</v>
      </c>
      <c r="Y18" s="33" t="n">
        <f aca="false">S18</f>
        <v>0.395</v>
      </c>
      <c r="Z18" s="34" t="n">
        <f aca="false">X18*Y18*$V$2</f>
        <v>0</v>
      </c>
      <c r="AA18" s="32" t="n">
        <f aca="false">SUM(P18:P18)</f>
        <v>0</v>
      </c>
      <c r="AB18" s="33" t="n">
        <f aca="false">S18</f>
        <v>0.395</v>
      </c>
      <c r="AC18" s="34" t="n">
        <f aca="false">AA18*AB18*$V$2</f>
        <v>0</v>
      </c>
      <c r="AD18" s="32" t="n">
        <f aca="false">SUM(Q18:Q18)</f>
        <v>0</v>
      </c>
      <c r="AE18" s="33" t="n">
        <f aca="false">S18</f>
        <v>0.395</v>
      </c>
      <c r="AF18" s="34" t="n">
        <f aca="false">AD18*AE18*$V$2</f>
        <v>0</v>
      </c>
    </row>
    <row r="19" customFormat="false" ht="15" hidden="false" customHeight="false" outlineLevel="0" collapsed="false">
      <c r="A19" s="5" t="s">
        <v>117</v>
      </c>
      <c r="B19" s="29" t="n">
        <f aca="false">SUMIFS(Ведомость!$N$5:$N$212,Ведомость!$H$5:$H$212,12,Ведомость!$I$5:$I$212,"А240",Ведомость!$V$5:$V$212,"Дм-1")</f>
        <v>0</v>
      </c>
      <c r="C19" s="29" t="n">
        <f aca="false">SUMIFS(Ведомость!$N$5:$N$212,Ведомость!$H$5:$H$212,12,Ведомость!$I$5:$I$212,"А240",Ведомость!$V$5:$V$212,"Дм-2")</f>
        <v>0</v>
      </c>
      <c r="D19" s="29" t="n">
        <f aca="false">SUMIFS(Ведомость!$N$5:$N$212,Ведомость!$H$5:$H$212,12,Ведомость!$I$5:$I$212,"А240",Ведомость!$V$5:$V$212,"Дм-3")</f>
        <v>0</v>
      </c>
      <c r="E19" s="29" t="n">
        <f aca="false">SUMIFS(Ведомость!$N$5:$N$212,Ведомость!$H$5:$H$212,12,Ведомость!$I$5:$I$212,"А240",Ведомость!$V$5:$V$212,"Дм-4")</f>
        <v>0</v>
      </c>
      <c r="F19" s="29" t="n">
        <f aca="false">SUMIFS(Ведомость!$N$5:$N$212,Ведомость!$H$5:$H$212,12,Ведомость!$I$5:$I$212,"А240",Ведомость!$V$5:$V$212,"Дм-5")</f>
        <v>0</v>
      </c>
      <c r="G19" s="29" t="n">
        <f aca="false">SUMIFS(Ведомость!$N$5:$N$212,Ведомость!$H$5:$H$212,12,Ведомость!$I$5:$I$212,"А240",Ведомость!$V$5:$V$212,"Б-основная")</f>
        <v>0</v>
      </c>
      <c r="H19" s="29" t="n">
        <f aca="false">SUMIFS(Ведомость!$N$5:$N$212,Ведомость!$H$5:$H$212,12,Ведомость!$I$5:$I$212,"А240",Ведомость!$V$5:$V$212,"Б-хомуты")</f>
        <v>0</v>
      </c>
      <c r="I19" s="29" t="n">
        <f aca="false">SUMIFS(Ведомость!$N$5:$N$212,Ведомость!$H$5:$H$212,12,Ведомость!$I$5:$I$212,"А240",Ведомость!$V$5:$V$212,"Б-допник")</f>
        <v>0</v>
      </c>
      <c r="J19" s="29" t="n">
        <f aca="false">SUMIFS(Ведомость!$N$5:$N$212,Ведомость!$H$5:$H$212,12,Ведомость!$I$5:$I$212,"А240",Ведомость!$V$5:$V$212,"П-сетка")</f>
        <v>0</v>
      </c>
      <c r="K19" s="29" t="n">
        <f aca="false">SUMIFS(Ведомость!$N$5:$N$212,Ведомость!$H$5:$H$212,12,Ведомость!$I$5:$I$212,"А240",Ведомость!$V$5:$V$212,"П-фикс")</f>
        <v>0</v>
      </c>
      <c r="L19" s="29" t="n">
        <f aca="false">SUMIFS(Ведомость!$N$5:$N$212,Ведомость!$H$5:$H$212,12,Ведомость!$I$5:$I$212,"А240",Ведомость!$V$5:$V$212,"П-отв")</f>
        <v>0</v>
      </c>
      <c r="M19" s="29" t="n">
        <f aca="false">SUMIFS(Ведомость!$N$5:$N$212,Ведомость!$H$5:$H$212,12,Ведомость!$I$5:$I$212,"А240",Ведомость!$V$5:$V$212,"П-доп-низ")</f>
        <v>0</v>
      </c>
      <c r="N19" s="29" t="n">
        <f aca="false">SUMIFS(Ведомость!$N$5:$N$212,Ведомость!$H$5:$H$212,12,Ведомость!$I$5:$I$212,"А240",Ведомость!$V$5:$V$212,"П-доп-верх")</f>
        <v>0</v>
      </c>
      <c r="O19" s="29" t="n">
        <f aca="false">SUMIFS(Ведомость!$N$5:$N$212,Ведомость!$H$5:$H$212,12,Ведомость!$I$5:$I$212,"А240",Ведомость!$V$5:$V$212,"П-край")</f>
        <v>0</v>
      </c>
      <c r="P19" s="29" t="n">
        <f aca="false">SUMIFS(Ведомость!$N$5:$N$212,Ведомость!$H$5:$H$212,12,Ведомость!$I$5:$I$212,"А240",Ведомость!$V$5:$V$212,"ЛВ-1")</f>
        <v>0</v>
      </c>
      <c r="Q19" s="29" t="n">
        <f aca="false">SUMIFS(Ведомость!$N$5:$N$212,Ведомость!$H$5:$H$212,12,Ведомость!$I$5:$I$212,"А240",Ведомость!$V$5:$V$212,"С-1")</f>
        <v>0</v>
      </c>
      <c r="R19" s="30" t="n">
        <f aca="false">SUM(B19:Q19)</f>
        <v>0</v>
      </c>
      <c r="S19" s="31" t="n">
        <f aca="false">IFERROR(INDEX(Исходные!$B$18:$B$29,MATCH(12,Исходные!$A$18:$A$29,0)),0)</f>
        <v>0.888</v>
      </c>
      <c r="T19" s="30" t="n">
        <f aca="false">R19*S19*$V$2</f>
        <v>0</v>
      </c>
      <c r="U19" s="32" t="n">
        <f aca="false">SUM(B19:F19)</f>
        <v>0</v>
      </c>
      <c r="V19" s="33" t="n">
        <f aca="false">S19</f>
        <v>0.888</v>
      </c>
      <c r="W19" s="34" t="n">
        <f aca="false">U19*V19*$V$2</f>
        <v>0</v>
      </c>
      <c r="X19" s="32" t="n">
        <f aca="false">SUM(G19:O19)</f>
        <v>0</v>
      </c>
      <c r="Y19" s="33" t="n">
        <f aca="false">S19</f>
        <v>0.888</v>
      </c>
      <c r="Z19" s="34" t="n">
        <f aca="false">X19*Y19*$V$2</f>
        <v>0</v>
      </c>
      <c r="AA19" s="32" t="n">
        <f aca="false">SUM(P19:P19)</f>
        <v>0</v>
      </c>
      <c r="AB19" s="33" t="n">
        <f aca="false">S19</f>
        <v>0.888</v>
      </c>
      <c r="AC19" s="34" t="n">
        <f aca="false">AA19*AB19*$V$2</f>
        <v>0</v>
      </c>
      <c r="AD19" s="32" t="n">
        <f aca="false">SUM(Q19:Q19)</f>
        <v>0</v>
      </c>
      <c r="AE19" s="33" t="n">
        <f aca="false">S19</f>
        <v>0.888</v>
      </c>
      <c r="AF19" s="34" t="n">
        <f aca="false">AD19*AE19*$V$2</f>
        <v>0</v>
      </c>
    </row>
    <row r="20" customFormat="false" ht="15" hidden="false" customHeight="false" outlineLevel="0" collapsed="false">
      <c r="A20" s="5" t="s">
        <v>118</v>
      </c>
      <c r="B20" s="29" t="n">
        <f aca="false">SUMIFS(Ведомость!$N$5:$N$212,Ведомость!$H$5:$H$212,10,Ведомость!$I$5:$I$212,"А240",Ведомость!$V$5:$V$212,"Дм-1")</f>
        <v>159.66</v>
      </c>
      <c r="C20" s="29" t="n">
        <f aca="false">SUMIFS(Ведомость!$N$5:$N$212,Ведомость!$H$5:$H$212,10,Ведомость!$I$5:$I$212,"А240",Ведомость!$V$5:$V$212,"Дм-2")</f>
        <v>107.64</v>
      </c>
      <c r="D20" s="29" t="n">
        <f aca="false">SUMIFS(Ведомость!$N$5:$N$212,Ведомость!$H$5:$H$212,10,Ведомость!$I$5:$I$212,"А240",Ведомость!$V$5:$V$212,"Дм-3")</f>
        <v>127.98</v>
      </c>
      <c r="E20" s="29" t="n">
        <f aca="false">SUMIFS(Ведомость!$N$5:$N$212,Ведомость!$H$5:$H$212,10,Ведомость!$I$5:$I$212,"А240",Ведомость!$V$5:$V$212,"Дм-4")</f>
        <v>55.62</v>
      </c>
      <c r="F20" s="29" t="n">
        <f aca="false">SUMIFS(Ведомость!$N$5:$N$212,Ведомость!$H$5:$H$212,10,Ведомость!$I$5:$I$212,"А240",Ведомость!$V$5:$V$212,"Дм-5")</f>
        <v>75.96</v>
      </c>
      <c r="G20" s="29" t="n">
        <f aca="false">SUMIFS(Ведомость!$N$5:$N$212,Ведомость!$H$5:$H$212,10,Ведомость!$I$5:$I$212,"А240",Ведомость!$V$5:$V$212,"Б-основная")</f>
        <v>0</v>
      </c>
      <c r="H20" s="29" t="n">
        <f aca="false">SUMIFS(Ведомость!$N$5:$N$212,Ведомость!$H$5:$H$212,10,Ведомость!$I$5:$I$212,"А240",Ведомость!$V$5:$V$212,"Б-хомуты")</f>
        <v>0</v>
      </c>
      <c r="I20" s="29" t="n">
        <f aca="false">SUMIFS(Ведомость!$N$5:$N$212,Ведомость!$H$5:$H$212,10,Ведомость!$I$5:$I$212,"А240",Ведомость!$V$5:$V$212,"Б-допник")</f>
        <v>0</v>
      </c>
      <c r="J20" s="29" t="n">
        <f aca="false">SUMIFS(Ведомость!$N$5:$N$212,Ведомость!$H$5:$H$212,10,Ведомость!$I$5:$I$212,"А240",Ведомость!$V$5:$V$212,"П-сетка")</f>
        <v>0</v>
      </c>
      <c r="K20" s="29" t="n">
        <f aca="false">SUMIFS(Ведомость!$N$5:$N$212,Ведомость!$H$5:$H$212,10,Ведомость!$I$5:$I$212,"А240",Ведомость!$V$5:$V$212,"П-фикс")</f>
        <v>355.74</v>
      </c>
      <c r="L20" s="29" t="n">
        <f aca="false">SUMIFS(Ведомость!$N$5:$N$212,Ведомость!$H$5:$H$212,10,Ведомость!$I$5:$I$212,"А240",Ведомость!$V$5:$V$212,"П-отв")</f>
        <v>0</v>
      </c>
      <c r="M20" s="29" t="n">
        <f aca="false">SUMIFS(Ведомость!$N$5:$N$212,Ведомость!$H$5:$H$212,10,Ведомость!$I$5:$I$212,"А240",Ведомость!$V$5:$V$212,"П-доп-низ")</f>
        <v>0</v>
      </c>
      <c r="N20" s="29" t="n">
        <f aca="false">SUMIFS(Ведомость!$N$5:$N$212,Ведомость!$H$5:$H$212,10,Ведомость!$I$5:$I$212,"А240",Ведомость!$V$5:$V$212,"П-доп-верх")</f>
        <v>0</v>
      </c>
      <c r="O20" s="29" t="n">
        <f aca="false">SUMIFS(Ведомость!$N$5:$N$212,Ведомость!$H$5:$H$212,10,Ведомость!$I$5:$I$212,"А240",Ведомость!$V$5:$V$212,"П-край")</f>
        <v>83.3</v>
      </c>
      <c r="P20" s="29" t="n">
        <f aca="false">SUMIFS(Ведомость!$N$5:$N$212,Ведомость!$H$5:$H$212,10,Ведомость!$I$5:$I$212,"А240",Ведомость!$V$5:$V$212,"ЛВ-1")</f>
        <v>0</v>
      </c>
      <c r="Q20" s="29" t="n">
        <f aca="false">SUMIFS(Ведомость!$N$5:$N$212,Ведомость!$H$5:$H$212,10,Ведомость!$I$5:$I$212,"А240",Ведомость!$V$5:$V$212,"С-1")</f>
        <v>0</v>
      </c>
      <c r="R20" s="30" t="n">
        <f aca="false">SUM(B20:Q20)</f>
        <v>965.9</v>
      </c>
      <c r="S20" s="31" t="n">
        <f aca="false">IFERROR(INDEX(Исходные!$B$18:$B$29,MATCH(10,Исходные!$A$18:$A$29,0)),0)</f>
        <v>0.617</v>
      </c>
      <c r="T20" s="30" t="n">
        <f aca="false">R20*S20*$V$2</f>
        <v>595.9603</v>
      </c>
      <c r="U20" s="32" t="n">
        <f aca="false">SUM(B20:F20)</f>
        <v>526.86</v>
      </c>
      <c r="V20" s="33" t="n">
        <f aca="false">S20</f>
        <v>0.617</v>
      </c>
      <c r="W20" s="34" t="n">
        <f aca="false">U20*V20*$V$2</f>
        <v>325.07262</v>
      </c>
      <c r="X20" s="32" t="n">
        <f aca="false">SUM(G20:O20)</f>
        <v>439.04</v>
      </c>
      <c r="Y20" s="33" t="n">
        <f aca="false">S20</f>
        <v>0.617</v>
      </c>
      <c r="Z20" s="34" t="n">
        <f aca="false">X20*Y20*$V$2</f>
        <v>270.88768</v>
      </c>
      <c r="AA20" s="32" t="n">
        <f aca="false">SUM(P20:P20)</f>
        <v>0</v>
      </c>
      <c r="AB20" s="33" t="n">
        <f aca="false">S20</f>
        <v>0.617</v>
      </c>
      <c r="AC20" s="34" t="n">
        <f aca="false">AA20*AB20*$V$2</f>
        <v>0</v>
      </c>
      <c r="AD20" s="32" t="n">
        <f aca="false">SUM(Q20:Q20)</f>
        <v>0</v>
      </c>
      <c r="AE20" s="33" t="n">
        <f aca="false">S20</f>
        <v>0.617</v>
      </c>
      <c r="AF20" s="34" t="n">
        <f aca="false">AD20*AE20*$V$2</f>
        <v>0</v>
      </c>
    </row>
    <row r="21" customFormat="false" ht="15" hidden="false" customHeight="false" outlineLevel="0" collapsed="false">
      <c r="A21" s="5" t="s">
        <v>119</v>
      </c>
      <c r="B21" s="29" t="n">
        <f aca="false">SUMIFS(Ведомость!$N$5:$N$212,Ведомость!$H$5:$H$212,8,Ведомость!$I$5:$I$212,"А240",Ведомость!$V$5:$V$212,"Дм-1")</f>
        <v>191.46</v>
      </c>
      <c r="C21" s="29" t="n">
        <f aca="false">SUMIFS(Ведомость!$N$5:$N$212,Ведомость!$H$5:$H$212,8,Ведомость!$I$5:$I$212,"А240",Ведомость!$V$5:$V$212,"Дм-2")</f>
        <v>177.15</v>
      </c>
      <c r="D21" s="29" t="n">
        <f aca="false">SUMIFS(Ведомость!$N$5:$N$212,Ведомость!$H$5:$H$212,8,Ведомость!$I$5:$I$212,"А240",Ведомость!$V$5:$V$212,"Дм-3")</f>
        <v>218.37</v>
      </c>
      <c r="E21" s="29" t="n">
        <f aca="false">SUMIFS(Ведомость!$N$5:$N$212,Ведомость!$H$5:$H$212,8,Ведомость!$I$5:$I$212,"А240",Ведомость!$V$5:$V$212,"Дм-4")</f>
        <v>162.84</v>
      </c>
      <c r="F21" s="29" t="n">
        <f aca="false">SUMIFS(Ведомость!$N$5:$N$212,Ведомость!$H$5:$H$212,8,Ведомость!$I$5:$I$212,"А240",Ведомость!$V$5:$V$212,"Дм-5")</f>
        <v>204.06</v>
      </c>
      <c r="G21" s="29" t="n">
        <f aca="false">SUMIFS(Ведомость!$N$5:$N$212,Ведомость!$H$5:$H$212,8,Ведомость!$I$5:$I$212,"А240",Ведомость!$V$5:$V$212,"Б-основная")</f>
        <v>0</v>
      </c>
      <c r="H21" s="29" t="n">
        <f aca="false">SUMIFS(Ведомость!$N$5:$N$212,Ведомость!$H$5:$H$212,8,Ведомость!$I$5:$I$212,"А240",Ведомость!$V$5:$V$212,"Б-хомуты")</f>
        <v>1666.52</v>
      </c>
      <c r="I21" s="29" t="n">
        <f aca="false">SUMIFS(Ведомость!$N$5:$N$212,Ведомость!$H$5:$H$212,8,Ведомость!$I$5:$I$212,"А240",Ведомость!$V$5:$V$212,"Б-допник")</f>
        <v>0</v>
      </c>
      <c r="J21" s="29" t="n">
        <f aca="false">SUMIFS(Ведомость!$N$5:$N$212,Ведомость!$H$5:$H$212,8,Ведомость!$I$5:$I$212,"А240",Ведомость!$V$5:$V$212,"П-сетка")</f>
        <v>0</v>
      </c>
      <c r="K21" s="29" t="n">
        <f aca="false">SUMIFS(Ведомость!$N$5:$N$212,Ведомость!$H$5:$H$212,8,Ведомость!$I$5:$I$212,"А240",Ведомость!$V$5:$V$212,"П-фикс")</f>
        <v>186.34</v>
      </c>
      <c r="L21" s="29" t="n">
        <f aca="false">SUMIFS(Ведомость!$N$5:$N$212,Ведомость!$H$5:$H$212,8,Ведомость!$I$5:$I$212,"А240",Ведомость!$V$5:$V$212,"П-отв")</f>
        <v>0</v>
      </c>
      <c r="M21" s="29" t="n">
        <f aca="false">SUMIFS(Ведомость!$N$5:$N$212,Ведомость!$H$5:$H$212,8,Ведомость!$I$5:$I$212,"А240",Ведомость!$V$5:$V$212,"П-доп-низ")</f>
        <v>0</v>
      </c>
      <c r="N21" s="29" t="n">
        <f aca="false">SUMIFS(Ведомость!$N$5:$N$212,Ведомость!$H$5:$H$212,8,Ведомость!$I$5:$I$212,"А240",Ведомость!$V$5:$V$212,"П-доп-верх")</f>
        <v>0</v>
      </c>
      <c r="O21" s="29" t="n">
        <f aca="false">SUMIFS(Ведомость!$N$5:$N$212,Ведомость!$H$5:$H$212,8,Ведомость!$I$5:$I$212,"А240",Ведомость!$V$5:$V$212,"П-край")</f>
        <v>0</v>
      </c>
      <c r="P21" s="29" t="n">
        <f aca="false">SUMIFS(Ведомость!$N$5:$N$212,Ведомость!$H$5:$H$212,8,Ведомость!$I$5:$I$212,"А240",Ведомость!$V$5:$V$212,"ЛВ-1")</f>
        <v>0</v>
      </c>
      <c r="Q21" s="29" t="n">
        <f aca="false">SUMIFS(Ведомость!$N$5:$N$212,Ведомость!$H$5:$H$212,8,Ведомость!$I$5:$I$212,"А240",Ведомость!$V$5:$V$212,"С-1")</f>
        <v>0</v>
      </c>
      <c r="R21" s="30" t="n">
        <f aca="false">SUM(B21:Q21)</f>
        <v>2806.74</v>
      </c>
      <c r="S21" s="31" t="n">
        <f aca="false">IFERROR(INDEX(Исходные!$B$18:$B$29,MATCH(8,Исходные!$A$18:$A$29,0)),0)</f>
        <v>0.395</v>
      </c>
      <c r="T21" s="30" t="n">
        <f aca="false">R21*S21*$V$2</f>
        <v>1108.6623</v>
      </c>
      <c r="U21" s="32" t="n">
        <f aca="false">SUM(B21:F21)</f>
        <v>953.88</v>
      </c>
      <c r="V21" s="33" t="n">
        <f aca="false">S21</f>
        <v>0.395</v>
      </c>
      <c r="W21" s="34" t="n">
        <f aca="false">U21*V21*$V$2</f>
        <v>376.7826</v>
      </c>
      <c r="X21" s="32" t="n">
        <f aca="false">SUM(G21:O21)</f>
        <v>1852.86</v>
      </c>
      <c r="Y21" s="33" t="n">
        <f aca="false">S21</f>
        <v>0.395</v>
      </c>
      <c r="Z21" s="34" t="n">
        <f aca="false">X21*Y21*$V$2</f>
        <v>731.8797</v>
      </c>
      <c r="AA21" s="32" t="n">
        <f aca="false">SUM(P21:P21)</f>
        <v>0</v>
      </c>
      <c r="AB21" s="33" t="n">
        <f aca="false">S21</f>
        <v>0.395</v>
      </c>
      <c r="AC21" s="34" t="n">
        <f aca="false">AA21*AB21*$V$2</f>
        <v>0</v>
      </c>
      <c r="AD21" s="32" t="n">
        <f aca="false">SUM(Q21:Q21)</f>
        <v>0</v>
      </c>
      <c r="AE21" s="33" t="n">
        <f aca="false">S21</f>
        <v>0.395</v>
      </c>
      <c r="AF21" s="34" t="n">
        <f aca="false">AD21*AE21*$V$2</f>
        <v>0</v>
      </c>
    </row>
    <row r="22" customFormat="false" ht="15" hidden="false" customHeight="false" outlineLevel="0" collapsed="false">
      <c r="A22" s="5" t="s">
        <v>120</v>
      </c>
      <c r="B22" s="29" t="n">
        <f aca="false">SUMIFS(Ведомость!$N$5:$N$212,Ведомость!$H$5:$H$212,6,Ведомость!$I$5:$I$212,"А240",Ведомость!$V$5:$V$212,"Дм-1")</f>
        <v>0</v>
      </c>
      <c r="C22" s="29" t="n">
        <f aca="false">SUMIFS(Ведомость!$N$5:$N$212,Ведомость!$H$5:$H$212,6,Ведомость!$I$5:$I$212,"А240",Ведомость!$V$5:$V$212,"Дм-2")</f>
        <v>0</v>
      </c>
      <c r="D22" s="29" t="n">
        <f aca="false">SUMIFS(Ведомость!$N$5:$N$212,Ведомость!$H$5:$H$212,6,Ведомость!$I$5:$I$212,"А240",Ведомость!$V$5:$V$212,"Дм-3")</f>
        <v>0</v>
      </c>
      <c r="E22" s="29" t="n">
        <f aca="false">SUMIFS(Ведомость!$N$5:$N$212,Ведомость!$H$5:$H$212,6,Ведомость!$I$5:$I$212,"А240",Ведомость!$V$5:$V$212,"Дм-4")</f>
        <v>0</v>
      </c>
      <c r="F22" s="29" t="n">
        <f aca="false">SUMIFS(Ведомость!$N$5:$N$212,Ведомость!$H$5:$H$212,6,Ведомость!$I$5:$I$212,"А240",Ведомость!$V$5:$V$212,"Дм-5")</f>
        <v>0</v>
      </c>
      <c r="G22" s="29" t="n">
        <f aca="false">SUMIFS(Ведомость!$N$5:$N$212,Ведомость!$H$5:$H$212,6,Ведомость!$I$5:$I$212,"А240",Ведомость!$V$5:$V$212,"Б-основная")</f>
        <v>0</v>
      </c>
      <c r="H22" s="29" t="n">
        <f aca="false">SUMIFS(Ведомость!$N$5:$N$212,Ведомость!$H$5:$H$212,6,Ведомость!$I$5:$I$212,"А240",Ведомость!$V$5:$V$212,"Б-хомуты")</f>
        <v>0</v>
      </c>
      <c r="I22" s="29" t="n">
        <f aca="false">SUMIFS(Ведомость!$N$5:$N$212,Ведомость!$H$5:$H$212,6,Ведомость!$I$5:$I$212,"А240",Ведомость!$V$5:$V$212,"Б-допник")</f>
        <v>0</v>
      </c>
      <c r="J22" s="29" t="n">
        <f aca="false">SUMIFS(Ведомость!$N$5:$N$212,Ведомость!$H$5:$H$212,6,Ведомость!$I$5:$I$212,"А240",Ведомость!$V$5:$V$212,"П-сетка")</f>
        <v>0</v>
      </c>
      <c r="K22" s="29" t="n">
        <f aca="false">SUMIFS(Ведомость!$N$5:$N$212,Ведомость!$H$5:$H$212,6,Ведомость!$I$5:$I$212,"А240",Ведомость!$V$5:$V$212,"П-фикс")</f>
        <v>0</v>
      </c>
      <c r="L22" s="29" t="n">
        <f aca="false">SUMIFS(Ведомость!$N$5:$N$212,Ведомость!$H$5:$H$212,6,Ведомость!$I$5:$I$212,"А240",Ведомость!$V$5:$V$212,"П-отв")</f>
        <v>0</v>
      </c>
      <c r="M22" s="29" t="n">
        <f aca="false">SUMIFS(Ведомость!$N$5:$N$212,Ведомость!$H$5:$H$212,6,Ведомость!$I$5:$I$212,"А240",Ведомость!$V$5:$V$212,"П-доп-низ")</f>
        <v>0</v>
      </c>
      <c r="N22" s="29" t="n">
        <f aca="false">SUMIFS(Ведомость!$N$5:$N$212,Ведомость!$H$5:$H$212,6,Ведомость!$I$5:$I$212,"А240",Ведомость!$V$5:$V$212,"П-доп-верх")</f>
        <v>0</v>
      </c>
      <c r="O22" s="29" t="n">
        <f aca="false">SUMIFS(Ведомость!$N$5:$N$212,Ведомость!$H$5:$H$212,6,Ведомость!$I$5:$I$212,"А240",Ведомость!$V$5:$V$212,"П-край")</f>
        <v>0</v>
      </c>
      <c r="P22" s="29" t="n">
        <f aca="false">SUMIFS(Ведомость!$N$5:$N$212,Ведомость!$H$5:$H$212,6,Ведомость!$I$5:$I$212,"А240",Ведомость!$V$5:$V$212,"ЛВ-1")</f>
        <v>0</v>
      </c>
      <c r="Q22" s="29" t="n">
        <f aca="false">SUMIFS(Ведомость!$N$5:$N$212,Ведомость!$H$5:$H$212,6,Ведомость!$I$5:$I$212,"А240",Ведомость!$V$5:$V$212,"С-1")</f>
        <v>0</v>
      </c>
      <c r="R22" s="30" t="n">
        <f aca="false">SUM(B22:Q22)</f>
        <v>0</v>
      </c>
      <c r="S22" s="31" t="n">
        <f aca="false">IFERROR(INDEX(Исходные!$B$18:$B$29,MATCH(6,Исходные!$A$18:$A$29,0)),0)</f>
        <v>0.222</v>
      </c>
      <c r="T22" s="30" t="n">
        <f aca="false">R22*S22*$V$2</f>
        <v>0</v>
      </c>
      <c r="U22" s="32" t="n">
        <f aca="false">SUM(B22:F22)</f>
        <v>0</v>
      </c>
      <c r="V22" s="33" t="n">
        <f aca="false">S22</f>
        <v>0.222</v>
      </c>
      <c r="W22" s="34" t="n">
        <f aca="false">U22*V22*$V$2</f>
        <v>0</v>
      </c>
      <c r="X22" s="32" t="n">
        <f aca="false">SUM(G22:O22)</f>
        <v>0</v>
      </c>
      <c r="Y22" s="33" t="n">
        <f aca="false">S22</f>
        <v>0.222</v>
      </c>
      <c r="Z22" s="34" t="n">
        <f aca="false">X22*Y22*$V$2</f>
        <v>0</v>
      </c>
      <c r="AA22" s="32" t="n">
        <f aca="false">SUM(P22:P22)</f>
        <v>0</v>
      </c>
      <c r="AB22" s="33" t="n">
        <f aca="false">S22</f>
        <v>0.222</v>
      </c>
      <c r="AC22" s="34" t="n">
        <f aca="false">AA22*AB22*$V$2</f>
        <v>0</v>
      </c>
      <c r="AD22" s="32" t="n">
        <f aca="false">SUM(Q22:Q22)</f>
        <v>0</v>
      </c>
      <c r="AE22" s="33" t="n">
        <f aca="false">S22</f>
        <v>0.222</v>
      </c>
      <c r="AF22" s="34" t="n">
        <f aca="false">AD22*AE22*$V$2</f>
        <v>0</v>
      </c>
    </row>
    <row r="23" customFormat="false" ht="23.85" hidden="false" customHeight="false" outlineLevel="0" collapsed="false">
      <c r="A23" s="3" t="s">
        <v>121</v>
      </c>
      <c r="B23" s="35" t="n">
        <f aca="false">SUMPRODUCT(B8:B22,$S$8:$S$22)*$V$2</f>
        <v>1586.415728</v>
      </c>
      <c r="C23" s="35" t="n">
        <f aca="false">SUMPRODUCT(C8:C22,$S$8:$S$22)*$V$2</f>
        <v>1244.93613</v>
      </c>
      <c r="D23" s="35" t="n">
        <f aca="false">SUMPRODUCT(D8:D22,$S$8:$S$22)*$V$2</f>
        <v>1361.830122</v>
      </c>
      <c r="E23" s="35" t="n">
        <f aca="false">SUMPRODUCT(E8:E22,$S$8:$S$22)*$V$2</f>
        <v>680.33394</v>
      </c>
      <c r="F23" s="35" t="n">
        <f aca="false">SUMPRODUCT(F8:F22,$S$8:$S$22)*$V$2</f>
        <v>972.34972</v>
      </c>
      <c r="G23" s="35" t="n">
        <f aca="false">SUMPRODUCT(G8:G22,$S$8:$S$22)*$V$2</f>
        <v>3062.71604</v>
      </c>
      <c r="H23" s="35" t="n">
        <f aca="false">SUMPRODUCT(H8:H22,$S$8:$S$22)*$V$2</f>
        <v>658.2754</v>
      </c>
      <c r="I23" s="35" t="n">
        <f aca="false">SUMPRODUCT(I8:I22,$S$8:$S$22)*$V$2</f>
        <v>100.6992</v>
      </c>
      <c r="J23" s="35" t="n">
        <f aca="false">SUMPRODUCT(J8:J22,$S$8:$S$22)*$V$2</f>
        <v>6856.75802</v>
      </c>
      <c r="K23" s="35" t="n">
        <f aca="false">SUMPRODUCT(K8:K22,$S$8:$S$22)*$V$2</f>
        <v>293.09588</v>
      </c>
      <c r="L23" s="35" t="n">
        <f aca="false">SUMPRODUCT(L8:L22,$S$8:$S$22)*$V$2</f>
        <v>0</v>
      </c>
      <c r="M23" s="35" t="n">
        <f aca="false">SUMPRODUCT(M8:M22,$S$8:$S$22)*$V$2</f>
        <v>242.481</v>
      </c>
      <c r="N23" s="35" t="n">
        <f aca="false">SUMPRODUCT(N8:N22,$S$8:$S$22)*$V$2</f>
        <v>394.3466</v>
      </c>
      <c r="O23" s="35" t="n">
        <f aca="false">SUMPRODUCT(O8:O22,$S$8:$S$22)*$V$2</f>
        <v>167.43658</v>
      </c>
      <c r="P23" s="35" t="n">
        <f aca="false">SUMPRODUCT(P8:P22,$S$8:$S$22)*$V$2</f>
        <v>0</v>
      </c>
      <c r="Q23" s="35" t="n">
        <f aca="false">SUMPRODUCT(Q8:Q22,$S$8:$S$22)*$V$2</f>
        <v>590.8392</v>
      </c>
      <c r="R23" s="3"/>
      <c r="S23" s="4" t="s">
        <v>122</v>
      </c>
      <c r="T23" s="35" t="n">
        <f aca="false">SUM(T8:T22)</f>
        <v>18212.51356</v>
      </c>
      <c r="U23" s="3"/>
      <c r="V23" s="4" t="s">
        <v>122</v>
      </c>
      <c r="W23" s="35" t="n">
        <f aca="false">SUM(W8:W22)</f>
        <v>5845.86564</v>
      </c>
      <c r="X23" s="3"/>
      <c r="Y23" s="4" t="s">
        <v>122</v>
      </c>
      <c r="Z23" s="35" t="n">
        <f aca="false">SUM(Z8:Z22)</f>
        <v>11775.80872</v>
      </c>
      <c r="AA23" s="3"/>
      <c r="AB23" s="4" t="s">
        <v>122</v>
      </c>
      <c r="AC23" s="35" t="n">
        <f aca="false">SUM(AC8:AC22)</f>
        <v>0</v>
      </c>
      <c r="AD23" s="3"/>
      <c r="AE23" s="4" t="s">
        <v>122</v>
      </c>
      <c r="AF23" s="35" t="n">
        <f aca="false">SUM(AF8:AF22)</f>
        <v>590.8392</v>
      </c>
    </row>
    <row r="24" customFormat="false" ht="15" hidden="false" customHeight="false" outlineLevel="0" collapsed="false">
      <c r="S24" s="4" t="s">
        <v>123</v>
      </c>
      <c r="T24" s="36" t="n">
        <f aca="false">T23/1000</f>
        <v>18.21251356</v>
      </c>
      <c r="V24" s="4" t="s">
        <v>123</v>
      </c>
      <c r="W24" s="36" t="n">
        <f aca="false">W23/1000</f>
        <v>5.84586564</v>
      </c>
      <c r="Y24" s="4" t="s">
        <v>123</v>
      </c>
      <c r="Z24" s="36" t="n">
        <f aca="false">Z23/1000</f>
        <v>11.77580872</v>
      </c>
      <c r="AB24" s="4" t="s">
        <v>123</v>
      </c>
      <c r="AC24" s="36" t="n">
        <f aca="false">AC23/1000</f>
        <v>0</v>
      </c>
      <c r="AE24" s="4" t="s">
        <v>123</v>
      </c>
      <c r="AF24" s="36" t="n">
        <f aca="false">AF23/1000</f>
        <v>0.5908392</v>
      </c>
    </row>
    <row r="25" customFormat="false" ht="23.85" hidden="false" customHeight="false" outlineLevel="0" collapsed="false">
      <c r="A25" s="15" t="s">
        <v>124</v>
      </c>
      <c r="T25" s="16" t="n">
        <f aca="false">ROUND(T23-Ведомость!P213*$V$2,1)</f>
        <v>0</v>
      </c>
      <c r="U25" s="24" t="s">
        <v>33</v>
      </c>
    </row>
    <row r="27" customFormat="false" ht="15" hidden="false" customHeight="false" outlineLevel="0" collapsed="false">
      <c r="A27" s="3" t="s">
        <v>125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 customFormat="false" ht="15" hidden="false" customHeight="false" outlineLevel="0" collapsed="false">
      <c r="A28" s="5" t="s">
        <v>126</v>
      </c>
      <c r="B28" s="37" t="n">
        <f aca="false">(0.6*0.6+2*0.7*0.4+1.7*0.4)*(4-0.12)</f>
        <v>6.208</v>
      </c>
      <c r="C28" s="37" t="n">
        <f aca="false">(0.6*0.6+0.7*0.4+1.7*0.4)*(4-0.12)</f>
        <v>5.1216</v>
      </c>
      <c r="D28" s="37" t="n">
        <f aca="false">(0.6*0.6+2*0.7*0.4+0.9*0.4)*(4-0.12)</f>
        <v>4.9664</v>
      </c>
      <c r="E28" s="37" t="n">
        <f aca="false">(0.6*0.6+0.9*0.4)*(4-0.12)</f>
        <v>2.7936</v>
      </c>
      <c r="F28" s="37" t="n">
        <f aca="false">(0.6*0.6+0.7*0.4+0.9*0.4)*(4-0.12)</f>
        <v>3.88</v>
      </c>
      <c r="G28" s="37" t="n">
        <f aca="false">137.85*0.3*(0.3-0.12)+6.05*0.3*(0.4-0.12)+11.71*0.2*(0.3-0.12)+35.75*0.25*(0.3-0.12)</f>
        <v>9.98241</v>
      </c>
      <c r="H28" s="37"/>
      <c r="I28" s="37"/>
      <c r="J28" s="37" t="n">
        <f aca="false">542.03*0.12</f>
        <v>65.0436</v>
      </c>
      <c r="K28" s="37"/>
      <c r="L28" s="37"/>
      <c r="M28" s="37"/>
      <c r="N28" s="37"/>
      <c r="O28" s="37"/>
      <c r="P28" s="37"/>
      <c r="Q28" s="37"/>
      <c r="R28" s="38" t="n">
        <f aca="false">SUM(B28:Q28)</f>
        <v>97.99561</v>
      </c>
      <c r="S28" s="15"/>
      <c r="T28" s="38" t="n">
        <f aca="false">R28*$Y$2</f>
        <v>97.99561</v>
      </c>
      <c r="U28" s="39" t="n">
        <f aca="false">SUM(B28:F28)</f>
        <v>22.9696</v>
      </c>
      <c r="V28" s="5"/>
      <c r="W28" s="19" t="n">
        <f aca="false">U28*$Y$2</f>
        <v>22.9696</v>
      </c>
      <c r="X28" s="39" t="n">
        <f aca="false">SUM(G28:O28)</f>
        <v>75.02601</v>
      </c>
      <c r="Y28" s="5"/>
      <c r="Z28" s="19" t="n">
        <f aca="false">X28*$Y$2</f>
        <v>75.02601</v>
      </c>
      <c r="AA28" s="39" t="n">
        <f aca="false">SUM(P28:P28)</f>
        <v>0</v>
      </c>
      <c r="AB28" s="5"/>
      <c r="AC28" s="19" t="n">
        <f aca="false">AA28*$Y$2</f>
        <v>0</v>
      </c>
      <c r="AD28" s="39" t="n">
        <f aca="false">SUM(Q28:Q28)</f>
        <v>0</v>
      </c>
      <c r="AE28" s="5"/>
      <c r="AF28" s="19" t="n">
        <f aca="false">AD28*$Y$2</f>
        <v>0</v>
      </c>
    </row>
    <row r="29" customFormat="false" ht="15" hidden="false" customHeight="false" outlineLevel="0" collapsed="false">
      <c r="A29" s="15" t="s">
        <v>127</v>
      </c>
      <c r="T29" s="40" t="n">
        <f aca="false">IF(T28&gt;0,T23/T28,0)</f>
        <v>185.850300436928</v>
      </c>
      <c r="W29" s="41" t="n">
        <f aca="false">IF(W28&gt;0,W23/W28,0)</f>
        <v>254.504459807746</v>
      </c>
      <c r="Z29" s="41" t="n">
        <f aca="false">IF(Z28&gt;0,Z23/Z28,0)</f>
        <v>156.95635047099</v>
      </c>
      <c r="AC29" s="41" t="n">
        <f aca="false">IF(AC28&gt;0,AC23/AC28,0)</f>
        <v>0</v>
      </c>
      <c r="AF29" s="41" t="n">
        <f aca="false">IF(AF28&gt;0,AF23/AF28,0)</f>
        <v>0</v>
      </c>
    </row>
    <row r="31" customFormat="false" ht="15" hidden="false" customHeight="false" outlineLevel="0" collapsed="false">
      <c r="A31" s="3" t="s">
        <v>128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</row>
    <row r="32" customFormat="false" ht="15" hidden="false" customHeight="false" outlineLevel="0" collapsed="false">
      <c r="A32" s="5" t="s">
        <v>129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41" t="n">
        <f aca="false">SUM(B32:Q32)</f>
        <v>0</v>
      </c>
    </row>
    <row r="33" customFormat="false" ht="15" hidden="false" customHeight="false" outlineLevel="0" collapsed="false">
      <c r="A33" s="5" t="s">
        <v>130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41" t="n">
        <f aca="false">SUM(B33:Q33)</f>
        <v>0</v>
      </c>
    </row>
    <row r="34" customFormat="false" ht="15" hidden="false" customHeight="false" outlineLevel="0" collapsed="false">
      <c r="A34" s="5" t="s">
        <v>131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41" t="n">
        <f aca="false">SUM(B34:Q34)</f>
        <v>0</v>
      </c>
    </row>
    <row r="35" customFormat="false" ht="15" hidden="false" customHeight="false" outlineLevel="0" collapsed="false">
      <c r="A35" s="5" t="s">
        <v>132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41" t="n">
        <f aca="false">SUM(B35:Q35)</f>
        <v>0</v>
      </c>
    </row>
    <row r="36" customFormat="false" ht="15" hidden="false" customHeight="false" outlineLevel="0" collapsed="false">
      <c r="A36" s="5" t="s">
        <v>133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41" t="n">
        <f aca="false">SUM(B36:Q36)</f>
        <v>0</v>
      </c>
    </row>
    <row r="37" customFormat="false" ht="15" hidden="false" customHeight="false" outlineLevel="0" collapsed="false">
      <c r="A37" s="5" t="s">
        <v>134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41" t="n">
        <f aca="false">SUM(B37:Q37)</f>
        <v>0</v>
      </c>
    </row>
    <row r="38" customFormat="false" ht="15" hidden="false" customHeight="false" outlineLevel="0" collapsed="false">
      <c r="A38" s="5" t="s">
        <v>135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41" t="n">
        <f aca="false">SUM(B38:Q38)</f>
        <v>0</v>
      </c>
    </row>
    <row r="39" customFormat="false" ht="15" hidden="false" customHeight="false" outlineLevel="0" collapsed="false">
      <c r="A39" s="5" t="s">
        <v>136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41" t="n">
        <f aca="false">SUM(B39:Q39)</f>
        <v>0</v>
      </c>
    </row>
    <row r="40" customFormat="false" ht="15" hidden="false" customHeight="false" outlineLevel="0" collapsed="false">
      <c r="A40" s="5" t="s">
        <v>137</v>
      </c>
      <c r="B40" s="42" t="n">
        <v>4</v>
      </c>
      <c r="C40" s="42" t="n">
        <v>4</v>
      </c>
      <c r="D40" s="42" t="n">
        <v>4</v>
      </c>
      <c r="E40" s="42" t="n">
        <v>4</v>
      </c>
      <c r="F40" s="42" t="n">
        <v>4</v>
      </c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3" t="n">
        <f aca="false">SUM(B40:Q40)</f>
        <v>20</v>
      </c>
      <c r="U40" s="44" t="n">
        <f aca="false">SUM(B40:F40)</f>
        <v>20</v>
      </c>
      <c r="X40" s="44" t="n">
        <f aca="false">SUM(G40:O40)</f>
        <v>0</v>
      </c>
      <c r="AA40" s="44" t="n">
        <f aca="false">SUM(P40:P40)</f>
        <v>0</v>
      </c>
      <c r="AD40" s="44" t="n">
        <f aca="false">SUM(Q40:Q40)</f>
        <v>0</v>
      </c>
    </row>
    <row r="41" customFormat="false" ht="15" hidden="false" customHeight="false" outlineLevel="0" collapsed="false">
      <c r="A41" s="5" t="s">
        <v>138</v>
      </c>
      <c r="B41" s="42" t="n">
        <v>32</v>
      </c>
      <c r="C41" s="42" t="n">
        <v>22</v>
      </c>
      <c r="D41" s="42" t="n">
        <v>22</v>
      </c>
      <c r="E41" s="42" t="n">
        <v>14</v>
      </c>
      <c r="F41" s="42" t="n">
        <v>14</v>
      </c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 t="n">
        <f aca="false">SUM(B41:Q41)</f>
        <v>104</v>
      </c>
      <c r="U41" s="44" t="n">
        <f aca="false">SUM(B41:F41)</f>
        <v>104</v>
      </c>
      <c r="X41" s="44" t="n">
        <f aca="false">SUM(G41:O41)</f>
        <v>0</v>
      </c>
      <c r="AA41" s="44" t="n">
        <f aca="false">SUM(P41:P41)</f>
        <v>0</v>
      </c>
      <c r="AD41" s="44" t="n">
        <f aca="false">SUM(Q41:Q41)</f>
        <v>0</v>
      </c>
    </row>
    <row r="42" customFormat="false" ht="15" hidden="false" customHeight="false" outlineLevel="0" collapsed="false">
      <c r="A42" s="5" t="s">
        <v>139</v>
      </c>
      <c r="B42" s="42" t="n">
        <v>8</v>
      </c>
      <c r="C42" s="42" t="n">
        <v>8</v>
      </c>
      <c r="D42" s="42" t="n">
        <v>10</v>
      </c>
      <c r="E42" s="42"/>
      <c r="F42" s="42" t="n">
        <v>10</v>
      </c>
      <c r="G42" s="42" t="n">
        <v>40</v>
      </c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3" t="n">
        <f aca="false">SUM(B42:Q42)</f>
        <v>76</v>
      </c>
      <c r="U42" s="44" t="n">
        <f aca="false">SUM(B42:F42)</f>
        <v>36</v>
      </c>
      <c r="X42" s="44" t="n">
        <f aca="false">SUM(G42:O42)</f>
        <v>40</v>
      </c>
      <c r="AA42" s="44" t="n">
        <f aca="false">SUM(P42:P42)</f>
        <v>0</v>
      </c>
      <c r="AD42" s="44" t="n">
        <f aca="false">SUM(Q42:Q42)</f>
        <v>0</v>
      </c>
    </row>
    <row r="43" customFormat="false" ht="15" hidden="false" customHeight="false" outlineLevel="0" collapsed="false">
      <c r="A43" s="5" t="s">
        <v>140</v>
      </c>
      <c r="B43" s="42"/>
      <c r="C43" s="42" t="n">
        <v>16</v>
      </c>
      <c r="D43" s="42" t="n">
        <v>14</v>
      </c>
      <c r="E43" s="42"/>
      <c r="F43" s="42" t="n">
        <v>6</v>
      </c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3" t="n">
        <f aca="false">SUM(B43:Q43)</f>
        <v>36</v>
      </c>
      <c r="U43" s="44" t="n">
        <f aca="false">SUM(B43:F43)</f>
        <v>36</v>
      </c>
      <c r="X43" s="44" t="n">
        <f aca="false">SUM(G43:O43)</f>
        <v>0</v>
      </c>
      <c r="AA43" s="44" t="n">
        <f aca="false">SUM(P43:P43)</f>
        <v>0</v>
      </c>
      <c r="AD43" s="44" t="n">
        <f aca="false">SUM(Q43:Q43)</f>
        <v>0</v>
      </c>
    </row>
    <row r="44" customFormat="false" ht="15" hidden="false" customHeight="false" outlineLevel="0" collapsed="false">
      <c r="A44" s="5" t="s">
        <v>141</v>
      </c>
      <c r="B44" s="42" t="n">
        <v>16</v>
      </c>
      <c r="C44" s="42" t="n">
        <v>4</v>
      </c>
      <c r="D44" s="42" t="n">
        <v>8</v>
      </c>
      <c r="E44" s="42" t="n">
        <v>10</v>
      </c>
      <c r="F44" s="42" t="n">
        <v>8</v>
      </c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3" t="n">
        <f aca="false">SUM(B44:Q44)</f>
        <v>46</v>
      </c>
      <c r="U44" s="44" t="n">
        <f aca="false">SUM(B44:F44)</f>
        <v>46</v>
      </c>
      <c r="X44" s="44" t="n">
        <f aca="false">SUM(G44:O44)</f>
        <v>0</v>
      </c>
      <c r="AA44" s="44" t="n">
        <f aca="false">SUM(P44:P44)</f>
        <v>0</v>
      </c>
      <c r="AD44" s="44" t="n">
        <f aca="false">SUM(Q44:Q44)</f>
        <v>0</v>
      </c>
    </row>
    <row r="45" customFormat="false" ht="15" hidden="false" customHeight="false" outlineLevel="0" collapsed="false">
      <c r="A45" s="24" t="s">
        <v>142</v>
      </c>
    </row>
    <row r="46" customFormat="false" ht="15" hidden="false" customHeight="false" outlineLevel="0" collapsed="false">
      <c r="A46" s="24" t="s">
        <v>143</v>
      </c>
    </row>
  </sheetData>
  <mergeCells count="9">
    <mergeCell ref="A1:T1"/>
    <mergeCell ref="B4:F4"/>
    <mergeCell ref="G4:I4"/>
    <mergeCell ref="J4:O4"/>
    <mergeCell ref="U4:W4"/>
    <mergeCell ref="X4:Z4"/>
    <mergeCell ref="AA4:AC4"/>
    <mergeCell ref="AD4:AF4"/>
    <mergeCell ref="M5:N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45" t="s">
        <v>144</v>
      </c>
    </row>
    <row r="3" customFormat="false" ht="15" hidden="false" customHeight="true" outlineLevel="0" collapsed="false">
      <c r="A3" s="3" t="s">
        <v>145</v>
      </c>
      <c r="B3" s="15" t="s">
        <v>146</v>
      </c>
      <c r="C3" s="15"/>
      <c r="D3" s="15"/>
      <c r="E3" s="15"/>
      <c r="F3" s="15"/>
    </row>
    <row r="4" customFormat="false" ht="15" hidden="false" customHeight="true" outlineLevel="0" collapsed="false">
      <c r="A4" s="3" t="s">
        <v>147</v>
      </c>
      <c r="B4" s="15" t="s">
        <v>148</v>
      </c>
      <c r="C4" s="15"/>
      <c r="D4" s="15"/>
      <c r="E4" s="15"/>
      <c r="F4" s="15"/>
    </row>
    <row r="5" customFormat="false" ht="15" hidden="false" customHeight="true" outlineLevel="0" collapsed="false">
      <c r="A5" s="3" t="s">
        <v>149</v>
      </c>
      <c r="B5" s="15" t="s">
        <v>150</v>
      </c>
      <c r="C5" s="15"/>
      <c r="D5" s="15"/>
      <c r="E5" s="15"/>
      <c r="F5" s="15"/>
    </row>
    <row r="6" customFormat="false" ht="15" hidden="false" customHeight="true" outlineLevel="0" collapsed="false">
      <c r="A6" s="3" t="s">
        <v>151</v>
      </c>
      <c r="B6" s="15" t="s">
        <v>152</v>
      </c>
      <c r="C6" s="15"/>
      <c r="D6" s="15"/>
      <c r="E6" s="15"/>
      <c r="F6" s="15"/>
    </row>
    <row r="7" customFormat="false" ht="15" hidden="false" customHeight="true" outlineLevel="0" collapsed="false">
      <c r="A7" s="3" t="s">
        <v>153</v>
      </c>
      <c r="B7" s="15" t="s">
        <v>154</v>
      </c>
      <c r="C7" s="15"/>
      <c r="D7" s="15"/>
      <c r="E7" s="15"/>
      <c r="F7" s="15"/>
    </row>
    <row r="8" customFormat="false" ht="15" hidden="false" customHeight="true" outlineLevel="0" collapsed="false">
      <c r="A8" s="3" t="s">
        <v>34</v>
      </c>
      <c r="B8" s="15" t="s">
        <v>155</v>
      </c>
      <c r="C8" s="15"/>
      <c r="D8" s="15"/>
      <c r="E8" s="15"/>
      <c r="F8" s="15"/>
    </row>
    <row r="9" customFormat="false" ht="15" hidden="false" customHeight="true" outlineLevel="0" collapsed="false">
      <c r="A9" s="3" t="s">
        <v>1</v>
      </c>
      <c r="B9" s="15" t="s">
        <v>156</v>
      </c>
      <c r="C9" s="15"/>
      <c r="D9" s="15"/>
      <c r="E9" s="15"/>
      <c r="F9" s="15"/>
    </row>
    <row r="11" customFormat="false" ht="15" hidden="false" customHeight="false" outlineLevel="0" collapsed="false">
      <c r="A11" s="23" t="s">
        <v>157</v>
      </c>
    </row>
    <row r="12" customFormat="false" ht="15" hidden="false" customHeight="false" outlineLevel="0" collapsed="false">
      <c r="A12" s="3" t="s">
        <v>158</v>
      </c>
      <c r="B12" s="46" t="n">
        <v>11.7</v>
      </c>
    </row>
    <row r="13" customFormat="false" ht="15" hidden="false" customHeight="false" outlineLevel="0" collapsed="false">
      <c r="A13" s="3" t="s">
        <v>61</v>
      </c>
      <c r="B13" s="46" t="n">
        <v>1</v>
      </c>
      <c r="C13" s="17" t="s">
        <v>159</v>
      </c>
    </row>
    <row r="14" customFormat="false" ht="15" hidden="false" customHeight="false" outlineLevel="0" collapsed="false">
      <c r="A14" s="3" t="s">
        <v>62</v>
      </c>
      <c r="B14" s="46" t="n">
        <v>1</v>
      </c>
      <c r="C14" s="17" t="s">
        <v>160</v>
      </c>
    </row>
    <row r="16" customFormat="false" ht="15" hidden="false" customHeight="false" outlineLevel="0" collapsed="false">
      <c r="A16" s="23" t="s">
        <v>161</v>
      </c>
    </row>
    <row r="17" customFormat="false" ht="15" hidden="false" customHeight="false" outlineLevel="0" collapsed="false">
      <c r="A17" s="4" t="s">
        <v>162</v>
      </c>
      <c r="B17" s="4" t="s">
        <v>163</v>
      </c>
    </row>
    <row r="18" customFormat="false" ht="15" hidden="false" customHeight="false" outlineLevel="0" collapsed="false">
      <c r="A18" s="40" t="n">
        <v>6</v>
      </c>
      <c r="B18" s="47" t="n">
        <v>0.222</v>
      </c>
    </row>
    <row r="19" customFormat="false" ht="15" hidden="false" customHeight="false" outlineLevel="0" collapsed="false">
      <c r="A19" s="40" t="n">
        <v>8</v>
      </c>
      <c r="B19" s="47" t="n">
        <v>0.395</v>
      </c>
    </row>
    <row r="20" customFormat="false" ht="15" hidden="false" customHeight="false" outlineLevel="0" collapsed="false">
      <c r="A20" s="40" t="n">
        <v>10</v>
      </c>
      <c r="B20" s="47" t="n">
        <v>0.617</v>
      </c>
    </row>
    <row r="21" customFormat="false" ht="15" hidden="false" customHeight="false" outlineLevel="0" collapsed="false">
      <c r="A21" s="40" t="n">
        <v>12</v>
      </c>
      <c r="B21" s="47" t="n">
        <v>0.888</v>
      </c>
    </row>
    <row r="22" customFormat="false" ht="15" hidden="false" customHeight="false" outlineLevel="0" collapsed="false">
      <c r="A22" s="40" t="n">
        <v>14</v>
      </c>
      <c r="B22" s="47" t="n">
        <v>1.208</v>
      </c>
    </row>
    <row r="23" customFormat="false" ht="15" hidden="false" customHeight="false" outlineLevel="0" collapsed="false">
      <c r="A23" s="40" t="n">
        <v>16</v>
      </c>
      <c r="B23" s="47" t="n">
        <v>1.578</v>
      </c>
    </row>
    <row r="24" customFormat="false" ht="15" hidden="false" customHeight="false" outlineLevel="0" collapsed="false">
      <c r="A24" s="40" t="n">
        <v>18</v>
      </c>
      <c r="B24" s="47" t="n">
        <v>1.998</v>
      </c>
    </row>
    <row r="25" customFormat="false" ht="15" hidden="false" customHeight="false" outlineLevel="0" collapsed="false">
      <c r="A25" s="40" t="n">
        <v>20</v>
      </c>
      <c r="B25" s="47" t="n">
        <v>2.466</v>
      </c>
    </row>
    <row r="26" customFormat="false" ht="15" hidden="false" customHeight="false" outlineLevel="0" collapsed="false">
      <c r="A26" s="40" t="n">
        <v>22</v>
      </c>
      <c r="B26" s="47" t="n">
        <v>2.984</v>
      </c>
    </row>
    <row r="27" customFormat="false" ht="15" hidden="false" customHeight="false" outlineLevel="0" collapsed="false">
      <c r="A27" s="40" t="n">
        <v>25</v>
      </c>
      <c r="B27" s="47" t="n">
        <v>3.853</v>
      </c>
    </row>
    <row r="28" customFormat="false" ht="15" hidden="false" customHeight="false" outlineLevel="0" collapsed="false">
      <c r="A28" s="40" t="n">
        <v>28</v>
      </c>
      <c r="B28" s="47" t="n">
        <v>4.834</v>
      </c>
    </row>
    <row r="29" customFormat="false" ht="15" hidden="false" customHeight="false" outlineLevel="0" collapsed="false">
      <c r="A29" s="40" t="n">
        <v>32</v>
      </c>
      <c r="B29" s="47" t="n">
        <v>6.313</v>
      </c>
    </row>
    <row r="31" customFormat="false" ht="15" hidden="false" customHeight="false" outlineLevel="0" collapsed="false">
      <c r="A31" s="48" t="s">
        <v>164</v>
      </c>
    </row>
    <row r="32" customFormat="false" ht="15" hidden="false" customHeight="true" outlineLevel="0" collapsed="false">
      <c r="A32" s="3" t="s">
        <v>165</v>
      </c>
      <c r="B32" s="15" t="s">
        <v>166</v>
      </c>
      <c r="C32" s="15"/>
      <c r="D32" s="15"/>
      <c r="E32" s="15"/>
      <c r="F32" s="15"/>
    </row>
    <row r="33" customFormat="false" ht="15" hidden="false" customHeight="true" outlineLevel="0" collapsed="false">
      <c r="A33" s="3" t="s">
        <v>167</v>
      </c>
      <c r="B33" s="15" t="s">
        <v>168</v>
      </c>
      <c r="C33" s="15"/>
      <c r="D33" s="15"/>
      <c r="E33" s="15"/>
      <c r="F33" s="15"/>
    </row>
    <row r="34" customFormat="false" ht="15" hidden="false" customHeight="true" outlineLevel="0" collapsed="false">
      <c r="A34" s="3" t="s">
        <v>169</v>
      </c>
      <c r="B34" s="15" t="s">
        <v>170</v>
      </c>
      <c r="C34" s="15"/>
      <c r="D34" s="15"/>
      <c r="E34" s="15"/>
      <c r="F34" s="15"/>
    </row>
    <row r="35" customFormat="false" ht="15" hidden="false" customHeight="true" outlineLevel="0" collapsed="false">
      <c r="A35" s="3" t="s">
        <v>171</v>
      </c>
      <c r="B35" s="15" t="s">
        <v>172</v>
      </c>
      <c r="C35" s="15"/>
      <c r="D35" s="15"/>
      <c r="E35" s="15"/>
      <c r="F35" s="15"/>
    </row>
    <row r="36" customFormat="false" ht="15" hidden="false" customHeight="true" outlineLevel="0" collapsed="false">
      <c r="A36" s="3" t="s">
        <v>173</v>
      </c>
      <c r="B36" s="15" t="s">
        <v>174</v>
      </c>
      <c r="C36" s="15"/>
      <c r="D36" s="15"/>
      <c r="E36" s="15"/>
      <c r="F36" s="15"/>
    </row>
    <row r="38" customFormat="false" ht="15" hidden="false" customHeight="false" outlineLevel="0" collapsed="false">
      <c r="A38" s="23" t="s">
        <v>175</v>
      </c>
    </row>
    <row r="39" customFormat="false" ht="15" hidden="false" customHeight="false" outlineLevel="0" collapsed="false">
      <c r="A39" s="4" t="s">
        <v>176</v>
      </c>
      <c r="B39" s="4" t="s">
        <v>177</v>
      </c>
      <c r="C39" s="4" t="s">
        <v>178</v>
      </c>
      <c r="D39" s="4" t="s">
        <v>179</v>
      </c>
    </row>
    <row r="40" customFormat="false" ht="23.85" hidden="false" customHeight="false" outlineLevel="0" collapsed="false">
      <c r="A40" s="49" t="n">
        <v>2</v>
      </c>
      <c r="B40" s="49" t="s">
        <v>180</v>
      </c>
      <c r="C40" s="15" t="s">
        <v>181</v>
      </c>
      <c r="D40" s="15" t="s">
        <v>182</v>
      </c>
    </row>
    <row r="41" customFormat="false" ht="15" hidden="false" customHeight="false" outlineLevel="0" collapsed="false">
      <c r="A41" s="49" t="s">
        <v>183</v>
      </c>
      <c r="B41" s="49" t="s">
        <v>184</v>
      </c>
      <c r="C41" s="15" t="s">
        <v>185</v>
      </c>
      <c r="D41" s="15" t="s">
        <v>186</v>
      </c>
    </row>
    <row r="42" customFormat="false" ht="15" hidden="false" customHeight="false" outlineLevel="0" collapsed="false">
      <c r="A42" s="49" t="n">
        <v>11</v>
      </c>
      <c r="B42" s="49" t="s">
        <v>187</v>
      </c>
      <c r="C42" s="15" t="s">
        <v>188</v>
      </c>
      <c r="D42" s="15" t="s">
        <v>189</v>
      </c>
    </row>
    <row r="43" customFormat="false" ht="15" hidden="false" customHeight="false" outlineLevel="0" collapsed="false">
      <c r="A43" s="49" t="n">
        <v>12</v>
      </c>
      <c r="B43" s="49" t="s">
        <v>190</v>
      </c>
      <c r="C43" s="15" t="s">
        <v>191</v>
      </c>
      <c r="D43" s="15" t="s">
        <v>192</v>
      </c>
    </row>
    <row r="44" customFormat="false" ht="15" hidden="false" customHeight="false" outlineLevel="0" collapsed="false">
      <c r="A44" s="49" t="n">
        <v>13</v>
      </c>
      <c r="B44" s="49" t="s">
        <v>193</v>
      </c>
      <c r="C44" s="15" t="s">
        <v>194</v>
      </c>
      <c r="D44" s="15" t="s">
        <v>195</v>
      </c>
    </row>
    <row r="45" customFormat="false" ht="15" hidden="false" customHeight="false" outlineLevel="0" collapsed="false">
      <c r="A45" s="49" t="n">
        <v>14</v>
      </c>
      <c r="B45" s="49" t="s">
        <v>196</v>
      </c>
      <c r="C45" s="15" t="s">
        <v>197</v>
      </c>
      <c r="D45" s="15" t="s">
        <v>198</v>
      </c>
    </row>
    <row r="46" customFormat="false" ht="15" hidden="false" customHeight="false" outlineLevel="0" collapsed="false">
      <c r="A46" s="49" t="n">
        <v>15</v>
      </c>
      <c r="B46" s="49" t="s">
        <v>199</v>
      </c>
      <c r="C46" s="15" t="s">
        <v>200</v>
      </c>
      <c r="D46" s="15" t="s">
        <v>201</v>
      </c>
    </row>
    <row r="47" customFormat="false" ht="23.85" hidden="false" customHeight="false" outlineLevel="0" collapsed="false">
      <c r="A47" s="49" t="s">
        <v>202</v>
      </c>
      <c r="B47" s="49" t="s">
        <v>203</v>
      </c>
      <c r="C47" s="15" t="s">
        <v>204</v>
      </c>
      <c r="D47" s="15" t="s">
        <v>205</v>
      </c>
    </row>
    <row r="48" customFormat="false" ht="15" hidden="false" customHeight="false" outlineLevel="0" collapsed="false">
      <c r="A48" s="49" t="n">
        <v>29</v>
      </c>
      <c r="B48" s="49" t="s">
        <v>206</v>
      </c>
      <c r="C48" s="15" t="s">
        <v>207</v>
      </c>
      <c r="D48" s="15" t="s">
        <v>208</v>
      </c>
    </row>
    <row r="49" customFormat="false" ht="15" hidden="false" customHeight="false" outlineLevel="0" collapsed="false">
      <c r="A49" s="49" t="n">
        <v>31</v>
      </c>
      <c r="B49" s="49" t="s">
        <v>209</v>
      </c>
      <c r="C49" s="15" t="s">
        <v>210</v>
      </c>
      <c r="D49" s="15" t="s">
        <v>211</v>
      </c>
    </row>
    <row r="50" customFormat="false" ht="15" hidden="false" customHeight="false" outlineLevel="0" collapsed="false">
      <c r="A50" s="49" t="n">
        <v>32</v>
      </c>
      <c r="B50" s="49" t="s">
        <v>212</v>
      </c>
      <c r="C50" s="15" t="s">
        <v>213</v>
      </c>
      <c r="D50" s="15" t="s">
        <v>214</v>
      </c>
    </row>
    <row r="51" customFormat="false" ht="23.85" hidden="false" customHeight="false" outlineLevel="0" collapsed="false">
      <c r="A51" s="49" t="n">
        <v>35</v>
      </c>
      <c r="B51" s="49" t="s">
        <v>215</v>
      </c>
      <c r="C51" s="15" t="s">
        <v>216</v>
      </c>
      <c r="D51" s="15" t="s">
        <v>217</v>
      </c>
    </row>
    <row r="52" customFormat="false" ht="15" hidden="false" customHeight="false" outlineLevel="0" collapsed="false">
      <c r="A52" s="49" t="n">
        <v>36</v>
      </c>
      <c r="B52" s="49" t="s">
        <v>218</v>
      </c>
      <c r="C52" s="15" t="s">
        <v>219</v>
      </c>
      <c r="D52" s="15" t="s">
        <v>220</v>
      </c>
    </row>
    <row r="53" customFormat="false" ht="23.85" hidden="false" customHeight="false" outlineLevel="0" collapsed="false">
      <c r="A53" s="49" t="n">
        <v>37</v>
      </c>
      <c r="B53" s="49" t="s">
        <v>221</v>
      </c>
      <c r="C53" s="15" t="s">
        <v>222</v>
      </c>
      <c r="D53" s="15" t="s">
        <v>223</v>
      </c>
    </row>
    <row r="54" customFormat="false" ht="23.85" hidden="false" customHeight="false" outlineLevel="0" collapsed="false">
      <c r="A54" s="49" t="n">
        <v>38</v>
      </c>
      <c r="B54" s="49" t="s">
        <v>224</v>
      </c>
      <c r="C54" s="15" t="s">
        <v>225</v>
      </c>
      <c r="D54" s="15" t="s">
        <v>226</v>
      </c>
    </row>
    <row r="55" customFormat="false" ht="15" hidden="false" customHeight="false" outlineLevel="0" collapsed="false">
      <c r="A55" s="49" t="s">
        <v>227</v>
      </c>
      <c r="B55" s="49" t="s">
        <v>228</v>
      </c>
      <c r="C55" s="15" t="s">
        <v>229</v>
      </c>
      <c r="D55" s="15" t="s">
        <v>230</v>
      </c>
    </row>
    <row r="56" customFormat="false" ht="15" hidden="false" customHeight="false" outlineLevel="0" collapsed="false">
      <c r="A56" s="49" t="n">
        <v>39</v>
      </c>
      <c r="B56" s="49" t="s">
        <v>231</v>
      </c>
      <c r="C56" s="15" t="s">
        <v>232</v>
      </c>
      <c r="D56" s="15" t="s">
        <v>233</v>
      </c>
    </row>
    <row r="57" customFormat="false" ht="23.85" hidden="false" customHeight="false" outlineLevel="0" collapsed="false">
      <c r="A57" s="49" t="n">
        <v>1</v>
      </c>
      <c r="B57" s="49" t="s">
        <v>234</v>
      </c>
      <c r="C57" s="15" t="s">
        <v>235</v>
      </c>
      <c r="D57" s="15" t="s">
        <v>236</v>
      </c>
    </row>
  </sheetData>
  <mergeCells count="12">
    <mergeCell ref="B3:F3"/>
    <mergeCell ref="B4:F4"/>
    <mergeCell ref="B5:F5"/>
    <mergeCell ref="B6:F6"/>
    <mergeCell ref="B7:F7"/>
    <mergeCell ref="B8:F8"/>
    <mergeCell ref="B9:F9"/>
    <mergeCell ref="B32:F32"/>
    <mergeCell ref="B33:F33"/>
    <mergeCell ref="B34:F34"/>
    <mergeCell ref="B35:F35"/>
    <mergeCell ref="B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2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1" min="20" style="0" width="10"/>
    <col collapsed="false" customWidth="true" hidden="false" outlineLevel="0" max="22" min="22" style="0" width="13"/>
  </cols>
  <sheetData>
    <row r="1" customFormat="false" ht="17.35" hidden="false" customHeight="false" outlineLevel="0" collapsed="false">
      <c r="A1" s="45" t="s">
        <v>237</v>
      </c>
    </row>
    <row r="2" customFormat="false" ht="15" hidden="false" customHeight="false" outlineLevel="0" collapsed="false">
      <c r="A2" s="24" t="s">
        <v>238</v>
      </c>
    </row>
    <row r="4" customFormat="false" ht="45" hidden="false" customHeight="true" outlineLevel="0" collapsed="false">
      <c r="A4" s="4" t="s">
        <v>239</v>
      </c>
      <c r="B4" s="4" t="s">
        <v>149</v>
      </c>
      <c r="C4" s="4" t="s">
        <v>240</v>
      </c>
      <c r="D4" s="4" t="s">
        <v>241</v>
      </c>
      <c r="E4" s="4" t="s">
        <v>242</v>
      </c>
      <c r="F4" s="4" t="s">
        <v>243</v>
      </c>
      <c r="G4" s="4" t="s">
        <v>244</v>
      </c>
      <c r="H4" s="4" t="s">
        <v>245</v>
      </c>
      <c r="I4" s="4" t="s">
        <v>246</v>
      </c>
      <c r="J4" s="4" t="s">
        <v>247</v>
      </c>
      <c r="K4" s="4" t="s">
        <v>248</v>
      </c>
      <c r="L4" s="4" t="s">
        <v>249</v>
      </c>
      <c r="M4" s="4" t="s">
        <v>250</v>
      </c>
      <c r="N4" s="4" t="s">
        <v>251</v>
      </c>
      <c r="O4" s="4" t="s">
        <v>163</v>
      </c>
      <c r="P4" s="4" t="s">
        <v>252</v>
      </c>
      <c r="Q4" s="4" t="s">
        <v>253</v>
      </c>
      <c r="R4" s="4" t="s">
        <v>254</v>
      </c>
      <c r="S4" s="4" t="s">
        <v>255</v>
      </c>
      <c r="T4" s="4" t="s">
        <v>256</v>
      </c>
      <c r="U4" s="4" t="s">
        <v>257</v>
      </c>
      <c r="V4" s="4" t="s">
        <v>258</v>
      </c>
    </row>
    <row r="5" customFormat="false" ht="15" hidden="false" customHeight="true" outlineLevel="0" collapsed="false">
      <c r="A5" s="2" t="s">
        <v>259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customFormat="false" ht="23.85" hidden="false" customHeight="false" outlineLevel="0" collapsed="false">
      <c r="A6" s="49" t="n">
        <v>1</v>
      </c>
      <c r="B6" s="15" t="s">
        <v>260</v>
      </c>
      <c r="C6" s="15" t="s">
        <v>63</v>
      </c>
      <c r="D6" s="15" t="s">
        <v>261</v>
      </c>
      <c r="E6" s="15" t="s">
        <v>88</v>
      </c>
      <c r="F6" s="49" t="s">
        <v>262</v>
      </c>
      <c r="G6" s="15" t="s">
        <v>263</v>
      </c>
      <c r="H6" s="42" t="n">
        <v>32</v>
      </c>
      <c r="I6" s="49" t="s">
        <v>264</v>
      </c>
      <c r="J6" s="49" t="s">
        <v>98</v>
      </c>
      <c r="K6" s="42" t="n">
        <v>1</v>
      </c>
      <c r="L6" s="42" t="n">
        <v>4</v>
      </c>
      <c r="M6" s="47" t="n">
        <v>4</v>
      </c>
      <c r="N6" s="50" t="n">
        <f aca="false">K6*L6*M6</f>
        <v>16</v>
      </c>
      <c r="O6" s="31" t="n">
        <f aca="false">IFERROR(INDEX(Исходные!$B$18:$B$29,MATCH(H6,Исходные!$A$18:$A$29,0)),0)</f>
        <v>6.313</v>
      </c>
      <c r="P6" s="51" t="n">
        <f aca="false">N6*O6</f>
        <v>101.008</v>
      </c>
      <c r="Q6" s="15" t="s">
        <v>265</v>
      </c>
      <c r="R6" s="52" t="s">
        <v>266</v>
      </c>
      <c r="S6" s="15" t="s">
        <v>267</v>
      </c>
      <c r="T6" s="15" t="s">
        <v>63</v>
      </c>
      <c r="U6" s="40" t="n">
        <v>0</v>
      </c>
      <c r="V6" s="49" t="s">
        <v>88</v>
      </c>
    </row>
    <row r="7" customFormat="false" ht="23.85" hidden="false" customHeight="false" outlineLevel="0" collapsed="false">
      <c r="A7" s="49" t="n">
        <v>2</v>
      </c>
      <c r="B7" s="15" t="s">
        <v>260</v>
      </c>
      <c r="C7" s="15" t="s">
        <v>63</v>
      </c>
      <c r="D7" s="15" t="s">
        <v>261</v>
      </c>
      <c r="E7" s="15" t="s">
        <v>88</v>
      </c>
      <c r="F7" s="49" t="s">
        <v>268</v>
      </c>
      <c r="G7" s="15" t="s">
        <v>269</v>
      </c>
      <c r="H7" s="42" t="n">
        <v>20</v>
      </c>
      <c r="I7" s="49" t="s">
        <v>264</v>
      </c>
      <c r="J7" s="49" t="s">
        <v>98</v>
      </c>
      <c r="K7" s="42" t="n">
        <v>1</v>
      </c>
      <c r="L7" s="42" t="n">
        <v>8</v>
      </c>
      <c r="M7" s="47" t="n">
        <v>4</v>
      </c>
      <c r="N7" s="50" t="n">
        <f aca="false">K7*L7*M7</f>
        <v>32</v>
      </c>
      <c r="O7" s="31" t="n">
        <f aca="false">IFERROR(INDEX(Исходные!$B$18:$B$29,MATCH(H7,Исходные!$A$18:$A$29,0)),0)</f>
        <v>2.466</v>
      </c>
      <c r="P7" s="51" t="n">
        <f aca="false">N7*O7</f>
        <v>78.912</v>
      </c>
      <c r="Q7" s="15" t="s">
        <v>265</v>
      </c>
      <c r="R7" s="52" t="s">
        <v>266</v>
      </c>
      <c r="S7" s="15" t="s">
        <v>270</v>
      </c>
      <c r="T7" s="15" t="s">
        <v>63</v>
      </c>
      <c r="U7" s="40" t="n">
        <v>0</v>
      </c>
      <c r="V7" s="49" t="s">
        <v>88</v>
      </c>
    </row>
    <row r="8" customFormat="false" ht="35.05" hidden="false" customHeight="false" outlineLevel="0" collapsed="false">
      <c r="A8" s="49" t="n">
        <v>3</v>
      </c>
      <c r="B8" s="15" t="s">
        <v>260</v>
      </c>
      <c r="C8" s="15" t="s">
        <v>63</v>
      </c>
      <c r="D8" s="15" t="s">
        <v>261</v>
      </c>
      <c r="E8" s="15" t="s">
        <v>88</v>
      </c>
      <c r="F8" s="49" t="s">
        <v>271</v>
      </c>
      <c r="G8" s="15" t="s">
        <v>272</v>
      </c>
      <c r="H8" s="42" t="n">
        <v>28</v>
      </c>
      <c r="I8" s="49" t="s">
        <v>264</v>
      </c>
      <c r="J8" s="49" t="s">
        <v>98</v>
      </c>
      <c r="K8" s="42" t="n">
        <v>1</v>
      </c>
      <c r="L8" s="42" t="n">
        <v>22</v>
      </c>
      <c r="M8" s="47" t="n">
        <v>4</v>
      </c>
      <c r="N8" s="50" t="n">
        <f aca="false">K8*L8*M8</f>
        <v>88</v>
      </c>
      <c r="O8" s="31" t="n">
        <f aca="false">IFERROR(INDEX(Исходные!$B$18:$B$29,MATCH(H8,Исходные!$A$18:$A$29,0)),0)</f>
        <v>4.834</v>
      </c>
      <c r="P8" s="51" t="n">
        <f aca="false">N8*O8</f>
        <v>425.392</v>
      </c>
      <c r="Q8" s="15" t="s">
        <v>265</v>
      </c>
      <c r="R8" s="52" t="s">
        <v>266</v>
      </c>
      <c r="S8" s="15" t="s">
        <v>273</v>
      </c>
      <c r="T8" s="15" t="s">
        <v>63</v>
      </c>
      <c r="U8" s="40" t="n">
        <v>0</v>
      </c>
      <c r="V8" s="49" t="s">
        <v>88</v>
      </c>
    </row>
    <row r="9" customFormat="false" ht="23.85" hidden="false" customHeight="false" outlineLevel="0" collapsed="false">
      <c r="A9" s="49" t="n">
        <v>4</v>
      </c>
      <c r="B9" s="15" t="s">
        <v>260</v>
      </c>
      <c r="C9" s="15" t="s">
        <v>63</v>
      </c>
      <c r="D9" s="15" t="s">
        <v>261</v>
      </c>
      <c r="E9" s="15" t="s">
        <v>88</v>
      </c>
      <c r="F9" s="49" t="s">
        <v>274</v>
      </c>
      <c r="G9" s="15" t="s">
        <v>275</v>
      </c>
      <c r="H9" s="42" t="n">
        <v>25</v>
      </c>
      <c r="I9" s="49" t="s">
        <v>264</v>
      </c>
      <c r="J9" s="49" t="s">
        <v>98</v>
      </c>
      <c r="K9" s="42" t="n">
        <v>1</v>
      </c>
      <c r="L9" s="42" t="n">
        <v>8</v>
      </c>
      <c r="M9" s="47" t="n">
        <v>4</v>
      </c>
      <c r="N9" s="50" t="n">
        <f aca="false">K9*L9*M9</f>
        <v>32</v>
      </c>
      <c r="O9" s="31" t="n">
        <f aca="false">IFERROR(INDEX(Исходные!$B$18:$B$29,MATCH(H9,Исходные!$A$18:$A$29,0)),0)</f>
        <v>3.853</v>
      </c>
      <c r="P9" s="51" t="n">
        <f aca="false">N9*O9</f>
        <v>123.296</v>
      </c>
      <c r="Q9" s="15" t="s">
        <v>265</v>
      </c>
      <c r="R9" s="52" t="s">
        <v>266</v>
      </c>
      <c r="S9" s="15" t="s">
        <v>276</v>
      </c>
      <c r="T9" s="15" t="s">
        <v>63</v>
      </c>
      <c r="U9" s="40" t="n">
        <v>0</v>
      </c>
      <c r="V9" s="49" t="s">
        <v>88</v>
      </c>
    </row>
    <row r="10" customFormat="false" ht="23.85" hidden="false" customHeight="false" outlineLevel="0" collapsed="false">
      <c r="A10" s="49" t="n">
        <v>5</v>
      </c>
      <c r="B10" s="15" t="s">
        <v>260</v>
      </c>
      <c r="C10" s="15" t="s">
        <v>63</v>
      </c>
      <c r="D10" s="15" t="s">
        <v>261</v>
      </c>
      <c r="E10" s="15" t="s">
        <v>88</v>
      </c>
      <c r="F10" s="49" t="s">
        <v>271</v>
      </c>
      <c r="G10" s="15" t="s">
        <v>277</v>
      </c>
      <c r="H10" s="42" t="n">
        <v>28</v>
      </c>
      <c r="I10" s="49" t="s">
        <v>264</v>
      </c>
      <c r="J10" s="49" t="s">
        <v>98</v>
      </c>
      <c r="K10" s="42" t="n">
        <v>1</v>
      </c>
      <c r="L10" s="42" t="n">
        <v>10</v>
      </c>
      <c r="M10" s="47" t="n">
        <v>4</v>
      </c>
      <c r="N10" s="50" t="n">
        <f aca="false">K10*L10*M10</f>
        <v>40</v>
      </c>
      <c r="O10" s="31" t="n">
        <f aca="false">IFERROR(INDEX(Исходные!$B$18:$B$29,MATCH(H10,Исходные!$A$18:$A$29,0)),0)</f>
        <v>4.834</v>
      </c>
      <c r="P10" s="51" t="n">
        <f aca="false">N10*O10</f>
        <v>193.36</v>
      </c>
      <c r="Q10" s="15" t="s">
        <v>265</v>
      </c>
      <c r="R10" s="52" t="s">
        <v>266</v>
      </c>
      <c r="S10" s="15" t="s">
        <v>278</v>
      </c>
      <c r="T10" s="15" t="s">
        <v>63</v>
      </c>
      <c r="U10" s="40" t="n">
        <v>0</v>
      </c>
      <c r="V10" s="49" t="s">
        <v>88</v>
      </c>
    </row>
    <row r="11" customFormat="false" ht="23.85" hidden="false" customHeight="false" outlineLevel="0" collapsed="false">
      <c r="A11" s="49" t="n">
        <v>6</v>
      </c>
      <c r="B11" s="15" t="s">
        <v>260</v>
      </c>
      <c r="C11" s="15" t="s">
        <v>63</v>
      </c>
      <c r="D11" s="15" t="s">
        <v>261</v>
      </c>
      <c r="E11" s="15" t="s">
        <v>88</v>
      </c>
      <c r="F11" s="49" t="s">
        <v>268</v>
      </c>
      <c r="G11" s="15" t="s">
        <v>279</v>
      </c>
      <c r="H11" s="42" t="n">
        <v>20</v>
      </c>
      <c r="I11" s="49" t="s">
        <v>264</v>
      </c>
      <c r="J11" s="49" t="s">
        <v>98</v>
      </c>
      <c r="K11" s="42" t="n">
        <v>1</v>
      </c>
      <c r="L11" s="42" t="n">
        <v>8</v>
      </c>
      <c r="M11" s="47" t="n">
        <v>4</v>
      </c>
      <c r="N11" s="50" t="n">
        <f aca="false">K11*L11*M11</f>
        <v>32</v>
      </c>
      <c r="O11" s="31" t="n">
        <f aca="false">IFERROR(INDEX(Исходные!$B$18:$B$29,MATCH(H11,Исходные!$A$18:$A$29,0)),0)</f>
        <v>2.466</v>
      </c>
      <c r="P11" s="51" t="n">
        <f aca="false">N11*O11</f>
        <v>78.912</v>
      </c>
      <c r="Q11" s="15" t="s">
        <v>265</v>
      </c>
      <c r="R11" s="52" t="s">
        <v>266</v>
      </c>
      <c r="S11" s="15" t="s">
        <v>280</v>
      </c>
      <c r="T11" s="15" t="s">
        <v>63</v>
      </c>
      <c r="U11" s="40" t="n">
        <v>0</v>
      </c>
      <c r="V11" s="49" t="s">
        <v>88</v>
      </c>
    </row>
    <row r="12" customFormat="false" ht="23.85" hidden="false" customHeight="false" outlineLevel="0" collapsed="false">
      <c r="A12" s="49" t="n">
        <v>7</v>
      </c>
      <c r="B12" s="15" t="s">
        <v>260</v>
      </c>
      <c r="C12" s="15" t="s">
        <v>63</v>
      </c>
      <c r="D12" s="15" t="s">
        <v>261</v>
      </c>
      <c r="E12" s="15" t="s">
        <v>88</v>
      </c>
      <c r="F12" s="49" t="s">
        <v>281</v>
      </c>
      <c r="G12" s="15" t="s">
        <v>282</v>
      </c>
      <c r="H12" s="42" t="n">
        <v>18</v>
      </c>
      <c r="I12" s="49" t="s">
        <v>264</v>
      </c>
      <c r="J12" s="49" t="s">
        <v>98</v>
      </c>
      <c r="K12" s="42" t="n">
        <v>1</v>
      </c>
      <c r="L12" s="42" t="n">
        <v>9</v>
      </c>
      <c r="M12" s="47" t="n">
        <v>4.144</v>
      </c>
      <c r="N12" s="50" t="n">
        <f aca="false">K12*L12*M12</f>
        <v>37.296</v>
      </c>
      <c r="O12" s="31" t="n">
        <f aca="false">IFERROR(INDEX(Исходные!$B$18:$B$29,MATCH(H12,Исходные!$A$18:$A$29,0)),0)</f>
        <v>1.998</v>
      </c>
      <c r="P12" s="51" t="n">
        <f aca="false">N12*O12</f>
        <v>74.517408</v>
      </c>
      <c r="Q12" s="15" t="s">
        <v>265</v>
      </c>
      <c r="R12" s="52" t="s">
        <v>266</v>
      </c>
      <c r="S12" s="15" t="s">
        <v>283</v>
      </c>
      <c r="T12" s="15" t="s">
        <v>63</v>
      </c>
      <c r="U12" s="40" t="n">
        <v>0</v>
      </c>
      <c r="V12" s="49" t="s">
        <v>88</v>
      </c>
    </row>
    <row r="13" customFormat="false" ht="23.85" hidden="false" customHeight="false" outlineLevel="0" collapsed="false">
      <c r="A13" s="49" t="n">
        <v>8</v>
      </c>
      <c r="B13" s="15" t="s">
        <v>260</v>
      </c>
      <c r="C13" s="15" t="s">
        <v>63</v>
      </c>
      <c r="D13" s="15" t="s">
        <v>261</v>
      </c>
      <c r="E13" s="15" t="s">
        <v>88</v>
      </c>
      <c r="F13" s="49" t="s">
        <v>284</v>
      </c>
      <c r="G13" s="15" t="s">
        <v>285</v>
      </c>
      <c r="H13" s="42" t="n">
        <v>18</v>
      </c>
      <c r="I13" s="49" t="s">
        <v>264</v>
      </c>
      <c r="J13" s="49" t="n">
        <v>200</v>
      </c>
      <c r="K13" s="42" t="n">
        <v>1</v>
      </c>
      <c r="L13" s="42" t="n">
        <v>36</v>
      </c>
      <c r="M13" s="47" t="n">
        <v>1.95</v>
      </c>
      <c r="N13" s="50" t="n">
        <f aca="false">K13*L13*M13</f>
        <v>70.2</v>
      </c>
      <c r="O13" s="31" t="n">
        <f aca="false">IFERROR(INDEX(Исходные!$B$18:$B$29,MATCH(H13,Исходные!$A$18:$A$29,0)),0)</f>
        <v>1.998</v>
      </c>
      <c r="P13" s="51" t="n">
        <f aca="false">N13*O13</f>
        <v>140.2596</v>
      </c>
      <c r="Q13" s="15" t="s">
        <v>286</v>
      </c>
      <c r="R13" s="53" t="s">
        <v>287</v>
      </c>
      <c r="S13" s="15" t="s">
        <v>288</v>
      </c>
      <c r="T13" s="15" t="s">
        <v>63</v>
      </c>
      <c r="U13" s="40" t="n">
        <v>1</v>
      </c>
      <c r="V13" s="49" t="s">
        <v>88</v>
      </c>
    </row>
    <row r="14" customFormat="false" ht="23.85" hidden="false" customHeight="false" outlineLevel="0" collapsed="false">
      <c r="A14" s="49" t="n">
        <v>9</v>
      </c>
      <c r="B14" s="15" t="s">
        <v>260</v>
      </c>
      <c r="C14" s="15" t="s">
        <v>63</v>
      </c>
      <c r="D14" s="15" t="s">
        <v>261</v>
      </c>
      <c r="E14" s="15" t="s">
        <v>88</v>
      </c>
      <c r="F14" s="49" t="s">
        <v>284</v>
      </c>
      <c r="G14" s="15" t="s">
        <v>289</v>
      </c>
      <c r="H14" s="42" t="n">
        <v>16</v>
      </c>
      <c r="I14" s="49" t="s">
        <v>264</v>
      </c>
      <c r="J14" s="49" t="n">
        <v>200</v>
      </c>
      <c r="K14" s="42" t="n">
        <v>1</v>
      </c>
      <c r="L14" s="42" t="n">
        <v>36</v>
      </c>
      <c r="M14" s="47" t="n">
        <v>2.25</v>
      </c>
      <c r="N14" s="50" t="n">
        <f aca="false">K14*L14*M14</f>
        <v>81</v>
      </c>
      <c r="O14" s="31" t="n">
        <f aca="false">IFERROR(INDEX(Исходные!$B$18:$B$29,MATCH(H14,Исходные!$A$18:$A$29,0)),0)</f>
        <v>1.578</v>
      </c>
      <c r="P14" s="51" t="n">
        <f aca="false">N14*O14</f>
        <v>127.818</v>
      </c>
      <c r="Q14" s="15" t="s">
        <v>286</v>
      </c>
      <c r="R14" s="53" t="s">
        <v>287</v>
      </c>
      <c r="S14" s="15" t="s">
        <v>290</v>
      </c>
      <c r="T14" s="15" t="s">
        <v>63</v>
      </c>
      <c r="U14" s="40" t="n">
        <v>1</v>
      </c>
      <c r="V14" s="49" t="s">
        <v>88</v>
      </c>
    </row>
    <row r="15" customFormat="false" ht="23.85" hidden="false" customHeight="false" outlineLevel="0" collapsed="false">
      <c r="A15" s="49" t="n">
        <v>10</v>
      </c>
      <c r="B15" s="15" t="s">
        <v>260</v>
      </c>
      <c r="C15" s="15" t="s">
        <v>63</v>
      </c>
      <c r="D15" s="15" t="s">
        <v>261</v>
      </c>
      <c r="E15" s="15" t="s">
        <v>88</v>
      </c>
      <c r="F15" s="49" t="s">
        <v>291</v>
      </c>
      <c r="G15" s="15" t="s">
        <v>292</v>
      </c>
      <c r="H15" s="42" t="n">
        <v>20</v>
      </c>
      <c r="I15" s="49" t="s">
        <v>264</v>
      </c>
      <c r="J15" s="49" t="n">
        <v>200</v>
      </c>
      <c r="K15" s="42" t="n">
        <v>1</v>
      </c>
      <c r="L15" s="42" t="n">
        <v>10</v>
      </c>
      <c r="M15" s="47" t="n">
        <v>1.95</v>
      </c>
      <c r="N15" s="50" t="n">
        <f aca="false">K15*L15*M15</f>
        <v>19.5</v>
      </c>
      <c r="O15" s="31" t="n">
        <f aca="false">IFERROR(INDEX(Исходные!$B$18:$B$29,MATCH(H15,Исходные!$A$18:$A$29,0)),0)</f>
        <v>2.466</v>
      </c>
      <c r="P15" s="51" t="n">
        <f aca="false">N15*O15</f>
        <v>48.087</v>
      </c>
      <c r="Q15" s="15" t="s">
        <v>293</v>
      </c>
      <c r="R15" s="52" t="s">
        <v>266</v>
      </c>
      <c r="S15" s="15"/>
      <c r="T15" s="15" t="s">
        <v>63</v>
      </c>
      <c r="U15" s="40" t="n">
        <v>0</v>
      </c>
      <c r="V15" s="49" t="s">
        <v>88</v>
      </c>
    </row>
    <row r="16" customFormat="false" ht="23.85" hidden="false" customHeight="false" outlineLevel="0" collapsed="false">
      <c r="A16" s="49" t="n">
        <v>11</v>
      </c>
      <c r="B16" s="15" t="s">
        <v>260</v>
      </c>
      <c r="C16" s="15" t="s">
        <v>63</v>
      </c>
      <c r="D16" s="15" t="s">
        <v>261</v>
      </c>
      <c r="E16" s="15" t="s">
        <v>88</v>
      </c>
      <c r="F16" s="49" t="s">
        <v>291</v>
      </c>
      <c r="G16" s="15" t="s">
        <v>294</v>
      </c>
      <c r="H16" s="42" t="n">
        <v>20</v>
      </c>
      <c r="I16" s="49" t="s">
        <v>264</v>
      </c>
      <c r="J16" s="49" t="n">
        <v>200</v>
      </c>
      <c r="K16" s="42" t="n">
        <v>1</v>
      </c>
      <c r="L16" s="42" t="n">
        <v>6</v>
      </c>
      <c r="M16" s="47" t="n">
        <v>1.2</v>
      </c>
      <c r="N16" s="50" t="n">
        <f aca="false">K16*L16*M16</f>
        <v>7.2</v>
      </c>
      <c r="O16" s="31" t="n">
        <f aca="false">IFERROR(INDEX(Исходные!$B$18:$B$29,MATCH(H16,Исходные!$A$18:$A$29,0)),0)</f>
        <v>2.466</v>
      </c>
      <c r="P16" s="51" t="n">
        <f aca="false">N16*O16</f>
        <v>17.7552</v>
      </c>
      <c r="Q16" s="15" t="s">
        <v>293</v>
      </c>
      <c r="R16" s="52" t="s">
        <v>266</v>
      </c>
      <c r="S16" s="15"/>
      <c r="T16" s="15" t="s">
        <v>63</v>
      </c>
      <c r="U16" s="40" t="n">
        <v>0</v>
      </c>
      <c r="V16" s="49" t="s">
        <v>88</v>
      </c>
    </row>
    <row r="17" customFormat="false" ht="23.85" hidden="false" customHeight="false" outlineLevel="0" collapsed="false">
      <c r="A17" s="49" t="n">
        <v>12</v>
      </c>
      <c r="B17" s="15" t="s">
        <v>260</v>
      </c>
      <c r="C17" s="15" t="s">
        <v>63</v>
      </c>
      <c r="D17" s="15" t="s">
        <v>261</v>
      </c>
      <c r="E17" s="15" t="s">
        <v>88</v>
      </c>
      <c r="F17" s="49" t="s">
        <v>291</v>
      </c>
      <c r="G17" s="15" t="s">
        <v>295</v>
      </c>
      <c r="H17" s="42" t="n">
        <v>10</v>
      </c>
      <c r="I17" s="49" t="s">
        <v>264</v>
      </c>
      <c r="J17" s="49" t="n">
        <v>200</v>
      </c>
      <c r="K17" s="42" t="n">
        <v>1</v>
      </c>
      <c r="L17" s="42" t="n">
        <v>4</v>
      </c>
      <c r="M17" s="47" t="n">
        <v>1.2</v>
      </c>
      <c r="N17" s="50" t="n">
        <f aca="false">K17*L17*M17</f>
        <v>4.8</v>
      </c>
      <c r="O17" s="31" t="n">
        <f aca="false">IFERROR(INDEX(Исходные!$B$18:$B$29,MATCH(H17,Исходные!$A$18:$A$29,0)),0)</f>
        <v>0.617</v>
      </c>
      <c r="P17" s="51" t="n">
        <f aca="false">N17*O17</f>
        <v>2.9616</v>
      </c>
      <c r="Q17" s="15" t="s">
        <v>293</v>
      </c>
      <c r="R17" s="52" t="s">
        <v>266</v>
      </c>
      <c r="S17" s="15"/>
      <c r="T17" s="15" t="s">
        <v>63</v>
      </c>
      <c r="U17" s="40" t="n">
        <v>0</v>
      </c>
      <c r="V17" s="49" t="s">
        <v>88</v>
      </c>
    </row>
    <row r="18" customFormat="false" ht="23.85" hidden="false" customHeight="false" outlineLevel="0" collapsed="false">
      <c r="A18" s="49" t="n">
        <v>13</v>
      </c>
      <c r="B18" s="15" t="s">
        <v>260</v>
      </c>
      <c r="C18" s="15" t="s">
        <v>63</v>
      </c>
      <c r="D18" s="15" t="s">
        <v>261</v>
      </c>
      <c r="E18" s="15" t="s">
        <v>88</v>
      </c>
      <c r="F18" s="49" t="s">
        <v>296</v>
      </c>
      <c r="G18" s="15" t="s">
        <v>297</v>
      </c>
      <c r="H18" s="42" t="n">
        <v>10</v>
      </c>
      <c r="I18" s="49" t="s">
        <v>298</v>
      </c>
      <c r="J18" s="49" t="s">
        <v>299</v>
      </c>
      <c r="K18" s="42" t="n">
        <v>1</v>
      </c>
      <c r="L18" s="42" t="n">
        <v>54</v>
      </c>
      <c r="M18" s="47" t="n">
        <v>1.33</v>
      </c>
      <c r="N18" s="50" t="n">
        <f aca="false">K18*L18*M18</f>
        <v>71.82</v>
      </c>
      <c r="O18" s="31" t="n">
        <f aca="false">IFERROR(INDEX(Исходные!$B$18:$B$29,MATCH(H18,Исходные!$A$18:$A$29,0)),0)</f>
        <v>0.617</v>
      </c>
      <c r="P18" s="51" t="n">
        <f aca="false">N18*O18</f>
        <v>44.31294</v>
      </c>
      <c r="Q18" s="15" t="s">
        <v>300</v>
      </c>
      <c r="R18" s="52" t="s">
        <v>266</v>
      </c>
      <c r="S18" s="15"/>
      <c r="T18" s="15" t="s">
        <v>63</v>
      </c>
      <c r="U18" s="40" t="n">
        <v>0</v>
      </c>
      <c r="V18" s="49" t="s">
        <v>88</v>
      </c>
    </row>
    <row r="19" customFormat="false" ht="23.85" hidden="false" customHeight="false" outlineLevel="0" collapsed="false">
      <c r="A19" s="49" t="n">
        <v>14</v>
      </c>
      <c r="B19" s="15" t="s">
        <v>260</v>
      </c>
      <c r="C19" s="15" t="s">
        <v>63</v>
      </c>
      <c r="D19" s="15" t="s">
        <v>261</v>
      </c>
      <c r="E19" s="15" t="s">
        <v>88</v>
      </c>
      <c r="F19" s="49" t="s">
        <v>301</v>
      </c>
      <c r="G19" s="15" t="s">
        <v>302</v>
      </c>
      <c r="H19" s="42" t="n">
        <v>10</v>
      </c>
      <c r="I19" s="49" t="s">
        <v>298</v>
      </c>
      <c r="J19" s="49" t="s">
        <v>299</v>
      </c>
      <c r="K19" s="42" t="n">
        <v>1</v>
      </c>
      <c r="L19" s="42" t="n">
        <v>36</v>
      </c>
      <c r="M19" s="47" t="n">
        <v>1.56</v>
      </c>
      <c r="N19" s="50" t="n">
        <f aca="false">K19*L19*M19</f>
        <v>56.16</v>
      </c>
      <c r="O19" s="31" t="n">
        <f aca="false">IFERROR(INDEX(Исходные!$B$18:$B$29,MATCH(H19,Исходные!$A$18:$A$29,0)),0)</f>
        <v>0.617</v>
      </c>
      <c r="P19" s="51" t="n">
        <f aca="false">N19*O19</f>
        <v>34.65072</v>
      </c>
      <c r="Q19" s="15" t="s">
        <v>303</v>
      </c>
      <c r="R19" s="52" t="s">
        <v>266</v>
      </c>
      <c r="S19" s="15"/>
      <c r="T19" s="15" t="s">
        <v>63</v>
      </c>
      <c r="U19" s="40" t="n">
        <v>0</v>
      </c>
      <c r="V19" s="49" t="s">
        <v>88</v>
      </c>
    </row>
    <row r="20" customFormat="false" ht="23.85" hidden="false" customHeight="false" outlineLevel="0" collapsed="false">
      <c r="A20" s="49" t="n">
        <v>15</v>
      </c>
      <c r="B20" s="15" t="s">
        <v>260</v>
      </c>
      <c r="C20" s="15" t="s">
        <v>63</v>
      </c>
      <c r="D20" s="15" t="s">
        <v>261</v>
      </c>
      <c r="E20" s="15" t="s">
        <v>88</v>
      </c>
      <c r="F20" s="49" t="s">
        <v>304</v>
      </c>
      <c r="G20" s="15" t="s">
        <v>305</v>
      </c>
      <c r="H20" s="42" t="n">
        <v>10</v>
      </c>
      <c r="I20" s="49" t="s">
        <v>298</v>
      </c>
      <c r="J20" s="49" t="s">
        <v>299</v>
      </c>
      <c r="K20" s="42" t="n">
        <v>1</v>
      </c>
      <c r="L20" s="42" t="n">
        <v>18</v>
      </c>
      <c r="M20" s="47" t="n">
        <v>1.76</v>
      </c>
      <c r="N20" s="50" t="n">
        <f aca="false">K20*L20*M20</f>
        <v>31.68</v>
      </c>
      <c r="O20" s="31" t="n">
        <f aca="false">IFERROR(INDEX(Исходные!$B$18:$B$29,MATCH(H20,Исходные!$A$18:$A$29,0)),0)</f>
        <v>0.617</v>
      </c>
      <c r="P20" s="51" t="n">
        <f aca="false">N20*O20</f>
        <v>19.54656</v>
      </c>
      <c r="Q20" s="15" t="s">
        <v>306</v>
      </c>
      <c r="R20" s="52" t="s">
        <v>266</v>
      </c>
      <c r="S20" s="15"/>
      <c r="T20" s="15" t="s">
        <v>63</v>
      </c>
      <c r="U20" s="40" t="n">
        <v>0</v>
      </c>
      <c r="V20" s="49" t="s">
        <v>88</v>
      </c>
    </row>
    <row r="21" customFormat="false" ht="23.85" hidden="false" customHeight="false" outlineLevel="0" collapsed="false">
      <c r="A21" s="49" t="n">
        <v>16</v>
      </c>
      <c r="B21" s="15" t="s">
        <v>260</v>
      </c>
      <c r="C21" s="15" t="s">
        <v>63</v>
      </c>
      <c r="D21" s="15" t="s">
        <v>261</v>
      </c>
      <c r="E21" s="15" t="s">
        <v>88</v>
      </c>
      <c r="F21" s="49" t="s">
        <v>307</v>
      </c>
      <c r="G21" s="15" t="s">
        <v>308</v>
      </c>
      <c r="H21" s="42" t="n">
        <v>8</v>
      </c>
      <c r="I21" s="49" t="s">
        <v>298</v>
      </c>
      <c r="J21" s="49" t="s">
        <v>299</v>
      </c>
      <c r="K21" s="42" t="n">
        <v>1</v>
      </c>
      <c r="L21" s="42" t="n">
        <v>30</v>
      </c>
      <c r="M21" s="47" t="n">
        <v>2.44</v>
      </c>
      <c r="N21" s="50" t="n">
        <f aca="false">K21*L21*M21</f>
        <v>73.2</v>
      </c>
      <c r="O21" s="31" t="n">
        <f aca="false">IFERROR(INDEX(Исходные!$B$18:$B$29,MATCH(H21,Исходные!$A$18:$A$29,0)),0)</f>
        <v>0.395</v>
      </c>
      <c r="P21" s="51" t="n">
        <f aca="false">N21*O21</f>
        <v>28.914</v>
      </c>
      <c r="Q21" s="15" t="s">
        <v>309</v>
      </c>
      <c r="R21" s="52" t="s">
        <v>266</v>
      </c>
      <c r="S21" s="15"/>
      <c r="T21" s="15" t="s">
        <v>63</v>
      </c>
      <c r="U21" s="40" t="n">
        <v>0</v>
      </c>
      <c r="V21" s="49" t="s">
        <v>88</v>
      </c>
    </row>
    <row r="22" customFormat="false" ht="23.85" hidden="false" customHeight="false" outlineLevel="0" collapsed="false">
      <c r="A22" s="49" t="n">
        <v>17</v>
      </c>
      <c r="B22" s="15" t="s">
        <v>260</v>
      </c>
      <c r="C22" s="15" t="s">
        <v>63</v>
      </c>
      <c r="D22" s="15" t="s">
        <v>261</v>
      </c>
      <c r="E22" s="15" t="s">
        <v>88</v>
      </c>
      <c r="F22" s="49" t="s">
        <v>310</v>
      </c>
      <c r="G22" s="15" t="s">
        <v>311</v>
      </c>
      <c r="H22" s="42" t="n">
        <v>8</v>
      </c>
      <c r="I22" s="49" t="s">
        <v>298</v>
      </c>
      <c r="J22" s="49" t="s">
        <v>299</v>
      </c>
      <c r="K22" s="42" t="n">
        <v>1</v>
      </c>
      <c r="L22" s="42" t="n">
        <v>36</v>
      </c>
      <c r="M22" s="47" t="n">
        <v>1.96</v>
      </c>
      <c r="N22" s="50" t="n">
        <f aca="false">K22*L22*M22</f>
        <v>70.56</v>
      </c>
      <c r="O22" s="31" t="n">
        <f aca="false">IFERROR(INDEX(Исходные!$B$18:$B$29,MATCH(H22,Исходные!$A$18:$A$29,0)),0)</f>
        <v>0.395</v>
      </c>
      <c r="P22" s="51" t="n">
        <f aca="false">N22*O22</f>
        <v>27.8712</v>
      </c>
      <c r="Q22" s="15" t="s">
        <v>312</v>
      </c>
      <c r="R22" s="52" t="s">
        <v>266</v>
      </c>
      <c r="S22" s="15"/>
      <c r="T22" s="15" t="s">
        <v>63</v>
      </c>
      <c r="U22" s="40" t="n">
        <v>0</v>
      </c>
      <c r="V22" s="49" t="s">
        <v>88</v>
      </c>
    </row>
    <row r="23" customFormat="false" ht="23.85" hidden="false" customHeight="false" outlineLevel="0" collapsed="false">
      <c r="A23" s="49" t="n">
        <v>18</v>
      </c>
      <c r="B23" s="15" t="s">
        <v>260</v>
      </c>
      <c r="C23" s="15" t="s">
        <v>63</v>
      </c>
      <c r="D23" s="15" t="s">
        <v>261</v>
      </c>
      <c r="E23" s="15" t="s">
        <v>88</v>
      </c>
      <c r="F23" s="49" t="s">
        <v>313</v>
      </c>
      <c r="G23" s="15" t="s">
        <v>314</v>
      </c>
      <c r="H23" s="42" t="n">
        <v>8</v>
      </c>
      <c r="I23" s="49" t="s">
        <v>298</v>
      </c>
      <c r="J23" s="49" t="s">
        <v>299</v>
      </c>
      <c r="K23" s="42" t="n">
        <v>1</v>
      </c>
      <c r="L23" s="42" t="n">
        <v>90</v>
      </c>
      <c r="M23" s="47" t="n">
        <v>0.53</v>
      </c>
      <c r="N23" s="50" t="n">
        <f aca="false">K23*L23*M23</f>
        <v>47.7</v>
      </c>
      <c r="O23" s="31" t="n">
        <f aca="false">IFERROR(INDEX(Исходные!$B$18:$B$29,MATCH(H23,Исходные!$A$18:$A$29,0)),0)</f>
        <v>0.395</v>
      </c>
      <c r="P23" s="51" t="n">
        <f aca="false">N23*O23</f>
        <v>18.8415</v>
      </c>
      <c r="Q23" s="15" t="s">
        <v>315</v>
      </c>
      <c r="R23" s="52" t="s">
        <v>266</v>
      </c>
      <c r="S23" s="15"/>
      <c r="T23" s="15" t="s">
        <v>63</v>
      </c>
      <c r="U23" s="40" t="n">
        <v>0</v>
      </c>
      <c r="V23" s="49" t="s">
        <v>88</v>
      </c>
    </row>
    <row r="24" customFormat="false" ht="23.85" hidden="false" customHeight="false" outlineLevel="0" collapsed="false">
      <c r="A24" s="49" t="n">
        <v>19</v>
      </c>
      <c r="B24" s="15" t="s">
        <v>260</v>
      </c>
      <c r="C24" s="15" t="s">
        <v>63</v>
      </c>
      <c r="D24" s="15" t="s">
        <v>316</v>
      </c>
      <c r="E24" s="15" t="s">
        <v>89</v>
      </c>
      <c r="F24" s="49" t="s">
        <v>262</v>
      </c>
      <c r="G24" s="15" t="s">
        <v>263</v>
      </c>
      <c r="H24" s="42" t="n">
        <v>32</v>
      </c>
      <c r="I24" s="49" t="s">
        <v>264</v>
      </c>
      <c r="J24" s="49" t="s">
        <v>98</v>
      </c>
      <c r="K24" s="42" t="n">
        <v>1</v>
      </c>
      <c r="L24" s="42" t="n">
        <v>4</v>
      </c>
      <c r="M24" s="47" t="n">
        <v>4</v>
      </c>
      <c r="N24" s="50" t="n">
        <f aca="false">K24*L24*M24</f>
        <v>16</v>
      </c>
      <c r="O24" s="31" t="n">
        <f aca="false">IFERROR(INDEX(Исходные!$B$18:$B$29,MATCH(H24,Исходные!$A$18:$A$29,0)),0)</f>
        <v>6.313</v>
      </c>
      <c r="P24" s="51" t="n">
        <f aca="false">N24*O24</f>
        <v>101.008</v>
      </c>
      <c r="Q24" s="15" t="s">
        <v>317</v>
      </c>
      <c r="R24" s="52" t="s">
        <v>266</v>
      </c>
      <c r="S24" s="15" t="s">
        <v>267</v>
      </c>
      <c r="T24" s="15" t="s">
        <v>63</v>
      </c>
      <c r="U24" s="40" t="n">
        <v>0</v>
      </c>
      <c r="V24" s="49" t="s">
        <v>89</v>
      </c>
    </row>
    <row r="25" customFormat="false" ht="23.85" hidden="false" customHeight="false" outlineLevel="0" collapsed="false">
      <c r="A25" s="49" t="n">
        <v>20</v>
      </c>
      <c r="B25" s="15" t="s">
        <v>260</v>
      </c>
      <c r="C25" s="15" t="s">
        <v>63</v>
      </c>
      <c r="D25" s="15" t="s">
        <v>316</v>
      </c>
      <c r="E25" s="15" t="s">
        <v>89</v>
      </c>
      <c r="F25" s="49" t="s">
        <v>274</v>
      </c>
      <c r="G25" s="15" t="s">
        <v>318</v>
      </c>
      <c r="H25" s="42" t="n">
        <v>25</v>
      </c>
      <c r="I25" s="49" t="s">
        <v>264</v>
      </c>
      <c r="J25" s="49" t="s">
        <v>98</v>
      </c>
      <c r="K25" s="42" t="n">
        <v>1</v>
      </c>
      <c r="L25" s="42" t="n">
        <v>4</v>
      </c>
      <c r="M25" s="47" t="n">
        <v>4</v>
      </c>
      <c r="N25" s="50" t="n">
        <f aca="false">K25*L25*M25</f>
        <v>16</v>
      </c>
      <c r="O25" s="31" t="n">
        <f aca="false">IFERROR(INDEX(Исходные!$B$18:$B$29,MATCH(H25,Исходные!$A$18:$A$29,0)),0)</f>
        <v>3.853</v>
      </c>
      <c r="P25" s="51" t="n">
        <f aca="false">N25*O25</f>
        <v>61.648</v>
      </c>
      <c r="Q25" s="15" t="s">
        <v>317</v>
      </c>
      <c r="R25" s="52" t="s">
        <v>266</v>
      </c>
      <c r="S25" s="15" t="s">
        <v>319</v>
      </c>
      <c r="T25" s="15" t="s">
        <v>63</v>
      </c>
      <c r="U25" s="40" t="n">
        <v>0</v>
      </c>
      <c r="V25" s="49" t="s">
        <v>89</v>
      </c>
    </row>
    <row r="26" customFormat="false" ht="23.85" hidden="false" customHeight="false" outlineLevel="0" collapsed="false">
      <c r="A26" s="49" t="n">
        <v>21</v>
      </c>
      <c r="B26" s="15" t="s">
        <v>260</v>
      </c>
      <c r="C26" s="15" t="s">
        <v>63</v>
      </c>
      <c r="D26" s="15" t="s">
        <v>316</v>
      </c>
      <c r="E26" s="15" t="s">
        <v>89</v>
      </c>
      <c r="F26" s="49" t="s">
        <v>268</v>
      </c>
      <c r="G26" s="15" t="s">
        <v>320</v>
      </c>
      <c r="H26" s="42" t="n">
        <v>20</v>
      </c>
      <c r="I26" s="49" t="s">
        <v>264</v>
      </c>
      <c r="J26" s="49" t="s">
        <v>98</v>
      </c>
      <c r="K26" s="42" t="n">
        <v>1</v>
      </c>
      <c r="L26" s="42" t="n">
        <v>4</v>
      </c>
      <c r="M26" s="47" t="n">
        <v>4</v>
      </c>
      <c r="N26" s="50" t="n">
        <f aca="false">K26*L26*M26</f>
        <v>16</v>
      </c>
      <c r="O26" s="31" t="n">
        <f aca="false">IFERROR(INDEX(Исходные!$B$18:$B$29,MATCH(H26,Исходные!$A$18:$A$29,0)),0)</f>
        <v>2.466</v>
      </c>
      <c r="P26" s="51" t="n">
        <f aca="false">N26*O26</f>
        <v>39.456</v>
      </c>
      <c r="Q26" s="15" t="s">
        <v>317</v>
      </c>
      <c r="R26" s="52" t="s">
        <v>266</v>
      </c>
      <c r="S26" s="15" t="s">
        <v>321</v>
      </c>
      <c r="T26" s="15" t="s">
        <v>63</v>
      </c>
      <c r="U26" s="40" t="n">
        <v>0</v>
      </c>
      <c r="V26" s="49" t="s">
        <v>89</v>
      </c>
    </row>
    <row r="27" customFormat="false" ht="23.85" hidden="false" customHeight="false" outlineLevel="0" collapsed="false">
      <c r="A27" s="49" t="n">
        <v>22</v>
      </c>
      <c r="B27" s="15" t="s">
        <v>260</v>
      </c>
      <c r="C27" s="15" t="s">
        <v>63</v>
      </c>
      <c r="D27" s="15" t="s">
        <v>316</v>
      </c>
      <c r="E27" s="15" t="s">
        <v>89</v>
      </c>
      <c r="F27" s="49" t="s">
        <v>271</v>
      </c>
      <c r="G27" s="15" t="s">
        <v>322</v>
      </c>
      <c r="H27" s="42" t="n">
        <v>28</v>
      </c>
      <c r="I27" s="49" t="s">
        <v>264</v>
      </c>
      <c r="J27" s="49" t="s">
        <v>98</v>
      </c>
      <c r="K27" s="42" t="n">
        <v>1</v>
      </c>
      <c r="L27" s="42" t="n">
        <v>11</v>
      </c>
      <c r="M27" s="47" t="n">
        <v>4</v>
      </c>
      <c r="N27" s="50" t="n">
        <f aca="false">K27*L27*M27</f>
        <v>44</v>
      </c>
      <c r="O27" s="31" t="n">
        <f aca="false">IFERROR(INDEX(Исходные!$B$18:$B$29,MATCH(H27,Исходные!$A$18:$A$29,0)),0)</f>
        <v>4.834</v>
      </c>
      <c r="P27" s="51" t="n">
        <f aca="false">N27*O27</f>
        <v>212.696</v>
      </c>
      <c r="Q27" s="15" t="s">
        <v>317</v>
      </c>
      <c r="R27" s="52" t="s">
        <v>266</v>
      </c>
      <c r="S27" s="15" t="s">
        <v>323</v>
      </c>
      <c r="T27" s="15" t="s">
        <v>63</v>
      </c>
      <c r="U27" s="40" t="n">
        <v>0</v>
      </c>
      <c r="V27" s="49" t="s">
        <v>89</v>
      </c>
    </row>
    <row r="28" customFormat="false" ht="23.85" hidden="false" customHeight="false" outlineLevel="0" collapsed="false">
      <c r="A28" s="49" t="n">
        <v>23</v>
      </c>
      <c r="B28" s="15" t="s">
        <v>260</v>
      </c>
      <c r="C28" s="15" t="s">
        <v>63</v>
      </c>
      <c r="D28" s="15" t="s">
        <v>316</v>
      </c>
      <c r="E28" s="15" t="s">
        <v>89</v>
      </c>
      <c r="F28" s="49" t="s">
        <v>274</v>
      </c>
      <c r="G28" s="15" t="s">
        <v>324</v>
      </c>
      <c r="H28" s="42" t="n">
        <v>25</v>
      </c>
      <c r="I28" s="49" t="s">
        <v>264</v>
      </c>
      <c r="J28" s="49" t="s">
        <v>98</v>
      </c>
      <c r="K28" s="42" t="n">
        <v>1</v>
      </c>
      <c r="L28" s="42" t="n">
        <v>4</v>
      </c>
      <c r="M28" s="47" t="n">
        <v>4</v>
      </c>
      <c r="N28" s="50" t="n">
        <f aca="false">K28*L28*M28</f>
        <v>16</v>
      </c>
      <c r="O28" s="31" t="n">
        <f aca="false">IFERROR(INDEX(Исходные!$B$18:$B$29,MATCH(H28,Исходные!$A$18:$A$29,0)),0)</f>
        <v>3.853</v>
      </c>
      <c r="P28" s="51" t="n">
        <f aca="false">N28*O28</f>
        <v>61.648</v>
      </c>
      <c r="Q28" s="15" t="s">
        <v>317</v>
      </c>
      <c r="R28" s="52" t="s">
        <v>266</v>
      </c>
      <c r="S28" s="15" t="s">
        <v>325</v>
      </c>
      <c r="T28" s="15" t="s">
        <v>63</v>
      </c>
      <c r="U28" s="40" t="n">
        <v>0</v>
      </c>
      <c r="V28" s="49" t="s">
        <v>89</v>
      </c>
    </row>
    <row r="29" customFormat="false" ht="23.85" hidden="false" customHeight="false" outlineLevel="0" collapsed="false">
      <c r="A29" s="49" t="n">
        <v>24</v>
      </c>
      <c r="B29" s="15" t="s">
        <v>260</v>
      </c>
      <c r="C29" s="15" t="s">
        <v>63</v>
      </c>
      <c r="D29" s="15" t="s">
        <v>316</v>
      </c>
      <c r="E29" s="15" t="s">
        <v>89</v>
      </c>
      <c r="F29" s="49" t="s">
        <v>271</v>
      </c>
      <c r="G29" s="15" t="s">
        <v>326</v>
      </c>
      <c r="H29" s="42" t="n">
        <v>28</v>
      </c>
      <c r="I29" s="49" t="s">
        <v>264</v>
      </c>
      <c r="J29" s="49" t="s">
        <v>98</v>
      </c>
      <c r="K29" s="42" t="n">
        <v>1</v>
      </c>
      <c r="L29" s="42" t="n">
        <v>11</v>
      </c>
      <c r="M29" s="47" t="n">
        <v>4</v>
      </c>
      <c r="N29" s="50" t="n">
        <f aca="false">K29*L29*M29</f>
        <v>44</v>
      </c>
      <c r="O29" s="31" t="n">
        <f aca="false">IFERROR(INDEX(Исходные!$B$18:$B$29,MATCH(H29,Исходные!$A$18:$A$29,0)),0)</f>
        <v>4.834</v>
      </c>
      <c r="P29" s="51" t="n">
        <f aca="false">N29*O29</f>
        <v>212.696</v>
      </c>
      <c r="Q29" s="15" t="s">
        <v>317</v>
      </c>
      <c r="R29" s="52" t="s">
        <v>266</v>
      </c>
      <c r="S29" s="15" t="s">
        <v>323</v>
      </c>
      <c r="T29" s="15" t="s">
        <v>63</v>
      </c>
      <c r="U29" s="40" t="n">
        <v>0</v>
      </c>
      <c r="V29" s="49" t="s">
        <v>89</v>
      </c>
    </row>
    <row r="30" customFormat="false" ht="23.85" hidden="false" customHeight="false" outlineLevel="0" collapsed="false">
      <c r="A30" s="49" t="n">
        <v>25</v>
      </c>
      <c r="B30" s="15" t="s">
        <v>260</v>
      </c>
      <c r="C30" s="15" t="s">
        <v>63</v>
      </c>
      <c r="D30" s="15" t="s">
        <v>316</v>
      </c>
      <c r="E30" s="15" t="s">
        <v>89</v>
      </c>
      <c r="F30" s="49" t="s">
        <v>327</v>
      </c>
      <c r="G30" s="15" t="s">
        <v>279</v>
      </c>
      <c r="H30" s="42" t="n">
        <v>22</v>
      </c>
      <c r="I30" s="49" t="s">
        <v>264</v>
      </c>
      <c r="J30" s="49" t="s">
        <v>98</v>
      </c>
      <c r="K30" s="42" t="n">
        <v>1</v>
      </c>
      <c r="L30" s="42" t="n">
        <v>16</v>
      </c>
      <c r="M30" s="47" t="n">
        <v>4</v>
      </c>
      <c r="N30" s="50" t="n">
        <f aca="false">K30*L30*M30</f>
        <v>64</v>
      </c>
      <c r="O30" s="31" t="n">
        <f aca="false">IFERROR(INDEX(Исходные!$B$18:$B$29,MATCH(H30,Исходные!$A$18:$A$29,0)),0)</f>
        <v>2.984</v>
      </c>
      <c r="P30" s="51" t="n">
        <f aca="false">N30*O30</f>
        <v>190.976</v>
      </c>
      <c r="Q30" s="15" t="s">
        <v>317</v>
      </c>
      <c r="R30" s="52" t="s">
        <v>266</v>
      </c>
      <c r="S30" s="15" t="s">
        <v>328</v>
      </c>
      <c r="T30" s="15" t="s">
        <v>63</v>
      </c>
      <c r="U30" s="40" t="n">
        <v>0</v>
      </c>
      <c r="V30" s="49" t="s">
        <v>89</v>
      </c>
    </row>
    <row r="31" customFormat="false" ht="23.85" hidden="false" customHeight="false" outlineLevel="0" collapsed="false">
      <c r="A31" s="49" t="n">
        <v>26</v>
      </c>
      <c r="B31" s="15" t="s">
        <v>260</v>
      </c>
      <c r="C31" s="15" t="s">
        <v>63</v>
      </c>
      <c r="D31" s="15" t="s">
        <v>316</v>
      </c>
      <c r="E31" s="15" t="s">
        <v>89</v>
      </c>
      <c r="F31" s="49" t="s">
        <v>284</v>
      </c>
      <c r="G31" s="15" t="s">
        <v>329</v>
      </c>
      <c r="H31" s="42" t="n">
        <v>16</v>
      </c>
      <c r="I31" s="49" t="s">
        <v>264</v>
      </c>
      <c r="J31" s="49" t="n">
        <v>200</v>
      </c>
      <c r="K31" s="42" t="n">
        <v>1</v>
      </c>
      <c r="L31" s="42" t="n">
        <v>36</v>
      </c>
      <c r="M31" s="47" t="n">
        <v>1.25</v>
      </c>
      <c r="N31" s="50" t="n">
        <f aca="false">K31*L31*M31</f>
        <v>45</v>
      </c>
      <c r="O31" s="31" t="n">
        <f aca="false">IFERROR(INDEX(Исходные!$B$18:$B$29,MATCH(H31,Исходные!$A$18:$A$29,0)),0)</f>
        <v>1.578</v>
      </c>
      <c r="P31" s="51" t="n">
        <f aca="false">N31*O31</f>
        <v>71.01</v>
      </c>
      <c r="Q31" s="15" t="s">
        <v>330</v>
      </c>
      <c r="R31" s="53" t="s">
        <v>287</v>
      </c>
      <c r="S31" s="15" t="s">
        <v>331</v>
      </c>
      <c r="T31" s="15" t="s">
        <v>63</v>
      </c>
      <c r="U31" s="40" t="n">
        <v>1</v>
      </c>
      <c r="V31" s="49" t="s">
        <v>89</v>
      </c>
    </row>
    <row r="32" customFormat="false" ht="23.85" hidden="false" customHeight="false" outlineLevel="0" collapsed="false">
      <c r="A32" s="49" t="n">
        <v>27</v>
      </c>
      <c r="B32" s="15" t="s">
        <v>260</v>
      </c>
      <c r="C32" s="15" t="s">
        <v>63</v>
      </c>
      <c r="D32" s="15" t="s">
        <v>316</v>
      </c>
      <c r="E32" s="15" t="s">
        <v>89</v>
      </c>
      <c r="F32" s="49" t="s">
        <v>284</v>
      </c>
      <c r="G32" s="15" t="s">
        <v>332</v>
      </c>
      <c r="H32" s="42" t="n">
        <v>16</v>
      </c>
      <c r="I32" s="49" t="s">
        <v>264</v>
      </c>
      <c r="J32" s="49" t="n">
        <v>200</v>
      </c>
      <c r="K32" s="42" t="n">
        <v>1</v>
      </c>
      <c r="L32" s="42" t="n">
        <v>36</v>
      </c>
      <c r="M32" s="47" t="n">
        <v>2.25</v>
      </c>
      <c r="N32" s="50" t="n">
        <f aca="false">K32*L32*M32</f>
        <v>81</v>
      </c>
      <c r="O32" s="31" t="n">
        <f aca="false">IFERROR(INDEX(Исходные!$B$18:$B$29,MATCH(H32,Исходные!$A$18:$A$29,0)),0)</f>
        <v>1.578</v>
      </c>
      <c r="P32" s="51" t="n">
        <f aca="false">N32*O32</f>
        <v>127.818</v>
      </c>
      <c r="Q32" s="15" t="s">
        <v>330</v>
      </c>
      <c r="R32" s="53" t="s">
        <v>287</v>
      </c>
      <c r="S32" s="15"/>
      <c r="T32" s="15" t="s">
        <v>63</v>
      </c>
      <c r="U32" s="40" t="n">
        <v>1</v>
      </c>
      <c r="V32" s="49" t="s">
        <v>89</v>
      </c>
    </row>
    <row r="33" customFormat="false" ht="23.85" hidden="false" customHeight="false" outlineLevel="0" collapsed="false">
      <c r="A33" s="49" t="n">
        <v>28</v>
      </c>
      <c r="B33" s="15" t="s">
        <v>260</v>
      </c>
      <c r="C33" s="15" t="s">
        <v>63</v>
      </c>
      <c r="D33" s="15" t="s">
        <v>316</v>
      </c>
      <c r="E33" s="15" t="s">
        <v>89</v>
      </c>
      <c r="F33" s="49" t="s">
        <v>291</v>
      </c>
      <c r="G33" s="15" t="s">
        <v>333</v>
      </c>
      <c r="H33" s="42" t="n">
        <v>20</v>
      </c>
      <c r="I33" s="49" t="s">
        <v>264</v>
      </c>
      <c r="J33" s="49" t="n">
        <v>200</v>
      </c>
      <c r="K33" s="42" t="n">
        <v>1</v>
      </c>
      <c r="L33" s="42" t="n">
        <v>10</v>
      </c>
      <c r="M33" s="47" t="n">
        <v>1.2</v>
      </c>
      <c r="N33" s="50" t="n">
        <f aca="false">K33*L33*M33</f>
        <v>12</v>
      </c>
      <c r="O33" s="31" t="n">
        <f aca="false">IFERROR(INDEX(Исходные!$B$18:$B$29,MATCH(H33,Исходные!$A$18:$A$29,0)),0)</f>
        <v>2.466</v>
      </c>
      <c r="P33" s="51" t="n">
        <f aca="false">N33*O33</f>
        <v>29.592</v>
      </c>
      <c r="Q33" s="15" t="s">
        <v>334</v>
      </c>
      <c r="R33" s="52" t="s">
        <v>266</v>
      </c>
      <c r="S33" s="15"/>
      <c r="T33" s="15" t="s">
        <v>63</v>
      </c>
      <c r="U33" s="40" t="n">
        <v>0</v>
      </c>
      <c r="V33" s="49" t="s">
        <v>89</v>
      </c>
    </row>
    <row r="34" customFormat="false" ht="23.85" hidden="false" customHeight="false" outlineLevel="0" collapsed="false">
      <c r="A34" s="49" t="n">
        <v>29</v>
      </c>
      <c r="B34" s="15" t="s">
        <v>260</v>
      </c>
      <c r="C34" s="15" t="s">
        <v>63</v>
      </c>
      <c r="D34" s="15" t="s">
        <v>316</v>
      </c>
      <c r="E34" s="15" t="s">
        <v>89</v>
      </c>
      <c r="F34" s="49" t="s">
        <v>296</v>
      </c>
      <c r="G34" s="15" t="s">
        <v>335</v>
      </c>
      <c r="H34" s="42" t="n">
        <v>10</v>
      </c>
      <c r="I34" s="49" t="s">
        <v>298</v>
      </c>
      <c r="J34" s="49" t="s">
        <v>299</v>
      </c>
      <c r="K34" s="42" t="n">
        <v>1</v>
      </c>
      <c r="L34" s="42" t="n">
        <v>36</v>
      </c>
      <c r="M34" s="47" t="n">
        <v>1.33</v>
      </c>
      <c r="N34" s="50" t="n">
        <f aca="false">K34*L34*M34</f>
        <v>47.88</v>
      </c>
      <c r="O34" s="31" t="n">
        <f aca="false">IFERROR(INDEX(Исходные!$B$18:$B$29,MATCH(H34,Исходные!$A$18:$A$29,0)),0)</f>
        <v>0.617</v>
      </c>
      <c r="P34" s="51" t="n">
        <f aca="false">N34*O34</f>
        <v>29.54196</v>
      </c>
      <c r="Q34" s="15" t="s">
        <v>300</v>
      </c>
      <c r="R34" s="52" t="s">
        <v>266</v>
      </c>
      <c r="S34" s="15"/>
      <c r="T34" s="15" t="s">
        <v>63</v>
      </c>
      <c r="U34" s="40" t="n">
        <v>0</v>
      </c>
      <c r="V34" s="49" t="s">
        <v>89</v>
      </c>
    </row>
    <row r="35" customFormat="false" ht="23.85" hidden="false" customHeight="false" outlineLevel="0" collapsed="false">
      <c r="A35" s="49" t="n">
        <v>30</v>
      </c>
      <c r="B35" s="15" t="s">
        <v>260</v>
      </c>
      <c r="C35" s="15" t="s">
        <v>63</v>
      </c>
      <c r="D35" s="15" t="s">
        <v>316</v>
      </c>
      <c r="E35" s="15" t="s">
        <v>89</v>
      </c>
      <c r="F35" s="49" t="s">
        <v>301</v>
      </c>
      <c r="G35" s="15" t="s">
        <v>336</v>
      </c>
      <c r="H35" s="42" t="n">
        <v>10</v>
      </c>
      <c r="I35" s="49" t="s">
        <v>298</v>
      </c>
      <c r="J35" s="49" t="s">
        <v>299</v>
      </c>
      <c r="K35" s="42" t="n">
        <v>1</v>
      </c>
      <c r="L35" s="42" t="n">
        <v>18</v>
      </c>
      <c r="M35" s="47" t="n">
        <v>1.56</v>
      </c>
      <c r="N35" s="50" t="n">
        <f aca="false">K35*L35*M35</f>
        <v>28.08</v>
      </c>
      <c r="O35" s="31" t="n">
        <f aca="false">IFERROR(INDEX(Исходные!$B$18:$B$29,MATCH(H35,Исходные!$A$18:$A$29,0)),0)</f>
        <v>0.617</v>
      </c>
      <c r="P35" s="51" t="n">
        <f aca="false">N35*O35</f>
        <v>17.32536</v>
      </c>
      <c r="Q35" s="15" t="s">
        <v>303</v>
      </c>
      <c r="R35" s="52" t="s">
        <v>266</v>
      </c>
      <c r="S35" s="15"/>
      <c r="T35" s="15" t="s">
        <v>63</v>
      </c>
      <c r="U35" s="40" t="n">
        <v>0</v>
      </c>
      <c r="V35" s="49" t="s">
        <v>89</v>
      </c>
    </row>
    <row r="36" customFormat="false" ht="23.85" hidden="false" customHeight="false" outlineLevel="0" collapsed="false">
      <c r="A36" s="49" t="n">
        <v>31</v>
      </c>
      <c r="B36" s="15" t="s">
        <v>260</v>
      </c>
      <c r="C36" s="15" t="s">
        <v>63</v>
      </c>
      <c r="D36" s="15" t="s">
        <v>316</v>
      </c>
      <c r="E36" s="15" t="s">
        <v>89</v>
      </c>
      <c r="F36" s="49" t="s">
        <v>304</v>
      </c>
      <c r="G36" s="15" t="s">
        <v>305</v>
      </c>
      <c r="H36" s="42" t="n">
        <v>10</v>
      </c>
      <c r="I36" s="49" t="s">
        <v>298</v>
      </c>
      <c r="J36" s="49" t="s">
        <v>299</v>
      </c>
      <c r="K36" s="42" t="n">
        <v>1</v>
      </c>
      <c r="L36" s="42" t="n">
        <v>18</v>
      </c>
      <c r="M36" s="47" t="n">
        <v>1.76</v>
      </c>
      <c r="N36" s="50" t="n">
        <f aca="false">K36*L36*M36</f>
        <v>31.68</v>
      </c>
      <c r="O36" s="31" t="n">
        <f aca="false">IFERROR(INDEX(Исходные!$B$18:$B$29,MATCH(H36,Исходные!$A$18:$A$29,0)),0)</f>
        <v>0.617</v>
      </c>
      <c r="P36" s="51" t="n">
        <f aca="false">N36*O36</f>
        <v>19.54656</v>
      </c>
      <c r="Q36" s="15" t="s">
        <v>306</v>
      </c>
      <c r="R36" s="52" t="s">
        <v>266</v>
      </c>
      <c r="S36" s="15"/>
      <c r="T36" s="15" t="s">
        <v>63</v>
      </c>
      <c r="U36" s="40" t="n">
        <v>0</v>
      </c>
      <c r="V36" s="49" t="s">
        <v>89</v>
      </c>
    </row>
    <row r="37" customFormat="false" ht="23.85" hidden="false" customHeight="false" outlineLevel="0" collapsed="false">
      <c r="A37" s="49" t="n">
        <v>32</v>
      </c>
      <c r="B37" s="15" t="s">
        <v>260</v>
      </c>
      <c r="C37" s="15" t="s">
        <v>63</v>
      </c>
      <c r="D37" s="15" t="s">
        <v>316</v>
      </c>
      <c r="E37" s="15" t="s">
        <v>89</v>
      </c>
      <c r="F37" s="49" t="s">
        <v>307</v>
      </c>
      <c r="G37" s="15" t="s">
        <v>308</v>
      </c>
      <c r="H37" s="42" t="n">
        <v>8</v>
      </c>
      <c r="I37" s="49" t="s">
        <v>298</v>
      </c>
      <c r="J37" s="49" t="s">
        <v>299</v>
      </c>
      <c r="K37" s="42" t="n">
        <v>1</v>
      </c>
      <c r="L37" s="42" t="n">
        <v>30</v>
      </c>
      <c r="M37" s="47" t="n">
        <v>2.44</v>
      </c>
      <c r="N37" s="50" t="n">
        <f aca="false">K37*L37*M37</f>
        <v>73.2</v>
      </c>
      <c r="O37" s="31" t="n">
        <f aca="false">IFERROR(INDEX(Исходные!$B$18:$B$29,MATCH(H37,Исходные!$A$18:$A$29,0)),0)</f>
        <v>0.395</v>
      </c>
      <c r="P37" s="51" t="n">
        <f aca="false">N37*O37</f>
        <v>28.914</v>
      </c>
      <c r="Q37" s="15" t="s">
        <v>309</v>
      </c>
      <c r="R37" s="52" t="s">
        <v>266</v>
      </c>
      <c r="S37" s="15"/>
      <c r="T37" s="15" t="s">
        <v>63</v>
      </c>
      <c r="U37" s="40" t="n">
        <v>0</v>
      </c>
      <c r="V37" s="49" t="s">
        <v>89</v>
      </c>
    </row>
    <row r="38" customFormat="false" ht="23.85" hidden="false" customHeight="false" outlineLevel="0" collapsed="false">
      <c r="A38" s="49" t="n">
        <v>33</v>
      </c>
      <c r="B38" s="15" t="s">
        <v>260</v>
      </c>
      <c r="C38" s="15" t="s">
        <v>63</v>
      </c>
      <c r="D38" s="15" t="s">
        <v>316</v>
      </c>
      <c r="E38" s="15" t="s">
        <v>89</v>
      </c>
      <c r="F38" s="49" t="s">
        <v>310</v>
      </c>
      <c r="G38" s="15" t="s">
        <v>311</v>
      </c>
      <c r="H38" s="42" t="n">
        <v>8</v>
      </c>
      <c r="I38" s="49" t="s">
        <v>298</v>
      </c>
      <c r="J38" s="49" t="s">
        <v>299</v>
      </c>
      <c r="K38" s="42" t="n">
        <v>1</v>
      </c>
      <c r="L38" s="42" t="n">
        <v>36</v>
      </c>
      <c r="M38" s="47" t="n">
        <v>1.96</v>
      </c>
      <c r="N38" s="50" t="n">
        <f aca="false">K38*L38*M38</f>
        <v>70.56</v>
      </c>
      <c r="O38" s="31" t="n">
        <f aca="false">IFERROR(INDEX(Исходные!$B$18:$B$29,MATCH(H38,Исходные!$A$18:$A$29,0)),0)</f>
        <v>0.395</v>
      </c>
      <c r="P38" s="51" t="n">
        <f aca="false">N38*O38</f>
        <v>27.8712</v>
      </c>
      <c r="Q38" s="15" t="s">
        <v>312</v>
      </c>
      <c r="R38" s="52" t="s">
        <v>266</v>
      </c>
      <c r="S38" s="15"/>
      <c r="T38" s="15" t="s">
        <v>63</v>
      </c>
      <c r="U38" s="40" t="n">
        <v>0</v>
      </c>
      <c r="V38" s="49" t="s">
        <v>89</v>
      </c>
    </row>
    <row r="39" customFormat="false" ht="23.85" hidden="false" customHeight="false" outlineLevel="0" collapsed="false">
      <c r="A39" s="49" t="n">
        <v>34</v>
      </c>
      <c r="B39" s="15" t="s">
        <v>260</v>
      </c>
      <c r="C39" s="15" t="s">
        <v>63</v>
      </c>
      <c r="D39" s="15" t="s">
        <v>316</v>
      </c>
      <c r="E39" s="15" t="s">
        <v>89</v>
      </c>
      <c r="F39" s="49" t="s">
        <v>313</v>
      </c>
      <c r="G39" s="15" t="s">
        <v>337</v>
      </c>
      <c r="H39" s="42" t="n">
        <v>8</v>
      </c>
      <c r="I39" s="49" t="s">
        <v>298</v>
      </c>
      <c r="J39" s="49" t="s">
        <v>299</v>
      </c>
      <c r="K39" s="42" t="n">
        <v>1</v>
      </c>
      <c r="L39" s="42" t="n">
        <v>63</v>
      </c>
      <c r="M39" s="47" t="n">
        <v>0.53</v>
      </c>
      <c r="N39" s="50" t="n">
        <f aca="false">K39*L39*M39</f>
        <v>33.39</v>
      </c>
      <c r="O39" s="31" t="n">
        <f aca="false">IFERROR(INDEX(Исходные!$B$18:$B$29,MATCH(H39,Исходные!$A$18:$A$29,0)),0)</f>
        <v>0.395</v>
      </c>
      <c r="P39" s="51" t="n">
        <f aca="false">N39*O39</f>
        <v>13.18905</v>
      </c>
      <c r="Q39" s="15" t="s">
        <v>315</v>
      </c>
      <c r="R39" s="52" t="s">
        <v>266</v>
      </c>
      <c r="S39" s="15"/>
      <c r="T39" s="15" t="s">
        <v>63</v>
      </c>
      <c r="U39" s="40" t="n">
        <v>0</v>
      </c>
      <c r="V39" s="49" t="s">
        <v>89</v>
      </c>
    </row>
    <row r="40" customFormat="false" ht="23.85" hidden="false" customHeight="false" outlineLevel="0" collapsed="false">
      <c r="A40" s="49" t="n">
        <v>35</v>
      </c>
      <c r="B40" s="15" t="s">
        <v>260</v>
      </c>
      <c r="C40" s="15" t="s">
        <v>63</v>
      </c>
      <c r="D40" s="15" t="s">
        <v>338</v>
      </c>
      <c r="E40" s="15" t="s">
        <v>90</v>
      </c>
      <c r="F40" s="49" t="s">
        <v>262</v>
      </c>
      <c r="G40" s="15" t="s">
        <v>263</v>
      </c>
      <c r="H40" s="42" t="n">
        <v>32</v>
      </c>
      <c r="I40" s="49" t="s">
        <v>264</v>
      </c>
      <c r="J40" s="49" t="s">
        <v>98</v>
      </c>
      <c r="K40" s="42" t="n">
        <v>1</v>
      </c>
      <c r="L40" s="42" t="n">
        <v>4</v>
      </c>
      <c r="M40" s="47" t="n">
        <v>4</v>
      </c>
      <c r="N40" s="50" t="n">
        <f aca="false">K40*L40*M40</f>
        <v>16</v>
      </c>
      <c r="O40" s="31" t="n">
        <f aca="false">IFERROR(INDEX(Исходные!$B$18:$B$29,MATCH(H40,Исходные!$A$18:$A$29,0)),0)</f>
        <v>6.313</v>
      </c>
      <c r="P40" s="51" t="n">
        <f aca="false">N40*O40</f>
        <v>101.008</v>
      </c>
      <c r="Q40" s="15" t="s">
        <v>339</v>
      </c>
      <c r="R40" s="52" t="s">
        <v>266</v>
      </c>
      <c r="S40" s="15" t="s">
        <v>340</v>
      </c>
      <c r="T40" s="15" t="s">
        <v>63</v>
      </c>
      <c r="U40" s="40" t="n">
        <v>0</v>
      </c>
      <c r="V40" s="49" t="s">
        <v>90</v>
      </c>
    </row>
    <row r="41" customFormat="false" ht="23.85" hidden="false" customHeight="false" outlineLevel="0" collapsed="false">
      <c r="A41" s="49" t="n">
        <v>36</v>
      </c>
      <c r="B41" s="15" t="s">
        <v>260</v>
      </c>
      <c r="C41" s="15" t="s">
        <v>63</v>
      </c>
      <c r="D41" s="15" t="s">
        <v>338</v>
      </c>
      <c r="E41" s="15" t="s">
        <v>90</v>
      </c>
      <c r="F41" s="49" t="s">
        <v>268</v>
      </c>
      <c r="G41" s="15" t="s">
        <v>269</v>
      </c>
      <c r="H41" s="42" t="n">
        <v>20</v>
      </c>
      <c r="I41" s="49" t="s">
        <v>264</v>
      </c>
      <c r="J41" s="49" t="s">
        <v>98</v>
      </c>
      <c r="K41" s="42" t="n">
        <v>1</v>
      </c>
      <c r="L41" s="42" t="n">
        <v>8</v>
      </c>
      <c r="M41" s="47" t="n">
        <v>4</v>
      </c>
      <c r="N41" s="50" t="n">
        <f aca="false">K41*L41*M41</f>
        <v>32</v>
      </c>
      <c r="O41" s="31" t="n">
        <f aca="false">IFERROR(INDEX(Исходные!$B$18:$B$29,MATCH(H41,Исходные!$A$18:$A$29,0)),0)</f>
        <v>2.466</v>
      </c>
      <c r="P41" s="51" t="n">
        <f aca="false">N41*O41</f>
        <v>78.912</v>
      </c>
      <c r="Q41" s="15" t="s">
        <v>339</v>
      </c>
      <c r="R41" s="52" t="s">
        <v>266</v>
      </c>
      <c r="S41" s="15" t="s">
        <v>270</v>
      </c>
      <c r="T41" s="15" t="s">
        <v>63</v>
      </c>
      <c r="U41" s="40" t="n">
        <v>0</v>
      </c>
      <c r="V41" s="49" t="s">
        <v>90</v>
      </c>
    </row>
    <row r="42" customFormat="false" ht="23.85" hidden="false" customHeight="false" outlineLevel="0" collapsed="false">
      <c r="A42" s="49" t="n">
        <v>37</v>
      </c>
      <c r="B42" s="15" t="s">
        <v>260</v>
      </c>
      <c r="C42" s="15" t="s">
        <v>63</v>
      </c>
      <c r="D42" s="15" t="s">
        <v>338</v>
      </c>
      <c r="E42" s="15" t="s">
        <v>90</v>
      </c>
      <c r="F42" s="49" t="s">
        <v>271</v>
      </c>
      <c r="G42" s="15" t="s">
        <v>272</v>
      </c>
      <c r="H42" s="42" t="n">
        <v>28</v>
      </c>
      <c r="I42" s="49" t="s">
        <v>264</v>
      </c>
      <c r="J42" s="49" t="s">
        <v>98</v>
      </c>
      <c r="K42" s="42" t="n">
        <v>1</v>
      </c>
      <c r="L42" s="42" t="n">
        <v>22</v>
      </c>
      <c r="M42" s="47" t="n">
        <v>4</v>
      </c>
      <c r="N42" s="50" t="n">
        <f aca="false">K42*L42*M42</f>
        <v>88</v>
      </c>
      <c r="O42" s="31" t="n">
        <f aca="false">IFERROR(INDEX(Исходные!$B$18:$B$29,MATCH(H42,Исходные!$A$18:$A$29,0)),0)</f>
        <v>4.834</v>
      </c>
      <c r="P42" s="51" t="n">
        <f aca="false">N42*O42</f>
        <v>425.392</v>
      </c>
      <c r="Q42" s="15" t="s">
        <v>339</v>
      </c>
      <c r="R42" s="52" t="s">
        <v>266</v>
      </c>
      <c r="S42" s="15" t="s">
        <v>341</v>
      </c>
      <c r="T42" s="15" t="s">
        <v>63</v>
      </c>
      <c r="U42" s="40" t="n">
        <v>0</v>
      </c>
      <c r="V42" s="49" t="s">
        <v>90</v>
      </c>
    </row>
    <row r="43" customFormat="false" ht="23.85" hidden="false" customHeight="false" outlineLevel="0" collapsed="false">
      <c r="A43" s="49" t="n">
        <v>38</v>
      </c>
      <c r="B43" s="15" t="s">
        <v>260</v>
      </c>
      <c r="C43" s="15" t="s">
        <v>63</v>
      </c>
      <c r="D43" s="15" t="s">
        <v>338</v>
      </c>
      <c r="E43" s="15" t="s">
        <v>90</v>
      </c>
      <c r="F43" s="49" t="s">
        <v>327</v>
      </c>
      <c r="G43" s="15" t="s">
        <v>275</v>
      </c>
      <c r="H43" s="42" t="n">
        <v>22</v>
      </c>
      <c r="I43" s="49" t="s">
        <v>264</v>
      </c>
      <c r="J43" s="49" t="s">
        <v>98</v>
      </c>
      <c r="K43" s="42" t="n">
        <v>1</v>
      </c>
      <c r="L43" s="42" t="n">
        <v>8</v>
      </c>
      <c r="M43" s="47" t="n">
        <v>4</v>
      </c>
      <c r="N43" s="50" t="n">
        <f aca="false">K43*L43*M43</f>
        <v>32</v>
      </c>
      <c r="O43" s="31" t="n">
        <f aca="false">IFERROR(INDEX(Исходные!$B$18:$B$29,MATCH(H43,Исходные!$A$18:$A$29,0)),0)</f>
        <v>2.984</v>
      </c>
      <c r="P43" s="51" t="n">
        <f aca="false">N43*O43</f>
        <v>95.488</v>
      </c>
      <c r="Q43" s="15" t="s">
        <v>339</v>
      </c>
      <c r="R43" s="52" t="s">
        <v>266</v>
      </c>
      <c r="S43" s="15" t="s">
        <v>342</v>
      </c>
      <c r="T43" s="15" t="s">
        <v>63</v>
      </c>
      <c r="U43" s="40" t="n">
        <v>0</v>
      </c>
      <c r="V43" s="49" t="s">
        <v>90</v>
      </c>
    </row>
    <row r="44" customFormat="false" ht="23.85" hidden="false" customHeight="false" outlineLevel="0" collapsed="false">
      <c r="A44" s="49" t="n">
        <v>39</v>
      </c>
      <c r="B44" s="15" t="s">
        <v>260</v>
      </c>
      <c r="C44" s="15" t="s">
        <v>63</v>
      </c>
      <c r="D44" s="15" t="s">
        <v>338</v>
      </c>
      <c r="E44" s="15" t="s">
        <v>90</v>
      </c>
      <c r="F44" s="49" t="s">
        <v>327</v>
      </c>
      <c r="G44" s="15" t="s">
        <v>279</v>
      </c>
      <c r="H44" s="42" t="n">
        <v>22</v>
      </c>
      <c r="I44" s="49" t="s">
        <v>264</v>
      </c>
      <c r="J44" s="49" t="s">
        <v>98</v>
      </c>
      <c r="K44" s="42" t="n">
        <v>1</v>
      </c>
      <c r="L44" s="42" t="n">
        <v>6</v>
      </c>
      <c r="M44" s="47" t="n">
        <v>4</v>
      </c>
      <c r="N44" s="50" t="n">
        <f aca="false">K44*L44*M44</f>
        <v>24</v>
      </c>
      <c r="O44" s="31" t="n">
        <f aca="false">IFERROR(INDEX(Исходные!$B$18:$B$29,MATCH(H44,Исходные!$A$18:$A$29,0)),0)</f>
        <v>2.984</v>
      </c>
      <c r="P44" s="51" t="n">
        <f aca="false">N44*O44</f>
        <v>71.616</v>
      </c>
      <c r="Q44" s="15" t="s">
        <v>339</v>
      </c>
      <c r="R44" s="52" t="s">
        <v>266</v>
      </c>
      <c r="S44" s="15" t="s">
        <v>343</v>
      </c>
      <c r="T44" s="15" t="s">
        <v>63</v>
      </c>
      <c r="U44" s="40" t="n">
        <v>0</v>
      </c>
      <c r="V44" s="49" t="s">
        <v>90</v>
      </c>
    </row>
    <row r="45" customFormat="false" ht="23.85" hidden="false" customHeight="false" outlineLevel="0" collapsed="false">
      <c r="A45" s="49" t="n">
        <v>40</v>
      </c>
      <c r="B45" s="15" t="s">
        <v>260</v>
      </c>
      <c r="C45" s="15" t="s">
        <v>63</v>
      </c>
      <c r="D45" s="15" t="s">
        <v>338</v>
      </c>
      <c r="E45" s="15" t="s">
        <v>90</v>
      </c>
      <c r="F45" s="49" t="s">
        <v>274</v>
      </c>
      <c r="G45" s="15" t="s">
        <v>326</v>
      </c>
      <c r="H45" s="42" t="n">
        <v>25</v>
      </c>
      <c r="I45" s="49" t="s">
        <v>264</v>
      </c>
      <c r="J45" s="49" t="s">
        <v>98</v>
      </c>
      <c r="K45" s="42" t="n">
        <v>1</v>
      </c>
      <c r="L45" s="42" t="n">
        <v>10</v>
      </c>
      <c r="M45" s="47" t="n">
        <v>4</v>
      </c>
      <c r="N45" s="50" t="n">
        <f aca="false">K45*L45*M45</f>
        <v>40</v>
      </c>
      <c r="O45" s="31" t="n">
        <f aca="false">IFERROR(INDEX(Исходные!$B$18:$B$29,MATCH(H45,Исходные!$A$18:$A$29,0)),0)</f>
        <v>3.853</v>
      </c>
      <c r="P45" s="51" t="n">
        <f aca="false">N45*O45</f>
        <v>154.12</v>
      </c>
      <c r="Q45" s="15" t="s">
        <v>339</v>
      </c>
      <c r="R45" s="52" t="s">
        <v>266</v>
      </c>
      <c r="S45" s="15" t="s">
        <v>344</v>
      </c>
      <c r="T45" s="15" t="s">
        <v>63</v>
      </c>
      <c r="U45" s="40" t="n">
        <v>0</v>
      </c>
      <c r="V45" s="49" t="s">
        <v>90</v>
      </c>
    </row>
    <row r="46" customFormat="false" ht="23.85" hidden="false" customHeight="false" outlineLevel="0" collapsed="false">
      <c r="A46" s="49" t="n">
        <v>41</v>
      </c>
      <c r="B46" s="15" t="s">
        <v>260</v>
      </c>
      <c r="C46" s="15" t="s">
        <v>63</v>
      </c>
      <c r="D46" s="15" t="s">
        <v>338</v>
      </c>
      <c r="E46" s="15" t="s">
        <v>90</v>
      </c>
      <c r="F46" s="49" t="s">
        <v>281</v>
      </c>
      <c r="G46" s="15" t="s">
        <v>345</v>
      </c>
      <c r="H46" s="42" t="n">
        <v>18</v>
      </c>
      <c r="I46" s="49" t="s">
        <v>264</v>
      </c>
      <c r="J46" s="49" t="s">
        <v>98</v>
      </c>
      <c r="K46" s="42" t="n">
        <v>1</v>
      </c>
      <c r="L46" s="42" t="n">
        <v>1</v>
      </c>
      <c r="M46" s="47" t="n">
        <v>4.144</v>
      </c>
      <c r="N46" s="50" t="n">
        <f aca="false">K46*L46*M46</f>
        <v>4.144</v>
      </c>
      <c r="O46" s="31" t="n">
        <f aca="false">IFERROR(INDEX(Исходные!$B$18:$B$29,MATCH(H46,Исходные!$A$18:$A$29,0)),0)</f>
        <v>1.998</v>
      </c>
      <c r="P46" s="51" t="n">
        <f aca="false">N46*O46</f>
        <v>8.279712</v>
      </c>
      <c r="Q46" s="15" t="s">
        <v>339</v>
      </c>
      <c r="R46" s="52" t="s">
        <v>266</v>
      </c>
      <c r="S46" s="15" t="s">
        <v>346</v>
      </c>
      <c r="T46" s="15" t="s">
        <v>63</v>
      </c>
      <c r="U46" s="40" t="n">
        <v>0</v>
      </c>
      <c r="V46" s="49" t="s">
        <v>90</v>
      </c>
    </row>
    <row r="47" customFormat="false" ht="23.85" hidden="false" customHeight="false" outlineLevel="0" collapsed="false">
      <c r="A47" s="49" t="n">
        <v>42</v>
      </c>
      <c r="B47" s="15" t="s">
        <v>260</v>
      </c>
      <c r="C47" s="15" t="s">
        <v>63</v>
      </c>
      <c r="D47" s="15" t="s">
        <v>338</v>
      </c>
      <c r="E47" s="15" t="s">
        <v>90</v>
      </c>
      <c r="F47" s="49" t="s">
        <v>284</v>
      </c>
      <c r="G47" s="15" t="s">
        <v>347</v>
      </c>
      <c r="H47" s="42" t="n">
        <v>16</v>
      </c>
      <c r="I47" s="49" t="s">
        <v>264</v>
      </c>
      <c r="J47" s="49" t="n">
        <v>200</v>
      </c>
      <c r="K47" s="42" t="n">
        <v>1</v>
      </c>
      <c r="L47" s="42" t="n">
        <v>36</v>
      </c>
      <c r="M47" s="47" t="n">
        <v>1.95</v>
      </c>
      <c r="N47" s="50" t="n">
        <f aca="false">K47*L47*M47</f>
        <v>70.2</v>
      </c>
      <c r="O47" s="31" t="n">
        <f aca="false">IFERROR(INDEX(Исходные!$B$18:$B$29,MATCH(H47,Исходные!$A$18:$A$29,0)),0)</f>
        <v>1.578</v>
      </c>
      <c r="P47" s="51" t="n">
        <f aca="false">N47*O47</f>
        <v>110.7756</v>
      </c>
      <c r="Q47" s="15" t="s">
        <v>348</v>
      </c>
      <c r="R47" s="53" t="s">
        <v>287</v>
      </c>
      <c r="S47" s="15"/>
      <c r="T47" s="15" t="s">
        <v>63</v>
      </c>
      <c r="U47" s="40" t="n">
        <v>1</v>
      </c>
      <c r="V47" s="49" t="s">
        <v>90</v>
      </c>
    </row>
    <row r="48" customFormat="false" ht="23.85" hidden="false" customHeight="false" outlineLevel="0" collapsed="false">
      <c r="A48" s="49" t="n">
        <v>43</v>
      </c>
      <c r="B48" s="15" t="s">
        <v>260</v>
      </c>
      <c r="C48" s="15" t="s">
        <v>63</v>
      </c>
      <c r="D48" s="15" t="s">
        <v>338</v>
      </c>
      <c r="E48" s="15" t="s">
        <v>90</v>
      </c>
      <c r="F48" s="49" t="s">
        <v>284</v>
      </c>
      <c r="G48" s="15" t="s">
        <v>349</v>
      </c>
      <c r="H48" s="42" t="n">
        <v>14</v>
      </c>
      <c r="I48" s="49" t="s">
        <v>264</v>
      </c>
      <c r="J48" s="49" t="n">
        <v>200</v>
      </c>
      <c r="K48" s="42" t="n">
        <v>1</v>
      </c>
      <c r="L48" s="42" t="n">
        <v>36</v>
      </c>
      <c r="M48" s="47" t="n">
        <v>1.45</v>
      </c>
      <c r="N48" s="50" t="n">
        <f aca="false">K48*L48*M48</f>
        <v>52.2</v>
      </c>
      <c r="O48" s="31" t="n">
        <f aca="false">IFERROR(INDEX(Исходные!$B$18:$B$29,MATCH(H48,Исходные!$A$18:$A$29,0)),0)</f>
        <v>1.208</v>
      </c>
      <c r="P48" s="51" t="n">
        <f aca="false">N48*O48</f>
        <v>63.0576</v>
      </c>
      <c r="Q48" s="15" t="s">
        <v>348</v>
      </c>
      <c r="R48" s="53" t="s">
        <v>287</v>
      </c>
      <c r="S48" s="15" t="s">
        <v>350</v>
      </c>
      <c r="T48" s="15" t="s">
        <v>63</v>
      </c>
      <c r="U48" s="40" t="n">
        <v>1</v>
      </c>
      <c r="V48" s="49" t="s">
        <v>90</v>
      </c>
    </row>
    <row r="49" customFormat="false" ht="23.85" hidden="false" customHeight="false" outlineLevel="0" collapsed="false">
      <c r="A49" s="49" t="n">
        <v>44</v>
      </c>
      <c r="B49" s="15" t="s">
        <v>260</v>
      </c>
      <c r="C49" s="15" t="s">
        <v>63</v>
      </c>
      <c r="D49" s="15" t="s">
        <v>338</v>
      </c>
      <c r="E49" s="15" t="s">
        <v>90</v>
      </c>
      <c r="F49" s="49" t="s">
        <v>291</v>
      </c>
      <c r="G49" s="15" t="s">
        <v>351</v>
      </c>
      <c r="H49" s="42" t="n">
        <v>22</v>
      </c>
      <c r="I49" s="49" t="s">
        <v>264</v>
      </c>
      <c r="J49" s="49" t="n">
        <v>200</v>
      </c>
      <c r="K49" s="42" t="n">
        <v>1</v>
      </c>
      <c r="L49" s="42" t="n">
        <v>10</v>
      </c>
      <c r="M49" s="47" t="n">
        <v>1.3</v>
      </c>
      <c r="N49" s="50" t="n">
        <f aca="false">K49*L49*M49</f>
        <v>13</v>
      </c>
      <c r="O49" s="31" t="n">
        <f aca="false">IFERROR(INDEX(Исходные!$B$18:$B$29,MATCH(H49,Исходные!$A$18:$A$29,0)),0)</f>
        <v>2.984</v>
      </c>
      <c r="P49" s="51" t="n">
        <f aca="false">N49*O49</f>
        <v>38.792</v>
      </c>
      <c r="Q49" s="15" t="s">
        <v>352</v>
      </c>
      <c r="R49" s="52" t="s">
        <v>266</v>
      </c>
      <c r="S49" s="15"/>
      <c r="T49" s="15" t="s">
        <v>63</v>
      </c>
      <c r="U49" s="40" t="n">
        <v>0</v>
      </c>
      <c r="V49" s="49" t="s">
        <v>90</v>
      </c>
    </row>
    <row r="50" customFormat="false" ht="23.85" hidden="false" customHeight="false" outlineLevel="0" collapsed="false">
      <c r="A50" s="49" t="n">
        <v>45</v>
      </c>
      <c r="B50" s="15" t="s">
        <v>260</v>
      </c>
      <c r="C50" s="15" t="s">
        <v>63</v>
      </c>
      <c r="D50" s="15" t="s">
        <v>338</v>
      </c>
      <c r="E50" s="15" t="s">
        <v>90</v>
      </c>
      <c r="F50" s="49" t="s">
        <v>291</v>
      </c>
      <c r="G50" s="15" t="s">
        <v>353</v>
      </c>
      <c r="H50" s="42" t="n">
        <v>18</v>
      </c>
      <c r="I50" s="49" t="s">
        <v>264</v>
      </c>
      <c r="J50" s="49" t="n">
        <v>200</v>
      </c>
      <c r="K50" s="42" t="n">
        <v>1</v>
      </c>
      <c r="L50" s="42" t="n">
        <v>10</v>
      </c>
      <c r="M50" s="47" t="n">
        <v>1.45</v>
      </c>
      <c r="N50" s="50" t="n">
        <f aca="false">K50*L50*M50</f>
        <v>14.5</v>
      </c>
      <c r="O50" s="31" t="n">
        <f aca="false">IFERROR(INDEX(Исходные!$B$18:$B$29,MATCH(H50,Исходные!$A$18:$A$29,0)),0)</f>
        <v>1.998</v>
      </c>
      <c r="P50" s="51" t="n">
        <f aca="false">N50*O50</f>
        <v>28.971</v>
      </c>
      <c r="Q50" s="15" t="s">
        <v>352</v>
      </c>
      <c r="R50" s="52" t="s">
        <v>266</v>
      </c>
      <c r="S50" s="15"/>
      <c r="T50" s="15" t="s">
        <v>63</v>
      </c>
      <c r="U50" s="40" t="n">
        <v>0</v>
      </c>
      <c r="V50" s="49" t="s">
        <v>90</v>
      </c>
    </row>
    <row r="51" customFormat="false" ht="23.85" hidden="false" customHeight="false" outlineLevel="0" collapsed="false">
      <c r="A51" s="49" t="n">
        <v>46</v>
      </c>
      <c r="B51" s="15" t="s">
        <v>260</v>
      </c>
      <c r="C51" s="15" t="s">
        <v>63</v>
      </c>
      <c r="D51" s="15" t="s">
        <v>338</v>
      </c>
      <c r="E51" s="15" t="s">
        <v>90</v>
      </c>
      <c r="F51" s="49" t="s">
        <v>291</v>
      </c>
      <c r="G51" s="15" t="s">
        <v>354</v>
      </c>
      <c r="H51" s="42" t="n">
        <v>16</v>
      </c>
      <c r="I51" s="49" t="s">
        <v>264</v>
      </c>
      <c r="J51" s="49" t="n">
        <v>200</v>
      </c>
      <c r="K51" s="42" t="n">
        <v>1</v>
      </c>
      <c r="L51" s="42" t="n">
        <v>8</v>
      </c>
      <c r="M51" s="47" t="n">
        <v>1.6</v>
      </c>
      <c r="N51" s="50" t="n">
        <f aca="false">K51*L51*M51</f>
        <v>12.8</v>
      </c>
      <c r="O51" s="31" t="n">
        <f aca="false">IFERROR(INDEX(Исходные!$B$18:$B$29,MATCH(H51,Исходные!$A$18:$A$29,0)),0)</f>
        <v>1.578</v>
      </c>
      <c r="P51" s="51" t="n">
        <f aca="false">N51*O51</f>
        <v>20.1984</v>
      </c>
      <c r="Q51" s="15" t="s">
        <v>352</v>
      </c>
      <c r="R51" s="52" t="s">
        <v>266</v>
      </c>
      <c r="S51" s="15"/>
      <c r="T51" s="15" t="s">
        <v>63</v>
      </c>
      <c r="U51" s="40" t="n">
        <v>0</v>
      </c>
      <c r="V51" s="49" t="s">
        <v>90</v>
      </c>
    </row>
    <row r="52" customFormat="false" ht="23.85" hidden="false" customHeight="false" outlineLevel="0" collapsed="false">
      <c r="A52" s="49" t="n">
        <v>47</v>
      </c>
      <c r="B52" s="15" t="s">
        <v>260</v>
      </c>
      <c r="C52" s="15" t="s">
        <v>63</v>
      </c>
      <c r="D52" s="15" t="s">
        <v>338</v>
      </c>
      <c r="E52" s="15" t="s">
        <v>90</v>
      </c>
      <c r="F52" s="49" t="s">
        <v>296</v>
      </c>
      <c r="G52" s="15" t="s">
        <v>297</v>
      </c>
      <c r="H52" s="42" t="n">
        <v>10</v>
      </c>
      <c r="I52" s="49" t="s">
        <v>298</v>
      </c>
      <c r="J52" s="49" t="s">
        <v>299</v>
      </c>
      <c r="K52" s="42" t="n">
        <v>1</v>
      </c>
      <c r="L52" s="42" t="n">
        <v>54</v>
      </c>
      <c r="M52" s="47" t="n">
        <v>1.33</v>
      </c>
      <c r="N52" s="50" t="n">
        <f aca="false">K52*L52*M52</f>
        <v>71.82</v>
      </c>
      <c r="O52" s="31" t="n">
        <f aca="false">IFERROR(INDEX(Исходные!$B$18:$B$29,MATCH(H52,Исходные!$A$18:$A$29,0)),0)</f>
        <v>0.617</v>
      </c>
      <c r="P52" s="51" t="n">
        <f aca="false">N52*O52</f>
        <v>44.31294</v>
      </c>
      <c r="Q52" s="15" t="s">
        <v>300</v>
      </c>
      <c r="R52" s="52" t="s">
        <v>266</v>
      </c>
      <c r="S52" s="15"/>
      <c r="T52" s="15" t="s">
        <v>63</v>
      </c>
      <c r="U52" s="40" t="n">
        <v>0</v>
      </c>
      <c r="V52" s="49" t="s">
        <v>90</v>
      </c>
    </row>
    <row r="53" customFormat="false" ht="23.85" hidden="false" customHeight="false" outlineLevel="0" collapsed="false">
      <c r="A53" s="49" t="n">
        <v>48</v>
      </c>
      <c r="B53" s="15" t="s">
        <v>260</v>
      </c>
      <c r="C53" s="15" t="s">
        <v>63</v>
      </c>
      <c r="D53" s="15" t="s">
        <v>338</v>
      </c>
      <c r="E53" s="15" t="s">
        <v>90</v>
      </c>
      <c r="F53" s="49" t="s">
        <v>301</v>
      </c>
      <c r="G53" s="15" t="s">
        <v>302</v>
      </c>
      <c r="H53" s="42" t="n">
        <v>10</v>
      </c>
      <c r="I53" s="49" t="s">
        <v>298</v>
      </c>
      <c r="J53" s="49" t="s">
        <v>299</v>
      </c>
      <c r="K53" s="42" t="n">
        <v>1</v>
      </c>
      <c r="L53" s="42" t="n">
        <v>36</v>
      </c>
      <c r="M53" s="47" t="n">
        <v>1.56</v>
      </c>
      <c r="N53" s="50" t="n">
        <f aca="false">K53*L53*M53</f>
        <v>56.16</v>
      </c>
      <c r="O53" s="31" t="n">
        <f aca="false">IFERROR(INDEX(Исходные!$B$18:$B$29,MATCH(H53,Исходные!$A$18:$A$29,0)),0)</f>
        <v>0.617</v>
      </c>
      <c r="P53" s="51" t="n">
        <f aca="false">N53*O53</f>
        <v>34.65072</v>
      </c>
      <c r="Q53" s="15" t="s">
        <v>303</v>
      </c>
      <c r="R53" s="52" t="s">
        <v>266</v>
      </c>
      <c r="S53" s="15"/>
      <c r="T53" s="15" t="s">
        <v>63</v>
      </c>
      <c r="U53" s="40" t="n">
        <v>0</v>
      </c>
      <c r="V53" s="49" t="s">
        <v>90</v>
      </c>
    </row>
    <row r="54" customFormat="false" ht="23.85" hidden="false" customHeight="false" outlineLevel="0" collapsed="false">
      <c r="A54" s="49" t="n">
        <v>49</v>
      </c>
      <c r="B54" s="15" t="s">
        <v>260</v>
      </c>
      <c r="C54" s="15" t="s">
        <v>63</v>
      </c>
      <c r="D54" s="15" t="s">
        <v>338</v>
      </c>
      <c r="E54" s="15" t="s">
        <v>90</v>
      </c>
      <c r="F54" s="49" t="s">
        <v>355</v>
      </c>
      <c r="G54" s="15" t="s">
        <v>305</v>
      </c>
      <c r="H54" s="42" t="n">
        <v>8</v>
      </c>
      <c r="I54" s="49" t="s">
        <v>298</v>
      </c>
      <c r="J54" s="49" t="s">
        <v>299</v>
      </c>
      <c r="K54" s="42" t="n">
        <v>1</v>
      </c>
      <c r="L54" s="42" t="n">
        <v>18</v>
      </c>
      <c r="M54" s="47" t="n">
        <v>1.76</v>
      </c>
      <c r="N54" s="50" t="n">
        <f aca="false">K54*L54*M54</f>
        <v>31.68</v>
      </c>
      <c r="O54" s="31" t="n">
        <f aca="false">IFERROR(INDEX(Исходные!$B$18:$B$29,MATCH(H54,Исходные!$A$18:$A$29,0)),0)</f>
        <v>0.395</v>
      </c>
      <c r="P54" s="51" t="n">
        <f aca="false">N54*O54</f>
        <v>12.5136</v>
      </c>
      <c r="Q54" s="15" t="s">
        <v>306</v>
      </c>
      <c r="R54" s="52" t="s">
        <v>266</v>
      </c>
      <c r="S54" s="15"/>
      <c r="T54" s="15" t="s">
        <v>63</v>
      </c>
      <c r="U54" s="40" t="n">
        <v>0</v>
      </c>
      <c r="V54" s="49" t="s">
        <v>90</v>
      </c>
    </row>
    <row r="55" customFormat="false" ht="23.85" hidden="false" customHeight="false" outlineLevel="0" collapsed="false">
      <c r="A55" s="49" t="n">
        <v>50</v>
      </c>
      <c r="B55" s="15" t="s">
        <v>260</v>
      </c>
      <c r="C55" s="15" t="s">
        <v>63</v>
      </c>
      <c r="D55" s="15" t="s">
        <v>338</v>
      </c>
      <c r="E55" s="15" t="s">
        <v>90</v>
      </c>
      <c r="F55" s="49" t="s">
        <v>307</v>
      </c>
      <c r="G55" s="15" t="s">
        <v>308</v>
      </c>
      <c r="H55" s="42" t="n">
        <v>8</v>
      </c>
      <c r="I55" s="49" t="s">
        <v>298</v>
      </c>
      <c r="J55" s="49" t="s">
        <v>299</v>
      </c>
      <c r="K55" s="42" t="n">
        <v>1</v>
      </c>
      <c r="L55" s="42" t="n">
        <v>30</v>
      </c>
      <c r="M55" s="47" t="n">
        <v>2.44</v>
      </c>
      <c r="N55" s="50" t="n">
        <f aca="false">K55*L55*M55</f>
        <v>73.2</v>
      </c>
      <c r="O55" s="31" t="n">
        <f aca="false">IFERROR(INDEX(Исходные!$B$18:$B$29,MATCH(H55,Исходные!$A$18:$A$29,0)),0)</f>
        <v>0.395</v>
      </c>
      <c r="P55" s="51" t="n">
        <f aca="false">N55*O55</f>
        <v>28.914</v>
      </c>
      <c r="Q55" s="15" t="s">
        <v>309</v>
      </c>
      <c r="R55" s="52" t="s">
        <v>266</v>
      </c>
      <c r="S55" s="15"/>
      <c r="T55" s="15" t="s">
        <v>63</v>
      </c>
      <c r="U55" s="40" t="n">
        <v>0</v>
      </c>
      <c r="V55" s="49" t="s">
        <v>90</v>
      </c>
    </row>
    <row r="56" customFormat="false" ht="23.85" hidden="false" customHeight="false" outlineLevel="0" collapsed="false">
      <c r="A56" s="49" t="n">
        <v>51</v>
      </c>
      <c r="B56" s="15" t="s">
        <v>260</v>
      </c>
      <c r="C56" s="15" t="s">
        <v>63</v>
      </c>
      <c r="D56" s="15" t="s">
        <v>338</v>
      </c>
      <c r="E56" s="15" t="s">
        <v>90</v>
      </c>
      <c r="F56" s="49" t="s">
        <v>310</v>
      </c>
      <c r="G56" s="15" t="s">
        <v>311</v>
      </c>
      <c r="H56" s="42" t="n">
        <v>8</v>
      </c>
      <c r="I56" s="49" t="s">
        <v>298</v>
      </c>
      <c r="J56" s="49" t="s">
        <v>299</v>
      </c>
      <c r="K56" s="42" t="n">
        <v>1</v>
      </c>
      <c r="L56" s="42" t="n">
        <v>36</v>
      </c>
      <c r="M56" s="47" t="n">
        <v>1.96</v>
      </c>
      <c r="N56" s="50" t="n">
        <f aca="false">K56*L56*M56</f>
        <v>70.56</v>
      </c>
      <c r="O56" s="31" t="n">
        <f aca="false">IFERROR(INDEX(Исходные!$B$18:$B$29,MATCH(H56,Исходные!$A$18:$A$29,0)),0)</f>
        <v>0.395</v>
      </c>
      <c r="P56" s="51" t="n">
        <f aca="false">N56*O56</f>
        <v>27.8712</v>
      </c>
      <c r="Q56" s="15" t="s">
        <v>312</v>
      </c>
      <c r="R56" s="52" t="s">
        <v>266</v>
      </c>
      <c r="S56" s="15"/>
      <c r="T56" s="15" t="s">
        <v>63</v>
      </c>
      <c r="U56" s="40" t="n">
        <v>0</v>
      </c>
      <c r="V56" s="49" t="s">
        <v>90</v>
      </c>
    </row>
    <row r="57" customFormat="false" ht="23.85" hidden="false" customHeight="false" outlineLevel="0" collapsed="false">
      <c r="A57" s="49" t="n">
        <v>52</v>
      </c>
      <c r="B57" s="15" t="s">
        <v>260</v>
      </c>
      <c r="C57" s="15" t="s">
        <v>63</v>
      </c>
      <c r="D57" s="15" t="s">
        <v>338</v>
      </c>
      <c r="E57" s="15" t="s">
        <v>90</v>
      </c>
      <c r="F57" s="49" t="s">
        <v>313</v>
      </c>
      <c r="G57" s="15" t="s">
        <v>356</v>
      </c>
      <c r="H57" s="42" t="n">
        <v>8</v>
      </c>
      <c r="I57" s="49" t="s">
        <v>298</v>
      </c>
      <c r="J57" s="49" t="s">
        <v>299</v>
      </c>
      <c r="K57" s="42" t="n">
        <v>1</v>
      </c>
      <c r="L57" s="42" t="n">
        <v>81</v>
      </c>
      <c r="M57" s="47" t="n">
        <v>0.53</v>
      </c>
      <c r="N57" s="50" t="n">
        <f aca="false">K57*L57*M57</f>
        <v>42.93</v>
      </c>
      <c r="O57" s="31" t="n">
        <f aca="false">IFERROR(INDEX(Исходные!$B$18:$B$29,MATCH(H57,Исходные!$A$18:$A$29,0)),0)</f>
        <v>0.395</v>
      </c>
      <c r="P57" s="51" t="n">
        <f aca="false">N57*O57</f>
        <v>16.95735</v>
      </c>
      <c r="Q57" s="15" t="s">
        <v>315</v>
      </c>
      <c r="R57" s="52" t="s">
        <v>266</v>
      </c>
      <c r="S57" s="15"/>
      <c r="T57" s="15" t="s">
        <v>63</v>
      </c>
      <c r="U57" s="40" t="n">
        <v>0</v>
      </c>
      <c r="V57" s="49" t="s">
        <v>90</v>
      </c>
    </row>
    <row r="58" customFormat="false" ht="23.85" hidden="false" customHeight="false" outlineLevel="0" collapsed="false">
      <c r="A58" s="49" t="n">
        <v>53</v>
      </c>
      <c r="B58" s="15" t="s">
        <v>260</v>
      </c>
      <c r="C58" s="15" t="s">
        <v>63</v>
      </c>
      <c r="D58" s="15" t="s">
        <v>357</v>
      </c>
      <c r="E58" s="15" t="s">
        <v>91</v>
      </c>
      <c r="F58" s="49" t="s">
        <v>262</v>
      </c>
      <c r="G58" s="15" t="s">
        <v>263</v>
      </c>
      <c r="H58" s="42" t="n">
        <v>32</v>
      </c>
      <c r="I58" s="49" t="s">
        <v>264</v>
      </c>
      <c r="J58" s="49" t="s">
        <v>98</v>
      </c>
      <c r="K58" s="42" t="n">
        <v>1</v>
      </c>
      <c r="L58" s="42" t="n">
        <v>4</v>
      </c>
      <c r="M58" s="47" t="n">
        <v>4</v>
      </c>
      <c r="N58" s="50" t="n">
        <f aca="false">K58*L58*M58</f>
        <v>16</v>
      </c>
      <c r="O58" s="31" t="n">
        <f aca="false">IFERROR(INDEX(Исходные!$B$18:$B$29,MATCH(H58,Исходные!$A$18:$A$29,0)),0)</f>
        <v>6.313</v>
      </c>
      <c r="P58" s="51" t="n">
        <f aca="false">N58*O58</f>
        <v>101.008</v>
      </c>
      <c r="Q58" s="15" t="s">
        <v>358</v>
      </c>
      <c r="R58" s="52" t="s">
        <v>266</v>
      </c>
      <c r="S58" s="15" t="s">
        <v>340</v>
      </c>
      <c r="T58" s="15" t="s">
        <v>63</v>
      </c>
      <c r="U58" s="40" t="n">
        <v>0</v>
      </c>
      <c r="V58" s="49" t="s">
        <v>91</v>
      </c>
    </row>
    <row r="59" customFormat="false" ht="23.85" hidden="false" customHeight="false" outlineLevel="0" collapsed="false">
      <c r="A59" s="49" t="n">
        <v>54</v>
      </c>
      <c r="B59" s="15" t="s">
        <v>260</v>
      </c>
      <c r="C59" s="15" t="s">
        <v>63</v>
      </c>
      <c r="D59" s="15" t="s">
        <v>357</v>
      </c>
      <c r="E59" s="15" t="s">
        <v>91</v>
      </c>
      <c r="F59" s="49" t="s">
        <v>271</v>
      </c>
      <c r="G59" s="15" t="s">
        <v>359</v>
      </c>
      <c r="H59" s="42" t="n">
        <v>28</v>
      </c>
      <c r="I59" s="49" t="s">
        <v>264</v>
      </c>
      <c r="J59" s="49" t="s">
        <v>98</v>
      </c>
      <c r="K59" s="42" t="n">
        <v>1</v>
      </c>
      <c r="L59" s="42" t="n">
        <v>4</v>
      </c>
      <c r="M59" s="47" t="n">
        <v>4</v>
      </c>
      <c r="N59" s="50" t="n">
        <f aca="false">K59*L59*M59</f>
        <v>16</v>
      </c>
      <c r="O59" s="31" t="n">
        <f aca="false">IFERROR(INDEX(Исходные!$B$18:$B$29,MATCH(H59,Исходные!$A$18:$A$29,0)),0)</f>
        <v>4.834</v>
      </c>
      <c r="P59" s="51" t="n">
        <f aca="false">N59*O59</f>
        <v>77.344</v>
      </c>
      <c r="Q59" s="15" t="s">
        <v>358</v>
      </c>
      <c r="R59" s="52" t="s">
        <v>266</v>
      </c>
      <c r="S59" s="15" t="s">
        <v>360</v>
      </c>
      <c r="T59" s="15" t="s">
        <v>63</v>
      </c>
      <c r="U59" s="40" t="n">
        <v>0</v>
      </c>
      <c r="V59" s="49" t="s">
        <v>91</v>
      </c>
    </row>
    <row r="60" customFormat="false" ht="23.85" hidden="false" customHeight="false" outlineLevel="0" collapsed="false">
      <c r="A60" s="49" t="n">
        <v>55</v>
      </c>
      <c r="B60" s="15" t="s">
        <v>260</v>
      </c>
      <c r="C60" s="15" t="s">
        <v>63</v>
      </c>
      <c r="D60" s="15" t="s">
        <v>357</v>
      </c>
      <c r="E60" s="15" t="s">
        <v>91</v>
      </c>
      <c r="F60" s="49" t="s">
        <v>268</v>
      </c>
      <c r="G60" s="15" t="s">
        <v>320</v>
      </c>
      <c r="H60" s="42" t="n">
        <v>20</v>
      </c>
      <c r="I60" s="49" t="s">
        <v>264</v>
      </c>
      <c r="J60" s="49" t="s">
        <v>98</v>
      </c>
      <c r="K60" s="42" t="n">
        <v>1</v>
      </c>
      <c r="L60" s="42" t="n">
        <v>4</v>
      </c>
      <c r="M60" s="47" t="n">
        <v>4</v>
      </c>
      <c r="N60" s="50" t="n">
        <f aca="false">K60*L60*M60</f>
        <v>16</v>
      </c>
      <c r="O60" s="31" t="n">
        <f aca="false">IFERROR(INDEX(Исходные!$B$18:$B$29,MATCH(H60,Исходные!$A$18:$A$29,0)),0)</f>
        <v>2.466</v>
      </c>
      <c r="P60" s="51" t="n">
        <f aca="false">N60*O60</f>
        <v>39.456</v>
      </c>
      <c r="Q60" s="15" t="s">
        <v>358</v>
      </c>
      <c r="R60" s="52" t="s">
        <v>266</v>
      </c>
      <c r="S60" s="15" t="s">
        <v>321</v>
      </c>
      <c r="T60" s="15" t="s">
        <v>63</v>
      </c>
      <c r="U60" s="40" t="n">
        <v>0</v>
      </c>
      <c r="V60" s="49" t="s">
        <v>91</v>
      </c>
    </row>
    <row r="61" customFormat="false" ht="23.85" hidden="false" customHeight="false" outlineLevel="0" collapsed="false">
      <c r="A61" s="49" t="n">
        <v>56</v>
      </c>
      <c r="B61" s="15" t="s">
        <v>260</v>
      </c>
      <c r="C61" s="15" t="s">
        <v>63</v>
      </c>
      <c r="D61" s="15" t="s">
        <v>357</v>
      </c>
      <c r="E61" s="15" t="s">
        <v>91</v>
      </c>
      <c r="F61" s="49" t="s">
        <v>268</v>
      </c>
      <c r="G61" s="15" t="s">
        <v>361</v>
      </c>
      <c r="H61" s="42" t="n">
        <v>20</v>
      </c>
      <c r="I61" s="49" t="s">
        <v>264</v>
      </c>
      <c r="J61" s="49" t="s">
        <v>98</v>
      </c>
      <c r="K61" s="42" t="n">
        <v>1</v>
      </c>
      <c r="L61" s="42" t="n">
        <v>6</v>
      </c>
      <c r="M61" s="47" t="n">
        <v>4</v>
      </c>
      <c r="N61" s="50" t="n">
        <f aca="false">K61*L61*M61</f>
        <v>24</v>
      </c>
      <c r="O61" s="31" t="n">
        <f aca="false">IFERROR(INDEX(Исходные!$B$18:$B$29,MATCH(H61,Исходные!$A$18:$A$29,0)),0)</f>
        <v>2.466</v>
      </c>
      <c r="P61" s="51" t="n">
        <f aca="false">N61*O61</f>
        <v>59.184</v>
      </c>
      <c r="Q61" s="15" t="s">
        <v>358</v>
      </c>
      <c r="R61" s="52" t="s">
        <v>266</v>
      </c>
      <c r="S61" s="15" t="s">
        <v>362</v>
      </c>
      <c r="T61" s="15" t="s">
        <v>63</v>
      </c>
      <c r="U61" s="40" t="n">
        <v>0</v>
      </c>
      <c r="V61" s="49" t="s">
        <v>91</v>
      </c>
    </row>
    <row r="62" customFormat="false" ht="23.85" hidden="false" customHeight="false" outlineLevel="0" collapsed="false">
      <c r="A62" s="49" t="n">
        <v>57</v>
      </c>
      <c r="B62" s="15" t="s">
        <v>260</v>
      </c>
      <c r="C62" s="15" t="s">
        <v>63</v>
      </c>
      <c r="D62" s="15" t="s">
        <v>357</v>
      </c>
      <c r="E62" s="15" t="s">
        <v>91</v>
      </c>
      <c r="F62" s="49" t="s">
        <v>271</v>
      </c>
      <c r="G62" s="15" t="s">
        <v>363</v>
      </c>
      <c r="H62" s="42" t="n">
        <v>28</v>
      </c>
      <c r="I62" s="49" t="s">
        <v>264</v>
      </c>
      <c r="J62" s="49" t="s">
        <v>98</v>
      </c>
      <c r="K62" s="42" t="n">
        <v>1</v>
      </c>
      <c r="L62" s="42" t="n">
        <v>10</v>
      </c>
      <c r="M62" s="47" t="n">
        <v>4</v>
      </c>
      <c r="N62" s="50" t="n">
        <f aca="false">K62*L62*M62</f>
        <v>40</v>
      </c>
      <c r="O62" s="31" t="n">
        <f aca="false">IFERROR(INDEX(Исходные!$B$18:$B$29,MATCH(H62,Исходные!$A$18:$A$29,0)),0)</f>
        <v>4.834</v>
      </c>
      <c r="P62" s="51" t="n">
        <f aca="false">N62*O62</f>
        <v>193.36</v>
      </c>
      <c r="Q62" s="15" t="s">
        <v>358</v>
      </c>
      <c r="R62" s="52" t="s">
        <v>266</v>
      </c>
      <c r="S62" s="15" t="s">
        <v>364</v>
      </c>
      <c r="T62" s="15" t="s">
        <v>63</v>
      </c>
      <c r="U62" s="40" t="n">
        <v>0</v>
      </c>
      <c r="V62" s="49" t="s">
        <v>91</v>
      </c>
    </row>
    <row r="63" customFormat="false" ht="23.85" hidden="false" customHeight="false" outlineLevel="0" collapsed="false">
      <c r="A63" s="49" t="n">
        <v>58</v>
      </c>
      <c r="B63" s="15" t="s">
        <v>260</v>
      </c>
      <c r="C63" s="15" t="s">
        <v>63</v>
      </c>
      <c r="D63" s="15" t="s">
        <v>357</v>
      </c>
      <c r="E63" s="15" t="s">
        <v>91</v>
      </c>
      <c r="F63" s="49" t="s">
        <v>284</v>
      </c>
      <c r="G63" s="15" t="s">
        <v>365</v>
      </c>
      <c r="H63" s="42" t="n">
        <v>16</v>
      </c>
      <c r="I63" s="49" t="s">
        <v>264</v>
      </c>
      <c r="J63" s="49" t="n">
        <v>200</v>
      </c>
      <c r="K63" s="42" t="n">
        <v>1</v>
      </c>
      <c r="L63" s="42" t="n">
        <v>36</v>
      </c>
      <c r="M63" s="47" t="n">
        <v>1.45</v>
      </c>
      <c r="N63" s="50" t="n">
        <f aca="false">K63*L63*M63</f>
        <v>52.2</v>
      </c>
      <c r="O63" s="31" t="n">
        <f aca="false">IFERROR(INDEX(Исходные!$B$18:$B$29,MATCH(H63,Исходные!$A$18:$A$29,0)),0)</f>
        <v>1.578</v>
      </c>
      <c r="P63" s="51" t="n">
        <f aca="false">N63*O63</f>
        <v>82.3716</v>
      </c>
      <c r="Q63" s="15" t="s">
        <v>366</v>
      </c>
      <c r="R63" s="53" t="s">
        <v>287</v>
      </c>
      <c r="S63" s="15"/>
      <c r="T63" s="15" t="s">
        <v>63</v>
      </c>
      <c r="U63" s="40" t="n">
        <v>1</v>
      </c>
      <c r="V63" s="49" t="s">
        <v>91</v>
      </c>
    </row>
    <row r="64" customFormat="false" ht="23.85" hidden="false" customHeight="false" outlineLevel="0" collapsed="false">
      <c r="A64" s="49" t="n">
        <v>59</v>
      </c>
      <c r="B64" s="15" t="s">
        <v>260</v>
      </c>
      <c r="C64" s="15" t="s">
        <v>63</v>
      </c>
      <c r="D64" s="15" t="s">
        <v>357</v>
      </c>
      <c r="E64" s="15" t="s">
        <v>91</v>
      </c>
      <c r="F64" s="49" t="s">
        <v>291</v>
      </c>
      <c r="G64" s="15" t="s">
        <v>367</v>
      </c>
      <c r="H64" s="42" t="n">
        <v>18</v>
      </c>
      <c r="I64" s="49" t="s">
        <v>264</v>
      </c>
      <c r="J64" s="49" t="n">
        <v>200</v>
      </c>
      <c r="K64" s="42" t="n">
        <v>1</v>
      </c>
      <c r="L64" s="42" t="n">
        <v>10</v>
      </c>
      <c r="M64" s="47" t="n">
        <v>1.45</v>
      </c>
      <c r="N64" s="50" t="n">
        <f aca="false">K64*L64*M64</f>
        <v>14.5</v>
      </c>
      <c r="O64" s="31" t="n">
        <f aca="false">IFERROR(INDEX(Исходные!$B$18:$B$29,MATCH(H64,Исходные!$A$18:$A$29,0)),0)</f>
        <v>1.998</v>
      </c>
      <c r="P64" s="51" t="n">
        <f aca="false">N64*O64</f>
        <v>28.971</v>
      </c>
      <c r="Q64" s="15" t="s">
        <v>368</v>
      </c>
      <c r="R64" s="52" t="s">
        <v>266</v>
      </c>
      <c r="S64" s="15"/>
      <c r="T64" s="15" t="s">
        <v>63</v>
      </c>
      <c r="U64" s="40" t="n">
        <v>0</v>
      </c>
      <c r="V64" s="49" t="s">
        <v>91</v>
      </c>
    </row>
    <row r="65" customFormat="false" ht="23.85" hidden="false" customHeight="false" outlineLevel="0" collapsed="false">
      <c r="A65" s="49" t="n">
        <v>60</v>
      </c>
      <c r="B65" s="15" t="s">
        <v>260</v>
      </c>
      <c r="C65" s="15" t="s">
        <v>63</v>
      </c>
      <c r="D65" s="15" t="s">
        <v>357</v>
      </c>
      <c r="E65" s="15" t="s">
        <v>91</v>
      </c>
      <c r="F65" s="49" t="s">
        <v>296</v>
      </c>
      <c r="G65" s="15" t="s">
        <v>369</v>
      </c>
      <c r="H65" s="42" t="n">
        <v>10</v>
      </c>
      <c r="I65" s="49" t="s">
        <v>298</v>
      </c>
      <c r="J65" s="49" t="s">
        <v>299</v>
      </c>
      <c r="K65" s="42" t="n">
        <v>1</v>
      </c>
      <c r="L65" s="42" t="n">
        <v>18</v>
      </c>
      <c r="M65" s="47" t="n">
        <v>1.33</v>
      </c>
      <c r="N65" s="50" t="n">
        <f aca="false">K65*L65*M65</f>
        <v>23.94</v>
      </c>
      <c r="O65" s="31" t="n">
        <f aca="false">IFERROR(INDEX(Исходные!$B$18:$B$29,MATCH(H65,Исходные!$A$18:$A$29,0)),0)</f>
        <v>0.617</v>
      </c>
      <c r="P65" s="51" t="n">
        <f aca="false">N65*O65</f>
        <v>14.77098</v>
      </c>
      <c r="Q65" s="15" t="s">
        <v>300</v>
      </c>
      <c r="R65" s="52" t="s">
        <v>266</v>
      </c>
      <c r="S65" s="15"/>
      <c r="T65" s="15" t="s">
        <v>63</v>
      </c>
      <c r="U65" s="40" t="n">
        <v>0</v>
      </c>
      <c r="V65" s="49" t="s">
        <v>91</v>
      </c>
    </row>
    <row r="66" customFormat="false" ht="23.85" hidden="false" customHeight="false" outlineLevel="0" collapsed="false">
      <c r="A66" s="49" t="n">
        <v>61</v>
      </c>
      <c r="B66" s="15" t="s">
        <v>260</v>
      </c>
      <c r="C66" s="15" t="s">
        <v>63</v>
      </c>
      <c r="D66" s="15" t="s">
        <v>357</v>
      </c>
      <c r="E66" s="15" t="s">
        <v>91</v>
      </c>
      <c r="F66" s="49" t="s">
        <v>304</v>
      </c>
      <c r="G66" s="15" t="s">
        <v>305</v>
      </c>
      <c r="H66" s="42" t="n">
        <v>10</v>
      </c>
      <c r="I66" s="49" t="s">
        <v>298</v>
      </c>
      <c r="J66" s="49" t="s">
        <v>299</v>
      </c>
      <c r="K66" s="42" t="n">
        <v>1</v>
      </c>
      <c r="L66" s="42" t="n">
        <v>18</v>
      </c>
      <c r="M66" s="47" t="n">
        <v>1.76</v>
      </c>
      <c r="N66" s="50" t="n">
        <f aca="false">K66*L66*M66</f>
        <v>31.68</v>
      </c>
      <c r="O66" s="31" t="n">
        <f aca="false">IFERROR(INDEX(Исходные!$B$18:$B$29,MATCH(H66,Исходные!$A$18:$A$29,0)),0)</f>
        <v>0.617</v>
      </c>
      <c r="P66" s="51" t="n">
        <f aca="false">N66*O66</f>
        <v>19.54656</v>
      </c>
      <c r="Q66" s="15" t="s">
        <v>306</v>
      </c>
      <c r="R66" s="52" t="s">
        <v>266</v>
      </c>
      <c r="S66" s="15"/>
      <c r="T66" s="15" t="s">
        <v>63</v>
      </c>
      <c r="U66" s="40" t="n">
        <v>0</v>
      </c>
      <c r="V66" s="49" t="s">
        <v>91</v>
      </c>
    </row>
    <row r="67" customFormat="false" ht="23.85" hidden="false" customHeight="false" outlineLevel="0" collapsed="false">
      <c r="A67" s="49" t="n">
        <v>62</v>
      </c>
      <c r="B67" s="15" t="s">
        <v>260</v>
      </c>
      <c r="C67" s="15" t="s">
        <v>63</v>
      </c>
      <c r="D67" s="15" t="s">
        <v>357</v>
      </c>
      <c r="E67" s="15" t="s">
        <v>91</v>
      </c>
      <c r="F67" s="49" t="s">
        <v>307</v>
      </c>
      <c r="G67" s="15" t="s">
        <v>308</v>
      </c>
      <c r="H67" s="42" t="n">
        <v>8</v>
      </c>
      <c r="I67" s="49" t="s">
        <v>298</v>
      </c>
      <c r="J67" s="49" t="s">
        <v>299</v>
      </c>
      <c r="K67" s="42" t="n">
        <v>1</v>
      </c>
      <c r="L67" s="42" t="n">
        <v>30</v>
      </c>
      <c r="M67" s="47" t="n">
        <v>2.44</v>
      </c>
      <c r="N67" s="50" t="n">
        <f aca="false">K67*L67*M67</f>
        <v>73.2</v>
      </c>
      <c r="O67" s="31" t="n">
        <f aca="false">IFERROR(INDEX(Исходные!$B$18:$B$29,MATCH(H67,Исходные!$A$18:$A$29,0)),0)</f>
        <v>0.395</v>
      </c>
      <c r="P67" s="51" t="n">
        <f aca="false">N67*O67</f>
        <v>28.914</v>
      </c>
      <c r="Q67" s="15" t="s">
        <v>309</v>
      </c>
      <c r="R67" s="52" t="s">
        <v>266</v>
      </c>
      <c r="S67" s="15"/>
      <c r="T67" s="15" t="s">
        <v>63</v>
      </c>
      <c r="U67" s="40" t="n">
        <v>0</v>
      </c>
      <c r="V67" s="49" t="s">
        <v>91</v>
      </c>
    </row>
    <row r="68" customFormat="false" ht="23.85" hidden="false" customHeight="false" outlineLevel="0" collapsed="false">
      <c r="A68" s="49" t="n">
        <v>63</v>
      </c>
      <c r="B68" s="15" t="s">
        <v>260</v>
      </c>
      <c r="C68" s="15" t="s">
        <v>63</v>
      </c>
      <c r="D68" s="15" t="s">
        <v>357</v>
      </c>
      <c r="E68" s="15" t="s">
        <v>91</v>
      </c>
      <c r="F68" s="49" t="s">
        <v>310</v>
      </c>
      <c r="G68" s="15" t="s">
        <v>311</v>
      </c>
      <c r="H68" s="42" t="n">
        <v>8</v>
      </c>
      <c r="I68" s="49" t="s">
        <v>298</v>
      </c>
      <c r="J68" s="49" t="s">
        <v>299</v>
      </c>
      <c r="K68" s="42" t="n">
        <v>1</v>
      </c>
      <c r="L68" s="42" t="n">
        <v>36</v>
      </c>
      <c r="M68" s="47" t="n">
        <v>1.96</v>
      </c>
      <c r="N68" s="50" t="n">
        <f aca="false">K68*L68*M68</f>
        <v>70.56</v>
      </c>
      <c r="O68" s="31" t="n">
        <f aca="false">IFERROR(INDEX(Исходные!$B$18:$B$29,MATCH(H68,Исходные!$A$18:$A$29,0)),0)</f>
        <v>0.395</v>
      </c>
      <c r="P68" s="51" t="n">
        <f aca="false">N68*O68</f>
        <v>27.8712</v>
      </c>
      <c r="Q68" s="15" t="s">
        <v>312</v>
      </c>
      <c r="R68" s="52" t="s">
        <v>266</v>
      </c>
      <c r="S68" s="15"/>
      <c r="T68" s="15" t="s">
        <v>63</v>
      </c>
      <c r="U68" s="40" t="n">
        <v>0</v>
      </c>
      <c r="V68" s="49" t="s">
        <v>91</v>
      </c>
    </row>
    <row r="69" customFormat="false" ht="23.85" hidden="false" customHeight="false" outlineLevel="0" collapsed="false">
      <c r="A69" s="49" t="n">
        <v>64</v>
      </c>
      <c r="B69" s="15" t="s">
        <v>260</v>
      </c>
      <c r="C69" s="15" t="s">
        <v>63</v>
      </c>
      <c r="D69" s="15" t="s">
        <v>357</v>
      </c>
      <c r="E69" s="15" t="s">
        <v>91</v>
      </c>
      <c r="F69" s="49" t="s">
        <v>313</v>
      </c>
      <c r="G69" s="15" t="s">
        <v>370</v>
      </c>
      <c r="H69" s="42" t="n">
        <v>8</v>
      </c>
      <c r="I69" s="49" t="s">
        <v>298</v>
      </c>
      <c r="J69" s="49" t="s">
        <v>299</v>
      </c>
      <c r="K69" s="42" t="n">
        <v>1</v>
      </c>
      <c r="L69" s="42" t="n">
        <v>36</v>
      </c>
      <c r="M69" s="47" t="n">
        <v>0.53</v>
      </c>
      <c r="N69" s="50" t="n">
        <f aca="false">K69*L69*M69</f>
        <v>19.08</v>
      </c>
      <c r="O69" s="31" t="n">
        <f aca="false">IFERROR(INDEX(Исходные!$B$18:$B$29,MATCH(H69,Исходные!$A$18:$A$29,0)),0)</f>
        <v>0.395</v>
      </c>
      <c r="P69" s="51" t="n">
        <f aca="false">N69*O69</f>
        <v>7.5366</v>
      </c>
      <c r="Q69" s="15" t="s">
        <v>315</v>
      </c>
      <c r="R69" s="52" t="s">
        <v>266</v>
      </c>
      <c r="S69" s="15"/>
      <c r="T69" s="15" t="s">
        <v>63</v>
      </c>
      <c r="U69" s="40" t="n">
        <v>0</v>
      </c>
      <c r="V69" s="49" t="s">
        <v>91</v>
      </c>
    </row>
    <row r="70" customFormat="false" ht="23.85" hidden="false" customHeight="false" outlineLevel="0" collapsed="false">
      <c r="A70" s="49" t="n">
        <v>65</v>
      </c>
      <c r="B70" s="15" t="s">
        <v>260</v>
      </c>
      <c r="C70" s="15" t="s">
        <v>63</v>
      </c>
      <c r="D70" s="15" t="s">
        <v>371</v>
      </c>
      <c r="E70" s="15" t="s">
        <v>92</v>
      </c>
      <c r="F70" s="49" t="s">
        <v>262</v>
      </c>
      <c r="G70" s="15" t="s">
        <v>263</v>
      </c>
      <c r="H70" s="42" t="n">
        <v>32</v>
      </c>
      <c r="I70" s="49" t="s">
        <v>264</v>
      </c>
      <c r="J70" s="49" t="s">
        <v>98</v>
      </c>
      <c r="K70" s="42" t="n">
        <v>1</v>
      </c>
      <c r="L70" s="42" t="n">
        <v>4</v>
      </c>
      <c r="M70" s="47" t="n">
        <v>4</v>
      </c>
      <c r="N70" s="50" t="n">
        <f aca="false">K70*L70*M70</f>
        <v>16</v>
      </c>
      <c r="O70" s="31" t="n">
        <f aca="false">IFERROR(INDEX(Исходные!$B$18:$B$29,MATCH(H70,Исходные!$A$18:$A$29,0)),0)</f>
        <v>6.313</v>
      </c>
      <c r="P70" s="51" t="n">
        <f aca="false">N70*O70</f>
        <v>101.008</v>
      </c>
      <c r="Q70" s="15" t="s">
        <v>372</v>
      </c>
      <c r="R70" s="52" t="s">
        <v>266</v>
      </c>
      <c r="S70" s="15" t="s">
        <v>340</v>
      </c>
      <c r="T70" s="15" t="s">
        <v>63</v>
      </c>
      <c r="U70" s="40" t="n">
        <v>0</v>
      </c>
      <c r="V70" s="49" t="s">
        <v>92</v>
      </c>
    </row>
    <row r="71" customFormat="false" ht="23.85" hidden="false" customHeight="false" outlineLevel="0" collapsed="false">
      <c r="A71" s="49" t="n">
        <v>66</v>
      </c>
      <c r="B71" s="15" t="s">
        <v>260</v>
      </c>
      <c r="C71" s="15" t="s">
        <v>63</v>
      </c>
      <c r="D71" s="15" t="s">
        <v>371</v>
      </c>
      <c r="E71" s="15" t="s">
        <v>92</v>
      </c>
      <c r="F71" s="49" t="s">
        <v>271</v>
      </c>
      <c r="G71" s="15" t="s">
        <v>359</v>
      </c>
      <c r="H71" s="42" t="n">
        <v>28</v>
      </c>
      <c r="I71" s="49" t="s">
        <v>264</v>
      </c>
      <c r="J71" s="49" t="s">
        <v>98</v>
      </c>
      <c r="K71" s="42" t="n">
        <v>1</v>
      </c>
      <c r="L71" s="42" t="n">
        <v>4</v>
      </c>
      <c r="M71" s="47" t="n">
        <v>4</v>
      </c>
      <c r="N71" s="50" t="n">
        <f aca="false">K71*L71*M71</f>
        <v>16</v>
      </c>
      <c r="O71" s="31" t="n">
        <f aca="false">IFERROR(INDEX(Исходные!$B$18:$B$29,MATCH(H71,Исходные!$A$18:$A$29,0)),0)</f>
        <v>4.834</v>
      </c>
      <c r="P71" s="51" t="n">
        <f aca="false">N71*O71</f>
        <v>77.344</v>
      </c>
      <c r="Q71" s="15" t="s">
        <v>372</v>
      </c>
      <c r="R71" s="52" t="s">
        <v>266</v>
      </c>
      <c r="S71" s="15" t="s">
        <v>373</v>
      </c>
      <c r="T71" s="15" t="s">
        <v>63</v>
      </c>
      <c r="U71" s="40" t="n">
        <v>0</v>
      </c>
      <c r="V71" s="49" t="s">
        <v>92</v>
      </c>
    </row>
    <row r="72" customFormat="false" ht="23.85" hidden="false" customHeight="false" outlineLevel="0" collapsed="false">
      <c r="A72" s="49" t="n">
        <v>67</v>
      </c>
      <c r="B72" s="15" t="s">
        <v>260</v>
      </c>
      <c r="C72" s="15" t="s">
        <v>63</v>
      </c>
      <c r="D72" s="15" t="s">
        <v>371</v>
      </c>
      <c r="E72" s="15" t="s">
        <v>92</v>
      </c>
      <c r="F72" s="49" t="s">
        <v>268</v>
      </c>
      <c r="G72" s="15" t="s">
        <v>320</v>
      </c>
      <c r="H72" s="42" t="n">
        <v>20</v>
      </c>
      <c r="I72" s="49" t="s">
        <v>264</v>
      </c>
      <c r="J72" s="49" t="s">
        <v>98</v>
      </c>
      <c r="K72" s="42" t="n">
        <v>1</v>
      </c>
      <c r="L72" s="42" t="n">
        <v>4</v>
      </c>
      <c r="M72" s="47" t="n">
        <v>4</v>
      </c>
      <c r="N72" s="50" t="n">
        <f aca="false">K72*L72*M72</f>
        <v>16</v>
      </c>
      <c r="O72" s="31" t="n">
        <f aca="false">IFERROR(INDEX(Исходные!$B$18:$B$29,MATCH(H72,Исходные!$A$18:$A$29,0)),0)</f>
        <v>2.466</v>
      </c>
      <c r="P72" s="51" t="n">
        <f aca="false">N72*O72</f>
        <v>39.456</v>
      </c>
      <c r="Q72" s="15" t="s">
        <v>372</v>
      </c>
      <c r="R72" s="52" t="s">
        <v>266</v>
      </c>
      <c r="S72" s="15" t="s">
        <v>374</v>
      </c>
      <c r="T72" s="15" t="s">
        <v>63</v>
      </c>
      <c r="U72" s="40" t="n">
        <v>0</v>
      </c>
      <c r="V72" s="49" t="s">
        <v>92</v>
      </c>
    </row>
    <row r="73" customFormat="false" ht="23.85" hidden="false" customHeight="false" outlineLevel="0" collapsed="false">
      <c r="A73" s="49" t="n">
        <v>68</v>
      </c>
      <c r="B73" s="15" t="s">
        <v>260</v>
      </c>
      <c r="C73" s="15" t="s">
        <v>63</v>
      </c>
      <c r="D73" s="15" t="s">
        <v>371</v>
      </c>
      <c r="E73" s="15" t="s">
        <v>92</v>
      </c>
      <c r="F73" s="49" t="s">
        <v>271</v>
      </c>
      <c r="G73" s="15" t="s">
        <v>322</v>
      </c>
      <c r="H73" s="42" t="n">
        <v>28</v>
      </c>
      <c r="I73" s="49" t="s">
        <v>264</v>
      </c>
      <c r="J73" s="49" t="s">
        <v>98</v>
      </c>
      <c r="K73" s="42" t="n">
        <v>1</v>
      </c>
      <c r="L73" s="42" t="n">
        <v>10</v>
      </c>
      <c r="M73" s="47" t="n">
        <v>4</v>
      </c>
      <c r="N73" s="50" t="n">
        <f aca="false">K73*L73*M73</f>
        <v>40</v>
      </c>
      <c r="O73" s="31" t="n">
        <f aca="false">IFERROR(INDEX(Исходные!$B$18:$B$29,MATCH(H73,Исходные!$A$18:$A$29,0)),0)</f>
        <v>4.834</v>
      </c>
      <c r="P73" s="51" t="n">
        <f aca="false">N73*O73</f>
        <v>193.36</v>
      </c>
      <c r="Q73" s="15" t="s">
        <v>372</v>
      </c>
      <c r="R73" s="52" t="s">
        <v>266</v>
      </c>
      <c r="S73" s="15" t="s">
        <v>364</v>
      </c>
      <c r="T73" s="15" t="s">
        <v>63</v>
      </c>
      <c r="U73" s="40" t="n">
        <v>0</v>
      </c>
      <c r="V73" s="49" t="s">
        <v>92</v>
      </c>
    </row>
    <row r="74" customFormat="false" ht="23.85" hidden="false" customHeight="false" outlineLevel="0" collapsed="false">
      <c r="A74" s="49" t="n">
        <v>69</v>
      </c>
      <c r="B74" s="15" t="s">
        <v>260</v>
      </c>
      <c r="C74" s="15" t="s">
        <v>63</v>
      </c>
      <c r="D74" s="15" t="s">
        <v>371</v>
      </c>
      <c r="E74" s="15" t="s">
        <v>92</v>
      </c>
      <c r="F74" s="49" t="s">
        <v>268</v>
      </c>
      <c r="G74" s="15" t="s">
        <v>324</v>
      </c>
      <c r="H74" s="42" t="n">
        <v>20</v>
      </c>
      <c r="I74" s="49" t="s">
        <v>264</v>
      </c>
      <c r="J74" s="49" t="s">
        <v>98</v>
      </c>
      <c r="K74" s="42" t="n">
        <v>1</v>
      </c>
      <c r="L74" s="42" t="n">
        <v>4</v>
      </c>
      <c r="M74" s="47" t="n">
        <v>4</v>
      </c>
      <c r="N74" s="50" t="n">
        <f aca="false">K74*L74*M74</f>
        <v>16</v>
      </c>
      <c r="O74" s="31" t="n">
        <f aca="false">IFERROR(INDEX(Исходные!$B$18:$B$29,MATCH(H74,Исходные!$A$18:$A$29,0)),0)</f>
        <v>2.466</v>
      </c>
      <c r="P74" s="51" t="n">
        <f aca="false">N74*O74</f>
        <v>39.456</v>
      </c>
      <c r="Q74" s="15" t="s">
        <v>372</v>
      </c>
      <c r="R74" s="52" t="s">
        <v>266</v>
      </c>
      <c r="S74" s="15" t="s">
        <v>375</v>
      </c>
      <c r="T74" s="15" t="s">
        <v>63</v>
      </c>
      <c r="U74" s="40" t="n">
        <v>0</v>
      </c>
      <c r="V74" s="49" t="s">
        <v>92</v>
      </c>
    </row>
    <row r="75" customFormat="false" ht="23.85" hidden="false" customHeight="false" outlineLevel="0" collapsed="false">
      <c r="A75" s="49" t="n">
        <v>70</v>
      </c>
      <c r="B75" s="15" t="s">
        <v>260</v>
      </c>
      <c r="C75" s="15" t="s">
        <v>63</v>
      </c>
      <c r="D75" s="15" t="s">
        <v>371</v>
      </c>
      <c r="E75" s="15" t="s">
        <v>92</v>
      </c>
      <c r="F75" s="49" t="s">
        <v>327</v>
      </c>
      <c r="G75" s="15" t="s">
        <v>279</v>
      </c>
      <c r="H75" s="42" t="n">
        <v>22</v>
      </c>
      <c r="I75" s="49" t="s">
        <v>264</v>
      </c>
      <c r="J75" s="49" t="s">
        <v>98</v>
      </c>
      <c r="K75" s="42" t="n">
        <v>1</v>
      </c>
      <c r="L75" s="42" t="n">
        <v>6</v>
      </c>
      <c r="M75" s="47" t="n">
        <v>4</v>
      </c>
      <c r="N75" s="50" t="n">
        <f aca="false">K75*L75*M75</f>
        <v>24</v>
      </c>
      <c r="O75" s="31" t="n">
        <f aca="false">IFERROR(INDEX(Исходные!$B$18:$B$29,MATCH(H75,Исходные!$A$18:$A$29,0)),0)</f>
        <v>2.984</v>
      </c>
      <c r="P75" s="51" t="n">
        <f aca="false">N75*O75</f>
        <v>71.616</v>
      </c>
      <c r="Q75" s="15" t="s">
        <v>372</v>
      </c>
      <c r="R75" s="52" t="s">
        <v>266</v>
      </c>
      <c r="S75" s="15" t="s">
        <v>343</v>
      </c>
      <c r="T75" s="15" t="s">
        <v>63</v>
      </c>
      <c r="U75" s="40" t="n">
        <v>0</v>
      </c>
      <c r="V75" s="49" t="s">
        <v>92</v>
      </c>
    </row>
    <row r="76" customFormat="false" ht="23.85" hidden="false" customHeight="false" outlineLevel="0" collapsed="false">
      <c r="A76" s="49" t="n">
        <v>71</v>
      </c>
      <c r="B76" s="15" t="s">
        <v>260</v>
      </c>
      <c r="C76" s="15" t="s">
        <v>63</v>
      </c>
      <c r="D76" s="15" t="s">
        <v>371</v>
      </c>
      <c r="E76" s="15" t="s">
        <v>92</v>
      </c>
      <c r="F76" s="49" t="s">
        <v>274</v>
      </c>
      <c r="G76" s="15" t="s">
        <v>326</v>
      </c>
      <c r="H76" s="42" t="n">
        <v>25</v>
      </c>
      <c r="I76" s="49" t="s">
        <v>264</v>
      </c>
      <c r="J76" s="49" t="s">
        <v>98</v>
      </c>
      <c r="K76" s="42" t="n">
        <v>1</v>
      </c>
      <c r="L76" s="42" t="n">
        <v>10</v>
      </c>
      <c r="M76" s="47" t="n">
        <v>4</v>
      </c>
      <c r="N76" s="50" t="n">
        <f aca="false">K76*L76*M76</f>
        <v>40</v>
      </c>
      <c r="O76" s="31" t="n">
        <f aca="false">IFERROR(INDEX(Исходные!$B$18:$B$29,MATCH(H76,Исходные!$A$18:$A$29,0)),0)</f>
        <v>3.853</v>
      </c>
      <c r="P76" s="51" t="n">
        <f aca="false">N76*O76</f>
        <v>154.12</v>
      </c>
      <c r="Q76" s="15" t="s">
        <v>372</v>
      </c>
      <c r="R76" s="52" t="s">
        <v>266</v>
      </c>
      <c r="S76" s="15" t="s">
        <v>344</v>
      </c>
      <c r="T76" s="15" t="s">
        <v>63</v>
      </c>
      <c r="U76" s="40" t="n">
        <v>0</v>
      </c>
      <c r="V76" s="49" t="s">
        <v>92</v>
      </c>
    </row>
    <row r="77" customFormat="false" ht="23.85" hidden="false" customHeight="false" outlineLevel="0" collapsed="false">
      <c r="A77" s="49" t="n">
        <v>72</v>
      </c>
      <c r="B77" s="15" t="s">
        <v>260</v>
      </c>
      <c r="C77" s="15" t="s">
        <v>63</v>
      </c>
      <c r="D77" s="15" t="s">
        <v>371</v>
      </c>
      <c r="E77" s="15" t="s">
        <v>92</v>
      </c>
      <c r="F77" s="49" t="s">
        <v>284</v>
      </c>
      <c r="G77" s="15" t="s">
        <v>376</v>
      </c>
      <c r="H77" s="42" t="n">
        <v>16</v>
      </c>
      <c r="I77" s="49" t="s">
        <v>264</v>
      </c>
      <c r="J77" s="49" t="n">
        <v>200</v>
      </c>
      <c r="K77" s="42" t="n">
        <v>1</v>
      </c>
      <c r="L77" s="42" t="n">
        <v>36</v>
      </c>
      <c r="M77" s="47" t="n">
        <v>1.25</v>
      </c>
      <c r="N77" s="50" t="n">
        <f aca="false">K77*L77*M77</f>
        <v>45</v>
      </c>
      <c r="O77" s="31" t="n">
        <f aca="false">IFERROR(INDEX(Исходные!$B$18:$B$29,MATCH(H77,Исходные!$A$18:$A$29,0)),0)</f>
        <v>1.578</v>
      </c>
      <c r="P77" s="51" t="n">
        <f aca="false">N77*O77</f>
        <v>71.01</v>
      </c>
      <c r="Q77" s="15" t="s">
        <v>377</v>
      </c>
      <c r="R77" s="53" t="s">
        <v>287</v>
      </c>
      <c r="S77" s="15" t="s">
        <v>378</v>
      </c>
      <c r="T77" s="15" t="s">
        <v>63</v>
      </c>
      <c r="U77" s="40" t="n">
        <v>1</v>
      </c>
      <c r="V77" s="49" t="s">
        <v>92</v>
      </c>
    </row>
    <row r="78" customFormat="false" ht="23.85" hidden="false" customHeight="false" outlineLevel="0" collapsed="false">
      <c r="A78" s="49" t="n">
        <v>73</v>
      </c>
      <c r="B78" s="15" t="s">
        <v>260</v>
      </c>
      <c r="C78" s="15" t="s">
        <v>63</v>
      </c>
      <c r="D78" s="15" t="s">
        <v>371</v>
      </c>
      <c r="E78" s="15" t="s">
        <v>92</v>
      </c>
      <c r="F78" s="49" t="s">
        <v>284</v>
      </c>
      <c r="G78" s="15" t="s">
        <v>379</v>
      </c>
      <c r="H78" s="42" t="n">
        <v>16</v>
      </c>
      <c r="I78" s="49" t="s">
        <v>264</v>
      </c>
      <c r="J78" s="49" t="n">
        <v>200</v>
      </c>
      <c r="K78" s="42" t="n">
        <v>1</v>
      </c>
      <c r="L78" s="42" t="n">
        <v>36</v>
      </c>
      <c r="M78" s="47" t="n">
        <v>1.45</v>
      </c>
      <c r="N78" s="50" t="n">
        <f aca="false">K78*L78*M78</f>
        <v>52.2</v>
      </c>
      <c r="O78" s="31" t="n">
        <f aca="false">IFERROR(INDEX(Исходные!$B$18:$B$29,MATCH(H78,Исходные!$A$18:$A$29,0)),0)</f>
        <v>1.578</v>
      </c>
      <c r="P78" s="51" t="n">
        <f aca="false">N78*O78</f>
        <v>82.3716</v>
      </c>
      <c r="Q78" s="15" t="s">
        <v>377</v>
      </c>
      <c r="R78" s="53" t="s">
        <v>287</v>
      </c>
      <c r="S78" s="15"/>
      <c r="T78" s="15" t="s">
        <v>63</v>
      </c>
      <c r="U78" s="40" t="n">
        <v>1</v>
      </c>
      <c r="V78" s="49" t="s">
        <v>92</v>
      </c>
    </row>
    <row r="79" customFormat="false" ht="23.85" hidden="false" customHeight="false" outlineLevel="0" collapsed="false">
      <c r="A79" s="49" t="n">
        <v>74</v>
      </c>
      <c r="B79" s="15" t="s">
        <v>260</v>
      </c>
      <c r="C79" s="15" t="s">
        <v>63</v>
      </c>
      <c r="D79" s="15" t="s">
        <v>371</v>
      </c>
      <c r="E79" s="15" t="s">
        <v>92</v>
      </c>
      <c r="F79" s="49" t="s">
        <v>291</v>
      </c>
      <c r="G79" s="15" t="s">
        <v>380</v>
      </c>
      <c r="H79" s="42" t="n">
        <v>10</v>
      </c>
      <c r="I79" s="49" t="s">
        <v>264</v>
      </c>
      <c r="J79" s="49" t="n">
        <v>200</v>
      </c>
      <c r="K79" s="42" t="n">
        <v>1</v>
      </c>
      <c r="L79" s="42" t="n">
        <v>6</v>
      </c>
      <c r="M79" s="47" t="n">
        <v>1.25</v>
      </c>
      <c r="N79" s="50" t="n">
        <f aca="false">K79*L79*M79</f>
        <v>7.5</v>
      </c>
      <c r="O79" s="31" t="n">
        <f aca="false">IFERROR(INDEX(Исходные!$B$18:$B$29,MATCH(H79,Исходные!$A$18:$A$29,0)),0)</f>
        <v>0.617</v>
      </c>
      <c r="P79" s="51" t="n">
        <f aca="false">N79*O79</f>
        <v>4.6275</v>
      </c>
      <c r="Q79" s="15" t="s">
        <v>381</v>
      </c>
      <c r="R79" s="52" t="s">
        <v>266</v>
      </c>
      <c r="S79" s="15"/>
      <c r="T79" s="15" t="s">
        <v>63</v>
      </c>
      <c r="U79" s="40" t="n">
        <v>0</v>
      </c>
      <c r="V79" s="49" t="s">
        <v>92</v>
      </c>
    </row>
    <row r="80" customFormat="false" ht="23.85" hidden="false" customHeight="false" outlineLevel="0" collapsed="false">
      <c r="A80" s="49" t="n">
        <v>75</v>
      </c>
      <c r="B80" s="15" t="s">
        <v>260</v>
      </c>
      <c r="C80" s="15" t="s">
        <v>63</v>
      </c>
      <c r="D80" s="15" t="s">
        <v>371</v>
      </c>
      <c r="E80" s="15" t="s">
        <v>92</v>
      </c>
      <c r="F80" s="49" t="s">
        <v>291</v>
      </c>
      <c r="G80" s="15" t="s">
        <v>382</v>
      </c>
      <c r="H80" s="42" t="n">
        <v>14</v>
      </c>
      <c r="I80" s="49" t="s">
        <v>264</v>
      </c>
      <c r="J80" s="49" t="n">
        <v>200</v>
      </c>
      <c r="K80" s="42" t="n">
        <v>1</v>
      </c>
      <c r="L80" s="42" t="n">
        <v>6</v>
      </c>
      <c r="M80" s="47" t="n">
        <v>1.45</v>
      </c>
      <c r="N80" s="50" t="n">
        <f aca="false">K80*L80*M80</f>
        <v>8.7</v>
      </c>
      <c r="O80" s="31" t="n">
        <f aca="false">IFERROR(INDEX(Исходные!$B$18:$B$29,MATCH(H80,Исходные!$A$18:$A$29,0)),0)</f>
        <v>1.208</v>
      </c>
      <c r="P80" s="51" t="n">
        <f aca="false">N80*O80</f>
        <v>10.5096</v>
      </c>
      <c r="Q80" s="15" t="s">
        <v>381</v>
      </c>
      <c r="R80" s="52" t="s">
        <v>266</v>
      </c>
      <c r="S80" s="15"/>
      <c r="T80" s="15" t="s">
        <v>63</v>
      </c>
      <c r="U80" s="40" t="n">
        <v>0</v>
      </c>
      <c r="V80" s="49" t="s">
        <v>92</v>
      </c>
    </row>
    <row r="81" customFormat="false" ht="23.85" hidden="false" customHeight="false" outlineLevel="0" collapsed="false">
      <c r="A81" s="49" t="n">
        <v>76</v>
      </c>
      <c r="B81" s="15" t="s">
        <v>260</v>
      </c>
      <c r="C81" s="15" t="s">
        <v>63</v>
      </c>
      <c r="D81" s="15" t="s">
        <v>371</v>
      </c>
      <c r="E81" s="15" t="s">
        <v>92</v>
      </c>
      <c r="F81" s="49" t="s">
        <v>296</v>
      </c>
      <c r="G81" s="15" t="s">
        <v>335</v>
      </c>
      <c r="H81" s="42" t="n">
        <v>10</v>
      </c>
      <c r="I81" s="49" t="s">
        <v>298</v>
      </c>
      <c r="J81" s="49" t="s">
        <v>299</v>
      </c>
      <c r="K81" s="42" t="n">
        <v>1</v>
      </c>
      <c r="L81" s="42" t="n">
        <v>36</v>
      </c>
      <c r="M81" s="47" t="n">
        <v>1.33</v>
      </c>
      <c r="N81" s="50" t="n">
        <f aca="false">K81*L81*M81</f>
        <v>47.88</v>
      </c>
      <c r="O81" s="31" t="n">
        <f aca="false">IFERROR(INDEX(Исходные!$B$18:$B$29,MATCH(H81,Исходные!$A$18:$A$29,0)),0)</f>
        <v>0.617</v>
      </c>
      <c r="P81" s="51" t="n">
        <f aca="false">N81*O81</f>
        <v>29.54196</v>
      </c>
      <c r="Q81" s="15" t="s">
        <v>300</v>
      </c>
      <c r="R81" s="52" t="s">
        <v>266</v>
      </c>
      <c r="S81" s="15"/>
      <c r="T81" s="15" t="s">
        <v>63</v>
      </c>
      <c r="U81" s="40" t="n">
        <v>0</v>
      </c>
      <c r="V81" s="49" t="s">
        <v>92</v>
      </c>
    </row>
    <row r="82" customFormat="false" ht="23.85" hidden="false" customHeight="false" outlineLevel="0" collapsed="false">
      <c r="A82" s="49" t="n">
        <v>77</v>
      </c>
      <c r="B82" s="15" t="s">
        <v>260</v>
      </c>
      <c r="C82" s="15" t="s">
        <v>63</v>
      </c>
      <c r="D82" s="15" t="s">
        <v>371</v>
      </c>
      <c r="E82" s="15" t="s">
        <v>92</v>
      </c>
      <c r="F82" s="49" t="s">
        <v>301</v>
      </c>
      <c r="G82" s="15" t="s">
        <v>336</v>
      </c>
      <c r="H82" s="42" t="n">
        <v>10</v>
      </c>
      <c r="I82" s="49" t="s">
        <v>298</v>
      </c>
      <c r="J82" s="49" t="s">
        <v>299</v>
      </c>
      <c r="K82" s="42" t="n">
        <v>1</v>
      </c>
      <c r="L82" s="42" t="n">
        <v>18</v>
      </c>
      <c r="M82" s="47" t="n">
        <v>1.56</v>
      </c>
      <c r="N82" s="50" t="n">
        <f aca="false">K82*L82*M82</f>
        <v>28.08</v>
      </c>
      <c r="O82" s="31" t="n">
        <f aca="false">IFERROR(INDEX(Исходные!$B$18:$B$29,MATCH(H82,Исходные!$A$18:$A$29,0)),0)</f>
        <v>0.617</v>
      </c>
      <c r="P82" s="51" t="n">
        <f aca="false">N82*O82</f>
        <v>17.32536</v>
      </c>
      <c r="Q82" s="15" t="s">
        <v>303</v>
      </c>
      <c r="R82" s="52" t="s">
        <v>266</v>
      </c>
      <c r="S82" s="15"/>
      <c r="T82" s="15" t="s">
        <v>63</v>
      </c>
      <c r="U82" s="40" t="n">
        <v>0</v>
      </c>
      <c r="V82" s="49" t="s">
        <v>92</v>
      </c>
    </row>
    <row r="83" customFormat="false" ht="23.85" hidden="false" customHeight="false" outlineLevel="0" collapsed="false">
      <c r="A83" s="49" t="n">
        <v>78</v>
      </c>
      <c r="B83" s="15" t="s">
        <v>260</v>
      </c>
      <c r="C83" s="15" t="s">
        <v>63</v>
      </c>
      <c r="D83" s="15" t="s">
        <v>371</v>
      </c>
      <c r="E83" s="15" t="s">
        <v>92</v>
      </c>
      <c r="F83" s="49" t="s">
        <v>355</v>
      </c>
      <c r="G83" s="15" t="s">
        <v>305</v>
      </c>
      <c r="H83" s="42" t="n">
        <v>8</v>
      </c>
      <c r="I83" s="49" t="s">
        <v>298</v>
      </c>
      <c r="J83" s="49" t="s">
        <v>299</v>
      </c>
      <c r="K83" s="42" t="n">
        <v>1</v>
      </c>
      <c r="L83" s="42" t="n">
        <v>18</v>
      </c>
      <c r="M83" s="47" t="n">
        <v>1.76</v>
      </c>
      <c r="N83" s="50" t="n">
        <f aca="false">K83*L83*M83</f>
        <v>31.68</v>
      </c>
      <c r="O83" s="31" t="n">
        <f aca="false">IFERROR(INDEX(Исходные!$B$18:$B$29,MATCH(H83,Исходные!$A$18:$A$29,0)),0)</f>
        <v>0.395</v>
      </c>
      <c r="P83" s="51" t="n">
        <f aca="false">N83*O83</f>
        <v>12.5136</v>
      </c>
      <c r="Q83" s="15" t="s">
        <v>306</v>
      </c>
      <c r="R83" s="52" t="s">
        <v>266</v>
      </c>
      <c r="S83" s="15"/>
      <c r="T83" s="15" t="s">
        <v>63</v>
      </c>
      <c r="U83" s="40" t="n">
        <v>0</v>
      </c>
      <c r="V83" s="49" t="s">
        <v>92</v>
      </c>
    </row>
    <row r="84" customFormat="false" ht="23.85" hidden="false" customHeight="false" outlineLevel="0" collapsed="false">
      <c r="A84" s="49" t="n">
        <v>79</v>
      </c>
      <c r="B84" s="15" t="s">
        <v>260</v>
      </c>
      <c r="C84" s="15" t="s">
        <v>63</v>
      </c>
      <c r="D84" s="15" t="s">
        <v>371</v>
      </c>
      <c r="E84" s="15" t="s">
        <v>92</v>
      </c>
      <c r="F84" s="49" t="s">
        <v>307</v>
      </c>
      <c r="G84" s="15" t="s">
        <v>308</v>
      </c>
      <c r="H84" s="42" t="n">
        <v>8</v>
      </c>
      <c r="I84" s="49" t="s">
        <v>298</v>
      </c>
      <c r="J84" s="49" t="s">
        <v>299</v>
      </c>
      <c r="K84" s="42" t="n">
        <v>1</v>
      </c>
      <c r="L84" s="42" t="n">
        <v>30</v>
      </c>
      <c r="M84" s="47" t="n">
        <v>2.44</v>
      </c>
      <c r="N84" s="50" t="n">
        <f aca="false">K84*L84*M84</f>
        <v>73.2</v>
      </c>
      <c r="O84" s="31" t="n">
        <f aca="false">IFERROR(INDEX(Исходные!$B$18:$B$29,MATCH(H84,Исходные!$A$18:$A$29,0)),0)</f>
        <v>0.395</v>
      </c>
      <c r="P84" s="51" t="n">
        <f aca="false">N84*O84</f>
        <v>28.914</v>
      </c>
      <c r="Q84" s="15" t="s">
        <v>309</v>
      </c>
      <c r="R84" s="52" t="s">
        <v>266</v>
      </c>
      <c r="S84" s="15"/>
      <c r="T84" s="15" t="s">
        <v>63</v>
      </c>
      <c r="U84" s="40" t="n">
        <v>0</v>
      </c>
      <c r="V84" s="49" t="s">
        <v>92</v>
      </c>
    </row>
    <row r="85" customFormat="false" ht="23.85" hidden="false" customHeight="false" outlineLevel="0" collapsed="false">
      <c r="A85" s="49" t="n">
        <v>80</v>
      </c>
      <c r="B85" s="15" t="s">
        <v>260</v>
      </c>
      <c r="C85" s="15" t="s">
        <v>63</v>
      </c>
      <c r="D85" s="15" t="s">
        <v>371</v>
      </c>
      <c r="E85" s="15" t="s">
        <v>92</v>
      </c>
      <c r="F85" s="49" t="s">
        <v>310</v>
      </c>
      <c r="G85" s="15" t="s">
        <v>311</v>
      </c>
      <c r="H85" s="42" t="n">
        <v>8</v>
      </c>
      <c r="I85" s="49" t="s">
        <v>298</v>
      </c>
      <c r="J85" s="49" t="s">
        <v>299</v>
      </c>
      <c r="K85" s="42" t="n">
        <v>1</v>
      </c>
      <c r="L85" s="42" t="n">
        <v>36</v>
      </c>
      <c r="M85" s="47" t="n">
        <v>1.96</v>
      </c>
      <c r="N85" s="50" t="n">
        <f aca="false">K85*L85*M85</f>
        <v>70.56</v>
      </c>
      <c r="O85" s="31" t="n">
        <f aca="false">IFERROR(INDEX(Исходные!$B$18:$B$29,MATCH(H85,Исходные!$A$18:$A$29,0)),0)</f>
        <v>0.395</v>
      </c>
      <c r="P85" s="51" t="n">
        <f aca="false">N85*O85</f>
        <v>27.8712</v>
      </c>
      <c r="Q85" s="15" t="s">
        <v>312</v>
      </c>
      <c r="R85" s="52" t="s">
        <v>266</v>
      </c>
      <c r="S85" s="15"/>
      <c r="T85" s="15" t="s">
        <v>63</v>
      </c>
      <c r="U85" s="40" t="n">
        <v>0</v>
      </c>
      <c r="V85" s="49" t="s">
        <v>92</v>
      </c>
    </row>
    <row r="86" customFormat="false" ht="23.85" hidden="false" customHeight="false" outlineLevel="0" collapsed="false">
      <c r="A86" s="49" t="n">
        <v>81</v>
      </c>
      <c r="B86" s="15" t="s">
        <v>260</v>
      </c>
      <c r="C86" s="15" t="s">
        <v>63</v>
      </c>
      <c r="D86" s="15" t="s">
        <v>371</v>
      </c>
      <c r="E86" s="15" t="s">
        <v>92</v>
      </c>
      <c r="F86" s="49" t="s">
        <v>313</v>
      </c>
      <c r="G86" s="15" t="s">
        <v>383</v>
      </c>
      <c r="H86" s="42" t="n">
        <v>8</v>
      </c>
      <c r="I86" s="49" t="s">
        <v>298</v>
      </c>
      <c r="J86" s="49" t="s">
        <v>299</v>
      </c>
      <c r="K86" s="42" t="n">
        <v>1</v>
      </c>
      <c r="L86" s="42" t="n">
        <v>54</v>
      </c>
      <c r="M86" s="47" t="n">
        <v>0.53</v>
      </c>
      <c r="N86" s="50" t="n">
        <f aca="false">K86*L86*M86</f>
        <v>28.62</v>
      </c>
      <c r="O86" s="31" t="n">
        <f aca="false">IFERROR(INDEX(Исходные!$B$18:$B$29,MATCH(H86,Исходные!$A$18:$A$29,0)),0)</f>
        <v>0.395</v>
      </c>
      <c r="P86" s="51" t="n">
        <f aca="false">N86*O86</f>
        <v>11.3049</v>
      </c>
      <c r="Q86" s="15" t="s">
        <v>315</v>
      </c>
      <c r="R86" s="52" t="s">
        <v>266</v>
      </c>
      <c r="S86" s="15"/>
      <c r="T86" s="15" t="s">
        <v>63</v>
      </c>
      <c r="U86" s="40" t="n">
        <v>0</v>
      </c>
      <c r="V86" s="49" t="s">
        <v>92</v>
      </c>
    </row>
    <row r="87" customFormat="false" ht="15" hidden="false" customHeight="true" outlineLevel="0" collapsed="false">
      <c r="A87" s="2" t="s">
        <v>384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customFormat="false" ht="23.85" hidden="false" customHeight="false" outlineLevel="0" collapsed="false">
      <c r="A88" s="49" t="n">
        <v>82</v>
      </c>
      <c r="B88" s="15" t="s">
        <v>260</v>
      </c>
      <c r="C88" s="15" t="s">
        <v>385</v>
      </c>
      <c r="D88" s="15" t="s">
        <v>386</v>
      </c>
      <c r="E88" s="15" t="s">
        <v>387</v>
      </c>
      <c r="F88" s="49" t="s">
        <v>388</v>
      </c>
      <c r="G88" s="15" t="s">
        <v>389</v>
      </c>
      <c r="H88" s="42" t="n">
        <v>10</v>
      </c>
      <c r="I88" s="49" t="s">
        <v>264</v>
      </c>
      <c r="J88" s="49" t="n">
        <v>200</v>
      </c>
      <c r="K88" s="42" t="n">
        <v>1</v>
      </c>
      <c r="L88" s="42" t="n">
        <v>26</v>
      </c>
      <c r="M88" s="47" t="n">
        <v>27.35</v>
      </c>
      <c r="N88" s="50" t="n">
        <f aca="false">K88*L88*M88</f>
        <v>711.1</v>
      </c>
      <c r="O88" s="31" t="n">
        <f aca="false">IFERROR(INDEX(Исходные!$B$18:$B$29,MATCH(H88,Исходные!$A$18:$A$29,0)),0)</f>
        <v>0.617</v>
      </c>
      <c r="P88" s="51" t="n">
        <f aca="false">N88*O88</f>
        <v>438.7487</v>
      </c>
      <c r="Q88" s="15" t="s">
        <v>390</v>
      </c>
      <c r="R88" s="52" t="s">
        <v>391</v>
      </c>
      <c r="S88" s="15"/>
      <c r="T88" s="15" t="s">
        <v>392</v>
      </c>
      <c r="U88" s="40" t="n">
        <v>0</v>
      </c>
      <c r="V88" s="49" t="s">
        <v>393</v>
      </c>
    </row>
    <row r="89" customFormat="false" ht="35.05" hidden="false" customHeight="false" outlineLevel="0" collapsed="false">
      <c r="A89" s="49" t="n">
        <v>83</v>
      </c>
      <c r="B89" s="15" t="s">
        <v>260</v>
      </c>
      <c r="C89" s="15" t="s">
        <v>385</v>
      </c>
      <c r="D89" s="15" t="s">
        <v>386</v>
      </c>
      <c r="E89" s="15" t="s">
        <v>387</v>
      </c>
      <c r="F89" s="49" t="s">
        <v>394</v>
      </c>
      <c r="G89" s="15" t="s">
        <v>395</v>
      </c>
      <c r="H89" s="42" t="n">
        <v>10</v>
      </c>
      <c r="I89" s="49" t="s">
        <v>264</v>
      </c>
      <c r="J89" s="49" t="s">
        <v>98</v>
      </c>
      <c r="K89" s="42" t="n">
        <v>26</v>
      </c>
      <c r="L89" s="42" t="n">
        <v>2</v>
      </c>
      <c r="M89" s="47" t="n">
        <v>0.4</v>
      </c>
      <c r="N89" s="50" t="n">
        <f aca="false">K89*L89*M89</f>
        <v>20.8</v>
      </c>
      <c r="O89" s="31" t="n">
        <f aca="false">IFERROR(INDEX(Исходные!$B$18:$B$29,MATCH(H89,Исходные!$A$18:$A$29,0)),0)</f>
        <v>0.617</v>
      </c>
      <c r="P89" s="51" t="n">
        <f aca="false">N89*O89</f>
        <v>12.8336</v>
      </c>
      <c r="Q89" s="15" t="s">
        <v>396</v>
      </c>
      <c r="R89" s="52" t="s">
        <v>397</v>
      </c>
      <c r="S89" s="15" t="s">
        <v>398</v>
      </c>
      <c r="T89" s="15" t="s">
        <v>392</v>
      </c>
      <c r="U89" s="40" t="n">
        <v>0</v>
      </c>
      <c r="V89" s="49" t="s">
        <v>393</v>
      </c>
    </row>
    <row r="90" customFormat="false" ht="23.85" hidden="false" customHeight="false" outlineLevel="0" collapsed="false">
      <c r="A90" s="49" t="n">
        <v>84</v>
      </c>
      <c r="B90" s="15" t="s">
        <v>260</v>
      </c>
      <c r="C90" s="15" t="s">
        <v>385</v>
      </c>
      <c r="D90" s="15" t="s">
        <v>386</v>
      </c>
      <c r="E90" s="15" t="s">
        <v>387</v>
      </c>
      <c r="F90" s="49" t="s">
        <v>388</v>
      </c>
      <c r="G90" s="15" t="s">
        <v>389</v>
      </c>
      <c r="H90" s="42" t="n">
        <v>10</v>
      </c>
      <c r="I90" s="49" t="s">
        <v>264</v>
      </c>
      <c r="J90" s="49" t="n">
        <v>200</v>
      </c>
      <c r="K90" s="42" t="n">
        <v>1</v>
      </c>
      <c r="L90" s="42" t="n">
        <v>49</v>
      </c>
      <c r="M90" s="47" t="n">
        <v>25.62</v>
      </c>
      <c r="N90" s="50" t="n">
        <f aca="false">K90*L90*M90</f>
        <v>1255.38</v>
      </c>
      <c r="O90" s="31" t="n">
        <f aca="false">IFERROR(INDEX(Исходные!$B$18:$B$29,MATCH(H90,Исходные!$A$18:$A$29,0)),0)</f>
        <v>0.617</v>
      </c>
      <c r="P90" s="51" t="n">
        <f aca="false">N90*O90</f>
        <v>774.56946</v>
      </c>
      <c r="Q90" s="15" t="s">
        <v>390</v>
      </c>
      <c r="R90" s="52" t="s">
        <v>391</v>
      </c>
      <c r="S90" s="15"/>
      <c r="T90" s="15" t="s">
        <v>392</v>
      </c>
      <c r="U90" s="40" t="n">
        <v>0</v>
      </c>
      <c r="V90" s="49" t="s">
        <v>393</v>
      </c>
    </row>
    <row r="91" customFormat="false" ht="35.05" hidden="false" customHeight="false" outlineLevel="0" collapsed="false">
      <c r="A91" s="49" t="n">
        <v>85</v>
      </c>
      <c r="B91" s="15" t="s">
        <v>260</v>
      </c>
      <c r="C91" s="15" t="s">
        <v>385</v>
      </c>
      <c r="D91" s="15" t="s">
        <v>386</v>
      </c>
      <c r="E91" s="15" t="s">
        <v>387</v>
      </c>
      <c r="F91" s="49" t="s">
        <v>394</v>
      </c>
      <c r="G91" s="15" t="s">
        <v>399</v>
      </c>
      <c r="H91" s="42" t="n">
        <v>10</v>
      </c>
      <c r="I91" s="49" t="s">
        <v>264</v>
      </c>
      <c r="J91" s="49" t="s">
        <v>98</v>
      </c>
      <c r="K91" s="42" t="n">
        <v>49</v>
      </c>
      <c r="L91" s="42" t="n">
        <v>2</v>
      </c>
      <c r="M91" s="47" t="n">
        <v>0.4</v>
      </c>
      <c r="N91" s="50" t="n">
        <f aca="false">K91*L91*M91</f>
        <v>39.2</v>
      </c>
      <c r="O91" s="31" t="n">
        <f aca="false">IFERROR(INDEX(Исходные!$B$18:$B$29,MATCH(H91,Исходные!$A$18:$A$29,0)),0)</f>
        <v>0.617</v>
      </c>
      <c r="P91" s="51" t="n">
        <f aca="false">N91*O91</f>
        <v>24.1864</v>
      </c>
      <c r="Q91" s="15" t="s">
        <v>396</v>
      </c>
      <c r="R91" s="52" t="s">
        <v>397</v>
      </c>
      <c r="S91" s="15" t="s">
        <v>400</v>
      </c>
      <c r="T91" s="15" t="s">
        <v>392</v>
      </c>
      <c r="U91" s="40" t="n">
        <v>0</v>
      </c>
      <c r="V91" s="49" t="s">
        <v>393</v>
      </c>
    </row>
    <row r="92" customFormat="false" ht="23.85" hidden="false" customHeight="false" outlineLevel="0" collapsed="false">
      <c r="A92" s="49" t="n">
        <v>86</v>
      </c>
      <c r="B92" s="15" t="s">
        <v>260</v>
      </c>
      <c r="C92" s="15" t="s">
        <v>385</v>
      </c>
      <c r="D92" s="15" t="s">
        <v>386</v>
      </c>
      <c r="E92" s="15" t="s">
        <v>387</v>
      </c>
      <c r="F92" s="49" t="s">
        <v>388</v>
      </c>
      <c r="G92" s="15" t="s">
        <v>389</v>
      </c>
      <c r="H92" s="42" t="n">
        <v>10</v>
      </c>
      <c r="I92" s="49" t="s">
        <v>264</v>
      </c>
      <c r="J92" s="49" t="n">
        <v>200</v>
      </c>
      <c r="K92" s="42" t="n">
        <v>1</v>
      </c>
      <c r="L92" s="42" t="n">
        <v>1</v>
      </c>
      <c r="M92" s="47" t="n">
        <v>22.2</v>
      </c>
      <c r="N92" s="50" t="n">
        <f aca="false">K92*L92*M92</f>
        <v>22.2</v>
      </c>
      <c r="O92" s="31" t="n">
        <f aca="false">IFERROR(INDEX(Исходные!$B$18:$B$29,MATCH(H92,Исходные!$A$18:$A$29,0)),0)</f>
        <v>0.617</v>
      </c>
      <c r="P92" s="51" t="n">
        <f aca="false">N92*O92</f>
        <v>13.6974</v>
      </c>
      <c r="Q92" s="15" t="s">
        <v>390</v>
      </c>
      <c r="R92" s="52" t="s">
        <v>391</v>
      </c>
      <c r="S92" s="15"/>
      <c r="T92" s="15" t="s">
        <v>392</v>
      </c>
      <c r="U92" s="40" t="n">
        <v>0</v>
      </c>
      <c r="V92" s="49" t="s">
        <v>393</v>
      </c>
    </row>
    <row r="93" customFormat="false" ht="35.05" hidden="false" customHeight="false" outlineLevel="0" collapsed="false">
      <c r="A93" s="49" t="n">
        <v>87</v>
      </c>
      <c r="B93" s="15" t="s">
        <v>260</v>
      </c>
      <c r="C93" s="15" t="s">
        <v>385</v>
      </c>
      <c r="D93" s="15" t="s">
        <v>386</v>
      </c>
      <c r="E93" s="15" t="s">
        <v>387</v>
      </c>
      <c r="F93" s="49" t="s">
        <v>394</v>
      </c>
      <c r="G93" s="15" t="s">
        <v>401</v>
      </c>
      <c r="H93" s="42" t="n">
        <v>10</v>
      </c>
      <c r="I93" s="49" t="s">
        <v>264</v>
      </c>
      <c r="J93" s="49" t="s">
        <v>98</v>
      </c>
      <c r="K93" s="42" t="n">
        <v>1</v>
      </c>
      <c r="L93" s="42" t="n">
        <v>1</v>
      </c>
      <c r="M93" s="47" t="n">
        <v>0.4</v>
      </c>
      <c r="N93" s="50" t="n">
        <f aca="false">K93*L93*M93</f>
        <v>0.4</v>
      </c>
      <c r="O93" s="31" t="n">
        <f aca="false">IFERROR(INDEX(Исходные!$B$18:$B$29,MATCH(H93,Исходные!$A$18:$A$29,0)),0)</f>
        <v>0.617</v>
      </c>
      <c r="P93" s="51" t="n">
        <f aca="false">N93*O93</f>
        <v>0.2468</v>
      </c>
      <c r="Q93" s="15" t="s">
        <v>396</v>
      </c>
      <c r="R93" s="52" t="s">
        <v>397</v>
      </c>
      <c r="S93" s="15" t="s">
        <v>402</v>
      </c>
      <c r="T93" s="15" t="s">
        <v>392</v>
      </c>
      <c r="U93" s="40" t="n">
        <v>0</v>
      </c>
      <c r="V93" s="49" t="s">
        <v>393</v>
      </c>
    </row>
    <row r="94" customFormat="false" ht="23.85" hidden="false" customHeight="false" outlineLevel="0" collapsed="false">
      <c r="A94" s="49" t="n">
        <v>88</v>
      </c>
      <c r="B94" s="15" t="s">
        <v>260</v>
      </c>
      <c r="C94" s="15" t="s">
        <v>385</v>
      </c>
      <c r="D94" s="15" t="s">
        <v>386</v>
      </c>
      <c r="E94" s="15" t="s">
        <v>387</v>
      </c>
      <c r="F94" s="49" t="s">
        <v>388</v>
      </c>
      <c r="G94" s="15" t="s">
        <v>389</v>
      </c>
      <c r="H94" s="42" t="n">
        <v>10</v>
      </c>
      <c r="I94" s="49" t="s">
        <v>264</v>
      </c>
      <c r="J94" s="49" t="n">
        <v>200</v>
      </c>
      <c r="K94" s="42" t="n">
        <v>1</v>
      </c>
      <c r="L94" s="42" t="n">
        <v>16</v>
      </c>
      <c r="M94" s="47" t="n">
        <v>15.62</v>
      </c>
      <c r="N94" s="50" t="n">
        <f aca="false">K94*L94*M94</f>
        <v>249.92</v>
      </c>
      <c r="O94" s="31" t="n">
        <f aca="false">IFERROR(INDEX(Исходные!$B$18:$B$29,MATCH(H94,Исходные!$A$18:$A$29,0)),0)</f>
        <v>0.617</v>
      </c>
      <c r="P94" s="51" t="n">
        <f aca="false">N94*O94</f>
        <v>154.20064</v>
      </c>
      <c r="Q94" s="15" t="s">
        <v>390</v>
      </c>
      <c r="R94" s="52" t="s">
        <v>391</v>
      </c>
      <c r="S94" s="15"/>
      <c r="T94" s="15" t="s">
        <v>392</v>
      </c>
      <c r="U94" s="40" t="n">
        <v>0</v>
      </c>
      <c r="V94" s="49" t="s">
        <v>393</v>
      </c>
    </row>
    <row r="95" customFormat="false" ht="35.05" hidden="false" customHeight="false" outlineLevel="0" collapsed="false">
      <c r="A95" s="49" t="n">
        <v>89</v>
      </c>
      <c r="B95" s="15" t="s">
        <v>260</v>
      </c>
      <c r="C95" s="15" t="s">
        <v>385</v>
      </c>
      <c r="D95" s="15" t="s">
        <v>386</v>
      </c>
      <c r="E95" s="15" t="s">
        <v>387</v>
      </c>
      <c r="F95" s="49" t="s">
        <v>394</v>
      </c>
      <c r="G95" s="15" t="s">
        <v>403</v>
      </c>
      <c r="H95" s="42" t="n">
        <v>10</v>
      </c>
      <c r="I95" s="49" t="s">
        <v>264</v>
      </c>
      <c r="J95" s="49" t="s">
        <v>98</v>
      </c>
      <c r="K95" s="42" t="n">
        <v>16</v>
      </c>
      <c r="L95" s="42" t="n">
        <v>1</v>
      </c>
      <c r="M95" s="47" t="n">
        <v>0.4</v>
      </c>
      <c r="N95" s="50" t="n">
        <f aca="false">K95*L95*M95</f>
        <v>6.4</v>
      </c>
      <c r="O95" s="31" t="n">
        <f aca="false">IFERROR(INDEX(Исходные!$B$18:$B$29,MATCH(H95,Исходные!$A$18:$A$29,0)),0)</f>
        <v>0.617</v>
      </c>
      <c r="P95" s="51" t="n">
        <f aca="false">N95*O95</f>
        <v>3.9488</v>
      </c>
      <c r="Q95" s="15" t="s">
        <v>396</v>
      </c>
      <c r="R95" s="52" t="s">
        <v>397</v>
      </c>
      <c r="S95" s="15" t="s">
        <v>404</v>
      </c>
      <c r="T95" s="15" t="s">
        <v>392</v>
      </c>
      <c r="U95" s="40" t="n">
        <v>0</v>
      </c>
      <c r="V95" s="49" t="s">
        <v>393</v>
      </c>
    </row>
    <row r="96" customFormat="false" ht="23.85" hidden="false" customHeight="false" outlineLevel="0" collapsed="false">
      <c r="A96" s="49" t="n">
        <v>90</v>
      </c>
      <c r="B96" s="15" t="s">
        <v>260</v>
      </c>
      <c r="C96" s="15" t="s">
        <v>385</v>
      </c>
      <c r="D96" s="15" t="s">
        <v>386</v>
      </c>
      <c r="E96" s="15" t="s">
        <v>387</v>
      </c>
      <c r="F96" s="49" t="s">
        <v>388</v>
      </c>
      <c r="G96" s="15" t="s">
        <v>389</v>
      </c>
      <c r="H96" s="42" t="n">
        <v>10</v>
      </c>
      <c r="I96" s="49" t="s">
        <v>264</v>
      </c>
      <c r="J96" s="49" t="n">
        <v>200</v>
      </c>
      <c r="K96" s="42" t="n">
        <v>1</v>
      </c>
      <c r="L96" s="42" t="n">
        <v>12</v>
      </c>
      <c r="M96" s="47" t="n">
        <v>13.9</v>
      </c>
      <c r="N96" s="50" t="n">
        <f aca="false">K96*L96*M96</f>
        <v>166.8</v>
      </c>
      <c r="O96" s="31" t="n">
        <f aca="false">IFERROR(INDEX(Исходные!$B$18:$B$29,MATCH(H96,Исходные!$A$18:$A$29,0)),0)</f>
        <v>0.617</v>
      </c>
      <c r="P96" s="51" t="n">
        <f aca="false">N96*O96</f>
        <v>102.9156</v>
      </c>
      <c r="Q96" s="15" t="s">
        <v>390</v>
      </c>
      <c r="R96" s="52" t="s">
        <v>391</v>
      </c>
      <c r="S96" s="15"/>
      <c r="T96" s="15" t="s">
        <v>392</v>
      </c>
      <c r="U96" s="40" t="n">
        <v>0</v>
      </c>
      <c r="V96" s="49" t="s">
        <v>393</v>
      </c>
    </row>
    <row r="97" customFormat="false" ht="35.05" hidden="false" customHeight="false" outlineLevel="0" collapsed="false">
      <c r="A97" s="49" t="n">
        <v>91</v>
      </c>
      <c r="B97" s="15" t="s">
        <v>260</v>
      </c>
      <c r="C97" s="15" t="s">
        <v>385</v>
      </c>
      <c r="D97" s="15" t="s">
        <v>386</v>
      </c>
      <c r="E97" s="15" t="s">
        <v>387</v>
      </c>
      <c r="F97" s="49" t="s">
        <v>394</v>
      </c>
      <c r="G97" s="15" t="s">
        <v>405</v>
      </c>
      <c r="H97" s="42" t="n">
        <v>10</v>
      </c>
      <c r="I97" s="49" t="s">
        <v>264</v>
      </c>
      <c r="J97" s="49" t="s">
        <v>98</v>
      </c>
      <c r="K97" s="42" t="n">
        <v>12</v>
      </c>
      <c r="L97" s="42" t="n">
        <v>1</v>
      </c>
      <c r="M97" s="47" t="n">
        <v>0.4</v>
      </c>
      <c r="N97" s="50" t="n">
        <f aca="false">K97*L97*M97</f>
        <v>4.8</v>
      </c>
      <c r="O97" s="31" t="n">
        <f aca="false">IFERROR(INDEX(Исходные!$B$18:$B$29,MATCH(H97,Исходные!$A$18:$A$29,0)),0)</f>
        <v>0.617</v>
      </c>
      <c r="P97" s="51" t="n">
        <f aca="false">N97*O97</f>
        <v>2.9616</v>
      </c>
      <c r="Q97" s="15" t="s">
        <v>396</v>
      </c>
      <c r="R97" s="52" t="s">
        <v>397</v>
      </c>
      <c r="S97" s="15" t="s">
        <v>406</v>
      </c>
      <c r="T97" s="15" t="s">
        <v>392</v>
      </c>
      <c r="U97" s="40" t="n">
        <v>0</v>
      </c>
      <c r="V97" s="49" t="s">
        <v>393</v>
      </c>
    </row>
    <row r="98" customFormat="false" ht="23.85" hidden="false" customHeight="false" outlineLevel="0" collapsed="false">
      <c r="A98" s="49" t="n">
        <v>92</v>
      </c>
      <c r="B98" s="15" t="s">
        <v>260</v>
      </c>
      <c r="C98" s="15" t="s">
        <v>385</v>
      </c>
      <c r="D98" s="15" t="s">
        <v>386</v>
      </c>
      <c r="E98" s="15" t="s">
        <v>387</v>
      </c>
      <c r="F98" s="49" t="s">
        <v>388</v>
      </c>
      <c r="G98" s="15" t="s">
        <v>389</v>
      </c>
      <c r="H98" s="42" t="n">
        <v>10</v>
      </c>
      <c r="I98" s="49" t="s">
        <v>264</v>
      </c>
      <c r="J98" s="49" t="n">
        <v>200</v>
      </c>
      <c r="K98" s="42" t="n">
        <v>1</v>
      </c>
      <c r="L98" s="42" t="n">
        <v>1</v>
      </c>
      <c r="M98" s="47" t="n">
        <v>10.8</v>
      </c>
      <c r="N98" s="50" t="n">
        <f aca="false">K98*L98*M98</f>
        <v>10.8</v>
      </c>
      <c r="O98" s="31" t="n">
        <f aca="false">IFERROR(INDEX(Исходные!$B$18:$B$29,MATCH(H98,Исходные!$A$18:$A$29,0)),0)</f>
        <v>0.617</v>
      </c>
      <c r="P98" s="51" t="n">
        <f aca="false">N98*O98</f>
        <v>6.6636</v>
      </c>
      <c r="Q98" s="15" t="s">
        <v>390</v>
      </c>
      <c r="R98" s="52" t="s">
        <v>391</v>
      </c>
      <c r="S98" s="15"/>
      <c r="T98" s="15" t="s">
        <v>392</v>
      </c>
      <c r="U98" s="40" t="n">
        <v>0</v>
      </c>
      <c r="V98" s="49" t="s">
        <v>393</v>
      </c>
    </row>
    <row r="99" customFormat="false" ht="23.85" hidden="false" customHeight="false" outlineLevel="0" collapsed="false">
      <c r="A99" s="49" t="n">
        <v>93</v>
      </c>
      <c r="B99" s="15" t="s">
        <v>260</v>
      </c>
      <c r="C99" s="15" t="s">
        <v>385</v>
      </c>
      <c r="D99" s="15" t="s">
        <v>386</v>
      </c>
      <c r="E99" s="15" t="s">
        <v>387</v>
      </c>
      <c r="F99" s="49" t="s">
        <v>388</v>
      </c>
      <c r="G99" s="15" t="s">
        <v>389</v>
      </c>
      <c r="H99" s="42" t="n">
        <v>10</v>
      </c>
      <c r="I99" s="49" t="s">
        <v>264</v>
      </c>
      <c r="J99" s="49" t="n">
        <v>200</v>
      </c>
      <c r="K99" s="42" t="n">
        <v>1</v>
      </c>
      <c r="L99" s="42" t="n">
        <v>14</v>
      </c>
      <c r="M99" s="47" t="n">
        <v>8</v>
      </c>
      <c r="N99" s="50" t="n">
        <f aca="false">K99*L99*M99</f>
        <v>112</v>
      </c>
      <c r="O99" s="31" t="n">
        <f aca="false">IFERROR(INDEX(Исходные!$B$18:$B$29,MATCH(H99,Исходные!$A$18:$A$29,0)),0)</f>
        <v>0.617</v>
      </c>
      <c r="P99" s="51" t="n">
        <f aca="false">N99*O99</f>
        <v>69.104</v>
      </c>
      <c r="Q99" s="15" t="s">
        <v>390</v>
      </c>
      <c r="R99" s="52" t="s">
        <v>391</v>
      </c>
      <c r="S99" s="15"/>
      <c r="T99" s="15" t="s">
        <v>392</v>
      </c>
      <c r="U99" s="40" t="n">
        <v>0</v>
      </c>
      <c r="V99" s="49" t="s">
        <v>393</v>
      </c>
    </row>
    <row r="100" customFormat="false" ht="23.85" hidden="false" customHeight="false" outlineLevel="0" collapsed="false">
      <c r="A100" s="49" t="n">
        <v>94</v>
      </c>
      <c r="B100" s="15" t="s">
        <v>260</v>
      </c>
      <c r="C100" s="15" t="s">
        <v>385</v>
      </c>
      <c r="D100" s="15" t="s">
        <v>386</v>
      </c>
      <c r="E100" s="15" t="s">
        <v>387</v>
      </c>
      <c r="F100" s="49" t="s">
        <v>388</v>
      </c>
      <c r="G100" s="15" t="s">
        <v>389</v>
      </c>
      <c r="H100" s="42" t="n">
        <v>10</v>
      </c>
      <c r="I100" s="49" t="s">
        <v>264</v>
      </c>
      <c r="J100" s="49" t="n">
        <v>200</v>
      </c>
      <c r="K100" s="42" t="n">
        <v>1</v>
      </c>
      <c r="L100" s="42" t="n">
        <v>9</v>
      </c>
      <c r="M100" s="47" t="n">
        <v>7.95</v>
      </c>
      <c r="N100" s="50" t="n">
        <f aca="false">K100*L100*M100</f>
        <v>71.55</v>
      </c>
      <c r="O100" s="31" t="n">
        <f aca="false">IFERROR(INDEX(Исходные!$B$18:$B$29,MATCH(H100,Исходные!$A$18:$A$29,0)),0)</f>
        <v>0.617</v>
      </c>
      <c r="P100" s="51" t="n">
        <f aca="false">N100*O100</f>
        <v>44.14635</v>
      </c>
      <c r="Q100" s="15" t="s">
        <v>390</v>
      </c>
      <c r="R100" s="52" t="s">
        <v>391</v>
      </c>
      <c r="S100" s="15"/>
      <c r="T100" s="15" t="s">
        <v>392</v>
      </c>
      <c r="U100" s="40" t="n">
        <v>0</v>
      </c>
      <c r="V100" s="49" t="s">
        <v>393</v>
      </c>
    </row>
    <row r="101" customFormat="false" ht="23.85" hidden="false" customHeight="false" outlineLevel="0" collapsed="false">
      <c r="A101" s="49" t="n">
        <v>95</v>
      </c>
      <c r="B101" s="15" t="s">
        <v>260</v>
      </c>
      <c r="C101" s="15" t="s">
        <v>385</v>
      </c>
      <c r="D101" s="15" t="s">
        <v>386</v>
      </c>
      <c r="E101" s="15" t="s">
        <v>387</v>
      </c>
      <c r="F101" s="49" t="s">
        <v>388</v>
      </c>
      <c r="G101" s="15" t="s">
        <v>389</v>
      </c>
      <c r="H101" s="42" t="n">
        <v>10</v>
      </c>
      <c r="I101" s="49" t="s">
        <v>264</v>
      </c>
      <c r="J101" s="49" t="n">
        <v>200</v>
      </c>
      <c r="K101" s="42" t="n">
        <v>1</v>
      </c>
      <c r="L101" s="42" t="n">
        <v>13</v>
      </c>
      <c r="M101" s="47" t="n">
        <v>6.9</v>
      </c>
      <c r="N101" s="50" t="n">
        <f aca="false">K101*L101*M101</f>
        <v>89.7</v>
      </c>
      <c r="O101" s="31" t="n">
        <f aca="false">IFERROR(INDEX(Исходные!$B$18:$B$29,MATCH(H101,Исходные!$A$18:$A$29,0)),0)</f>
        <v>0.617</v>
      </c>
      <c r="P101" s="51" t="n">
        <f aca="false">N101*O101</f>
        <v>55.3449</v>
      </c>
      <c r="Q101" s="15" t="s">
        <v>390</v>
      </c>
      <c r="R101" s="52" t="s">
        <v>391</v>
      </c>
      <c r="S101" s="15"/>
      <c r="T101" s="15" t="s">
        <v>392</v>
      </c>
      <c r="U101" s="40" t="n">
        <v>0</v>
      </c>
      <c r="V101" s="49" t="s">
        <v>393</v>
      </c>
    </row>
    <row r="102" customFormat="false" ht="23.85" hidden="false" customHeight="false" outlineLevel="0" collapsed="false">
      <c r="A102" s="49" t="n">
        <v>96</v>
      </c>
      <c r="B102" s="15" t="s">
        <v>260</v>
      </c>
      <c r="C102" s="15" t="s">
        <v>385</v>
      </c>
      <c r="D102" s="15" t="s">
        <v>386</v>
      </c>
      <c r="E102" s="15" t="s">
        <v>387</v>
      </c>
      <c r="F102" s="49" t="s">
        <v>388</v>
      </c>
      <c r="G102" s="15" t="s">
        <v>389</v>
      </c>
      <c r="H102" s="42" t="n">
        <v>10</v>
      </c>
      <c r="I102" s="49" t="s">
        <v>264</v>
      </c>
      <c r="J102" s="49" t="n">
        <v>200</v>
      </c>
      <c r="K102" s="42" t="n">
        <v>1</v>
      </c>
      <c r="L102" s="42" t="n">
        <v>9</v>
      </c>
      <c r="M102" s="47" t="n">
        <v>3.78</v>
      </c>
      <c r="N102" s="50" t="n">
        <f aca="false">K102*L102*M102</f>
        <v>34.02</v>
      </c>
      <c r="O102" s="31" t="n">
        <f aca="false">IFERROR(INDEX(Исходные!$B$18:$B$29,MATCH(H102,Исходные!$A$18:$A$29,0)),0)</f>
        <v>0.617</v>
      </c>
      <c r="P102" s="51" t="n">
        <f aca="false">N102*O102</f>
        <v>20.99034</v>
      </c>
      <c r="Q102" s="15" t="s">
        <v>390</v>
      </c>
      <c r="R102" s="52" t="s">
        <v>391</v>
      </c>
      <c r="S102" s="15"/>
      <c r="T102" s="15" t="s">
        <v>392</v>
      </c>
      <c r="U102" s="40" t="n">
        <v>0</v>
      </c>
      <c r="V102" s="49" t="s">
        <v>393</v>
      </c>
    </row>
    <row r="103" customFormat="false" ht="23.85" hidden="false" customHeight="false" outlineLevel="0" collapsed="false">
      <c r="A103" s="49" t="n">
        <v>97</v>
      </c>
      <c r="B103" s="15" t="s">
        <v>260</v>
      </c>
      <c r="C103" s="15" t="s">
        <v>385</v>
      </c>
      <c r="D103" s="15" t="s">
        <v>386</v>
      </c>
      <c r="E103" s="15" t="s">
        <v>387</v>
      </c>
      <c r="F103" s="49" t="s">
        <v>407</v>
      </c>
      <c r="G103" s="15" t="s">
        <v>408</v>
      </c>
      <c r="H103" s="42" t="n">
        <v>10</v>
      </c>
      <c r="I103" s="49" t="s">
        <v>264</v>
      </c>
      <c r="J103" s="49" t="n">
        <v>200</v>
      </c>
      <c r="K103" s="42" t="n">
        <v>1</v>
      </c>
      <c r="L103" s="42" t="n">
        <v>40</v>
      </c>
      <c r="M103" s="47" t="n">
        <v>22.35</v>
      </c>
      <c r="N103" s="50" t="n">
        <f aca="false">K103*L103*M103</f>
        <v>894</v>
      </c>
      <c r="O103" s="31" t="n">
        <f aca="false">IFERROR(INDEX(Исходные!$B$18:$B$29,MATCH(H103,Исходные!$A$18:$A$29,0)),0)</f>
        <v>0.617</v>
      </c>
      <c r="P103" s="51" t="n">
        <f aca="false">N103*O103</f>
        <v>551.598</v>
      </c>
      <c r="Q103" s="15" t="s">
        <v>390</v>
      </c>
      <c r="R103" s="52" t="s">
        <v>391</v>
      </c>
      <c r="S103" s="15"/>
      <c r="T103" s="15" t="s">
        <v>392</v>
      </c>
      <c r="U103" s="40" t="n">
        <v>0</v>
      </c>
      <c r="V103" s="49" t="s">
        <v>393</v>
      </c>
    </row>
    <row r="104" customFormat="false" ht="35.05" hidden="false" customHeight="false" outlineLevel="0" collapsed="false">
      <c r="A104" s="49" t="n">
        <v>98</v>
      </c>
      <c r="B104" s="15" t="s">
        <v>260</v>
      </c>
      <c r="C104" s="15" t="s">
        <v>385</v>
      </c>
      <c r="D104" s="15" t="s">
        <v>386</v>
      </c>
      <c r="E104" s="15" t="s">
        <v>387</v>
      </c>
      <c r="F104" s="49" t="s">
        <v>409</v>
      </c>
      <c r="G104" s="15" t="s">
        <v>410</v>
      </c>
      <c r="H104" s="42" t="n">
        <v>10</v>
      </c>
      <c r="I104" s="49" t="s">
        <v>264</v>
      </c>
      <c r="J104" s="49" t="s">
        <v>98</v>
      </c>
      <c r="K104" s="42" t="n">
        <v>40</v>
      </c>
      <c r="L104" s="42" t="n">
        <v>1</v>
      </c>
      <c r="M104" s="47" t="n">
        <v>0.4</v>
      </c>
      <c r="N104" s="50" t="n">
        <f aca="false">K104*L104*M104</f>
        <v>16</v>
      </c>
      <c r="O104" s="31" t="n">
        <f aca="false">IFERROR(INDEX(Исходные!$B$18:$B$29,MATCH(H104,Исходные!$A$18:$A$29,0)),0)</f>
        <v>0.617</v>
      </c>
      <c r="P104" s="51" t="n">
        <f aca="false">N104*O104</f>
        <v>9.872</v>
      </c>
      <c r="Q104" s="15" t="s">
        <v>396</v>
      </c>
      <c r="R104" s="52" t="s">
        <v>397</v>
      </c>
      <c r="S104" s="15" t="s">
        <v>411</v>
      </c>
      <c r="T104" s="15" t="s">
        <v>392</v>
      </c>
      <c r="U104" s="40" t="n">
        <v>0</v>
      </c>
      <c r="V104" s="49" t="s">
        <v>393</v>
      </c>
    </row>
    <row r="105" customFormat="false" ht="23.85" hidden="false" customHeight="false" outlineLevel="0" collapsed="false">
      <c r="A105" s="49" t="n">
        <v>99</v>
      </c>
      <c r="B105" s="15" t="s">
        <v>260</v>
      </c>
      <c r="C105" s="15" t="s">
        <v>385</v>
      </c>
      <c r="D105" s="15" t="s">
        <v>386</v>
      </c>
      <c r="E105" s="15" t="s">
        <v>387</v>
      </c>
      <c r="F105" s="49" t="s">
        <v>407</v>
      </c>
      <c r="G105" s="15" t="s">
        <v>408</v>
      </c>
      <c r="H105" s="42" t="n">
        <v>10</v>
      </c>
      <c r="I105" s="49" t="s">
        <v>264</v>
      </c>
      <c r="J105" s="49" t="n">
        <v>200</v>
      </c>
      <c r="K105" s="42" t="n">
        <v>1</v>
      </c>
      <c r="L105" s="42" t="n">
        <v>39</v>
      </c>
      <c r="M105" s="47" t="n">
        <v>20.62</v>
      </c>
      <c r="N105" s="50" t="n">
        <f aca="false">K105*L105*M105</f>
        <v>804.18</v>
      </c>
      <c r="O105" s="31" t="n">
        <f aca="false">IFERROR(INDEX(Исходные!$B$18:$B$29,MATCH(H105,Исходные!$A$18:$A$29,0)),0)</f>
        <v>0.617</v>
      </c>
      <c r="P105" s="51" t="n">
        <f aca="false">N105*O105</f>
        <v>496.17906</v>
      </c>
      <c r="Q105" s="15" t="s">
        <v>390</v>
      </c>
      <c r="R105" s="52" t="s">
        <v>391</v>
      </c>
      <c r="S105" s="15"/>
      <c r="T105" s="15" t="s">
        <v>392</v>
      </c>
      <c r="U105" s="40" t="n">
        <v>0</v>
      </c>
      <c r="V105" s="49" t="s">
        <v>393</v>
      </c>
    </row>
    <row r="106" customFormat="false" ht="35.05" hidden="false" customHeight="false" outlineLevel="0" collapsed="false">
      <c r="A106" s="49" t="n">
        <v>100</v>
      </c>
      <c r="B106" s="15" t="s">
        <v>260</v>
      </c>
      <c r="C106" s="15" t="s">
        <v>385</v>
      </c>
      <c r="D106" s="15" t="s">
        <v>386</v>
      </c>
      <c r="E106" s="15" t="s">
        <v>387</v>
      </c>
      <c r="F106" s="49" t="s">
        <v>409</v>
      </c>
      <c r="G106" s="15" t="s">
        <v>412</v>
      </c>
      <c r="H106" s="42" t="n">
        <v>10</v>
      </c>
      <c r="I106" s="49" t="s">
        <v>264</v>
      </c>
      <c r="J106" s="49" t="s">
        <v>98</v>
      </c>
      <c r="K106" s="42" t="n">
        <v>39</v>
      </c>
      <c r="L106" s="42" t="n">
        <v>1</v>
      </c>
      <c r="M106" s="47" t="n">
        <v>0.4</v>
      </c>
      <c r="N106" s="50" t="n">
        <f aca="false">K106*L106*M106</f>
        <v>15.6</v>
      </c>
      <c r="O106" s="31" t="n">
        <f aca="false">IFERROR(INDEX(Исходные!$B$18:$B$29,MATCH(H106,Исходные!$A$18:$A$29,0)),0)</f>
        <v>0.617</v>
      </c>
      <c r="P106" s="51" t="n">
        <f aca="false">N106*O106</f>
        <v>9.6252</v>
      </c>
      <c r="Q106" s="15" t="s">
        <v>396</v>
      </c>
      <c r="R106" s="52" t="s">
        <v>397</v>
      </c>
      <c r="S106" s="15" t="s">
        <v>413</v>
      </c>
      <c r="T106" s="15" t="s">
        <v>392</v>
      </c>
      <c r="U106" s="40" t="n">
        <v>0</v>
      </c>
      <c r="V106" s="49" t="s">
        <v>393</v>
      </c>
    </row>
    <row r="107" customFormat="false" ht="23.85" hidden="false" customHeight="false" outlineLevel="0" collapsed="false">
      <c r="A107" s="49" t="n">
        <v>101</v>
      </c>
      <c r="B107" s="15" t="s">
        <v>260</v>
      </c>
      <c r="C107" s="15" t="s">
        <v>385</v>
      </c>
      <c r="D107" s="15" t="s">
        <v>386</v>
      </c>
      <c r="E107" s="15" t="s">
        <v>387</v>
      </c>
      <c r="F107" s="49" t="s">
        <v>407</v>
      </c>
      <c r="G107" s="15" t="s">
        <v>408</v>
      </c>
      <c r="H107" s="42" t="n">
        <v>10</v>
      </c>
      <c r="I107" s="49" t="s">
        <v>264</v>
      </c>
      <c r="J107" s="49" t="n">
        <v>200</v>
      </c>
      <c r="K107" s="42" t="n">
        <v>1</v>
      </c>
      <c r="L107" s="42" t="n">
        <v>26</v>
      </c>
      <c r="M107" s="47" t="n">
        <v>20.48</v>
      </c>
      <c r="N107" s="50" t="n">
        <f aca="false">K107*L107*M107</f>
        <v>532.48</v>
      </c>
      <c r="O107" s="31" t="n">
        <f aca="false">IFERROR(INDEX(Исходные!$B$18:$B$29,MATCH(H107,Исходные!$A$18:$A$29,0)),0)</f>
        <v>0.617</v>
      </c>
      <c r="P107" s="51" t="n">
        <f aca="false">N107*O107</f>
        <v>328.54016</v>
      </c>
      <c r="Q107" s="15" t="s">
        <v>390</v>
      </c>
      <c r="R107" s="52" t="s">
        <v>391</v>
      </c>
      <c r="S107" s="15"/>
      <c r="T107" s="15" t="s">
        <v>392</v>
      </c>
      <c r="U107" s="40" t="n">
        <v>0</v>
      </c>
      <c r="V107" s="49" t="s">
        <v>393</v>
      </c>
    </row>
    <row r="108" customFormat="false" ht="35.05" hidden="false" customHeight="false" outlineLevel="0" collapsed="false">
      <c r="A108" s="49" t="n">
        <v>102</v>
      </c>
      <c r="B108" s="15" t="s">
        <v>260</v>
      </c>
      <c r="C108" s="15" t="s">
        <v>385</v>
      </c>
      <c r="D108" s="15" t="s">
        <v>386</v>
      </c>
      <c r="E108" s="15" t="s">
        <v>387</v>
      </c>
      <c r="F108" s="49" t="s">
        <v>409</v>
      </c>
      <c r="G108" s="15" t="s">
        <v>414</v>
      </c>
      <c r="H108" s="42" t="n">
        <v>10</v>
      </c>
      <c r="I108" s="49" t="s">
        <v>264</v>
      </c>
      <c r="J108" s="49" t="s">
        <v>98</v>
      </c>
      <c r="K108" s="42" t="n">
        <v>26</v>
      </c>
      <c r="L108" s="42" t="n">
        <v>1</v>
      </c>
      <c r="M108" s="47" t="n">
        <v>0.4</v>
      </c>
      <c r="N108" s="50" t="n">
        <f aca="false">K108*L108*M108</f>
        <v>10.4</v>
      </c>
      <c r="O108" s="31" t="n">
        <f aca="false">IFERROR(INDEX(Исходные!$B$18:$B$29,MATCH(H108,Исходные!$A$18:$A$29,0)),0)</f>
        <v>0.617</v>
      </c>
      <c r="P108" s="51" t="n">
        <f aca="false">N108*O108</f>
        <v>6.4168</v>
      </c>
      <c r="Q108" s="15" t="s">
        <v>396</v>
      </c>
      <c r="R108" s="52" t="s">
        <v>397</v>
      </c>
      <c r="S108" s="15" t="s">
        <v>415</v>
      </c>
      <c r="T108" s="15" t="s">
        <v>392</v>
      </c>
      <c r="U108" s="40" t="n">
        <v>0</v>
      </c>
      <c r="V108" s="49" t="s">
        <v>393</v>
      </c>
    </row>
    <row r="109" customFormat="false" ht="23.85" hidden="false" customHeight="false" outlineLevel="0" collapsed="false">
      <c r="A109" s="49" t="n">
        <v>103</v>
      </c>
      <c r="B109" s="15" t="s">
        <v>260</v>
      </c>
      <c r="C109" s="15" t="s">
        <v>385</v>
      </c>
      <c r="D109" s="15" t="s">
        <v>386</v>
      </c>
      <c r="E109" s="15" t="s">
        <v>387</v>
      </c>
      <c r="F109" s="49" t="s">
        <v>407</v>
      </c>
      <c r="G109" s="15" t="s">
        <v>408</v>
      </c>
      <c r="H109" s="42" t="n">
        <v>10</v>
      </c>
      <c r="I109" s="49" t="s">
        <v>264</v>
      </c>
      <c r="J109" s="49" t="n">
        <v>200</v>
      </c>
      <c r="K109" s="42" t="n">
        <v>1</v>
      </c>
      <c r="L109" s="42" t="n">
        <v>2</v>
      </c>
      <c r="M109" s="47" t="n">
        <v>19.01</v>
      </c>
      <c r="N109" s="50" t="n">
        <f aca="false">K109*L109*M109</f>
        <v>38.02</v>
      </c>
      <c r="O109" s="31" t="n">
        <f aca="false">IFERROR(INDEX(Исходные!$B$18:$B$29,MATCH(H109,Исходные!$A$18:$A$29,0)),0)</f>
        <v>0.617</v>
      </c>
      <c r="P109" s="51" t="n">
        <f aca="false">N109*O109</f>
        <v>23.45834</v>
      </c>
      <c r="Q109" s="15" t="s">
        <v>390</v>
      </c>
      <c r="R109" s="52" t="s">
        <v>391</v>
      </c>
      <c r="S109" s="15"/>
      <c r="T109" s="15" t="s">
        <v>392</v>
      </c>
      <c r="U109" s="40" t="n">
        <v>0</v>
      </c>
      <c r="V109" s="49" t="s">
        <v>393</v>
      </c>
    </row>
    <row r="110" customFormat="false" ht="35.05" hidden="false" customHeight="false" outlineLevel="0" collapsed="false">
      <c r="A110" s="49" t="n">
        <v>104</v>
      </c>
      <c r="B110" s="15" t="s">
        <v>260</v>
      </c>
      <c r="C110" s="15" t="s">
        <v>385</v>
      </c>
      <c r="D110" s="15" t="s">
        <v>386</v>
      </c>
      <c r="E110" s="15" t="s">
        <v>387</v>
      </c>
      <c r="F110" s="49" t="s">
        <v>409</v>
      </c>
      <c r="G110" s="15" t="s">
        <v>416</v>
      </c>
      <c r="H110" s="42" t="n">
        <v>10</v>
      </c>
      <c r="I110" s="49" t="s">
        <v>264</v>
      </c>
      <c r="J110" s="49" t="s">
        <v>98</v>
      </c>
      <c r="K110" s="42" t="n">
        <v>2</v>
      </c>
      <c r="L110" s="42" t="n">
        <v>1</v>
      </c>
      <c r="M110" s="47" t="n">
        <v>0.4</v>
      </c>
      <c r="N110" s="50" t="n">
        <f aca="false">K110*L110*M110</f>
        <v>0.8</v>
      </c>
      <c r="O110" s="31" t="n">
        <f aca="false">IFERROR(INDEX(Исходные!$B$18:$B$29,MATCH(H110,Исходные!$A$18:$A$29,0)),0)</f>
        <v>0.617</v>
      </c>
      <c r="P110" s="51" t="n">
        <f aca="false">N110*O110</f>
        <v>0.4936</v>
      </c>
      <c r="Q110" s="15" t="s">
        <v>396</v>
      </c>
      <c r="R110" s="52" t="s">
        <v>397</v>
      </c>
      <c r="S110" s="15" t="s">
        <v>417</v>
      </c>
      <c r="T110" s="15" t="s">
        <v>392</v>
      </c>
      <c r="U110" s="40" t="n">
        <v>0</v>
      </c>
      <c r="V110" s="49" t="s">
        <v>393</v>
      </c>
    </row>
    <row r="111" customFormat="false" ht="23.85" hidden="false" customHeight="false" outlineLevel="0" collapsed="false">
      <c r="A111" s="49" t="n">
        <v>105</v>
      </c>
      <c r="B111" s="15" t="s">
        <v>260</v>
      </c>
      <c r="C111" s="15" t="s">
        <v>385</v>
      </c>
      <c r="D111" s="15" t="s">
        <v>386</v>
      </c>
      <c r="E111" s="15" t="s">
        <v>387</v>
      </c>
      <c r="F111" s="49" t="s">
        <v>407</v>
      </c>
      <c r="G111" s="15" t="s">
        <v>408</v>
      </c>
      <c r="H111" s="42" t="n">
        <v>10</v>
      </c>
      <c r="I111" s="49" t="s">
        <v>264</v>
      </c>
      <c r="J111" s="49" t="n">
        <v>200</v>
      </c>
      <c r="K111" s="42" t="n">
        <v>1</v>
      </c>
      <c r="L111" s="42" t="n">
        <v>5</v>
      </c>
      <c r="M111" s="47" t="n">
        <v>17.28</v>
      </c>
      <c r="N111" s="50" t="n">
        <f aca="false">K111*L111*M111</f>
        <v>86.4</v>
      </c>
      <c r="O111" s="31" t="n">
        <f aca="false">IFERROR(INDEX(Исходные!$B$18:$B$29,MATCH(H111,Исходные!$A$18:$A$29,0)),0)</f>
        <v>0.617</v>
      </c>
      <c r="P111" s="51" t="n">
        <f aca="false">N111*O111</f>
        <v>53.3088</v>
      </c>
      <c r="Q111" s="15" t="s">
        <v>390</v>
      </c>
      <c r="R111" s="52" t="s">
        <v>391</v>
      </c>
      <c r="S111" s="15"/>
      <c r="T111" s="15" t="s">
        <v>392</v>
      </c>
      <c r="U111" s="40" t="n">
        <v>0</v>
      </c>
      <c r="V111" s="49" t="s">
        <v>393</v>
      </c>
    </row>
    <row r="112" customFormat="false" ht="35.05" hidden="false" customHeight="false" outlineLevel="0" collapsed="false">
      <c r="A112" s="49" t="n">
        <v>106</v>
      </c>
      <c r="B112" s="15" t="s">
        <v>260</v>
      </c>
      <c r="C112" s="15" t="s">
        <v>385</v>
      </c>
      <c r="D112" s="15" t="s">
        <v>386</v>
      </c>
      <c r="E112" s="15" t="s">
        <v>387</v>
      </c>
      <c r="F112" s="49" t="s">
        <v>409</v>
      </c>
      <c r="G112" s="15" t="s">
        <v>418</v>
      </c>
      <c r="H112" s="42" t="n">
        <v>10</v>
      </c>
      <c r="I112" s="49" t="s">
        <v>264</v>
      </c>
      <c r="J112" s="49" t="s">
        <v>98</v>
      </c>
      <c r="K112" s="42" t="n">
        <v>5</v>
      </c>
      <c r="L112" s="42" t="n">
        <v>1</v>
      </c>
      <c r="M112" s="47" t="n">
        <v>0.4</v>
      </c>
      <c r="N112" s="50" t="n">
        <f aca="false">K112*L112*M112</f>
        <v>2</v>
      </c>
      <c r="O112" s="31" t="n">
        <f aca="false">IFERROR(INDEX(Исходные!$B$18:$B$29,MATCH(H112,Исходные!$A$18:$A$29,0)),0)</f>
        <v>0.617</v>
      </c>
      <c r="P112" s="51" t="n">
        <f aca="false">N112*O112</f>
        <v>1.234</v>
      </c>
      <c r="Q112" s="15" t="s">
        <v>396</v>
      </c>
      <c r="R112" s="52" t="s">
        <v>397</v>
      </c>
      <c r="S112" s="15" t="s">
        <v>419</v>
      </c>
      <c r="T112" s="15" t="s">
        <v>392</v>
      </c>
      <c r="U112" s="40" t="n">
        <v>0</v>
      </c>
      <c r="V112" s="49" t="s">
        <v>393</v>
      </c>
    </row>
    <row r="113" customFormat="false" ht="23.85" hidden="false" customHeight="false" outlineLevel="0" collapsed="false">
      <c r="A113" s="49" t="n">
        <v>107</v>
      </c>
      <c r="B113" s="15" t="s">
        <v>260</v>
      </c>
      <c r="C113" s="15" t="s">
        <v>385</v>
      </c>
      <c r="D113" s="15" t="s">
        <v>386</v>
      </c>
      <c r="E113" s="15" t="s">
        <v>387</v>
      </c>
      <c r="F113" s="49" t="s">
        <v>407</v>
      </c>
      <c r="G113" s="15" t="s">
        <v>408</v>
      </c>
      <c r="H113" s="42" t="n">
        <v>10</v>
      </c>
      <c r="I113" s="49" t="s">
        <v>264</v>
      </c>
      <c r="J113" s="49" t="n">
        <v>200</v>
      </c>
      <c r="K113" s="42" t="n">
        <v>1</v>
      </c>
      <c r="L113" s="42" t="n">
        <v>17</v>
      </c>
      <c r="M113" s="47" t="n">
        <v>15.6</v>
      </c>
      <c r="N113" s="50" t="n">
        <f aca="false">K113*L113*M113</f>
        <v>265.2</v>
      </c>
      <c r="O113" s="31" t="n">
        <f aca="false">IFERROR(INDEX(Исходные!$B$18:$B$29,MATCH(H113,Исходные!$A$18:$A$29,0)),0)</f>
        <v>0.617</v>
      </c>
      <c r="P113" s="51" t="n">
        <f aca="false">N113*O113</f>
        <v>163.6284</v>
      </c>
      <c r="Q113" s="15" t="s">
        <v>390</v>
      </c>
      <c r="R113" s="52" t="s">
        <v>391</v>
      </c>
      <c r="S113" s="15"/>
      <c r="T113" s="15" t="s">
        <v>392</v>
      </c>
      <c r="U113" s="40" t="n">
        <v>0</v>
      </c>
      <c r="V113" s="49" t="s">
        <v>393</v>
      </c>
    </row>
    <row r="114" customFormat="false" ht="35.05" hidden="false" customHeight="false" outlineLevel="0" collapsed="false">
      <c r="A114" s="49" t="n">
        <v>108</v>
      </c>
      <c r="B114" s="15" t="s">
        <v>260</v>
      </c>
      <c r="C114" s="15" t="s">
        <v>385</v>
      </c>
      <c r="D114" s="15" t="s">
        <v>386</v>
      </c>
      <c r="E114" s="15" t="s">
        <v>387</v>
      </c>
      <c r="F114" s="49" t="s">
        <v>409</v>
      </c>
      <c r="G114" s="15" t="s">
        <v>420</v>
      </c>
      <c r="H114" s="42" t="n">
        <v>10</v>
      </c>
      <c r="I114" s="49" t="s">
        <v>264</v>
      </c>
      <c r="J114" s="49" t="s">
        <v>98</v>
      </c>
      <c r="K114" s="42" t="n">
        <v>17</v>
      </c>
      <c r="L114" s="42" t="n">
        <v>1</v>
      </c>
      <c r="M114" s="47" t="n">
        <v>0.4</v>
      </c>
      <c r="N114" s="50" t="n">
        <f aca="false">K114*L114*M114</f>
        <v>6.8</v>
      </c>
      <c r="O114" s="31" t="n">
        <f aca="false">IFERROR(INDEX(Исходные!$B$18:$B$29,MATCH(H114,Исходные!$A$18:$A$29,0)),0)</f>
        <v>0.617</v>
      </c>
      <c r="P114" s="51" t="n">
        <f aca="false">N114*O114</f>
        <v>4.1956</v>
      </c>
      <c r="Q114" s="15" t="s">
        <v>396</v>
      </c>
      <c r="R114" s="52" t="s">
        <v>397</v>
      </c>
      <c r="S114" s="15" t="s">
        <v>421</v>
      </c>
      <c r="T114" s="15" t="s">
        <v>392</v>
      </c>
      <c r="U114" s="40" t="n">
        <v>0</v>
      </c>
      <c r="V114" s="49" t="s">
        <v>393</v>
      </c>
    </row>
    <row r="115" customFormat="false" ht="23.85" hidden="false" customHeight="false" outlineLevel="0" collapsed="false">
      <c r="A115" s="49" t="n">
        <v>109</v>
      </c>
      <c r="B115" s="15" t="s">
        <v>260</v>
      </c>
      <c r="C115" s="15" t="s">
        <v>385</v>
      </c>
      <c r="D115" s="15" t="s">
        <v>386</v>
      </c>
      <c r="E115" s="15" t="s">
        <v>387</v>
      </c>
      <c r="F115" s="49" t="s">
        <v>407</v>
      </c>
      <c r="G115" s="15" t="s">
        <v>408</v>
      </c>
      <c r="H115" s="42" t="n">
        <v>10</v>
      </c>
      <c r="I115" s="49" t="s">
        <v>264</v>
      </c>
      <c r="J115" s="49" t="n">
        <v>200</v>
      </c>
      <c r="K115" s="42" t="n">
        <v>1</v>
      </c>
      <c r="L115" s="42" t="n">
        <v>18</v>
      </c>
      <c r="M115" s="47" t="n">
        <v>4.15</v>
      </c>
      <c r="N115" s="50" t="n">
        <f aca="false">K115*L115*M115</f>
        <v>74.7</v>
      </c>
      <c r="O115" s="31" t="n">
        <f aca="false">IFERROR(INDEX(Исходные!$B$18:$B$29,MATCH(H115,Исходные!$A$18:$A$29,0)),0)</f>
        <v>0.617</v>
      </c>
      <c r="P115" s="51" t="n">
        <f aca="false">N115*O115</f>
        <v>46.0899</v>
      </c>
      <c r="Q115" s="15" t="s">
        <v>390</v>
      </c>
      <c r="R115" s="52" t="s">
        <v>391</v>
      </c>
      <c r="S115" s="15"/>
      <c r="T115" s="15" t="s">
        <v>392</v>
      </c>
      <c r="U115" s="40" t="n">
        <v>0</v>
      </c>
      <c r="V115" s="49" t="s">
        <v>393</v>
      </c>
    </row>
    <row r="116" customFormat="false" ht="23.85" hidden="false" customHeight="false" outlineLevel="0" collapsed="false">
      <c r="A116" s="49" t="n">
        <v>110</v>
      </c>
      <c r="B116" s="15" t="s">
        <v>260</v>
      </c>
      <c r="C116" s="15" t="s">
        <v>385</v>
      </c>
      <c r="D116" s="15" t="s">
        <v>386</v>
      </c>
      <c r="E116" s="15" t="s">
        <v>387</v>
      </c>
      <c r="F116" s="49" t="s">
        <v>407</v>
      </c>
      <c r="G116" s="15" t="s">
        <v>408</v>
      </c>
      <c r="H116" s="42" t="n">
        <v>10</v>
      </c>
      <c r="I116" s="49" t="s">
        <v>264</v>
      </c>
      <c r="J116" s="49" t="n">
        <v>200</v>
      </c>
      <c r="K116" s="42" t="n">
        <v>1</v>
      </c>
      <c r="L116" s="42" t="n">
        <v>24</v>
      </c>
      <c r="M116" s="47" t="n">
        <v>0.62</v>
      </c>
      <c r="N116" s="50" t="n">
        <f aca="false">K116*L116*M116</f>
        <v>14.88</v>
      </c>
      <c r="O116" s="31" t="n">
        <f aca="false">IFERROR(INDEX(Исходные!$B$18:$B$29,MATCH(H116,Исходные!$A$18:$A$29,0)),0)</f>
        <v>0.617</v>
      </c>
      <c r="P116" s="51" t="n">
        <f aca="false">N116*O116</f>
        <v>9.18096</v>
      </c>
      <c r="Q116" s="15" t="s">
        <v>390</v>
      </c>
      <c r="R116" s="52" t="s">
        <v>391</v>
      </c>
      <c r="S116" s="15"/>
      <c r="T116" s="15" t="s">
        <v>392</v>
      </c>
      <c r="U116" s="40" t="n">
        <v>0</v>
      </c>
      <c r="V116" s="49" t="s">
        <v>393</v>
      </c>
    </row>
    <row r="117" customFormat="false" ht="23.85" hidden="false" customHeight="false" outlineLevel="0" collapsed="false">
      <c r="A117" s="49" t="n">
        <v>111</v>
      </c>
      <c r="B117" s="15" t="s">
        <v>260</v>
      </c>
      <c r="C117" s="15" t="s">
        <v>385</v>
      </c>
      <c r="D117" s="15" t="s">
        <v>386</v>
      </c>
      <c r="E117" s="15" t="s">
        <v>387</v>
      </c>
      <c r="F117" s="49" t="s">
        <v>422</v>
      </c>
      <c r="G117" s="15" t="s">
        <v>423</v>
      </c>
      <c r="H117" s="42" t="n">
        <v>10</v>
      </c>
      <c r="I117" s="49" t="s">
        <v>264</v>
      </c>
      <c r="J117" s="49" t="n">
        <v>200</v>
      </c>
      <c r="K117" s="42" t="n">
        <v>1</v>
      </c>
      <c r="L117" s="42" t="n">
        <v>26</v>
      </c>
      <c r="M117" s="47" t="n">
        <v>27.35</v>
      </c>
      <c r="N117" s="50" t="n">
        <f aca="false">K117*L117*M117</f>
        <v>711.1</v>
      </c>
      <c r="O117" s="31" t="n">
        <f aca="false">IFERROR(INDEX(Исходные!$B$18:$B$29,MATCH(H117,Исходные!$A$18:$A$29,0)),0)</f>
        <v>0.617</v>
      </c>
      <c r="P117" s="51" t="n">
        <f aca="false">N117*O117</f>
        <v>438.7487</v>
      </c>
      <c r="Q117" s="15" t="s">
        <v>390</v>
      </c>
      <c r="R117" s="52" t="s">
        <v>391</v>
      </c>
      <c r="S117" s="15"/>
      <c r="T117" s="15" t="s">
        <v>392</v>
      </c>
      <c r="U117" s="40" t="n">
        <v>0</v>
      </c>
      <c r="V117" s="49" t="s">
        <v>393</v>
      </c>
    </row>
    <row r="118" customFormat="false" ht="35.05" hidden="false" customHeight="false" outlineLevel="0" collapsed="false">
      <c r="A118" s="49" t="n">
        <v>112</v>
      </c>
      <c r="B118" s="15" t="s">
        <v>260</v>
      </c>
      <c r="C118" s="15" t="s">
        <v>385</v>
      </c>
      <c r="D118" s="15" t="s">
        <v>386</v>
      </c>
      <c r="E118" s="15" t="s">
        <v>387</v>
      </c>
      <c r="F118" s="49" t="s">
        <v>424</v>
      </c>
      <c r="G118" s="15" t="s">
        <v>425</v>
      </c>
      <c r="H118" s="42" t="n">
        <v>10</v>
      </c>
      <c r="I118" s="49" t="s">
        <v>264</v>
      </c>
      <c r="J118" s="49" t="s">
        <v>98</v>
      </c>
      <c r="K118" s="42" t="n">
        <v>26</v>
      </c>
      <c r="L118" s="42" t="n">
        <v>2</v>
      </c>
      <c r="M118" s="47" t="n">
        <v>0.4</v>
      </c>
      <c r="N118" s="50" t="n">
        <f aca="false">K118*L118*M118</f>
        <v>20.8</v>
      </c>
      <c r="O118" s="31" t="n">
        <f aca="false">IFERROR(INDEX(Исходные!$B$18:$B$29,MATCH(H118,Исходные!$A$18:$A$29,0)),0)</f>
        <v>0.617</v>
      </c>
      <c r="P118" s="51" t="n">
        <f aca="false">N118*O118</f>
        <v>12.8336</v>
      </c>
      <c r="Q118" s="15" t="s">
        <v>396</v>
      </c>
      <c r="R118" s="52" t="s">
        <v>397</v>
      </c>
      <c r="S118" s="15" t="s">
        <v>398</v>
      </c>
      <c r="T118" s="15" t="s">
        <v>392</v>
      </c>
      <c r="U118" s="40" t="n">
        <v>0</v>
      </c>
      <c r="V118" s="49" t="s">
        <v>393</v>
      </c>
    </row>
    <row r="119" customFormat="false" ht="23.85" hidden="false" customHeight="false" outlineLevel="0" collapsed="false">
      <c r="A119" s="49" t="n">
        <v>113</v>
      </c>
      <c r="B119" s="15" t="s">
        <v>260</v>
      </c>
      <c r="C119" s="15" t="s">
        <v>385</v>
      </c>
      <c r="D119" s="15" t="s">
        <v>386</v>
      </c>
      <c r="E119" s="15" t="s">
        <v>387</v>
      </c>
      <c r="F119" s="49" t="s">
        <v>422</v>
      </c>
      <c r="G119" s="15" t="s">
        <v>423</v>
      </c>
      <c r="H119" s="42" t="n">
        <v>10</v>
      </c>
      <c r="I119" s="49" t="s">
        <v>264</v>
      </c>
      <c r="J119" s="49" t="n">
        <v>200</v>
      </c>
      <c r="K119" s="42" t="n">
        <v>1</v>
      </c>
      <c r="L119" s="42" t="n">
        <v>49</v>
      </c>
      <c r="M119" s="47" t="n">
        <v>25.62</v>
      </c>
      <c r="N119" s="50" t="n">
        <f aca="false">K119*L119*M119</f>
        <v>1255.38</v>
      </c>
      <c r="O119" s="31" t="n">
        <f aca="false">IFERROR(INDEX(Исходные!$B$18:$B$29,MATCH(H119,Исходные!$A$18:$A$29,0)),0)</f>
        <v>0.617</v>
      </c>
      <c r="P119" s="51" t="n">
        <f aca="false">N119*O119</f>
        <v>774.56946</v>
      </c>
      <c r="Q119" s="15" t="s">
        <v>390</v>
      </c>
      <c r="R119" s="52" t="s">
        <v>391</v>
      </c>
      <c r="S119" s="15"/>
      <c r="T119" s="15" t="s">
        <v>392</v>
      </c>
      <c r="U119" s="40" t="n">
        <v>0</v>
      </c>
      <c r="V119" s="49" t="s">
        <v>393</v>
      </c>
    </row>
    <row r="120" customFormat="false" ht="35.05" hidden="false" customHeight="false" outlineLevel="0" collapsed="false">
      <c r="A120" s="49" t="n">
        <v>114</v>
      </c>
      <c r="B120" s="15" t="s">
        <v>260</v>
      </c>
      <c r="C120" s="15" t="s">
        <v>385</v>
      </c>
      <c r="D120" s="15" t="s">
        <v>386</v>
      </c>
      <c r="E120" s="15" t="s">
        <v>387</v>
      </c>
      <c r="F120" s="49" t="s">
        <v>424</v>
      </c>
      <c r="G120" s="15" t="s">
        <v>426</v>
      </c>
      <c r="H120" s="42" t="n">
        <v>10</v>
      </c>
      <c r="I120" s="49" t="s">
        <v>264</v>
      </c>
      <c r="J120" s="49" t="s">
        <v>98</v>
      </c>
      <c r="K120" s="42" t="n">
        <v>49</v>
      </c>
      <c r="L120" s="42" t="n">
        <v>2</v>
      </c>
      <c r="M120" s="47" t="n">
        <v>0.4</v>
      </c>
      <c r="N120" s="50" t="n">
        <f aca="false">K120*L120*M120</f>
        <v>39.2</v>
      </c>
      <c r="O120" s="31" t="n">
        <f aca="false">IFERROR(INDEX(Исходные!$B$18:$B$29,MATCH(H120,Исходные!$A$18:$A$29,0)),0)</f>
        <v>0.617</v>
      </c>
      <c r="P120" s="51" t="n">
        <f aca="false">N120*O120</f>
        <v>24.1864</v>
      </c>
      <c r="Q120" s="15" t="s">
        <v>396</v>
      </c>
      <c r="R120" s="52" t="s">
        <v>397</v>
      </c>
      <c r="S120" s="15" t="s">
        <v>400</v>
      </c>
      <c r="T120" s="15" t="s">
        <v>392</v>
      </c>
      <c r="U120" s="40" t="n">
        <v>0</v>
      </c>
      <c r="V120" s="49" t="s">
        <v>393</v>
      </c>
    </row>
    <row r="121" customFormat="false" ht="23.85" hidden="false" customHeight="false" outlineLevel="0" collapsed="false">
      <c r="A121" s="49" t="n">
        <v>115</v>
      </c>
      <c r="B121" s="15" t="s">
        <v>260</v>
      </c>
      <c r="C121" s="15" t="s">
        <v>385</v>
      </c>
      <c r="D121" s="15" t="s">
        <v>386</v>
      </c>
      <c r="E121" s="15" t="s">
        <v>387</v>
      </c>
      <c r="F121" s="49" t="s">
        <v>422</v>
      </c>
      <c r="G121" s="15" t="s">
        <v>423</v>
      </c>
      <c r="H121" s="42" t="n">
        <v>10</v>
      </c>
      <c r="I121" s="49" t="s">
        <v>264</v>
      </c>
      <c r="J121" s="49" t="n">
        <v>200</v>
      </c>
      <c r="K121" s="42" t="n">
        <v>1</v>
      </c>
      <c r="L121" s="42" t="n">
        <v>1</v>
      </c>
      <c r="M121" s="47" t="n">
        <v>22.2</v>
      </c>
      <c r="N121" s="50" t="n">
        <f aca="false">K121*L121*M121</f>
        <v>22.2</v>
      </c>
      <c r="O121" s="31" t="n">
        <f aca="false">IFERROR(INDEX(Исходные!$B$18:$B$29,MATCH(H121,Исходные!$A$18:$A$29,0)),0)</f>
        <v>0.617</v>
      </c>
      <c r="P121" s="51" t="n">
        <f aca="false">N121*O121</f>
        <v>13.6974</v>
      </c>
      <c r="Q121" s="15" t="s">
        <v>390</v>
      </c>
      <c r="R121" s="52" t="s">
        <v>391</v>
      </c>
      <c r="S121" s="15"/>
      <c r="T121" s="15" t="s">
        <v>392</v>
      </c>
      <c r="U121" s="40" t="n">
        <v>0</v>
      </c>
      <c r="V121" s="49" t="s">
        <v>393</v>
      </c>
    </row>
    <row r="122" customFormat="false" ht="35.05" hidden="false" customHeight="false" outlineLevel="0" collapsed="false">
      <c r="A122" s="49" t="n">
        <v>116</v>
      </c>
      <c r="B122" s="15" t="s">
        <v>260</v>
      </c>
      <c r="C122" s="15" t="s">
        <v>385</v>
      </c>
      <c r="D122" s="15" t="s">
        <v>386</v>
      </c>
      <c r="E122" s="15" t="s">
        <v>387</v>
      </c>
      <c r="F122" s="49" t="s">
        <v>424</v>
      </c>
      <c r="G122" s="15" t="s">
        <v>427</v>
      </c>
      <c r="H122" s="42" t="n">
        <v>10</v>
      </c>
      <c r="I122" s="49" t="s">
        <v>264</v>
      </c>
      <c r="J122" s="49" t="s">
        <v>98</v>
      </c>
      <c r="K122" s="42" t="n">
        <v>1</v>
      </c>
      <c r="L122" s="42" t="n">
        <v>1</v>
      </c>
      <c r="M122" s="47" t="n">
        <v>0.4</v>
      </c>
      <c r="N122" s="50" t="n">
        <f aca="false">K122*L122*M122</f>
        <v>0.4</v>
      </c>
      <c r="O122" s="31" t="n">
        <f aca="false">IFERROR(INDEX(Исходные!$B$18:$B$29,MATCH(H122,Исходные!$A$18:$A$29,0)),0)</f>
        <v>0.617</v>
      </c>
      <c r="P122" s="51" t="n">
        <f aca="false">N122*O122</f>
        <v>0.2468</v>
      </c>
      <c r="Q122" s="15" t="s">
        <v>396</v>
      </c>
      <c r="R122" s="52" t="s">
        <v>397</v>
      </c>
      <c r="S122" s="15" t="s">
        <v>402</v>
      </c>
      <c r="T122" s="15" t="s">
        <v>392</v>
      </c>
      <c r="U122" s="40" t="n">
        <v>0</v>
      </c>
      <c r="V122" s="49" t="s">
        <v>393</v>
      </c>
    </row>
    <row r="123" customFormat="false" ht="23.85" hidden="false" customHeight="false" outlineLevel="0" collapsed="false">
      <c r="A123" s="49" t="n">
        <v>117</v>
      </c>
      <c r="B123" s="15" t="s">
        <v>260</v>
      </c>
      <c r="C123" s="15" t="s">
        <v>385</v>
      </c>
      <c r="D123" s="15" t="s">
        <v>386</v>
      </c>
      <c r="E123" s="15" t="s">
        <v>387</v>
      </c>
      <c r="F123" s="49" t="s">
        <v>422</v>
      </c>
      <c r="G123" s="15" t="s">
        <v>423</v>
      </c>
      <c r="H123" s="42" t="n">
        <v>10</v>
      </c>
      <c r="I123" s="49" t="s">
        <v>264</v>
      </c>
      <c r="J123" s="49" t="n">
        <v>200</v>
      </c>
      <c r="K123" s="42" t="n">
        <v>1</v>
      </c>
      <c r="L123" s="42" t="n">
        <v>16</v>
      </c>
      <c r="M123" s="47" t="n">
        <v>15.62</v>
      </c>
      <c r="N123" s="50" t="n">
        <f aca="false">K123*L123*M123</f>
        <v>249.92</v>
      </c>
      <c r="O123" s="31" t="n">
        <f aca="false">IFERROR(INDEX(Исходные!$B$18:$B$29,MATCH(H123,Исходные!$A$18:$A$29,0)),0)</f>
        <v>0.617</v>
      </c>
      <c r="P123" s="51" t="n">
        <f aca="false">N123*O123</f>
        <v>154.20064</v>
      </c>
      <c r="Q123" s="15" t="s">
        <v>390</v>
      </c>
      <c r="R123" s="52" t="s">
        <v>391</v>
      </c>
      <c r="S123" s="15"/>
      <c r="T123" s="15" t="s">
        <v>392</v>
      </c>
      <c r="U123" s="40" t="n">
        <v>0</v>
      </c>
      <c r="V123" s="49" t="s">
        <v>393</v>
      </c>
    </row>
    <row r="124" customFormat="false" ht="35.05" hidden="false" customHeight="false" outlineLevel="0" collapsed="false">
      <c r="A124" s="49" t="n">
        <v>118</v>
      </c>
      <c r="B124" s="15" t="s">
        <v>260</v>
      </c>
      <c r="C124" s="15" t="s">
        <v>385</v>
      </c>
      <c r="D124" s="15" t="s">
        <v>386</v>
      </c>
      <c r="E124" s="15" t="s">
        <v>387</v>
      </c>
      <c r="F124" s="49" t="s">
        <v>424</v>
      </c>
      <c r="G124" s="15" t="s">
        <v>428</v>
      </c>
      <c r="H124" s="42" t="n">
        <v>10</v>
      </c>
      <c r="I124" s="49" t="s">
        <v>264</v>
      </c>
      <c r="J124" s="49" t="s">
        <v>98</v>
      </c>
      <c r="K124" s="42" t="n">
        <v>16</v>
      </c>
      <c r="L124" s="42" t="n">
        <v>1</v>
      </c>
      <c r="M124" s="47" t="n">
        <v>0.4</v>
      </c>
      <c r="N124" s="50" t="n">
        <f aca="false">K124*L124*M124</f>
        <v>6.4</v>
      </c>
      <c r="O124" s="31" t="n">
        <f aca="false">IFERROR(INDEX(Исходные!$B$18:$B$29,MATCH(H124,Исходные!$A$18:$A$29,0)),0)</f>
        <v>0.617</v>
      </c>
      <c r="P124" s="51" t="n">
        <f aca="false">N124*O124</f>
        <v>3.9488</v>
      </c>
      <c r="Q124" s="15" t="s">
        <v>396</v>
      </c>
      <c r="R124" s="52" t="s">
        <v>397</v>
      </c>
      <c r="S124" s="15" t="s">
        <v>404</v>
      </c>
      <c r="T124" s="15" t="s">
        <v>392</v>
      </c>
      <c r="U124" s="40" t="n">
        <v>0</v>
      </c>
      <c r="V124" s="49" t="s">
        <v>393</v>
      </c>
    </row>
    <row r="125" customFormat="false" ht="23.85" hidden="false" customHeight="false" outlineLevel="0" collapsed="false">
      <c r="A125" s="49" t="n">
        <v>119</v>
      </c>
      <c r="B125" s="15" t="s">
        <v>260</v>
      </c>
      <c r="C125" s="15" t="s">
        <v>385</v>
      </c>
      <c r="D125" s="15" t="s">
        <v>386</v>
      </c>
      <c r="E125" s="15" t="s">
        <v>387</v>
      </c>
      <c r="F125" s="49" t="s">
        <v>422</v>
      </c>
      <c r="G125" s="15" t="s">
        <v>423</v>
      </c>
      <c r="H125" s="42" t="n">
        <v>10</v>
      </c>
      <c r="I125" s="49" t="s">
        <v>264</v>
      </c>
      <c r="J125" s="49" t="n">
        <v>200</v>
      </c>
      <c r="K125" s="42" t="n">
        <v>1</v>
      </c>
      <c r="L125" s="42" t="n">
        <v>12</v>
      </c>
      <c r="M125" s="47" t="n">
        <v>13.9</v>
      </c>
      <c r="N125" s="50" t="n">
        <f aca="false">K125*L125*M125</f>
        <v>166.8</v>
      </c>
      <c r="O125" s="31" t="n">
        <f aca="false">IFERROR(INDEX(Исходные!$B$18:$B$29,MATCH(H125,Исходные!$A$18:$A$29,0)),0)</f>
        <v>0.617</v>
      </c>
      <c r="P125" s="51" t="n">
        <f aca="false">N125*O125</f>
        <v>102.9156</v>
      </c>
      <c r="Q125" s="15" t="s">
        <v>390</v>
      </c>
      <c r="R125" s="52" t="s">
        <v>391</v>
      </c>
      <c r="S125" s="15"/>
      <c r="T125" s="15" t="s">
        <v>392</v>
      </c>
      <c r="U125" s="40" t="n">
        <v>0</v>
      </c>
      <c r="V125" s="49" t="s">
        <v>393</v>
      </c>
    </row>
    <row r="126" customFormat="false" ht="35.05" hidden="false" customHeight="false" outlineLevel="0" collapsed="false">
      <c r="A126" s="49" t="n">
        <v>120</v>
      </c>
      <c r="B126" s="15" t="s">
        <v>260</v>
      </c>
      <c r="C126" s="15" t="s">
        <v>385</v>
      </c>
      <c r="D126" s="15" t="s">
        <v>386</v>
      </c>
      <c r="E126" s="15" t="s">
        <v>387</v>
      </c>
      <c r="F126" s="49" t="s">
        <v>424</v>
      </c>
      <c r="G126" s="15" t="s">
        <v>429</v>
      </c>
      <c r="H126" s="42" t="n">
        <v>10</v>
      </c>
      <c r="I126" s="49" t="s">
        <v>264</v>
      </c>
      <c r="J126" s="49" t="s">
        <v>98</v>
      </c>
      <c r="K126" s="42" t="n">
        <v>12</v>
      </c>
      <c r="L126" s="42" t="n">
        <v>1</v>
      </c>
      <c r="M126" s="47" t="n">
        <v>0.4</v>
      </c>
      <c r="N126" s="50" t="n">
        <f aca="false">K126*L126*M126</f>
        <v>4.8</v>
      </c>
      <c r="O126" s="31" t="n">
        <f aca="false">IFERROR(INDEX(Исходные!$B$18:$B$29,MATCH(H126,Исходные!$A$18:$A$29,0)),0)</f>
        <v>0.617</v>
      </c>
      <c r="P126" s="51" t="n">
        <f aca="false">N126*O126</f>
        <v>2.9616</v>
      </c>
      <c r="Q126" s="15" t="s">
        <v>396</v>
      </c>
      <c r="R126" s="52" t="s">
        <v>397</v>
      </c>
      <c r="S126" s="15" t="s">
        <v>406</v>
      </c>
      <c r="T126" s="15" t="s">
        <v>392</v>
      </c>
      <c r="U126" s="40" t="n">
        <v>0</v>
      </c>
      <c r="V126" s="49" t="s">
        <v>393</v>
      </c>
    </row>
    <row r="127" customFormat="false" ht="23.85" hidden="false" customHeight="false" outlineLevel="0" collapsed="false">
      <c r="A127" s="49" t="n">
        <v>121</v>
      </c>
      <c r="B127" s="15" t="s">
        <v>260</v>
      </c>
      <c r="C127" s="15" t="s">
        <v>385</v>
      </c>
      <c r="D127" s="15" t="s">
        <v>386</v>
      </c>
      <c r="E127" s="15" t="s">
        <v>387</v>
      </c>
      <c r="F127" s="49" t="s">
        <v>422</v>
      </c>
      <c r="G127" s="15" t="s">
        <v>423</v>
      </c>
      <c r="H127" s="42" t="n">
        <v>10</v>
      </c>
      <c r="I127" s="49" t="s">
        <v>264</v>
      </c>
      <c r="J127" s="49" t="n">
        <v>200</v>
      </c>
      <c r="K127" s="42" t="n">
        <v>1</v>
      </c>
      <c r="L127" s="42" t="n">
        <v>1</v>
      </c>
      <c r="M127" s="47" t="n">
        <v>10.8</v>
      </c>
      <c r="N127" s="50" t="n">
        <f aca="false">K127*L127*M127</f>
        <v>10.8</v>
      </c>
      <c r="O127" s="31" t="n">
        <f aca="false">IFERROR(INDEX(Исходные!$B$18:$B$29,MATCH(H127,Исходные!$A$18:$A$29,0)),0)</f>
        <v>0.617</v>
      </c>
      <c r="P127" s="51" t="n">
        <f aca="false">N127*O127</f>
        <v>6.6636</v>
      </c>
      <c r="Q127" s="15" t="s">
        <v>390</v>
      </c>
      <c r="R127" s="52" t="s">
        <v>391</v>
      </c>
      <c r="S127" s="15"/>
      <c r="T127" s="15" t="s">
        <v>392</v>
      </c>
      <c r="U127" s="40" t="n">
        <v>0</v>
      </c>
      <c r="V127" s="49" t="s">
        <v>393</v>
      </c>
    </row>
    <row r="128" customFormat="false" ht="23.85" hidden="false" customHeight="false" outlineLevel="0" collapsed="false">
      <c r="A128" s="49" t="n">
        <v>122</v>
      </c>
      <c r="B128" s="15" t="s">
        <v>260</v>
      </c>
      <c r="C128" s="15" t="s">
        <v>385</v>
      </c>
      <c r="D128" s="15" t="s">
        <v>386</v>
      </c>
      <c r="E128" s="15" t="s">
        <v>387</v>
      </c>
      <c r="F128" s="49" t="s">
        <v>422</v>
      </c>
      <c r="G128" s="15" t="s">
        <v>423</v>
      </c>
      <c r="H128" s="42" t="n">
        <v>10</v>
      </c>
      <c r="I128" s="49" t="s">
        <v>264</v>
      </c>
      <c r="J128" s="49" t="n">
        <v>200</v>
      </c>
      <c r="K128" s="42" t="n">
        <v>1</v>
      </c>
      <c r="L128" s="42" t="n">
        <v>14</v>
      </c>
      <c r="M128" s="47" t="n">
        <v>8</v>
      </c>
      <c r="N128" s="50" t="n">
        <f aca="false">K128*L128*M128</f>
        <v>112</v>
      </c>
      <c r="O128" s="31" t="n">
        <f aca="false">IFERROR(INDEX(Исходные!$B$18:$B$29,MATCH(H128,Исходные!$A$18:$A$29,0)),0)</f>
        <v>0.617</v>
      </c>
      <c r="P128" s="51" t="n">
        <f aca="false">N128*O128</f>
        <v>69.104</v>
      </c>
      <c r="Q128" s="15" t="s">
        <v>390</v>
      </c>
      <c r="R128" s="52" t="s">
        <v>391</v>
      </c>
      <c r="S128" s="15"/>
      <c r="T128" s="15" t="s">
        <v>392</v>
      </c>
      <c r="U128" s="40" t="n">
        <v>0</v>
      </c>
      <c r="V128" s="49" t="s">
        <v>393</v>
      </c>
    </row>
    <row r="129" customFormat="false" ht="23.85" hidden="false" customHeight="false" outlineLevel="0" collapsed="false">
      <c r="A129" s="49" t="n">
        <v>123</v>
      </c>
      <c r="B129" s="15" t="s">
        <v>260</v>
      </c>
      <c r="C129" s="15" t="s">
        <v>385</v>
      </c>
      <c r="D129" s="15" t="s">
        <v>386</v>
      </c>
      <c r="E129" s="15" t="s">
        <v>387</v>
      </c>
      <c r="F129" s="49" t="s">
        <v>422</v>
      </c>
      <c r="G129" s="15" t="s">
        <v>423</v>
      </c>
      <c r="H129" s="42" t="n">
        <v>10</v>
      </c>
      <c r="I129" s="49" t="s">
        <v>264</v>
      </c>
      <c r="J129" s="49" t="n">
        <v>200</v>
      </c>
      <c r="K129" s="42" t="n">
        <v>1</v>
      </c>
      <c r="L129" s="42" t="n">
        <v>9</v>
      </c>
      <c r="M129" s="47" t="n">
        <v>7.95</v>
      </c>
      <c r="N129" s="50" t="n">
        <f aca="false">K129*L129*M129</f>
        <v>71.55</v>
      </c>
      <c r="O129" s="31" t="n">
        <f aca="false">IFERROR(INDEX(Исходные!$B$18:$B$29,MATCH(H129,Исходные!$A$18:$A$29,0)),0)</f>
        <v>0.617</v>
      </c>
      <c r="P129" s="51" t="n">
        <f aca="false">N129*O129</f>
        <v>44.14635</v>
      </c>
      <c r="Q129" s="15" t="s">
        <v>390</v>
      </c>
      <c r="R129" s="52" t="s">
        <v>391</v>
      </c>
      <c r="S129" s="15"/>
      <c r="T129" s="15" t="s">
        <v>392</v>
      </c>
      <c r="U129" s="40" t="n">
        <v>0</v>
      </c>
      <c r="V129" s="49" t="s">
        <v>393</v>
      </c>
    </row>
    <row r="130" customFormat="false" ht="23.85" hidden="false" customHeight="false" outlineLevel="0" collapsed="false">
      <c r="A130" s="49" t="n">
        <v>124</v>
      </c>
      <c r="B130" s="15" t="s">
        <v>260</v>
      </c>
      <c r="C130" s="15" t="s">
        <v>385</v>
      </c>
      <c r="D130" s="15" t="s">
        <v>386</v>
      </c>
      <c r="E130" s="15" t="s">
        <v>387</v>
      </c>
      <c r="F130" s="49" t="s">
        <v>422</v>
      </c>
      <c r="G130" s="15" t="s">
        <v>423</v>
      </c>
      <c r="H130" s="42" t="n">
        <v>10</v>
      </c>
      <c r="I130" s="49" t="s">
        <v>264</v>
      </c>
      <c r="J130" s="49" t="n">
        <v>200</v>
      </c>
      <c r="K130" s="42" t="n">
        <v>1</v>
      </c>
      <c r="L130" s="42" t="n">
        <v>13</v>
      </c>
      <c r="M130" s="47" t="n">
        <v>6.9</v>
      </c>
      <c r="N130" s="50" t="n">
        <f aca="false">K130*L130*M130</f>
        <v>89.7</v>
      </c>
      <c r="O130" s="31" t="n">
        <f aca="false">IFERROR(INDEX(Исходные!$B$18:$B$29,MATCH(H130,Исходные!$A$18:$A$29,0)),0)</f>
        <v>0.617</v>
      </c>
      <c r="P130" s="51" t="n">
        <f aca="false">N130*O130</f>
        <v>55.3449</v>
      </c>
      <c r="Q130" s="15" t="s">
        <v>390</v>
      </c>
      <c r="R130" s="52" t="s">
        <v>391</v>
      </c>
      <c r="S130" s="15"/>
      <c r="T130" s="15" t="s">
        <v>392</v>
      </c>
      <c r="U130" s="40" t="n">
        <v>0</v>
      </c>
      <c r="V130" s="49" t="s">
        <v>393</v>
      </c>
    </row>
    <row r="131" customFormat="false" ht="23.85" hidden="false" customHeight="false" outlineLevel="0" collapsed="false">
      <c r="A131" s="49" t="n">
        <v>125</v>
      </c>
      <c r="B131" s="15" t="s">
        <v>260</v>
      </c>
      <c r="C131" s="15" t="s">
        <v>385</v>
      </c>
      <c r="D131" s="15" t="s">
        <v>386</v>
      </c>
      <c r="E131" s="15" t="s">
        <v>387</v>
      </c>
      <c r="F131" s="49" t="s">
        <v>422</v>
      </c>
      <c r="G131" s="15" t="s">
        <v>423</v>
      </c>
      <c r="H131" s="42" t="n">
        <v>10</v>
      </c>
      <c r="I131" s="49" t="s">
        <v>264</v>
      </c>
      <c r="J131" s="49" t="n">
        <v>200</v>
      </c>
      <c r="K131" s="42" t="n">
        <v>1</v>
      </c>
      <c r="L131" s="42" t="n">
        <v>9</v>
      </c>
      <c r="M131" s="47" t="n">
        <v>3.78</v>
      </c>
      <c r="N131" s="50" t="n">
        <f aca="false">K131*L131*M131</f>
        <v>34.02</v>
      </c>
      <c r="O131" s="31" t="n">
        <f aca="false">IFERROR(INDEX(Исходные!$B$18:$B$29,MATCH(H131,Исходные!$A$18:$A$29,0)),0)</f>
        <v>0.617</v>
      </c>
      <c r="P131" s="51" t="n">
        <f aca="false">N131*O131</f>
        <v>20.99034</v>
      </c>
      <c r="Q131" s="15" t="s">
        <v>390</v>
      </c>
      <c r="R131" s="52" t="s">
        <v>391</v>
      </c>
      <c r="S131" s="15"/>
      <c r="T131" s="15" t="s">
        <v>392</v>
      </c>
      <c r="U131" s="40" t="n">
        <v>0</v>
      </c>
      <c r="V131" s="49" t="s">
        <v>393</v>
      </c>
    </row>
    <row r="132" customFormat="false" ht="23.85" hidden="false" customHeight="false" outlineLevel="0" collapsed="false">
      <c r="A132" s="49" t="n">
        <v>126</v>
      </c>
      <c r="B132" s="15" t="s">
        <v>260</v>
      </c>
      <c r="C132" s="15" t="s">
        <v>385</v>
      </c>
      <c r="D132" s="15" t="s">
        <v>386</v>
      </c>
      <c r="E132" s="15" t="s">
        <v>387</v>
      </c>
      <c r="F132" s="49" t="s">
        <v>430</v>
      </c>
      <c r="G132" s="15" t="s">
        <v>431</v>
      </c>
      <c r="H132" s="42" t="n">
        <v>10</v>
      </c>
      <c r="I132" s="49" t="s">
        <v>264</v>
      </c>
      <c r="J132" s="49" t="n">
        <v>200</v>
      </c>
      <c r="K132" s="42" t="n">
        <v>1</v>
      </c>
      <c r="L132" s="42" t="n">
        <v>40</v>
      </c>
      <c r="M132" s="47" t="n">
        <v>22.35</v>
      </c>
      <c r="N132" s="50" t="n">
        <f aca="false">K132*L132*M132</f>
        <v>894</v>
      </c>
      <c r="O132" s="31" t="n">
        <f aca="false">IFERROR(INDEX(Исходные!$B$18:$B$29,MATCH(H132,Исходные!$A$18:$A$29,0)),0)</f>
        <v>0.617</v>
      </c>
      <c r="P132" s="51" t="n">
        <f aca="false">N132*O132</f>
        <v>551.598</v>
      </c>
      <c r="Q132" s="15" t="s">
        <v>390</v>
      </c>
      <c r="R132" s="52" t="s">
        <v>391</v>
      </c>
      <c r="S132" s="15"/>
      <c r="T132" s="15" t="s">
        <v>392</v>
      </c>
      <c r="U132" s="40" t="n">
        <v>0</v>
      </c>
      <c r="V132" s="49" t="s">
        <v>393</v>
      </c>
    </row>
    <row r="133" customFormat="false" ht="35.05" hidden="false" customHeight="false" outlineLevel="0" collapsed="false">
      <c r="A133" s="49" t="n">
        <v>127</v>
      </c>
      <c r="B133" s="15" t="s">
        <v>260</v>
      </c>
      <c r="C133" s="15" t="s">
        <v>385</v>
      </c>
      <c r="D133" s="15" t="s">
        <v>386</v>
      </c>
      <c r="E133" s="15" t="s">
        <v>387</v>
      </c>
      <c r="F133" s="49" t="s">
        <v>432</v>
      </c>
      <c r="G133" s="15" t="s">
        <v>433</v>
      </c>
      <c r="H133" s="42" t="n">
        <v>10</v>
      </c>
      <c r="I133" s="49" t="s">
        <v>264</v>
      </c>
      <c r="J133" s="49" t="s">
        <v>98</v>
      </c>
      <c r="K133" s="42" t="n">
        <v>40</v>
      </c>
      <c r="L133" s="42" t="n">
        <v>1</v>
      </c>
      <c r="M133" s="47" t="n">
        <v>0.4</v>
      </c>
      <c r="N133" s="50" t="n">
        <f aca="false">K133*L133*M133</f>
        <v>16</v>
      </c>
      <c r="O133" s="31" t="n">
        <f aca="false">IFERROR(INDEX(Исходные!$B$18:$B$29,MATCH(H133,Исходные!$A$18:$A$29,0)),0)</f>
        <v>0.617</v>
      </c>
      <c r="P133" s="51" t="n">
        <f aca="false">N133*O133</f>
        <v>9.872</v>
      </c>
      <c r="Q133" s="15" t="s">
        <v>396</v>
      </c>
      <c r="R133" s="52" t="s">
        <v>397</v>
      </c>
      <c r="S133" s="15" t="s">
        <v>411</v>
      </c>
      <c r="T133" s="15" t="s">
        <v>392</v>
      </c>
      <c r="U133" s="40" t="n">
        <v>0</v>
      </c>
      <c r="V133" s="49" t="s">
        <v>393</v>
      </c>
    </row>
    <row r="134" customFormat="false" ht="23.85" hidden="false" customHeight="false" outlineLevel="0" collapsed="false">
      <c r="A134" s="49" t="n">
        <v>128</v>
      </c>
      <c r="B134" s="15" t="s">
        <v>260</v>
      </c>
      <c r="C134" s="15" t="s">
        <v>385</v>
      </c>
      <c r="D134" s="15" t="s">
        <v>386</v>
      </c>
      <c r="E134" s="15" t="s">
        <v>387</v>
      </c>
      <c r="F134" s="49" t="s">
        <v>430</v>
      </c>
      <c r="G134" s="15" t="s">
        <v>431</v>
      </c>
      <c r="H134" s="42" t="n">
        <v>10</v>
      </c>
      <c r="I134" s="49" t="s">
        <v>264</v>
      </c>
      <c r="J134" s="49" t="n">
        <v>200</v>
      </c>
      <c r="K134" s="42" t="n">
        <v>1</v>
      </c>
      <c r="L134" s="42" t="n">
        <v>39</v>
      </c>
      <c r="M134" s="47" t="n">
        <v>20.62</v>
      </c>
      <c r="N134" s="50" t="n">
        <f aca="false">K134*L134*M134</f>
        <v>804.18</v>
      </c>
      <c r="O134" s="31" t="n">
        <f aca="false">IFERROR(INDEX(Исходные!$B$18:$B$29,MATCH(H134,Исходные!$A$18:$A$29,0)),0)</f>
        <v>0.617</v>
      </c>
      <c r="P134" s="51" t="n">
        <f aca="false">N134*O134</f>
        <v>496.17906</v>
      </c>
      <c r="Q134" s="15" t="s">
        <v>390</v>
      </c>
      <c r="R134" s="52" t="s">
        <v>391</v>
      </c>
      <c r="S134" s="15"/>
      <c r="T134" s="15" t="s">
        <v>392</v>
      </c>
      <c r="U134" s="40" t="n">
        <v>0</v>
      </c>
      <c r="V134" s="49" t="s">
        <v>393</v>
      </c>
    </row>
    <row r="135" customFormat="false" ht="35.05" hidden="false" customHeight="false" outlineLevel="0" collapsed="false">
      <c r="A135" s="49" t="n">
        <v>129</v>
      </c>
      <c r="B135" s="15" t="s">
        <v>260</v>
      </c>
      <c r="C135" s="15" t="s">
        <v>385</v>
      </c>
      <c r="D135" s="15" t="s">
        <v>386</v>
      </c>
      <c r="E135" s="15" t="s">
        <v>387</v>
      </c>
      <c r="F135" s="49" t="s">
        <v>432</v>
      </c>
      <c r="G135" s="15" t="s">
        <v>434</v>
      </c>
      <c r="H135" s="42" t="n">
        <v>10</v>
      </c>
      <c r="I135" s="49" t="s">
        <v>264</v>
      </c>
      <c r="J135" s="49" t="s">
        <v>98</v>
      </c>
      <c r="K135" s="42" t="n">
        <v>39</v>
      </c>
      <c r="L135" s="42" t="n">
        <v>1</v>
      </c>
      <c r="M135" s="47" t="n">
        <v>0.4</v>
      </c>
      <c r="N135" s="50" t="n">
        <f aca="false">K135*L135*M135</f>
        <v>15.6</v>
      </c>
      <c r="O135" s="31" t="n">
        <f aca="false">IFERROR(INDEX(Исходные!$B$18:$B$29,MATCH(H135,Исходные!$A$18:$A$29,0)),0)</f>
        <v>0.617</v>
      </c>
      <c r="P135" s="51" t="n">
        <f aca="false">N135*O135</f>
        <v>9.6252</v>
      </c>
      <c r="Q135" s="15" t="s">
        <v>396</v>
      </c>
      <c r="R135" s="52" t="s">
        <v>397</v>
      </c>
      <c r="S135" s="15" t="s">
        <v>413</v>
      </c>
      <c r="T135" s="15" t="s">
        <v>392</v>
      </c>
      <c r="U135" s="40" t="n">
        <v>0</v>
      </c>
      <c r="V135" s="49" t="s">
        <v>393</v>
      </c>
    </row>
    <row r="136" customFormat="false" ht="23.85" hidden="false" customHeight="false" outlineLevel="0" collapsed="false">
      <c r="A136" s="49" t="n">
        <v>130</v>
      </c>
      <c r="B136" s="15" t="s">
        <v>260</v>
      </c>
      <c r="C136" s="15" t="s">
        <v>385</v>
      </c>
      <c r="D136" s="15" t="s">
        <v>386</v>
      </c>
      <c r="E136" s="15" t="s">
        <v>387</v>
      </c>
      <c r="F136" s="49" t="s">
        <v>430</v>
      </c>
      <c r="G136" s="15" t="s">
        <v>431</v>
      </c>
      <c r="H136" s="42" t="n">
        <v>10</v>
      </c>
      <c r="I136" s="49" t="s">
        <v>264</v>
      </c>
      <c r="J136" s="49" t="n">
        <v>200</v>
      </c>
      <c r="K136" s="42" t="n">
        <v>1</v>
      </c>
      <c r="L136" s="42" t="n">
        <v>26</v>
      </c>
      <c r="M136" s="47" t="n">
        <v>20.48</v>
      </c>
      <c r="N136" s="50" t="n">
        <f aca="false">K136*L136*M136</f>
        <v>532.48</v>
      </c>
      <c r="O136" s="31" t="n">
        <f aca="false">IFERROR(INDEX(Исходные!$B$18:$B$29,MATCH(H136,Исходные!$A$18:$A$29,0)),0)</f>
        <v>0.617</v>
      </c>
      <c r="P136" s="51" t="n">
        <f aca="false">N136*O136</f>
        <v>328.54016</v>
      </c>
      <c r="Q136" s="15" t="s">
        <v>390</v>
      </c>
      <c r="R136" s="52" t="s">
        <v>391</v>
      </c>
      <c r="S136" s="15"/>
      <c r="T136" s="15" t="s">
        <v>392</v>
      </c>
      <c r="U136" s="40" t="n">
        <v>0</v>
      </c>
      <c r="V136" s="49" t="s">
        <v>393</v>
      </c>
    </row>
    <row r="137" customFormat="false" ht="35.05" hidden="false" customHeight="false" outlineLevel="0" collapsed="false">
      <c r="A137" s="49" t="n">
        <v>131</v>
      </c>
      <c r="B137" s="15" t="s">
        <v>260</v>
      </c>
      <c r="C137" s="15" t="s">
        <v>385</v>
      </c>
      <c r="D137" s="15" t="s">
        <v>386</v>
      </c>
      <c r="E137" s="15" t="s">
        <v>387</v>
      </c>
      <c r="F137" s="49" t="s">
        <v>432</v>
      </c>
      <c r="G137" s="15" t="s">
        <v>435</v>
      </c>
      <c r="H137" s="42" t="n">
        <v>10</v>
      </c>
      <c r="I137" s="49" t="s">
        <v>264</v>
      </c>
      <c r="J137" s="49" t="s">
        <v>98</v>
      </c>
      <c r="K137" s="42" t="n">
        <v>26</v>
      </c>
      <c r="L137" s="42" t="n">
        <v>1</v>
      </c>
      <c r="M137" s="47" t="n">
        <v>0.4</v>
      </c>
      <c r="N137" s="50" t="n">
        <f aca="false">K137*L137*M137</f>
        <v>10.4</v>
      </c>
      <c r="O137" s="31" t="n">
        <f aca="false">IFERROR(INDEX(Исходные!$B$18:$B$29,MATCH(H137,Исходные!$A$18:$A$29,0)),0)</f>
        <v>0.617</v>
      </c>
      <c r="P137" s="51" t="n">
        <f aca="false">N137*O137</f>
        <v>6.4168</v>
      </c>
      <c r="Q137" s="15" t="s">
        <v>396</v>
      </c>
      <c r="R137" s="52" t="s">
        <v>397</v>
      </c>
      <c r="S137" s="15" t="s">
        <v>415</v>
      </c>
      <c r="T137" s="15" t="s">
        <v>392</v>
      </c>
      <c r="U137" s="40" t="n">
        <v>0</v>
      </c>
      <c r="V137" s="49" t="s">
        <v>393</v>
      </c>
    </row>
    <row r="138" customFormat="false" ht="23.85" hidden="false" customHeight="false" outlineLevel="0" collapsed="false">
      <c r="A138" s="49" t="n">
        <v>132</v>
      </c>
      <c r="B138" s="15" t="s">
        <v>260</v>
      </c>
      <c r="C138" s="15" t="s">
        <v>385</v>
      </c>
      <c r="D138" s="15" t="s">
        <v>386</v>
      </c>
      <c r="E138" s="15" t="s">
        <v>387</v>
      </c>
      <c r="F138" s="49" t="s">
        <v>430</v>
      </c>
      <c r="G138" s="15" t="s">
        <v>431</v>
      </c>
      <c r="H138" s="42" t="n">
        <v>10</v>
      </c>
      <c r="I138" s="49" t="s">
        <v>264</v>
      </c>
      <c r="J138" s="49" t="n">
        <v>200</v>
      </c>
      <c r="K138" s="42" t="n">
        <v>1</v>
      </c>
      <c r="L138" s="42" t="n">
        <v>2</v>
      </c>
      <c r="M138" s="47" t="n">
        <v>19.01</v>
      </c>
      <c r="N138" s="50" t="n">
        <f aca="false">K138*L138*M138</f>
        <v>38.02</v>
      </c>
      <c r="O138" s="31" t="n">
        <f aca="false">IFERROR(INDEX(Исходные!$B$18:$B$29,MATCH(H138,Исходные!$A$18:$A$29,0)),0)</f>
        <v>0.617</v>
      </c>
      <c r="P138" s="51" t="n">
        <f aca="false">N138*O138</f>
        <v>23.45834</v>
      </c>
      <c r="Q138" s="15" t="s">
        <v>390</v>
      </c>
      <c r="R138" s="52" t="s">
        <v>391</v>
      </c>
      <c r="S138" s="15"/>
      <c r="T138" s="15" t="s">
        <v>392</v>
      </c>
      <c r="U138" s="40" t="n">
        <v>0</v>
      </c>
      <c r="V138" s="49" t="s">
        <v>393</v>
      </c>
    </row>
    <row r="139" customFormat="false" ht="35.05" hidden="false" customHeight="false" outlineLevel="0" collapsed="false">
      <c r="A139" s="49" t="n">
        <v>133</v>
      </c>
      <c r="B139" s="15" t="s">
        <v>260</v>
      </c>
      <c r="C139" s="15" t="s">
        <v>385</v>
      </c>
      <c r="D139" s="15" t="s">
        <v>386</v>
      </c>
      <c r="E139" s="15" t="s">
        <v>387</v>
      </c>
      <c r="F139" s="49" t="s">
        <v>432</v>
      </c>
      <c r="G139" s="15" t="s">
        <v>436</v>
      </c>
      <c r="H139" s="42" t="n">
        <v>10</v>
      </c>
      <c r="I139" s="49" t="s">
        <v>264</v>
      </c>
      <c r="J139" s="49" t="s">
        <v>98</v>
      </c>
      <c r="K139" s="42" t="n">
        <v>2</v>
      </c>
      <c r="L139" s="42" t="n">
        <v>1</v>
      </c>
      <c r="M139" s="47" t="n">
        <v>0.4</v>
      </c>
      <c r="N139" s="50" t="n">
        <f aca="false">K139*L139*M139</f>
        <v>0.8</v>
      </c>
      <c r="O139" s="31" t="n">
        <f aca="false">IFERROR(INDEX(Исходные!$B$18:$B$29,MATCH(H139,Исходные!$A$18:$A$29,0)),0)</f>
        <v>0.617</v>
      </c>
      <c r="P139" s="51" t="n">
        <f aca="false">N139*O139</f>
        <v>0.4936</v>
      </c>
      <c r="Q139" s="15" t="s">
        <v>396</v>
      </c>
      <c r="R139" s="52" t="s">
        <v>397</v>
      </c>
      <c r="S139" s="15" t="s">
        <v>417</v>
      </c>
      <c r="T139" s="15" t="s">
        <v>392</v>
      </c>
      <c r="U139" s="40" t="n">
        <v>0</v>
      </c>
      <c r="V139" s="49" t="s">
        <v>393</v>
      </c>
    </row>
    <row r="140" customFormat="false" ht="23.85" hidden="false" customHeight="false" outlineLevel="0" collapsed="false">
      <c r="A140" s="49" t="n">
        <v>134</v>
      </c>
      <c r="B140" s="15" t="s">
        <v>260</v>
      </c>
      <c r="C140" s="15" t="s">
        <v>385</v>
      </c>
      <c r="D140" s="15" t="s">
        <v>386</v>
      </c>
      <c r="E140" s="15" t="s">
        <v>387</v>
      </c>
      <c r="F140" s="49" t="s">
        <v>430</v>
      </c>
      <c r="G140" s="15" t="s">
        <v>431</v>
      </c>
      <c r="H140" s="42" t="n">
        <v>10</v>
      </c>
      <c r="I140" s="49" t="s">
        <v>264</v>
      </c>
      <c r="J140" s="49" t="n">
        <v>200</v>
      </c>
      <c r="K140" s="42" t="n">
        <v>1</v>
      </c>
      <c r="L140" s="42" t="n">
        <v>5</v>
      </c>
      <c r="M140" s="47" t="n">
        <v>17.28</v>
      </c>
      <c r="N140" s="50" t="n">
        <f aca="false">K140*L140*M140</f>
        <v>86.4</v>
      </c>
      <c r="O140" s="31" t="n">
        <f aca="false">IFERROR(INDEX(Исходные!$B$18:$B$29,MATCH(H140,Исходные!$A$18:$A$29,0)),0)</f>
        <v>0.617</v>
      </c>
      <c r="P140" s="51" t="n">
        <f aca="false">N140*O140</f>
        <v>53.3088</v>
      </c>
      <c r="Q140" s="15" t="s">
        <v>390</v>
      </c>
      <c r="R140" s="52" t="s">
        <v>391</v>
      </c>
      <c r="S140" s="15"/>
      <c r="T140" s="15" t="s">
        <v>392</v>
      </c>
      <c r="U140" s="40" t="n">
        <v>0</v>
      </c>
      <c r="V140" s="49" t="s">
        <v>393</v>
      </c>
    </row>
    <row r="141" customFormat="false" ht="35.05" hidden="false" customHeight="false" outlineLevel="0" collapsed="false">
      <c r="A141" s="49" t="n">
        <v>135</v>
      </c>
      <c r="B141" s="15" t="s">
        <v>260</v>
      </c>
      <c r="C141" s="15" t="s">
        <v>385</v>
      </c>
      <c r="D141" s="15" t="s">
        <v>386</v>
      </c>
      <c r="E141" s="15" t="s">
        <v>387</v>
      </c>
      <c r="F141" s="49" t="s">
        <v>432</v>
      </c>
      <c r="G141" s="15" t="s">
        <v>437</v>
      </c>
      <c r="H141" s="42" t="n">
        <v>10</v>
      </c>
      <c r="I141" s="49" t="s">
        <v>264</v>
      </c>
      <c r="J141" s="49" t="s">
        <v>98</v>
      </c>
      <c r="K141" s="42" t="n">
        <v>5</v>
      </c>
      <c r="L141" s="42" t="n">
        <v>1</v>
      </c>
      <c r="M141" s="47" t="n">
        <v>0.4</v>
      </c>
      <c r="N141" s="50" t="n">
        <f aca="false">K141*L141*M141</f>
        <v>2</v>
      </c>
      <c r="O141" s="31" t="n">
        <f aca="false">IFERROR(INDEX(Исходные!$B$18:$B$29,MATCH(H141,Исходные!$A$18:$A$29,0)),0)</f>
        <v>0.617</v>
      </c>
      <c r="P141" s="51" t="n">
        <f aca="false">N141*O141</f>
        <v>1.234</v>
      </c>
      <c r="Q141" s="15" t="s">
        <v>396</v>
      </c>
      <c r="R141" s="52" t="s">
        <v>397</v>
      </c>
      <c r="S141" s="15" t="s">
        <v>419</v>
      </c>
      <c r="T141" s="15" t="s">
        <v>392</v>
      </c>
      <c r="U141" s="40" t="n">
        <v>0</v>
      </c>
      <c r="V141" s="49" t="s">
        <v>393</v>
      </c>
    </row>
    <row r="142" customFormat="false" ht="23.85" hidden="false" customHeight="false" outlineLevel="0" collapsed="false">
      <c r="A142" s="49" t="n">
        <v>136</v>
      </c>
      <c r="B142" s="15" t="s">
        <v>260</v>
      </c>
      <c r="C142" s="15" t="s">
        <v>385</v>
      </c>
      <c r="D142" s="15" t="s">
        <v>386</v>
      </c>
      <c r="E142" s="15" t="s">
        <v>387</v>
      </c>
      <c r="F142" s="49" t="s">
        <v>430</v>
      </c>
      <c r="G142" s="15" t="s">
        <v>431</v>
      </c>
      <c r="H142" s="42" t="n">
        <v>10</v>
      </c>
      <c r="I142" s="49" t="s">
        <v>264</v>
      </c>
      <c r="J142" s="49" t="n">
        <v>200</v>
      </c>
      <c r="K142" s="42" t="n">
        <v>1</v>
      </c>
      <c r="L142" s="42" t="n">
        <v>17</v>
      </c>
      <c r="M142" s="47" t="n">
        <v>15.6</v>
      </c>
      <c r="N142" s="50" t="n">
        <f aca="false">K142*L142*M142</f>
        <v>265.2</v>
      </c>
      <c r="O142" s="31" t="n">
        <f aca="false">IFERROR(INDEX(Исходные!$B$18:$B$29,MATCH(H142,Исходные!$A$18:$A$29,0)),0)</f>
        <v>0.617</v>
      </c>
      <c r="P142" s="51" t="n">
        <f aca="false">N142*O142</f>
        <v>163.6284</v>
      </c>
      <c r="Q142" s="15" t="s">
        <v>390</v>
      </c>
      <c r="R142" s="52" t="s">
        <v>391</v>
      </c>
      <c r="S142" s="15"/>
      <c r="T142" s="15" t="s">
        <v>392</v>
      </c>
      <c r="U142" s="40" t="n">
        <v>0</v>
      </c>
      <c r="V142" s="49" t="s">
        <v>393</v>
      </c>
    </row>
    <row r="143" customFormat="false" ht="35.05" hidden="false" customHeight="false" outlineLevel="0" collapsed="false">
      <c r="A143" s="49" t="n">
        <v>137</v>
      </c>
      <c r="B143" s="15" t="s">
        <v>260</v>
      </c>
      <c r="C143" s="15" t="s">
        <v>385</v>
      </c>
      <c r="D143" s="15" t="s">
        <v>386</v>
      </c>
      <c r="E143" s="15" t="s">
        <v>387</v>
      </c>
      <c r="F143" s="49" t="s">
        <v>432</v>
      </c>
      <c r="G143" s="15" t="s">
        <v>438</v>
      </c>
      <c r="H143" s="42" t="n">
        <v>10</v>
      </c>
      <c r="I143" s="49" t="s">
        <v>264</v>
      </c>
      <c r="J143" s="49" t="s">
        <v>98</v>
      </c>
      <c r="K143" s="42" t="n">
        <v>17</v>
      </c>
      <c r="L143" s="42" t="n">
        <v>1</v>
      </c>
      <c r="M143" s="47" t="n">
        <v>0.4</v>
      </c>
      <c r="N143" s="50" t="n">
        <f aca="false">K143*L143*M143</f>
        <v>6.8</v>
      </c>
      <c r="O143" s="31" t="n">
        <f aca="false">IFERROR(INDEX(Исходные!$B$18:$B$29,MATCH(H143,Исходные!$A$18:$A$29,0)),0)</f>
        <v>0.617</v>
      </c>
      <c r="P143" s="51" t="n">
        <f aca="false">N143*O143</f>
        <v>4.1956</v>
      </c>
      <c r="Q143" s="15" t="s">
        <v>396</v>
      </c>
      <c r="R143" s="52" t="s">
        <v>397</v>
      </c>
      <c r="S143" s="15" t="s">
        <v>421</v>
      </c>
      <c r="T143" s="15" t="s">
        <v>392</v>
      </c>
      <c r="U143" s="40" t="n">
        <v>0</v>
      </c>
      <c r="V143" s="49" t="s">
        <v>393</v>
      </c>
    </row>
    <row r="144" customFormat="false" ht="23.85" hidden="false" customHeight="false" outlineLevel="0" collapsed="false">
      <c r="A144" s="49" t="n">
        <v>138</v>
      </c>
      <c r="B144" s="15" t="s">
        <v>260</v>
      </c>
      <c r="C144" s="15" t="s">
        <v>385</v>
      </c>
      <c r="D144" s="15" t="s">
        <v>386</v>
      </c>
      <c r="E144" s="15" t="s">
        <v>387</v>
      </c>
      <c r="F144" s="49" t="s">
        <v>430</v>
      </c>
      <c r="G144" s="15" t="s">
        <v>431</v>
      </c>
      <c r="H144" s="42" t="n">
        <v>10</v>
      </c>
      <c r="I144" s="49" t="s">
        <v>264</v>
      </c>
      <c r="J144" s="49" t="n">
        <v>200</v>
      </c>
      <c r="K144" s="42" t="n">
        <v>1</v>
      </c>
      <c r="L144" s="42" t="n">
        <v>18</v>
      </c>
      <c r="M144" s="47" t="n">
        <v>4.15</v>
      </c>
      <c r="N144" s="50" t="n">
        <f aca="false">K144*L144*M144</f>
        <v>74.7</v>
      </c>
      <c r="O144" s="31" t="n">
        <f aca="false">IFERROR(INDEX(Исходные!$B$18:$B$29,MATCH(H144,Исходные!$A$18:$A$29,0)),0)</f>
        <v>0.617</v>
      </c>
      <c r="P144" s="51" t="n">
        <f aca="false">N144*O144</f>
        <v>46.0899</v>
      </c>
      <c r="Q144" s="15" t="s">
        <v>390</v>
      </c>
      <c r="R144" s="52" t="s">
        <v>391</v>
      </c>
      <c r="S144" s="15"/>
      <c r="T144" s="15" t="s">
        <v>392</v>
      </c>
      <c r="U144" s="40" t="n">
        <v>0</v>
      </c>
      <c r="V144" s="49" t="s">
        <v>393</v>
      </c>
    </row>
    <row r="145" customFormat="false" ht="23.85" hidden="false" customHeight="false" outlineLevel="0" collapsed="false">
      <c r="A145" s="49" t="n">
        <v>139</v>
      </c>
      <c r="B145" s="15" t="s">
        <v>260</v>
      </c>
      <c r="C145" s="15" t="s">
        <v>385</v>
      </c>
      <c r="D145" s="15" t="s">
        <v>386</v>
      </c>
      <c r="E145" s="15" t="s">
        <v>387</v>
      </c>
      <c r="F145" s="49" t="s">
        <v>430</v>
      </c>
      <c r="G145" s="15" t="s">
        <v>431</v>
      </c>
      <c r="H145" s="42" t="n">
        <v>10</v>
      </c>
      <c r="I145" s="49" t="s">
        <v>264</v>
      </c>
      <c r="J145" s="49" t="n">
        <v>200</v>
      </c>
      <c r="K145" s="42" t="n">
        <v>1</v>
      </c>
      <c r="L145" s="42" t="n">
        <v>24</v>
      </c>
      <c r="M145" s="47" t="n">
        <v>0.62</v>
      </c>
      <c r="N145" s="50" t="n">
        <f aca="false">K145*L145*M145</f>
        <v>14.88</v>
      </c>
      <c r="O145" s="31" t="n">
        <f aca="false">IFERROR(INDEX(Исходные!$B$18:$B$29,MATCH(H145,Исходные!$A$18:$A$29,0)),0)</f>
        <v>0.617</v>
      </c>
      <c r="P145" s="51" t="n">
        <f aca="false">N145*O145</f>
        <v>9.18096</v>
      </c>
      <c r="Q145" s="15" t="s">
        <v>390</v>
      </c>
      <c r="R145" s="52" t="s">
        <v>391</v>
      </c>
      <c r="S145" s="15"/>
      <c r="T145" s="15" t="s">
        <v>392</v>
      </c>
      <c r="U145" s="40" t="n">
        <v>0</v>
      </c>
      <c r="V145" s="49" t="s">
        <v>393</v>
      </c>
    </row>
    <row r="146" customFormat="false" ht="23.85" hidden="false" customHeight="false" outlineLevel="0" collapsed="false">
      <c r="A146" s="49" t="n">
        <v>140</v>
      </c>
      <c r="B146" s="15" t="s">
        <v>260</v>
      </c>
      <c r="C146" s="15" t="s">
        <v>385</v>
      </c>
      <c r="D146" s="15" t="s">
        <v>439</v>
      </c>
      <c r="E146" s="15" t="s">
        <v>387</v>
      </c>
      <c r="F146" s="49" t="s">
        <v>440</v>
      </c>
      <c r="G146" s="15" t="s">
        <v>441</v>
      </c>
      <c r="H146" s="42" t="n">
        <v>10</v>
      </c>
      <c r="I146" s="49" t="s">
        <v>264</v>
      </c>
      <c r="J146" s="49" t="n">
        <v>200</v>
      </c>
      <c r="K146" s="42" t="n">
        <v>1</v>
      </c>
      <c r="L146" s="42" t="n">
        <v>22</v>
      </c>
      <c r="M146" s="47" t="n">
        <v>5.05</v>
      </c>
      <c r="N146" s="50" t="n">
        <f aca="false">K146*L146*M146</f>
        <v>111.1</v>
      </c>
      <c r="O146" s="31" t="n">
        <f aca="false">IFERROR(INDEX(Исходные!$B$18:$B$29,MATCH(H146,Исходные!$A$18:$A$29,0)),0)</f>
        <v>0.617</v>
      </c>
      <c r="P146" s="51" t="n">
        <f aca="false">N146*O146</f>
        <v>68.5487</v>
      </c>
      <c r="Q146" s="15" t="s">
        <v>442</v>
      </c>
      <c r="R146" s="52" t="s">
        <v>266</v>
      </c>
      <c r="S146" s="15"/>
      <c r="T146" s="15" t="s">
        <v>392</v>
      </c>
      <c r="U146" s="40" t="n">
        <v>0</v>
      </c>
      <c r="V146" s="49" t="s">
        <v>443</v>
      </c>
    </row>
    <row r="147" customFormat="false" ht="23.85" hidden="false" customHeight="false" outlineLevel="0" collapsed="false">
      <c r="A147" s="49" t="n">
        <v>141</v>
      </c>
      <c r="B147" s="15" t="s">
        <v>260</v>
      </c>
      <c r="C147" s="15" t="s">
        <v>385</v>
      </c>
      <c r="D147" s="15" t="s">
        <v>439</v>
      </c>
      <c r="E147" s="15" t="s">
        <v>387</v>
      </c>
      <c r="F147" s="49" t="s">
        <v>440</v>
      </c>
      <c r="G147" s="15" t="s">
        <v>444</v>
      </c>
      <c r="H147" s="42" t="n">
        <v>10</v>
      </c>
      <c r="I147" s="49" t="s">
        <v>264</v>
      </c>
      <c r="J147" s="49" t="n">
        <v>200</v>
      </c>
      <c r="K147" s="42" t="n">
        <v>1</v>
      </c>
      <c r="L147" s="42" t="n">
        <v>25</v>
      </c>
      <c r="M147" s="47" t="n">
        <v>4.5</v>
      </c>
      <c r="N147" s="50" t="n">
        <f aca="false">K147*L147*M147</f>
        <v>112.5</v>
      </c>
      <c r="O147" s="31" t="n">
        <f aca="false">IFERROR(INDEX(Исходные!$B$18:$B$29,MATCH(H147,Исходные!$A$18:$A$29,0)),0)</f>
        <v>0.617</v>
      </c>
      <c r="P147" s="51" t="n">
        <f aca="false">N147*O147</f>
        <v>69.4125</v>
      </c>
      <c r="Q147" s="15" t="s">
        <v>442</v>
      </c>
      <c r="R147" s="52" t="s">
        <v>266</v>
      </c>
      <c r="S147" s="15"/>
      <c r="T147" s="15" t="s">
        <v>392</v>
      </c>
      <c r="U147" s="40" t="n">
        <v>0</v>
      </c>
      <c r="V147" s="49" t="s">
        <v>443</v>
      </c>
    </row>
    <row r="148" customFormat="false" ht="23.85" hidden="false" customHeight="false" outlineLevel="0" collapsed="false">
      <c r="A148" s="49" t="n">
        <v>142</v>
      </c>
      <c r="B148" s="15" t="s">
        <v>260</v>
      </c>
      <c r="C148" s="15" t="s">
        <v>385</v>
      </c>
      <c r="D148" s="15" t="s">
        <v>439</v>
      </c>
      <c r="E148" s="15" t="s">
        <v>387</v>
      </c>
      <c r="F148" s="49" t="s">
        <v>440</v>
      </c>
      <c r="G148" s="15" t="s">
        <v>445</v>
      </c>
      <c r="H148" s="42" t="n">
        <v>10</v>
      </c>
      <c r="I148" s="49" t="s">
        <v>264</v>
      </c>
      <c r="J148" s="49" t="n">
        <v>200</v>
      </c>
      <c r="K148" s="42" t="n">
        <v>1</v>
      </c>
      <c r="L148" s="42" t="n">
        <v>20</v>
      </c>
      <c r="M148" s="47" t="n">
        <v>3.625</v>
      </c>
      <c r="N148" s="50" t="n">
        <f aca="false">K148*L148*M148</f>
        <v>72.5</v>
      </c>
      <c r="O148" s="31" t="n">
        <f aca="false">IFERROR(INDEX(Исходные!$B$18:$B$29,MATCH(H148,Исходные!$A$18:$A$29,0)),0)</f>
        <v>0.617</v>
      </c>
      <c r="P148" s="51" t="n">
        <f aca="false">N148*O148</f>
        <v>44.7325</v>
      </c>
      <c r="Q148" s="15" t="s">
        <v>442</v>
      </c>
      <c r="R148" s="52" t="s">
        <v>266</v>
      </c>
      <c r="S148" s="15"/>
      <c r="T148" s="15" t="s">
        <v>392</v>
      </c>
      <c r="U148" s="40" t="n">
        <v>0</v>
      </c>
      <c r="V148" s="49" t="s">
        <v>443</v>
      </c>
    </row>
    <row r="149" customFormat="false" ht="23.85" hidden="false" customHeight="false" outlineLevel="0" collapsed="false">
      <c r="A149" s="49" t="n">
        <v>143</v>
      </c>
      <c r="B149" s="15" t="s">
        <v>260</v>
      </c>
      <c r="C149" s="15" t="s">
        <v>385</v>
      </c>
      <c r="D149" s="15" t="s">
        <v>439</v>
      </c>
      <c r="E149" s="15" t="s">
        <v>387</v>
      </c>
      <c r="F149" s="49" t="s">
        <v>440</v>
      </c>
      <c r="G149" s="15" t="s">
        <v>446</v>
      </c>
      <c r="H149" s="42" t="n">
        <v>10</v>
      </c>
      <c r="I149" s="49" t="s">
        <v>264</v>
      </c>
      <c r="J149" s="49" t="n">
        <v>200</v>
      </c>
      <c r="K149" s="42" t="n">
        <v>1</v>
      </c>
      <c r="L149" s="42" t="n">
        <v>17</v>
      </c>
      <c r="M149" s="47" t="n">
        <v>4.5</v>
      </c>
      <c r="N149" s="50" t="n">
        <f aca="false">K149*L149*M149</f>
        <v>76.5</v>
      </c>
      <c r="O149" s="31" t="n">
        <f aca="false">IFERROR(INDEX(Исходные!$B$18:$B$29,MATCH(H149,Исходные!$A$18:$A$29,0)),0)</f>
        <v>0.617</v>
      </c>
      <c r="P149" s="51" t="n">
        <f aca="false">N149*O149</f>
        <v>47.2005</v>
      </c>
      <c r="Q149" s="15" t="s">
        <v>442</v>
      </c>
      <c r="R149" s="52" t="s">
        <v>266</v>
      </c>
      <c r="S149" s="15"/>
      <c r="T149" s="15" t="s">
        <v>392</v>
      </c>
      <c r="U149" s="40" t="n">
        <v>0</v>
      </c>
      <c r="V149" s="49" t="s">
        <v>443</v>
      </c>
    </row>
    <row r="150" customFormat="false" ht="23.85" hidden="false" customHeight="false" outlineLevel="0" collapsed="false">
      <c r="A150" s="49" t="n">
        <v>144</v>
      </c>
      <c r="B150" s="15" t="s">
        <v>260</v>
      </c>
      <c r="C150" s="15" t="s">
        <v>385</v>
      </c>
      <c r="D150" s="15" t="s">
        <v>439</v>
      </c>
      <c r="E150" s="15" t="s">
        <v>387</v>
      </c>
      <c r="F150" s="49" t="s">
        <v>440</v>
      </c>
      <c r="G150" s="15" t="s">
        <v>447</v>
      </c>
      <c r="H150" s="42" t="n">
        <v>10</v>
      </c>
      <c r="I150" s="49" t="s">
        <v>264</v>
      </c>
      <c r="J150" s="49" t="n">
        <v>200</v>
      </c>
      <c r="K150" s="42" t="n">
        <v>1</v>
      </c>
      <c r="L150" s="42" t="n">
        <v>17</v>
      </c>
      <c r="M150" s="47" t="n">
        <v>1.2</v>
      </c>
      <c r="N150" s="50" t="n">
        <f aca="false">K150*L150*M150</f>
        <v>20.4</v>
      </c>
      <c r="O150" s="31" t="n">
        <f aca="false">IFERROR(INDEX(Исходные!$B$18:$B$29,MATCH(H150,Исходные!$A$18:$A$29,0)),0)</f>
        <v>0.617</v>
      </c>
      <c r="P150" s="51" t="n">
        <f aca="false">N150*O150</f>
        <v>12.5868</v>
      </c>
      <c r="Q150" s="15" t="s">
        <v>442</v>
      </c>
      <c r="R150" s="52" t="s">
        <v>266</v>
      </c>
      <c r="S150" s="15"/>
      <c r="T150" s="15" t="s">
        <v>392</v>
      </c>
      <c r="U150" s="40" t="n">
        <v>0</v>
      </c>
      <c r="V150" s="49" t="s">
        <v>443</v>
      </c>
    </row>
    <row r="151" customFormat="false" ht="23.85" hidden="false" customHeight="false" outlineLevel="0" collapsed="false">
      <c r="A151" s="49" t="n">
        <v>145</v>
      </c>
      <c r="B151" s="15" t="s">
        <v>260</v>
      </c>
      <c r="C151" s="15" t="s">
        <v>385</v>
      </c>
      <c r="D151" s="15" t="s">
        <v>439</v>
      </c>
      <c r="E151" s="15" t="s">
        <v>387</v>
      </c>
      <c r="F151" s="49" t="s">
        <v>448</v>
      </c>
      <c r="G151" s="15" t="s">
        <v>449</v>
      </c>
      <c r="H151" s="42" t="n">
        <v>10</v>
      </c>
      <c r="I151" s="49" t="s">
        <v>264</v>
      </c>
      <c r="J151" s="49" t="n">
        <v>200</v>
      </c>
      <c r="K151" s="42" t="n">
        <v>1</v>
      </c>
      <c r="L151" s="42" t="n">
        <v>18</v>
      </c>
      <c r="M151" s="47" t="n">
        <v>1.2</v>
      </c>
      <c r="N151" s="50" t="n">
        <f aca="false">K151*L151*M151</f>
        <v>21.6</v>
      </c>
      <c r="O151" s="31" t="n">
        <f aca="false">IFERROR(INDEX(Исходные!$B$18:$B$29,MATCH(H151,Исходные!$A$18:$A$29,0)),0)</f>
        <v>0.617</v>
      </c>
      <c r="P151" s="51" t="n">
        <f aca="false">N151*O151</f>
        <v>13.3272</v>
      </c>
      <c r="Q151" s="15" t="s">
        <v>450</v>
      </c>
      <c r="R151" s="52" t="s">
        <v>266</v>
      </c>
      <c r="S151" s="15"/>
      <c r="T151" s="15" t="s">
        <v>392</v>
      </c>
      <c r="U151" s="40" t="n">
        <v>0</v>
      </c>
      <c r="V151" s="49" t="s">
        <v>451</v>
      </c>
    </row>
    <row r="152" customFormat="false" ht="23.85" hidden="false" customHeight="false" outlineLevel="0" collapsed="false">
      <c r="A152" s="49" t="n">
        <v>146</v>
      </c>
      <c r="B152" s="15" t="s">
        <v>260</v>
      </c>
      <c r="C152" s="15" t="s">
        <v>385</v>
      </c>
      <c r="D152" s="15" t="s">
        <v>439</v>
      </c>
      <c r="E152" s="15" t="s">
        <v>387</v>
      </c>
      <c r="F152" s="49" t="s">
        <v>448</v>
      </c>
      <c r="G152" s="15" t="s">
        <v>452</v>
      </c>
      <c r="H152" s="42" t="n">
        <v>10</v>
      </c>
      <c r="I152" s="49" t="s">
        <v>264</v>
      </c>
      <c r="J152" s="49" t="n">
        <v>200</v>
      </c>
      <c r="K152" s="42" t="n">
        <v>1</v>
      </c>
      <c r="L152" s="42" t="n">
        <v>11</v>
      </c>
      <c r="M152" s="47" t="n">
        <v>1.2</v>
      </c>
      <c r="N152" s="50" t="n">
        <f aca="false">K152*L152*M152</f>
        <v>13.2</v>
      </c>
      <c r="O152" s="31" t="n">
        <f aca="false">IFERROR(INDEX(Исходные!$B$18:$B$29,MATCH(H152,Исходные!$A$18:$A$29,0)),0)</f>
        <v>0.617</v>
      </c>
      <c r="P152" s="51" t="n">
        <f aca="false">N152*O152</f>
        <v>8.1444</v>
      </c>
      <c r="Q152" s="15" t="s">
        <v>450</v>
      </c>
      <c r="R152" s="52" t="s">
        <v>266</v>
      </c>
      <c r="S152" s="15"/>
      <c r="T152" s="15" t="s">
        <v>392</v>
      </c>
      <c r="U152" s="40" t="n">
        <v>0</v>
      </c>
      <c r="V152" s="49" t="s">
        <v>451</v>
      </c>
    </row>
    <row r="153" customFormat="false" ht="23.85" hidden="false" customHeight="false" outlineLevel="0" collapsed="false">
      <c r="A153" s="49" t="n">
        <v>147</v>
      </c>
      <c r="B153" s="15" t="s">
        <v>260</v>
      </c>
      <c r="C153" s="15" t="s">
        <v>385</v>
      </c>
      <c r="D153" s="15" t="s">
        <v>439</v>
      </c>
      <c r="E153" s="15" t="s">
        <v>387</v>
      </c>
      <c r="F153" s="49" t="s">
        <v>448</v>
      </c>
      <c r="G153" s="15" t="s">
        <v>453</v>
      </c>
      <c r="H153" s="42" t="n">
        <v>10</v>
      </c>
      <c r="I153" s="49" t="s">
        <v>264</v>
      </c>
      <c r="J153" s="49" t="n">
        <v>200</v>
      </c>
      <c r="K153" s="42" t="n">
        <v>1</v>
      </c>
      <c r="L153" s="42" t="n">
        <v>18</v>
      </c>
      <c r="M153" s="47" t="n">
        <v>1.2</v>
      </c>
      <c r="N153" s="50" t="n">
        <f aca="false">K153*L153*M153</f>
        <v>21.6</v>
      </c>
      <c r="O153" s="31" t="n">
        <f aca="false">IFERROR(INDEX(Исходные!$B$18:$B$29,MATCH(H153,Исходные!$A$18:$A$29,0)),0)</f>
        <v>0.617</v>
      </c>
      <c r="P153" s="51" t="n">
        <f aca="false">N153*O153</f>
        <v>13.3272</v>
      </c>
      <c r="Q153" s="15" t="s">
        <v>450</v>
      </c>
      <c r="R153" s="52" t="s">
        <v>266</v>
      </c>
      <c r="S153" s="15"/>
      <c r="T153" s="15" t="s">
        <v>392</v>
      </c>
      <c r="U153" s="40" t="n">
        <v>0</v>
      </c>
      <c r="V153" s="49" t="s">
        <v>451</v>
      </c>
    </row>
    <row r="154" customFormat="false" ht="23.85" hidden="false" customHeight="false" outlineLevel="0" collapsed="false">
      <c r="A154" s="49" t="n">
        <v>148</v>
      </c>
      <c r="B154" s="15" t="s">
        <v>260</v>
      </c>
      <c r="C154" s="15" t="s">
        <v>385</v>
      </c>
      <c r="D154" s="15" t="s">
        <v>439</v>
      </c>
      <c r="E154" s="15" t="s">
        <v>387</v>
      </c>
      <c r="F154" s="49" t="s">
        <v>448</v>
      </c>
      <c r="G154" s="15" t="s">
        <v>454</v>
      </c>
      <c r="H154" s="42" t="n">
        <v>12</v>
      </c>
      <c r="I154" s="49" t="s">
        <v>264</v>
      </c>
      <c r="J154" s="49" t="n">
        <v>200</v>
      </c>
      <c r="K154" s="42" t="n">
        <v>1</v>
      </c>
      <c r="L154" s="42" t="n">
        <v>12</v>
      </c>
      <c r="M154" s="47" t="n">
        <v>1.4</v>
      </c>
      <c r="N154" s="50" t="n">
        <f aca="false">K154*L154*M154</f>
        <v>16.8</v>
      </c>
      <c r="O154" s="31" t="n">
        <f aca="false">IFERROR(INDEX(Исходные!$B$18:$B$29,MATCH(H154,Исходные!$A$18:$A$29,0)),0)</f>
        <v>0.888</v>
      </c>
      <c r="P154" s="51" t="n">
        <f aca="false">N154*O154</f>
        <v>14.9184</v>
      </c>
      <c r="Q154" s="15" t="s">
        <v>450</v>
      </c>
      <c r="R154" s="52" t="s">
        <v>266</v>
      </c>
      <c r="S154" s="15"/>
      <c r="T154" s="15" t="s">
        <v>392</v>
      </c>
      <c r="U154" s="40" t="n">
        <v>0</v>
      </c>
      <c r="V154" s="49" t="s">
        <v>451</v>
      </c>
    </row>
    <row r="155" customFormat="false" ht="23.85" hidden="false" customHeight="false" outlineLevel="0" collapsed="false">
      <c r="A155" s="49" t="n">
        <v>149</v>
      </c>
      <c r="B155" s="15" t="s">
        <v>260</v>
      </c>
      <c r="C155" s="15" t="s">
        <v>385</v>
      </c>
      <c r="D155" s="15" t="s">
        <v>439</v>
      </c>
      <c r="E155" s="15" t="s">
        <v>387</v>
      </c>
      <c r="F155" s="49" t="s">
        <v>448</v>
      </c>
      <c r="G155" s="15" t="s">
        <v>455</v>
      </c>
      <c r="H155" s="42" t="n">
        <v>10</v>
      </c>
      <c r="I155" s="49" t="s">
        <v>264</v>
      </c>
      <c r="J155" s="49" t="n">
        <v>200</v>
      </c>
      <c r="K155" s="42" t="n">
        <v>1</v>
      </c>
      <c r="L155" s="42" t="n">
        <v>18</v>
      </c>
      <c r="M155" s="47" t="n">
        <v>1.4</v>
      </c>
      <c r="N155" s="50" t="n">
        <f aca="false">K155*L155*M155</f>
        <v>25.2</v>
      </c>
      <c r="O155" s="31" t="n">
        <f aca="false">IFERROR(INDEX(Исходные!$B$18:$B$29,MATCH(H155,Исходные!$A$18:$A$29,0)),0)</f>
        <v>0.617</v>
      </c>
      <c r="P155" s="51" t="n">
        <f aca="false">N155*O155</f>
        <v>15.5484</v>
      </c>
      <c r="Q155" s="15" t="s">
        <v>450</v>
      </c>
      <c r="R155" s="52" t="s">
        <v>266</v>
      </c>
      <c r="S155" s="15"/>
      <c r="T155" s="15" t="s">
        <v>392</v>
      </c>
      <c r="U155" s="40" t="n">
        <v>0</v>
      </c>
      <c r="V155" s="49" t="s">
        <v>451</v>
      </c>
    </row>
    <row r="156" customFormat="false" ht="23.85" hidden="false" customHeight="false" outlineLevel="0" collapsed="false">
      <c r="A156" s="49" t="n">
        <v>150</v>
      </c>
      <c r="B156" s="15" t="s">
        <v>260</v>
      </c>
      <c r="C156" s="15" t="s">
        <v>385</v>
      </c>
      <c r="D156" s="15" t="s">
        <v>439</v>
      </c>
      <c r="E156" s="15" t="s">
        <v>387</v>
      </c>
      <c r="F156" s="49" t="s">
        <v>448</v>
      </c>
      <c r="G156" s="15" t="s">
        <v>456</v>
      </c>
      <c r="H156" s="42" t="n">
        <v>12</v>
      </c>
      <c r="I156" s="49" t="s">
        <v>264</v>
      </c>
      <c r="J156" s="49" t="n">
        <v>200</v>
      </c>
      <c r="K156" s="42" t="n">
        <v>1</v>
      </c>
      <c r="L156" s="42" t="n">
        <v>12</v>
      </c>
      <c r="M156" s="47" t="n">
        <v>2.2</v>
      </c>
      <c r="N156" s="50" t="n">
        <f aca="false">K156*L156*M156</f>
        <v>26.4</v>
      </c>
      <c r="O156" s="31" t="n">
        <f aca="false">IFERROR(INDEX(Исходные!$B$18:$B$29,MATCH(H156,Исходные!$A$18:$A$29,0)),0)</f>
        <v>0.888</v>
      </c>
      <c r="P156" s="51" t="n">
        <f aca="false">N156*O156</f>
        <v>23.4432</v>
      </c>
      <c r="Q156" s="15" t="s">
        <v>450</v>
      </c>
      <c r="R156" s="52" t="s">
        <v>266</v>
      </c>
      <c r="S156" s="15"/>
      <c r="T156" s="15" t="s">
        <v>392</v>
      </c>
      <c r="U156" s="40" t="n">
        <v>0</v>
      </c>
      <c r="V156" s="49" t="s">
        <v>451</v>
      </c>
    </row>
    <row r="157" customFormat="false" ht="23.85" hidden="false" customHeight="false" outlineLevel="0" collapsed="false">
      <c r="A157" s="49" t="n">
        <v>151</v>
      </c>
      <c r="B157" s="15" t="s">
        <v>260</v>
      </c>
      <c r="C157" s="15" t="s">
        <v>385</v>
      </c>
      <c r="D157" s="15" t="s">
        <v>439</v>
      </c>
      <c r="E157" s="15" t="s">
        <v>387</v>
      </c>
      <c r="F157" s="49" t="s">
        <v>448</v>
      </c>
      <c r="G157" s="15" t="s">
        <v>457</v>
      </c>
      <c r="H157" s="42" t="n">
        <v>10</v>
      </c>
      <c r="I157" s="49" t="s">
        <v>264</v>
      </c>
      <c r="J157" s="49" t="n">
        <v>200</v>
      </c>
      <c r="K157" s="42" t="n">
        <v>1</v>
      </c>
      <c r="L157" s="42" t="n">
        <v>18</v>
      </c>
      <c r="M157" s="47" t="n">
        <v>2.2</v>
      </c>
      <c r="N157" s="50" t="n">
        <f aca="false">K157*L157*M157</f>
        <v>39.6</v>
      </c>
      <c r="O157" s="31" t="n">
        <f aca="false">IFERROR(INDEX(Исходные!$B$18:$B$29,MATCH(H157,Исходные!$A$18:$A$29,0)),0)</f>
        <v>0.617</v>
      </c>
      <c r="P157" s="51" t="n">
        <f aca="false">N157*O157</f>
        <v>24.4332</v>
      </c>
      <c r="Q157" s="15" t="s">
        <v>450</v>
      </c>
      <c r="R157" s="52" t="s">
        <v>266</v>
      </c>
      <c r="S157" s="15"/>
      <c r="T157" s="15" t="s">
        <v>392</v>
      </c>
      <c r="U157" s="40" t="n">
        <v>0</v>
      </c>
      <c r="V157" s="49" t="s">
        <v>451</v>
      </c>
    </row>
    <row r="158" customFormat="false" ht="23.85" hidden="false" customHeight="false" outlineLevel="0" collapsed="false">
      <c r="A158" s="49" t="n">
        <v>152</v>
      </c>
      <c r="B158" s="15" t="s">
        <v>260</v>
      </c>
      <c r="C158" s="15" t="s">
        <v>385</v>
      </c>
      <c r="D158" s="15" t="s">
        <v>439</v>
      </c>
      <c r="E158" s="15" t="s">
        <v>387</v>
      </c>
      <c r="F158" s="49" t="s">
        <v>448</v>
      </c>
      <c r="G158" s="15" t="s">
        <v>458</v>
      </c>
      <c r="H158" s="42" t="n">
        <v>10</v>
      </c>
      <c r="I158" s="49" t="s">
        <v>264</v>
      </c>
      <c r="J158" s="49" t="n">
        <v>200</v>
      </c>
      <c r="K158" s="42" t="n">
        <v>1</v>
      </c>
      <c r="L158" s="42" t="n">
        <v>24</v>
      </c>
      <c r="M158" s="47" t="n">
        <v>1.2</v>
      </c>
      <c r="N158" s="50" t="n">
        <f aca="false">K158*L158*M158</f>
        <v>28.8</v>
      </c>
      <c r="O158" s="31" t="n">
        <f aca="false">IFERROR(INDEX(Исходные!$B$18:$B$29,MATCH(H158,Исходные!$A$18:$A$29,0)),0)</f>
        <v>0.617</v>
      </c>
      <c r="P158" s="51" t="n">
        <f aca="false">N158*O158</f>
        <v>17.7696</v>
      </c>
      <c r="Q158" s="15" t="s">
        <v>450</v>
      </c>
      <c r="R158" s="52" t="s">
        <v>266</v>
      </c>
      <c r="S158" s="15"/>
      <c r="T158" s="15" t="s">
        <v>392</v>
      </c>
      <c r="U158" s="40" t="n">
        <v>0</v>
      </c>
      <c r="V158" s="49" t="s">
        <v>451</v>
      </c>
    </row>
    <row r="159" customFormat="false" ht="23.85" hidden="false" customHeight="false" outlineLevel="0" collapsed="false">
      <c r="A159" s="49" t="n">
        <v>153</v>
      </c>
      <c r="B159" s="15" t="s">
        <v>260</v>
      </c>
      <c r="C159" s="15" t="s">
        <v>385</v>
      </c>
      <c r="D159" s="15" t="s">
        <v>439</v>
      </c>
      <c r="E159" s="15" t="s">
        <v>387</v>
      </c>
      <c r="F159" s="49" t="s">
        <v>448</v>
      </c>
      <c r="G159" s="15" t="s">
        <v>459</v>
      </c>
      <c r="H159" s="42" t="n">
        <v>10</v>
      </c>
      <c r="I159" s="49" t="s">
        <v>264</v>
      </c>
      <c r="J159" s="49" t="n">
        <v>200</v>
      </c>
      <c r="K159" s="42" t="n">
        <v>1</v>
      </c>
      <c r="L159" s="42" t="n">
        <v>25</v>
      </c>
      <c r="M159" s="47" t="n">
        <v>2</v>
      </c>
      <c r="N159" s="50" t="n">
        <f aca="false">K159*L159*M159</f>
        <v>50</v>
      </c>
      <c r="O159" s="31" t="n">
        <f aca="false">IFERROR(INDEX(Исходные!$B$18:$B$29,MATCH(H159,Исходные!$A$18:$A$29,0)),0)</f>
        <v>0.617</v>
      </c>
      <c r="P159" s="51" t="n">
        <f aca="false">N159*O159</f>
        <v>30.85</v>
      </c>
      <c r="Q159" s="15" t="s">
        <v>450</v>
      </c>
      <c r="R159" s="52" t="s">
        <v>266</v>
      </c>
      <c r="S159" s="15"/>
      <c r="T159" s="15" t="s">
        <v>392</v>
      </c>
      <c r="U159" s="40" t="n">
        <v>0</v>
      </c>
      <c r="V159" s="49" t="s">
        <v>451</v>
      </c>
    </row>
    <row r="160" customFormat="false" ht="23.85" hidden="false" customHeight="false" outlineLevel="0" collapsed="false">
      <c r="A160" s="49" t="n">
        <v>154</v>
      </c>
      <c r="B160" s="15" t="s">
        <v>260</v>
      </c>
      <c r="C160" s="15" t="s">
        <v>385</v>
      </c>
      <c r="D160" s="15" t="s">
        <v>439</v>
      </c>
      <c r="E160" s="15" t="s">
        <v>387</v>
      </c>
      <c r="F160" s="49" t="s">
        <v>448</v>
      </c>
      <c r="G160" s="15" t="s">
        <v>460</v>
      </c>
      <c r="H160" s="42" t="n">
        <v>10</v>
      </c>
      <c r="I160" s="49" t="s">
        <v>264</v>
      </c>
      <c r="J160" s="49" t="n">
        <v>200</v>
      </c>
      <c r="K160" s="42" t="n">
        <v>1</v>
      </c>
      <c r="L160" s="42" t="n">
        <v>25</v>
      </c>
      <c r="M160" s="47" t="n">
        <v>1.2</v>
      </c>
      <c r="N160" s="50" t="n">
        <f aca="false">K160*L160*M160</f>
        <v>30</v>
      </c>
      <c r="O160" s="31" t="n">
        <f aca="false">IFERROR(INDEX(Исходные!$B$18:$B$29,MATCH(H160,Исходные!$A$18:$A$29,0)),0)</f>
        <v>0.617</v>
      </c>
      <c r="P160" s="51" t="n">
        <f aca="false">N160*O160</f>
        <v>18.51</v>
      </c>
      <c r="Q160" s="15" t="s">
        <v>450</v>
      </c>
      <c r="R160" s="52" t="s">
        <v>266</v>
      </c>
      <c r="S160" s="15"/>
      <c r="T160" s="15" t="s">
        <v>392</v>
      </c>
      <c r="U160" s="40" t="n">
        <v>0</v>
      </c>
      <c r="V160" s="49" t="s">
        <v>451</v>
      </c>
    </row>
    <row r="161" customFormat="false" ht="23.85" hidden="false" customHeight="false" outlineLevel="0" collapsed="false">
      <c r="A161" s="49" t="n">
        <v>155</v>
      </c>
      <c r="B161" s="15" t="s">
        <v>260</v>
      </c>
      <c r="C161" s="15" t="s">
        <v>385</v>
      </c>
      <c r="D161" s="15" t="s">
        <v>439</v>
      </c>
      <c r="E161" s="15" t="s">
        <v>387</v>
      </c>
      <c r="F161" s="49" t="s">
        <v>448</v>
      </c>
      <c r="G161" s="15" t="s">
        <v>461</v>
      </c>
      <c r="H161" s="42" t="n">
        <v>10</v>
      </c>
      <c r="I161" s="49" t="s">
        <v>264</v>
      </c>
      <c r="J161" s="49" t="n">
        <v>200</v>
      </c>
      <c r="K161" s="42" t="n">
        <v>1</v>
      </c>
      <c r="L161" s="42" t="n">
        <v>17</v>
      </c>
      <c r="M161" s="47" t="n">
        <v>1.2</v>
      </c>
      <c r="N161" s="50" t="n">
        <f aca="false">K161*L161*M161</f>
        <v>20.4</v>
      </c>
      <c r="O161" s="31" t="n">
        <f aca="false">IFERROR(INDEX(Исходные!$B$18:$B$29,MATCH(H161,Исходные!$A$18:$A$29,0)),0)</f>
        <v>0.617</v>
      </c>
      <c r="P161" s="51" t="n">
        <f aca="false">N161*O161</f>
        <v>12.5868</v>
      </c>
      <c r="Q161" s="15" t="s">
        <v>450</v>
      </c>
      <c r="R161" s="52" t="s">
        <v>266</v>
      </c>
      <c r="S161" s="15"/>
      <c r="T161" s="15" t="s">
        <v>392</v>
      </c>
      <c r="U161" s="40" t="n">
        <v>0</v>
      </c>
      <c r="V161" s="49" t="s">
        <v>451</v>
      </c>
    </row>
    <row r="162" customFormat="false" ht="23.85" hidden="false" customHeight="false" outlineLevel="0" collapsed="false">
      <c r="A162" s="49" t="n">
        <v>156</v>
      </c>
      <c r="B162" s="15" t="s">
        <v>260</v>
      </c>
      <c r="C162" s="15" t="s">
        <v>385</v>
      </c>
      <c r="D162" s="15" t="s">
        <v>439</v>
      </c>
      <c r="E162" s="15" t="s">
        <v>387</v>
      </c>
      <c r="F162" s="49" t="s">
        <v>448</v>
      </c>
      <c r="G162" s="15" t="s">
        <v>462</v>
      </c>
      <c r="H162" s="42" t="n">
        <v>10</v>
      </c>
      <c r="I162" s="49" t="s">
        <v>264</v>
      </c>
      <c r="J162" s="49" t="n">
        <v>200</v>
      </c>
      <c r="K162" s="42" t="n">
        <v>1</v>
      </c>
      <c r="L162" s="42" t="n">
        <v>36</v>
      </c>
      <c r="M162" s="47" t="n">
        <v>1.2</v>
      </c>
      <c r="N162" s="50" t="n">
        <f aca="false">K162*L162*M162</f>
        <v>43.2</v>
      </c>
      <c r="O162" s="31" t="n">
        <f aca="false">IFERROR(INDEX(Исходные!$B$18:$B$29,MATCH(H162,Исходные!$A$18:$A$29,0)),0)</f>
        <v>0.617</v>
      </c>
      <c r="P162" s="51" t="n">
        <f aca="false">N162*O162</f>
        <v>26.6544</v>
      </c>
      <c r="Q162" s="15" t="s">
        <v>450</v>
      </c>
      <c r="R162" s="52" t="s">
        <v>266</v>
      </c>
      <c r="S162" s="15"/>
      <c r="T162" s="15" t="s">
        <v>392</v>
      </c>
      <c r="U162" s="40" t="n">
        <v>0</v>
      </c>
      <c r="V162" s="49" t="s">
        <v>451</v>
      </c>
    </row>
    <row r="163" customFormat="false" ht="23.85" hidden="false" customHeight="false" outlineLevel="0" collapsed="false">
      <c r="A163" s="49" t="n">
        <v>157</v>
      </c>
      <c r="B163" s="15" t="s">
        <v>260</v>
      </c>
      <c r="C163" s="15" t="s">
        <v>385</v>
      </c>
      <c r="D163" s="15" t="s">
        <v>439</v>
      </c>
      <c r="E163" s="15" t="s">
        <v>387</v>
      </c>
      <c r="F163" s="49" t="s">
        <v>448</v>
      </c>
      <c r="G163" s="15" t="s">
        <v>463</v>
      </c>
      <c r="H163" s="42" t="n">
        <v>10</v>
      </c>
      <c r="I163" s="49" t="s">
        <v>264</v>
      </c>
      <c r="J163" s="49" t="n">
        <v>200</v>
      </c>
      <c r="K163" s="42" t="n">
        <v>1</v>
      </c>
      <c r="L163" s="42" t="n">
        <v>15</v>
      </c>
      <c r="M163" s="47" t="n">
        <v>1.4</v>
      </c>
      <c r="N163" s="50" t="n">
        <f aca="false">K163*L163*M163</f>
        <v>21</v>
      </c>
      <c r="O163" s="31" t="n">
        <f aca="false">IFERROR(INDEX(Исходные!$B$18:$B$29,MATCH(H163,Исходные!$A$18:$A$29,0)),0)</f>
        <v>0.617</v>
      </c>
      <c r="P163" s="51" t="n">
        <f aca="false">N163*O163</f>
        <v>12.957</v>
      </c>
      <c r="Q163" s="15" t="s">
        <v>450</v>
      </c>
      <c r="R163" s="52" t="s">
        <v>266</v>
      </c>
      <c r="S163" s="15"/>
      <c r="T163" s="15" t="s">
        <v>392</v>
      </c>
      <c r="U163" s="40" t="n">
        <v>0</v>
      </c>
      <c r="V163" s="49" t="s">
        <v>451</v>
      </c>
    </row>
    <row r="164" customFormat="false" ht="23.85" hidden="false" customHeight="false" outlineLevel="0" collapsed="false">
      <c r="A164" s="49" t="n">
        <v>158</v>
      </c>
      <c r="B164" s="15" t="s">
        <v>260</v>
      </c>
      <c r="C164" s="15" t="s">
        <v>385</v>
      </c>
      <c r="D164" s="15" t="s">
        <v>439</v>
      </c>
      <c r="E164" s="15" t="s">
        <v>387</v>
      </c>
      <c r="F164" s="49" t="s">
        <v>448</v>
      </c>
      <c r="G164" s="15" t="s">
        <v>464</v>
      </c>
      <c r="H164" s="42" t="n">
        <v>10</v>
      </c>
      <c r="I164" s="49" t="s">
        <v>264</v>
      </c>
      <c r="J164" s="49" t="n">
        <v>200</v>
      </c>
      <c r="K164" s="42" t="n">
        <v>1</v>
      </c>
      <c r="L164" s="42" t="n">
        <v>17</v>
      </c>
      <c r="M164" s="47" t="n">
        <v>2.2</v>
      </c>
      <c r="N164" s="50" t="n">
        <f aca="false">K164*L164*M164</f>
        <v>37.4</v>
      </c>
      <c r="O164" s="31" t="n">
        <f aca="false">IFERROR(INDEX(Исходные!$B$18:$B$29,MATCH(H164,Исходные!$A$18:$A$29,0)),0)</f>
        <v>0.617</v>
      </c>
      <c r="P164" s="51" t="n">
        <f aca="false">N164*O164</f>
        <v>23.0758</v>
      </c>
      <c r="Q164" s="15" t="s">
        <v>450</v>
      </c>
      <c r="R164" s="52" t="s">
        <v>266</v>
      </c>
      <c r="S164" s="15"/>
      <c r="T164" s="15" t="s">
        <v>392</v>
      </c>
      <c r="U164" s="40" t="n">
        <v>0</v>
      </c>
      <c r="V164" s="49" t="s">
        <v>451</v>
      </c>
    </row>
    <row r="165" customFormat="false" ht="23.85" hidden="false" customHeight="false" outlineLevel="0" collapsed="false">
      <c r="A165" s="49" t="n">
        <v>159</v>
      </c>
      <c r="B165" s="15" t="s">
        <v>260</v>
      </c>
      <c r="C165" s="15" t="s">
        <v>385</v>
      </c>
      <c r="D165" s="15" t="s">
        <v>439</v>
      </c>
      <c r="E165" s="15" t="s">
        <v>387</v>
      </c>
      <c r="F165" s="49" t="s">
        <v>448</v>
      </c>
      <c r="G165" s="15" t="s">
        <v>465</v>
      </c>
      <c r="H165" s="42" t="n">
        <v>10</v>
      </c>
      <c r="I165" s="49" t="s">
        <v>264</v>
      </c>
      <c r="J165" s="49" t="n">
        <v>200</v>
      </c>
      <c r="K165" s="42" t="n">
        <v>1</v>
      </c>
      <c r="L165" s="42" t="n">
        <v>29</v>
      </c>
      <c r="M165" s="47" t="n">
        <v>1.4</v>
      </c>
      <c r="N165" s="50" t="n">
        <f aca="false">K165*L165*M165</f>
        <v>40.6</v>
      </c>
      <c r="O165" s="31" t="n">
        <f aca="false">IFERROR(INDEX(Исходные!$B$18:$B$29,MATCH(H165,Исходные!$A$18:$A$29,0)),0)</f>
        <v>0.617</v>
      </c>
      <c r="P165" s="51" t="n">
        <f aca="false">N165*O165</f>
        <v>25.0502</v>
      </c>
      <c r="Q165" s="15" t="s">
        <v>450</v>
      </c>
      <c r="R165" s="52" t="s">
        <v>266</v>
      </c>
      <c r="S165" s="15"/>
      <c r="T165" s="15" t="s">
        <v>392</v>
      </c>
      <c r="U165" s="40" t="n">
        <v>0</v>
      </c>
      <c r="V165" s="49" t="s">
        <v>451</v>
      </c>
    </row>
    <row r="166" customFormat="false" ht="23.85" hidden="false" customHeight="false" outlineLevel="0" collapsed="false">
      <c r="A166" s="49" t="n">
        <v>160</v>
      </c>
      <c r="B166" s="15" t="s">
        <v>260</v>
      </c>
      <c r="C166" s="15" t="s">
        <v>385</v>
      </c>
      <c r="D166" s="15" t="s">
        <v>439</v>
      </c>
      <c r="E166" s="15" t="s">
        <v>387</v>
      </c>
      <c r="F166" s="49" t="s">
        <v>448</v>
      </c>
      <c r="G166" s="15" t="s">
        <v>466</v>
      </c>
      <c r="H166" s="42" t="n">
        <v>10</v>
      </c>
      <c r="I166" s="49" t="s">
        <v>264</v>
      </c>
      <c r="J166" s="49" t="n">
        <v>200</v>
      </c>
      <c r="K166" s="42" t="n">
        <v>1</v>
      </c>
      <c r="L166" s="42" t="n">
        <v>62</v>
      </c>
      <c r="M166" s="47" t="n">
        <v>2.2</v>
      </c>
      <c r="N166" s="50" t="n">
        <f aca="false">K166*L166*M166</f>
        <v>136.4</v>
      </c>
      <c r="O166" s="31" t="n">
        <f aca="false">IFERROR(INDEX(Исходные!$B$18:$B$29,MATCH(H166,Исходные!$A$18:$A$29,0)),0)</f>
        <v>0.617</v>
      </c>
      <c r="P166" s="51" t="n">
        <f aca="false">N166*O166</f>
        <v>84.1588</v>
      </c>
      <c r="Q166" s="15" t="s">
        <v>450</v>
      </c>
      <c r="R166" s="52" t="s">
        <v>266</v>
      </c>
      <c r="S166" s="15"/>
      <c r="T166" s="15" t="s">
        <v>392</v>
      </c>
      <c r="U166" s="40" t="n">
        <v>0</v>
      </c>
      <c r="V166" s="49" t="s">
        <v>451</v>
      </c>
    </row>
    <row r="167" customFormat="false" ht="23.85" hidden="false" customHeight="false" outlineLevel="0" collapsed="false">
      <c r="A167" s="49" t="n">
        <v>161</v>
      </c>
      <c r="B167" s="15" t="s">
        <v>260</v>
      </c>
      <c r="C167" s="15" t="s">
        <v>385</v>
      </c>
      <c r="D167" s="15" t="s">
        <v>467</v>
      </c>
      <c r="E167" s="15" t="s">
        <v>387</v>
      </c>
      <c r="F167" s="49" t="s">
        <v>448</v>
      </c>
      <c r="G167" s="15" t="s">
        <v>468</v>
      </c>
      <c r="H167" s="42" t="n">
        <v>20</v>
      </c>
      <c r="I167" s="49" t="s">
        <v>264</v>
      </c>
      <c r="J167" s="49" t="s">
        <v>98</v>
      </c>
      <c r="K167" s="42" t="n">
        <v>4</v>
      </c>
      <c r="L167" s="42" t="n">
        <v>1</v>
      </c>
      <c r="M167" s="47" t="n">
        <v>3</v>
      </c>
      <c r="N167" s="50" t="n">
        <f aca="false">K167*L167*M167</f>
        <v>12</v>
      </c>
      <c r="O167" s="31" t="n">
        <f aca="false">IFERROR(INDEX(Исходные!$B$18:$B$29,MATCH(H167,Исходные!$A$18:$A$29,0)),0)</f>
        <v>2.466</v>
      </c>
      <c r="P167" s="51" t="n">
        <f aca="false">N167*O167</f>
        <v>29.592</v>
      </c>
      <c r="Q167" s="15" t="s">
        <v>469</v>
      </c>
      <c r="R167" s="52" t="s">
        <v>266</v>
      </c>
      <c r="S167" s="15"/>
      <c r="T167" s="15" t="s">
        <v>392</v>
      </c>
      <c r="U167" s="40" t="n">
        <v>0</v>
      </c>
      <c r="V167" s="49" t="s">
        <v>451</v>
      </c>
    </row>
    <row r="168" customFormat="false" ht="23.85" hidden="false" customHeight="false" outlineLevel="0" collapsed="false">
      <c r="A168" s="49" t="n">
        <v>162</v>
      </c>
      <c r="B168" s="15" t="s">
        <v>260</v>
      </c>
      <c r="C168" s="15" t="s">
        <v>385</v>
      </c>
      <c r="D168" s="15" t="s">
        <v>470</v>
      </c>
      <c r="E168" s="15" t="s">
        <v>387</v>
      </c>
      <c r="F168" s="49" t="s">
        <v>471</v>
      </c>
      <c r="G168" s="15" t="s">
        <v>472</v>
      </c>
      <c r="H168" s="42" t="n">
        <v>14</v>
      </c>
      <c r="I168" s="49" t="s">
        <v>264</v>
      </c>
      <c r="J168" s="49" t="s">
        <v>98</v>
      </c>
      <c r="K168" s="42" t="n">
        <v>1</v>
      </c>
      <c r="L168" s="42" t="n">
        <v>2</v>
      </c>
      <c r="M168" s="47" t="n">
        <v>25.825</v>
      </c>
      <c r="N168" s="50" t="n">
        <f aca="false">K168*L168*M168</f>
        <v>51.65</v>
      </c>
      <c r="O168" s="31" t="n">
        <f aca="false">IFERROR(INDEX(Исходные!$B$18:$B$29,MATCH(H168,Исходные!$A$18:$A$29,0)),0)</f>
        <v>1.208</v>
      </c>
      <c r="P168" s="51" t="n">
        <f aca="false">N168*O168</f>
        <v>62.3932</v>
      </c>
      <c r="Q168" s="15" t="s">
        <v>473</v>
      </c>
      <c r="R168" s="52" t="s">
        <v>391</v>
      </c>
      <c r="S168" s="15"/>
      <c r="T168" s="15" t="s">
        <v>392</v>
      </c>
      <c r="U168" s="40" t="n">
        <v>0</v>
      </c>
      <c r="V168" s="49" t="s">
        <v>474</v>
      </c>
    </row>
    <row r="169" customFormat="false" ht="35.05" hidden="false" customHeight="false" outlineLevel="0" collapsed="false">
      <c r="A169" s="49" t="n">
        <v>163</v>
      </c>
      <c r="B169" s="15" t="s">
        <v>260</v>
      </c>
      <c r="C169" s="15" t="s">
        <v>385</v>
      </c>
      <c r="D169" s="15" t="s">
        <v>470</v>
      </c>
      <c r="E169" s="15" t="s">
        <v>387</v>
      </c>
      <c r="F169" s="49" t="s">
        <v>475</v>
      </c>
      <c r="G169" s="15" t="s">
        <v>476</v>
      </c>
      <c r="H169" s="42" t="n">
        <v>14</v>
      </c>
      <c r="I169" s="49" t="s">
        <v>264</v>
      </c>
      <c r="J169" s="49" t="s">
        <v>98</v>
      </c>
      <c r="K169" s="42" t="n">
        <v>2</v>
      </c>
      <c r="L169" s="42" t="n">
        <v>2</v>
      </c>
      <c r="M169" s="47" t="n">
        <v>0.56</v>
      </c>
      <c r="N169" s="50" t="n">
        <f aca="false">K169*L169*M169</f>
        <v>2.24</v>
      </c>
      <c r="O169" s="31" t="n">
        <f aca="false">IFERROR(INDEX(Исходные!$B$18:$B$29,MATCH(H169,Исходные!$A$18:$A$29,0)),0)</f>
        <v>1.208</v>
      </c>
      <c r="P169" s="51" t="n">
        <f aca="false">N169*O169</f>
        <v>2.70592</v>
      </c>
      <c r="Q169" s="15" t="s">
        <v>477</v>
      </c>
      <c r="R169" s="52" t="s">
        <v>397</v>
      </c>
      <c r="S169" s="15" t="s">
        <v>478</v>
      </c>
      <c r="T169" s="15" t="s">
        <v>392</v>
      </c>
      <c r="U169" s="40" t="n">
        <v>0</v>
      </c>
      <c r="V169" s="49" t="s">
        <v>474</v>
      </c>
    </row>
    <row r="170" customFormat="false" ht="23.85" hidden="false" customHeight="false" outlineLevel="0" collapsed="false">
      <c r="A170" s="49" t="n">
        <v>164</v>
      </c>
      <c r="B170" s="15" t="s">
        <v>260</v>
      </c>
      <c r="C170" s="15" t="s">
        <v>385</v>
      </c>
      <c r="D170" s="15" t="s">
        <v>470</v>
      </c>
      <c r="E170" s="15" t="s">
        <v>387</v>
      </c>
      <c r="F170" s="49" t="s">
        <v>471</v>
      </c>
      <c r="G170" s="15" t="s">
        <v>479</v>
      </c>
      <c r="H170" s="42" t="n">
        <v>14</v>
      </c>
      <c r="I170" s="49" t="s">
        <v>264</v>
      </c>
      <c r="J170" s="49" t="s">
        <v>98</v>
      </c>
      <c r="K170" s="42" t="n">
        <v>1</v>
      </c>
      <c r="L170" s="42" t="n">
        <v>2</v>
      </c>
      <c r="M170" s="47" t="n">
        <v>20.525</v>
      </c>
      <c r="N170" s="50" t="n">
        <f aca="false">K170*L170*M170</f>
        <v>41.05</v>
      </c>
      <c r="O170" s="31" t="n">
        <f aca="false">IFERROR(INDEX(Исходные!$B$18:$B$29,MATCH(H170,Исходные!$A$18:$A$29,0)),0)</f>
        <v>1.208</v>
      </c>
      <c r="P170" s="51" t="n">
        <f aca="false">N170*O170</f>
        <v>49.5884</v>
      </c>
      <c r="Q170" s="15" t="s">
        <v>480</v>
      </c>
      <c r="R170" s="52" t="s">
        <v>391</v>
      </c>
      <c r="S170" s="15"/>
      <c r="T170" s="15" t="s">
        <v>392</v>
      </c>
      <c r="U170" s="40" t="n">
        <v>0</v>
      </c>
      <c r="V170" s="49" t="s">
        <v>474</v>
      </c>
    </row>
    <row r="171" customFormat="false" ht="35.05" hidden="false" customHeight="false" outlineLevel="0" collapsed="false">
      <c r="A171" s="49" t="n">
        <v>165</v>
      </c>
      <c r="B171" s="15" t="s">
        <v>260</v>
      </c>
      <c r="C171" s="15" t="s">
        <v>385</v>
      </c>
      <c r="D171" s="15" t="s">
        <v>470</v>
      </c>
      <c r="E171" s="15" t="s">
        <v>387</v>
      </c>
      <c r="F171" s="49" t="s">
        <v>475</v>
      </c>
      <c r="G171" s="15" t="s">
        <v>481</v>
      </c>
      <c r="H171" s="42" t="n">
        <v>14</v>
      </c>
      <c r="I171" s="49" t="s">
        <v>264</v>
      </c>
      <c r="J171" s="49" t="s">
        <v>98</v>
      </c>
      <c r="K171" s="42" t="n">
        <v>2</v>
      </c>
      <c r="L171" s="42" t="n">
        <v>1</v>
      </c>
      <c r="M171" s="47" t="n">
        <v>0.56</v>
      </c>
      <c r="N171" s="50" t="n">
        <f aca="false">K171*L171*M171</f>
        <v>1.12</v>
      </c>
      <c r="O171" s="31" t="n">
        <f aca="false">IFERROR(INDEX(Исходные!$B$18:$B$29,MATCH(H171,Исходные!$A$18:$A$29,0)),0)</f>
        <v>1.208</v>
      </c>
      <c r="P171" s="51" t="n">
        <f aca="false">N171*O171</f>
        <v>1.35296</v>
      </c>
      <c r="Q171" s="15" t="s">
        <v>477</v>
      </c>
      <c r="R171" s="52" t="s">
        <v>397</v>
      </c>
      <c r="S171" s="15" t="s">
        <v>482</v>
      </c>
      <c r="T171" s="15" t="s">
        <v>392</v>
      </c>
      <c r="U171" s="40" t="n">
        <v>0</v>
      </c>
      <c r="V171" s="49" t="s">
        <v>474</v>
      </c>
    </row>
    <row r="172" customFormat="false" ht="23.85" hidden="false" customHeight="false" outlineLevel="0" collapsed="false">
      <c r="A172" s="49" t="n">
        <v>166</v>
      </c>
      <c r="B172" s="15" t="s">
        <v>260</v>
      </c>
      <c r="C172" s="15" t="s">
        <v>385</v>
      </c>
      <c r="D172" s="15" t="s">
        <v>470</v>
      </c>
      <c r="E172" s="15" t="s">
        <v>387</v>
      </c>
      <c r="F172" s="49" t="s">
        <v>296</v>
      </c>
      <c r="G172" s="15" t="s">
        <v>483</v>
      </c>
      <c r="H172" s="42" t="n">
        <v>10</v>
      </c>
      <c r="I172" s="49" t="s">
        <v>298</v>
      </c>
      <c r="J172" s="49" t="n">
        <v>400</v>
      </c>
      <c r="K172" s="42" t="n">
        <v>1</v>
      </c>
      <c r="L172" s="42" t="n">
        <v>119</v>
      </c>
      <c r="M172" s="47" t="n">
        <v>0.7</v>
      </c>
      <c r="N172" s="50" t="n">
        <f aca="false">K172*L172*M172</f>
        <v>83.3</v>
      </c>
      <c r="O172" s="31" t="n">
        <f aca="false">IFERROR(INDEX(Исходные!$B$18:$B$29,MATCH(H172,Исходные!$A$18:$A$29,0)),0)</f>
        <v>0.617</v>
      </c>
      <c r="P172" s="51" t="n">
        <f aca="false">N172*O172</f>
        <v>51.3961</v>
      </c>
      <c r="Q172" s="15" t="s">
        <v>484</v>
      </c>
      <c r="R172" s="52" t="s">
        <v>266</v>
      </c>
      <c r="S172" s="15"/>
      <c r="T172" s="15" t="s">
        <v>392</v>
      </c>
      <c r="U172" s="40" t="n">
        <v>0</v>
      </c>
      <c r="V172" s="49" t="s">
        <v>474</v>
      </c>
    </row>
    <row r="173" customFormat="false" ht="23.85" hidden="false" customHeight="false" outlineLevel="0" collapsed="false">
      <c r="A173" s="49" t="n">
        <v>167</v>
      </c>
      <c r="B173" s="15" t="s">
        <v>260</v>
      </c>
      <c r="C173" s="15" t="s">
        <v>385</v>
      </c>
      <c r="D173" s="15" t="s">
        <v>485</v>
      </c>
      <c r="E173" s="15" t="s">
        <v>486</v>
      </c>
      <c r="F173" s="49" t="s">
        <v>486</v>
      </c>
      <c r="G173" s="15" t="s">
        <v>487</v>
      </c>
      <c r="H173" s="42" t="n">
        <v>10</v>
      </c>
      <c r="I173" s="49" t="s">
        <v>298</v>
      </c>
      <c r="J173" s="49" t="s">
        <v>488</v>
      </c>
      <c r="K173" s="42" t="n">
        <v>1</v>
      </c>
      <c r="L173" s="42" t="n">
        <v>847</v>
      </c>
      <c r="M173" s="47" t="n">
        <v>0.42</v>
      </c>
      <c r="N173" s="50" t="n">
        <f aca="false">K173*L173*M173</f>
        <v>355.74</v>
      </c>
      <c r="O173" s="31" t="n">
        <f aca="false">IFERROR(INDEX(Исходные!$B$18:$B$29,MATCH(H173,Исходные!$A$18:$A$29,0)),0)</f>
        <v>0.617</v>
      </c>
      <c r="P173" s="51" t="n">
        <f aca="false">N173*O173</f>
        <v>219.49158</v>
      </c>
      <c r="Q173" s="15" t="s">
        <v>489</v>
      </c>
      <c r="R173" s="54" t="s">
        <v>490</v>
      </c>
      <c r="S173" s="15"/>
      <c r="T173" s="15" t="s">
        <v>392</v>
      </c>
      <c r="U173" s="40" t="n">
        <v>1</v>
      </c>
      <c r="V173" s="49" t="s">
        <v>491</v>
      </c>
    </row>
    <row r="174" customFormat="false" ht="23.85" hidden="false" customHeight="false" outlineLevel="0" collapsed="false">
      <c r="A174" s="49" t="n">
        <v>168</v>
      </c>
      <c r="B174" s="15" t="s">
        <v>260</v>
      </c>
      <c r="C174" s="15" t="s">
        <v>385</v>
      </c>
      <c r="D174" s="15" t="s">
        <v>485</v>
      </c>
      <c r="E174" s="15" t="s">
        <v>492</v>
      </c>
      <c r="F174" s="49" t="s">
        <v>492</v>
      </c>
      <c r="G174" s="15" t="s">
        <v>493</v>
      </c>
      <c r="H174" s="42" t="n">
        <v>8</v>
      </c>
      <c r="I174" s="49" t="s">
        <v>298</v>
      </c>
      <c r="J174" s="49" t="s">
        <v>494</v>
      </c>
      <c r="K174" s="42" t="n">
        <v>1</v>
      </c>
      <c r="L174" s="42" t="n">
        <v>847</v>
      </c>
      <c r="M174" s="47" t="n">
        <v>0.22</v>
      </c>
      <c r="N174" s="50" t="n">
        <f aca="false">K174*L174*M174</f>
        <v>186.34</v>
      </c>
      <c r="O174" s="31" t="n">
        <f aca="false">IFERROR(INDEX(Исходные!$B$18:$B$29,MATCH(H174,Исходные!$A$18:$A$29,0)),0)</f>
        <v>0.395</v>
      </c>
      <c r="P174" s="51" t="n">
        <f aca="false">N174*O174</f>
        <v>73.6043</v>
      </c>
      <c r="Q174" s="15" t="s">
        <v>495</v>
      </c>
      <c r="R174" s="54" t="s">
        <v>490</v>
      </c>
      <c r="S174" s="15"/>
      <c r="T174" s="15" t="s">
        <v>392</v>
      </c>
      <c r="U174" s="40" t="n">
        <v>1</v>
      </c>
      <c r="V174" s="49" t="s">
        <v>491</v>
      </c>
    </row>
    <row r="175" customFormat="false" ht="15" hidden="false" customHeight="true" outlineLevel="0" collapsed="false">
      <c r="A175" s="2" t="s">
        <v>496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customFormat="false" ht="35.05" hidden="false" customHeight="false" outlineLevel="0" collapsed="false">
      <c r="A176" s="49" t="n">
        <v>169</v>
      </c>
      <c r="B176" s="15" t="s">
        <v>260</v>
      </c>
      <c r="C176" s="15" t="s">
        <v>497</v>
      </c>
      <c r="D176" s="15" t="s">
        <v>498</v>
      </c>
      <c r="E176" s="15" t="s">
        <v>499</v>
      </c>
      <c r="F176" s="49" t="s">
        <v>274</v>
      </c>
      <c r="G176" s="15" t="s">
        <v>500</v>
      </c>
      <c r="H176" s="42" t="n">
        <v>25</v>
      </c>
      <c r="I176" s="49" t="s">
        <v>264</v>
      </c>
      <c r="J176" s="49" t="s">
        <v>98</v>
      </c>
      <c r="K176" s="42" t="n">
        <v>1</v>
      </c>
      <c r="L176" s="42" t="n">
        <v>4</v>
      </c>
      <c r="M176" s="47" t="n">
        <v>20.4</v>
      </c>
      <c r="N176" s="50" t="n">
        <f aca="false">K176*L176*M176</f>
        <v>81.6</v>
      </c>
      <c r="O176" s="31" t="n">
        <f aca="false">IFERROR(INDEX(Исходные!$B$18:$B$29,MATCH(H176,Исходные!$A$18:$A$29,0)),0)</f>
        <v>3.853</v>
      </c>
      <c r="P176" s="51" t="n">
        <f aca="false">N176*O176</f>
        <v>314.4048</v>
      </c>
      <c r="Q176" s="15" t="s">
        <v>501</v>
      </c>
      <c r="R176" s="52" t="s">
        <v>391</v>
      </c>
      <c r="S176" s="15" t="s">
        <v>502</v>
      </c>
      <c r="T176" s="15" t="s">
        <v>392</v>
      </c>
      <c r="U176" s="40" t="n">
        <v>0</v>
      </c>
      <c r="V176" s="49" t="s">
        <v>503</v>
      </c>
    </row>
    <row r="177" customFormat="false" ht="35.05" hidden="false" customHeight="false" outlineLevel="0" collapsed="false">
      <c r="A177" s="49" t="n">
        <v>170</v>
      </c>
      <c r="B177" s="15" t="s">
        <v>260</v>
      </c>
      <c r="C177" s="15" t="s">
        <v>497</v>
      </c>
      <c r="D177" s="15" t="s">
        <v>504</v>
      </c>
      <c r="E177" s="15" t="s">
        <v>499</v>
      </c>
      <c r="F177" s="49" t="s">
        <v>274</v>
      </c>
      <c r="G177" s="15" t="s">
        <v>505</v>
      </c>
      <c r="H177" s="42" t="n">
        <v>25</v>
      </c>
      <c r="I177" s="49" t="s">
        <v>264</v>
      </c>
      <c r="J177" s="49" t="s">
        <v>98</v>
      </c>
      <c r="K177" s="42" t="n">
        <v>1</v>
      </c>
      <c r="L177" s="42" t="n">
        <v>4</v>
      </c>
      <c r="M177" s="47" t="n">
        <v>20.4</v>
      </c>
      <c r="N177" s="50" t="n">
        <f aca="false">K177*L177*M177</f>
        <v>81.6</v>
      </c>
      <c r="O177" s="31" t="n">
        <f aca="false">IFERROR(INDEX(Исходные!$B$18:$B$29,MATCH(H177,Исходные!$A$18:$A$29,0)),0)</f>
        <v>3.853</v>
      </c>
      <c r="P177" s="51" t="n">
        <f aca="false">N177*O177</f>
        <v>314.4048</v>
      </c>
      <c r="Q177" s="15" t="s">
        <v>501</v>
      </c>
      <c r="R177" s="52" t="s">
        <v>391</v>
      </c>
      <c r="S177" s="15" t="s">
        <v>502</v>
      </c>
      <c r="T177" s="15" t="s">
        <v>392</v>
      </c>
      <c r="U177" s="40" t="n">
        <v>0</v>
      </c>
      <c r="V177" s="49" t="s">
        <v>503</v>
      </c>
    </row>
    <row r="178" customFormat="false" ht="35.05" hidden="false" customHeight="false" outlineLevel="0" collapsed="false">
      <c r="A178" s="49" t="n">
        <v>171</v>
      </c>
      <c r="B178" s="15" t="s">
        <v>260</v>
      </c>
      <c r="C178" s="15" t="s">
        <v>497</v>
      </c>
      <c r="D178" s="15" t="s">
        <v>506</v>
      </c>
      <c r="E178" s="15" t="s">
        <v>499</v>
      </c>
      <c r="F178" s="49" t="s">
        <v>274</v>
      </c>
      <c r="G178" s="15" t="s">
        <v>507</v>
      </c>
      <c r="H178" s="42" t="n">
        <v>25</v>
      </c>
      <c r="I178" s="49" t="s">
        <v>264</v>
      </c>
      <c r="J178" s="49" t="s">
        <v>98</v>
      </c>
      <c r="K178" s="42" t="n">
        <v>1</v>
      </c>
      <c r="L178" s="42" t="n">
        <v>4</v>
      </c>
      <c r="M178" s="47" t="n">
        <v>13.9</v>
      </c>
      <c r="N178" s="50" t="n">
        <f aca="false">K178*L178*M178</f>
        <v>55.6</v>
      </c>
      <c r="O178" s="31" t="n">
        <f aca="false">IFERROR(INDEX(Исходные!$B$18:$B$29,MATCH(H178,Исходные!$A$18:$A$29,0)),0)</f>
        <v>3.853</v>
      </c>
      <c r="P178" s="51" t="n">
        <f aca="false">N178*O178</f>
        <v>214.2268</v>
      </c>
      <c r="Q178" s="15" t="s">
        <v>501</v>
      </c>
      <c r="R178" s="52" t="s">
        <v>391</v>
      </c>
      <c r="S178" s="15" t="s">
        <v>502</v>
      </c>
      <c r="T178" s="15" t="s">
        <v>392</v>
      </c>
      <c r="U178" s="40" t="n">
        <v>0</v>
      </c>
      <c r="V178" s="49" t="s">
        <v>503</v>
      </c>
    </row>
    <row r="179" customFormat="false" ht="35.05" hidden="false" customHeight="false" outlineLevel="0" collapsed="false">
      <c r="A179" s="49" t="n">
        <v>172</v>
      </c>
      <c r="B179" s="15" t="s">
        <v>260</v>
      </c>
      <c r="C179" s="15" t="s">
        <v>497</v>
      </c>
      <c r="D179" s="15" t="s">
        <v>508</v>
      </c>
      <c r="E179" s="15" t="s">
        <v>499</v>
      </c>
      <c r="F179" s="49" t="s">
        <v>274</v>
      </c>
      <c r="G179" s="15" t="s">
        <v>509</v>
      </c>
      <c r="H179" s="42" t="n">
        <v>25</v>
      </c>
      <c r="I179" s="49" t="s">
        <v>264</v>
      </c>
      <c r="J179" s="49" t="s">
        <v>98</v>
      </c>
      <c r="K179" s="42" t="n">
        <v>1</v>
      </c>
      <c r="L179" s="42" t="n">
        <v>4</v>
      </c>
      <c r="M179" s="47" t="n">
        <v>20.4</v>
      </c>
      <c r="N179" s="50" t="n">
        <f aca="false">K179*L179*M179</f>
        <v>81.6</v>
      </c>
      <c r="O179" s="31" t="n">
        <f aca="false">IFERROR(INDEX(Исходные!$B$18:$B$29,MATCH(H179,Исходные!$A$18:$A$29,0)),0)</f>
        <v>3.853</v>
      </c>
      <c r="P179" s="51" t="n">
        <f aca="false">N179*O179</f>
        <v>314.4048</v>
      </c>
      <c r="Q179" s="15" t="s">
        <v>501</v>
      </c>
      <c r="R179" s="52" t="s">
        <v>391</v>
      </c>
      <c r="S179" s="15" t="s">
        <v>502</v>
      </c>
      <c r="T179" s="15" t="s">
        <v>392</v>
      </c>
      <c r="U179" s="40" t="n">
        <v>0</v>
      </c>
      <c r="V179" s="49" t="s">
        <v>503</v>
      </c>
    </row>
    <row r="180" customFormat="false" ht="35.05" hidden="false" customHeight="false" outlineLevel="0" collapsed="false">
      <c r="A180" s="49" t="n">
        <v>173</v>
      </c>
      <c r="B180" s="15" t="s">
        <v>260</v>
      </c>
      <c r="C180" s="15" t="s">
        <v>497</v>
      </c>
      <c r="D180" s="15" t="s">
        <v>510</v>
      </c>
      <c r="E180" s="15" t="s">
        <v>499</v>
      </c>
      <c r="F180" s="49" t="s">
        <v>274</v>
      </c>
      <c r="G180" s="15" t="s">
        <v>511</v>
      </c>
      <c r="H180" s="42" t="n">
        <v>25</v>
      </c>
      <c r="I180" s="49" t="s">
        <v>264</v>
      </c>
      <c r="J180" s="49" t="s">
        <v>98</v>
      </c>
      <c r="K180" s="42" t="n">
        <v>1</v>
      </c>
      <c r="L180" s="42" t="n">
        <v>4</v>
      </c>
      <c r="M180" s="47" t="n">
        <v>25.4</v>
      </c>
      <c r="N180" s="50" t="n">
        <f aca="false">K180*L180*M180</f>
        <v>101.6</v>
      </c>
      <c r="O180" s="31" t="n">
        <f aca="false">IFERROR(INDEX(Исходные!$B$18:$B$29,MATCH(H180,Исходные!$A$18:$A$29,0)),0)</f>
        <v>3.853</v>
      </c>
      <c r="P180" s="51" t="n">
        <f aca="false">N180*O180</f>
        <v>391.4648</v>
      </c>
      <c r="Q180" s="15" t="s">
        <v>501</v>
      </c>
      <c r="R180" s="52" t="s">
        <v>391</v>
      </c>
      <c r="S180" s="15" t="s">
        <v>512</v>
      </c>
      <c r="T180" s="15" t="s">
        <v>392</v>
      </c>
      <c r="U180" s="40" t="n">
        <v>0</v>
      </c>
      <c r="V180" s="49" t="s">
        <v>503</v>
      </c>
    </row>
    <row r="181" customFormat="false" ht="35.05" hidden="false" customHeight="false" outlineLevel="0" collapsed="false">
      <c r="A181" s="49" t="n">
        <v>174</v>
      </c>
      <c r="B181" s="15" t="s">
        <v>260</v>
      </c>
      <c r="C181" s="15" t="s">
        <v>497</v>
      </c>
      <c r="D181" s="15" t="s">
        <v>513</v>
      </c>
      <c r="E181" s="15" t="s">
        <v>499</v>
      </c>
      <c r="F181" s="49" t="s">
        <v>274</v>
      </c>
      <c r="G181" s="15" t="s">
        <v>514</v>
      </c>
      <c r="H181" s="42" t="n">
        <v>25</v>
      </c>
      <c r="I181" s="49" t="s">
        <v>264</v>
      </c>
      <c r="J181" s="49" t="s">
        <v>98</v>
      </c>
      <c r="K181" s="42" t="n">
        <v>1</v>
      </c>
      <c r="L181" s="42" t="n">
        <v>4</v>
      </c>
      <c r="M181" s="47" t="n">
        <v>25.4</v>
      </c>
      <c r="N181" s="50" t="n">
        <f aca="false">K181*L181*M181</f>
        <v>101.6</v>
      </c>
      <c r="O181" s="31" t="n">
        <f aca="false">IFERROR(INDEX(Исходные!$B$18:$B$29,MATCH(H181,Исходные!$A$18:$A$29,0)),0)</f>
        <v>3.853</v>
      </c>
      <c r="P181" s="51" t="n">
        <f aca="false">N181*O181</f>
        <v>391.4648</v>
      </c>
      <c r="Q181" s="15" t="s">
        <v>501</v>
      </c>
      <c r="R181" s="52" t="s">
        <v>391</v>
      </c>
      <c r="S181" s="15" t="s">
        <v>512</v>
      </c>
      <c r="T181" s="15" t="s">
        <v>392</v>
      </c>
      <c r="U181" s="40" t="n">
        <v>0</v>
      </c>
      <c r="V181" s="49" t="s">
        <v>503</v>
      </c>
    </row>
    <row r="182" customFormat="false" ht="35.05" hidden="false" customHeight="false" outlineLevel="0" collapsed="false">
      <c r="A182" s="49" t="n">
        <v>175</v>
      </c>
      <c r="B182" s="15" t="s">
        <v>260</v>
      </c>
      <c r="C182" s="15" t="s">
        <v>497</v>
      </c>
      <c r="D182" s="15" t="s">
        <v>515</v>
      </c>
      <c r="E182" s="15" t="s">
        <v>499</v>
      </c>
      <c r="F182" s="49" t="s">
        <v>274</v>
      </c>
      <c r="G182" s="15" t="s">
        <v>516</v>
      </c>
      <c r="H182" s="42" t="n">
        <v>25</v>
      </c>
      <c r="I182" s="49" t="s">
        <v>264</v>
      </c>
      <c r="J182" s="49" t="s">
        <v>98</v>
      </c>
      <c r="K182" s="42" t="n">
        <v>1</v>
      </c>
      <c r="L182" s="42" t="n">
        <v>4</v>
      </c>
      <c r="M182" s="47" t="n">
        <v>13.9</v>
      </c>
      <c r="N182" s="50" t="n">
        <f aca="false">K182*L182*M182</f>
        <v>55.6</v>
      </c>
      <c r="O182" s="31" t="n">
        <f aca="false">IFERROR(INDEX(Исходные!$B$18:$B$29,MATCH(H182,Исходные!$A$18:$A$29,0)),0)</f>
        <v>3.853</v>
      </c>
      <c r="P182" s="51" t="n">
        <f aca="false">N182*O182</f>
        <v>214.2268</v>
      </c>
      <c r="Q182" s="15" t="s">
        <v>501</v>
      </c>
      <c r="R182" s="52" t="s">
        <v>391</v>
      </c>
      <c r="S182" s="15" t="s">
        <v>502</v>
      </c>
      <c r="T182" s="15" t="s">
        <v>392</v>
      </c>
      <c r="U182" s="40" t="n">
        <v>0</v>
      </c>
      <c r="V182" s="49" t="s">
        <v>503</v>
      </c>
    </row>
    <row r="183" customFormat="false" ht="35.05" hidden="false" customHeight="false" outlineLevel="0" collapsed="false">
      <c r="A183" s="49" t="n">
        <v>176</v>
      </c>
      <c r="B183" s="15" t="s">
        <v>260</v>
      </c>
      <c r="C183" s="15" t="s">
        <v>497</v>
      </c>
      <c r="D183" s="15" t="s">
        <v>517</v>
      </c>
      <c r="E183" s="15" t="s">
        <v>518</v>
      </c>
      <c r="F183" s="49" t="s">
        <v>274</v>
      </c>
      <c r="G183" s="15" t="s">
        <v>519</v>
      </c>
      <c r="H183" s="42" t="n">
        <v>25</v>
      </c>
      <c r="I183" s="49" t="s">
        <v>264</v>
      </c>
      <c r="J183" s="49" t="s">
        <v>98</v>
      </c>
      <c r="K183" s="42" t="n">
        <v>1</v>
      </c>
      <c r="L183" s="42" t="n">
        <v>4</v>
      </c>
      <c r="M183" s="47" t="n">
        <v>11.9</v>
      </c>
      <c r="N183" s="50" t="n">
        <f aca="false">K183*L183*M183</f>
        <v>47.6</v>
      </c>
      <c r="O183" s="31" t="n">
        <f aca="false">IFERROR(INDEX(Исходные!$B$18:$B$29,MATCH(H183,Исходные!$A$18:$A$29,0)),0)</f>
        <v>3.853</v>
      </c>
      <c r="P183" s="51" t="n">
        <f aca="false">N183*O183</f>
        <v>183.4028</v>
      </c>
      <c r="Q183" s="15" t="s">
        <v>520</v>
      </c>
      <c r="R183" s="52" t="s">
        <v>391</v>
      </c>
      <c r="S183" s="15" t="s">
        <v>502</v>
      </c>
      <c r="T183" s="15" t="s">
        <v>392</v>
      </c>
      <c r="U183" s="40" t="n">
        <v>0</v>
      </c>
      <c r="V183" s="49" t="s">
        <v>503</v>
      </c>
    </row>
    <row r="184" customFormat="false" ht="35.05" hidden="false" customHeight="false" outlineLevel="0" collapsed="false">
      <c r="A184" s="49" t="n">
        <v>177</v>
      </c>
      <c r="B184" s="15" t="s">
        <v>260</v>
      </c>
      <c r="C184" s="15" t="s">
        <v>497</v>
      </c>
      <c r="D184" s="15" t="s">
        <v>521</v>
      </c>
      <c r="E184" s="15" t="s">
        <v>522</v>
      </c>
      <c r="F184" s="49" t="s">
        <v>274</v>
      </c>
      <c r="G184" s="15" t="s">
        <v>523</v>
      </c>
      <c r="H184" s="42" t="n">
        <v>25</v>
      </c>
      <c r="I184" s="49" t="s">
        <v>264</v>
      </c>
      <c r="J184" s="49" t="s">
        <v>98</v>
      </c>
      <c r="K184" s="42" t="n">
        <v>1</v>
      </c>
      <c r="L184" s="42" t="n">
        <v>4</v>
      </c>
      <c r="M184" s="47" t="n">
        <v>3.785</v>
      </c>
      <c r="N184" s="50" t="n">
        <f aca="false">K184*L184*M184</f>
        <v>15.14</v>
      </c>
      <c r="O184" s="31" t="n">
        <f aca="false">IFERROR(INDEX(Исходные!$B$18:$B$29,MATCH(H184,Исходные!$A$18:$A$29,0)),0)</f>
        <v>3.853</v>
      </c>
      <c r="P184" s="51" t="n">
        <f aca="false">N184*O184</f>
        <v>58.33442</v>
      </c>
      <c r="Q184" s="15" t="s">
        <v>524</v>
      </c>
      <c r="R184" s="52" t="s">
        <v>391</v>
      </c>
      <c r="S184" s="15"/>
      <c r="T184" s="15" t="s">
        <v>392</v>
      </c>
      <c r="U184" s="40" t="n">
        <v>0</v>
      </c>
      <c r="V184" s="49" t="s">
        <v>503</v>
      </c>
    </row>
    <row r="185" customFormat="false" ht="35.05" hidden="false" customHeight="false" outlineLevel="0" collapsed="false">
      <c r="A185" s="49" t="n">
        <v>178</v>
      </c>
      <c r="B185" s="15" t="s">
        <v>260</v>
      </c>
      <c r="C185" s="15" t="s">
        <v>497</v>
      </c>
      <c r="D185" s="15" t="s">
        <v>525</v>
      </c>
      <c r="E185" s="15" t="s">
        <v>522</v>
      </c>
      <c r="F185" s="49" t="s">
        <v>274</v>
      </c>
      <c r="G185" s="15" t="s">
        <v>526</v>
      </c>
      <c r="H185" s="42" t="n">
        <v>25</v>
      </c>
      <c r="I185" s="49" t="s">
        <v>264</v>
      </c>
      <c r="J185" s="49" t="s">
        <v>98</v>
      </c>
      <c r="K185" s="42" t="n">
        <v>1</v>
      </c>
      <c r="L185" s="42" t="n">
        <v>4</v>
      </c>
      <c r="M185" s="47" t="n">
        <v>3.365</v>
      </c>
      <c r="N185" s="50" t="n">
        <f aca="false">K185*L185*M185</f>
        <v>13.46</v>
      </c>
      <c r="O185" s="31" t="n">
        <f aca="false">IFERROR(INDEX(Исходные!$B$18:$B$29,MATCH(H185,Исходные!$A$18:$A$29,0)),0)</f>
        <v>3.853</v>
      </c>
      <c r="P185" s="51" t="n">
        <f aca="false">N185*O185</f>
        <v>51.86138</v>
      </c>
      <c r="Q185" s="15" t="s">
        <v>524</v>
      </c>
      <c r="R185" s="52" t="s">
        <v>391</v>
      </c>
      <c r="S185" s="15"/>
      <c r="T185" s="15" t="s">
        <v>392</v>
      </c>
      <c r="U185" s="40" t="n">
        <v>0</v>
      </c>
      <c r="V185" s="49" t="s">
        <v>503</v>
      </c>
    </row>
    <row r="186" customFormat="false" ht="35.05" hidden="false" customHeight="false" outlineLevel="0" collapsed="false">
      <c r="A186" s="49" t="n">
        <v>179</v>
      </c>
      <c r="B186" s="15" t="s">
        <v>260</v>
      </c>
      <c r="C186" s="15" t="s">
        <v>497</v>
      </c>
      <c r="D186" s="15" t="s">
        <v>527</v>
      </c>
      <c r="E186" s="15" t="s">
        <v>528</v>
      </c>
      <c r="F186" s="49" t="s">
        <v>268</v>
      </c>
      <c r="G186" s="15" t="s">
        <v>529</v>
      </c>
      <c r="H186" s="42" t="n">
        <v>20</v>
      </c>
      <c r="I186" s="49" t="s">
        <v>264</v>
      </c>
      <c r="J186" s="49" t="s">
        <v>98</v>
      </c>
      <c r="K186" s="42" t="n">
        <v>1</v>
      </c>
      <c r="L186" s="42" t="n">
        <v>4</v>
      </c>
      <c r="M186" s="47" t="n">
        <v>3.05</v>
      </c>
      <c r="N186" s="50" t="n">
        <f aca="false">K186*L186*M186</f>
        <v>12.2</v>
      </c>
      <c r="O186" s="31" t="n">
        <f aca="false">IFERROR(INDEX(Исходные!$B$18:$B$29,MATCH(H186,Исходные!$A$18:$A$29,0)),0)</f>
        <v>2.466</v>
      </c>
      <c r="P186" s="51" t="n">
        <f aca="false">N186*O186</f>
        <v>30.0852</v>
      </c>
      <c r="Q186" s="15" t="s">
        <v>530</v>
      </c>
      <c r="R186" s="52" t="s">
        <v>391</v>
      </c>
      <c r="S186" s="15"/>
      <c r="T186" s="15" t="s">
        <v>392</v>
      </c>
      <c r="U186" s="40" t="n">
        <v>0</v>
      </c>
      <c r="V186" s="49" t="s">
        <v>503</v>
      </c>
    </row>
    <row r="187" customFormat="false" ht="35.05" hidden="false" customHeight="false" outlineLevel="0" collapsed="false">
      <c r="A187" s="49" t="n">
        <v>180</v>
      </c>
      <c r="B187" s="15" t="s">
        <v>260</v>
      </c>
      <c r="C187" s="15" t="s">
        <v>497</v>
      </c>
      <c r="D187" s="15" t="s">
        <v>531</v>
      </c>
      <c r="E187" s="15" t="s">
        <v>528</v>
      </c>
      <c r="F187" s="49" t="s">
        <v>268</v>
      </c>
      <c r="G187" s="15" t="s">
        <v>532</v>
      </c>
      <c r="H187" s="42" t="n">
        <v>20</v>
      </c>
      <c r="I187" s="49" t="s">
        <v>264</v>
      </c>
      <c r="J187" s="49" t="s">
        <v>98</v>
      </c>
      <c r="K187" s="42" t="n">
        <v>1</v>
      </c>
      <c r="L187" s="42" t="n">
        <v>4</v>
      </c>
      <c r="M187" s="47" t="n">
        <v>3.785</v>
      </c>
      <c r="N187" s="50" t="n">
        <f aca="false">K187*L187*M187</f>
        <v>15.14</v>
      </c>
      <c r="O187" s="31" t="n">
        <f aca="false">IFERROR(INDEX(Исходные!$B$18:$B$29,MATCH(H187,Исходные!$A$18:$A$29,0)),0)</f>
        <v>2.466</v>
      </c>
      <c r="P187" s="51" t="n">
        <f aca="false">N187*O187</f>
        <v>37.33524</v>
      </c>
      <c r="Q187" s="15" t="s">
        <v>530</v>
      </c>
      <c r="R187" s="52" t="s">
        <v>391</v>
      </c>
      <c r="S187" s="15"/>
      <c r="T187" s="15" t="s">
        <v>392</v>
      </c>
      <c r="U187" s="40" t="n">
        <v>0</v>
      </c>
      <c r="V187" s="49" t="s">
        <v>503</v>
      </c>
    </row>
    <row r="188" customFormat="false" ht="35.05" hidden="false" customHeight="false" outlineLevel="0" collapsed="false">
      <c r="A188" s="49" t="n">
        <v>181</v>
      </c>
      <c r="B188" s="15" t="s">
        <v>260</v>
      </c>
      <c r="C188" s="15" t="s">
        <v>497</v>
      </c>
      <c r="D188" s="15" t="s">
        <v>533</v>
      </c>
      <c r="E188" s="15" t="s">
        <v>528</v>
      </c>
      <c r="F188" s="49" t="s">
        <v>268</v>
      </c>
      <c r="G188" s="15" t="s">
        <v>534</v>
      </c>
      <c r="H188" s="42" t="n">
        <v>20</v>
      </c>
      <c r="I188" s="49" t="s">
        <v>264</v>
      </c>
      <c r="J188" s="49" t="s">
        <v>98</v>
      </c>
      <c r="K188" s="42" t="n">
        <v>1</v>
      </c>
      <c r="L188" s="42" t="n">
        <v>4</v>
      </c>
      <c r="M188" s="47" t="n">
        <v>4.1</v>
      </c>
      <c r="N188" s="50" t="n">
        <f aca="false">K188*L188*M188</f>
        <v>16.4</v>
      </c>
      <c r="O188" s="31" t="n">
        <f aca="false">IFERROR(INDEX(Исходные!$B$18:$B$29,MATCH(H188,Исходные!$A$18:$A$29,0)),0)</f>
        <v>2.466</v>
      </c>
      <c r="P188" s="51" t="n">
        <f aca="false">N188*O188</f>
        <v>40.4424</v>
      </c>
      <c r="Q188" s="15" t="s">
        <v>530</v>
      </c>
      <c r="R188" s="52" t="s">
        <v>391</v>
      </c>
      <c r="S188" s="15"/>
      <c r="T188" s="15" t="s">
        <v>392</v>
      </c>
      <c r="U188" s="40" t="n">
        <v>0</v>
      </c>
      <c r="V188" s="49" t="s">
        <v>503</v>
      </c>
    </row>
    <row r="189" customFormat="false" ht="35.05" hidden="false" customHeight="false" outlineLevel="0" collapsed="false">
      <c r="A189" s="49" t="n">
        <v>182</v>
      </c>
      <c r="B189" s="15" t="s">
        <v>260</v>
      </c>
      <c r="C189" s="15" t="s">
        <v>497</v>
      </c>
      <c r="D189" s="15" t="s">
        <v>535</v>
      </c>
      <c r="E189" s="15" t="s">
        <v>528</v>
      </c>
      <c r="F189" s="49" t="s">
        <v>268</v>
      </c>
      <c r="G189" s="15" t="s">
        <v>536</v>
      </c>
      <c r="H189" s="42" t="n">
        <v>20</v>
      </c>
      <c r="I189" s="49" t="s">
        <v>264</v>
      </c>
      <c r="J189" s="49" t="s">
        <v>98</v>
      </c>
      <c r="K189" s="42" t="n">
        <v>1</v>
      </c>
      <c r="L189" s="42" t="n">
        <v>4</v>
      </c>
      <c r="M189" s="47" t="n">
        <v>3.325</v>
      </c>
      <c r="N189" s="50" t="n">
        <f aca="false">K189*L189*M189</f>
        <v>13.3</v>
      </c>
      <c r="O189" s="31" t="n">
        <f aca="false">IFERROR(INDEX(Исходные!$B$18:$B$29,MATCH(H189,Исходные!$A$18:$A$29,0)),0)</f>
        <v>2.466</v>
      </c>
      <c r="P189" s="51" t="n">
        <f aca="false">N189*O189</f>
        <v>32.7978</v>
      </c>
      <c r="Q189" s="15" t="s">
        <v>530</v>
      </c>
      <c r="R189" s="52" t="s">
        <v>391</v>
      </c>
      <c r="S189" s="15"/>
      <c r="T189" s="15" t="s">
        <v>392</v>
      </c>
      <c r="U189" s="40" t="n">
        <v>0</v>
      </c>
      <c r="V189" s="49" t="s">
        <v>503</v>
      </c>
    </row>
    <row r="190" customFormat="false" ht="35.05" hidden="false" customHeight="false" outlineLevel="0" collapsed="false">
      <c r="A190" s="49" t="n">
        <v>183</v>
      </c>
      <c r="B190" s="15" t="s">
        <v>260</v>
      </c>
      <c r="C190" s="15" t="s">
        <v>497</v>
      </c>
      <c r="D190" s="15" t="s">
        <v>537</v>
      </c>
      <c r="E190" s="15" t="s">
        <v>538</v>
      </c>
      <c r="F190" s="49" t="s">
        <v>327</v>
      </c>
      <c r="G190" s="15" t="s">
        <v>539</v>
      </c>
      <c r="H190" s="42" t="n">
        <v>22</v>
      </c>
      <c r="I190" s="49" t="s">
        <v>264</v>
      </c>
      <c r="J190" s="49" t="s">
        <v>98</v>
      </c>
      <c r="K190" s="42" t="n">
        <v>1</v>
      </c>
      <c r="L190" s="42" t="n">
        <v>4</v>
      </c>
      <c r="M190" s="47" t="n">
        <v>2.175</v>
      </c>
      <c r="N190" s="50" t="n">
        <f aca="false">K190*L190*M190</f>
        <v>8.7</v>
      </c>
      <c r="O190" s="31" t="n">
        <f aca="false">IFERROR(INDEX(Исходные!$B$18:$B$29,MATCH(H190,Исходные!$A$18:$A$29,0)),0)</f>
        <v>2.984</v>
      </c>
      <c r="P190" s="51" t="n">
        <f aca="false">N190*O190</f>
        <v>25.9608</v>
      </c>
      <c r="Q190" s="15" t="s">
        <v>540</v>
      </c>
      <c r="R190" s="52" t="s">
        <v>391</v>
      </c>
      <c r="S190" s="15"/>
      <c r="T190" s="15" t="s">
        <v>392</v>
      </c>
      <c r="U190" s="40" t="n">
        <v>0</v>
      </c>
      <c r="V190" s="49" t="s">
        <v>503</v>
      </c>
    </row>
    <row r="191" customFormat="false" ht="35.05" hidden="false" customHeight="false" outlineLevel="0" collapsed="false">
      <c r="A191" s="49" t="n">
        <v>184</v>
      </c>
      <c r="B191" s="15" t="s">
        <v>260</v>
      </c>
      <c r="C191" s="15" t="s">
        <v>497</v>
      </c>
      <c r="D191" s="15" t="s">
        <v>537</v>
      </c>
      <c r="E191" s="15" t="s">
        <v>538</v>
      </c>
      <c r="F191" s="49" t="s">
        <v>327</v>
      </c>
      <c r="G191" s="15" t="s">
        <v>541</v>
      </c>
      <c r="H191" s="42" t="n">
        <v>22</v>
      </c>
      <c r="I191" s="49" t="s">
        <v>264</v>
      </c>
      <c r="J191" s="49" t="s">
        <v>98</v>
      </c>
      <c r="K191" s="42" t="n">
        <v>1</v>
      </c>
      <c r="L191" s="42" t="n">
        <v>4</v>
      </c>
      <c r="M191" s="47" t="n">
        <v>4.15</v>
      </c>
      <c r="N191" s="50" t="n">
        <f aca="false">K191*L191*M191</f>
        <v>16.6</v>
      </c>
      <c r="O191" s="31" t="n">
        <f aca="false">IFERROR(INDEX(Исходные!$B$18:$B$29,MATCH(H191,Исходные!$A$18:$A$29,0)),0)</f>
        <v>2.984</v>
      </c>
      <c r="P191" s="51" t="n">
        <f aca="false">N191*O191</f>
        <v>49.5344</v>
      </c>
      <c r="Q191" s="15" t="s">
        <v>540</v>
      </c>
      <c r="R191" s="52" t="s">
        <v>391</v>
      </c>
      <c r="S191" s="15"/>
      <c r="T191" s="15" t="s">
        <v>392</v>
      </c>
      <c r="U191" s="40" t="n">
        <v>0</v>
      </c>
      <c r="V191" s="49" t="s">
        <v>503</v>
      </c>
    </row>
    <row r="192" customFormat="false" ht="35.05" hidden="false" customHeight="false" outlineLevel="0" collapsed="false">
      <c r="A192" s="49" t="n">
        <v>185</v>
      </c>
      <c r="B192" s="15" t="s">
        <v>260</v>
      </c>
      <c r="C192" s="15" t="s">
        <v>497</v>
      </c>
      <c r="D192" s="15" t="s">
        <v>537</v>
      </c>
      <c r="E192" s="15" t="s">
        <v>538</v>
      </c>
      <c r="F192" s="49" t="s">
        <v>327</v>
      </c>
      <c r="G192" s="15" t="s">
        <v>542</v>
      </c>
      <c r="H192" s="42" t="n">
        <v>22</v>
      </c>
      <c r="I192" s="49" t="s">
        <v>264</v>
      </c>
      <c r="J192" s="49" t="s">
        <v>98</v>
      </c>
      <c r="K192" s="42" t="n">
        <v>1</v>
      </c>
      <c r="L192" s="42" t="n">
        <v>4</v>
      </c>
      <c r="M192" s="47" t="n">
        <v>2.175</v>
      </c>
      <c r="N192" s="50" t="n">
        <f aca="false">K192*L192*M192</f>
        <v>8.7</v>
      </c>
      <c r="O192" s="31" t="n">
        <f aca="false">IFERROR(INDEX(Исходные!$B$18:$B$29,MATCH(H192,Исходные!$A$18:$A$29,0)),0)</f>
        <v>2.984</v>
      </c>
      <c r="P192" s="51" t="n">
        <f aca="false">N192*O192</f>
        <v>25.9608</v>
      </c>
      <c r="Q192" s="15" t="s">
        <v>540</v>
      </c>
      <c r="R192" s="52" t="s">
        <v>391</v>
      </c>
      <c r="S192" s="15"/>
      <c r="T192" s="15" t="s">
        <v>392</v>
      </c>
      <c r="U192" s="40" t="n">
        <v>0</v>
      </c>
      <c r="V192" s="49" t="s">
        <v>503</v>
      </c>
    </row>
    <row r="193" customFormat="false" ht="35.05" hidden="false" customHeight="false" outlineLevel="0" collapsed="false">
      <c r="A193" s="49" t="n">
        <v>186</v>
      </c>
      <c r="B193" s="15" t="s">
        <v>260</v>
      </c>
      <c r="C193" s="15" t="s">
        <v>497</v>
      </c>
      <c r="D193" s="15" t="s">
        <v>543</v>
      </c>
      <c r="E193" s="15" t="s">
        <v>538</v>
      </c>
      <c r="F193" s="49" t="s">
        <v>327</v>
      </c>
      <c r="G193" s="15" t="s">
        <v>539</v>
      </c>
      <c r="H193" s="42" t="n">
        <v>22</v>
      </c>
      <c r="I193" s="49" t="s">
        <v>264</v>
      </c>
      <c r="J193" s="49" t="s">
        <v>98</v>
      </c>
      <c r="K193" s="42" t="n">
        <v>1</v>
      </c>
      <c r="L193" s="42" t="n">
        <v>4</v>
      </c>
      <c r="M193" s="47" t="n">
        <v>2.175</v>
      </c>
      <c r="N193" s="50" t="n">
        <f aca="false">K193*L193*M193</f>
        <v>8.7</v>
      </c>
      <c r="O193" s="31" t="n">
        <f aca="false">IFERROR(INDEX(Исходные!$B$18:$B$29,MATCH(H193,Исходные!$A$18:$A$29,0)),0)</f>
        <v>2.984</v>
      </c>
      <c r="P193" s="51" t="n">
        <f aca="false">N193*O193</f>
        <v>25.9608</v>
      </c>
      <c r="Q193" s="15" t="s">
        <v>540</v>
      </c>
      <c r="R193" s="52" t="s">
        <v>391</v>
      </c>
      <c r="S193" s="15"/>
      <c r="T193" s="15" t="s">
        <v>392</v>
      </c>
      <c r="U193" s="40" t="n">
        <v>0</v>
      </c>
      <c r="V193" s="49" t="s">
        <v>503</v>
      </c>
    </row>
    <row r="194" customFormat="false" ht="35.05" hidden="false" customHeight="false" outlineLevel="0" collapsed="false">
      <c r="A194" s="49" t="n">
        <v>187</v>
      </c>
      <c r="B194" s="15" t="s">
        <v>260</v>
      </c>
      <c r="C194" s="15" t="s">
        <v>497</v>
      </c>
      <c r="D194" s="15" t="s">
        <v>543</v>
      </c>
      <c r="E194" s="15" t="s">
        <v>538</v>
      </c>
      <c r="F194" s="49" t="s">
        <v>327</v>
      </c>
      <c r="G194" s="15" t="s">
        <v>541</v>
      </c>
      <c r="H194" s="42" t="n">
        <v>22</v>
      </c>
      <c r="I194" s="49" t="s">
        <v>264</v>
      </c>
      <c r="J194" s="49" t="s">
        <v>98</v>
      </c>
      <c r="K194" s="42" t="n">
        <v>1</v>
      </c>
      <c r="L194" s="42" t="n">
        <v>4</v>
      </c>
      <c r="M194" s="47" t="n">
        <v>4.15</v>
      </c>
      <c r="N194" s="50" t="n">
        <f aca="false">K194*L194*M194</f>
        <v>16.6</v>
      </c>
      <c r="O194" s="31" t="n">
        <f aca="false">IFERROR(INDEX(Исходные!$B$18:$B$29,MATCH(H194,Исходные!$A$18:$A$29,0)),0)</f>
        <v>2.984</v>
      </c>
      <c r="P194" s="51" t="n">
        <f aca="false">N194*O194</f>
        <v>49.5344</v>
      </c>
      <c r="Q194" s="15" t="s">
        <v>540</v>
      </c>
      <c r="R194" s="52" t="s">
        <v>391</v>
      </c>
      <c r="S194" s="15"/>
      <c r="T194" s="15" t="s">
        <v>392</v>
      </c>
      <c r="U194" s="40" t="n">
        <v>0</v>
      </c>
      <c r="V194" s="49" t="s">
        <v>503</v>
      </c>
    </row>
    <row r="195" customFormat="false" ht="35.05" hidden="false" customHeight="false" outlineLevel="0" collapsed="false">
      <c r="A195" s="49" t="n">
        <v>188</v>
      </c>
      <c r="B195" s="15" t="s">
        <v>260</v>
      </c>
      <c r="C195" s="15" t="s">
        <v>497</v>
      </c>
      <c r="D195" s="15" t="s">
        <v>543</v>
      </c>
      <c r="E195" s="15" t="s">
        <v>538</v>
      </c>
      <c r="F195" s="49" t="s">
        <v>327</v>
      </c>
      <c r="G195" s="15" t="s">
        <v>542</v>
      </c>
      <c r="H195" s="42" t="n">
        <v>22</v>
      </c>
      <c r="I195" s="49" t="s">
        <v>264</v>
      </c>
      <c r="J195" s="49" t="s">
        <v>98</v>
      </c>
      <c r="K195" s="42" t="n">
        <v>1</v>
      </c>
      <c r="L195" s="42" t="n">
        <v>4</v>
      </c>
      <c r="M195" s="47" t="n">
        <v>2.175</v>
      </c>
      <c r="N195" s="50" t="n">
        <f aca="false">K195*L195*M195</f>
        <v>8.7</v>
      </c>
      <c r="O195" s="31" t="n">
        <f aca="false">IFERROR(INDEX(Исходные!$B$18:$B$29,MATCH(H195,Исходные!$A$18:$A$29,0)),0)</f>
        <v>2.984</v>
      </c>
      <c r="P195" s="51" t="n">
        <f aca="false">N195*O195</f>
        <v>25.9608</v>
      </c>
      <c r="Q195" s="15" t="s">
        <v>540</v>
      </c>
      <c r="R195" s="52" t="s">
        <v>391</v>
      </c>
      <c r="S195" s="15"/>
      <c r="T195" s="15" t="s">
        <v>392</v>
      </c>
      <c r="U195" s="40" t="n">
        <v>0</v>
      </c>
      <c r="V195" s="49" t="s">
        <v>503</v>
      </c>
    </row>
    <row r="196" customFormat="false" ht="35.05" hidden="false" customHeight="false" outlineLevel="0" collapsed="false">
      <c r="A196" s="49" t="n">
        <v>189</v>
      </c>
      <c r="B196" s="15" t="s">
        <v>260</v>
      </c>
      <c r="C196" s="15" t="s">
        <v>497</v>
      </c>
      <c r="D196" s="15" t="s">
        <v>544</v>
      </c>
      <c r="E196" s="15" t="s">
        <v>538</v>
      </c>
      <c r="F196" s="49" t="s">
        <v>327</v>
      </c>
      <c r="G196" s="15" t="s">
        <v>539</v>
      </c>
      <c r="H196" s="42" t="n">
        <v>22</v>
      </c>
      <c r="I196" s="49" t="s">
        <v>264</v>
      </c>
      <c r="J196" s="49" t="s">
        <v>98</v>
      </c>
      <c r="K196" s="42" t="n">
        <v>1</v>
      </c>
      <c r="L196" s="42" t="n">
        <v>4</v>
      </c>
      <c r="M196" s="47" t="n">
        <v>2.15</v>
      </c>
      <c r="N196" s="50" t="n">
        <f aca="false">K196*L196*M196</f>
        <v>8.6</v>
      </c>
      <c r="O196" s="31" t="n">
        <f aca="false">IFERROR(INDEX(Исходные!$B$18:$B$29,MATCH(H196,Исходные!$A$18:$A$29,0)),0)</f>
        <v>2.984</v>
      </c>
      <c r="P196" s="51" t="n">
        <f aca="false">N196*O196</f>
        <v>25.6624</v>
      </c>
      <c r="Q196" s="15" t="s">
        <v>540</v>
      </c>
      <c r="R196" s="52" t="s">
        <v>391</v>
      </c>
      <c r="S196" s="15"/>
      <c r="T196" s="15" t="s">
        <v>392</v>
      </c>
      <c r="U196" s="40" t="n">
        <v>0</v>
      </c>
      <c r="V196" s="49" t="s">
        <v>503</v>
      </c>
    </row>
    <row r="197" customFormat="false" ht="35.05" hidden="false" customHeight="false" outlineLevel="0" collapsed="false">
      <c r="A197" s="49" t="n">
        <v>190</v>
      </c>
      <c r="B197" s="15" t="s">
        <v>260</v>
      </c>
      <c r="C197" s="15" t="s">
        <v>497</v>
      </c>
      <c r="D197" s="15" t="s">
        <v>544</v>
      </c>
      <c r="E197" s="15" t="s">
        <v>538</v>
      </c>
      <c r="F197" s="49" t="s">
        <v>327</v>
      </c>
      <c r="G197" s="15" t="s">
        <v>541</v>
      </c>
      <c r="H197" s="42" t="n">
        <v>22</v>
      </c>
      <c r="I197" s="49" t="s">
        <v>264</v>
      </c>
      <c r="J197" s="49" t="s">
        <v>98</v>
      </c>
      <c r="K197" s="42" t="n">
        <v>1</v>
      </c>
      <c r="L197" s="42" t="n">
        <v>4</v>
      </c>
      <c r="M197" s="47" t="n">
        <v>3.775</v>
      </c>
      <c r="N197" s="50" t="n">
        <f aca="false">K197*L197*M197</f>
        <v>15.1</v>
      </c>
      <c r="O197" s="31" t="n">
        <f aca="false">IFERROR(INDEX(Исходные!$B$18:$B$29,MATCH(H197,Исходные!$A$18:$A$29,0)),0)</f>
        <v>2.984</v>
      </c>
      <c r="P197" s="51" t="n">
        <f aca="false">N197*O197</f>
        <v>45.0584</v>
      </c>
      <c r="Q197" s="15" t="s">
        <v>540</v>
      </c>
      <c r="R197" s="52" t="s">
        <v>391</v>
      </c>
      <c r="S197" s="15"/>
      <c r="T197" s="15" t="s">
        <v>392</v>
      </c>
      <c r="U197" s="40" t="n">
        <v>0</v>
      </c>
      <c r="V197" s="49" t="s">
        <v>503</v>
      </c>
    </row>
    <row r="198" customFormat="false" ht="35.05" hidden="false" customHeight="false" outlineLevel="0" collapsed="false">
      <c r="A198" s="49" t="n">
        <v>191</v>
      </c>
      <c r="B198" s="15" t="s">
        <v>260</v>
      </c>
      <c r="C198" s="15" t="s">
        <v>497</v>
      </c>
      <c r="D198" s="15" t="s">
        <v>544</v>
      </c>
      <c r="E198" s="15" t="s">
        <v>538</v>
      </c>
      <c r="F198" s="49" t="s">
        <v>327</v>
      </c>
      <c r="G198" s="15" t="s">
        <v>542</v>
      </c>
      <c r="H198" s="42" t="n">
        <v>22</v>
      </c>
      <c r="I198" s="49" t="s">
        <v>264</v>
      </c>
      <c r="J198" s="49" t="s">
        <v>98</v>
      </c>
      <c r="K198" s="42" t="n">
        <v>1</v>
      </c>
      <c r="L198" s="42" t="n">
        <v>4</v>
      </c>
      <c r="M198" s="47" t="n">
        <v>2.15</v>
      </c>
      <c r="N198" s="50" t="n">
        <f aca="false">K198*L198*M198</f>
        <v>8.6</v>
      </c>
      <c r="O198" s="31" t="n">
        <f aca="false">IFERROR(INDEX(Исходные!$B$18:$B$29,MATCH(H198,Исходные!$A$18:$A$29,0)),0)</f>
        <v>2.984</v>
      </c>
      <c r="P198" s="51" t="n">
        <f aca="false">N198*O198</f>
        <v>25.6624</v>
      </c>
      <c r="Q198" s="15" t="s">
        <v>540</v>
      </c>
      <c r="R198" s="52" t="s">
        <v>391</v>
      </c>
      <c r="S198" s="15"/>
      <c r="T198" s="15" t="s">
        <v>392</v>
      </c>
      <c r="U198" s="40" t="n">
        <v>0</v>
      </c>
      <c r="V198" s="49" t="s">
        <v>503</v>
      </c>
    </row>
    <row r="199" customFormat="false" ht="35.05" hidden="false" customHeight="false" outlineLevel="0" collapsed="false">
      <c r="A199" s="49" t="n">
        <v>192</v>
      </c>
      <c r="B199" s="15" t="s">
        <v>260</v>
      </c>
      <c r="C199" s="15" t="s">
        <v>497</v>
      </c>
      <c r="D199" s="15" t="s">
        <v>545</v>
      </c>
      <c r="E199" s="15" t="s">
        <v>538</v>
      </c>
      <c r="F199" s="49" t="s">
        <v>327</v>
      </c>
      <c r="G199" s="15" t="s">
        <v>539</v>
      </c>
      <c r="H199" s="42" t="n">
        <v>22</v>
      </c>
      <c r="I199" s="49" t="s">
        <v>264</v>
      </c>
      <c r="J199" s="49" t="s">
        <v>98</v>
      </c>
      <c r="K199" s="42" t="n">
        <v>1</v>
      </c>
      <c r="L199" s="42" t="n">
        <v>4</v>
      </c>
      <c r="M199" s="47" t="n">
        <v>2.15</v>
      </c>
      <c r="N199" s="50" t="n">
        <f aca="false">K199*L199*M199</f>
        <v>8.6</v>
      </c>
      <c r="O199" s="31" t="n">
        <f aca="false">IFERROR(INDEX(Исходные!$B$18:$B$29,MATCH(H199,Исходные!$A$18:$A$29,0)),0)</f>
        <v>2.984</v>
      </c>
      <c r="P199" s="51" t="n">
        <f aca="false">N199*O199</f>
        <v>25.6624</v>
      </c>
      <c r="Q199" s="15" t="s">
        <v>540</v>
      </c>
      <c r="R199" s="52" t="s">
        <v>391</v>
      </c>
      <c r="S199" s="15"/>
      <c r="T199" s="15" t="s">
        <v>392</v>
      </c>
      <c r="U199" s="40" t="n">
        <v>0</v>
      </c>
      <c r="V199" s="49" t="s">
        <v>503</v>
      </c>
    </row>
    <row r="200" customFormat="false" ht="35.05" hidden="false" customHeight="false" outlineLevel="0" collapsed="false">
      <c r="A200" s="49" t="n">
        <v>193</v>
      </c>
      <c r="B200" s="15" t="s">
        <v>260</v>
      </c>
      <c r="C200" s="15" t="s">
        <v>497</v>
      </c>
      <c r="D200" s="15" t="s">
        <v>545</v>
      </c>
      <c r="E200" s="15" t="s">
        <v>538</v>
      </c>
      <c r="F200" s="49" t="s">
        <v>327</v>
      </c>
      <c r="G200" s="15" t="s">
        <v>541</v>
      </c>
      <c r="H200" s="42" t="n">
        <v>22</v>
      </c>
      <c r="I200" s="49" t="s">
        <v>264</v>
      </c>
      <c r="J200" s="49" t="s">
        <v>98</v>
      </c>
      <c r="K200" s="42" t="n">
        <v>1</v>
      </c>
      <c r="L200" s="42" t="n">
        <v>4</v>
      </c>
      <c r="M200" s="47" t="n">
        <v>7.95</v>
      </c>
      <c r="N200" s="50" t="n">
        <f aca="false">K200*L200*M200</f>
        <v>31.8</v>
      </c>
      <c r="O200" s="31" t="n">
        <f aca="false">IFERROR(INDEX(Исходные!$B$18:$B$29,MATCH(H200,Исходные!$A$18:$A$29,0)),0)</f>
        <v>2.984</v>
      </c>
      <c r="P200" s="51" t="n">
        <f aca="false">N200*O200</f>
        <v>94.8912</v>
      </c>
      <c r="Q200" s="15" t="s">
        <v>540</v>
      </c>
      <c r="R200" s="52" t="s">
        <v>391</v>
      </c>
      <c r="S200" s="15"/>
      <c r="T200" s="15" t="s">
        <v>392</v>
      </c>
      <c r="U200" s="40" t="n">
        <v>0</v>
      </c>
      <c r="V200" s="49" t="s">
        <v>503</v>
      </c>
    </row>
    <row r="201" customFormat="false" ht="35.05" hidden="false" customHeight="false" outlineLevel="0" collapsed="false">
      <c r="A201" s="49" t="n">
        <v>194</v>
      </c>
      <c r="B201" s="15" t="s">
        <v>260</v>
      </c>
      <c r="C201" s="15" t="s">
        <v>497</v>
      </c>
      <c r="D201" s="15" t="s">
        <v>545</v>
      </c>
      <c r="E201" s="15" t="s">
        <v>538</v>
      </c>
      <c r="F201" s="49" t="s">
        <v>327</v>
      </c>
      <c r="G201" s="15" t="s">
        <v>542</v>
      </c>
      <c r="H201" s="42" t="n">
        <v>22</v>
      </c>
      <c r="I201" s="49" t="s">
        <v>264</v>
      </c>
      <c r="J201" s="49" t="s">
        <v>98</v>
      </c>
      <c r="K201" s="42" t="n">
        <v>1</v>
      </c>
      <c r="L201" s="42" t="n">
        <v>4</v>
      </c>
      <c r="M201" s="47" t="n">
        <v>2.15</v>
      </c>
      <c r="N201" s="50" t="n">
        <f aca="false">K201*L201*M201</f>
        <v>8.6</v>
      </c>
      <c r="O201" s="31" t="n">
        <f aca="false">IFERROR(INDEX(Исходные!$B$18:$B$29,MATCH(H201,Исходные!$A$18:$A$29,0)),0)</f>
        <v>2.984</v>
      </c>
      <c r="P201" s="51" t="n">
        <f aca="false">N201*O201</f>
        <v>25.6624</v>
      </c>
      <c r="Q201" s="15" t="s">
        <v>540</v>
      </c>
      <c r="R201" s="52" t="s">
        <v>391</v>
      </c>
      <c r="S201" s="15"/>
      <c r="T201" s="15" t="s">
        <v>392</v>
      </c>
      <c r="U201" s="40" t="n">
        <v>0</v>
      </c>
      <c r="V201" s="49" t="s">
        <v>503</v>
      </c>
    </row>
    <row r="202" customFormat="false" ht="35.05" hidden="false" customHeight="false" outlineLevel="0" collapsed="false">
      <c r="A202" s="49" t="n">
        <v>195</v>
      </c>
      <c r="B202" s="15" t="s">
        <v>260</v>
      </c>
      <c r="C202" s="15" t="s">
        <v>497</v>
      </c>
      <c r="D202" s="15" t="s">
        <v>545</v>
      </c>
      <c r="E202" s="15" t="s">
        <v>538</v>
      </c>
      <c r="F202" s="49" t="s">
        <v>327</v>
      </c>
      <c r="G202" s="15" t="s">
        <v>546</v>
      </c>
      <c r="H202" s="42" t="n">
        <v>22</v>
      </c>
      <c r="I202" s="49" t="s">
        <v>264</v>
      </c>
      <c r="J202" s="49" t="s">
        <v>98</v>
      </c>
      <c r="K202" s="42" t="n">
        <v>1</v>
      </c>
      <c r="L202" s="42" t="n">
        <v>4</v>
      </c>
      <c r="M202" s="47" t="n">
        <v>2.375</v>
      </c>
      <c r="N202" s="50" t="n">
        <f aca="false">K202*L202*M202</f>
        <v>9.5</v>
      </c>
      <c r="O202" s="31" t="n">
        <f aca="false">IFERROR(INDEX(Исходные!$B$18:$B$29,MATCH(H202,Исходные!$A$18:$A$29,0)),0)</f>
        <v>2.984</v>
      </c>
      <c r="P202" s="51" t="n">
        <f aca="false">N202*O202</f>
        <v>28.348</v>
      </c>
      <c r="Q202" s="15" t="s">
        <v>540</v>
      </c>
      <c r="R202" s="52" t="s">
        <v>391</v>
      </c>
      <c r="S202" s="15"/>
      <c r="T202" s="15" t="s">
        <v>392</v>
      </c>
      <c r="U202" s="40" t="n">
        <v>0</v>
      </c>
      <c r="V202" s="49" t="s">
        <v>503</v>
      </c>
    </row>
    <row r="203" customFormat="false" ht="35.05" hidden="false" customHeight="false" outlineLevel="0" collapsed="false">
      <c r="A203" s="49" t="n">
        <v>196</v>
      </c>
      <c r="B203" s="15" t="s">
        <v>260</v>
      </c>
      <c r="C203" s="15" t="s">
        <v>497</v>
      </c>
      <c r="D203" s="15" t="s">
        <v>547</v>
      </c>
      <c r="E203" s="15" t="s">
        <v>548</v>
      </c>
      <c r="F203" s="49" t="s">
        <v>98</v>
      </c>
      <c r="G203" s="15" t="s">
        <v>549</v>
      </c>
      <c r="H203" s="42" t="n">
        <v>18</v>
      </c>
      <c r="I203" s="49" t="s">
        <v>264</v>
      </c>
      <c r="J203" s="49" t="s">
        <v>98</v>
      </c>
      <c r="K203" s="42" t="n">
        <v>1</v>
      </c>
      <c r="L203" s="42" t="n">
        <v>42</v>
      </c>
      <c r="M203" s="47" t="n">
        <v>1.2</v>
      </c>
      <c r="N203" s="50" t="n">
        <f aca="false">K203*L203*M203</f>
        <v>50.4</v>
      </c>
      <c r="O203" s="31" t="n">
        <f aca="false">IFERROR(INDEX(Исходные!$B$18:$B$29,MATCH(H203,Исходные!$A$18:$A$29,0)),0)</f>
        <v>1.998</v>
      </c>
      <c r="P203" s="51" t="n">
        <f aca="false">N203*O203</f>
        <v>100.6992</v>
      </c>
      <c r="Q203" s="15" t="s">
        <v>550</v>
      </c>
      <c r="R203" s="53" t="s">
        <v>551</v>
      </c>
      <c r="S203" s="15"/>
      <c r="T203" s="15" t="s">
        <v>392</v>
      </c>
      <c r="U203" s="40" t="n">
        <v>1</v>
      </c>
      <c r="V203" s="49" t="s">
        <v>552</v>
      </c>
    </row>
    <row r="204" customFormat="false" ht="35.05" hidden="false" customHeight="false" outlineLevel="0" collapsed="false">
      <c r="A204" s="49" t="n">
        <v>197</v>
      </c>
      <c r="B204" s="15" t="s">
        <v>260</v>
      </c>
      <c r="C204" s="15" t="s">
        <v>497</v>
      </c>
      <c r="D204" s="15" t="s">
        <v>553</v>
      </c>
      <c r="E204" s="15" t="s">
        <v>554</v>
      </c>
      <c r="F204" s="49" t="s">
        <v>307</v>
      </c>
      <c r="G204" s="15" t="s">
        <v>555</v>
      </c>
      <c r="H204" s="42" t="n">
        <v>8</v>
      </c>
      <c r="I204" s="49" t="s">
        <v>298</v>
      </c>
      <c r="J204" s="49" t="s">
        <v>556</v>
      </c>
      <c r="K204" s="42" t="n">
        <v>1</v>
      </c>
      <c r="L204" s="42" t="n">
        <v>925</v>
      </c>
      <c r="M204" s="47" t="n">
        <v>1.24</v>
      </c>
      <c r="N204" s="50" t="n">
        <f aca="false">K204*L204*M204</f>
        <v>1147</v>
      </c>
      <c r="O204" s="31" t="n">
        <f aca="false">IFERROR(INDEX(Исходные!$B$18:$B$29,MATCH(H204,Исходные!$A$18:$A$29,0)),0)</f>
        <v>0.395</v>
      </c>
      <c r="P204" s="51" t="n">
        <f aca="false">N204*O204</f>
        <v>453.065</v>
      </c>
      <c r="Q204" s="15" t="s">
        <v>557</v>
      </c>
      <c r="R204" s="52" t="s">
        <v>266</v>
      </c>
      <c r="S204" s="15"/>
      <c r="T204" s="15" t="s">
        <v>392</v>
      </c>
      <c r="U204" s="40" t="n">
        <v>0</v>
      </c>
      <c r="V204" s="49" t="s">
        <v>558</v>
      </c>
    </row>
    <row r="205" customFormat="false" ht="35.05" hidden="false" customHeight="false" outlineLevel="0" collapsed="false">
      <c r="A205" s="49" t="n">
        <v>198</v>
      </c>
      <c r="B205" s="15" t="s">
        <v>260</v>
      </c>
      <c r="C205" s="15" t="s">
        <v>497</v>
      </c>
      <c r="D205" s="15" t="s">
        <v>559</v>
      </c>
      <c r="E205" s="15" t="s">
        <v>560</v>
      </c>
      <c r="F205" s="49" t="s">
        <v>307</v>
      </c>
      <c r="G205" s="15" t="s">
        <v>561</v>
      </c>
      <c r="H205" s="42" t="n">
        <v>8</v>
      </c>
      <c r="I205" s="49" t="s">
        <v>298</v>
      </c>
      <c r="J205" s="49" t="s">
        <v>556</v>
      </c>
      <c r="K205" s="42" t="n">
        <v>1</v>
      </c>
      <c r="L205" s="42" t="n">
        <v>44</v>
      </c>
      <c r="M205" s="47" t="n">
        <v>1.24</v>
      </c>
      <c r="N205" s="50" t="n">
        <f aca="false">K205*L205*M205</f>
        <v>54.56</v>
      </c>
      <c r="O205" s="31" t="n">
        <f aca="false">IFERROR(INDEX(Исходные!$B$18:$B$29,MATCH(H205,Исходные!$A$18:$A$29,0)),0)</f>
        <v>0.395</v>
      </c>
      <c r="P205" s="51" t="n">
        <f aca="false">N205*O205</f>
        <v>21.5512</v>
      </c>
      <c r="Q205" s="15" t="s">
        <v>562</v>
      </c>
      <c r="R205" s="52" t="s">
        <v>266</v>
      </c>
      <c r="S205" s="15"/>
      <c r="T205" s="15" t="s">
        <v>392</v>
      </c>
      <c r="U205" s="40" t="n">
        <v>0</v>
      </c>
      <c r="V205" s="49" t="s">
        <v>558</v>
      </c>
    </row>
    <row r="206" customFormat="false" ht="35.05" hidden="false" customHeight="false" outlineLevel="0" collapsed="false">
      <c r="A206" s="49" t="n">
        <v>199</v>
      </c>
      <c r="B206" s="15" t="s">
        <v>260</v>
      </c>
      <c r="C206" s="15" t="s">
        <v>497</v>
      </c>
      <c r="D206" s="15" t="s">
        <v>563</v>
      </c>
      <c r="E206" s="15" t="s">
        <v>564</v>
      </c>
      <c r="F206" s="49" t="s">
        <v>565</v>
      </c>
      <c r="G206" s="15" t="s">
        <v>566</v>
      </c>
      <c r="H206" s="42" t="n">
        <v>8</v>
      </c>
      <c r="I206" s="49" t="s">
        <v>298</v>
      </c>
      <c r="J206" s="49" t="s">
        <v>556</v>
      </c>
      <c r="K206" s="42" t="n">
        <v>1</v>
      </c>
      <c r="L206" s="42" t="n">
        <v>44</v>
      </c>
      <c r="M206" s="47" t="n">
        <v>1.44</v>
      </c>
      <c r="N206" s="50" t="n">
        <f aca="false">K206*L206*M206</f>
        <v>63.36</v>
      </c>
      <c r="O206" s="31" t="n">
        <f aca="false">IFERROR(INDEX(Исходные!$B$18:$B$29,MATCH(H206,Исходные!$A$18:$A$29,0)),0)</f>
        <v>0.395</v>
      </c>
      <c r="P206" s="51" t="n">
        <f aca="false">N206*O206</f>
        <v>25.0272</v>
      </c>
      <c r="Q206" s="15" t="s">
        <v>567</v>
      </c>
      <c r="R206" s="52" t="s">
        <v>266</v>
      </c>
      <c r="S206" s="15"/>
      <c r="T206" s="15" t="s">
        <v>392</v>
      </c>
      <c r="U206" s="40" t="n">
        <v>0</v>
      </c>
      <c r="V206" s="49" t="s">
        <v>558</v>
      </c>
    </row>
    <row r="207" customFormat="false" ht="35.05" hidden="false" customHeight="false" outlineLevel="0" collapsed="false">
      <c r="A207" s="49" t="n">
        <v>200</v>
      </c>
      <c r="B207" s="15" t="s">
        <v>260</v>
      </c>
      <c r="C207" s="15" t="s">
        <v>497</v>
      </c>
      <c r="D207" s="15" t="s">
        <v>568</v>
      </c>
      <c r="E207" s="15" t="s">
        <v>569</v>
      </c>
      <c r="F207" s="49" t="s">
        <v>313</v>
      </c>
      <c r="G207" s="15" t="s">
        <v>570</v>
      </c>
      <c r="H207" s="42" t="n">
        <v>8</v>
      </c>
      <c r="I207" s="49" t="s">
        <v>298</v>
      </c>
      <c r="J207" s="49" t="s">
        <v>556</v>
      </c>
      <c r="K207" s="42" t="n">
        <v>1</v>
      </c>
      <c r="L207" s="42" t="n">
        <v>88</v>
      </c>
      <c r="M207" s="47" t="n">
        <v>1.04</v>
      </c>
      <c r="N207" s="50" t="n">
        <f aca="false">K207*L207*M207</f>
        <v>91.52</v>
      </c>
      <c r="O207" s="31" t="n">
        <f aca="false">IFERROR(INDEX(Исходные!$B$18:$B$29,MATCH(H207,Исходные!$A$18:$A$29,0)),0)</f>
        <v>0.395</v>
      </c>
      <c r="P207" s="51" t="n">
        <f aca="false">N207*O207</f>
        <v>36.1504</v>
      </c>
      <c r="Q207" s="15" t="s">
        <v>571</v>
      </c>
      <c r="R207" s="52" t="s">
        <v>266</v>
      </c>
      <c r="S207" s="15"/>
      <c r="T207" s="15" t="s">
        <v>392</v>
      </c>
      <c r="U207" s="40" t="n">
        <v>0</v>
      </c>
      <c r="V207" s="49" t="s">
        <v>558</v>
      </c>
    </row>
    <row r="208" customFormat="false" ht="35.05" hidden="false" customHeight="false" outlineLevel="0" collapsed="false">
      <c r="A208" s="49" t="n">
        <v>201</v>
      </c>
      <c r="B208" s="15" t="s">
        <v>260</v>
      </c>
      <c r="C208" s="15" t="s">
        <v>497</v>
      </c>
      <c r="D208" s="15" t="s">
        <v>572</v>
      </c>
      <c r="E208" s="15" t="s">
        <v>573</v>
      </c>
      <c r="F208" s="49" t="s">
        <v>310</v>
      </c>
      <c r="G208" s="15" t="s">
        <v>574</v>
      </c>
      <c r="H208" s="42" t="n">
        <v>8</v>
      </c>
      <c r="I208" s="49" t="s">
        <v>298</v>
      </c>
      <c r="J208" s="49" t="s">
        <v>556</v>
      </c>
      <c r="K208" s="42" t="n">
        <v>1</v>
      </c>
      <c r="L208" s="42" t="n">
        <v>272</v>
      </c>
      <c r="M208" s="47" t="n">
        <v>1.14</v>
      </c>
      <c r="N208" s="50" t="n">
        <f aca="false">K208*L208*M208</f>
        <v>310.08</v>
      </c>
      <c r="O208" s="31" t="n">
        <f aca="false">IFERROR(INDEX(Исходные!$B$18:$B$29,MATCH(H208,Исходные!$A$18:$A$29,0)),0)</f>
        <v>0.395</v>
      </c>
      <c r="P208" s="51" t="n">
        <f aca="false">N208*O208</f>
        <v>122.4816</v>
      </c>
      <c r="Q208" s="15" t="s">
        <v>575</v>
      </c>
      <c r="R208" s="52" t="s">
        <v>266</v>
      </c>
      <c r="S208" s="15"/>
      <c r="T208" s="15" t="s">
        <v>392</v>
      </c>
      <c r="U208" s="40" t="n">
        <v>0</v>
      </c>
      <c r="V208" s="49" t="s">
        <v>558</v>
      </c>
    </row>
    <row r="209" customFormat="false" ht="15" hidden="false" customHeight="true" outlineLevel="0" collapsed="false">
      <c r="A209" s="2" t="s">
        <v>576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customFormat="false" ht="35.05" hidden="false" customHeight="false" outlineLevel="0" collapsed="false">
      <c r="A210" s="49" t="n">
        <v>202</v>
      </c>
      <c r="B210" s="15" t="s">
        <v>260</v>
      </c>
      <c r="C210" s="15" t="s">
        <v>10</v>
      </c>
      <c r="D210" s="15" t="s">
        <v>577</v>
      </c>
      <c r="E210" s="15" t="s">
        <v>84</v>
      </c>
      <c r="F210" s="49" t="s">
        <v>262</v>
      </c>
      <c r="G210" s="15" t="s">
        <v>578</v>
      </c>
      <c r="H210" s="42" t="n">
        <v>10</v>
      </c>
      <c r="I210" s="49" t="s">
        <v>264</v>
      </c>
      <c r="J210" s="49" t="n">
        <v>90</v>
      </c>
      <c r="K210" s="42" t="n">
        <v>240</v>
      </c>
      <c r="L210" s="42" t="n">
        <v>7</v>
      </c>
      <c r="M210" s="47" t="n">
        <v>0.57</v>
      </c>
      <c r="N210" s="50" t="n">
        <f aca="false">K210*L210*M210</f>
        <v>957.6</v>
      </c>
      <c r="O210" s="31" t="n">
        <f aca="false">IFERROR(INDEX(Исходные!$B$18:$B$29,MATCH(H210,Исходные!$A$18:$A$29,0)),0)</f>
        <v>0.617</v>
      </c>
      <c r="P210" s="51" t="n">
        <f aca="false">N210*O210</f>
        <v>590.8392</v>
      </c>
      <c r="Q210" s="15" t="s">
        <v>579</v>
      </c>
      <c r="R210" s="53" t="s">
        <v>551</v>
      </c>
      <c r="S210" s="15"/>
      <c r="T210" s="15" t="s">
        <v>84</v>
      </c>
      <c r="U210" s="40" t="n">
        <v>1</v>
      </c>
      <c r="V210" s="49" t="s">
        <v>84</v>
      </c>
    </row>
    <row r="211" customFormat="false" ht="15" hidden="false" customHeight="true" outlineLevel="0" collapsed="false">
      <c r="A211" s="2" t="s">
        <v>580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customFormat="false" ht="23.85" hidden="false" customHeight="false" outlineLevel="0" collapsed="false">
      <c r="A212" s="49" t="n">
        <v>203</v>
      </c>
      <c r="B212" s="15" t="s">
        <v>260</v>
      </c>
      <c r="C212" s="15" t="s">
        <v>581</v>
      </c>
      <c r="D212" s="15" t="s">
        <v>98</v>
      </c>
      <c r="E212" s="15" t="s">
        <v>83</v>
      </c>
      <c r="F212" s="49" t="s">
        <v>98</v>
      </c>
      <c r="G212" s="15" t="s">
        <v>582</v>
      </c>
      <c r="H212" s="42"/>
      <c r="I212" s="49" t="s">
        <v>98</v>
      </c>
      <c r="J212" s="49" t="s">
        <v>98</v>
      </c>
      <c r="K212" s="42" t="n">
        <v>0</v>
      </c>
      <c r="L212" s="42" t="n">
        <v>0</v>
      </c>
      <c r="M212" s="47" t="n">
        <v>0</v>
      </c>
      <c r="N212" s="55" t="n">
        <v>0</v>
      </c>
      <c r="O212" s="55" t="n">
        <v>0</v>
      </c>
      <c r="P212" s="55" t="n">
        <v>0</v>
      </c>
      <c r="Q212" s="15" t="s">
        <v>583</v>
      </c>
      <c r="R212" s="54" t="s">
        <v>584</v>
      </c>
      <c r="S212" s="15"/>
      <c r="T212" s="15" t="s">
        <v>83</v>
      </c>
      <c r="U212" s="40" t="n">
        <v>0</v>
      </c>
      <c r="V212" s="49" t="s">
        <v>83</v>
      </c>
    </row>
    <row r="213" customFormat="false" ht="15" hidden="false" customHeight="false" outlineLevel="0" collapsed="false">
      <c r="G213" s="3" t="s">
        <v>585</v>
      </c>
      <c r="N213" s="56" t="n">
        <f aca="false">SUM(N5:N212)</f>
        <v>19491.14</v>
      </c>
      <c r="P213" s="35" t="n">
        <f aca="false">SUM(P5:P212)</f>
        <v>18212.51356</v>
      </c>
    </row>
  </sheetData>
  <autoFilter ref="A4:V212"/>
  <mergeCells count="5">
    <mergeCell ref="A5:S5"/>
    <mergeCell ref="A87:S87"/>
    <mergeCell ref="A175:S175"/>
    <mergeCell ref="A209:S209"/>
    <mergeCell ref="A211:S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6"/>
    <col collapsed="false" customWidth="true" hidden="false" outlineLevel="0" max="8" min="8" style="0" width="11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45" t="s">
        <v>586</v>
      </c>
    </row>
    <row r="2" customFormat="false" ht="15" hidden="false" customHeight="false" outlineLevel="0" collapsed="false">
      <c r="A2" s="24" t="s">
        <v>587</v>
      </c>
    </row>
    <row r="4" customFormat="false" ht="42" hidden="false" customHeight="true" outlineLevel="0" collapsed="false">
      <c r="A4" s="4" t="s">
        <v>245</v>
      </c>
      <c r="B4" s="4" t="s">
        <v>246</v>
      </c>
      <c r="C4" s="4" t="s">
        <v>588</v>
      </c>
      <c r="D4" s="4" t="s">
        <v>589</v>
      </c>
      <c r="E4" s="4" t="s">
        <v>590</v>
      </c>
      <c r="F4" s="4" t="s">
        <v>591</v>
      </c>
      <c r="G4" s="4" t="s">
        <v>590</v>
      </c>
      <c r="H4" s="4" t="s">
        <v>592</v>
      </c>
      <c r="I4" s="4" t="s">
        <v>590</v>
      </c>
      <c r="J4" s="4" t="s">
        <v>593</v>
      </c>
      <c r="K4" s="4" t="s">
        <v>590</v>
      </c>
      <c r="L4" s="4" t="s">
        <v>594</v>
      </c>
      <c r="M4" s="4" t="s">
        <v>595</v>
      </c>
      <c r="N4" s="4" t="s">
        <v>596</v>
      </c>
      <c r="O4" s="4" t="s">
        <v>597</v>
      </c>
      <c r="P4" s="4" t="s">
        <v>598</v>
      </c>
      <c r="Q4" s="4" t="s">
        <v>599</v>
      </c>
    </row>
    <row r="5" customFormat="false" ht="15" hidden="false" customHeight="false" outlineLevel="0" collapsed="false">
      <c r="A5" s="40" t="n">
        <v>32</v>
      </c>
      <c r="B5" s="49" t="s">
        <v>264</v>
      </c>
      <c r="C5" s="40" t="n">
        <v>1</v>
      </c>
      <c r="D5" s="47" t="n">
        <v>4</v>
      </c>
      <c r="E5" s="42" t="n">
        <v>2</v>
      </c>
      <c r="F5" s="15"/>
      <c r="G5" s="15"/>
      <c r="H5" s="15"/>
      <c r="I5" s="15"/>
      <c r="J5" s="15"/>
      <c r="K5" s="15"/>
      <c r="L5" s="31" t="n">
        <f aca="false">D5*E5+F5*G5+H5*I5+J5*K5</f>
        <v>8</v>
      </c>
      <c r="M5" s="31" t="n">
        <f aca="false">Исходные!$B$12-L5</f>
        <v>3.7</v>
      </c>
      <c r="N5" s="42" t="n">
        <v>10</v>
      </c>
      <c r="O5" s="40" t="n">
        <f aca="false">(E5+G5+I5+K5)*N5</f>
        <v>20</v>
      </c>
      <c r="P5" s="50" t="n">
        <f aca="false">L5*N5</f>
        <v>80</v>
      </c>
      <c r="Q5" s="50" t="n">
        <f aca="false">M5*N5</f>
        <v>37</v>
      </c>
    </row>
    <row r="6" customFormat="false" ht="15" hidden="false" customHeight="false" outlineLevel="0" collapsed="false">
      <c r="A6" s="40" t="n">
        <v>28</v>
      </c>
      <c r="B6" s="49" t="s">
        <v>264</v>
      </c>
      <c r="C6" s="40" t="n">
        <v>1</v>
      </c>
      <c r="D6" s="47" t="n">
        <v>4</v>
      </c>
      <c r="E6" s="42" t="n">
        <v>2</v>
      </c>
      <c r="F6" s="15"/>
      <c r="G6" s="15"/>
      <c r="H6" s="15"/>
      <c r="I6" s="15"/>
      <c r="J6" s="15"/>
      <c r="K6" s="15"/>
      <c r="L6" s="31" t="n">
        <f aca="false">D6*E6+F6*G6+H6*I6+J6*K6</f>
        <v>8</v>
      </c>
      <c r="M6" s="31" t="n">
        <f aca="false">Исходные!$B$12-L6</f>
        <v>3.7</v>
      </c>
      <c r="N6" s="42" t="n">
        <v>52</v>
      </c>
      <c r="O6" s="40" t="n">
        <f aca="false">(E6+G6+I6+K6)*N6</f>
        <v>104</v>
      </c>
      <c r="P6" s="50" t="n">
        <f aca="false">L6*N6</f>
        <v>416</v>
      </c>
      <c r="Q6" s="50" t="n">
        <f aca="false">M6*N6</f>
        <v>192.4</v>
      </c>
    </row>
    <row r="7" customFormat="false" ht="15" hidden="false" customHeight="false" outlineLevel="0" collapsed="false">
      <c r="A7" s="40" t="n">
        <v>25</v>
      </c>
      <c r="B7" s="49" t="s">
        <v>264</v>
      </c>
      <c r="C7" s="40" t="n">
        <v>1</v>
      </c>
      <c r="D7" s="47" t="n">
        <v>11.7</v>
      </c>
      <c r="E7" s="42" t="n">
        <v>1</v>
      </c>
      <c r="F7" s="15"/>
      <c r="G7" s="15"/>
      <c r="H7" s="15"/>
      <c r="I7" s="15"/>
      <c r="J7" s="15"/>
      <c r="K7" s="15"/>
      <c r="L7" s="31" t="n">
        <f aca="false">D7*E7+F7*G7+H7*I7+J7*K7</f>
        <v>11.7</v>
      </c>
      <c r="M7" s="31" t="n">
        <f aca="false">Исходные!$B$12-L7</f>
        <v>0</v>
      </c>
      <c r="N7" s="42" t="n">
        <v>40</v>
      </c>
      <c r="O7" s="40" t="n">
        <f aca="false">(E7+G7+I7+K7)*N7</f>
        <v>40</v>
      </c>
      <c r="P7" s="50" t="n">
        <f aca="false">L7*N7</f>
        <v>468</v>
      </c>
      <c r="Q7" s="50" t="n">
        <f aca="false">M7*N7</f>
        <v>0</v>
      </c>
    </row>
    <row r="8" customFormat="false" ht="15" hidden="false" customHeight="false" outlineLevel="0" collapsed="false">
      <c r="A8" s="40" t="n">
        <v>25</v>
      </c>
      <c r="B8" s="49" t="s">
        <v>264</v>
      </c>
      <c r="C8" s="40" t="n">
        <v>2</v>
      </c>
      <c r="D8" s="47" t="n">
        <v>4</v>
      </c>
      <c r="E8" s="42" t="n">
        <v>2</v>
      </c>
      <c r="F8" s="47" t="n">
        <v>3.365</v>
      </c>
      <c r="G8" s="42" t="n">
        <v>1</v>
      </c>
      <c r="H8" s="47" t="n">
        <v>0.2</v>
      </c>
      <c r="I8" s="42" t="n">
        <v>1</v>
      </c>
      <c r="J8" s="15"/>
      <c r="K8" s="15"/>
      <c r="L8" s="31" t="n">
        <f aca="false">D8*E8+F8*G8+H8*I8+J8*K8</f>
        <v>11.565</v>
      </c>
      <c r="M8" s="31" t="n">
        <f aca="false">Исходные!$B$12-L8</f>
        <v>0.135</v>
      </c>
      <c r="N8" s="42" t="n">
        <v>4</v>
      </c>
      <c r="O8" s="40" t="n">
        <f aca="false">(E8+G8+I8+K8)*N8</f>
        <v>16</v>
      </c>
      <c r="P8" s="50" t="n">
        <f aca="false">L8*N8</f>
        <v>46.26</v>
      </c>
      <c r="Q8" s="50" t="n">
        <f aca="false">M8*N8</f>
        <v>0.539999999999999</v>
      </c>
    </row>
    <row r="9" customFormat="false" ht="15" hidden="false" customHeight="false" outlineLevel="0" collapsed="false">
      <c r="A9" s="40" t="n">
        <v>25</v>
      </c>
      <c r="B9" s="49" t="s">
        <v>264</v>
      </c>
      <c r="C9" s="40" t="n">
        <v>3</v>
      </c>
      <c r="D9" s="47" t="n">
        <v>3.785</v>
      </c>
      <c r="E9" s="42" t="n">
        <v>3</v>
      </c>
      <c r="F9" s="15"/>
      <c r="G9" s="15"/>
      <c r="H9" s="15"/>
      <c r="I9" s="15"/>
      <c r="J9" s="15"/>
      <c r="K9" s="15"/>
      <c r="L9" s="31" t="n">
        <f aca="false">D9*E9+F9*G9+H9*I9+J9*K9</f>
        <v>11.355</v>
      </c>
      <c r="M9" s="31" t="n">
        <f aca="false">Исходные!$B$12-L9</f>
        <v>0.344999999999999</v>
      </c>
      <c r="N9" s="42" t="n">
        <v>1</v>
      </c>
      <c r="O9" s="40" t="n">
        <f aca="false">(E9+G9+I9+K9)*N9</f>
        <v>3</v>
      </c>
      <c r="P9" s="50" t="n">
        <f aca="false">L9*N9</f>
        <v>11.355</v>
      </c>
      <c r="Q9" s="50" t="n">
        <f aca="false">M9*N9</f>
        <v>0.344999999999999</v>
      </c>
    </row>
    <row r="10" customFormat="false" ht="15" hidden="false" customHeight="false" outlineLevel="0" collapsed="false">
      <c r="A10" s="40" t="n">
        <v>25</v>
      </c>
      <c r="B10" s="49" t="s">
        <v>264</v>
      </c>
      <c r="C10" s="40" t="n">
        <v>4</v>
      </c>
      <c r="D10" s="47" t="n">
        <v>8.7</v>
      </c>
      <c r="E10" s="42" t="n">
        <v>1</v>
      </c>
      <c r="F10" s="47" t="n">
        <v>2.2</v>
      </c>
      <c r="G10" s="42" t="n">
        <v>1</v>
      </c>
      <c r="H10" s="15"/>
      <c r="I10" s="15"/>
      <c r="J10" s="15"/>
      <c r="K10" s="15"/>
      <c r="L10" s="31" t="n">
        <f aca="false">D10*E10+F10*G10+H10*I10+J10*K10</f>
        <v>10.9</v>
      </c>
      <c r="M10" s="31" t="n">
        <f aca="false">Исходные!$B$12-L10</f>
        <v>0.800000000000001</v>
      </c>
      <c r="N10" s="42" t="n">
        <v>8</v>
      </c>
      <c r="O10" s="40" t="n">
        <f aca="false">(E10+G10+I10+K10)*N10</f>
        <v>16</v>
      </c>
      <c r="P10" s="50" t="n">
        <f aca="false">L10*N10</f>
        <v>87.2</v>
      </c>
      <c r="Q10" s="50" t="n">
        <f aca="false">M10*N10</f>
        <v>6.40000000000001</v>
      </c>
    </row>
    <row r="11" customFormat="false" ht="15" hidden="false" customHeight="false" outlineLevel="0" collapsed="false">
      <c r="A11" s="40" t="n">
        <v>25</v>
      </c>
      <c r="B11" s="49" t="s">
        <v>264</v>
      </c>
      <c r="C11" s="40" t="n">
        <v>5</v>
      </c>
      <c r="D11" s="47" t="n">
        <v>8.7</v>
      </c>
      <c r="E11" s="42" t="n">
        <v>1</v>
      </c>
      <c r="F11" s="47" t="n">
        <v>2</v>
      </c>
      <c r="G11" s="42" t="n">
        <v>1</v>
      </c>
      <c r="H11" s="15"/>
      <c r="I11" s="15"/>
      <c r="J11" s="15"/>
      <c r="K11" s="15"/>
      <c r="L11" s="31" t="n">
        <f aca="false">D11*E11+F11*G11+H11*I11+J11*K11</f>
        <v>10.7</v>
      </c>
      <c r="M11" s="31" t="n">
        <f aca="false">Исходные!$B$12-L11</f>
        <v>1</v>
      </c>
      <c r="N11" s="42" t="n">
        <v>4</v>
      </c>
      <c r="O11" s="40" t="n">
        <f aca="false">(E11+G11+I11+K11)*N11</f>
        <v>8</v>
      </c>
      <c r="P11" s="50" t="n">
        <f aca="false">L11*N11</f>
        <v>42.8</v>
      </c>
      <c r="Q11" s="50" t="n">
        <f aca="false">M11*N11</f>
        <v>4</v>
      </c>
    </row>
    <row r="12" customFormat="false" ht="15" hidden="false" customHeight="false" outlineLevel="0" collapsed="false">
      <c r="A12" s="40" t="n">
        <v>25</v>
      </c>
      <c r="B12" s="49" t="s">
        <v>264</v>
      </c>
      <c r="C12" s="40" t="n">
        <v>6</v>
      </c>
      <c r="D12" s="47" t="n">
        <v>4</v>
      </c>
      <c r="E12" s="42" t="n">
        <v>2</v>
      </c>
      <c r="F12" s="47" t="n">
        <v>2</v>
      </c>
      <c r="G12" s="42" t="n">
        <v>1</v>
      </c>
      <c r="H12" s="15"/>
      <c r="I12" s="15"/>
      <c r="J12" s="15"/>
      <c r="K12" s="15"/>
      <c r="L12" s="31" t="n">
        <f aca="false">D12*E12+F12*G12+H12*I12+J12*K12</f>
        <v>10</v>
      </c>
      <c r="M12" s="31" t="n">
        <f aca="false">Исходные!$B$12-L12</f>
        <v>1.7</v>
      </c>
      <c r="N12" s="42" t="n">
        <v>4</v>
      </c>
      <c r="O12" s="40" t="n">
        <f aca="false">(E12+G12+I12+K12)*N12</f>
        <v>12</v>
      </c>
      <c r="P12" s="50" t="n">
        <f aca="false">L12*N12</f>
        <v>40</v>
      </c>
      <c r="Q12" s="50" t="n">
        <f aca="false">M12*N12</f>
        <v>6.8</v>
      </c>
    </row>
    <row r="13" customFormat="false" ht="15" hidden="false" customHeight="false" outlineLevel="0" collapsed="false">
      <c r="A13" s="40" t="n">
        <v>25</v>
      </c>
      <c r="B13" s="49" t="s">
        <v>264</v>
      </c>
      <c r="C13" s="40" t="n">
        <v>7</v>
      </c>
      <c r="D13" s="47" t="n">
        <v>4</v>
      </c>
      <c r="E13" s="42" t="n">
        <v>2</v>
      </c>
      <c r="F13" s="15"/>
      <c r="G13" s="15"/>
      <c r="H13" s="15"/>
      <c r="I13" s="15"/>
      <c r="J13" s="15"/>
      <c r="K13" s="15"/>
      <c r="L13" s="31" t="n">
        <f aca="false">D13*E13+F13*G13+H13*I13+J13*K13</f>
        <v>8</v>
      </c>
      <c r="M13" s="31" t="n">
        <f aca="false">Исходные!$B$12-L13</f>
        <v>3.7</v>
      </c>
      <c r="N13" s="42" t="n">
        <v>10</v>
      </c>
      <c r="O13" s="40" t="n">
        <f aca="false">(E13+G13+I13+K13)*N13</f>
        <v>20</v>
      </c>
      <c r="P13" s="50" t="n">
        <f aca="false">L13*N13</f>
        <v>80</v>
      </c>
      <c r="Q13" s="50" t="n">
        <f aca="false">M13*N13</f>
        <v>37</v>
      </c>
    </row>
    <row r="14" customFormat="false" ht="15" hidden="false" customHeight="false" outlineLevel="0" collapsed="false">
      <c r="A14" s="40" t="n">
        <v>25</v>
      </c>
      <c r="B14" s="49" t="s">
        <v>264</v>
      </c>
      <c r="C14" s="40" t="n">
        <v>8</v>
      </c>
      <c r="D14" s="47" t="n">
        <v>3.785</v>
      </c>
      <c r="E14" s="42" t="n">
        <v>1</v>
      </c>
      <c r="F14" s="15"/>
      <c r="G14" s="15"/>
      <c r="H14" s="15"/>
      <c r="I14" s="15"/>
      <c r="J14" s="15"/>
      <c r="K14" s="15"/>
      <c r="L14" s="31" t="n">
        <f aca="false">D14*E14+F14*G14+H14*I14+J14*K14</f>
        <v>3.785</v>
      </c>
      <c r="M14" s="31" t="n">
        <f aca="false">Исходные!$B$12-L14</f>
        <v>7.915</v>
      </c>
      <c r="N14" s="42" t="n">
        <v>1</v>
      </c>
      <c r="O14" s="40" t="n">
        <f aca="false">(E14+G14+I14+K14)*N14</f>
        <v>1</v>
      </c>
      <c r="P14" s="50" t="n">
        <f aca="false">L14*N14</f>
        <v>3.785</v>
      </c>
      <c r="Q14" s="50" t="n">
        <f aca="false">M14*N14</f>
        <v>7.915</v>
      </c>
    </row>
    <row r="15" customFormat="false" ht="15" hidden="false" customHeight="false" outlineLevel="0" collapsed="false">
      <c r="A15" s="40" t="n">
        <v>22</v>
      </c>
      <c r="B15" s="49" t="s">
        <v>264</v>
      </c>
      <c r="C15" s="40" t="n">
        <v>1</v>
      </c>
      <c r="D15" s="47" t="n">
        <v>3.775</v>
      </c>
      <c r="E15" s="42" t="n">
        <v>1</v>
      </c>
      <c r="F15" s="47" t="n">
        <v>2.15</v>
      </c>
      <c r="G15" s="42" t="n">
        <v>3</v>
      </c>
      <c r="H15" s="47" t="n">
        <v>1.3</v>
      </c>
      <c r="I15" s="42" t="n">
        <v>1</v>
      </c>
      <c r="J15" s="15"/>
      <c r="K15" s="15"/>
      <c r="L15" s="31" t="n">
        <f aca="false">D15*E15+F15*G15+H15*I15+J15*K15</f>
        <v>11.525</v>
      </c>
      <c r="M15" s="31" t="n">
        <f aca="false">Исходные!$B$12-L15</f>
        <v>0.174999999999999</v>
      </c>
      <c r="N15" s="42" t="n">
        <v>1</v>
      </c>
      <c r="O15" s="40" t="n">
        <f aca="false">(E15+G15+I15+K15)*N15</f>
        <v>5</v>
      </c>
      <c r="P15" s="50" t="n">
        <f aca="false">L15*N15</f>
        <v>11.525</v>
      </c>
      <c r="Q15" s="50" t="n">
        <f aca="false">M15*N15</f>
        <v>0.174999999999999</v>
      </c>
    </row>
    <row r="16" customFormat="false" ht="15" hidden="false" customHeight="false" outlineLevel="0" collapsed="false">
      <c r="A16" s="40" t="n">
        <v>22</v>
      </c>
      <c r="B16" s="49" t="s">
        <v>264</v>
      </c>
      <c r="C16" s="40" t="n">
        <v>2</v>
      </c>
      <c r="D16" s="47" t="n">
        <v>4</v>
      </c>
      <c r="E16" s="42" t="n">
        <v>2</v>
      </c>
      <c r="F16" s="47" t="n">
        <v>2.175</v>
      </c>
      <c r="G16" s="42" t="n">
        <v>1</v>
      </c>
      <c r="H16" s="47" t="n">
        <v>1.3</v>
      </c>
      <c r="I16" s="42" t="n">
        <v>1</v>
      </c>
      <c r="J16" s="15"/>
      <c r="K16" s="15"/>
      <c r="L16" s="31" t="n">
        <f aca="false">D16*E16+F16*G16+H16*I16+J16*K16</f>
        <v>11.475</v>
      </c>
      <c r="M16" s="31" t="n">
        <f aca="false">Исходные!$B$12-L16</f>
        <v>0.224999999999998</v>
      </c>
      <c r="N16" s="42" t="n">
        <v>9</v>
      </c>
      <c r="O16" s="40" t="n">
        <f aca="false">(E16+G16+I16+K16)*N16</f>
        <v>36</v>
      </c>
      <c r="P16" s="50" t="n">
        <f aca="false">L16*N16</f>
        <v>103.275</v>
      </c>
      <c r="Q16" s="50" t="n">
        <f aca="false">M16*N16</f>
        <v>2.02499999999998</v>
      </c>
    </row>
    <row r="17" customFormat="false" ht="15" hidden="false" customHeight="false" outlineLevel="0" collapsed="false">
      <c r="A17" s="40" t="n">
        <v>22</v>
      </c>
      <c r="B17" s="49" t="s">
        <v>264</v>
      </c>
      <c r="C17" s="40" t="n">
        <v>3</v>
      </c>
      <c r="D17" s="47" t="n">
        <v>3.775</v>
      </c>
      <c r="E17" s="42" t="n">
        <v>3</v>
      </c>
      <c r="F17" s="15"/>
      <c r="G17" s="15"/>
      <c r="H17" s="15"/>
      <c r="I17" s="15"/>
      <c r="J17" s="15"/>
      <c r="K17" s="15"/>
      <c r="L17" s="31" t="n">
        <f aca="false">D17*E17+F17*G17+H17*I17+J17*K17</f>
        <v>11.325</v>
      </c>
      <c r="M17" s="31" t="n">
        <f aca="false">Исходные!$B$12-L17</f>
        <v>0.375</v>
      </c>
      <c r="N17" s="42" t="n">
        <v>1</v>
      </c>
      <c r="O17" s="40" t="n">
        <f aca="false">(E17+G17+I17+K17)*N17</f>
        <v>3</v>
      </c>
      <c r="P17" s="50" t="n">
        <f aca="false">L17*N17</f>
        <v>11.325</v>
      </c>
      <c r="Q17" s="50" t="n">
        <f aca="false">M17*N17</f>
        <v>0.375</v>
      </c>
    </row>
    <row r="18" customFormat="false" ht="15" hidden="false" customHeight="false" outlineLevel="0" collapsed="false">
      <c r="A18" s="40" t="n">
        <v>22</v>
      </c>
      <c r="B18" s="49" t="s">
        <v>264</v>
      </c>
      <c r="C18" s="40" t="n">
        <v>4</v>
      </c>
      <c r="D18" s="47" t="n">
        <v>2.15</v>
      </c>
      <c r="E18" s="42" t="n">
        <v>5</v>
      </c>
      <c r="F18" s="15"/>
      <c r="G18" s="15"/>
      <c r="H18" s="15"/>
      <c r="I18" s="15"/>
      <c r="J18" s="15"/>
      <c r="K18" s="15"/>
      <c r="L18" s="31" t="n">
        <f aca="false">D18*E18+F18*G18+H18*I18+J18*K18</f>
        <v>10.75</v>
      </c>
      <c r="M18" s="31" t="n">
        <f aca="false">Исходные!$B$12-L18</f>
        <v>0.949999999999999</v>
      </c>
      <c r="N18" s="42" t="n">
        <v>1</v>
      </c>
      <c r="O18" s="40" t="n">
        <f aca="false">(E18+G18+I18+K18)*N18</f>
        <v>5</v>
      </c>
      <c r="P18" s="50" t="n">
        <f aca="false">L18*N18</f>
        <v>10.75</v>
      </c>
      <c r="Q18" s="50" t="n">
        <f aca="false">M18*N18</f>
        <v>0.949999999999999</v>
      </c>
    </row>
    <row r="19" customFormat="false" ht="15" hidden="false" customHeight="false" outlineLevel="0" collapsed="false">
      <c r="A19" s="40" t="n">
        <v>22</v>
      </c>
      <c r="B19" s="49" t="s">
        <v>264</v>
      </c>
      <c r="C19" s="40" t="n">
        <v>5</v>
      </c>
      <c r="D19" s="47" t="n">
        <v>4.15</v>
      </c>
      <c r="E19" s="42" t="n">
        <v>2</v>
      </c>
      <c r="F19" s="47" t="n">
        <v>2.375</v>
      </c>
      <c r="G19" s="42" t="n">
        <v>1</v>
      </c>
      <c r="H19" s="15"/>
      <c r="I19" s="15"/>
      <c r="J19" s="15"/>
      <c r="K19" s="15"/>
      <c r="L19" s="31" t="n">
        <f aca="false">D19*E19+F19*G19+H19*I19+J19*K19</f>
        <v>10.675</v>
      </c>
      <c r="M19" s="31" t="n">
        <f aca="false">Исходные!$B$12-L19</f>
        <v>1.025</v>
      </c>
      <c r="N19" s="42" t="n">
        <v>4</v>
      </c>
      <c r="O19" s="40" t="n">
        <f aca="false">(E19+G19+I19+K19)*N19</f>
        <v>12</v>
      </c>
      <c r="P19" s="50" t="n">
        <f aca="false">L19*N19</f>
        <v>42.7</v>
      </c>
      <c r="Q19" s="50" t="n">
        <f aca="false">M19*N19</f>
        <v>4.09999999999999</v>
      </c>
    </row>
    <row r="20" customFormat="false" ht="15" hidden="false" customHeight="false" outlineLevel="0" collapsed="false">
      <c r="A20" s="40" t="n">
        <v>22</v>
      </c>
      <c r="B20" s="49" t="s">
        <v>264</v>
      </c>
      <c r="C20" s="40" t="n">
        <v>6</v>
      </c>
      <c r="D20" s="47" t="n">
        <v>4</v>
      </c>
      <c r="E20" s="42" t="n">
        <v>2</v>
      </c>
      <c r="F20" s="47" t="n">
        <v>2.175</v>
      </c>
      <c r="G20" s="42" t="n">
        <v>1</v>
      </c>
      <c r="H20" s="15"/>
      <c r="I20" s="15"/>
      <c r="J20" s="15"/>
      <c r="K20" s="15"/>
      <c r="L20" s="31" t="n">
        <f aca="false">D20*E20+F20*G20+H20*I20+J20*K20</f>
        <v>10.175</v>
      </c>
      <c r="M20" s="31" t="n">
        <f aca="false">Исходные!$B$12-L20</f>
        <v>1.525</v>
      </c>
      <c r="N20" s="42" t="n">
        <v>7</v>
      </c>
      <c r="O20" s="40" t="n">
        <f aca="false">(E20+G20+I20+K20)*N20</f>
        <v>21</v>
      </c>
      <c r="P20" s="50" t="n">
        <f aca="false">L20*N20</f>
        <v>71.225</v>
      </c>
      <c r="Q20" s="50" t="n">
        <f aca="false">M20*N20</f>
        <v>10.675</v>
      </c>
    </row>
    <row r="21" customFormat="false" ht="15" hidden="false" customHeight="false" outlineLevel="0" collapsed="false">
      <c r="A21" s="40" t="n">
        <v>22</v>
      </c>
      <c r="B21" s="49" t="s">
        <v>264</v>
      </c>
      <c r="C21" s="40" t="n">
        <v>7</v>
      </c>
      <c r="D21" s="47" t="n">
        <v>4</v>
      </c>
      <c r="E21" s="42" t="n">
        <v>2</v>
      </c>
      <c r="F21" s="47" t="n">
        <v>2.15</v>
      </c>
      <c r="G21" s="42" t="n">
        <v>1</v>
      </c>
      <c r="H21" s="15"/>
      <c r="I21" s="15"/>
      <c r="J21" s="15"/>
      <c r="K21" s="15"/>
      <c r="L21" s="31" t="n">
        <f aca="false">D21*E21+F21*G21+H21*I21+J21*K21</f>
        <v>10.15</v>
      </c>
      <c r="M21" s="31" t="n">
        <f aca="false">Исходные!$B$12-L21</f>
        <v>1.55</v>
      </c>
      <c r="N21" s="42" t="n">
        <v>2</v>
      </c>
      <c r="O21" s="40" t="n">
        <f aca="false">(E21+G21+I21+K21)*N21</f>
        <v>6</v>
      </c>
      <c r="P21" s="50" t="n">
        <f aca="false">L21*N21</f>
        <v>20.3</v>
      </c>
      <c r="Q21" s="50" t="n">
        <f aca="false">M21*N21</f>
        <v>3.1</v>
      </c>
    </row>
    <row r="22" customFormat="false" ht="15" hidden="false" customHeight="false" outlineLevel="0" collapsed="false">
      <c r="A22" s="40" t="n">
        <v>22</v>
      </c>
      <c r="B22" s="49" t="s">
        <v>264</v>
      </c>
      <c r="C22" s="40" t="n">
        <v>8</v>
      </c>
      <c r="D22" s="47" t="n">
        <v>7.95</v>
      </c>
      <c r="E22" s="42" t="n">
        <v>1</v>
      </c>
      <c r="F22" s="47" t="n">
        <v>2.15</v>
      </c>
      <c r="G22" s="42" t="n">
        <v>1</v>
      </c>
      <c r="H22" s="15"/>
      <c r="I22" s="15"/>
      <c r="J22" s="15"/>
      <c r="K22" s="15"/>
      <c r="L22" s="31" t="n">
        <f aca="false">D22*E22+F22*G22+H22*I22+J22*K22</f>
        <v>10.1</v>
      </c>
      <c r="M22" s="31" t="n">
        <f aca="false">Исходные!$B$12-L22</f>
        <v>1.6</v>
      </c>
      <c r="N22" s="42" t="n">
        <v>4</v>
      </c>
      <c r="O22" s="40" t="n">
        <f aca="false">(E22+G22+I22+K22)*N22</f>
        <v>8</v>
      </c>
      <c r="P22" s="50" t="n">
        <f aca="false">L22*N22</f>
        <v>40.4</v>
      </c>
      <c r="Q22" s="50" t="n">
        <f aca="false">M22*N22</f>
        <v>6.4</v>
      </c>
    </row>
    <row r="23" customFormat="false" ht="15" hidden="false" customHeight="false" outlineLevel="0" collapsed="false">
      <c r="A23" s="40" t="n">
        <v>22</v>
      </c>
      <c r="B23" s="49" t="s">
        <v>264</v>
      </c>
      <c r="C23" s="40" t="n">
        <v>9</v>
      </c>
      <c r="D23" s="47" t="n">
        <v>2.15</v>
      </c>
      <c r="E23" s="42" t="n">
        <v>2</v>
      </c>
      <c r="F23" s="15"/>
      <c r="G23" s="15"/>
      <c r="H23" s="15"/>
      <c r="I23" s="15"/>
      <c r="J23" s="15"/>
      <c r="K23" s="15"/>
      <c r="L23" s="31" t="n">
        <f aca="false">D23*E23+F23*G23+H23*I23+J23*K23</f>
        <v>4.3</v>
      </c>
      <c r="M23" s="31" t="n">
        <f aca="false">Исходные!$B$12-L23</f>
        <v>7.4</v>
      </c>
      <c r="N23" s="42" t="n">
        <v>1</v>
      </c>
      <c r="O23" s="40" t="n">
        <f aca="false">(E23+G23+I23+K23)*N23</f>
        <v>2</v>
      </c>
      <c r="P23" s="50" t="n">
        <f aca="false">L23*N23</f>
        <v>4.3</v>
      </c>
      <c r="Q23" s="50" t="n">
        <f aca="false">M23*N23</f>
        <v>7.4</v>
      </c>
    </row>
    <row r="24" customFormat="false" ht="15" hidden="false" customHeight="false" outlineLevel="0" collapsed="false">
      <c r="A24" s="40" t="n">
        <v>20</v>
      </c>
      <c r="B24" s="49" t="s">
        <v>264</v>
      </c>
      <c r="C24" s="40" t="n">
        <v>1</v>
      </c>
      <c r="D24" s="47" t="n">
        <v>4</v>
      </c>
      <c r="E24" s="42" t="n">
        <v>2</v>
      </c>
      <c r="F24" s="47" t="n">
        <v>1.2</v>
      </c>
      <c r="G24" s="42" t="n">
        <v>3</v>
      </c>
      <c r="H24" s="15"/>
      <c r="I24" s="15"/>
      <c r="J24" s="15"/>
      <c r="K24" s="15"/>
      <c r="L24" s="31" t="n">
        <f aca="false">D24*E24+F24*G24+H24*I24+J24*K24</f>
        <v>11.6</v>
      </c>
      <c r="M24" s="31" t="n">
        <f aca="false">Исходные!$B$12-L24</f>
        <v>0.0999999999999996</v>
      </c>
      <c r="N24" s="42" t="n">
        <v>2</v>
      </c>
      <c r="O24" s="40" t="n">
        <f aca="false">(E24+G24+I24+K24)*N24</f>
        <v>10</v>
      </c>
      <c r="P24" s="50" t="n">
        <f aca="false">L24*N24</f>
        <v>23.2</v>
      </c>
      <c r="Q24" s="50" t="n">
        <f aca="false">M24*N24</f>
        <v>0.199999999999999</v>
      </c>
    </row>
    <row r="25" customFormat="false" ht="15" hidden="false" customHeight="false" outlineLevel="0" collapsed="false">
      <c r="A25" s="40" t="n">
        <v>20</v>
      </c>
      <c r="B25" s="49" t="s">
        <v>264</v>
      </c>
      <c r="C25" s="40" t="n">
        <v>2</v>
      </c>
      <c r="D25" s="47" t="n">
        <v>4.1</v>
      </c>
      <c r="E25" s="42" t="n">
        <v>2</v>
      </c>
      <c r="F25" s="47" t="n">
        <v>3.325</v>
      </c>
      <c r="G25" s="42" t="n">
        <v>1</v>
      </c>
      <c r="H25" s="15"/>
      <c r="I25" s="15"/>
      <c r="J25" s="15"/>
      <c r="K25" s="15"/>
      <c r="L25" s="31" t="n">
        <f aca="false">D25*E25+F25*G25+H25*I25+J25*K25</f>
        <v>11.525</v>
      </c>
      <c r="M25" s="31" t="n">
        <f aca="false">Исходные!$B$12-L25</f>
        <v>0.175000000000001</v>
      </c>
      <c r="N25" s="42" t="n">
        <v>2</v>
      </c>
      <c r="O25" s="40" t="n">
        <f aca="false">(E25+G25+I25+K25)*N25</f>
        <v>6</v>
      </c>
      <c r="P25" s="50" t="n">
        <f aca="false">L25*N25</f>
        <v>23.05</v>
      </c>
      <c r="Q25" s="50" t="n">
        <f aca="false">M25*N25</f>
        <v>0.350000000000001</v>
      </c>
    </row>
    <row r="26" customFormat="false" ht="15" hidden="false" customHeight="false" outlineLevel="0" collapsed="false">
      <c r="A26" s="40" t="n">
        <v>20</v>
      </c>
      <c r="B26" s="49" t="s">
        <v>264</v>
      </c>
      <c r="C26" s="40" t="n">
        <v>3</v>
      </c>
      <c r="D26" s="47" t="n">
        <v>3.785</v>
      </c>
      <c r="E26" s="42" t="n">
        <v>3</v>
      </c>
      <c r="F26" s="15"/>
      <c r="G26" s="15"/>
      <c r="H26" s="15"/>
      <c r="I26" s="15"/>
      <c r="J26" s="15"/>
      <c r="K26" s="15"/>
      <c r="L26" s="31" t="n">
        <f aca="false">D26*E26+F26*G26+H26*I26+J26*K26</f>
        <v>11.355</v>
      </c>
      <c r="M26" s="31" t="n">
        <f aca="false">Исходные!$B$12-L26</f>
        <v>0.344999999999999</v>
      </c>
      <c r="N26" s="42" t="n">
        <v>1</v>
      </c>
      <c r="O26" s="40" t="n">
        <f aca="false">(E26+G26+I26+K26)*N26</f>
        <v>3</v>
      </c>
      <c r="P26" s="50" t="n">
        <f aca="false">L26*N26</f>
        <v>11.355</v>
      </c>
      <c r="Q26" s="50" t="n">
        <f aca="false">M26*N26</f>
        <v>0.344999999999999</v>
      </c>
    </row>
    <row r="27" customFormat="false" ht="15" hidden="false" customHeight="false" outlineLevel="0" collapsed="false">
      <c r="A27" s="40" t="n">
        <v>20</v>
      </c>
      <c r="B27" s="49" t="s">
        <v>264</v>
      </c>
      <c r="C27" s="40" t="n">
        <v>4</v>
      </c>
      <c r="D27" s="47" t="n">
        <v>4</v>
      </c>
      <c r="E27" s="42" t="n">
        <v>2</v>
      </c>
      <c r="F27" s="47" t="n">
        <v>3.325</v>
      </c>
      <c r="G27" s="42" t="n">
        <v>1</v>
      </c>
      <c r="H27" s="15"/>
      <c r="I27" s="15"/>
      <c r="J27" s="15"/>
      <c r="K27" s="15"/>
      <c r="L27" s="31" t="n">
        <f aca="false">D27*E27+F27*G27+H27*I27+J27*K27</f>
        <v>11.325</v>
      </c>
      <c r="M27" s="31" t="n">
        <f aca="false">Исходные!$B$12-L27</f>
        <v>0.375</v>
      </c>
      <c r="N27" s="42" t="n">
        <v>2</v>
      </c>
      <c r="O27" s="40" t="n">
        <f aca="false">(E27+G27+I27+K27)*N27</f>
        <v>6</v>
      </c>
      <c r="P27" s="50" t="n">
        <f aca="false">L27*N27</f>
        <v>22.65</v>
      </c>
      <c r="Q27" s="50" t="n">
        <f aca="false">M27*N27</f>
        <v>0.75</v>
      </c>
    </row>
    <row r="28" customFormat="false" ht="15" hidden="false" customHeight="false" outlineLevel="0" collapsed="false">
      <c r="A28" s="40" t="n">
        <v>20</v>
      </c>
      <c r="B28" s="49" t="s">
        <v>264</v>
      </c>
      <c r="C28" s="40" t="n">
        <v>5</v>
      </c>
      <c r="D28" s="47" t="n">
        <v>4</v>
      </c>
      <c r="E28" s="42" t="n">
        <v>2</v>
      </c>
      <c r="F28" s="47" t="n">
        <v>1.95</v>
      </c>
      <c r="G28" s="42" t="n">
        <v>1</v>
      </c>
      <c r="H28" s="47" t="n">
        <v>1.2</v>
      </c>
      <c r="I28" s="42" t="n">
        <v>1</v>
      </c>
      <c r="J28" s="15"/>
      <c r="K28" s="15"/>
      <c r="L28" s="31" t="n">
        <f aca="false">D28*E28+F28*G28+H28*I28+J28*K28</f>
        <v>11.15</v>
      </c>
      <c r="M28" s="31" t="n">
        <f aca="false">Исходные!$B$12-L28</f>
        <v>0.550000000000001</v>
      </c>
      <c r="N28" s="42" t="n">
        <v>10</v>
      </c>
      <c r="O28" s="40" t="n">
        <f aca="false">(E28+G28+I28+K28)*N28</f>
        <v>40</v>
      </c>
      <c r="P28" s="50" t="n">
        <f aca="false">L28*N28</f>
        <v>111.5</v>
      </c>
      <c r="Q28" s="50" t="n">
        <f aca="false">M28*N28</f>
        <v>5.50000000000001</v>
      </c>
    </row>
    <row r="29" customFormat="false" ht="15" hidden="false" customHeight="false" outlineLevel="0" collapsed="false">
      <c r="A29" s="40" t="n">
        <v>20</v>
      </c>
      <c r="B29" s="49" t="s">
        <v>264</v>
      </c>
      <c r="C29" s="40" t="n">
        <v>6</v>
      </c>
      <c r="D29" s="47" t="n">
        <v>4</v>
      </c>
      <c r="E29" s="42" t="n">
        <v>2</v>
      </c>
      <c r="F29" s="47" t="n">
        <v>3.05</v>
      </c>
      <c r="G29" s="42" t="n">
        <v>1</v>
      </c>
      <c r="H29" s="15"/>
      <c r="I29" s="15"/>
      <c r="J29" s="15"/>
      <c r="K29" s="15"/>
      <c r="L29" s="31" t="n">
        <f aca="false">D29*E29+F29*G29+H29*I29+J29*K29</f>
        <v>11.05</v>
      </c>
      <c r="M29" s="31" t="n">
        <f aca="false">Исходные!$B$12-L29</f>
        <v>0.649999999999999</v>
      </c>
      <c r="N29" s="42" t="n">
        <v>4</v>
      </c>
      <c r="O29" s="40" t="n">
        <f aca="false">(E29+G29+I29+K29)*N29</f>
        <v>12</v>
      </c>
      <c r="P29" s="50" t="n">
        <f aca="false">L29*N29</f>
        <v>44.2</v>
      </c>
      <c r="Q29" s="50" t="n">
        <f aca="false">M29*N29</f>
        <v>2.59999999999999</v>
      </c>
    </row>
    <row r="30" customFormat="false" ht="15" hidden="false" customHeight="false" outlineLevel="0" collapsed="false">
      <c r="A30" s="40" t="n">
        <v>20</v>
      </c>
      <c r="B30" s="49" t="s">
        <v>264</v>
      </c>
      <c r="C30" s="40" t="n">
        <v>7</v>
      </c>
      <c r="D30" s="47" t="n">
        <v>4</v>
      </c>
      <c r="E30" s="42" t="n">
        <v>2</v>
      </c>
      <c r="F30" s="47" t="n">
        <v>3</v>
      </c>
      <c r="G30" s="42" t="n">
        <v>1</v>
      </c>
      <c r="H30" s="15"/>
      <c r="I30" s="15"/>
      <c r="J30" s="15"/>
      <c r="K30" s="15"/>
      <c r="L30" s="31" t="n">
        <f aca="false">D30*E30+F30*G30+H30*I30+J30*K30</f>
        <v>11</v>
      </c>
      <c r="M30" s="31" t="n">
        <f aca="false">Исходные!$B$12-L30</f>
        <v>0.699999999999999</v>
      </c>
      <c r="N30" s="42" t="n">
        <v>4</v>
      </c>
      <c r="O30" s="40" t="n">
        <f aca="false">(E30+G30+I30+K30)*N30</f>
        <v>12</v>
      </c>
      <c r="P30" s="50" t="n">
        <f aca="false">L30*N30</f>
        <v>44</v>
      </c>
      <c r="Q30" s="50" t="n">
        <f aca="false">M30*N30</f>
        <v>2.8</v>
      </c>
    </row>
    <row r="31" customFormat="false" ht="15" hidden="false" customHeight="false" outlineLevel="0" collapsed="false">
      <c r="A31" s="40" t="n">
        <v>20</v>
      </c>
      <c r="B31" s="49" t="s">
        <v>264</v>
      </c>
      <c r="C31" s="40" t="n">
        <v>8</v>
      </c>
      <c r="D31" s="47" t="n">
        <v>4</v>
      </c>
      <c r="E31" s="42" t="n">
        <v>2</v>
      </c>
      <c r="F31" s="15"/>
      <c r="G31" s="15"/>
      <c r="H31" s="15"/>
      <c r="I31" s="15"/>
      <c r="J31" s="15"/>
      <c r="K31" s="15"/>
      <c r="L31" s="31" t="n">
        <f aca="false">D31*E31+F31*G31+H31*I31+J31*K31</f>
        <v>8</v>
      </c>
      <c r="M31" s="31" t="n">
        <f aca="false">Исходные!$B$12-L31</f>
        <v>3.7</v>
      </c>
      <c r="N31" s="42" t="n">
        <v>1</v>
      </c>
      <c r="O31" s="40" t="n">
        <f aca="false">(E31+G31+I31+K31)*N31</f>
        <v>2</v>
      </c>
      <c r="P31" s="50" t="n">
        <f aca="false">L31*N31</f>
        <v>8</v>
      </c>
      <c r="Q31" s="50" t="n">
        <f aca="false">M31*N31</f>
        <v>3.7</v>
      </c>
    </row>
    <row r="32" customFormat="false" ht="15" hidden="false" customHeight="false" outlineLevel="0" collapsed="false">
      <c r="A32" s="40" t="n">
        <v>20</v>
      </c>
      <c r="B32" s="49" t="s">
        <v>264</v>
      </c>
      <c r="C32" s="40" t="n">
        <v>9</v>
      </c>
      <c r="D32" s="47" t="n">
        <v>3.785</v>
      </c>
      <c r="E32" s="42" t="n">
        <v>1</v>
      </c>
      <c r="F32" s="15"/>
      <c r="G32" s="15"/>
      <c r="H32" s="15"/>
      <c r="I32" s="15"/>
      <c r="J32" s="15"/>
      <c r="K32" s="15"/>
      <c r="L32" s="31" t="n">
        <f aca="false">D32*E32+F32*G32+H32*I32+J32*K32</f>
        <v>3.785</v>
      </c>
      <c r="M32" s="31" t="n">
        <f aca="false">Исходные!$B$12-L32</f>
        <v>7.915</v>
      </c>
      <c r="N32" s="42" t="n">
        <v>1</v>
      </c>
      <c r="O32" s="40" t="n">
        <f aca="false">(E32+G32+I32+K32)*N32</f>
        <v>1</v>
      </c>
      <c r="P32" s="50" t="n">
        <f aca="false">L32*N32</f>
        <v>3.785</v>
      </c>
      <c r="Q32" s="50" t="n">
        <f aca="false">M32*N32</f>
        <v>7.915</v>
      </c>
    </row>
    <row r="33" customFormat="false" ht="15" hidden="false" customHeight="false" outlineLevel="0" collapsed="false">
      <c r="A33" s="40" t="n">
        <v>18</v>
      </c>
      <c r="B33" s="49" t="s">
        <v>264</v>
      </c>
      <c r="C33" s="40" t="n">
        <v>1</v>
      </c>
      <c r="D33" s="47" t="n">
        <v>1.95</v>
      </c>
      <c r="E33" s="42" t="n">
        <v>6</v>
      </c>
      <c r="F33" s="15"/>
      <c r="G33" s="15"/>
      <c r="H33" s="15"/>
      <c r="I33" s="15"/>
      <c r="J33" s="15"/>
      <c r="K33" s="15"/>
      <c r="L33" s="31" t="n">
        <f aca="false">D33*E33+F33*G33+H33*I33+J33*K33</f>
        <v>11.7</v>
      </c>
      <c r="M33" s="31" t="n">
        <f aca="false">Исходные!$B$12-L33</f>
        <v>0</v>
      </c>
      <c r="N33" s="42" t="n">
        <v>5</v>
      </c>
      <c r="O33" s="40" t="n">
        <f aca="false">(E33+G33+I33+K33)*N33</f>
        <v>30</v>
      </c>
      <c r="P33" s="50" t="n">
        <f aca="false">L33*N33</f>
        <v>58.5</v>
      </c>
      <c r="Q33" s="50" t="n">
        <f aca="false">M33*N33</f>
        <v>0</v>
      </c>
    </row>
    <row r="34" customFormat="false" ht="15" hidden="false" customHeight="false" outlineLevel="0" collapsed="false">
      <c r="A34" s="40" t="n">
        <v>18</v>
      </c>
      <c r="B34" s="49" t="s">
        <v>264</v>
      </c>
      <c r="C34" s="40" t="n">
        <v>2</v>
      </c>
      <c r="D34" s="47" t="n">
        <v>4.144</v>
      </c>
      <c r="E34" s="42" t="n">
        <v>2</v>
      </c>
      <c r="F34" s="47" t="n">
        <v>1.95</v>
      </c>
      <c r="G34" s="42" t="n">
        <v>1</v>
      </c>
      <c r="H34" s="47" t="n">
        <v>1.45</v>
      </c>
      <c r="I34" s="42" t="n">
        <v>1</v>
      </c>
      <c r="J34" s="15"/>
      <c r="K34" s="15"/>
      <c r="L34" s="31" t="n">
        <f aca="false">D34*E34+F34*G34+H34*I34+J34*K34</f>
        <v>11.688</v>
      </c>
      <c r="M34" s="31" t="n">
        <f aca="false">Исходные!$B$12-L34</f>
        <v>0.0120000000000005</v>
      </c>
      <c r="N34" s="42" t="n">
        <v>5</v>
      </c>
      <c r="O34" s="40" t="n">
        <f aca="false">(E34+G34+I34+K34)*N34</f>
        <v>20</v>
      </c>
      <c r="P34" s="50" t="n">
        <f aca="false">L34*N34</f>
        <v>58.44</v>
      </c>
      <c r="Q34" s="50" t="n">
        <f aca="false">M34*N34</f>
        <v>0.0600000000000023</v>
      </c>
    </row>
    <row r="35" customFormat="false" ht="15" hidden="false" customHeight="false" outlineLevel="0" collapsed="false">
      <c r="A35" s="40" t="n">
        <v>18</v>
      </c>
      <c r="B35" s="49" t="s">
        <v>264</v>
      </c>
      <c r="C35" s="40" t="n">
        <v>3</v>
      </c>
      <c r="D35" s="47" t="n">
        <v>1.45</v>
      </c>
      <c r="E35" s="42" t="n">
        <v>8</v>
      </c>
      <c r="F35" s="15"/>
      <c r="G35" s="15"/>
      <c r="H35" s="15"/>
      <c r="I35" s="15"/>
      <c r="J35" s="15"/>
      <c r="K35" s="15"/>
      <c r="L35" s="31" t="n">
        <f aca="false">D35*E35+F35*G35+H35*I35+J35*K35</f>
        <v>11.6</v>
      </c>
      <c r="M35" s="31" t="n">
        <f aca="false">Исходные!$B$12-L35</f>
        <v>0.0999999999999996</v>
      </c>
      <c r="N35" s="42" t="n">
        <v>1</v>
      </c>
      <c r="O35" s="40" t="n">
        <f aca="false">(E35+G35+I35+K35)*N35</f>
        <v>8</v>
      </c>
      <c r="P35" s="50" t="n">
        <f aca="false">L35*N35</f>
        <v>11.6</v>
      </c>
      <c r="Q35" s="50" t="n">
        <f aca="false">M35*N35</f>
        <v>0.0999999999999996</v>
      </c>
    </row>
    <row r="36" customFormat="false" ht="15" hidden="false" customHeight="false" outlineLevel="0" collapsed="false">
      <c r="A36" s="40" t="n">
        <v>18</v>
      </c>
      <c r="B36" s="49" t="s">
        <v>264</v>
      </c>
      <c r="C36" s="40" t="n">
        <v>4</v>
      </c>
      <c r="D36" s="47" t="n">
        <v>1.45</v>
      </c>
      <c r="E36" s="42" t="n">
        <v>1</v>
      </c>
      <c r="F36" s="47" t="n">
        <v>1.2</v>
      </c>
      <c r="G36" s="42" t="n">
        <v>8</v>
      </c>
      <c r="H36" s="15"/>
      <c r="I36" s="15"/>
      <c r="J36" s="15"/>
      <c r="K36" s="15"/>
      <c r="L36" s="31" t="n">
        <f aca="false">D36*E36+F36*G36+H36*I36+J36*K36</f>
        <v>11.05</v>
      </c>
      <c r="M36" s="31" t="n">
        <f aca="false">Исходные!$B$12-L36</f>
        <v>0.65</v>
      </c>
      <c r="N36" s="42" t="n">
        <v>1</v>
      </c>
      <c r="O36" s="40" t="n">
        <f aca="false">(E36+G36+I36+K36)*N36</f>
        <v>9</v>
      </c>
      <c r="P36" s="50" t="n">
        <f aca="false">L36*N36</f>
        <v>11.05</v>
      </c>
      <c r="Q36" s="50" t="n">
        <f aca="false">M36*N36</f>
        <v>0.65</v>
      </c>
    </row>
    <row r="37" customFormat="false" ht="15" hidden="false" customHeight="false" outlineLevel="0" collapsed="false">
      <c r="A37" s="40" t="n">
        <v>18</v>
      </c>
      <c r="B37" s="49" t="s">
        <v>264</v>
      </c>
      <c r="C37" s="40" t="n">
        <v>5</v>
      </c>
      <c r="D37" s="47" t="n">
        <v>1.2</v>
      </c>
      <c r="E37" s="42" t="n">
        <v>9</v>
      </c>
      <c r="F37" s="15"/>
      <c r="G37" s="15"/>
      <c r="H37" s="15"/>
      <c r="I37" s="15"/>
      <c r="J37" s="15"/>
      <c r="K37" s="15"/>
      <c r="L37" s="31" t="n">
        <f aca="false">D37*E37+F37*G37+H37*I37+J37*K37</f>
        <v>10.8</v>
      </c>
      <c r="M37" s="31" t="n">
        <f aca="false">Исходные!$B$12-L37</f>
        <v>0.9</v>
      </c>
      <c r="N37" s="42" t="n">
        <v>3</v>
      </c>
      <c r="O37" s="40" t="n">
        <f aca="false">(E37+G37+I37+K37)*N37</f>
        <v>27</v>
      </c>
      <c r="P37" s="50" t="n">
        <f aca="false">L37*N37</f>
        <v>32.4</v>
      </c>
      <c r="Q37" s="50" t="n">
        <f aca="false">M37*N37</f>
        <v>2.7</v>
      </c>
    </row>
    <row r="38" customFormat="false" ht="15" hidden="false" customHeight="false" outlineLevel="0" collapsed="false">
      <c r="A38" s="40" t="n">
        <v>18</v>
      </c>
      <c r="B38" s="49" t="s">
        <v>264</v>
      </c>
      <c r="C38" s="40" t="n">
        <v>6</v>
      </c>
      <c r="D38" s="47" t="n">
        <v>1.95</v>
      </c>
      <c r="E38" s="42" t="n">
        <v>1</v>
      </c>
      <c r="F38" s="47" t="n">
        <v>1.45</v>
      </c>
      <c r="G38" s="42" t="n">
        <v>6</v>
      </c>
      <c r="H38" s="15"/>
      <c r="I38" s="15"/>
      <c r="J38" s="15"/>
      <c r="K38" s="15"/>
      <c r="L38" s="31" t="n">
        <f aca="false">D38*E38+F38*G38+H38*I38+J38*K38</f>
        <v>10.65</v>
      </c>
      <c r="M38" s="31" t="n">
        <f aca="false">Исходные!$B$12-L38</f>
        <v>1.05</v>
      </c>
      <c r="N38" s="42" t="n">
        <v>1</v>
      </c>
      <c r="O38" s="40" t="n">
        <f aca="false">(E38+G38+I38+K38)*N38</f>
        <v>7</v>
      </c>
      <c r="P38" s="50" t="n">
        <f aca="false">L38*N38</f>
        <v>10.65</v>
      </c>
      <c r="Q38" s="50" t="n">
        <f aca="false">M38*N38</f>
        <v>1.05</v>
      </c>
    </row>
    <row r="39" customFormat="false" ht="15" hidden="false" customHeight="false" outlineLevel="0" collapsed="false">
      <c r="A39" s="40" t="n">
        <v>18</v>
      </c>
      <c r="B39" s="49" t="s">
        <v>264</v>
      </c>
      <c r="C39" s="40" t="n">
        <v>7</v>
      </c>
      <c r="D39" s="47" t="n">
        <v>1.2</v>
      </c>
      <c r="E39" s="42" t="n">
        <v>7</v>
      </c>
      <c r="F39" s="15"/>
      <c r="G39" s="15"/>
      <c r="H39" s="15"/>
      <c r="I39" s="15"/>
      <c r="J39" s="15"/>
      <c r="K39" s="15"/>
      <c r="L39" s="31" t="n">
        <f aca="false">D39*E39+F39*G39+H39*I39+J39*K39</f>
        <v>8.4</v>
      </c>
      <c r="M39" s="31" t="n">
        <f aca="false">Исходные!$B$12-L39</f>
        <v>3.3</v>
      </c>
      <c r="N39" s="42" t="n">
        <v>1</v>
      </c>
      <c r="O39" s="40" t="n">
        <f aca="false">(E39+G39+I39+K39)*N39</f>
        <v>7</v>
      </c>
      <c r="P39" s="50" t="n">
        <f aca="false">L39*N39</f>
        <v>8.4</v>
      </c>
      <c r="Q39" s="50" t="n">
        <f aca="false">M39*N39</f>
        <v>3.3</v>
      </c>
    </row>
    <row r="40" customFormat="false" ht="15" hidden="false" customHeight="false" outlineLevel="0" collapsed="false">
      <c r="A40" s="40" t="n">
        <v>16</v>
      </c>
      <c r="B40" s="49" t="s">
        <v>264</v>
      </c>
      <c r="C40" s="40" t="n">
        <v>1</v>
      </c>
      <c r="D40" s="47" t="n">
        <v>1.95</v>
      </c>
      <c r="E40" s="42" t="n">
        <v>6</v>
      </c>
      <c r="F40" s="15"/>
      <c r="G40" s="15"/>
      <c r="H40" s="15"/>
      <c r="I40" s="15"/>
      <c r="J40" s="15"/>
      <c r="K40" s="15"/>
      <c r="L40" s="31" t="n">
        <f aca="false">D40*E40+F40*G40+H40*I40+J40*K40</f>
        <v>11.7</v>
      </c>
      <c r="M40" s="31" t="n">
        <f aca="false">Исходные!$B$12-L40</f>
        <v>0</v>
      </c>
      <c r="N40" s="42" t="n">
        <v>5</v>
      </c>
      <c r="O40" s="40" t="n">
        <f aca="false">(E40+G40+I40+K40)*N40</f>
        <v>30</v>
      </c>
      <c r="P40" s="50" t="n">
        <f aca="false">L40*N40</f>
        <v>58.5</v>
      </c>
      <c r="Q40" s="50" t="n">
        <f aca="false">M40*N40</f>
        <v>0</v>
      </c>
    </row>
    <row r="41" customFormat="false" ht="15" hidden="false" customHeight="false" outlineLevel="0" collapsed="false">
      <c r="A41" s="40" t="n">
        <v>16</v>
      </c>
      <c r="B41" s="49" t="s">
        <v>264</v>
      </c>
      <c r="C41" s="40" t="n">
        <v>2</v>
      </c>
      <c r="D41" s="47" t="n">
        <v>2.25</v>
      </c>
      <c r="E41" s="42" t="n">
        <v>2</v>
      </c>
      <c r="F41" s="47" t="n">
        <v>1.95</v>
      </c>
      <c r="G41" s="42" t="n">
        <v>3</v>
      </c>
      <c r="H41" s="47" t="n">
        <v>1.25</v>
      </c>
      <c r="I41" s="42" t="n">
        <v>1</v>
      </c>
      <c r="J41" s="15"/>
      <c r="K41" s="15"/>
      <c r="L41" s="31" t="n">
        <f aca="false">D41*E41+F41*G41+H41*I41+J41*K41</f>
        <v>11.6</v>
      </c>
      <c r="M41" s="31" t="n">
        <f aca="false">Исходные!$B$12-L41</f>
        <v>0.0999999999999996</v>
      </c>
      <c r="N41" s="42" t="n">
        <v>1</v>
      </c>
      <c r="O41" s="40" t="n">
        <f aca="false">(E41+G41+I41+K41)*N41</f>
        <v>6</v>
      </c>
      <c r="P41" s="50" t="n">
        <f aca="false">L41*N41</f>
        <v>11.6</v>
      </c>
      <c r="Q41" s="50" t="n">
        <f aca="false">M41*N41</f>
        <v>0.0999999999999996</v>
      </c>
    </row>
    <row r="42" customFormat="false" ht="15" hidden="false" customHeight="false" outlineLevel="0" collapsed="false">
      <c r="A42" s="40" t="n">
        <v>16</v>
      </c>
      <c r="B42" s="49" t="s">
        <v>264</v>
      </c>
      <c r="C42" s="40" t="n">
        <v>3</v>
      </c>
      <c r="D42" s="47" t="n">
        <v>1.45</v>
      </c>
      <c r="E42" s="42" t="n">
        <v>8</v>
      </c>
      <c r="F42" s="15"/>
      <c r="G42" s="15"/>
      <c r="H42" s="15"/>
      <c r="I42" s="15"/>
      <c r="J42" s="15"/>
      <c r="K42" s="15"/>
      <c r="L42" s="31" t="n">
        <f aca="false">D42*E42+F42*G42+H42*I42+J42*K42</f>
        <v>11.6</v>
      </c>
      <c r="M42" s="31" t="n">
        <f aca="false">Исходные!$B$12-L42</f>
        <v>0.0999999999999996</v>
      </c>
      <c r="N42" s="42" t="n">
        <v>8</v>
      </c>
      <c r="O42" s="40" t="n">
        <f aca="false">(E42+G42+I42+K42)*N42</f>
        <v>64</v>
      </c>
      <c r="P42" s="50" t="n">
        <f aca="false">L42*N42</f>
        <v>92.8</v>
      </c>
      <c r="Q42" s="50" t="n">
        <f aca="false">M42*N42</f>
        <v>0.799999999999997</v>
      </c>
    </row>
    <row r="43" customFormat="false" ht="15" hidden="false" customHeight="false" outlineLevel="0" collapsed="false">
      <c r="A43" s="40" t="n">
        <v>16</v>
      </c>
      <c r="B43" s="49" t="s">
        <v>264</v>
      </c>
      <c r="C43" s="40" t="n">
        <v>4</v>
      </c>
      <c r="D43" s="47" t="n">
        <v>2.25</v>
      </c>
      <c r="E43" s="42" t="n">
        <v>5</v>
      </c>
      <c r="F43" s="15"/>
      <c r="G43" s="15"/>
      <c r="H43" s="15"/>
      <c r="I43" s="15"/>
      <c r="J43" s="15"/>
      <c r="K43" s="15"/>
      <c r="L43" s="31" t="n">
        <f aca="false">D43*E43+F43*G43+H43*I43+J43*K43</f>
        <v>11.25</v>
      </c>
      <c r="M43" s="31" t="n">
        <f aca="false">Исходные!$B$12-L43</f>
        <v>0.449999999999999</v>
      </c>
      <c r="N43" s="42" t="n">
        <v>14</v>
      </c>
      <c r="O43" s="40" t="n">
        <f aca="false">(E43+G43+I43+K43)*N43</f>
        <v>70</v>
      </c>
      <c r="P43" s="50" t="n">
        <f aca="false">L43*N43</f>
        <v>157.5</v>
      </c>
      <c r="Q43" s="50" t="n">
        <f aca="false">M43*N43</f>
        <v>6.29999999999999</v>
      </c>
    </row>
    <row r="44" customFormat="false" ht="15" hidden="false" customHeight="false" outlineLevel="0" collapsed="false">
      <c r="A44" s="40" t="n">
        <v>16</v>
      </c>
      <c r="B44" s="49" t="s">
        <v>264</v>
      </c>
      <c r="C44" s="40" t="n">
        <v>5</v>
      </c>
      <c r="D44" s="47" t="n">
        <v>1.25</v>
      </c>
      <c r="E44" s="42" t="n">
        <v>9</v>
      </c>
      <c r="F44" s="15"/>
      <c r="G44" s="15"/>
      <c r="H44" s="15"/>
      <c r="I44" s="15"/>
      <c r="J44" s="15"/>
      <c r="K44" s="15"/>
      <c r="L44" s="31" t="n">
        <f aca="false">D44*E44+F44*G44+H44*I44+J44*K44</f>
        <v>11.25</v>
      </c>
      <c r="M44" s="31" t="n">
        <f aca="false">Исходные!$B$12-L44</f>
        <v>0.449999999999999</v>
      </c>
      <c r="N44" s="42" t="n">
        <v>7</v>
      </c>
      <c r="O44" s="40" t="n">
        <f aca="false">(E44+G44+I44+K44)*N44</f>
        <v>63</v>
      </c>
      <c r="P44" s="50" t="n">
        <f aca="false">L44*N44</f>
        <v>78.75</v>
      </c>
      <c r="Q44" s="50" t="n">
        <f aca="false">M44*N44</f>
        <v>3.15</v>
      </c>
    </row>
    <row r="45" customFormat="false" ht="15" hidden="false" customHeight="false" outlineLevel="0" collapsed="false">
      <c r="A45" s="40" t="n">
        <v>16</v>
      </c>
      <c r="B45" s="49" t="s">
        <v>264</v>
      </c>
      <c r="C45" s="40" t="n">
        <v>6</v>
      </c>
      <c r="D45" s="47" t="n">
        <v>1.45</v>
      </c>
      <c r="E45" s="42" t="n">
        <v>6</v>
      </c>
      <c r="F45" s="47" t="n">
        <v>1.25</v>
      </c>
      <c r="G45" s="42" t="n">
        <v>2</v>
      </c>
      <c r="H45" s="15"/>
      <c r="I45" s="15"/>
      <c r="J45" s="15"/>
      <c r="K45" s="15"/>
      <c r="L45" s="31" t="n">
        <f aca="false">D45*E45+F45*G45+H45*I45+J45*K45</f>
        <v>11.2</v>
      </c>
      <c r="M45" s="31" t="n">
        <f aca="false">Исходные!$B$12-L45</f>
        <v>0.5</v>
      </c>
      <c r="N45" s="42" t="n">
        <v>1</v>
      </c>
      <c r="O45" s="40" t="n">
        <f aca="false">(E45+G45+I45+K45)*N45</f>
        <v>8</v>
      </c>
      <c r="P45" s="50" t="n">
        <f aca="false">L45*N45</f>
        <v>11.2</v>
      </c>
      <c r="Q45" s="50" t="n">
        <f aca="false">M45*N45</f>
        <v>0.5</v>
      </c>
    </row>
    <row r="46" customFormat="false" ht="15" hidden="false" customHeight="false" outlineLevel="0" collapsed="false">
      <c r="A46" s="40" t="n">
        <v>16</v>
      </c>
      <c r="B46" s="49" t="s">
        <v>264</v>
      </c>
      <c r="C46" s="40" t="n">
        <v>7</v>
      </c>
      <c r="D46" s="47" t="n">
        <v>1.6</v>
      </c>
      <c r="E46" s="42" t="n">
        <v>5</v>
      </c>
      <c r="F46" s="47" t="n">
        <v>1.45</v>
      </c>
      <c r="G46" s="42" t="n">
        <v>2</v>
      </c>
      <c r="H46" s="15"/>
      <c r="I46" s="15"/>
      <c r="J46" s="15"/>
      <c r="K46" s="15"/>
      <c r="L46" s="31" t="n">
        <f aca="false">D46*E46+F46*G46+H46*I46+J46*K46</f>
        <v>10.9</v>
      </c>
      <c r="M46" s="31" t="n">
        <f aca="false">Исходные!$B$12-L46</f>
        <v>0.799999999999999</v>
      </c>
      <c r="N46" s="42" t="n">
        <v>1</v>
      </c>
      <c r="O46" s="40" t="n">
        <f aca="false">(E46+G46+I46+K46)*N46</f>
        <v>7</v>
      </c>
      <c r="P46" s="50" t="n">
        <f aca="false">L46*N46</f>
        <v>10.9</v>
      </c>
      <c r="Q46" s="50" t="n">
        <f aca="false">M46*N46</f>
        <v>0.799999999999999</v>
      </c>
    </row>
    <row r="47" customFormat="false" ht="15" hidden="false" customHeight="false" outlineLevel="0" collapsed="false">
      <c r="A47" s="40" t="n">
        <v>16</v>
      </c>
      <c r="B47" s="49" t="s">
        <v>264</v>
      </c>
      <c r="C47" s="40" t="n">
        <v>8</v>
      </c>
      <c r="D47" s="47" t="n">
        <v>1.95</v>
      </c>
      <c r="E47" s="42" t="n">
        <v>3</v>
      </c>
      <c r="F47" s="47" t="n">
        <v>1.6</v>
      </c>
      <c r="G47" s="42" t="n">
        <v>3</v>
      </c>
      <c r="H47" s="15"/>
      <c r="I47" s="15"/>
      <c r="J47" s="15"/>
      <c r="K47" s="15"/>
      <c r="L47" s="31" t="n">
        <f aca="false">D47*E47+F47*G47+H47*I47+J47*K47</f>
        <v>10.65</v>
      </c>
      <c r="M47" s="31" t="n">
        <f aca="false">Исходные!$B$12-L47</f>
        <v>1.05</v>
      </c>
      <c r="N47" s="42" t="n">
        <v>1</v>
      </c>
      <c r="O47" s="40" t="n">
        <f aca="false">(E47+G47+I47+K47)*N47</f>
        <v>6</v>
      </c>
      <c r="P47" s="50" t="n">
        <f aca="false">L47*N47</f>
        <v>10.65</v>
      </c>
      <c r="Q47" s="50" t="n">
        <f aca="false">M47*N47</f>
        <v>1.05</v>
      </c>
    </row>
    <row r="48" customFormat="false" ht="15" hidden="false" customHeight="false" outlineLevel="0" collapsed="false">
      <c r="A48" s="40" t="n">
        <v>16</v>
      </c>
      <c r="B48" s="49" t="s">
        <v>264</v>
      </c>
      <c r="C48" s="40" t="n">
        <v>9</v>
      </c>
      <c r="D48" s="47" t="n">
        <v>1.25</v>
      </c>
      <c r="E48" s="42" t="n">
        <v>6</v>
      </c>
      <c r="F48" s="15"/>
      <c r="G48" s="15"/>
      <c r="H48" s="15"/>
      <c r="I48" s="15"/>
      <c r="J48" s="15"/>
      <c r="K48" s="15"/>
      <c r="L48" s="31" t="n">
        <f aca="false">D48*E48+F48*G48+H48*I48+J48*K48</f>
        <v>7.5</v>
      </c>
      <c r="M48" s="31" t="n">
        <f aca="false">Исходные!$B$12-L48</f>
        <v>4.2</v>
      </c>
      <c r="N48" s="42" t="n">
        <v>1</v>
      </c>
      <c r="O48" s="40" t="n">
        <f aca="false">(E48+G48+I48+K48)*N48</f>
        <v>6</v>
      </c>
      <c r="P48" s="50" t="n">
        <f aca="false">L48*N48</f>
        <v>7.5</v>
      </c>
      <c r="Q48" s="50" t="n">
        <f aca="false">M48*N48</f>
        <v>4.2</v>
      </c>
    </row>
    <row r="49" customFormat="false" ht="15" hidden="false" customHeight="false" outlineLevel="0" collapsed="false">
      <c r="A49" s="40" t="n">
        <v>14</v>
      </c>
      <c r="B49" s="49" t="s">
        <v>264</v>
      </c>
      <c r="C49" s="40" t="n">
        <v>1</v>
      </c>
      <c r="D49" s="47" t="n">
        <v>11.7</v>
      </c>
      <c r="E49" s="42" t="n">
        <v>1</v>
      </c>
      <c r="F49" s="15"/>
      <c r="G49" s="15"/>
      <c r="H49" s="15"/>
      <c r="I49" s="15"/>
      <c r="J49" s="15"/>
      <c r="K49" s="15"/>
      <c r="L49" s="31" t="n">
        <f aca="false">D49*E49+F49*G49+H49*I49+J49*K49</f>
        <v>11.7</v>
      </c>
      <c r="M49" s="31" t="n">
        <f aca="false">Исходные!$B$12-L49</f>
        <v>0</v>
      </c>
      <c r="N49" s="42" t="n">
        <v>6</v>
      </c>
      <c r="O49" s="40" t="n">
        <f aca="false">(E49+G49+I49+K49)*N49</f>
        <v>6</v>
      </c>
      <c r="P49" s="50" t="n">
        <f aca="false">L49*N49</f>
        <v>70.2</v>
      </c>
      <c r="Q49" s="50" t="n">
        <f aca="false">M49*N49</f>
        <v>0</v>
      </c>
    </row>
    <row r="50" customFormat="false" ht="15" hidden="false" customHeight="false" outlineLevel="0" collapsed="false">
      <c r="A50" s="40" t="n">
        <v>14</v>
      </c>
      <c r="B50" s="49" t="s">
        <v>264</v>
      </c>
      <c r="C50" s="40" t="n">
        <v>2</v>
      </c>
      <c r="D50" s="47" t="n">
        <v>1.45</v>
      </c>
      <c r="E50" s="42" t="n">
        <v>8</v>
      </c>
      <c r="F50" s="15"/>
      <c r="G50" s="15"/>
      <c r="H50" s="15"/>
      <c r="I50" s="15"/>
      <c r="J50" s="15"/>
      <c r="K50" s="15"/>
      <c r="L50" s="31" t="n">
        <f aca="false">D50*E50+F50*G50+H50*I50+J50*K50</f>
        <v>11.6</v>
      </c>
      <c r="M50" s="31" t="n">
        <f aca="false">Исходные!$B$12-L50</f>
        <v>0.0999999999999996</v>
      </c>
      <c r="N50" s="42" t="n">
        <v>4</v>
      </c>
      <c r="O50" s="40" t="n">
        <f aca="false">(E50+G50+I50+K50)*N50</f>
        <v>32</v>
      </c>
      <c r="P50" s="50" t="n">
        <f aca="false">L50*N50</f>
        <v>46.4</v>
      </c>
      <c r="Q50" s="50" t="n">
        <f aca="false">M50*N50</f>
        <v>0.399999999999999</v>
      </c>
    </row>
    <row r="51" customFormat="false" ht="15" hidden="false" customHeight="false" outlineLevel="0" collapsed="false">
      <c r="A51" s="40" t="n">
        <v>14</v>
      </c>
      <c r="B51" s="49" t="s">
        <v>264</v>
      </c>
      <c r="C51" s="40" t="n">
        <v>3</v>
      </c>
      <c r="D51" s="47" t="n">
        <v>3.545</v>
      </c>
      <c r="E51" s="42" t="n">
        <v>2</v>
      </c>
      <c r="F51" s="47" t="n">
        <v>1.45</v>
      </c>
      <c r="G51" s="42" t="n">
        <v>3</v>
      </c>
      <c r="H51" s="15"/>
      <c r="I51" s="15"/>
      <c r="J51" s="15"/>
      <c r="K51" s="15"/>
      <c r="L51" s="31" t="n">
        <f aca="false">D51*E51+F51*G51+H51*I51+J51*K51</f>
        <v>11.44</v>
      </c>
      <c r="M51" s="31" t="n">
        <f aca="false">Исходные!$B$12-L51</f>
        <v>0.26</v>
      </c>
      <c r="N51" s="42" t="n">
        <v>1</v>
      </c>
      <c r="O51" s="40" t="n">
        <f aca="false">(E51+G51+I51+K51)*N51</f>
        <v>5</v>
      </c>
      <c r="P51" s="50" t="n">
        <f aca="false">L51*N51</f>
        <v>11.44</v>
      </c>
      <c r="Q51" s="50" t="n">
        <f aca="false">M51*N51</f>
        <v>0.26</v>
      </c>
    </row>
    <row r="52" customFormat="false" ht="15" hidden="false" customHeight="false" outlineLevel="0" collapsed="false">
      <c r="A52" s="40" t="n">
        <v>14</v>
      </c>
      <c r="B52" s="49" t="s">
        <v>264</v>
      </c>
      <c r="C52" s="40" t="n">
        <v>4</v>
      </c>
      <c r="D52" s="47" t="n">
        <v>9.385</v>
      </c>
      <c r="E52" s="42" t="n">
        <v>1</v>
      </c>
      <c r="F52" s="47" t="n">
        <v>1.45</v>
      </c>
      <c r="G52" s="42" t="n">
        <v>1</v>
      </c>
      <c r="H52" s="15"/>
      <c r="I52" s="15"/>
      <c r="J52" s="15"/>
      <c r="K52" s="15"/>
      <c r="L52" s="31" t="n">
        <f aca="false">D52*E52+F52*G52+H52*I52+J52*K52</f>
        <v>10.835</v>
      </c>
      <c r="M52" s="31" t="n">
        <f aca="false">Исходные!$B$12-L52</f>
        <v>0.865</v>
      </c>
      <c r="N52" s="42" t="n">
        <v>2</v>
      </c>
      <c r="O52" s="40" t="n">
        <f aca="false">(E52+G52+I52+K52)*N52</f>
        <v>4</v>
      </c>
      <c r="P52" s="50" t="n">
        <f aca="false">L52*N52</f>
        <v>21.67</v>
      </c>
      <c r="Q52" s="50" t="n">
        <f aca="false">M52*N52</f>
        <v>1.73</v>
      </c>
    </row>
    <row r="53" customFormat="false" ht="15" hidden="false" customHeight="false" outlineLevel="0" collapsed="false">
      <c r="A53" s="40" t="n">
        <v>14</v>
      </c>
      <c r="B53" s="49" t="s">
        <v>264</v>
      </c>
      <c r="C53" s="40" t="n">
        <v>5</v>
      </c>
      <c r="D53" s="47" t="n">
        <v>1.45</v>
      </c>
      <c r="E53" s="42" t="n">
        <v>5</v>
      </c>
      <c r="F53" s="15"/>
      <c r="G53" s="15"/>
      <c r="H53" s="15"/>
      <c r="I53" s="15"/>
      <c r="J53" s="15"/>
      <c r="K53" s="15"/>
      <c r="L53" s="31" t="n">
        <f aca="false">D53*E53+F53*G53+H53*I53+J53*K53</f>
        <v>7.25</v>
      </c>
      <c r="M53" s="31" t="n">
        <f aca="false">Исходные!$B$12-L53</f>
        <v>4.45</v>
      </c>
      <c r="N53" s="42" t="n">
        <v>1</v>
      </c>
      <c r="O53" s="40" t="n">
        <f aca="false">(E53+G53+I53+K53)*N53</f>
        <v>5</v>
      </c>
      <c r="P53" s="50" t="n">
        <f aca="false">L53*N53</f>
        <v>7.25</v>
      </c>
      <c r="Q53" s="50" t="n">
        <f aca="false">M53*N53</f>
        <v>4.45</v>
      </c>
    </row>
    <row r="54" customFormat="false" ht="15" hidden="false" customHeight="false" outlineLevel="0" collapsed="false">
      <c r="A54" s="40" t="n">
        <v>12</v>
      </c>
      <c r="B54" s="49" t="s">
        <v>264</v>
      </c>
      <c r="C54" s="40" t="n">
        <v>1</v>
      </c>
      <c r="D54" s="47" t="n">
        <v>2.2</v>
      </c>
      <c r="E54" s="42" t="n">
        <v>2</v>
      </c>
      <c r="F54" s="47" t="n">
        <v>1.4</v>
      </c>
      <c r="G54" s="42" t="n">
        <v>5</v>
      </c>
      <c r="H54" s="15"/>
      <c r="I54" s="15"/>
      <c r="J54" s="15"/>
      <c r="K54" s="15"/>
      <c r="L54" s="31" t="n">
        <f aca="false">D54*E54+F54*G54+H54*I54+J54*K54</f>
        <v>11.4</v>
      </c>
      <c r="M54" s="31" t="n">
        <f aca="false">Исходные!$B$12-L54</f>
        <v>0.299999999999999</v>
      </c>
      <c r="N54" s="42" t="n">
        <v>1</v>
      </c>
      <c r="O54" s="40" t="n">
        <f aca="false">(E54+G54+I54+K54)*N54</f>
        <v>7</v>
      </c>
      <c r="P54" s="50" t="n">
        <f aca="false">L54*N54</f>
        <v>11.4</v>
      </c>
      <c r="Q54" s="50" t="n">
        <f aca="false">M54*N54</f>
        <v>0.299999999999999</v>
      </c>
    </row>
    <row r="55" customFormat="false" ht="15" hidden="false" customHeight="false" outlineLevel="0" collapsed="false">
      <c r="A55" s="40" t="n">
        <v>12</v>
      </c>
      <c r="B55" s="49" t="s">
        <v>264</v>
      </c>
      <c r="C55" s="40" t="n">
        <v>2</v>
      </c>
      <c r="D55" s="47" t="n">
        <v>2.2</v>
      </c>
      <c r="E55" s="42" t="n">
        <v>5</v>
      </c>
      <c r="F55" s="15"/>
      <c r="G55" s="15"/>
      <c r="H55" s="15"/>
      <c r="I55" s="15"/>
      <c r="J55" s="15"/>
      <c r="K55" s="15"/>
      <c r="L55" s="31" t="n">
        <f aca="false">D55*E55+F55*G55+H55*I55+J55*K55</f>
        <v>11</v>
      </c>
      <c r="M55" s="31" t="n">
        <f aca="false">Исходные!$B$12-L55</f>
        <v>0.699999999999999</v>
      </c>
      <c r="N55" s="42" t="n">
        <v>2</v>
      </c>
      <c r="O55" s="40" t="n">
        <f aca="false">(E55+G55+I55+K55)*N55</f>
        <v>10</v>
      </c>
      <c r="P55" s="50" t="n">
        <f aca="false">L55*N55</f>
        <v>22</v>
      </c>
      <c r="Q55" s="50" t="n">
        <f aca="false">M55*N55</f>
        <v>1.4</v>
      </c>
    </row>
    <row r="56" customFormat="false" ht="15" hidden="false" customHeight="false" outlineLevel="0" collapsed="false">
      <c r="A56" s="40" t="n">
        <v>12</v>
      </c>
      <c r="B56" s="49" t="s">
        <v>264</v>
      </c>
      <c r="C56" s="40" t="n">
        <v>3</v>
      </c>
      <c r="D56" s="47" t="n">
        <v>1.4</v>
      </c>
      <c r="E56" s="42" t="n">
        <v>7</v>
      </c>
      <c r="F56" s="15"/>
      <c r="G56" s="15"/>
      <c r="H56" s="15"/>
      <c r="I56" s="15"/>
      <c r="J56" s="15"/>
      <c r="K56" s="15"/>
      <c r="L56" s="31" t="n">
        <f aca="false">D56*E56+F56*G56+H56*I56+J56*K56</f>
        <v>9.8</v>
      </c>
      <c r="M56" s="31" t="n">
        <f aca="false">Исходные!$B$12-L56</f>
        <v>1.9</v>
      </c>
      <c r="N56" s="42" t="n">
        <v>1</v>
      </c>
      <c r="O56" s="40" t="n">
        <f aca="false">(E56+G56+I56+K56)*N56</f>
        <v>7</v>
      </c>
      <c r="P56" s="50" t="n">
        <f aca="false">L56*N56</f>
        <v>9.8</v>
      </c>
      <c r="Q56" s="50" t="n">
        <f aca="false">M56*N56</f>
        <v>1.9</v>
      </c>
    </row>
    <row r="57" customFormat="false" ht="15" hidden="false" customHeight="false" outlineLevel="0" collapsed="false">
      <c r="A57" s="40" t="n">
        <v>10</v>
      </c>
      <c r="B57" s="49" t="s">
        <v>264</v>
      </c>
      <c r="C57" s="40" t="n">
        <v>1</v>
      </c>
      <c r="D57" s="47" t="n">
        <v>11.7</v>
      </c>
      <c r="E57" s="42" t="n">
        <v>1</v>
      </c>
      <c r="F57" s="15"/>
      <c r="G57" s="15"/>
      <c r="H57" s="15"/>
      <c r="I57" s="15"/>
      <c r="J57" s="15"/>
      <c r="K57" s="15"/>
      <c r="L57" s="31" t="n">
        <f aca="false">D57*E57+F57*G57+H57*I57+J57*K57</f>
        <v>11.7</v>
      </c>
      <c r="M57" s="31" t="n">
        <f aca="false">Исходные!$B$12-L57</f>
        <v>0</v>
      </c>
      <c r="N57" s="42" t="n">
        <v>616</v>
      </c>
      <c r="O57" s="40" t="n">
        <f aca="false">(E57+G57+I57+K57)*N57</f>
        <v>616</v>
      </c>
      <c r="P57" s="50" t="n">
        <f aca="false">L57*N57</f>
        <v>7207.2</v>
      </c>
      <c r="Q57" s="50" t="n">
        <f aca="false">M57*N57</f>
        <v>0</v>
      </c>
    </row>
    <row r="58" customFormat="false" ht="15" hidden="false" customHeight="false" outlineLevel="0" collapsed="false">
      <c r="A58" s="40" t="n">
        <v>10</v>
      </c>
      <c r="B58" s="49" t="s">
        <v>264</v>
      </c>
      <c r="C58" s="40" t="n">
        <v>2</v>
      </c>
      <c r="D58" s="47" t="n">
        <v>4.75</v>
      </c>
      <c r="E58" s="42" t="n">
        <v>2</v>
      </c>
      <c r="F58" s="47" t="n">
        <v>2.2</v>
      </c>
      <c r="G58" s="42" t="n">
        <v>1</v>
      </c>
      <c r="H58" s="15"/>
      <c r="I58" s="15"/>
      <c r="J58" s="15"/>
      <c r="K58" s="15"/>
      <c r="L58" s="31" t="n">
        <f aca="false">D58*E58+F58*G58+H58*I58+J58*K58</f>
        <v>11.7</v>
      </c>
      <c r="M58" s="31" t="n">
        <f aca="false">Исходные!$B$12-L58</f>
        <v>0</v>
      </c>
      <c r="N58" s="42" t="n">
        <v>13</v>
      </c>
      <c r="O58" s="40" t="n">
        <f aca="false">(E58+G58+I58+K58)*N58</f>
        <v>39</v>
      </c>
      <c r="P58" s="50" t="n">
        <f aca="false">L58*N58</f>
        <v>152.1</v>
      </c>
      <c r="Q58" s="50" t="n">
        <f aca="false">M58*N58</f>
        <v>0</v>
      </c>
    </row>
    <row r="59" customFormat="false" ht="15" hidden="false" customHeight="false" outlineLevel="0" collapsed="false">
      <c r="A59" s="40" t="n">
        <v>10</v>
      </c>
      <c r="B59" s="49" t="s">
        <v>264</v>
      </c>
      <c r="C59" s="40" t="n">
        <v>3</v>
      </c>
      <c r="D59" s="47" t="n">
        <v>1.4</v>
      </c>
      <c r="E59" s="42" t="n">
        <v>4</v>
      </c>
      <c r="F59" s="47" t="n">
        <v>1.25</v>
      </c>
      <c r="G59" s="42" t="n">
        <v>3</v>
      </c>
      <c r="H59" s="47" t="n">
        <v>1.2</v>
      </c>
      <c r="I59" s="42" t="n">
        <v>1</v>
      </c>
      <c r="J59" s="47" t="n">
        <v>0.57</v>
      </c>
      <c r="K59" s="42" t="n">
        <v>2</v>
      </c>
      <c r="L59" s="31" t="n">
        <f aca="false">D59*E59+F59*G59+H59*I59+J59*K59</f>
        <v>11.69</v>
      </c>
      <c r="M59" s="31" t="n">
        <f aca="false">Исходные!$B$12-L59</f>
        <v>0.00999999999999979</v>
      </c>
      <c r="N59" s="42" t="n">
        <v>1</v>
      </c>
      <c r="O59" s="40" t="n">
        <f aca="false">(E59+G59+I59+K59)*N59</f>
        <v>10</v>
      </c>
      <c r="P59" s="50" t="n">
        <f aca="false">L59*N59</f>
        <v>11.69</v>
      </c>
      <c r="Q59" s="50" t="n">
        <f aca="false">M59*N59</f>
        <v>0.00999999999999979</v>
      </c>
    </row>
    <row r="60" customFormat="false" ht="15" hidden="false" customHeight="false" outlineLevel="0" collapsed="false">
      <c r="A60" s="40" t="n">
        <v>10</v>
      </c>
      <c r="B60" s="49" t="s">
        <v>264</v>
      </c>
      <c r="C60" s="40" t="n">
        <v>4</v>
      </c>
      <c r="D60" s="47" t="n">
        <v>11.05</v>
      </c>
      <c r="E60" s="42" t="n">
        <v>1</v>
      </c>
      <c r="F60" s="47" t="n">
        <v>0.62</v>
      </c>
      <c r="G60" s="42" t="n">
        <v>1</v>
      </c>
      <c r="H60" s="15"/>
      <c r="I60" s="15"/>
      <c r="J60" s="15"/>
      <c r="K60" s="15"/>
      <c r="L60" s="31" t="n">
        <f aca="false">D60*E60+F60*G60+H60*I60+J60*K60</f>
        <v>11.67</v>
      </c>
      <c r="M60" s="31" t="n">
        <f aca="false">Исходные!$B$12-L60</f>
        <v>0.0299999999999994</v>
      </c>
      <c r="N60" s="42" t="n">
        <v>48</v>
      </c>
      <c r="O60" s="40" t="n">
        <f aca="false">(E60+G60+I60+K60)*N60</f>
        <v>96</v>
      </c>
      <c r="P60" s="50" t="n">
        <f aca="false">L60*N60</f>
        <v>560.16</v>
      </c>
      <c r="Q60" s="50" t="n">
        <f aca="false">M60*N60</f>
        <v>1.43999999999997</v>
      </c>
    </row>
    <row r="61" customFormat="false" ht="15" hidden="false" customHeight="false" outlineLevel="0" collapsed="false">
      <c r="A61" s="40" t="n">
        <v>10</v>
      </c>
      <c r="B61" s="49" t="s">
        <v>264</v>
      </c>
      <c r="C61" s="40" t="n">
        <v>5</v>
      </c>
      <c r="D61" s="47" t="n">
        <v>4.32</v>
      </c>
      <c r="E61" s="42" t="n">
        <v>2</v>
      </c>
      <c r="F61" s="47" t="n">
        <v>3.02</v>
      </c>
      <c r="G61" s="42" t="n">
        <v>1</v>
      </c>
      <c r="H61" s="15"/>
      <c r="I61" s="15"/>
      <c r="J61" s="15"/>
      <c r="K61" s="15"/>
      <c r="L61" s="31" t="n">
        <f aca="false">D61*E61+F61*G61+H61*I61+J61*K61</f>
        <v>11.66</v>
      </c>
      <c r="M61" s="31" t="n">
        <f aca="false">Исходные!$B$12-L61</f>
        <v>0.0399999999999992</v>
      </c>
      <c r="N61" s="42" t="n">
        <v>16</v>
      </c>
      <c r="O61" s="40" t="n">
        <f aca="false">(E61+G61+I61+K61)*N61</f>
        <v>48</v>
      </c>
      <c r="P61" s="50" t="n">
        <f aca="false">L61*N61</f>
        <v>186.56</v>
      </c>
      <c r="Q61" s="50" t="n">
        <f aca="false">M61*N61</f>
        <v>0.639999999999986</v>
      </c>
    </row>
    <row r="62" customFormat="false" ht="15" hidden="false" customHeight="false" outlineLevel="0" collapsed="false">
      <c r="A62" s="40" t="n">
        <v>10</v>
      </c>
      <c r="B62" s="49" t="s">
        <v>264</v>
      </c>
      <c r="C62" s="40" t="n">
        <v>6</v>
      </c>
      <c r="D62" s="47" t="n">
        <v>3.02</v>
      </c>
      <c r="E62" s="42" t="n">
        <v>3</v>
      </c>
      <c r="F62" s="47" t="n">
        <v>2.6</v>
      </c>
      <c r="G62" s="42" t="n">
        <v>1</v>
      </c>
      <c r="H62" s="15"/>
      <c r="I62" s="15"/>
      <c r="J62" s="15"/>
      <c r="K62" s="15"/>
      <c r="L62" s="31" t="n">
        <f aca="false">D62*E62+F62*G62+H62*I62+J62*K62</f>
        <v>11.66</v>
      </c>
      <c r="M62" s="31" t="n">
        <f aca="false">Исходные!$B$12-L62</f>
        <v>0.0399999999999992</v>
      </c>
      <c r="N62" s="42" t="n">
        <v>6</v>
      </c>
      <c r="O62" s="40" t="n">
        <f aca="false">(E62+G62+I62+K62)*N62</f>
        <v>24</v>
      </c>
      <c r="P62" s="50" t="n">
        <f aca="false">L62*N62</f>
        <v>69.96</v>
      </c>
      <c r="Q62" s="50" t="n">
        <f aca="false">M62*N62</f>
        <v>0.239999999999995</v>
      </c>
    </row>
    <row r="63" customFormat="false" ht="15" hidden="false" customHeight="false" outlineLevel="0" collapsed="false">
      <c r="A63" s="40" t="n">
        <v>10</v>
      </c>
      <c r="B63" s="49" t="s">
        <v>264</v>
      </c>
      <c r="C63" s="40" t="n">
        <v>7</v>
      </c>
      <c r="D63" s="47" t="n">
        <v>6.9</v>
      </c>
      <c r="E63" s="42" t="n">
        <v>1</v>
      </c>
      <c r="F63" s="47" t="n">
        <v>4.75</v>
      </c>
      <c r="G63" s="42" t="n">
        <v>1</v>
      </c>
      <c r="H63" s="15"/>
      <c r="I63" s="15"/>
      <c r="J63" s="15"/>
      <c r="K63" s="15"/>
      <c r="L63" s="31" t="n">
        <f aca="false">D63*E63+F63*G63+H63*I63+J63*K63</f>
        <v>11.65</v>
      </c>
      <c r="M63" s="31" t="n">
        <f aca="false">Исходные!$B$12-L63</f>
        <v>0.0499999999999989</v>
      </c>
      <c r="N63" s="42" t="n">
        <v>26</v>
      </c>
      <c r="O63" s="40" t="n">
        <f aca="false">(E63+G63+I63+K63)*N63</f>
        <v>52</v>
      </c>
      <c r="P63" s="50" t="n">
        <f aca="false">L63*N63</f>
        <v>302.9</v>
      </c>
      <c r="Q63" s="50" t="n">
        <f aca="false">M63*N63</f>
        <v>1.29999999999997</v>
      </c>
    </row>
    <row r="64" customFormat="false" ht="15" hidden="false" customHeight="false" outlineLevel="0" collapsed="false">
      <c r="A64" s="40" t="n">
        <v>10</v>
      </c>
      <c r="B64" s="49" t="s">
        <v>264</v>
      </c>
      <c r="C64" s="40" t="n">
        <v>8</v>
      </c>
      <c r="D64" s="47" t="n">
        <v>4.5</v>
      </c>
      <c r="E64" s="42" t="n">
        <v>2</v>
      </c>
      <c r="F64" s="47" t="n">
        <v>1.4</v>
      </c>
      <c r="G64" s="42" t="n">
        <v>1</v>
      </c>
      <c r="H64" s="47" t="n">
        <v>1.25</v>
      </c>
      <c r="I64" s="42" t="n">
        <v>1</v>
      </c>
      <c r="J64" s="15"/>
      <c r="K64" s="15"/>
      <c r="L64" s="31" t="n">
        <f aca="false">D64*E64+F64*G64+H64*I64+J64*K64</f>
        <v>11.65</v>
      </c>
      <c r="M64" s="31" t="n">
        <f aca="false">Исходные!$B$12-L64</f>
        <v>0.0499999999999989</v>
      </c>
      <c r="N64" s="42" t="n">
        <v>3</v>
      </c>
      <c r="O64" s="40" t="n">
        <f aca="false">(E64+G64+I64+K64)*N64</f>
        <v>12</v>
      </c>
      <c r="P64" s="50" t="n">
        <f aca="false">L64*N64</f>
        <v>34.95</v>
      </c>
      <c r="Q64" s="50" t="n">
        <f aca="false">M64*N64</f>
        <v>0.149999999999997</v>
      </c>
    </row>
    <row r="65" customFormat="false" ht="15" hidden="false" customHeight="false" outlineLevel="0" collapsed="false">
      <c r="A65" s="40" t="n">
        <v>10</v>
      </c>
      <c r="B65" s="49" t="s">
        <v>264</v>
      </c>
      <c r="C65" s="40" t="n">
        <v>9</v>
      </c>
      <c r="D65" s="47" t="n">
        <v>3.02</v>
      </c>
      <c r="E65" s="42" t="n">
        <v>2</v>
      </c>
      <c r="F65" s="47" t="n">
        <v>1.4</v>
      </c>
      <c r="G65" s="42" t="n">
        <v>4</v>
      </c>
      <c r="H65" s="15"/>
      <c r="I65" s="15"/>
      <c r="J65" s="15"/>
      <c r="K65" s="15"/>
      <c r="L65" s="31" t="n">
        <f aca="false">D65*E65+F65*G65+H65*I65+J65*K65</f>
        <v>11.64</v>
      </c>
      <c r="M65" s="31" t="n">
        <f aca="false">Исходные!$B$12-L65</f>
        <v>0.0599999999999987</v>
      </c>
      <c r="N65" s="42" t="n">
        <v>1</v>
      </c>
      <c r="O65" s="40" t="n">
        <f aca="false">(E65+G65+I65+K65)*N65</f>
        <v>6</v>
      </c>
      <c r="P65" s="50" t="n">
        <f aca="false">L65*N65</f>
        <v>11.64</v>
      </c>
      <c r="Q65" s="50" t="n">
        <f aca="false">M65*N65</f>
        <v>0.0599999999999987</v>
      </c>
    </row>
    <row r="66" customFormat="false" ht="15" hidden="false" customHeight="false" outlineLevel="0" collapsed="false">
      <c r="A66" s="40" t="n">
        <v>10</v>
      </c>
      <c r="B66" s="49" t="s">
        <v>264</v>
      </c>
      <c r="C66" s="40" t="n">
        <v>10</v>
      </c>
      <c r="D66" s="47" t="n">
        <v>8</v>
      </c>
      <c r="E66" s="42" t="n">
        <v>1</v>
      </c>
      <c r="F66" s="47" t="n">
        <v>3.625</v>
      </c>
      <c r="G66" s="42" t="n">
        <v>1</v>
      </c>
      <c r="H66" s="15"/>
      <c r="I66" s="15"/>
      <c r="J66" s="15"/>
      <c r="K66" s="15"/>
      <c r="L66" s="31" t="n">
        <f aca="false">D66*E66+F66*G66+H66*I66+J66*K66</f>
        <v>11.625</v>
      </c>
      <c r="M66" s="31" t="n">
        <f aca="false">Исходные!$B$12-L66</f>
        <v>0.0749999999999993</v>
      </c>
      <c r="N66" s="42" t="n">
        <v>20</v>
      </c>
      <c r="O66" s="40" t="n">
        <f aca="false">(E66+G66+I66+K66)*N66</f>
        <v>40</v>
      </c>
      <c r="P66" s="50" t="n">
        <f aca="false">L66*N66</f>
        <v>232.5</v>
      </c>
      <c r="Q66" s="50" t="n">
        <f aca="false">M66*N66</f>
        <v>1.49999999999999</v>
      </c>
    </row>
    <row r="67" customFormat="false" ht="15" hidden="false" customHeight="false" outlineLevel="0" collapsed="false">
      <c r="A67" s="40" t="n">
        <v>10</v>
      </c>
      <c r="B67" s="49" t="s">
        <v>264</v>
      </c>
      <c r="C67" s="40" t="n">
        <v>11</v>
      </c>
      <c r="D67" s="47" t="n">
        <v>11.05</v>
      </c>
      <c r="E67" s="42" t="n">
        <v>1</v>
      </c>
      <c r="F67" s="47" t="n">
        <v>0.57</v>
      </c>
      <c r="G67" s="42" t="n">
        <v>1</v>
      </c>
      <c r="H67" s="15"/>
      <c r="I67" s="15"/>
      <c r="J67" s="15"/>
      <c r="K67" s="15"/>
      <c r="L67" s="31" t="n">
        <f aca="false">D67*E67+F67*G67+H67*I67+J67*K67</f>
        <v>11.62</v>
      </c>
      <c r="M67" s="31" t="n">
        <f aca="false">Исходные!$B$12-L67</f>
        <v>0.0799999999999983</v>
      </c>
      <c r="N67" s="42" t="n">
        <v>32</v>
      </c>
      <c r="O67" s="40" t="n">
        <f aca="false">(E67+G67+I67+K67)*N67</f>
        <v>64</v>
      </c>
      <c r="P67" s="50" t="n">
        <f aca="false">L67*N67</f>
        <v>371.84</v>
      </c>
      <c r="Q67" s="50" t="n">
        <f aca="false">M67*N67</f>
        <v>2.55999999999995</v>
      </c>
    </row>
    <row r="68" customFormat="false" ht="15" hidden="false" customHeight="false" outlineLevel="0" collapsed="false">
      <c r="A68" s="40" t="n">
        <v>10</v>
      </c>
      <c r="B68" s="49" t="s">
        <v>264</v>
      </c>
      <c r="C68" s="40" t="n">
        <v>12</v>
      </c>
      <c r="D68" s="47" t="n">
        <v>4.3</v>
      </c>
      <c r="E68" s="42" t="n">
        <v>2</v>
      </c>
      <c r="F68" s="47" t="n">
        <v>3.02</v>
      </c>
      <c r="G68" s="42" t="n">
        <v>1</v>
      </c>
      <c r="H68" s="15"/>
      <c r="I68" s="15"/>
      <c r="J68" s="15"/>
      <c r="K68" s="15"/>
      <c r="L68" s="31" t="n">
        <f aca="false">D68*E68+F68*G68+H68*I68+J68*K68</f>
        <v>11.62</v>
      </c>
      <c r="M68" s="31" t="n">
        <f aca="false">Исходные!$B$12-L68</f>
        <v>0.0800000000000001</v>
      </c>
      <c r="N68" s="42" t="n">
        <v>17</v>
      </c>
      <c r="O68" s="40" t="n">
        <f aca="false">(E68+G68+I68+K68)*N68</f>
        <v>51</v>
      </c>
      <c r="P68" s="50" t="n">
        <f aca="false">L68*N68</f>
        <v>197.54</v>
      </c>
      <c r="Q68" s="50" t="n">
        <f aca="false">M68*N68</f>
        <v>1.36</v>
      </c>
    </row>
    <row r="69" customFormat="false" ht="15" hidden="false" customHeight="false" outlineLevel="0" collapsed="false">
      <c r="A69" s="40" t="n">
        <v>10</v>
      </c>
      <c r="B69" s="49" t="s">
        <v>264</v>
      </c>
      <c r="C69" s="40" t="n">
        <v>13</v>
      </c>
      <c r="D69" s="47" t="n">
        <v>5.98</v>
      </c>
      <c r="E69" s="42" t="n">
        <v>1</v>
      </c>
      <c r="F69" s="47" t="n">
        <v>5.05</v>
      </c>
      <c r="G69" s="42" t="n">
        <v>1</v>
      </c>
      <c r="H69" s="47" t="n">
        <v>0.57</v>
      </c>
      <c r="I69" s="42" t="n">
        <v>1</v>
      </c>
      <c r="J69" s="15"/>
      <c r="K69" s="15"/>
      <c r="L69" s="31" t="n">
        <f aca="false">D69*E69+F69*G69+H69*I69+J69*K69</f>
        <v>11.6</v>
      </c>
      <c r="M69" s="31" t="n">
        <f aca="false">Исходные!$B$12-L69</f>
        <v>0.0999999999999979</v>
      </c>
      <c r="N69" s="42" t="n">
        <v>10</v>
      </c>
      <c r="O69" s="40" t="n">
        <f aca="false">(E69+G69+I69+K69)*N69</f>
        <v>30</v>
      </c>
      <c r="P69" s="50" t="n">
        <f aca="false">L69*N69</f>
        <v>116</v>
      </c>
      <c r="Q69" s="50" t="n">
        <f aca="false">M69*N69</f>
        <v>0.999999999999979</v>
      </c>
    </row>
    <row r="70" customFormat="false" ht="15" hidden="false" customHeight="false" outlineLevel="0" collapsed="false">
      <c r="A70" s="40" t="n">
        <v>10</v>
      </c>
      <c r="B70" s="49" t="s">
        <v>264</v>
      </c>
      <c r="C70" s="40" t="n">
        <v>14</v>
      </c>
      <c r="D70" s="47" t="n">
        <v>4.5</v>
      </c>
      <c r="E70" s="42" t="n">
        <v>2</v>
      </c>
      <c r="F70" s="47" t="n">
        <v>2.6</v>
      </c>
      <c r="G70" s="42" t="n">
        <v>1</v>
      </c>
      <c r="H70" s="15"/>
      <c r="I70" s="15"/>
      <c r="J70" s="15"/>
      <c r="K70" s="15"/>
      <c r="L70" s="31" t="n">
        <f aca="false">D70*E70+F70*G70+H70*I70+J70*K70</f>
        <v>11.6</v>
      </c>
      <c r="M70" s="31" t="n">
        <f aca="false">Исходные!$B$12-L70</f>
        <v>0.0999999999999996</v>
      </c>
      <c r="N70" s="42" t="n">
        <v>18</v>
      </c>
      <c r="O70" s="40" t="n">
        <f aca="false">(E70+G70+I70+K70)*N70</f>
        <v>54</v>
      </c>
      <c r="P70" s="50" t="n">
        <f aca="false">L70*N70</f>
        <v>208.8</v>
      </c>
      <c r="Q70" s="50" t="n">
        <f aca="false">M70*N70</f>
        <v>1.79999999999999</v>
      </c>
    </row>
    <row r="71" customFormat="false" ht="15" hidden="false" customHeight="false" outlineLevel="0" collapsed="false">
      <c r="A71" s="40" t="n">
        <v>10</v>
      </c>
      <c r="B71" s="49" t="s">
        <v>264</v>
      </c>
      <c r="C71" s="40" t="n">
        <v>15</v>
      </c>
      <c r="D71" s="47" t="n">
        <v>8</v>
      </c>
      <c r="E71" s="42" t="n">
        <v>1</v>
      </c>
      <c r="F71" s="47" t="n">
        <v>3.02</v>
      </c>
      <c r="G71" s="42" t="n">
        <v>1</v>
      </c>
      <c r="H71" s="47" t="n">
        <v>0.57</v>
      </c>
      <c r="I71" s="42" t="n">
        <v>1</v>
      </c>
      <c r="J71" s="15"/>
      <c r="K71" s="15"/>
      <c r="L71" s="31" t="n">
        <f aca="false">D71*E71+F71*G71+H71*I71+J71*K71</f>
        <v>11.59</v>
      </c>
      <c r="M71" s="31" t="n">
        <f aca="false">Исходные!$B$12-L71</f>
        <v>0.109999999999999</v>
      </c>
      <c r="N71" s="42" t="n">
        <v>8</v>
      </c>
      <c r="O71" s="40" t="n">
        <f aca="false">(E71+G71+I71+K71)*N71</f>
        <v>24</v>
      </c>
      <c r="P71" s="50" t="n">
        <f aca="false">L71*N71</f>
        <v>92.72</v>
      </c>
      <c r="Q71" s="50" t="n">
        <f aca="false">M71*N71</f>
        <v>0.879999999999996</v>
      </c>
    </row>
    <row r="72" customFormat="false" ht="15" hidden="false" customHeight="false" outlineLevel="0" collapsed="false">
      <c r="A72" s="40" t="n">
        <v>10</v>
      </c>
      <c r="B72" s="49" t="s">
        <v>264</v>
      </c>
      <c r="C72" s="40" t="n">
        <v>16</v>
      </c>
      <c r="D72" s="47" t="n">
        <v>7.95</v>
      </c>
      <c r="E72" s="42" t="n">
        <v>1</v>
      </c>
      <c r="F72" s="47" t="n">
        <v>3.02</v>
      </c>
      <c r="G72" s="42" t="n">
        <v>1</v>
      </c>
      <c r="H72" s="47" t="n">
        <v>0.57</v>
      </c>
      <c r="I72" s="42" t="n">
        <v>1</v>
      </c>
      <c r="J72" s="15"/>
      <c r="K72" s="15"/>
      <c r="L72" s="31" t="n">
        <f aca="false">D72*E72+F72*G72+H72*I72+J72*K72</f>
        <v>11.54</v>
      </c>
      <c r="M72" s="31" t="n">
        <f aca="false">Исходные!$B$12-L72</f>
        <v>0.159999999999998</v>
      </c>
      <c r="N72" s="42" t="n">
        <v>18</v>
      </c>
      <c r="O72" s="40" t="n">
        <f aca="false">(E72+G72+I72+K72)*N72</f>
        <v>54</v>
      </c>
      <c r="P72" s="50" t="n">
        <f aca="false">L72*N72</f>
        <v>207.72</v>
      </c>
      <c r="Q72" s="50" t="n">
        <f aca="false">M72*N72</f>
        <v>2.87999999999997</v>
      </c>
    </row>
    <row r="73" customFormat="false" ht="15" hidden="false" customHeight="false" outlineLevel="0" collapsed="false">
      <c r="A73" s="40" t="n">
        <v>10</v>
      </c>
      <c r="B73" s="49" t="s">
        <v>264</v>
      </c>
      <c r="C73" s="40" t="n">
        <v>17</v>
      </c>
      <c r="D73" s="47" t="n">
        <v>9.32</v>
      </c>
      <c r="E73" s="42" t="n">
        <v>1</v>
      </c>
      <c r="F73" s="47" t="n">
        <v>2.2</v>
      </c>
      <c r="G73" s="42" t="n">
        <v>1</v>
      </c>
      <c r="H73" s="15"/>
      <c r="I73" s="15"/>
      <c r="J73" s="15"/>
      <c r="K73" s="15"/>
      <c r="L73" s="31" t="n">
        <f aca="false">D73*E73+F73*G73+H73*I73+J73*K73</f>
        <v>11.52</v>
      </c>
      <c r="M73" s="31" t="n">
        <f aca="false">Исходные!$B$12-L73</f>
        <v>0.18</v>
      </c>
      <c r="N73" s="42" t="n">
        <v>78</v>
      </c>
      <c r="O73" s="40" t="n">
        <f aca="false">(E73+G73+I73+K73)*N73</f>
        <v>156</v>
      </c>
      <c r="P73" s="50" t="n">
        <f aca="false">L73*N73</f>
        <v>898.56</v>
      </c>
      <c r="Q73" s="50" t="n">
        <f aca="false">M73*N73</f>
        <v>14.04</v>
      </c>
    </row>
    <row r="74" customFormat="false" ht="15" hidden="false" customHeight="false" outlineLevel="0" collapsed="false">
      <c r="A74" s="40" t="n">
        <v>10</v>
      </c>
      <c r="B74" s="49" t="s">
        <v>264</v>
      </c>
      <c r="C74" s="40" t="n">
        <v>18</v>
      </c>
      <c r="D74" s="47" t="n">
        <v>5.05</v>
      </c>
      <c r="E74" s="42" t="n">
        <v>2</v>
      </c>
      <c r="F74" s="47" t="n">
        <v>1.4</v>
      </c>
      <c r="G74" s="42" t="n">
        <v>1</v>
      </c>
      <c r="H74" s="15"/>
      <c r="I74" s="15"/>
      <c r="J74" s="15"/>
      <c r="K74" s="15"/>
      <c r="L74" s="31" t="n">
        <f aca="false">D74*E74+F74*G74+H74*I74+J74*K74</f>
        <v>11.5</v>
      </c>
      <c r="M74" s="31" t="n">
        <f aca="false">Исходные!$B$12-L74</f>
        <v>0.199999999999999</v>
      </c>
      <c r="N74" s="42" t="n">
        <v>6</v>
      </c>
      <c r="O74" s="40" t="n">
        <f aca="false">(E74+G74+I74+K74)*N74</f>
        <v>18</v>
      </c>
      <c r="P74" s="50" t="n">
        <f aca="false">L74*N74</f>
        <v>69</v>
      </c>
      <c r="Q74" s="50" t="n">
        <f aca="false">M74*N74</f>
        <v>1.2</v>
      </c>
    </row>
    <row r="75" customFormat="false" ht="15" hidden="false" customHeight="false" outlineLevel="0" collapsed="false">
      <c r="A75" s="40" t="n">
        <v>10</v>
      </c>
      <c r="B75" s="49" t="s">
        <v>264</v>
      </c>
      <c r="C75" s="40" t="n">
        <v>19</v>
      </c>
      <c r="D75" s="47" t="n">
        <v>7.71</v>
      </c>
      <c r="E75" s="42" t="n">
        <v>1</v>
      </c>
      <c r="F75" s="47" t="n">
        <v>3.78</v>
      </c>
      <c r="G75" s="42" t="n">
        <v>1</v>
      </c>
      <c r="H75" s="15"/>
      <c r="I75" s="15"/>
      <c r="J75" s="15"/>
      <c r="K75" s="15"/>
      <c r="L75" s="31" t="n">
        <f aca="false">D75*E75+F75*G75+H75*I75+J75*K75</f>
        <v>11.49</v>
      </c>
      <c r="M75" s="31" t="n">
        <f aca="false">Исходные!$B$12-L75</f>
        <v>0.209999999999999</v>
      </c>
      <c r="N75" s="42" t="n">
        <v>4</v>
      </c>
      <c r="O75" s="40" t="n">
        <f aca="false">(E75+G75+I75+K75)*N75</f>
        <v>8</v>
      </c>
      <c r="P75" s="50" t="n">
        <f aca="false">L75*N75</f>
        <v>45.96</v>
      </c>
      <c r="Q75" s="50" t="n">
        <f aca="false">M75*N75</f>
        <v>0.839999999999996</v>
      </c>
    </row>
    <row r="76" customFormat="false" ht="15" hidden="false" customHeight="false" outlineLevel="0" collapsed="false">
      <c r="A76" s="40" t="n">
        <v>10</v>
      </c>
      <c r="B76" s="49" t="s">
        <v>264</v>
      </c>
      <c r="C76" s="40" t="n">
        <v>20</v>
      </c>
      <c r="D76" s="47" t="n">
        <v>10.9</v>
      </c>
      <c r="E76" s="42" t="n">
        <v>1</v>
      </c>
      <c r="F76" s="47" t="n">
        <v>0.57</v>
      </c>
      <c r="G76" s="42" t="n">
        <v>1</v>
      </c>
      <c r="H76" s="15"/>
      <c r="I76" s="15"/>
      <c r="J76" s="15"/>
      <c r="K76" s="15"/>
      <c r="L76" s="31" t="n">
        <f aca="false">D76*E76+F76*G76+H76*I76+J76*K76</f>
        <v>11.47</v>
      </c>
      <c r="M76" s="31" t="n">
        <f aca="false">Исходные!$B$12-L76</f>
        <v>0.229999999999999</v>
      </c>
      <c r="N76" s="42" t="n">
        <v>2</v>
      </c>
      <c r="O76" s="40" t="n">
        <f aca="false">(E76+G76+I76+K76)*N76</f>
        <v>4</v>
      </c>
      <c r="P76" s="50" t="n">
        <f aca="false">L76*N76</f>
        <v>22.94</v>
      </c>
      <c r="Q76" s="50" t="n">
        <f aca="false">M76*N76</f>
        <v>0.459999999999997</v>
      </c>
    </row>
    <row r="77" customFormat="false" ht="15" hidden="false" customHeight="false" outlineLevel="0" collapsed="false">
      <c r="A77" s="40" t="n">
        <v>10</v>
      </c>
      <c r="B77" s="49" t="s">
        <v>264</v>
      </c>
      <c r="C77" s="40" t="n">
        <v>21</v>
      </c>
      <c r="D77" s="47" t="n">
        <v>0.57</v>
      </c>
      <c r="E77" s="42" t="n">
        <v>20</v>
      </c>
      <c r="F77" s="15"/>
      <c r="G77" s="15"/>
      <c r="H77" s="15"/>
      <c r="I77" s="15"/>
      <c r="J77" s="15"/>
      <c r="K77" s="15"/>
      <c r="L77" s="31" t="n">
        <f aca="false">D77*E77+F77*G77+H77*I77+J77*K77</f>
        <v>11.4</v>
      </c>
      <c r="M77" s="31" t="n">
        <f aca="false">Исходные!$B$12-L77</f>
        <v>0.300000000000001</v>
      </c>
      <c r="N77" s="42" t="n">
        <v>78</v>
      </c>
      <c r="O77" s="40" t="n">
        <f aca="false">(E77+G77+I77+K77)*N77</f>
        <v>1560</v>
      </c>
      <c r="P77" s="50" t="n">
        <f aca="false">L77*N77</f>
        <v>889.2</v>
      </c>
      <c r="Q77" s="50" t="n">
        <f aca="false">M77*N77</f>
        <v>23.4000000000001</v>
      </c>
    </row>
    <row r="78" customFormat="false" ht="15" hidden="false" customHeight="false" outlineLevel="0" collapsed="false">
      <c r="A78" s="40" t="n">
        <v>10</v>
      </c>
      <c r="B78" s="49" t="s">
        <v>264</v>
      </c>
      <c r="C78" s="40" t="n">
        <v>22</v>
      </c>
      <c r="D78" s="47" t="n">
        <v>9.18</v>
      </c>
      <c r="E78" s="42" t="n">
        <v>1</v>
      </c>
      <c r="F78" s="47" t="n">
        <v>2.2</v>
      </c>
      <c r="G78" s="42" t="n">
        <v>1</v>
      </c>
      <c r="H78" s="15"/>
      <c r="I78" s="15"/>
      <c r="J78" s="15"/>
      <c r="K78" s="15"/>
      <c r="L78" s="31" t="n">
        <f aca="false">D78*E78+F78*G78+H78*I78+J78*K78</f>
        <v>11.38</v>
      </c>
      <c r="M78" s="31" t="n">
        <f aca="false">Исходные!$B$12-L78</f>
        <v>0.32</v>
      </c>
      <c r="N78" s="42" t="n">
        <v>6</v>
      </c>
      <c r="O78" s="40" t="n">
        <f aca="false">(E78+G78+I78+K78)*N78</f>
        <v>12</v>
      </c>
      <c r="P78" s="50" t="n">
        <f aca="false">L78*N78</f>
        <v>68.28</v>
      </c>
      <c r="Q78" s="50" t="n">
        <f aca="false">M78*N78</f>
        <v>1.92</v>
      </c>
    </row>
    <row r="79" customFormat="false" ht="15" hidden="false" customHeight="false" outlineLevel="0" collapsed="false">
      <c r="A79" s="40" t="n">
        <v>10</v>
      </c>
      <c r="B79" s="49" t="s">
        <v>264</v>
      </c>
      <c r="C79" s="40" t="n">
        <v>23</v>
      </c>
      <c r="D79" s="47" t="n">
        <v>10.8</v>
      </c>
      <c r="E79" s="42" t="n">
        <v>1</v>
      </c>
      <c r="F79" s="47" t="n">
        <v>0.57</v>
      </c>
      <c r="G79" s="42" t="n">
        <v>1</v>
      </c>
      <c r="H79" s="15"/>
      <c r="I79" s="15"/>
      <c r="J79" s="15"/>
      <c r="K79" s="15"/>
      <c r="L79" s="31" t="n">
        <f aca="false">D79*E79+F79*G79+H79*I79+J79*K79</f>
        <v>11.37</v>
      </c>
      <c r="M79" s="31" t="n">
        <f aca="false">Исходные!$B$12-L79</f>
        <v>0.329999999999998</v>
      </c>
      <c r="N79" s="42" t="n">
        <v>2</v>
      </c>
      <c r="O79" s="40" t="n">
        <f aca="false">(E79+G79+I79+K79)*N79</f>
        <v>4</v>
      </c>
      <c r="P79" s="50" t="n">
        <f aca="false">L79*N79</f>
        <v>22.74</v>
      </c>
      <c r="Q79" s="50" t="n">
        <f aca="false">M79*N79</f>
        <v>0.659999999999997</v>
      </c>
    </row>
    <row r="80" customFormat="false" ht="15" hidden="false" customHeight="false" outlineLevel="0" collapsed="false">
      <c r="A80" s="40" t="n">
        <v>10</v>
      </c>
      <c r="B80" s="49" t="s">
        <v>264</v>
      </c>
      <c r="C80" s="40" t="n">
        <v>24</v>
      </c>
      <c r="D80" s="47" t="n">
        <v>1.2</v>
      </c>
      <c r="E80" s="42" t="n">
        <v>9</v>
      </c>
      <c r="F80" s="47" t="n">
        <v>0.57</v>
      </c>
      <c r="G80" s="42" t="n">
        <v>1</v>
      </c>
      <c r="H80" s="15"/>
      <c r="I80" s="15"/>
      <c r="J80" s="15"/>
      <c r="K80" s="15"/>
      <c r="L80" s="31" t="n">
        <f aca="false">D80*E80+F80*G80+H80*I80+J80*K80</f>
        <v>11.37</v>
      </c>
      <c r="M80" s="31" t="n">
        <f aca="false">Исходные!$B$12-L80</f>
        <v>0.33</v>
      </c>
      <c r="N80" s="42" t="n">
        <v>18</v>
      </c>
      <c r="O80" s="40" t="n">
        <f aca="false">(E80+G80+I80+K80)*N80</f>
        <v>180</v>
      </c>
      <c r="P80" s="50" t="n">
        <f aca="false">L80*N80</f>
        <v>204.66</v>
      </c>
      <c r="Q80" s="50" t="n">
        <f aca="false">M80*N80</f>
        <v>5.94</v>
      </c>
    </row>
    <row r="81" customFormat="false" ht="15" hidden="false" customHeight="false" outlineLevel="0" collapsed="false">
      <c r="A81" s="40" t="n">
        <v>10</v>
      </c>
      <c r="B81" s="49" t="s">
        <v>264</v>
      </c>
      <c r="C81" s="40" t="n">
        <v>25</v>
      </c>
      <c r="D81" s="47" t="n">
        <v>3.78</v>
      </c>
      <c r="E81" s="42" t="n">
        <v>3</v>
      </c>
      <c r="F81" s="15"/>
      <c r="G81" s="15"/>
      <c r="H81" s="15"/>
      <c r="I81" s="15"/>
      <c r="J81" s="15"/>
      <c r="K81" s="15"/>
      <c r="L81" s="31" t="n">
        <f aca="false">D81*E81+F81*G81+H81*I81+J81*K81</f>
        <v>11.34</v>
      </c>
      <c r="M81" s="31" t="n">
        <f aca="false">Исходные!$B$12-L81</f>
        <v>0.359999999999999</v>
      </c>
      <c r="N81" s="42" t="n">
        <v>4</v>
      </c>
      <c r="O81" s="40" t="n">
        <f aca="false">(E81+G81+I81+K81)*N81</f>
        <v>12</v>
      </c>
      <c r="P81" s="50" t="n">
        <f aca="false">L81*N81</f>
        <v>45.36</v>
      </c>
      <c r="Q81" s="50" t="n">
        <f aca="false">M81*N81</f>
        <v>1.44</v>
      </c>
    </row>
    <row r="82" customFormat="false" ht="15" hidden="false" customHeight="false" outlineLevel="0" collapsed="false">
      <c r="A82" s="40" t="n">
        <v>10</v>
      </c>
      <c r="B82" s="49" t="s">
        <v>264</v>
      </c>
      <c r="C82" s="40" t="n">
        <v>26</v>
      </c>
      <c r="D82" s="47" t="n">
        <v>4.15</v>
      </c>
      <c r="E82" s="42" t="n">
        <v>2</v>
      </c>
      <c r="F82" s="47" t="n">
        <v>3.02</v>
      </c>
      <c r="G82" s="42" t="n">
        <v>1</v>
      </c>
      <c r="H82" s="15"/>
      <c r="I82" s="15"/>
      <c r="J82" s="15"/>
      <c r="K82" s="15"/>
      <c r="L82" s="31" t="n">
        <f aca="false">D82*E82+F82*G82+H82*I82+J82*K82</f>
        <v>11.32</v>
      </c>
      <c r="M82" s="31" t="n">
        <f aca="false">Исходные!$B$12-L82</f>
        <v>0.379999999999999</v>
      </c>
      <c r="N82" s="42" t="n">
        <v>18</v>
      </c>
      <c r="O82" s="40" t="n">
        <f aca="false">(E82+G82+I82+K82)*N82</f>
        <v>54</v>
      </c>
      <c r="P82" s="50" t="n">
        <f aca="false">L82*N82</f>
        <v>203.76</v>
      </c>
      <c r="Q82" s="50" t="n">
        <f aca="false">M82*N82</f>
        <v>6.83999999999998</v>
      </c>
    </row>
    <row r="83" customFormat="false" ht="15" hidden="false" customHeight="false" outlineLevel="0" collapsed="false">
      <c r="A83" s="40" t="n">
        <v>10</v>
      </c>
      <c r="B83" s="49" t="s">
        <v>264</v>
      </c>
      <c r="C83" s="40" t="n">
        <v>27</v>
      </c>
      <c r="D83" s="47" t="n">
        <v>1.2</v>
      </c>
      <c r="E83" s="42" t="n">
        <v>7</v>
      </c>
      <c r="F83" s="47" t="n">
        <v>0.57</v>
      </c>
      <c r="G83" s="42" t="n">
        <v>5</v>
      </c>
      <c r="H83" s="15"/>
      <c r="I83" s="15"/>
      <c r="J83" s="15"/>
      <c r="K83" s="15"/>
      <c r="L83" s="31" t="n">
        <f aca="false">D83*E83+F83*G83+H83*I83+J83*K83</f>
        <v>11.25</v>
      </c>
      <c r="M83" s="31" t="n">
        <f aca="false">Исходные!$B$12-L83</f>
        <v>0.449999999999999</v>
      </c>
      <c r="N83" s="42" t="n">
        <v>1</v>
      </c>
      <c r="O83" s="40" t="n">
        <f aca="false">(E83+G83+I83+K83)*N83</f>
        <v>12</v>
      </c>
      <c r="P83" s="50" t="n">
        <f aca="false">L83*N83</f>
        <v>11.25</v>
      </c>
      <c r="Q83" s="50" t="n">
        <f aca="false">M83*N83</f>
        <v>0.449999999999999</v>
      </c>
    </row>
    <row r="84" customFormat="false" ht="15" hidden="false" customHeight="false" outlineLevel="0" collapsed="false">
      <c r="A84" s="40" t="n">
        <v>10</v>
      </c>
      <c r="B84" s="49" t="s">
        <v>264</v>
      </c>
      <c r="C84" s="40" t="n">
        <v>28</v>
      </c>
      <c r="D84" s="47" t="n">
        <v>1.4</v>
      </c>
      <c r="E84" s="42" t="n">
        <v>8</v>
      </c>
      <c r="F84" s="15"/>
      <c r="G84" s="15"/>
      <c r="H84" s="15"/>
      <c r="I84" s="15"/>
      <c r="J84" s="15"/>
      <c r="K84" s="15"/>
      <c r="L84" s="31" t="n">
        <f aca="false">D84*E84+F84*G84+H84*I84+J84*K84</f>
        <v>11.2</v>
      </c>
      <c r="M84" s="31" t="n">
        <f aca="false">Исходные!$B$12-L84</f>
        <v>0.5</v>
      </c>
      <c r="N84" s="42" t="n">
        <v>3</v>
      </c>
      <c r="O84" s="40" t="n">
        <f aca="false">(E84+G84+I84+K84)*N84</f>
        <v>24</v>
      </c>
      <c r="P84" s="50" t="n">
        <f aca="false">L84*N84</f>
        <v>33.6</v>
      </c>
      <c r="Q84" s="50" t="n">
        <f aca="false">M84*N84</f>
        <v>1.5</v>
      </c>
    </row>
    <row r="85" customFormat="false" ht="15" hidden="false" customHeight="false" outlineLevel="0" collapsed="false">
      <c r="A85" s="40" t="n">
        <v>10</v>
      </c>
      <c r="B85" s="49" t="s">
        <v>264</v>
      </c>
      <c r="C85" s="40" t="n">
        <v>29</v>
      </c>
      <c r="D85" s="47" t="n">
        <v>9.18</v>
      </c>
      <c r="E85" s="42" t="n">
        <v>1</v>
      </c>
      <c r="F85" s="47" t="n">
        <v>2</v>
      </c>
      <c r="G85" s="42" t="n">
        <v>1</v>
      </c>
      <c r="H85" s="15"/>
      <c r="I85" s="15"/>
      <c r="J85" s="15"/>
      <c r="K85" s="15"/>
      <c r="L85" s="31" t="n">
        <f aca="false">D85*E85+F85*G85+H85*I85+J85*K85</f>
        <v>11.18</v>
      </c>
      <c r="M85" s="31" t="n">
        <f aca="false">Исходные!$B$12-L85</f>
        <v>0.52</v>
      </c>
      <c r="N85" s="42" t="n">
        <v>25</v>
      </c>
      <c r="O85" s="40" t="n">
        <f aca="false">(E85+G85+I85+K85)*N85</f>
        <v>50</v>
      </c>
      <c r="P85" s="50" t="n">
        <f aca="false">L85*N85</f>
        <v>279.5</v>
      </c>
      <c r="Q85" s="50" t="n">
        <f aca="false">M85*N85</f>
        <v>13</v>
      </c>
    </row>
    <row r="86" customFormat="false" ht="15" hidden="false" customHeight="false" outlineLevel="0" collapsed="false">
      <c r="A86" s="40" t="n">
        <v>10</v>
      </c>
      <c r="B86" s="49" t="s">
        <v>264</v>
      </c>
      <c r="C86" s="40" t="n">
        <v>30</v>
      </c>
      <c r="D86" s="47" t="n">
        <v>9.18</v>
      </c>
      <c r="E86" s="42" t="n">
        <v>1</v>
      </c>
      <c r="F86" s="47" t="n">
        <v>1.4</v>
      </c>
      <c r="G86" s="42" t="n">
        <v>1</v>
      </c>
      <c r="H86" s="47" t="n">
        <v>0.57</v>
      </c>
      <c r="I86" s="42" t="n">
        <v>1</v>
      </c>
      <c r="J86" s="15"/>
      <c r="K86" s="15"/>
      <c r="L86" s="31" t="n">
        <f aca="false">D86*E86+F86*G86+H86*I86+J86*K86</f>
        <v>11.15</v>
      </c>
      <c r="M86" s="31" t="n">
        <f aca="false">Исходные!$B$12-L86</f>
        <v>0.549999999999999</v>
      </c>
      <c r="N86" s="42" t="n">
        <v>21</v>
      </c>
      <c r="O86" s="40" t="n">
        <f aca="false">(E86+G86+I86+K86)*N86</f>
        <v>63</v>
      </c>
      <c r="P86" s="50" t="n">
        <f aca="false">L86*N86</f>
        <v>234.15</v>
      </c>
      <c r="Q86" s="50" t="n">
        <f aca="false">M86*N86</f>
        <v>11.55</v>
      </c>
    </row>
    <row r="87" customFormat="false" ht="15" hidden="false" customHeight="false" outlineLevel="0" collapsed="false">
      <c r="A87" s="40" t="n">
        <v>10</v>
      </c>
      <c r="B87" s="49" t="s">
        <v>264</v>
      </c>
      <c r="C87" s="40" t="n">
        <v>31</v>
      </c>
      <c r="D87" s="47" t="n">
        <v>3.78</v>
      </c>
      <c r="E87" s="42" t="n">
        <v>2</v>
      </c>
      <c r="F87" s="47" t="n">
        <v>3.02</v>
      </c>
      <c r="G87" s="42" t="n">
        <v>1</v>
      </c>
      <c r="H87" s="47" t="n">
        <v>0.57</v>
      </c>
      <c r="I87" s="42" t="n">
        <v>1</v>
      </c>
      <c r="J87" s="15"/>
      <c r="K87" s="15"/>
      <c r="L87" s="31" t="n">
        <f aca="false">D87*E87+F87*G87+H87*I87+J87*K87</f>
        <v>11.15</v>
      </c>
      <c r="M87" s="31" t="n">
        <f aca="false">Исходные!$B$12-L87</f>
        <v>0.549999999999999</v>
      </c>
      <c r="N87" s="42" t="n">
        <v>1</v>
      </c>
      <c r="O87" s="40" t="n">
        <f aca="false">(E87+G87+I87+K87)*N87</f>
        <v>4</v>
      </c>
      <c r="P87" s="50" t="n">
        <f aca="false">L87*N87</f>
        <v>11.15</v>
      </c>
      <c r="Q87" s="50" t="n">
        <f aca="false">M87*N87</f>
        <v>0.549999999999999</v>
      </c>
    </row>
    <row r="88" customFormat="false" ht="15" hidden="false" customHeight="false" outlineLevel="0" collapsed="false">
      <c r="A88" s="40" t="n">
        <v>10</v>
      </c>
      <c r="B88" s="49" t="s">
        <v>264</v>
      </c>
      <c r="C88" s="40" t="n">
        <v>32</v>
      </c>
      <c r="D88" s="47" t="n">
        <v>0.57</v>
      </c>
      <c r="E88" s="42" t="n">
        <v>1</v>
      </c>
      <c r="F88" s="15"/>
      <c r="G88" s="15"/>
      <c r="H88" s="15"/>
      <c r="I88" s="15"/>
      <c r="J88" s="15"/>
      <c r="K88" s="15"/>
      <c r="L88" s="31" t="n">
        <f aca="false">D88*E88+F88*G88+H88*I88+J88*K88</f>
        <v>0.57</v>
      </c>
      <c r="M88" s="31" t="n">
        <f aca="false">Исходные!$B$12-L88</f>
        <v>11.13</v>
      </c>
      <c r="N88" s="42" t="n">
        <v>1</v>
      </c>
      <c r="O88" s="40" t="n">
        <f aca="false">(E88+G88+I88+K88)*N88</f>
        <v>1</v>
      </c>
      <c r="P88" s="50" t="n">
        <f aca="false">L88*N88</f>
        <v>0.57</v>
      </c>
      <c r="Q88" s="50" t="n">
        <f aca="false">M88*N88</f>
        <v>11.13</v>
      </c>
    </row>
    <row r="89" customFormat="false" ht="15" hidden="false" customHeight="false" outlineLevel="0" collapsed="false">
      <c r="A89" s="40" t="n">
        <v>10</v>
      </c>
      <c r="B89" s="49" t="s">
        <v>298</v>
      </c>
      <c r="C89" s="40" t="n">
        <v>1</v>
      </c>
      <c r="D89" s="47" t="n">
        <v>1.76</v>
      </c>
      <c r="E89" s="42" t="n">
        <v>6</v>
      </c>
      <c r="F89" s="47" t="n">
        <v>0.7</v>
      </c>
      <c r="G89" s="42" t="n">
        <v>1</v>
      </c>
      <c r="H89" s="47" t="n">
        <v>0.42</v>
      </c>
      <c r="I89" s="42" t="n">
        <v>1</v>
      </c>
      <c r="J89" s="15"/>
      <c r="K89" s="15"/>
      <c r="L89" s="31" t="n">
        <f aca="false">D89*E89+F89*G89+H89*I89+J89*K89</f>
        <v>11.68</v>
      </c>
      <c r="M89" s="31" t="n">
        <f aca="false">Исходные!$B$12-L89</f>
        <v>0.0199999999999996</v>
      </c>
      <c r="N89" s="42" t="n">
        <v>9</v>
      </c>
      <c r="O89" s="40" t="n">
        <f aca="false">(E89+G89+I89+K89)*N89</f>
        <v>72</v>
      </c>
      <c r="P89" s="50" t="n">
        <f aca="false">L89*N89</f>
        <v>105.12</v>
      </c>
      <c r="Q89" s="50" t="n">
        <f aca="false">M89*N89</f>
        <v>0.179999999999996</v>
      </c>
    </row>
    <row r="90" customFormat="false" ht="15" hidden="false" customHeight="false" outlineLevel="0" collapsed="false">
      <c r="A90" s="40" t="n">
        <v>10</v>
      </c>
      <c r="B90" s="49" t="s">
        <v>298</v>
      </c>
      <c r="C90" s="40" t="n">
        <v>2</v>
      </c>
      <c r="D90" s="47" t="n">
        <v>1.56</v>
      </c>
      <c r="E90" s="42" t="n">
        <v>7</v>
      </c>
      <c r="F90" s="47" t="n">
        <v>0.7</v>
      </c>
      <c r="G90" s="42" t="n">
        <v>1</v>
      </c>
      <c r="H90" s="15"/>
      <c r="I90" s="15"/>
      <c r="J90" s="15"/>
      <c r="K90" s="15"/>
      <c r="L90" s="31" t="n">
        <f aca="false">D90*E90+F90*G90+H90*I90+J90*K90</f>
        <v>11.62</v>
      </c>
      <c r="M90" s="31" t="n">
        <f aca="false">Исходные!$B$12-L90</f>
        <v>0.0800000000000001</v>
      </c>
      <c r="N90" s="42" t="n">
        <v>15</v>
      </c>
      <c r="O90" s="40" t="n">
        <f aca="false">(E90+G90+I90+K90)*N90</f>
        <v>120</v>
      </c>
      <c r="P90" s="50" t="n">
        <f aca="false">L90*N90</f>
        <v>174.3</v>
      </c>
      <c r="Q90" s="50" t="n">
        <f aca="false">M90*N90</f>
        <v>1.2</v>
      </c>
    </row>
    <row r="91" customFormat="false" ht="15" hidden="false" customHeight="false" outlineLevel="0" collapsed="false">
      <c r="A91" s="40" t="n">
        <v>10</v>
      </c>
      <c r="B91" s="49" t="s">
        <v>298</v>
      </c>
      <c r="C91" s="40" t="n">
        <v>3</v>
      </c>
      <c r="D91" s="47" t="n">
        <v>0.7</v>
      </c>
      <c r="E91" s="42" t="n">
        <v>16</v>
      </c>
      <c r="F91" s="47" t="n">
        <v>0.42</v>
      </c>
      <c r="G91" s="42" t="n">
        <v>1</v>
      </c>
      <c r="H91" s="15"/>
      <c r="I91" s="15"/>
      <c r="J91" s="15"/>
      <c r="K91" s="15"/>
      <c r="L91" s="31" t="n">
        <f aca="false">D91*E91+F91*G91+H91*I91+J91*K91</f>
        <v>11.62</v>
      </c>
      <c r="M91" s="31" t="n">
        <f aca="false">Исходные!$B$12-L91</f>
        <v>0.0800000000000001</v>
      </c>
      <c r="N91" s="42" t="n">
        <v>3</v>
      </c>
      <c r="O91" s="40" t="n">
        <f aca="false">(E91+G91+I91+K91)*N91</f>
        <v>51</v>
      </c>
      <c r="P91" s="50" t="n">
        <f aca="false">L91*N91</f>
        <v>34.86</v>
      </c>
      <c r="Q91" s="50" t="n">
        <f aca="false">M91*N91</f>
        <v>0.24</v>
      </c>
    </row>
    <row r="92" customFormat="false" ht="15" hidden="false" customHeight="false" outlineLevel="0" collapsed="false">
      <c r="A92" s="40" t="n">
        <v>10</v>
      </c>
      <c r="B92" s="49" t="s">
        <v>298</v>
      </c>
      <c r="C92" s="40" t="n">
        <v>4</v>
      </c>
      <c r="D92" s="47" t="n">
        <v>1.33</v>
      </c>
      <c r="E92" s="42" t="n">
        <v>1</v>
      </c>
      <c r="F92" s="47" t="n">
        <v>0.7</v>
      </c>
      <c r="G92" s="42" t="n">
        <v>14</v>
      </c>
      <c r="H92" s="47" t="n">
        <v>0.42</v>
      </c>
      <c r="I92" s="42" t="n">
        <v>1</v>
      </c>
      <c r="J92" s="15"/>
      <c r="K92" s="15"/>
      <c r="L92" s="31" t="n">
        <f aca="false">D92*E92+F92*G92+H92*I92+J92*K92</f>
        <v>11.55</v>
      </c>
      <c r="M92" s="31" t="n">
        <f aca="false">Исходные!$B$12-L92</f>
        <v>0.15</v>
      </c>
      <c r="N92" s="42" t="n">
        <v>1</v>
      </c>
      <c r="O92" s="40" t="n">
        <f aca="false">(E92+G92+I92+K92)*N92</f>
        <v>16</v>
      </c>
      <c r="P92" s="50" t="n">
        <f aca="false">L92*N92</f>
        <v>11.55</v>
      </c>
      <c r="Q92" s="50" t="n">
        <f aca="false">M92*N92</f>
        <v>0.15</v>
      </c>
    </row>
    <row r="93" customFormat="false" ht="15" hidden="false" customHeight="false" outlineLevel="0" collapsed="false">
      <c r="A93" s="40" t="n">
        <v>10</v>
      </c>
      <c r="B93" s="49" t="s">
        <v>298</v>
      </c>
      <c r="C93" s="40" t="n">
        <v>5</v>
      </c>
      <c r="D93" s="47" t="n">
        <v>1.33</v>
      </c>
      <c r="E93" s="42" t="n">
        <v>8</v>
      </c>
      <c r="F93" s="47" t="n">
        <v>0.7</v>
      </c>
      <c r="G93" s="42" t="n">
        <v>1</v>
      </c>
      <c r="H93" s="15"/>
      <c r="I93" s="15"/>
      <c r="J93" s="15"/>
      <c r="K93" s="15"/>
      <c r="L93" s="31" t="n">
        <f aca="false">D93*E93+F93*G93+H93*I93+J93*K93</f>
        <v>11.34</v>
      </c>
      <c r="M93" s="31" t="n">
        <f aca="false">Исходные!$B$12-L93</f>
        <v>0.359999999999999</v>
      </c>
      <c r="N93" s="42" t="n">
        <v>24</v>
      </c>
      <c r="O93" s="40" t="n">
        <f aca="false">(E93+G93+I93+K93)*N93</f>
        <v>216</v>
      </c>
      <c r="P93" s="50" t="n">
        <f aca="false">L93*N93</f>
        <v>272.16</v>
      </c>
      <c r="Q93" s="50" t="n">
        <f aca="false">M93*N93</f>
        <v>8.63999999999999</v>
      </c>
    </row>
    <row r="94" customFormat="false" ht="15" hidden="false" customHeight="false" outlineLevel="0" collapsed="false">
      <c r="A94" s="40" t="n">
        <v>10</v>
      </c>
      <c r="B94" s="49" t="s">
        <v>298</v>
      </c>
      <c r="C94" s="40" t="n">
        <v>6</v>
      </c>
      <c r="D94" s="47" t="n">
        <v>0.7</v>
      </c>
      <c r="E94" s="42" t="n">
        <v>9</v>
      </c>
      <c r="F94" s="47" t="n">
        <v>0.42</v>
      </c>
      <c r="G94" s="42" t="n">
        <v>12</v>
      </c>
      <c r="H94" s="15"/>
      <c r="I94" s="15"/>
      <c r="J94" s="15"/>
      <c r="K94" s="15"/>
      <c r="L94" s="31" t="n">
        <f aca="false">D94*E94+F94*G94+H94*I94+J94*K94</f>
        <v>11.34</v>
      </c>
      <c r="M94" s="31" t="n">
        <f aca="false">Исходные!$B$12-L94</f>
        <v>0.359999999999999</v>
      </c>
      <c r="N94" s="42" t="n">
        <v>1</v>
      </c>
      <c r="O94" s="40" t="n">
        <f aca="false">(E94+G94+I94+K94)*N94</f>
        <v>21</v>
      </c>
      <c r="P94" s="50" t="n">
        <f aca="false">L94*N94</f>
        <v>11.34</v>
      </c>
      <c r="Q94" s="50" t="n">
        <f aca="false">M94*N94</f>
        <v>0.359999999999999</v>
      </c>
    </row>
    <row r="95" customFormat="false" ht="15" hidden="false" customHeight="false" outlineLevel="0" collapsed="false">
      <c r="A95" s="40" t="n">
        <v>10</v>
      </c>
      <c r="B95" s="49" t="s">
        <v>298</v>
      </c>
      <c r="C95" s="40" t="n">
        <v>7</v>
      </c>
      <c r="D95" s="47" t="n">
        <v>0.42</v>
      </c>
      <c r="E95" s="42" t="n">
        <v>27</v>
      </c>
      <c r="F95" s="15"/>
      <c r="G95" s="15"/>
      <c r="H95" s="15"/>
      <c r="I95" s="15"/>
      <c r="J95" s="15"/>
      <c r="K95" s="15"/>
      <c r="L95" s="31" t="n">
        <f aca="false">D95*E95+F95*G95+H95*I95+J95*K95</f>
        <v>11.34</v>
      </c>
      <c r="M95" s="31" t="n">
        <f aca="false">Исходные!$B$12-L95</f>
        <v>0.359999999999999</v>
      </c>
      <c r="N95" s="42" t="n">
        <v>30</v>
      </c>
      <c r="O95" s="40" t="n">
        <f aca="false">(E95+G95+I95+K95)*N95</f>
        <v>810</v>
      </c>
      <c r="P95" s="50" t="n">
        <f aca="false">L95*N95</f>
        <v>340.2</v>
      </c>
      <c r="Q95" s="50" t="n">
        <f aca="false">M95*N95</f>
        <v>10.8</v>
      </c>
    </row>
    <row r="96" customFormat="false" ht="15" hidden="false" customHeight="false" outlineLevel="0" collapsed="false">
      <c r="A96" s="40" t="n">
        <v>10</v>
      </c>
      <c r="B96" s="49" t="s">
        <v>298</v>
      </c>
      <c r="C96" s="40" t="n">
        <v>8</v>
      </c>
      <c r="D96" s="47" t="n">
        <v>1.56</v>
      </c>
      <c r="E96" s="42" t="n">
        <v>3</v>
      </c>
      <c r="F96" s="47" t="n">
        <v>1.33</v>
      </c>
      <c r="G96" s="42" t="n">
        <v>5</v>
      </c>
      <c r="H96" s="15"/>
      <c r="I96" s="15"/>
      <c r="J96" s="15"/>
      <c r="K96" s="15"/>
      <c r="L96" s="31" t="n">
        <f aca="false">D96*E96+F96*G96+H96*I96+J96*K96</f>
        <v>11.33</v>
      </c>
      <c r="M96" s="31" t="n">
        <f aca="false">Исходные!$B$12-L96</f>
        <v>0.369999999999999</v>
      </c>
      <c r="N96" s="42" t="n">
        <v>1</v>
      </c>
      <c r="O96" s="40" t="n">
        <f aca="false">(E96+G96+I96+K96)*N96</f>
        <v>8</v>
      </c>
      <c r="P96" s="50" t="n">
        <f aca="false">L96*N96</f>
        <v>11.33</v>
      </c>
      <c r="Q96" s="50" t="n">
        <f aca="false">M96*N96</f>
        <v>0.369999999999999</v>
      </c>
    </row>
    <row r="97" customFormat="false" ht="15" hidden="false" customHeight="false" outlineLevel="0" collapsed="false">
      <c r="A97" s="40" t="n">
        <v>10</v>
      </c>
      <c r="B97" s="49" t="s">
        <v>298</v>
      </c>
      <c r="C97" s="40" t="n">
        <v>9</v>
      </c>
      <c r="D97" s="47" t="n">
        <v>0.42</v>
      </c>
      <c r="E97" s="42" t="n">
        <v>12</v>
      </c>
      <c r="F97" s="15"/>
      <c r="G97" s="15"/>
      <c r="H97" s="15"/>
      <c r="I97" s="15"/>
      <c r="J97" s="15"/>
      <c r="K97" s="15"/>
      <c r="L97" s="31" t="n">
        <f aca="false">D97*E97+F97*G97+H97*I97+J97*K97</f>
        <v>5.04</v>
      </c>
      <c r="M97" s="31" t="n">
        <f aca="false">Исходные!$B$12-L97</f>
        <v>6.66</v>
      </c>
      <c r="N97" s="42" t="n">
        <v>1</v>
      </c>
      <c r="O97" s="40" t="n">
        <f aca="false">(E97+G97+I97+K97)*N97</f>
        <v>12</v>
      </c>
      <c r="P97" s="50" t="n">
        <f aca="false">L97*N97</f>
        <v>5.04</v>
      </c>
      <c r="Q97" s="50" t="n">
        <f aca="false">M97*N97</f>
        <v>6.66</v>
      </c>
    </row>
    <row r="98" customFormat="false" ht="15" hidden="false" customHeight="false" outlineLevel="0" collapsed="false">
      <c r="A98" s="40" t="n">
        <v>8</v>
      </c>
      <c r="B98" s="49" t="s">
        <v>298</v>
      </c>
      <c r="C98" s="40" t="n">
        <v>1</v>
      </c>
      <c r="D98" s="47" t="n">
        <v>1.24</v>
      </c>
      <c r="E98" s="42" t="n">
        <v>9</v>
      </c>
      <c r="F98" s="47" t="n">
        <v>0.53</v>
      </c>
      <c r="G98" s="42" t="n">
        <v>1</v>
      </c>
      <c r="H98" s="15"/>
      <c r="I98" s="15"/>
      <c r="J98" s="15"/>
      <c r="K98" s="15"/>
      <c r="L98" s="31" t="n">
        <f aca="false">D98*E98+F98*G98+H98*I98+J98*K98</f>
        <v>11.69</v>
      </c>
      <c r="M98" s="31" t="n">
        <f aca="false">Исходные!$B$12-L98</f>
        <v>0.00999999999999979</v>
      </c>
      <c r="N98" s="42" t="n">
        <v>107</v>
      </c>
      <c r="O98" s="40" t="n">
        <f aca="false">(E98+G98+I98+K98)*N98</f>
        <v>1070</v>
      </c>
      <c r="P98" s="50" t="n">
        <f aca="false">L98*N98</f>
        <v>1250.83</v>
      </c>
      <c r="Q98" s="50" t="n">
        <f aca="false">M98*N98</f>
        <v>1.06999999999998</v>
      </c>
    </row>
    <row r="99" customFormat="false" ht="15" hidden="false" customHeight="false" outlineLevel="0" collapsed="false">
      <c r="A99" s="40" t="n">
        <v>8</v>
      </c>
      <c r="B99" s="49" t="s">
        <v>298</v>
      </c>
      <c r="C99" s="40" t="n">
        <v>2</v>
      </c>
      <c r="D99" s="47" t="n">
        <v>1.04</v>
      </c>
      <c r="E99" s="42" t="n">
        <v>11</v>
      </c>
      <c r="F99" s="47" t="n">
        <v>0.22</v>
      </c>
      <c r="G99" s="42" t="n">
        <v>1</v>
      </c>
      <c r="H99" s="15"/>
      <c r="I99" s="15"/>
      <c r="J99" s="15"/>
      <c r="K99" s="15"/>
      <c r="L99" s="31" t="n">
        <f aca="false">D99*E99+F99*G99+H99*I99+J99*K99</f>
        <v>11.66</v>
      </c>
      <c r="M99" s="31" t="n">
        <f aca="false">Исходные!$B$12-L99</f>
        <v>0.0399999999999974</v>
      </c>
      <c r="N99" s="42" t="n">
        <v>7</v>
      </c>
      <c r="O99" s="40" t="n">
        <f aca="false">(E99+G99+I99+K99)*N99</f>
        <v>84</v>
      </c>
      <c r="P99" s="50" t="n">
        <f aca="false">L99*N99</f>
        <v>81.62</v>
      </c>
      <c r="Q99" s="50" t="n">
        <f aca="false">M99*N99</f>
        <v>0.279999999999982</v>
      </c>
    </row>
    <row r="100" customFormat="false" ht="15" hidden="false" customHeight="false" outlineLevel="0" collapsed="false">
      <c r="A100" s="40" t="n">
        <v>8</v>
      </c>
      <c r="B100" s="49" t="s">
        <v>298</v>
      </c>
      <c r="C100" s="40" t="n">
        <v>3</v>
      </c>
      <c r="D100" s="47" t="n">
        <v>1.44</v>
      </c>
      <c r="E100" s="42" t="n">
        <v>3</v>
      </c>
      <c r="F100" s="47" t="n">
        <v>1.24</v>
      </c>
      <c r="G100" s="42" t="n">
        <v>5</v>
      </c>
      <c r="H100" s="47" t="n">
        <v>1.14</v>
      </c>
      <c r="I100" s="42" t="n">
        <v>1</v>
      </c>
      <c r="J100" s="15"/>
      <c r="K100" s="15"/>
      <c r="L100" s="31" t="n">
        <f aca="false">D100*E100+F100*G100+H100*I100+J100*K100</f>
        <v>11.66</v>
      </c>
      <c r="M100" s="31" t="n">
        <f aca="false">Исходные!$B$12-L100</f>
        <v>0.0399999999999992</v>
      </c>
      <c r="N100" s="42" t="n">
        <v>1</v>
      </c>
      <c r="O100" s="40" t="n">
        <f aca="false">(E100+G100+I100+K100)*N100</f>
        <v>9</v>
      </c>
      <c r="P100" s="50" t="n">
        <f aca="false">L100*N100</f>
        <v>11.66</v>
      </c>
      <c r="Q100" s="50" t="n">
        <f aca="false">M100*N100</f>
        <v>0.0399999999999992</v>
      </c>
    </row>
    <row r="101" customFormat="false" ht="15" hidden="false" customHeight="false" outlineLevel="0" collapsed="false">
      <c r="A101" s="40" t="n">
        <v>8</v>
      </c>
      <c r="B101" s="49" t="s">
        <v>298</v>
      </c>
      <c r="C101" s="40" t="n">
        <v>4</v>
      </c>
      <c r="D101" s="47" t="n">
        <v>0.53</v>
      </c>
      <c r="E101" s="42" t="n">
        <v>22</v>
      </c>
      <c r="F101" s="15"/>
      <c r="G101" s="15"/>
      <c r="H101" s="15"/>
      <c r="I101" s="15"/>
      <c r="J101" s="15"/>
      <c r="K101" s="15"/>
      <c r="L101" s="31" t="n">
        <f aca="false">D101*E101+F101*G101+H101*I101+J101*K101</f>
        <v>11.66</v>
      </c>
      <c r="M101" s="31" t="n">
        <f aca="false">Исходные!$B$12-L101</f>
        <v>0.0399999999999992</v>
      </c>
      <c r="N101" s="42" t="n">
        <v>8</v>
      </c>
      <c r="O101" s="40" t="n">
        <f aca="false">(E101+G101+I101+K101)*N101</f>
        <v>176</v>
      </c>
      <c r="P101" s="50" t="n">
        <f aca="false">L101*N101</f>
        <v>93.28</v>
      </c>
      <c r="Q101" s="50" t="n">
        <f aca="false">M101*N101</f>
        <v>0.319999999999993</v>
      </c>
    </row>
    <row r="102" customFormat="false" ht="15" hidden="false" customHeight="false" outlineLevel="0" collapsed="false">
      <c r="A102" s="40" t="n">
        <v>8</v>
      </c>
      <c r="B102" s="49" t="s">
        <v>298</v>
      </c>
      <c r="C102" s="40" t="n">
        <v>5</v>
      </c>
      <c r="D102" s="47" t="n">
        <v>0.22</v>
      </c>
      <c r="E102" s="42" t="n">
        <v>53</v>
      </c>
      <c r="F102" s="15"/>
      <c r="G102" s="15"/>
      <c r="H102" s="15"/>
      <c r="I102" s="15"/>
      <c r="J102" s="15"/>
      <c r="K102" s="15"/>
      <c r="L102" s="31" t="n">
        <f aca="false">D102*E102+F102*G102+H102*I102+J102*K102</f>
        <v>11.66</v>
      </c>
      <c r="M102" s="31" t="n">
        <f aca="false">Исходные!$B$12-L102</f>
        <v>0.0399999999999992</v>
      </c>
      <c r="N102" s="42" t="n">
        <v>13</v>
      </c>
      <c r="O102" s="40" t="n">
        <f aca="false">(E102+G102+I102+K102)*N102</f>
        <v>689</v>
      </c>
      <c r="P102" s="50" t="n">
        <f aca="false">L102*N102</f>
        <v>151.58</v>
      </c>
      <c r="Q102" s="50" t="n">
        <f aca="false">M102*N102</f>
        <v>0.519999999999989</v>
      </c>
    </row>
    <row r="103" customFormat="false" ht="15" hidden="false" customHeight="false" outlineLevel="0" collapsed="false">
      <c r="A103" s="40" t="n">
        <v>8</v>
      </c>
      <c r="B103" s="49" t="s">
        <v>298</v>
      </c>
      <c r="C103" s="40" t="n">
        <v>6</v>
      </c>
      <c r="D103" s="47" t="n">
        <v>1.96</v>
      </c>
      <c r="E103" s="42" t="n">
        <v>2</v>
      </c>
      <c r="F103" s="47" t="n">
        <v>1.44</v>
      </c>
      <c r="G103" s="42" t="n">
        <v>5</v>
      </c>
      <c r="H103" s="47" t="n">
        <v>0.53</v>
      </c>
      <c r="I103" s="42" t="n">
        <v>1</v>
      </c>
      <c r="J103" s="15"/>
      <c r="K103" s="15"/>
      <c r="L103" s="31" t="n">
        <f aca="false">D103*E103+F103*G103+H103*I103+J103*K103</f>
        <v>11.65</v>
      </c>
      <c r="M103" s="31" t="n">
        <f aca="false">Исходные!$B$12-L103</f>
        <v>0.0500000000000007</v>
      </c>
      <c r="N103" s="42" t="n">
        <v>1</v>
      </c>
      <c r="O103" s="40" t="n">
        <f aca="false">(E103+G103+I103+K103)*N103</f>
        <v>8</v>
      </c>
      <c r="P103" s="50" t="n">
        <f aca="false">L103*N103</f>
        <v>11.65</v>
      </c>
      <c r="Q103" s="50" t="n">
        <f aca="false">M103*N103</f>
        <v>0.0500000000000007</v>
      </c>
    </row>
    <row r="104" customFormat="false" ht="15" hidden="false" customHeight="false" outlineLevel="0" collapsed="false">
      <c r="A104" s="40" t="n">
        <v>8</v>
      </c>
      <c r="B104" s="49" t="s">
        <v>298</v>
      </c>
      <c r="C104" s="40" t="n">
        <v>7</v>
      </c>
      <c r="D104" s="47" t="n">
        <v>2.44</v>
      </c>
      <c r="E104" s="42" t="n">
        <v>4</v>
      </c>
      <c r="F104" s="47" t="n">
        <v>1.44</v>
      </c>
      <c r="G104" s="42" t="n">
        <v>1</v>
      </c>
      <c r="H104" s="47" t="n">
        <v>0.22</v>
      </c>
      <c r="I104" s="42" t="n">
        <v>2</v>
      </c>
      <c r="J104" s="15"/>
      <c r="K104" s="15"/>
      <c r="L104" s="31" t="n">
        <f aca="false">D104*E104+F104*G104+H104*I104+J104*K104</f>
        <v>11.64</v>
      </c>
      <c r="M104" s="31" t="n">
        <f aca="false">Исходные!$B$12-L104</f>
        <v>0.0600000000000005</v>
      </c>
      <c r="N104" s="42" t="n">
        <v>36</v>
      </c>
      <c r="O104" s="40" t="n">
        <f aca="false">(E104+G104+I104+K104)*N104</f>
        <v>252</v>
      </c>
      <c r="P104" s="50" t="n">
        <f aca="false">L104*N104</f>
        <v>419.04</v>
      </c>
      <c r="Q104" s="50" t="n">
        <f aca="false">M104*N104</f>
        <v>2.16000000000002</v>
      </c>
    </row>
    <row r="105" customFormat="false" ht="15" hidden="false" customHeight="false" outlineLevel="0" collapsed="false">
      <c r="A105" s="40" t="n">
        <v>8</v>
      </c>
      <c r="B105" s="49" t="s">
        <v>298</v>
      </c>
      <c r="C105" s="40" t="n">
        <v>8</v>
      </c>
      <c r="D105" s="47" t="n">
        <v>1.14</v>
      </c>
      <c r="E105" s="42" t="n">
        <v>2</v>
      </c>
      <c r="F105" s="47" t="n">
        <v>1.04</v>
      </c>
      <c r="G105" s="42" t="n">
        <v>9</v>
      </c>
      <c r="H105" s="15"/>
      <c r="I105" s="15"/>
      <c r="J105" s="15"/>
      <c r="K105" s="15"/>
      <c r="L105" s="31" t="n">
        <f aca="false">D105*E105+F105*G105+H105*I105+J105*K105</f>
        <v>11.64</v>
      </c>
      <c r="M105" s="31" t="n">
        <f aca="false">Исходные!$B$12-L105</f>
        <v>0.0600000000000005</v>
      </c>
      <c r="N105" s="42" t="n">
        <v>1</v>
      </c>
      <c r="O105" s="40" t="n">
        <f aca="false">(E105+G105+I105+K105)*N105</f>
        <v>11</v>
      </c>
      <c r="P105" s="50" t="n">
        <f aca="false">L105*N105</f>
        <v>11.64</v>
      </c>
      <c r="Q105" s="50" t="n">
        <f aca="false">M105*N105</f>
        <v>0.0600000000000005</v>
      </c>
    </row>
    <row r="106" customFormat="false" ht="15" hidden="false" customHeight="false" outlineLevel="0" collapsed="false">
      <c r="A106" s="40" t="n">
        <v>8</v>
      </c>
      <c r="B106" s="49" t="s">
        <v>298</v>
      </c>
      <c r="C106" s="40" t="n">
        <v>9</v>
      </c>
      <c r="D106" s="47" t="n">
        <v>1.04</v>
      </c>
      <c r="E106" s="42" t="n">
        <v>2</v>
      </c>
      <c r="F106" s="47" t="n">
        <v>0.53</v>
      </c>
      <c r="G106" s="42" t="n">
        <v>18</v>
      </c>
      <c r="H106" s="15"/>
      <c r="I106" s="15"/>
      <c r="J106" s="15"/>
      <c r="K106" s="15"/>
      <c r="L106" s="31" t="n">
        <f aca="false">D106*E106+F106*G106+H106*I106+J106*K106</f>
        <v>11.62</v>
      </c>
      <c r="M106" s="31" t="n">
        <f aca="false">Исходные!$B$12-L106</f>
        <v>0.0799999999999983</v>
      </c>
      <c r="N106" s="42" t="n">
        <v>1</v>
      </c>
      <c r="O106" s="40" t="n">
        <f aca="false">(E106+G106+I106+K106)*N106</f>
        <v>20</v>
      </c>
      <c r="P106" s="50" t="n">
        <f aca="false">L106*N106</f>
        <v>11.62</v>
      </c>
      <c r="Q106" s="50" t="n">
        <f aca="false">M106*N106</f>
        <v>0.0799999999999983</v>
      </c>
    </row>
    <row r="107" customFormat="false" ht="15" hidden="false" customHeight="false" outlineLevel="0" collapsed="false">
      <c r="A107" s="40" t="n">
        <v>8</v>
      </c>
      <c r="B107" s="49" t="s">
        <v>298</v>
      </c>
      <c r="C107" s="40" t="n">
        <v>10</v>
      </c>
      <c r="D107" s="47" t="n">
        <v>1.14</v>
      </c>
      <c r="E107" s="42" t="n">
        <v>10</v>
      </c>
      <c r="F107" s="47" t="n">
        <v>0.22</v>
      </c>
      <c r="G107" s="42" t="n">
        <v>1</v>
      </c>
      <c r="H107" s="15"/>
      <c r="I107" s="15"/>
      <c r="J107" s="15"/>
      <c r="K107" s="15"/>
      <c r="L107" s="31" t="n">
        <f aca="false">D107*E107+F107*G107+H107*I107+J107*K107</f>
        <v>11.62</v>
      </c>
      <c r="M107" s="31" t="n">
        <f aca="false">Исходные!$B$12-L107</f>
        <v>0.0800000000000001</v>
      </c>
      <c r="N107" s="42" t="n">
        <v>26</v>
      </c>
      <c r="O107" s="40" t="n">
        <f aca="false">(E107+G107+I107+K107)*N107</f>
        <v>286</v>
      </c>
      <c r="P107" s="50" t="n">
        <f aca="false">L107*N107</f>
        <v>302.12</v>
      </c>
      <c r="Q107" s="50" t="n">
        <f aca="false">M107*N107</f>
        <v>2.08</v>
      </c>
    </row>
    <row r="108" customFormat="false" ht="15" hidden="false" customHeight="false" outlineLevel="0" collapsed="false">
      <c r="A108" s="40" t="n">
        <v>8</v>
      </c>
      <c r="B108" s="49" t="s">
        <v>298</v>
      </c>
      <c r="C108" s="40" t="n">
        <v>11</v>
      </c>
      <c r="D108" s="47" t="n">
        <v>0.53</v>
      </c>
      <c r="E108" s="42" t="n">
        <v>21</v>
      </c>
      <c r="F108" s="47" t="n">
        <v>0.22</v>
      </c>
      <c r="G108" s="42" t="n">
        <v>2</v>
      </c>
      <c r="H108" s="15"/>
      <c r="I108" s="15"/>
      <c r="J108" s="15"/>
      <c r="K108" s="15"/>
      <c r="L108" s="31" t="n">
        <f aca="false">D108*E108+F108*G108+H108*I108+J108*K108</f>
        <v>11.57</v>
      </c>
      <c r="M108" s="31" t="n">
        <f aca="false">Исходные!$B$12-L108</f>
        <v>0.129999999999999</v>
      </c>
      <c r="N108" s="42" t="n">
        <v>1</v>
      </c>
      <c r="O108" s="40" t="n">
        <f aca="false">(E108+G108+I108+K108)*N108</f>
        <v>23</v>
      </c>
      <c r="P108" s="50" t="n">
        <f aca="false">L108*N108</f>
        <v>11.57</v>
      </c>
      <c r="Q108" s="50" t="n">
        <f aca="false">M108*N108</f>
        <v>0.129999999999999</v>
      </c>
    </row>
    <row r="109" customFormat="false" ht="15" hidden="false" customHeight="false" outlineLevel="0" collapsed="false">
      <c r="A109" s="40" t="n">
        <v>8</v>
      </c>
      <c r="B109" s="49" t="s">
        <v>298</v>
      </c>
      <c r="C109" s="40" t="n">
        <v>12</v>
      </c>
      <c r="D109" s="47" t="n">
        <v>1.96</v>
      </c>
      <c r="E109" s="42" t="n">
        <v>5</v>
      </c>
      <c r="F109" s="47" t="n">
        <v>1.76</v>
      </c>
      <c r="G109" s="42" t="n">
        <v>1</v>
      </c>
      <c r="H109" s="15"/>
      <c r="I109" s="15"/>
      <c r="J109" s="15"/>
      <c r="K109" s="15"/>
      <c r="L109" s="31" t="n">
        <f aca="false">D109*E109+F109*G109+H109*I109+J109*K109</f>
        <v>11.56</v>
      </c>
      <c r="M109" s="31" t="n">
        <f aca="false">Исходные!$B$12-L109</f>
        <v>0.139999999999999</v>
      </c>
      <c r="N109" s="42" t="n">
        <v>35</v>
      </c>
      <c r="O109" s="40" t="n">
        <f aca="false">(E109+G109+I109+K109)*N109</f>
        <v>210</v>
      </c>
      <c r="P109" s="50" t="n">
        <f aca="false">L109*N109</f>
        <v>404.6</v>
      </c>
      <c r="Q109" s="50" t="n">
        <f aca="false">M109*N109</f>
        <v>4.89999999999996</v>
      </c>
    </row>
    <row r="110" customFormat="false" ht="15" hidden="false" customHeight="false" outlineLevel="0" collapsed="false">
      <c r="A110" s="40" t="n">
        <v>8</v>
      </c>
      <c r="B110" s="49" t="s">
        <v>298</v>
      </c>
      <c r="C110" s="40" t="n">
        <v>13</v>
      </c>
      <c r="D110" s="47" t="n">
        <v>2.44</v>
      </c>
      <c r="E110" s="42" t="n">
        <v>4</v>
      </c>
      <c r="F110" s="47" t="n">
        <v>1.76</v>
      </c>
      <c r="G110" s="42" t="n">
        <v>1</v>
      </c>
      <c r="H110" s="15"/>
      <c r="I110" s="15"/>
      <c r="J110" s="15"/>
      <c r="K110" s="15"/>
      <c r="L110" s="31" t="n">
        <f aca="false">D110*E110+F110*G110+H110*I110+J110*K110</f>
        <v>11.52</v>
      </c>
      <c r="M110" s="31" t="n">
        <f aca="false">Исходные!$B$12-L110</f>
        <v>0.18</v>
      </c>
      <c r="N110" s="42" t="n">
        <v>1</v>
      </c>
      <c r="O110" s="40" t="n">
        <f aca="false">(E110+G110+I110+K110)*N110</f>
        <v>5</v>
      </c>
      <c r="P110" s="50" t="n">
        <f aca="false">L110*N110</f>
        <v>11.52</v>
      </c>
      <c r="Q110" s="50" t="n">
        <f aca="false">M110*N110</f>
        <v>0.18</v>
      </c>
    </row>
    <row r="111" customFormat="false" ht="15" hidden="false" customHeight="false" outlineLevel="0" collapsed="false">
      <c r="A111" s="40" t="n">
        <v>8</v>
      </c>
      <c r="B111" s="49" t="s">
        <v>298</v>
      </c>
      <c r="C111" s="40" t="n">
        <v>14</v>
      </c>
      <c r="D111" s="47" t="n">
        <v>2.44</v>
      </c>
      <c r="E111" s="42" t="n">
        <v>2</v>
      </c>
      <c r="F111" s="47" t="n">
        <v>1.96</v>
      </c>
      <c r="G111" s="42" t="n">
        <v>3</v>
      </c>
      <c r="H111" s="47" t="n">
        <v>0.53</v>
      </c>
      <c r="I111" s="42" t="n">
        <v>1</v>
      </c>
      <c r="J111" s="47" t="n">
        <v>0.22</v>
      </c>
      <c r="K111" s="42" t="n">
        <v>1</v>
      </c>
      <c r="L111" s="31" t="n">
        <f aca="false">D111*E111+F111*G111+H111*I111+J111*K111</f>
        <v>11.51</v>
      </c>
      <c r="M111" s="31" t="n">
        <f aca="false">Исходные!$B$12-L111</f>
        <v>0.19</v>
      </c>
      <c r="N111" s="42" t="n">
        <v>1</v>
      </c>
      <c r="O111" s="40" t="n">
        <f aca="false">(E111+G111+I111+K111)*N111</f>
        <v>7</v>
      </c>
      <c r="P111" s="50" t="n">
        <f aca="false">L111*N111</f>
        <v>11.51</v>
      </c>
      <c r="Q111" s="50" t="n">
        <f aca="false">M111*N111</f>
        <v>0.19</v>
      </c>
    </row>
    <row r="112" customFormat="false" ht="15" hidden="false" customHeight="false" outlineLevel="0" collapsed="false">
      <c r="A112" s="40" t="n">
        <v>8</v>
      </c>
      <c r="B112" s="49" t="s">
        <v>298</v>
      </c>
      <c r="C112" s="40" t="n">
        <v>15</v>
      </c>
      <c r="D112" s="47" t="n">
        <v>1.24</v>
      </c>
      <c r="E112" s="42" t="n">
        <v>1</v>
      </c>
      <c r="F112" s="47" t="n">
        <v>1.14</v>
      </c>
      <c r="G112" s="42" t="n">
        <v>9</v>
      </c>
      <c r="H112" s="15"/>
      <c r="I112" s="15"/>
      <c r="J112" s="15"/>
      <c r="K112" s="15"/>
      <c r="L112" s="31" t="n">
        <f aca="false">D112*E112+F112*G112+H112*I112+J112*K112</f>
        <v>11.5</v>
      </c>
      <c r="M112" s="31" t="n">
        <f aca="false">Исходные!$B$12-L112</f>
        <v>0.199999999999999</v>
      </c>
      <c r="N112" s="42" t="n">
        <v>1</v>
      </c>
      <c r="O112" s="40" t="n">
        <f aca="false">(E112+G112+I112+K112)*N112</f>
        <v>10</v>
      </c>
      <c r="P112" s="50" t="n">
        <f aca="false">L112*N112</f>
        <v>11.5</v>
      </c>
      <c r="Q112" s="50" t="n">
        <f aca="false">M112*N112</f>
        <v>0.199999999999999</v>
      </c>
    </row>
    <row r="113" customFormat="false" ht="15" hidden="false" customHeight="false" outlineLevel="0" collapsed="false">
      <c r="A113" s="40" t="n">
        <v>8</v>
      </c>
      <c r="B113" s="49" t="s">
        <v>298</v>
      </c>
      <c r="C113" s="40" t="n">
        <v>16</v>
      </c>
      <c r="D113" s="47" t="n">
        <v>0.22</v>
      </c>
      <c r="E113" s="42" t="n">
        <v>50</v>
      </c>
      <c r="F113" s="15"/>
      <c r="G113" s="15"/>
      <c r="H113" s="15"/>
      <c r="I113" s="15"/>
      <c r="J113" s="15"/>
      <c r="K113" s="15"/>
      <c r="L113" s="31" t="n">
        <f aca="false">D113*E113+F113*G113+H113*I113+J113*K113</f>
        <v>11</v>
      </c>
      <c r="M113" s="31" t="n">
        <f aca="false">Исходные!$B$12-L113</f>
        <v>0.699999999999999</v>
      </c>
      <c r="N113" s="42" t="n">
        <v>1</v>
      </c>
      <c r="O113" s="40" t="n">
        <f aca="false">(E113+G113+I113+K113)*N113</f>
        <v>50</v>
      </c>
      <c r="P113" s="50" t="n">
        <f aca="false">L113*N113</f>
        <v>11</v>
      </c>
      <c r="Q113" s="50" t="n">
        <f aca="false">M113*N113</f>
        <v>0.699999999999999</v>
      </c>
    </row>
    <row r="115" customFormat="false" ht="15" hidden="false" customHeight="false" outlineLevel="0" collapsed="false">
      <c r="A115" s="23" t="s">
        <v>600</v>
      </c>
    </row>
    <row r="116" customFormat="false" ht="42" hidden="false" customHeight="true" outlineLevel="0" collapsed="false">
      <c r="A116" s="4" t="s">
        <v>245</v>
      </c>
      <c r="B116" s="4" t="s">
        <v>246</v>
      </c>
      <c r="C116" s="4" t="s">
        <v>601</v>
      </c>
      <c r="D116" s="4" t="s">
        <v>602</v>
      </c>
      <c r="E116" s="4" t="s">
        <v>603</v>
      </c>
      <c r="F116" s="4" t="s">
        <v>11</v>
      </c>
      <c r="G116" s="4" t="s">
        <v>604</v>
      </c>
      <c r="H116" s="4" t="s">
        <v>163</v>
      </c>
      <c r="I116" s="4" t="s">
        <v>12</v>
      </c>
      <c r="J116" s="4" t="s">
        <v>605</v>
      </c>
      <c r="K116" s="4" t="s">
        <v>606</v>
      </c>
      <c r="L116" s="4" t="s">
        <v>13</v>
      </c>
    </row>
    <row r="117" customFormat="false" ht="15" hidden="false" customHeight="false" outlineLevel="0" collapsed="false">
      <c r="A117" s="40" t="n">
        <v>32</v>
      </c>
      <c r="B117" s="49" t="s">
        <v>264</v>
      </c>
      <c r="C117" s="50" t="n">
        <f aca="false">SUMIFS(Ведомость!$N$5:$N$212,Ведомость!$H$5:$H$212,A117,Ведомость!$I$5:$I$212,B117)</f>
        <v>80</v>
      </c>
      <c r="D117" s="50" t="n">
        <f aca="false">SUMIFS('Раскрой 11,7м'!$P$5:$P$113,'Раскрой 11,7м'!$A$5:$A$113,A117,'Раскрой 11,7м'!$B$5:$B$113,B117)</f>
        <v>80</v>
      </c>
      <c r="E117" s="50" t="n">
        <f aca="false">ROUND(C117-D117,2)</f>
        <v>0</v>
      </c>
      <c r="F117" s="57" t="n">
        <f aca="false">SUMIFS('Раскрой 11,7м'!$N$5:$N$113,'Раскрой 11,7м'!$A$5:$A$113,A117,'Раскрой 11,7м'!$B$5:$B$113,B117)</f>
        <v>10</v>
      </c>
      <c r="G117" s="51" t="n">
        <f aca="false">F117*Исходные!$B$12</f>
        <v>117</v>
      </c>
      <c r="H117" s="31" t="n">
        <f aca="false">IFERROR(INDEX(Исходные!$B$18:$B$29,MATCH(A117,Исходные!$A$18:$A$29,0)),0)</f>
        <v>6.313</v>
      </c>
      <c r="I117" s="16" t="n">
        <f aca="false">G117*H117</f>
        <v>738.621</v>
      </c>
      <c r="J117" s="51" t="n">
        <f aca="false">SUMIFS(Ведомость!$P$5:$P$212,Ведомость!$H$5:$H$212,A117,Ведомость!$I$5:$I$212,B117)</f>
        <v>505.04</v>
      </c>
      <c r="K117" s="51" t="n">
        <f aca="false">I117-J117</f>
        <v>233.581</v>
      </c>
      <c r="L117" s="58" t="n">
        <f aca="false">IF(I117&gt;0,K117/I117,0)</f>
        <v>0.316239316239316</v>
      </c>
    </row>
    <row r="118" customFormat="false" ht="15" hidden="false" customHeight="false" outlineLevel="0" collapsed="false">
      <c r="A118" s="40" t="n">
        <v>28</v>
      </c>
      <c r="B118" s="49" t="s">
        <v>264</v>
      </c>
      <c r="C118" s="50" t="n">
        <f aca="false">SUMIFS(Ведомость!$N$5:$N$212,Ведомость!$H$5:$H$212,A118,Ведомость!$I$5:$I$212,B118)</f>
        <v>416</v>
      </c>
      <c r="D118" s="50" t="n">
        <f aca="false">SUMIFS('Раскрой 11,7м'!$P$5:$P$113,'Раскрой 11,7м'!$A$5:$A$113,A118,'Раскрой 11,7м'!$B$5:$B$113,B118)</f>
        <v>416</v>
      </c>
      <c r="E118" s="50" t="n">
        <f aca="false">ROUND(C118-D118,2)</f>
        <v>0</v>
      </c>
      <c r="F118" s="57" t="n">
        <f aca="false">SUMIFS('Раскрой 11,7м'!$N$5:$N$113,'Раскрой 11,7м'!$A$5:$A$113,A118,'Раскрой 11,7м'!$B$5:$B$113,B118)</f>
        <v>52</v>
      </c>
      <c r="G118" s="51" t="n">
        <f aca="false">F118*Исходные!$B$12</f>
        <v>608.4</v>
      </c>
      <c r="H118" s="31" t="n">
        <f aca="false">IFERROR(INDEX(Исходные!$B$18:$B$29,MATCH(A118,Исходные!$A$18:$A$29,0)),0)</f>
        <v>4.834</v>
      </c>
      <c r="I118" s="16" t="n">
        <f aca="false">G118*H118</f>
        <v>2941.0056</v>
      </c>
      <c r="J118" s="51" t="n">
        <f aca="false">SUMIFS(Ведомость!$P$5:$P$212,Ведомость!$H$5:$H$212,A118,Ведомость!$I$5:$I$212,B118)</f>
        <v>2010.944</v>
      </c>
      <c r="K118" s="51" t="n">
        <f aca="false">I118-J118</f>
        <v>930.0616</v>
      </c>
      <c r="L118" s="58" t="n">
        <f aca="false">IF(I118&gt;0,K118/I118,0)</f>
        <v>0.316239316239316</v>
      </c>
    </row>
    <row r="119" customFormat="false" ht="15" hidden="false" customHeight="false" outlineLevel="0" collapsed="false">
      <c r="A119" s="40" t="n">
        <v>25</v>
      </c>
      <c r="B119" s="49" t="s">
        <v>264</v>
      </c>
      <c r="C119" s="50" t="n">
        <f aca="false">SUMIFS(Ведомость!$N$5:$N$212,Ведомость!$H$5:$H$212,A119,Ведомость!$I$5:$I$212,B119)</f>
        <v>779.4</v>
      </c>
      <c r="D119" s="50" t="n">
        <f aca="false">SUMIFS('Раскрой 11,7м'!$P$5:$P$113,'Раскрой 11,7м'!$A$5:$A$113,A119,'Раскрой 11,7м'!$B$5:$B$113,B119)</f>
        <v>779.4</v>
      </c>
      <c r="E119" s="50" t="n">
        <f aca="false">ROUND(C119-D119,2)</f>
        <v>0</v>
      </c>
      <c r="F119" s="57" t="n">
        <f aca="false">SUMIFS('Раскрой 11,7м'!$N$5:$N$113,'Раскрой 11,7м'!$A$5:$A$113,A119,'Раскрой 11,7м'!$B$5:$B$113,B119)</f>
        <v>72</v>
      </c>
      <c r="G119" s="51" t="n">
        <f aca="false">F119*Исходные!$B$12</f>
        <v>842.4</v>
      </c>
      <c r="H119" s="31" t="n">
        <f aca="false">IFERROR(INDEX(Исходные!$B$18:$B$29,MATCH(A119,Исходные!$A$18:$A$29,0)),0)</f>
        <v>3.853</v>
      </c>
      <c r="I119" s="16" t="n">
        <f aca="false">G119*H119</f>
        <v>3245.7672</v>
      </c>
      <c r="J119" s="51" t="n">
        <f aca="false">SUMIFS(Ведомость!$P$5:$P$212,Ведомость!$H$5:$H$212,A119,Ведомость!$I$5:$I$212,B119)</f>
        <v>3003.0282</v>
      </c>
      <c r="K119" s="51" t="n">
        <f aca="false">I119-J119</f>
        <v>242.739</v>
      </c>
      <c r="L119" s="58" t="n">
        <f aca="false">IF(I119&gt;0,K119/I119,0)</f>
        <v>0.0747863247863248</v>
      </c>
    </row>
    <row r="120" customFormat="false" ht="15" hidden="false" customHeight="false" outlineLevel="0" collapsed="false">
      <c r="A120" s="40" t="n">
        <v>22</v>
      </c>
      <c r="B120" s="49" t="s">
        <v>264</v>
      </c>
      <c r="C120" s="50" t="n">
        <f aca="false">SUMIFS(Ведомость!$N$5:$N$212,Ведомость!$H$5:$H$212,A120,Ведомость!$I$5:$I$212,B120)</f>
        <v>315.8</v>
      </c>
      <c r="D120" s="50" t="n">
        <f aca="false">SUMIFS('Раскрой 11,7м'!$P$5:$P$113,'Раскрой 11,7м'!$A$5:$A$113,A120,'Раскрой 11,7м'!$B$5:$B$113,B120)</f>
        <v>315.8</v>
      </c>
      <c r="E120" s="50" t="n">
        <f aca="false">ROUND(C120-D120,2)</f>
        <v>0</v>
      </c>
      <c r="F120" s="57" t="n">
        <f aca="false">SUMIFS('Раскрой 11,7м'!$N$5:$N$113,'Раскрой 11,7м'!$A$5:$A$113,A120,'Раскрой 11,7м'!$B$5:$B$113,B120)</f>
        <v>30</v>
      </c>
      <c r="G120" s="51" t="n">
        <f aca="false">F120*Исходные!$B$12</f>
        <v>351</v>
      </c>
      <c r="H120" s="31" t="n">
        <f aca="false">IFERROR(INDEX(Исходные!$B$18:$B$29,MATCH(A120,Исходные!$A$18:$A$29,0)),0)</f>
        <v>2.984</v>
      </c>
      <c r="I120" s="16" t="n">
        <f aca="false">G120*H120</f>
        <v>1047.384</v>
      </c>
      <c r="J120" s="51" t="n">
        <f aca="false">SUMIFS(Ведомость!$P$5:$P$212,Ведомость!$H$5:$H$212,A120,Ведомость!$I$5:$I$212,B120)</f>
        <v>942.3472</v>
      </c>
      <c r="K120" s="51" t="n">
        <f aca="false">I120-J120</f>
        <v>105.0368</v>
      </c>
      <c r="L120" s="58" t="n">
        <f aca="false">IF(I120&gt;0,K120/I120,0)</f>
        <v>0.1002849002849</v>
      </c>
    </row>
    <row r="121" customFormat="false" ht="15" hidden="false" customHeight="false" outlineLevel="0" collapsed="false">
      <c r="A121" s="40" t="n">
        <v>20</v>
      </c>
      <c r="B121" s="49" t="s">
        <v>264</v>
      </c>
      <c r="C121" s="50" t="n">
        <f aca="false">SUMIFS(Ведомость!$N$5:$N$212,Ведомость!$H$5:$H$212,A121,Ведомость!$I$5:$I$212,B121)</f>
        <v>291.74</v>
      </c>
      <c r="D121" s="50" t="n">
        <f aca="false">SUMIFS('Раскрой 11,7м'!$P$5:$P$113,'Раскрой 11,7м'!$A$5:$A$113,A121,'Раскрой 11,7м'!$B$5:$B$113,B121)</f>
        <v>291.74</v>
      </c>
      <c r="E121" s="50" t="n">
        <f aca="false">ROUND(C121-D121,2)</f>
        <v>0</v>
      </c>
      <c r="F121" s="57" t="n">
        <f aca="false">SUMIFS('Раскрой 11,7м'!$N$5:$N$113,'Раскрой 11,7м'!$A$5:$A$113,A121,'Раскрой 11,7м'!$B$5:$B$113,B121)</f>
        <v>27</v>
      </c>
      <c r="G121" s="51" t="n">
        <f aca="false">F121*Исходные!$B$12</f>
        <v>315.9</v>
      </c>
      <c r="H121" s="31" t="n">
        <f aca="false">IFERROR(INDEX(Исходные!$B$18:$B$29,MATCH(A121,Исходные!$A$18:$A$29,0)),0)</f>
        <v>2.466</v>
      </c>
      <c r="I121" s="16" t="n">
        <f aca="false">G121*H121</f>
        <v>779.0094</v>
      </c>
      <c r="J121" s="51" t="n">
        <f aca="false">SUMIFS(Ведомость!$P$5:$P$212,Ведомость!$H$5:$H$212,A121,Ведомость!$I$5:$I$212,B121)</f>
        <v>719.43084</v>
      </c>
      <c r="K121" s="51" t="n">
        <f aca="false">I121-J121</f>
        <v>59.5785599999999</v>
      </c>
      <c r="L121" s="58" t="n">
        <f aca="false">IF(I121&gt;0,K121/I121,0)</f>
        <v>0.0764798987021208</v>
      </c>
    </row>
    <row r="122" customFormat="false" ht="15" hidden="false" customHeight="false" outlineLevel="0" collapsed="false">
      <c r="A122" s="40" t="n">
        <v>18</v>
      </c>
      <c r="B122" s="49" t="s">
        <v>264</v>
      </c>
      <c r="C122" s="50" t="n">
        <f aca="false">SUMIFS(Ведомость!$N$5:$N$212,Ведомость!$H$5:$H$212,A122,Ведомость!$I$5:$I$212,B122)</f>
        <v>191.04</v>
      </c>
      <c r="D122" s="50" t="n">
        <f aca="false">SUMIFS('Раскрой 11,7м'!$P$5:$P$113,'Раскрой 11,7м'!$A$5:$A$113,A122,'Раскрой 11,7м'!$B$5:$B$113,B122)</f>
        <v>191.04</v>
      </c>
      <c r="E122" s="50" t="n">
        <f aca="false">ROUND(C122-D122,2)</f>
        <v>0</v>
      </c>
      <c r="F122" s="57" t="n">
        <f aca="false">SUMIFS('Раскрой 11,7м'!$N$5:$N$113,'Раскрой 11,7м'!$A$5:$A$113,A122,'Раскрой 11,7м'!$B$5:$B$113,B122)</f>
        <v>17</v>
      </c>
      <c r="G122" s="51" t="n">
        <f aca="false">F122*Исходные!$B$12</f>
        <v>198.9</v>
      </c>
      <c r="H122" s="31" t="n">
        <f aca="false">IFERROR(INDEX(Исходные!$B$18:$B$29,MATCH(A122,Исходные!$A$18:$A$29,0)),0)</f>
        <v>1.998</v>
      </c>
      <c r="I122" s="16" t="n">
        <f aca="false">G122*H122</f>
        <v>397.4022</v>
      </c>
      <c r="J122" s="51" t="n">
        <f aca="false">SUMIFS(Ведомость!$P$5:$P$212,Ведомость!$H$5:$H$212,A122,Ведомость!$I$5:$I$212,B122)</f>
        <v>381.69792</v>
      </c>
      <c r="K122" s="51" t="n">
        <f aca="false">I122-J122</f>
        <v>15.7042799999999</v>
      </c>
      <c r="L122" s="58" t="n">
        <f aca="false">IF(I122&gt;0,K122/I122,0)</f>
        <v>0.0395173453996982</v>
      </c>
    </row>
    <row r="123" customFormat="false" ht="15" hidden="false" customHeight="false" outlineLevel="0" collapsed="false">
      <c r="A123" s="40" t="n">
        <v>16</v>
      </c>
      <c r="B123" s="49" t="s">
        <v>264</v>
      </c>
      <c r="C123" s="50" t="n">
        <f aca="false">SUMIFS(Ведомость!$N$5:$N$212,Ведомость!$H$5:$H$212,A123,Ведомость!$I$5:$I$212,B123)</f>
        <v>439.4</v>
      </c>
      <c r="D123" s="50" t="n">
        <f aca="false">SUMIFS('Раскрой 11,7м'!$P$5:$P$113,'Раскрой 11,7м'!$A$5:$A$113,A123,'Раскрой 11,7м'!$B$5:$B$113,B123)</f>
        <v>439.4</v>
      </c>
      <c r="E123" s="50" t="n">
        <f aca="false">ROUND(C123-D123,2)</f>
        <v>0</v>
      </c>
      <c r="F123" s="57" t="n">
        <f aca="false">SUMIFS('Раскрой 11,7м'!$N$5:$N$113,'Раскрой 11,7м'!$A$5:$A$113,A123,'Раскрой 11,7м'!$B$5:$B$113,B123)</f>
        <v>39</v>
      </c>
      <c r="G123" s="51" t="n">
        <f aca="false">F123*Исходные!$B$12</f>
        <v>456.3</v>
      </c>
      <c r="H123" s="31" t="n">
        <f aca="false">IFERROR(INDEX(Исходные!$B$18:$B$29,MATCH(A123,Исходные!$A$18:$A$29,0)),0)</f>
        <v>1.578</v>
      </c>
      <c r="I123" s="16" t="n">
        <f aca="false">G123*H123</f>
        <v>720.0414</v>
      </c>
      <c r="J123" s="51" t="n">
        <f aca="false">SUMIFS(Ведомость!$P$5:$P$212,Ведомость!$H$5:$H$212,A123,Ведомость!$I$5:$I$212,B123)</f>
        <v>693.3732</v>
      </c>
      <c r="K123" s="51" t="n">
        <f aca="false">I123-J123</f>
        <v>26.6682</v>
      </c>
      <c r="L123" s="58" t="n">
        <f aca="false">IF(I123&gt;0,K123/I123,0)</f>
        <v>0.037037037037037</v>
      </c>
    </row>
    <row r="124" customFormat="false" ht="15" hidden="false" customHeight="false" outlineLevel="0" collapsed="false">
      <c r="A124" s="40" t="n">
        <v>14</v>
      </c>
      <c r="B124" s="49" t="s">
        <v>264</v>
      </c>
      <c r="C124" s="50" t="n">
        <f aca="false">SUMIFS(Ведомость!$N$5:$N$212,Ведомость!$H$5:$H$212,A124,Ведомость!$I$5:$I$212,B124)</f>
        <v>156.96</v>
      </c>
      <c r="D124" s="50" t="n">
        <f aca="false">SUMIFS('Раскрой 11,7м'!$P$5:$P$113,'Раскрой 11,7м'!$A$5:$A$113,A124,'Раскрой 11,7м'!$B$5:$B$113,B124)</f>
        <v>156.96</v>
      </c>
      <c r="E124" s="50" t="n">
        <f aca="false">ROUND(C124-D124,2)</f>
        <v>0</v>
      </c>
      <c r="F124" s="57" t="n">
        <f aca="false">SUMIFS('Раскрой 11,7м'!$N$5:$N$113,'Раскрой 11,7м'!$A$5:$A$113,A124,'Раскрой 11,7м'!$B$5:$B$113,B124)</f>
        <v>14</v>
      </c>
      <c r="G124" s="51" t="n">
        <f aca="false">F124*Исходные!$B$12</f>
        <v>163.8</v>
      </c>
      <c r="H124" s="31" t="n">
        <f aca="false">IFERROR(INDEX(Исходные!$B$18:$B$29,MATCH(A124,Исходные!$A$18:$A$29,0)),0)</f>
        <v>1.208</v>
      </c>
      <c r="I124" s="16" t="n">
        <f aca="false">G124*H124</f>
        <v>197.8704</v>
      </c>
      <c r="J124" s="51" t="n">
        <f aca="false">SUMIFS(Ведомость!$P$5:$P$212,Ведомость!$H$5:$H$212,A124,Ведомость!$I$5:$I$212,B124)</f>
        <v>189.60768</v>
      </c>
      <c r="K124" s="51" t="n">
        <f aca="false">I124-J124</f>
        <v>8.26271999999997</v>
      </c>
      <c r="L124" s="58" t="n">
        <f aca="false">IF(I124&gt;0,K124/I124,0)</f>
        <v>0.0417582417582416</v>
      </c>
    </row>
    <row r="125" customFormat="false" ht="15" hidden="false" customHeight="false" outlineLevel="0" collapsed="false">
      <c r="A125" s="40" t="n">
        <v>12</v>
      </c>
      <c r="B125" s="49" t="s">
        <v>264</v>
      </c>
      <c r="C125" s="50" t="n">
        <f aca="false">SUMIFS(Ведомость!$N$5:$N$212,Ведомость!$H$5:$H$212,A125,Ведомость!$I$5:$I$212,B125)</f>
        <v>43.2</v>
      </c>
      <c r="D125" s="50" t="n">
        <f aca="false">SUMIFS('Раскрой 11,7м'!$P$5:$P$113,'Раскрой 11,7м'!$A$5:$A$113,A125,'Раскрой 11,7м'!$B$5:$B$113,B125)</f>
        <v>43.2</v>
      </c>
      <c r="E125" s="50" t="n">
        <f aca="false">ROUND(C125-D125,2)</f>
        <v>0</v>
      </c>
      <c r="F125" s="57" t="n">
        <f aca="false">SUMIFS('Раскрой 11,7м'!$N$5:$N$113,'Раскрой 11,7м'!$A$5:$A$113,A125,'Раскрой 11,7м'!$B$5:$B$113,B125)</f>
        <v>4</v>
      </c>
      <c r="G125" s="51" t="n">
        <f aca="false">F125*Исходные!$B$12</f>
        <v>46.8</v>
      </c>
      <c r="H125" s="31" t="n">
        <f aca="false">IFERROR(INDEX(Исходные!$B$18:$B$29,MATCH(A125,Исходные!$A$18:$A$29,0)),0)</f>
        <v>0.888</v>
      </c>
      <c r="I125" s="16" t="n">
        <f aca="false">G125*H125</f>
        <v>41.5584</v>
      </c>
      <c r="J125" s="51" t="n">
        <f aca="false">SUMIFS(Ведомость!$P$5:$P$212,Ведомость!$H$5:$H$212,A125,Ведомость!$I$5:$I$212,B125)</f>
        <v>38.3616</v>
      </c>
      <c r="K125" s="51" t="n">
        <f aca="false">I125-J125</f>
        <v>3.1968</v>
      </c>
      <c r="L125" s="58" t="n">
        <f aca="false">IF(I125&gt;0,K125/I125,0)</f>
        <v>0.076923076923077</v>
      </c>
    </row>
    <row r="126" customFormat="false" ht="15" hidden="false" customHeight="false" outlineLevel="0" collapsed="false">
      <c r="A126" s="40" t="n">
        <v>10</v>
      </c>
      <c r="B126" s="49" t="s">
        <v>264</v>
      </c>
      <c r="C126" s="50" t="n">
        <f aca="false">SUMIFS(Ведомость!$N$5:$N$212,Ведомость!$H$5:$H$212,A126,Ведомость!$I$5:$I$212,B126)</f>
        <v>13004.96</v>
      </c>
      <c r="D126" s="50" t="n">
        <f aca="false">SUMIFS('Раскрой 11,7м'!$P$5:$P$113,'Раскрой 11,7м'!$A$5:$A$113,A126,'Раскрой 11,7м'!$B$5:$B$113,B126)</f>
        <v>13004.96</v>
      </c>
      <c r="E126" s="50" t="n">
        <f aca="false">ROUND(C126-D126,2)</f>
        <v>0</v>
      </c>
      <c r="F126" s="57" t="n">
        <f aca="false">SUMIFS('Раскрой 11,7м'!$N$5:$N$113,'Раскрой 11,7м'!$A$5:$A$113,A126,'Раскрой 11,7м'!$B$5:$B$113,B126)</f>
        <v>1121</v>
      </c>
      <c r="G126" s="51" t="n">
        <f aca="false">F126*Исходные!$B$12</f>
        <v>13115.7</v>
      </c>
      <c r="H126" s="31" t="n">
        <f aca="false">IFERROR(INDEX(Исходные!$B$18:$B$29,MATCH(A126,Исходные!$A$18:$A$29,0)),0)</f>
        <v>0.617</v>
      </c>
      <c r="I126" s="16" t="n">
        <f aca="false">G126*H126</f>
        <v>8092.3869</v>
      </c>
      <c r="J126" s="51" t="n">
        <f aca="false">SUMIFS(Ведомость!$P$5:$P$212,Ведомость!$H$5:$H$212,A126,Ведомость!$I$5:$I$212,B126)</f>
        <v>8024.06032</v>
      </c>
      <c r="K126" s="51" t="n">
        <f aca="false">I126-J126</f>
        <v>68.3265799999999</v>
      </c>
      <c r="L126" s="58" t="n">
        <f aca="false">IF(I126&gt;0,K126/I126,0)</f>
        <v>0.00844331602583163</v>
      </c>
    </row>
    <row r="127" customFormat="false" ht="15" hidden="false" customHeight="false" outlineLevel="0" collapsed="false">
      <c r="A127" s="40" t="n">
        <v>8</v>
      </c>
      <c r="B127" s="49" t="s">
        <v>264</v>
      </c>
      <c r="C127" s="50" t="n">
        <f aca="false">SUMIFS(Ведомость!$N$5:$N$212,Ведомость!$H$5:$H$212,A127,Ведомость!$I$5:$I$212,B127)</f>
        <v>0</v>
      </c>
      <c r="D127" s="50" t="n">
        <f aca="false">SUMIFS('Раскрой 11,7м'!$P$5:$P$113,'Раскрой 11,7м'!$A$5:$A$113,A127,'Раскрой 11,7м'!$B$5:$B$113,B127)</f>
        <v>0</v>
      </c>
      <c r="E127" s="50" t="n">
        <f aca="false">ROUND(C127-D127,2)</f>
        <v>0</v>
      </c>
      <c r="F127" s="57" t="n">
        <f aca="false">SUMIFS('Раскрой 11,7м'!$N$5:$N$113,'Раскрой 11,7м'!$A$5:$A$113,A127,'Раскрой 11,7м'!$B$5:$B$113,B127)</f>
        <v>0</v>
      </c>
      <c r="G127" s="51" t="n">
        <f aca="false">F127*Исходные!$B$12</f>
        <v>0</v>
      </c>
      <c r="H127" s="31" t="n">
        <f aca="false">IFERROR(INDEX(Исходные!$B$18:$B$29,MATCH(A127,Исходные!$A$18:$A$29,0)),0)</f>
        <v>0.395</v>
      </c>
      <c r="I127" s="16" t="n">
        <f aca="false">G127*H127</f>
        <v>0</v>
      </c>
      <c r="J127" s="51" t="n">
        <f aca="false">SUMIFS(Ведомость!$P$5:$P$212,Ведомость!$H$5:$H$212,A127,Ведомость!$I$5:$I$212,B127)</f>
        <v>0</v>
      </c>
      <c r="K127" s="51" t="n">
        <f aca="false">I127-J127</f>
        <v>0</v>
      </c>
      <c r="L127" s="58" t="n">
        <f aca="false">IF(I127&gt;0,K127/I127,0)</f>
        <v>0</v>
      </c>
    </row>
    <row r="128" customFormat="false" ht="15" hidden="false" customHeight="false" outlineLevel="0" collapsed="false">
      <c r="A128" s="40" t="n">
        <v>12</v>
      </c>
      <c r="B128" s="49" t="s">
        <v>298</v>
      </c>
      <c r="C128" s="50" t="n">
        <f aca="false">SUMIFS(Ведомость!$N$5:$N$212,Ведомость!$H$5:$H$212,A128,Ведомость!$I$5:$I$212,B128)</f>
        <v>0</v>
      </c>
      <c r="D128" s="50" t="n">
        <f aca="false">SUMIFS('Раскрой 11,7м'!$P$5:$P$113,'Раскрой 11,7м'!$A$5:$A$113,A128,'Раскрой 11,7м'!$B$5:$B$113,B128)</f>
        <v>0</v>
      </c>
      <c r="E128" s="50" t="n">
        <f aca="false">ROUND(C128-D128,2)</f>
        <v>0</v>
      </c>
      <c r="F128" s="57" t="n">
        <f aca="false">SUMIFS('Раскрой 11,7м'!$N$5:$N$113,'Раскрой 11,7м'!$A$5:$A$113,A128,'Раскрой 11,7м'!$B$5:$B$113,B128)</f>
        <v>0</v>
      </c>
      <c r="G128" s="51" t="n">
        <f aca="false">F128*Исходные!$B$12</f>
        <v>0</v>
      </c>
      <c r="H128" s="31" t="n">
        <f aca="false">IFERROR(INDEX(Исходные!$B$18:$B$29,MATCH(A128,Исходные!$A$18:$A$29,0)),0)</f>
        <v>0.888</v>
      </c>
      <c r="I128" s="16" t="n">
        <f aca="false">G128*H128</f>
        <v>0</v>
      </c>
      <c r="J128" s="51" t="n">
        <f aca="false">SUMIFS(Ведомость!$P$5:$P$212,Ведомость!$H$5:$H$212,A128,Ведомость!$I$5:$I$212,B128)</f>
        <v>0</v>
      </c>
      <c r="K128" s="51" t="n">
        <f aca="false">I128-J128</f>
        <v>0</v>
      </c>
      <c r="L128" s="58" t="n">
        <f aca="false">IF(I128&gt;0,K128/I128,0)</f>
        <v>0</v>
      </c>
    </row>
    <row r="129" customFormat="false" ht="15" hidden="false" customHeight="false" outlineLevel="0" collapsed="false">
      <c r="A129" s="40" t="n">
        <v>10</v>
      </c>
      <c r="B129" s="49" t="s">
        <v>298</v>
      </c>
      <c r="C129" s="50" t="n">
        <f aca="false">SUMIFS(Ведомость!$N$5:$N$212,Ведомость!$H$5:$H$212,A129,Ведомость!$I$5:$I$212,B129)</f>
        <v>965.9</v>
      </c>
      <c r="D129" s="50" t="n">
        <f aca="false">SUMIFS('Раскрой 11,7м'!$P$5:$P$113,'Раскрой 11,7м'!$A$5:$A$113,A129,'Раскрой 11,7м'!$B$5:$B$113,B129)</f>
        <v>965.9</v>
      </c>
      <c r="E129" s="50" t="n">
        <f aca="false">ROUND(C129-D129,2)</f>
        <v>0</v>
      </c>
      <c r="F129" s="57" t="n">
        <f aca="false">SUMIFS('Раскрой 11,7м'!$N$5:$N$113,'Раскрой 11,7м'!$A$5:$A$113,A129,'Раскрой 11,7м'!$B$5:$B$113,B129)</f>
        <v>85</v>
      </c>
      <c r="G129" s="51" t="n">
        <f aca="false">F129*Исходные!$B$12</f>
        <v>994.5</v>
      </c>
      <c r="H129" s="31" t="n">
        <f aca="false">IFERROR(INDEX(Исходные!$B$18:$B$29,MATCH(A129,Исходные!$A$18:$A$29,0)),0)</f>
        <v>0.617</v>
      </c>
      <c r="I129" s="16" t="n">
        <f aca="false">G129*H129</f>
        <v>613.6065</v>
      </c>
      <c r="J129" s="51" t="n">
        <f aca="false">SUMIFS(Ведомость!$P$5:$P$212,Ведомость!$H$5:$H$212,A129,Ведомость!$I$5:$I$212,B129)</f>
        <v>595.9603</v>
      </c>
      <c r="K129" s="51" t="n">
        <f aca="false">I129-J129</f>
        <v>17.6461999999999</v>
      </c>
      <c r="L129" s="58" t="n">
        <f aca="false">IF(I129&gt;0,K129/I129,0)</f>
        <v>0.0287581699346404</v>
      </c>
    </row>
    <row r="130" customFormat="false" ht="15" hidden="false" customHeight="false" outlineLevel="0" collapsed="false">
      <c r="A130" s="40" t="n">
        <v>8</v>
      </c>
      <c r="B130" s="49" t="s">
        <v>298</v>
      </c>
      <c r="C130" s="50" t="n">
        <f aca="false">SUMIFS(Ведомость!$N$5:$N$212,Ведомость!$H$5:$H$212,A130,Ведомость!$I$5:$I$212,B130)</f>
        <v>2806.74</v>
      </c>
      <c r="D130" s="50" t="n">
        <f aca="false">SUMIFS('Раскрой 11,7м'!$P$5:$P$113,'Раскрой 11,7м'!$A$5:$A$113,A130,'Раскрой 11,7м'!$B$5:$B$113,B130)</f>
        <v>2806.74</v>
      </c>
      <c r="E130" s="50" t="n">
        <f aca="false">ROUND(C130-D130,2)</f>
        <v>0</v>
      </c>
      <c r="F130" s="57" t="n">
        <f aca="false">SUMIFS('Раскрой 11,7м'!$N$5:$N$113,'Раскрой 11,7м'!$A$5:$A$113,A130,'Раскрой 11,7м'!$B$5:$B$113,B130)</f>
        <v>241</v>
      </c>
      <c r="G130" s="51" t="n">
        <f aca="false">F130*Исходные!$B$12</f>
        <v>2819.7</v>
      </c>
      <c r="H130" s="31" t="n">
        <f aca="false">IFERROR(INDEX(Исходные!$B$18:$B$29,MATCH(A130,Исходные!$A$18:$A$29,0)),0)</f>
        <v>0.395</v>
      </c>
      <c r="I130" s="16" t="n">
        <f aca="false">G130*H130</f>
        <v>1113.7815</v>
      </c>
      <c r="J130" s="51" t="n">
        <f aca="false">SUMIFS(Ведомость!$P$5:$P$212,Ведомость!$H$5:$H$212,A130,Ведомость!$I$5:$I$212,B130)</f>
        <v>1108.6623</v>
      </c>
      <c r="K130" s="51" t="n">
        <f aca="false">I130-J130</f>
        <v>5.11920000000009</v>
      </c>
      <c r="L130" s="58" t="n">
        <f aca="false">IF(I130&gt;0,K130/I130,0)</f>
        <v>0.00459623364187688</v>
      </c>
    </row>
    <row r="131" customFormat="false" ht="15" hidden="false" customHeight="false" outlineLevel="0" collapsed="false">
      <c r="A131" s="40" t="n">
        <v>6</v>
      </c>
      <c r="B131" s="49" t="s">
        <v>298</v>
      </c>
      <c r="C131" s="50" t="n">
        <f aca="false">SUMIFS(Ведомость!$N$5:$N$212,Ведомость!$H$5:$H$212,A131,Ведомость!$I$5:$I$212,B131)</f>
        <v>0</v>
      </c>
      <c r="D131" s="50" t="n">
        <f aca="false">SUMIFS('Раскрой 11,7м'!$P$5:$P$113,'Раскрой 11,7м'!$A$5:$A$113,A131,'Раскрой 11,7м'!$B$5:$B$113,B131)</f>
        <v>0</v>
      </c>
      <c r="E131" s="50" t="n">
        <f aca="false">ROUND(C131-D131,2)</f>
        <v>0</v>
      </c>
      <c r="F131" s="57" t="n">
        <f aca="false">SUMIFS('Раскрой 11,7м'!$N$5:$N$113,'Раскрой 11,7м'!$A$5:$A$113,A131,'Раскрой 11,7м'!$B$5:$B$113,B131)</f>
        <v>0</v>
      </c>
      <c r="G131" s="51" t="n">
        <f aca="false">F131*Исходные!$B$12</f>
        <v>0</v>
      </c>
      <c r="H131" s="31" t="n">
        <f aca="false">IFERROR(INDEX(Исходные!$B$18:$B$29,MATCH(A131,Исходные!$A$18:$A$29,0)),0)</f>
        <v>0.222</v>
      </c>
      <c r="I131" s="16" t="n">
        <f aca="false">G131*H131</f>
        <v>0</v>
      </c>
      <c r="J131" s="51" t="n">
        <f aca="false">SUMIFS(Ведомость!$P$5:$P$212,Ведомость!$H$5:$H$212,A131,Ведомость!$I$5:$I$212,B131)</f>
        <v>0</v>
      </c>
      <c r="K131" s="51" t="n">
        <f aca="false">I131-J131</f>
        <v>0</v>
      </c>
      <c r="L131" s="58" t="n">
        <f aca="false">IF(I131&gt;0,K131/I131,0)</f>
        <v>0</v>
      </c>
    </row>
    <row r="132" customFormat="false" ht="15" hidden="false" customHeight="false" outlineLevel="0" collapsed="false">
      <c r="B132" s="3" t="s">
        <v>607</v>
      </c>
      <c r="C132" s="56" t="n">
        <f aca="false">SUM(C117:C131)</f>
        <v>19491.14</v>
      </c>
      <c r="D132" s="56" t="n">
        <f aca="false">SUM(D117:D131)</f>
        <v>19491.14</v>
      </c>
      <c r="E132" s="56" t="n">
        <f aca="false">SUM(E117:E131)</f>
        <v>0</v>
      </c>
      <c r="F132" s="35" t="n">
        <f aca="false">SUM(F117:F131)</f>
        <v>1712</v>
      </c>
      <c r="G132" s="56" t="n">
        <f aca="false">SUM(G117:G131)</f>
        <v>20030.4</v>
      </c>
      <c r="I132" s="56" t="n">
        <f aca="false">SUM(I117:I131)</f>
        <v>19928.4345</v>
      </c>
      <c r="J132" s="56" t="n">
        <f aca="false">SUM(J117:J131)</f>
        <v>18212.51356</v>
      </c>
      <c r="K132" s="56" t="n">
        <f aca="false">SUM(K117:K131)</f>
        <v>1715.92094</v>
      </c>
      <c r="L132" s="59" t="n">
        <f aca="false">IF(I132&gt;0,K132/I132,0)</f>
        <v>0.0861041513321079</v>
      </c>
    </row>
    <row r="134" customFormat="false" ht="15" hidden="false" customHeight="true" outlineLevel="0" collapsed="false">
      <c r="A134" s="60" t="s">
        <v>608</v>
      </c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</row>
    <row r="135" customFormat="false" ht="30" hidden="false" customHeight="true" outlineLevel="0" collapsed="false">
      <c r="A135" s="61" t="s">
        <v>609</v>
      </c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</row>
    <row r="136" customFormat="false" ht="30" hidden="false" customHeight="true" outlineLevel="0" collapsed="false">
      <c r="A136" s="61" t="s">
        <v>610</v>
      </c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</row>
    <row r="137" customFormat="false" ht="30" hidden="false" customHeight="true" outlineLevel="0" collapsed="false">
      <c r="A137" s="61" t="s">
        <v>611</v>
      </c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</row>
  </sheetData>
  <mergeCells count="4">
    <mergeCell ref="A134:Q134"/>
    <mergeCell ref="A135:Q135"/>
    <mergeCell ref="A136:Q136"/>
    <mergeCell ref="A137:Q1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45" t="s">
        <v>612</v>
      </c>
    </row>
    <row r="3" customFormat="false" ht="15" hidden="false" customHeight="true" outlineLevel="0" collapsed="false">
      <c r="A3" s="2" t="s">
        <v>613</v>
      </c>
      <c r="B3" s="2"/>
    </row>
    <row r="4" customFormat="false" ht="23.85" hidden="false" customHeight="false" outlineLevel="0" collapsed="false">
      <c r="A4" s="62" t="s">
        <v>171</v>
      </c>
      <c r="B4" s="15" t="s">
        <v>614</v>
      </c>
    </row>
    <row r="5" customFormat="false" ht="23.85" hidden="false" customHeight="false" outlineLevel="0" collapsed="false">
      <c r="A5" s="62" t="s">
        <v>615</v>
      </c>
      <c r="B5" s="15" t="s">
        <v>616</v>
      </c>
    </row>
    <row r="6" customFormat="false" ht="15" hidden="false" customHeight="false" outlineLevel="0" collapsed="false">
      <c r="A6" s="62" t="s">
        <v>617</v>
      </c>
      <c r="B6" s="15" t="s">
        <v>618</v>
      </c>
    </row>
    <row r="7" customFormat="false" ht="15" hidden="false" customHeight="false" outlineLevel="0" collapsed="false">
      <c r="A7" s="62" t="s">
        <v>619</v>
      </c>
      <c r="B7" s="15" t="s">
        <v>620</v>
      </c>
    </row>
    <row r="8" customFormat="false" ht="23.85" hidden="false" customHeight="false" outlineLevel="0" collapsed="false">
      <c r="A8" s="62" t="s">
        <v>621</v>
      </c>
      <c r="B8" s="15" t="s">
        <v>622</v>
      </c>
    </row>
    <row r="9" customFormat="false" ht="15" hidden="false" customHeight="false" outlineLevel="0" collapsed="false">
      <c r="A9" s="62" t="s">
        <v>623</v>
      </c>
      <c r="B9" s="15" t="s">
        <v>624</v>
      </c>
    </row>
    <row r="10" customFormat="false" ht="23.85" hidden="false" customHeight="false" outlineLevel="0" collapsed="false">
      <c r="A10" s="62" t="s">
        <v>625</v>
      </c>
      <c r="B10" s="15" t="s">
        <v>626</v>
      </c>
    </row>
    <row r="11" customFormat="false" ht="15" hidden="false" customHeight="false" outlineLevel="0" collapsed="false">
      <c r="A11" s="62" t="s">
        <v>627</v>
      </c>
      <c r="B11" s="15" t="s">
        <v>628</v>
      </c>
    </row>
    <row r="12" customFormat="false" ht="15" hidden="false" customHeight="false" outlineLevel="0" collapsed="false">
      <c r="A12" s="62" t="s">
        <v>629</v>
      </c>
      <c r="B12" s="15" t="s">
        <v>630</v>
      </c>
    </row>
    <row r="13" customFormat="false" ht="15" hidden="false" customHeight="false" outlineLevel="0" collapsed="false">
      <c r="A13" s="62" t="s">
        <v>631</v>
      </c>
      <c r="B13" s="15" t="s">
        <v>632</v>
      </c>
    </row>
    <row r="15" customFormat="false" ht="15" hidden="false" customHeight="true" outlineLevel="0" collapsed="false">
      <c r="A15" s="2" t="s">
        <v>633</v>
      </c>
      <c r="B15" s="2"/>
    </row>
    <row r="16" customFormat="false" ht="15" hidden="false" customHeight="false" outlineLevel="0" collapsed="false">
      <c r="A16" s="15" t="s">
        <v>634</v>
      </c>
      <c r="B16" s="15" t="s">
        <v>635</v>
      </c>
    </row>
    <row r="17" customFormat="false" ht="15" hidden="false" customHeight="false" outlineLevel="0" collapsed="false">
      <c r="A17" s="15" t="s">
        <v>636</v>
      </c>
      <c r="B17" s="15" t="s">
        <v>637</v>
      </c>
    </row>
    <row r="18" customFormat="false" ht="15" hidden="false" customHeight="false" outlineLevel="0" collapsed="false">
      <c r="A18" s="15" t="s">
        <v>638</v>
      </c>
      <c r="B18" s="15" t="s">
        <v>639</v>
      </c>
    </row>
    <row r="19" customFormat="false" ht="15" hidden="false" customHeight="false" outlineLevel="0" collapsed="false">
      <c r="A19" s="15" t="s">
        <v>640</v>
      </c>
      <c r="B19" s="15" t="s">
        <v>641</v>
      </c>
    </row>
    <row r="20" customFormat="false" ht="15" hidden="false" customHeight="false" outlineLevel="0" collapsed="false">
      <c r="A20" s="15" t="s">
        <v>642</v>
      </c>
      <c r="B20" s="15" t="s">
        <v>643</v>
      </c>
    </row>
    <row r="21" customFormat="false" ht="15" hidden="false" customHeight="false" outlineLevel="0" collapsed="false">
      <c r="A21" s="15" t="s">
        <v>644</v>
      </c>
      <c r="B21" s="15" t="s">
        <v>645</v>
      </c>
    </row>
    <row r="22" customFormat="false" ht="15" hidden="false" customHeight="false" outlineLevel="0" collapsed="false">
      <c r="A22" s="15" t="s">
        <v>646</v>
      </c>
      <c r="B22" s="15" t="s">
        <v>647</v>
      </c>
    </row>
    <row r="23" customFormat="false" ht="15" hidden="false" customHeight="false" outlineLevel="0" collapsed="false">
      <c r="A23" s="15" t="s">
        <v>648</v>
      </c>
      <c r="B23" s="15" t="s">
        <v>649</v>
      </c>
    </row>
    <row r="24" customFormat="false" ht="15" hidden="false" customHeight="false" outlineLevel="0" collapsed="false">
      <c r="A24" s="15" t="s">
        <v>650</v>
      </c>
      <c r="B24" s="15" t="s">
        <v>651</v>
      </c>
    </row>
    <row r="25" customFormat="false" ht="15" hidden="false" customHeight="false" outlineLevel="0" collapsed="false">
      <c r="A25" s="15" t="s">
        <v>652</v>
      </c>
      <c r="B25" s="15" t="s">
        <v>653</v>
      </c>
    </row>
    <row r="26" customFormat="false" ht="15" hidden="false" customHeight="false" outlineLevel="0" collapsed="false">
      <c r="A26" s="15" t="s">
        <v>654</v>
      </c>
      <c r="B26" s="15" t="s">
        <v>655</v>
      </c>
    </row>
    <row r="27" customFormat="false" ht="15" hidden="false" customHeight="false" outlineLevel="0" collapsed="false">
      <c r="A27" s="15" t="s">
        <v>656</v>
      </c>
      <c r="B27" s="15" t="s">
        <v>657</v>
      </c>
    </row>
    <row r="28" customFormat="false" ht="15" hidden="false" customHeight="false" outlineLevel="0" collapsed="false">
      <c r="A28" s="15" t="s">
        <v>658</v>
      </c>
      <c r="B28" s="15" t="s">
        <v>659</v>
      </c>
    </row>
    <row r="29" customFormat="false" ht="15" hidden="false" customHeight="false" outlineLevel="0" collapsed="false">
      <c r="A29" s="15" t="s">
        <v>660</v>
      </c>
      <c r="B29" s="15" t="s">
        <v>661</v>
      </c>
    </row>
    <row r="30" customFormat="false" ht="15" hidden="false" customHeight="false" outlineLevel="0" collapsed="false">
      <c r="A30" s="15" t="s">
        <v>662</v>
      </c>
      <c r="B30" s="15" t="s">
        <v>663</v>
      </c>
    </row>
    <row r="31" customFormat="false" ht="15" hidden="false" customHeight="false" outlineLevel="0" collapsed="false">
      <c r="A31" s="15" t="s">
        <v>664</v>
      </c>
      <c r="B31" s="15" t="s">
        <v>665</v>
      </c>
    </row>
    <row r="32" customFormat="false" ht="15" hidden="false" customHeight="false" outlineLevel="0" collapsed="false">
      <c r="A32" s="15" t="s">
        <v>666</v>
      </c>
      <c r="B32" s="15" t="s">
        <v>667</v>
      </c>
    </row>
    <row r="34" customFormat="false" ht="15" hidden="false" customHeight="true" outlineLevel="0" collapsed="false">
      <c r="A34" s="2" t="s">
        <v>668</v>
      </c>
      <c r="B34" s="2"/>
    </row>
    <row r="35" customFormat="false" ht="23.85" hidden="false" customHeight="false" outlineLevel="0" collapsed="false">
      <c r="A35" s="62" t="s">
        <v>669</v>
      </c>
      <c r="B35" s="15" t="s">
        <v>670</v>
      </c>
    </row>
    <row r="36" customFormat="false" ht="23.85" hidden="false" customHeight="false" outlineLevel="0" collapsed="false">
      <c r="A36" s="62" t="s">
        <v>671</v>
      </c>
      <c r="B36" s="15" t="s">
        <v>672</v>
      </c>
    </row>
    <row r="37" customFormat="false" ht="23.85" hidden="false" customHeight="false" outlineLevel="0" collapsed="false">
      <c r="A37" s="62" t="s">
        <v>673</v>
      </c>
      <c r="B37" s="15" t="s">
        <v>674</v>
      </c>
    </row>
    <row r="38" customFormat="false" ht="35.05" hidden="false" customHeight="false" outlineLevel="0" collapsed="false">
      <c r="A38" s="62" t="s">
        <v>675</v>
      </c>
      <c r="B38" s="15" t="s">
        <v>676</v>
      </c>
    </row>
    <row r="39" customFormat="false" ht="23.85" hidden="false" customHeight="false" outlineLevel="0" collapsed="false">
      <c r="A39" s="62" t="s">
        <v>677</v>
      </c>
      <c r="B39" s="15" t="s">
        <v>678</v>
      </c>
    </row>
    <row r="40" customFormat="false" ht="15" hidden="false" customHeight="false" outlineLevel="0" collapsed="false">
      <c r="A40" s="62" t="s">
        <v>679</v>
      </c>
      <c r="B40" s="15" t="s">
        <v>680</v>
      </c>
    </row>
    <row r="41" customFormat="false" ht="23.85" hidden="false" customHeight="false" outlineLevel="0" collapsed="false">
      <c r="A41" s="62" t="s">
        <v>681</v>
      </c>
      <c r="B41" s="15" t="s">
        <v>682</v>
      </c>
    </row>
    <row r="42" customFormat="false" ht="15" hidden="false" customHeight="false" outlineLevel="0" collapsed="false">
      <c r="A42" s="62" t="s">
        <v>683</v>
      </c>
      <c r="B42" s="15" t="s">
        <v>684</v>
      </c>
    </row>
    <row r="43" customFormat="false" ht="15" hidden="false" customHeight="false" outlineLevel="0" collapsed="false">
      <c r="A43" s="62" t="s">
        <v>685</v>
      </c>
      <c r="B43" s="15" t="s">
        <v>686</v>
      </c>
    </row>
    <row r="44" customFormat="false" ht="15" hidden="false" customHeight="false" outlineLevel="0" collapsed="false">
      <c r="A44" s="62" t="s">
        <v>687</v>
      </c>
      <c r="B44" s="15" t="s">
        <v>688</v>
      </c>
    </row>
    <row r="45" customFormat="false" ht="23.85" hidden="false" customHeight="false" outlineLevel="0" collapsed="false">
      <c r="A45" s="62" t="s">
        <v>689</v>
      </c>
      <c r="B45" s="15" t="s">
        <v>690</v>
      </c>
    </row>
    <row r="46" customFormat="false" ht="15" hidden="false" customHeight="false" outlineLevel="0" collapsed="false">
      <c r="A46" s="62" t="s">
        <v>691</v>
      </c>
      <c r="B46" s="15" t="s">
        <v>692</v>
      </c>
    </row>
    <row r="47" customFormat="false" ht="15" hidden="false" customHeight="false" outlineLevel="0" collapsed="false">
      <c r="A47" s="62" t="s">
        <v>693</v>
      </c>
      <c r="B47" s="15" t="s">
        <v>694</v>
      </c>
    </row>
    <row r="48" customFormat="false" ht="23.85" hidden="false" customHeight="false" outlineLevel="0" collapsed="false">
      <c r="A48" s="62" t="s">
        <v>695</v>
      </c>
      <c r="B48" s="15" t="s">
        <v>696</v>
      </c>
    </row>
    <row r="49" customFormat="false" ht="15" hidden="false" customHeight="false" outlineLevel="0" collapsed="false">
      <c r="A49" s="62" t="s">
        <v>697</v>
      </c>
      <c r="B49" s="15" t="s">
        <v>698</v>
      </c>
    </row>
    <row r="51" customFormat="false" ht="15" hidden="false" customHeight="true" outlineLevel="0" collapsed="false">
      <c r="A51" s="2" t="s">
        <v>699</v>
      </c>
      <c r="B51" s="2"/>
    </row>
    <row r="52" customFormat="false" ht="15" hidden="false" customHeight="false" outlineLevel="0" collapsed="false">
      <c r="A52" s="62" t="s">
        <v>700</v>
      </c>
      <c r="B52" s="15" t="s">
        <v>701</v>
      </c>
    </row>
    <row r="53" customFormat="false" ht="15" hidden="false" customHeight="false" outlineLevel="0" collapsed="false">
      <c r="A53" s="62" t="s">
        <v>702</v>
      </c>
      <c r="B53" s="15" t="s">
        <v>703</v>
      </c>
    </row>
    <row r="54" customFormat="false" ht="15" hidden="false" customHeight="false" outlineLevel="0" collapsed="false">
      <c r="A54" s="62" t="s">
        <v>704</v>
      </c>
      <c r="B54" s="15" t="s">
        <v>705</v>
      </c>
    </row>
    <row r="55" customFormat="false" ht="15" hidden="false" customHeight="false" outlineLevel="0" collapsed="false">
      <c r="A55" s="62" t="s">
        <v>706</v>
      </c>
      <c r="B55" s="15" t="s">
        <v>707</v>
      </c>
    </row>
    <row r="56" customFormat="false" ht="15" hidden="false" customHeight="false" outlineLevel="0" collapsed="false">
      <c r="A56" s="62" t="s">
        <v>708</v>
      </c>
      <c r="B56" s="15" t="s">
        <v>709</v>
      </c>
    </row>
    <row r="57" customFormat="false" ht="15" hidden="false" customHeight="false" outlineLevel="0" collapsed="false">
      <c r="A57" s="62" t="s">
        <v>710</v>
      </c>
      <c r="B57" s="15" t="s">
        <v>711</v>
      </c>
    </row>
    <row r="58" customFormat="false" ht="15" hidden="false" customHeight="false" outlineLevel="0" collapsed="false">
      <c r="A58" s="62" t="s">
        <v>712</v>
      </c>
      <c r="B58" s="15" t="s">
        <v>713</v>
      </c>
    </row>
    <row r="60" customFormat="false" ht="15" hidden="false" customHeight="true" outlineLevel="0" collapsed="false">
      <c r="A60" s="2" t="s">
        <v>714</v>
      </c>
      <c r="B60" s="2"/>
    </row>
    <row r="61" customFormat="false" ht="15" hidden="false" customHeight="false" outlineLevel="0" collapsed="false">
      <c r="A61" s="62" t="s">
        <v>715</v>
      </c>
      <c r="B61" s="63" t="n">
        <f aca="false">Ведомость!P213</f>
        <v>18212.51356</v>
      </c>
    </row>
    <row r="62" customFormat="false" ht="15" hidden="false" customHeight="false" outlineLevel="0" collapsed="false">
      <c r="A62" s="62" t="s">
        <v>716</v>
      </c>
      <c r="B62" s="15" t="s">
        <v>717</v>
      </c>
    </row>
    <row r="64" customFormat="false" ht="15" hidden="false" customHeight="true" outlineLevel="0" collapsed="false">
      <c r="A64" s="2" t="s">
        <v>718</v>
      </c>
      <c r="B64" s="2"/>
    </row>
    <row r="65" customFormat="false" ht="15" hidden="false" customHeight="false" outlineLevel="0" collapsed="false">
      <c r="A65" s="3" t="s">
        <v>719</v>
      </c>
      <c r="B65" s="3" t="s">
        <v>720</v>
      </c>
    </row>
    <row r="66" customFormat="false" ht="15" hidden="false" customHeight="false" outlineLevel="0" collapsed="false">
      <c r="A66" s="15" t="s">
        <v>721</v>
      </c>
      <c r="B66" s="15" t="s">
        <v>722</v>
      </c>
    </row>
    <row r="67" customFormat="false" ht="15" hidden="false" customHeight="false" outlineLevel="0" collapsed="false">
      <c r="A67" s="15" t="s">
        <v>721</v>
      </c>
      <c r="B67" s="15" t="s">
        <v>723</v>
      </c>
    </row>
    <row r="68" customFormat="false" ht="15" hidden="false" customHeight="false" outlineLevel="0" collapsed="false">
      <c r="A68" s="15" t="s">
        <v>721</v>
      </c>
      <c r="B68" s="15" t="s">
        <v>722</v>
      </c>
    </row>
    <row r="69" customFormat="false" ht="15" hidden="false" customHeight="false" outlineLevel="0" collapsed="false">
      <c r="A69" s="15" t="s">
        <v>724</v>
      </c>
      <c r="B69" s="15" t="s">
        <v>722</v>
      </c>
    </row>
    <row r="70" customFormat="false" ht="15" hidden="false" customHeight="false" outlineLevel="0" collapsed="false">
      <c r="A70" s="15" t="s">
        <v>724</v>
      </c>
      <c r="B70" s="15" t="s">
        <v>723</v>
      </c>
    </row>
    <row r="71" customFormat="false" ht="15" hidden="false" customHeight="false" outlineLevel="0" collapsed="false">
      <c r="A71" s="15" t="s">
        <v>724</v>
      </c>
      <c r="B71" s="15" t="s">
        <v>722</v>
      </c>
    </row>
    <row r="72" customFormat="false" ht="15" hidden="false" customHeight="false" outlineLevel="0" collapsed="false">
      <c r="A72" s="15" t="s">
        <v>725</v>
      </c>
      <c r="B72" s="15" t="s">
        <v>722</v>
      </c>
    </row>
    <row r="73" customFormat="false" ht="15" hidden="false" customHeight="false" outlineLevel="0" collapsed="false">
      <c r="A73" s="15" t="s">
        <v>725</v>
      </c>
      <c r="B73" s="15" t="s">
        <v>723</v>
      </c>
    </row>
    <row r="74" customFormat="false" ht="15" hidden="false" customHeight="false" outlineLevel="0" collapsed="false">
      <c r="A74" s="15" t="s">
        <v>725</v>
      </c>
      <c r="B74" s="15" t="s">
        <v>722</v>
      </c>
    </row>
    <row r="75" customFormat="false" ht="15" hidden="false" customHeight="false" outlineLevel="0" collapsed="false">
      <c r="A75" s="15" t="s">
        <v>726</v>
      </c>
      <c r="B75" s="15" t="s">
        <v>722</v>
      </c>
    </row>
    <row r="76" customFormat="false" ht="15" hidden="false" customHeight="false" outlineLevel="0" collapsed="false">
      <c r="A76" s="15" t="s">
        <v>726</v>
      </c>
      <c r="B76" s="15" t="s">
        <v>723</v>
      </c>
    </row>
    <row r="77" customFormat="false" ht="15" hidden="false" customHeight="false" outlineLevel="0" collapsed="false">
      <c r="A77" s="15" t="s">
        <v>727</v>
      </c>
      <c r="B77" s="15" t="s">
        <v>728</v>
      </c>
    </row>
    <row r="78" customFormat="false" ht="15" hidden="false" customHeight="false" outlineLevel="0" collapsed="false">
      <c r="A78" s="15" t="s">
        <v>727</v>
      </c>
      <c r="B78" s="15" t="s">
        <v>723</v>
      </c>
    </row>
    <row r="79" customFormat="false" ht="15" hidden="false" customHeight="false" outlineLevel="0" collapsed="false">
      <c r="A79" s="15" t="s">
        <v>727</v>
      </c>
      <c r="B79" s="15" t="s">
        <v>722</v>
      </c>
    </row>
    <row r="80" customFormat="false" ht="15" hidden="false" customHeight="false" outlineLevel="0" collapsed="false">
      <c r="A80" s="15" t="s">
        <v>727</v>
      </c>
      <c r="B80" s="15" t="s">
        <v>729</v>
      </c>
    </row>
    <row r="81" customFormat="false" ht="15" hidden="false" customHeight="false" outlineLevel="0" collapsed="false">
      <c r="A81" s="15" t="s">
        <v>730</v>
      </c>
      <c r="B81" s="15" t="s">
        <v>728</v>
      </c>
    </row>
    <row r="82" customFormat="false" ht="15" hidden="false" customHeight="false" outlineLevel="0" collapsed="false">
      <c r="A82" s="15" t="s">
        <v>730</v>
      </c>
      <c r="B82" s="15" t="s">
        <v>723</v>
      </c>
    </row>
    <row r="83" customFormat="false" ht="15" hidden="false" customHeight="false" outlineLevel="0" collapsed="false">
      <c r="A83" s="15" t="s">
        <v>730</v>
      </c>
      <c r="B83" s="15" t="s">
        <v>722</v>
      </c>
    </row>
    <row r="84" customFormat="false" ht="15" hidden="false" customHeight="false" outlineLevel="0" collapsed="false">
      <c r="A84" s="15" t="s">
        <v>730</v>
      </c>
      <c r="B84" s="15" t="s">
        <v>729</v>
      </c>
    </row>
    <row r="85" customFormat="false" ht="15" hidden="false" customHeight="false" outlineLevel="0" collapsed="false">
      <c r="A85" s="15" t="s">
        <v>731</v>
      </c>
      <c r="B85" s="15" t="s">
        <v>728</v>
      </c>
    </row>
    <row r="86" customFormat="false" ht="15" hidden="false" customHeight="false" outlineLevel="0" collapsed="false">
      <c r="A86" s="15" t="s">
        <v>731</v>
      </c>
      <c r="B86" s="15" t="s">
        <v>723</v>
      </c>
    </row>
    <row r="87" customFormat="false" ht="15" hidden="false" customHeight="false" outlineLevel="0" collapsed="false">
      <c r="A87" s="15" t="s">
        <v>732</v>
      </c>
      <c r="B87" s="15" t="s">
        <v>733</v>
      </c>
    </row>
    <row r="88" customFormat="false" ht="15" hidden="false" customHeight="false" outlineLevel="0" collapsed="false">
      <c r="A88" s="15" t="s">
        <v>734</v>
      </c>
      <c r="B88" s="15" t="s">
        <v>729</v>
      </c>
    </row>
    <row r="89" customFormat="false" ht="15" hidden="false" customHeight="false" outlineLevel="0" collapsed="false">
      <c r="A89" s="15" t="s">
        <v>735</v>
      </c>
      <c r="B89" s="15" t="s">
        <v>736</v>
      </c>
    </row>
    <row r="90" customFormat="false" ht="15" hidden="false" customHeight="false" outlineLevel="0" collapsed="false">
      <c r="A90" s="15" t="s">
        <v>737</v>
      </c>
      <c r="B90" s="15" t="s">
        <v>738</v>
      </c>
    </row>
    <row r="91" customFormat="false" ht="15" hidden="false" customHeight="false" outlineLevel="0" collapsed="false">
      <c r="A91" s="15" t="s">
        <v>739</v>
      </c>
      <c r="B91" s="15" t="s">
        <v>740</v>
      </c>
    </row>
    <row r="92" customFormat="false" ht="15" hidden="false" customHeight="false" outlineLevel="0" collapsed="false">
      <c r="A92" s="15" t="s">
        <v>741</v>
      </c>
      <c r="B92" s="15" t="s">
        <v>736</v>
      </c>
    </row>
    <row r="93" customFormat="false" ht="15" hidden="false" customHeight="false" outlineLevel="0" collapsed="false">
      <c r="A93" s="15" t="s">
        <v>742</v>
      </c>
      <c r="B93" s="15" t="s">
        <v>743</v>
      </c>
    </row>
    <row r="94" customFormat="false" ht="15" hidden="false" customHeight="false" outlineLevel="0" collapsed="false">
      <c r="A94" s="15" t="s">
        <v>744</v>
      </c>
      <c r="B94" s="15" t="s">
        <v>745</v>
      </c>
    </row>
    <row r="95" customFormat="false" ht="15" hidden="false" customHeight="false" outlineLevel="0" collapsed="false">
      <c r="A95" s="15" t="s">
        <v>746</v>
      </c>
      <c r="B95" s="15" t="s">
        <v>747</v>
      </c>
    </row>
    <row r="96" customFormat="false" ht="15" hidden="false" customHeight="false" outlineLevel="0" collapsed="false">
      <c r="A96" s="15" t="s">
        <v>746</v>
      </c>
      <c r="B96" s="15" t="s">
        <v>748</v>
      </c>
    </row>
    <row r="97" customFormat="false" ht="15" hidden="false" customHeight="false" outlineLevel="0" collapsed="false">
      <c r="A97" s="15" t="s">
        <v>746</v>
      </c>
      <c r="B97" s="15" t="s">
        <v>747</v>
      </c>
    </row>
    <row r="98" customFormat="false" ht="15" hidden="false" customHeight="false" outlineLevel="0" collapsed="false">
      <c r="A98" s="15" t="s">
        <v>749</v>
      </c>
      <c r="B98" s="15" t="s">
        <v>747</v>
      </c>
    </row>
    <row r="99" customFormat="false" ht="15" hidden="false" customHeight="false" outlineLevel="0" collapsed="false">
      <c r="A99" s="15" t="s">
        <v>749</v>
      </c>
      <c r="B99" s="15" t="s">
        <v>748</v>
      </c>
    </row>
    <row r="100" customFormat="false" ht="15" hidden="false" customHeight="false" outlineLevel="0" collapsed="false">
      <c r="A100" s="15" t="s">
        <v>749</v>
      </c>
      <c r="B100" s="15" t="s">
        <v>747</v>
      </c>
    </row>
    <row r="101" customFormat="false" ht="15" hidden="false" customHeight="false" outlineLevel="0" collapsed="false">
      <c r="A101" s="15" t="s">
        <v>750</v>
      </c>
      <c r="B101" s="15" t="s">
        <v>747</v>
      </c>
    </row>
    <row r="102" customFormat="false" ht="15" hidden="false" customHeight="false" outlineLevel="0" collapsed="false">
      <c r="A102" s="15" t="s">
        <v>750</v>
      </c>
      <c r="B102" s="15" t="s">
        <v>751</v>
      </c>
    </row>
    <row r="103" customFormat="false" ht="15" hidden="false" customHeight="false" outlineLevel="0" collapsed="false">
      <c r="A103" s="15" t="s">
        <v>750</v>
      </c>
      <c r="B103" s="15" t="s">
        <v>747</v>
      </c>
    </row>
    <row r="104" customFormat="false" ht="15" hidden="false" customHeight="false" outlineLevel="0" collapsed="false">
      <c r="A104" s="15" t="s">
        <v>752</v>
      </c>
      <c r="B104" s="15" t="s">
        <v>747</v>
      </c>
    </row>
    <row r="105" customFormat="false" ht="15" hidden="false" customHeight="false" outlineLevel="0" collapsed="false">
      <c r="A105" s="15" t="s">
        <v>752</v>
      </c>
      <c r="B105" s="15" t="s">
        <v>753</v>
      </c>
    </row>
    <row r="106" customFormat="false" ht="15" hidden="false" customHeight="false" outlineLevel="0" collapsed="false">
      <c r="A106" s="15" t="s">
        <v>752</v>
      </c>
      <c r="B106" s="15" t="s">
        <v>753</v>
      </c>
    </row>
    <row r="107" customFormat="false" ht="15" hidden="false" customHeight="false" outlineLevel="0" collapsed="false">
      <c r="A107" s="15" t="s">
        <v>752</v>
      </c>
      <c r="B107" s="15" t="s">
        <v>747</v>
      </c>
    </row>
    <row r="108" customFormat="false" ht="15" hidden="false" customHeight="false" outlineLevel="0" collapsed="false">
      <c r="A108" s="15" t="s">
        <v>752</v>
      </c>
      <c r="B108" s="15" t="s">
        <v>747</v>
      </c>
    </row>
  </sheetData>
  <mergeCells count="6">
    <mergeCell ref="A3:B3"/>
    <mergeCell ref="A15:B15"/>
    <mergeCell ref="A34:B34"/>
    <mergeCell ref="A51:B51"/>
    <mergeCell ref="A60:B60"/>
    <mergeCell ref="A64:B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2026-10-06T07:18:24Z</dcterms:created>
  <dc:creator>openpyxl</dc:creator>
  <dc:description/>
  <dc:language>en-US</dc:language>
  <cp:lastModifiedBy/>
  <dcterms:modified xsi:type="dcterms:W3CDTF">2026-10-06T07:18:25Z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